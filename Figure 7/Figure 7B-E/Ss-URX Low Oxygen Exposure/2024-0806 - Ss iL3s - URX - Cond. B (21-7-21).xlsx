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URX/2024-0806/"/>
    </mc:Choice>
  </mc:AlternateContent>
  <xr:revisionPtr revIDLastSave="0" documentId="13_ncr:1_{28DDB252-8B63-E54E-85AE-AAF1969BAD8D}" xr6:coauthVersionLast="47" xr6:coauthVersionMax="47" xr10:uidLastSave="{00000000-0000-0000-0000-000000000000}"/>
  <bookViews>
    <workbookView xWindow="720" yWindow="500" windowWidth="28080" windowHeight="15620" activeTab="6" xr2:uid="{703F31A7-3FB6-4B05-8EA8-379C6E25ED1D}"/>
  </bookViews>
  <sheets>
    <sheet name="240806B001" sheetId="1" r:id="rId1"/>
    <sheet name="240806B002" sheetId="2" r:id="rId2"/>
    <sheet name="240806B005" sheetId="3" r:id="rId3"/>
    <sheet name="240806B006" sheetId="4" r:id="rId4"/>
    <sheet name="240806B007" sheetId="5" r:id="rId5"/>
    <sheet name="240806B008" sheetId="6" r:id="rId6"/>
    <sheet name="240806B009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7" l="1"/>
  <c r="I322" i="7"/>
  <c r="K322" i="7" s="1"/>
  <c r="L322" i="7" s="1"/>
  <c r="J321" i="7"/>
  <c r="I321" i="7"/>
  <c r="K321" i="7" s="1"/>
  <c r="L321" i="7" s="1"/>
  <c r="J320" i="7"/>
  <c r="I320" i="7"/>
  <c r="K320" i="7" s="1"/>
  <c r="L320" i="7" s="1"/>
  <c r="V102" i="7" s="1"/>
  <c r="J319" i="7"/>
  <c r="I319" i="7"/>
  <c r="K319" i="7" s="1"/>
  <c r="J318" i="7"/>
  <c r="I318" i="7"/>
  <c r="K318" i="7" s="1"/>
  <c r="L318" i="7" s="1"/>
  <c r="J317" i="7"/>
  <c r="I317" i="7"/>
  <c r="K317" i="7" s="1"/>
  <c r="J316" i="7"/>
  <c r="I316" i="7"/>
  <c r="K316" i="7" s="1"/>
  <c r="L316" i="7" s="1"/>
  <c r="V98" i="7" s="1"/>
  <c r="J315" i="7"/>
  <c r="I315" i="7"/>
  <c r="K315" i="7" s="1"/>
  <c r="J314" i="7"/>
  <c r="I314" i="7"/>
  <c r="K314" i="7" s="1"/>
  <c r="L314" i="7" s="1"/>
  <c r="J313" i="7"/>
  <c r="I313" i="7"/>
  <c r="K313" i="7" s="1"/>
  <c r="L313" i="7" s="1"/>
  <c r="J312" i="7"/>
  <c r="I312" i="7"/>
  <c r="K312" i="7" s="1"/>
  <c r="J311" i="7"/>
  <c r="I311" i="7"/>
  <c r="K311" i="7" s="1"/>
  <c r="L311" i="7" s="1"/>
  <c r="J310" i="7"/>
  <c r="I310" i="7"/>
  <c r="K310" i="7" s="1"/>
  <c r="J309" i="7"/>
  <c r="I309" i="7"/>
  <c r="K309" i="7" s="1"/>
  <c r="K308" i="7"/>
  <c r="J308" i="7"/>
  <c r="I308" i="7"/>
  <c r="J307" i="7"/>
  <c r="I307" i="7"/>
  <c r="K307" i="7" s="1"/>
  <c r="L307" i="7" s="1"/>
  <c r="J306" i="7"/>
  <c r="I306" i="7"/>
  <c r="K306" i="7" s="1"/>
  <c r="L306" i="7" s="1"/>
  <c r="J305" i="7"/>
  <c r="I305" i="7"/>
  <c r="K305" i="7" s="1"/>
  <c r="L305" i="7" s="1"/>
  <c r="J304" i="7"/>
  <c r="I304" i="7"/>
  <c r="K304" i="7" s="1"/>
  <c r="J303" i="7"/>
  <c r="I303" i="7"/>
  <c r="K303" i="7" s="1"/>
  <c r="J302" i="7"/>
  <c r="I302" i="7"/>
  <c r="K302" i="7" s="1"/>
  <c r="J301" i="7"/>
  <c r="I301" i="7"/>
  <c r="K301" i="7" s="1"/>
  <c r="J300" i="7"/>
  <c r="I300" i="7"/>
  <c r="K300" i="7" s="1"/>
  <c r="J299" i="7"/>
  <c r="I299" i="7"/>
  <c r="K299" i="7" s="1"/>
  <c r="L299" i="7" s="1"/>
  <c r="J298" i="7"/>
  <c r="I298" i="7"/>
  <c r="K298" i="7" s="1"/>
  <c r="L298" i="7" s="1"/>
  <c r="J297" i="7"/>
  <c r="I297" i="7"/>
  <c r="K297" i="7" s="1"/>
  <c r="L297" i="7" s="1"/>
  <c r="J296" i="7"/>
  <c r="I296" i="7"/>
  <c r="K296" i="7" s="1"/>
  <c r="J295" i="7"/>
  <c r="I295" i="7"/>
  <c r="K295" i="7" s="1"/>
  <c r="J294" i="7"/>
  <c r="I294" i="7"/>
  <c r="K294" i="7" s="1"/>
  <c r="J293" i="7"/>
  <c r="I293" i="7"/>
  <c r="K293" i="7" s="1"/>
  <c r="L293" i="7" s="1"/>
  <c r="K292" i="7"/>
  <c r="L292" i="7" s="1"/>
  <c r="J292" i="7"/>
  <c r="I292" i="7"/>
  <c r="J291" i="7"/>
  <c r="I291" i="7"/>
  <c r="K291" i="7" s="1"/>
  <c r="L291" i="7" s="1"/>
  <c r="J290" i="7"/>
  <c r="I290" i="7"/>
  <c r="K290" i="7" s="1"/>
  <c r="J289" i="7"/>
  <c r="I289" i="7"/>
  <c r="K289" i="7" s="1"/>
  <c r="L289" i="7" s="1"/>
  <c r="K288" i="7"/>
  <c r="J288" i="7"/>
  <c r="I288" i="7"/>
  <c r="J287" i="7"/>
  <c r="I287" i="7"/>
  <c r="K287" i="7" s="1"/>
  <c r="J286" i="7"/>
  <c r="I286" i="7"/>
  <c r="K286" i="7" s="1"/>
  <c r="L286" i="7" s="1"/>
  <c r="J285" i="7"/>
  <c r="I285" i="7"/>
  <c r="K285" i="7" s="1"/>
  <c r="J284" i="7"/>
  <c r="I284" i="7"/>
  <c r="K284" i="7" s="1"/>
  <c r="L284" i="7" s="1"/>
  <c r="J283" i="7"/>
  <c r="I283" i="7"/>
  <c r="K283" i="7" s="1"/>
  <c r="J282" i="7"/>
  <c r="I282" i="7"/>
  <c r="K282" i="7" s="1"/>
  <c r="L282" i="7" s="1"/>
  <c r="J281" i="7"/>
  <c r="I281" i="7"/>
  <c r="K281" i="7" s="1"/>
  <c r="J280" i="7"/>
  <c r="I280" i="7"/>
  <c r="K280" i="7" s="1"/>
  <c r="J279" i="7"/>
  <c r="I279" i="7"/>
  <c r="K279" i="7" s="1"/>
  <c r="L279" i="7" s="1"/>
  <c r="J278" i="7"/>
  <c r="I278" i="7"/>
  <c r="K278" i="7" s="1"/>
  <c r="J277" i="7"/>
  <c r="I277" i="7"/>
  <c r="K277" i="7" s="1"/>
  <c r="J276" i="7"/>
  <c r="I276" i="7"/>
  <c r="K276" i="7" s="1"/>
  <c r="L276" i="7" s="1"/>
  <c r="J275" i="7"/>
  <c r="I275" i="7"/>
  <c r="K275" i="7" s="1"/>
  <c r="L275" i="7" s="1"/>
  <c r="J274" i="7"/>
  <c r="I274" i="7"/>
  <c r="K274" i="7" s="1"/>
  <c r="L274" i="7" s="1"/>
  <c r="J273" i="7"/>
  <c r="I273" i="7"/>
  <c r="K273" i="7" s="1"/>
  <c r="L273" i="7" s="1"/>
  <c r="J272" i="7"/>
  <c r="I272" i="7"/>
  <c r="K272" i="7" s="1"/>
  <c r="L272" i="7" s="1"/>
  <c r="J271" i="7"/>
  <c r="I271" i="7"/>
  <c r="K271" i="7" s="1"/>
  <c r="J270" i="7"/>
  <c r="I270" i="7"/>
  <c r="K270" i="7" s="1"/>
  <c r="J269" i="7"/>
  <c r="I269" i="7"/>
  <c r="K269" i="7" s="1"/>
  <c r="L269" i="7" s="1"/>
  <c r="J268" i="7"/>
  <c r="I268" i="7"/>
  <c r="K268" i="7" s="1"/>
  <c r="L268" i="7" s="1"/>
  <c r="J267" i="7"/>
  <c r="I267" i="7"/>
  <c r="K267" i="7" s="1"/>
  <c r="L267" i="7" s="1"/>
  <c r="J266" i="7"/>
  <c r="I266" i="7"/>
  <c r="K266" i="7" s="1"/>
  <c r="L266" i="7" s="1"/>
  <c r="J265" i="7"/>
  <c r="I265" i="7"/>
  <c r="K265" i="7" s="1"/>
  <c r="J264" i="7"/>
  <c r="I264" i="7"/>
  <c r="K264" i="7" s="1"/>
  <c r="L264" i="7" s="1"/>
  <c r="J263" i="7"/>
  <c r="I263" i="7"/>
  <c r="K263" i="7" s="1"/>
  <c r="J262" i="7"/>
  <c r="I262" i="7"/>
  <c r="K262" i="7" s="1"/>
  <c r="L262" i="7" s="1"/>
  <c r="J261" i="7"/>
  <c r="I261" i="7"/>
  <c r="K261" i="7" s="1"/>
  <c r="L261" i="7" s="1"/>
  <c r="J260" i="7"/>
  <c r="I260" i="7"/>
  <c r="K260" i="7" s="1"/>
  <c r="L260" i="7" s="1"/>
  <c r="J259" i="7"/>
  <c r="I259" i="7"/>
  <c r="K259" i="7" s="1"/>
  <c r="J258" i="7"/>
  <c r="I258" i="7"/>
  <c r="K258" i="7" s="1"/>
  <c r="J257" i="7"/>
  <c r="I257" i="7"/>
  <c r="K257" i="7" s="1"/>
  <c r="L257" i="7" s="1"/>
  <c r="J256" i="7"/>
  <c r="I256" i="7"/>
  <c r="K256" i="7" s="1"/>
  <c r="J255" i="7"/>
  <c r="I255" i="7"/>
  <c r="K255" i="7" s="1"/>
  <c r="L255" i="7" s="1"/>
  <c r="J254" i="7"/>
  <c r="I254" i="7"/>
  <c r="K254" i="7" s="1"/>
  <c r="L254" i="7" s="1"/>
  <c r="J253" i="7"/>
  <c r="I253" i="7"/>
  <c r="K253" i="7" s="1"/>
  <c r="K252" i="7"/>
  <c r="J252" i="7"/>
  <c r="I252" i="7"/>
  <c r="J251" i="7"/>
  <c r="I251" i="7"/>
  <c r="K251" i="7" s="1"/>
  <c r="J250" i="7"/>
  <c r="I250" i="7"/>
  <c r="K250" i="7" s="1"/>
  <c r="L250" i="7" s="1"/>
  <c r="J249" i="7"/>
  <c r="I249" i="7"/>
  <c r="K249" i="7" s="1"/>
  <c r="L249" i="7" s="1"/>
  <c r="J248" i="7"/>
  <c r="I248" i="7"/>
  <c r="K248" i="7" s="1"/>
  <c r="J247" i="7"/>
  <c r="I247" i="7"/>
  <c r="K247" i="7" s="1"/>
  <c r="L247" i="7" s="1"/>
  <c r="J246" i="7"/>
  <c r="I246" i="7"/>
  <c r="K246" i="7" s="1"/>
  <c r="L246" i="7" s="1"/>
  <c r="J245" i="7"/>
  <c r="I245" i="7"/>
  <c r="K245" i="7" s="1"/>
  <c r="L245" i="7" s="1"/>
  <c r="K244" i="7"/>
  <c r="L244" i="7" s="1"/>
  <c r="J244" i="7"/>
  <c r="I244" i="7"/>
  <c r="J243" i="7"/>
  <c r="I243" i="7"/>
  <c r="K243" i="7" s="1"/>
  <c r="J242" i="7"/>
  <c r="I242" i="7"/>
  <c r="K242" i="7" s="1"/>
  <c r="L242" i="7" s="1"/>
  <c r="J241" i="7"/>
  <c r="I241" i="7"/>
  <c r="K241" i="7" s="1"/>
  <c r="J240" i="7"/>
  <c r="I240" i="7"/>
  <c r="K240" i="7" s="1"/>
  <c r="L240" i="7" s="1"/>
  <c r="J239" i="7"/>
  <c r="I239" i="7"/>
  <c r="K239" i="7" s="1"/>
  <c r="L239" i="7" s="1"/>
  <c r="J238" i="7"/>
  <c r="I238" i="7"/>
  <c r="K238" i="7" s="1"/>
  <c r="J237" i="7"/>
  <c r="I237" i="7"/>
  <c r="K237" i="7" s="1"/>
  <c r="L237" i="7" s="1"/>
  <c r="J236" i="7"/>
  <c r="I236" i="7"/>
  <c r="K236" i="7" s="1"/>
  <c r="J235" i="7"/>
  <c r="I235" i="7"/>
  <c r="K235" i="7" s="1"/>
  <c r="L235" i="7" s="1"/>
  <c r="J234" i="7"/>
  <c r="I234" i="7"/>
  <c r="K234" i="7" s="1"/>
  <c r="J233" i="7"/>
  <c r="I233" i="7"/>
  <c r="K233" i="7" s="1"/>
  <c r="L233" i="7" s="1"/>
  <c r="J232" i="7"/>
  <c r="I232" i="7"/>
  <c r="K232" i="7" s="1"/>
  <c r="L232" i="7" s="1"/>
  <c r="J231" i="7"/>
  <c r="I231" i="7"/>
  <c r="K231" i="7" s="1"/>
  <c r="L231" i="7" s="1"/>
  <c r="J230" i="7"/>
  <c r="I230" i="7"/>
  <c r="K230" i="7" s="1"/>
  <c r="J229" i="7"/>
  <c r="I229" i="7"/>
  <c r="K229" i="7" s="1"/>
  <c r="L229" i="7" s="1"/>
  <c r="J228" i="7"/>
  <c r="I228" i="7"/>
  <c r="K228" i="7" s="1"/>
  <c r="L228" i="7" s="1"/>
  <c r="J227" i="7"/>
  <c r="I227" i="7"/>
  <c r="K227" i="7" s="1"/>
  <c r="J226" i="7"/>
  <c r="I226" i="7"/>
  <c r="K226" i="7" s="1"/>
  <c r="J225" i="7"/>
  <c r="I225" i="7"/>
  <c r="K225" i="7" s="1"/>
  <c r="J224" i="7"/>
  <c r="I224" i="7"/>
  <c r="K224" i="7" s="1"/>
  <c r="L224" i="7" s="1"/>
  <c r="J223" i="7"/>
  <c r="I223" i="7"/>
  <c r="K223" i="7" s="1"/>
  <c r="J222" i="7"/>
  <c r="I222" i="7"/>
  <c r="K222" i="7" s="1"/>
  <c r="L222" i="7" s="1"/>
  <c r="J221" i="7"/>
  <c r="I221" i="7"/>
  <c r="K221" i="7" s="1"/>
  <c r="J220" i="7"/>
  <c r="I220" i="7"/>
  <c r="K220" i="7" s="1"/>
  <c r="L220" i="7" s="1"/>
  <c r="J219" i="7"/>
  <c r="I219" i="7"/>
  <c r="K219" i="7" s="1"/>
  <c r="J218" i="7"/>
  <c r="I218" i="7"/>
  <c r="K218" i="7" s="1"/>
  <c r="J217" i="7"/>
  <c r="I217" i="7"/>
  <c r="K217" i="7" s="1"/>
  <c r="K216" i="7"/>
  <c r="J216" i="7"/>
  <c r="I216" i="7"/>
  <c r="J215" i="7"/>
  <c r="I215" i="7"/>
  <c r="K215" i="7" s="1"/>
  <c r="L215" i="7" s="1"/>
  <c r="J214" i="7"/>
  <c r="I214" i="7"/>
  <c r="K214" i="7" s="1"/>
  <c r="J213" i="7"/>
  <c r="I213" i="7"/>
  <c r="K213" i="7" s="1"/>
  <c r="L213" i="7" s="1"/>
  <c r="J212" i="7"/>
  <c r="I212" i="7"/>
  <c r="K212" i="7" s="1"/>
  <c r="J211" i="7"/>
  <c r="I211" i="7"/>
  <c r="K211" i="7" s="1"/>
  <c r="L211" i="7" s="1"/>
  <c r="J210" i="7"/>
  <c r="I210" i="7"/>
  <c r="K210" i="7" s="1"/>
  <c r="L210" i="7" s="1"/>
  <c r="J209" i="7"/>
  <c r="I209" i="7"/>
  <c r="K209" i="7" s="1"/>
  <c r="L209" i="7" s="1"/>
  <c r="K208" i="7"/>
  <c r="L208" i="7" s="1"/>
  <c r="J208" i="7"/>
  <c r="I208" i="7"/>
  <c r="J207" i="7"/>
  <c r="I207" i="7"/>
  <c r="K207" i="7" s="1"/>
  <c r="J206" i="7"/>
  <c r="I206" i="7"/>
  <c r="K206" i="7" s="1"/>
  <c r="J205" i="7"/>
  <c r="I205" i="7"/>
  <c r="K205" i="7" s="1"/>
  <c r="J204" i="7"/>
  <c r="I204" i="7"/>
  <c r="K204" i="7" s="1"/>
  <c r="L204" i="7" s="1"/>
  <c r="J203" i="7"/>
  <c r="I203" i="7"/>
  <c r="K203" i="7" s="1"/>
  <c r="J202" i="7"/>
  <c r="I202" i="7"/>
  <c r="K202" i="7" s="1"/>
  <c r="L202" i="7" s="1"/>
  <c r="J201" i="7"/>
  <c r="I201" i="7"/>
  <c r="K201" i="7" s="1"/>
  <c r="J200" i="7"/>
  <c r="I200" i="7"/>
  <c r="K200" i="7" s="1"/>
  <c r="J199" i="7"/>
  <c r="I199" i="7"/>
  <c r="K199" i="7" s="1"/>
  <c r="L199" i="7" s="1"/>
  <c r="J198" i="7"/>
  <c r="I198" i="7"/>
  <c r="K198" i="7" s="1"/>
  <c r="J197" i="7"/>
  <c r="I197" i="7"/>
  <c r="K197" i="7" s="1"/>
  <c r="L197" i="7" s="1"/>
  <c r="J196" i="7"/>
  <c r="I196" i="7"/>
  <c r="K196" i="7" s="1"/>
  <c r="L196" i="7" s="1"/>
  <c r="J195" i="7"/>
  <c r="I195" i="7"/>
  <c r="K195" i="7" s="1"/>
  <c r="L195" i="7" s="1"/>
  <c r="J194" i="7"/>
  <c r="I194" i="7"/>
  <c r="K194" i="7" s="1"/>
  <c r="L194" i="7" s="1"/>
  <c r="J193" i="7"/>
  <c r="I193" i="7"/>
  <c r="K193" i="7" s="1"/>
  <c r="L193" i="7" s="1"/>
  <c r="J192" i="7"/>
  <c r="I192" i="7"/>
  <c r="K192" i="7" s="1"/>
  <c r="L192" i="7" s="1"/>
  <c r="J191" i="7"/>
  <c r="I191" i="7"/>
  <c r="K191" i="7" s="1"/>
  <c r="L191" i="7" s="1"/>
  <c r="J190" i="7"/>
  <c r="I190" i="7"/>
  <c r="K190" i="7" s="1"/>
  <c r="L190" i="7" s="1"/>
  <c r="J189" i="7"/>
  <c r="I189" i="7"/>
  <c r="K189" i="7" s="1"/>
  <c r="L189" i="7" s="1"/>
  <c r="J188" i="7"/>
  <c r="I188" i="7"/>
  <c r="K188" i="7" s="1"/>
  <c r="L188" i="7" s="1"/>
  <c r="J187" i="7"/>
  <c r="I187" i="7"/>
  <c r="K187" i="7" s="1"/>
  <c r="L187" i="7" s="1"/>
  <c r="J186" i="7"/>
  <c r="I186" i="7"/>
  <c r="K186" i="7" s="1"/>
  <c r="L186" i="7" s="1"/>
  <c r="J185" i="7"/>
  <c r="I185" i="7"/>
  <c r="K185" i="7" s="1"/>
  <c r="L185" i="7" s="1"/>
  <c r="J184" i="7"/>
  <c r="I184" i="7"/>
  <c r="K184" i="7" s="1"/>
  <c r="L184" i="7" s="1"/>
  <c r="J183" i="7"/>
  <c r="I183" i="7"/>
  <c r="K183" i="7" s="1"/>
  <c r="L183" i="7" s="1"/>
  <c r="J182" i="7"/>
  <c r="I182" i="7"/>
  <c r="K182" i="7" s="1"/>
  <c r="L182" i="7" s="1"/>
  <c r="J181" i="7"/>
  <c r="I181" i="7"/>
  <c r="K181" i="7" s="1"/>
  <c r="J180" i="7"/>
  <c r="I180" i="7"/>
  <c r="K180" i="7" s="1"/>
  <c r="J179" i="7"/>
  <c r="I179" i="7"/>
  <c r="K179" i="7" s="1"/>
  <c r="J178" i="7"/>
  <c r="I178" i="7"/>
  <c r="K178" i="7" s="1"/>
  <c r="L178" i="7" s="1"/>
  <c r="J177" i="7"/>
  <c r="I177" i="7"/>
  <c r="K177" i="7" s="1"/>
  <c r="J176" i="7"/>
  <c r="I176" i="7"/>
  <c r="K176" i="7" s="1"/>
  <c r="L176" i="7" s="1"/>
  <c r="J175" i="7"/>
  <c r="I175" i="7"/>
  <c r="K175" i="7" s="1"/>
  <c r="L175" i="7" s="1"/>
  <c r="J174" i="7"/>
  <c r="I174" i="7"/>
  <c r="K174" i="7" s="1"/>
  <c r="J173" i="7"/>
  <c r="I173" i="7"/>
  <c r="K173" i="7" s="1"/>
  <c r="J172" i="7"/>
  <c r="I172" i="7"/>
  <c r="K172" i="7" s="1"/>
  <c r="J171" i="7"/>
  <c r="I171" i="7"/>
  <c r="K171" i="7" s="1"/>
  <c r="L171" i="7" s="1"/>
  <c r="K170" i="7"/>
  <c r="J170" i="7"/>
  <c r="I170" i="7"/>
  <c r="J169" i="7"/>
  <c r="I169" i="7"/>
  <c r="K169" i="7" s="1"/>
  <c r="L169" i="7" s="1"/>
  <c r="J168" i="7"/>
  <c r="I168" i="7"/>
  <c r="K168" i="7" s="1"/>
  <c r="L168" i="7" s="1"/>
  <c r="K167" i="7"/>
  <c r="J167" i="7"/>
  <c r="I167" i="7"/>
  <c r="J166" i="7"/>
  <c r="I166" i="7"/>
  <c r="K166" i="7" s="1"/>
  <c r="J165" i="7"/>
  <c r="I165" i="7"/>
  <c r="K165" i="7" s="1"/>
  <c r="L165" i="7" s="1"/>
  <c r="J164" i="7"/>
  <c r="I164" i="7"/>
  <c r="K164" i="7" s="1"/>
  <c r="L164" i="7" s="1"/>
  <c r="J163" i="7"/>
  <c r="I163" i="7"/>
  <c r="K163" i="7" s="1"/>
  <c r="J162" i="7"/>
  <c r="I162" i="7"/>
  <c r="K162" i="7" s="1"/>
  <c r="J161" i="7"/>
  <c r="I161" i="7"/>
  <c r="K161" i="7" s="1"/>
  <c r="J160" i="7"/>
  <c r="I160" i="7"/>
  <c r="K160" i="7" s="1"/>
  <c r="K159" i="7"/>
  <c r="J159" i="7"/>
  <c r="I159" i="7"/>
  <c r="J158" i="7"/>
  <c r="I158" i="7"/>
  <c r="K158" i="7" s="1"/>
  <c r="J157" i="7"/>
  <c r="I157" i="7"/>
  <c r="K157" i="7" s="1"/>
  <c r="K156" i="7"/>
  <c r="J156" i="7"/>
  <c r="I156" i="7"/>
  <c r="J155" i="7"/>
  <c r="I155" i="7"/>
  <c r="K155" i="7" s="1"/>
  <c r="L155" i="7" s="1"/>
  <c r="J154" i="7"/>
  <c r="I154" i="7"/>
  <c r="K154" i="7" s="1"/>
  <c r="L154" i="7" s="1"/>
  <c r="J153" i="7"/>
  <c r="I153" i="7"/>
  <c r="K153" i="7" s="1"/>
  <c r="J152" i="7"/>
  <c r="I152" i="7"/>
  <c r="K152" i="7" s="1"/>
  <c r="L152" i="7" s="1"/>
  <c r="J151" i="7"/>
  <c r="I151" i="7"/>
  <c r="K151" i="7" s="1"/>
  <c r="L151" i="7" s="1"/>
  <c r="J150" i="7"/>
  <c r="I150" i="7"/>
  <c r="K150" i="7" s="1"/>
  <c r="L150" i="7" s="1"/>
  <c r="J149" i="7"/>
  <c r="I149" i="7"/>
  <c r="K149" i="7" s="1"/>
  <c r="L149" i="7" s="1"/>
  <c r="J148" i="7"/>
  <c r="I148" i="7"/>
  <c r="K148" i="7" s="1"/>
  <c r="L148" i="7" s="1"/>
  <c r="J147" i="7"/>
  <c r="I147" i="7"/>
  <c r="K147" i="7" s="1"/>
  <c r="L147" i="7" s="1"/>
  <c r="J146" i="7"/>
  <c r="I146" i="7"/>
  <c r="K146" i="7" s="1"/>
  <c r="L146" i="7" s="1"/>
  <c r="J145" i="7"/>
  <c r="I145" i="7"/>
  <c r="K145" i="7" s="1"/>
  <c r="J144" i="7"/>
  <c r="I144" i="7"/>
  <c r="K144" i="7" s="1"/>
  <c r="L144" i="7" s="1"/>
  <c r="J143" i="7"/>
  <c r="I143" i="7"/>
  <c r="K143" i="7" s="1"/>
  <c r="K142" i="7"/>
  <c r="J142" i="7"/>
  <c r="I142" i="7"/>
  <c r="J141" i="7"/>
  <c r="I141" i="7"/>
  <c r="K141" i="7" s="1"/>
  <c r="L141" i="7" s="1"/>
  <c r="J140" i="7"/>
  <c r="I140" i="7"/>
  <c r="K140" i="7" s="1"/>
  <c r="L140" i="7" s="1"/>
  <c r="K139" i="7"/>
  <c r="J139" i="7"/>
  <c r="I139" i="7"/>
  <c r="J138" i="7"/>
  <c r="I138" i="7"/>
  <c r="K138" i="7" s="1"/>
  <c r="L138" i="7" s="1"/>
  <c r="J137" i="7"/>
  <c r="I137" i="7"/>
  <c r="K137" i="7" s="1"/>
  <c r="J136" i="7"/>
  <c r="I136" i="7"/>
  <c r="K136" i="7" s="1"/>
  <c r="L136" i="7" s="1"/>
  <c r="J135" i="7"/>
  <c r="I135" i="7"/>
  <c r="K135" i="7" s="1"/>
  <c r="J134" i="7"/>
  <c r="I134" i="7"/>
  <c r="K134" i="7" s="1"/>
  <c r="L134" i="7" s="1"/>
  <c r="J133" i="7"/>
  <c r="I133" i="7"/>
  <c r="K133" i="7" s="1"/>
  <c r="L133" i="7" s="1"/>
  <c r="J132" i="7"/>
  <c r="I132" i="7"/>
  <c r="K132" i="7" s="1"/>
  <c r="L132" i="7" s="1"/>
  <c r="K131" i="7"/>
  <c r="L131" i="7" s="1"/>
  <c r="J131" i="7"/>
  <c r="I131" i="7"/>
  <c r="J130" i="7"/>
  <c r="I130" i="7"/>
  <c r="K130" i="7" s="1"/>
  <c r="J129" i="7"/>
  <c r="I129" i="7"/>
  <c r="K129" i="7" s="1"/>
  <c r="L129" i="7" s="1"/>
  <c r="J128" i="7"/>
  <c r="I128" i="7"/>
  <c r="K128" i="7" s="1"/>
  <c r="L128" i="7" s="1"/>
  <c r="J127" i="7"/>
  <c r="I127" i="7"/>
  <c r="K127" i="7" s="1"/>
  <c r="J126" i="7"/>
  <c r="I126" i="7"/>
  <c r="K126" i="7" s="1"/>
  <c r="L126" i="7" s="1"/>
  <c r="J125" i="7"/>
  <c r="I125" i="7"/>
  <c r="K125" i="7" s="1"/>
  <c r="L125" i="7" s="1"/>
  <c r="J124" i="7"/>
  <c r="I124" i="7"/>
  <c r="K124" i="7" s="1"/>
  <c r="J123" i="7"/>
  <c r="I123" i="7"/>
  <c r="K123" i="7" s="1"/>
  <c r="J122" i="7"/>
  <c r="I122" i="7"/>
  <c r="K122" i="7" s="1"/>
  <c r="J121" i="7"/>
  <c r="I121" i="7"/>
  <c r="K121" i="7" s="1"/>
  <c r="L121" i="7" s="1"/>
  <c r="J120" i="7"/>
  <c r="I120" i="7"/>
  <c r="K120" i="7" s="1"/>
  <c r="J119" i="7"/>
  <c r="I119" i="7"/>
  <c r="K119" i="7" s="1"/>
  <c r="J118" i="7"/>
  <c r="I118" i="7"/>
  <c r="K118" i="7" s="1"/>
  <c r="L118" i="7" s="1"/>
  <c r="J117" i="7"/>
  <c r="I117" i="7"/>
  <c r="K117" i="7" s="1"/>
  <c r="J116" i="7"/>
  <c r="I116" i="7"/>
  <c r="K116" i="7" s="1"/>
  <c r="J115" i="7"/>
  <c r="I115" i="7"/>
  <c r="K115" i="7" s="1"/>
  <c r="J114" i="7"/>
  <c r="I114" i="7"/>
  <c r="K114" i="7" s="1"/>
  <c r="J113" i="7"/>
  <c r="I113" i="7"/>
  <c r="K113" i="7" s="1"/>
  <c r="J112" i="7"/>
  <c r="I112" i="7"/>
  <c r="K112" i="7" s="1"/>
  <c r="J111" i="7"/>
  <c r="I111" i="7"/>
  <c r="K111" i="7" s="1"/>
  <c r="L111" i="7" s="1"/>
  <c r="J110" i="7"/>
  <c r="I110" i="7"/>
  <c r="K110" i="7" s="1"/>
  <c r="K109" i="7"/>
  <c r="L109" i="7" s="1"/>
  <c r="J109" i="7"/>
  <c r="I109" i="7"/>
  <c r="J108" i="7"/>
  <c r="I108" i="7"/>
  <c r="K108" i="7" s="1"/>
  <c r="L108" i="7" s="1"/>
  <c r="J107" i="7"/>
  <c r="I107" i="7"/>
  <c r="K107" i="7" s="1"/>
  <c r="J106" i="7"/>
  <c r="I106" i="7"/>
  <c r="K106" i="7" s="1"/>
  <c r="J105" i="7"/>
  <c r="I105" i="7"/>
  <c r="K105" i="7" s="1"/>
  <c r="J104" i="7"/>
  <c r="I104" i="7"/>
  <c r="K104" i="7" s="1"/>
  <c r="L104" i="7" s="1"/>
  <c r="V103" i="7"/>
  <c r="J103" i="7"/>
  <c r="I103" i="7"/>
  <c r="K103" i="7" s="1"/>
  <c r="L103" i="7" s="1"/>
  <c r="J102" i="7"/>
  <c r="I102" i="7"/>
  <c r="K102" i="7" s="1"/>
  <c r="L102" i="7" s="1"/>
  <c r="J101" i="7"/>
  <c r="I101" i="7"/>
  <c r="K101" i="7" s="1"/>
  <c r="L101" i="7" s="1"/>
  <c r="V100" i="7"/>
  <c r="J100" i="7"/>
  <c r="I100" i="7"/>
  <c r="K100" i="7" s="1"/>
  <c r="J99" i="7"/>
  <c r="I99" i="7"/>
  <c r="K99" i="7" s="1"/>
  <c r="J98" i="7"/>
  <c r="I98" i="7"/>
  <c r="K98" i="7" s="1"/>
  <c r="J97" i="7"/>
  <c r="I97" i="7"/>
  <c r="K97" i="7" s="1"/>
  <c r="V96" i="7"/>
  <c r="J96" i="7"/>
  <c r="L96" i="7" s="1"/>
  <c r="I96" i="7"/>
  <c r="K96" i="7" s="1"/>
  <c r="V95" i="7"/>
  <c r="J95" i="7"/>
  <c r="I95" i="7"/>
  <c r="K95" i="7" s="1"/>
  <c r="J94" i="7"/>
  <c r="I94" i="7"/>
  <c r="K94" i="7" s="1"/>
  <c r="L94" i="7" s="1"/>
  <c r="V93" i="7"/>
  <c r="J93" i="7"/>
  <c r="I93" i="7"/>
  <c r="K93" i="7" s="1"/>
  <c r="J92" i="7"/>
  <c r="I92" i="7"/>
  <c r="K92" i="7" s="1"/>
  <c r="L92" i="7" s="1"/>
  <c r="J91" i="7"/>
  <c r="I91" i="7"/>
  <c r="K91" i="7" s="1"/>
  <c r="L91" i="7" s="1"/>
  <c r="K90" i="7"/>
  <c r="J90" i="7"/>
  <c r="I90" i="7"/>
  <c r="J89" i="7"/>
  <c r="I89" i="7"/>
  <c r="K89" i="7" s="1"/>
  <c r="L89" i="7" s="1"/>
  <c r="V88" i="7"/>
  <c r="J88" i="7"/>
  <c r="I88" i="7"/>
  <c r="K88" i="7" s="1"/>
  <c r="V87" i="7"/>
  <c r="J87" i="7"/>
  <c r="I87" i="7"/>
  <c r="K87" i="7" s="1"/>
  <c r="J86" i="7"/>
  <c r="I86" i="7"/>
  <c r="K86" i="7" s="1"/>
  <c r="L86" i="7" s="1"/>
  <c r="J85" i="7"/>
  <c r="I85" i="7"/>
  <c r="K85" i="7" s="1"/>
  <c r="L85" i="7" s="1"/>
  <c r="K84" i="7"/>
  <c r="L84" i="7" s="1"/>
  <c r="J84" i="7"/>
  <c r="I84" i="7"/>
  <c r="J83" i="7"/>
  <c r="I83" i="7"/>
  <c r="K83" i="7" s="1"/>
  <c r="J82" i="7"/>
  <c r="I82" i="7"/>
  <c r="K82" i="7" s="1"/>
  <c r="J81" i="7"/>
  <c r="I81" i="7"/>
  <c r="K81" i="7" s="1"/>
  <c r="L81" i="7" s="1"/>
  <c r="V83" i="7" s="1"/>
  <c r="J80" i="7"/>
  <c r="L80" i="7" s="1"/>
  <c r="I80" i="7"/>
  <c r="K80" i="7" s="1"/>
  <c r="J79" i="7"/>
  <c r="I79" i="7"/>
  <c r="K79" i="7" s="1"/>
  <c r="J78" i="7"/>
  <c r="I78" i="7"/>
  <c r="K78" i="7" s="1"/>
  <c r="L78" i="7" s="1"/>
  <c r="J77" i="7"/>
  <c r="I77" i="7"/>
  <c r="K77" i="7" s="1"/>
  <c r="J76" i="7"/>
  <c r="I76" i="7"/>
  <c r="K76" i="7" s="1"/>
  <c r="L76" i="7" s="1"/>
  <c r="V78" i="7" s="1"/>
  <c r="J75" i="7"/>
  <c r="I75" i="7"/>
  <c r="K75" i="7" s="1"/>
  <c r="L75" i="7" s="1"/>
  <c r="J74" i="7"/>
  <c r="I74" i="7"/>
  <c r="K74" i="7" s="1"/>
  <c r="L74" i="7" s="1"/>
  <c r="J73" i="7"/>
  <c r="I73" i="7"/>
  <c r="K73" i="7" s="1"/>
  <c r="J72" i="7"/>
  <c r="I72" i="7"/>
  <c r="K72" i="7" s="1"/>
  <c r="J71" i="7"/>
  <c r="I71" i="7"/>
  <c r="K71" i="7" s="1"/>
  <c r="J70" i="7"/>
  <c r="I70" i="7"/>
  <c r="K70" i="7" s="1"/>
  <c r="L70" i="7" s="1"/>
  <c r="J69" i="7"/>
  <c r="I69" i="7"/>
  <c r="K69" i="7" s="1"/>
  <c r="J68" i="7"/>
  <c r="I68" i="7"/>
  <c r="K68" i="7" s="1"/>
  <c r="J67" i="7"/>
  <c r="I67" i="7"/>
  <c r="K67" i="7" s="1"/>
  <c r="L67" i="7" s="1"/>
  <c r="J66" i="7"/>
  <c r="I66" i="7"/>
  <c r="K66" i="7" s="1"/>
  <c r="K65" i="7"/>
  <c r="L65" i="7" s="1"/>
  <c r="V67" i="7" s="1"/>
  <c r="J65" i="7"/>
  <c r="I65" i="7"/>
  <c r="J64" i="7"/>
  <c r="I64" i="7"/>
  <c r="K64" i="7" s="1"/>
  <c r="L64" i="7" s="1"/>
  <c r="J63" i="7"/>
  <c r="I63" i="7"/>
  <c r="K63" i="7" s="1"/>
  <c r="J62" i="7"/>
  <c r="I62" i="7"/>
  <c r="K62" i="7" s="1"/>
  <c r="J61" i="7"/>
  <c r="I61" i="7"/>
  <c r="K61" i="7" s="1"/>
  <c r="L61" i="7" s="1"/>
  <c r="J60" i="7"/>
  <c r="I60" i="7"/>
  <c r="K60" i="7" s="1"/>
  <c r="J59" i="7"/>
  <c r="I59" i="7"/>
  <c r="K59" i="7" s="1"/>
  <c r="L59" i="7" s="1"/>
  <c r="J58" i="7"/>
  <c r="I58" i="7"/>
  <c r="K58" i="7" s="1"/>
  <c r="L58" i="7" s="1"/>
  <c r="J57" i="7"/>
  <c r="I57" i="7"/>
  <c r="K57" i="7" s="1"/>
  <c r="J56" i="7"/>
  <c r="I56" i="7"/>
  <c r="K56" i="7" s="1"/>
  <c r="J55" i="7"/>
  <c r="I55" i="7"/>
  <c r="K55" i="7" s="1"/>
  <c r="L55" i="7" s="1"/>
  <c r="J54" i="7"/>
  <c r="I54" i="7"/>
  <c r="K54" i="7" s="1"/>
  <c r="J53" i="7"/>
  <c r="I53" i="7"/>
  <c r="K53" i="7" s="1"/>
  <c r="L53" i="7" s="1"/>
  <c r="J52" i="7"/>
  <c r="L52" i="7" s="1"/>
  <c r="I52" i="7"/>
  <c r="K52" i="7" s="1"/>
  <c r="J51" i="7"/>
  <c r="I51" i="7"/>
  <c r="K51" i="7" s="1"/>
  <c r="J50" i="7"/>
  <c r="I50" i="7"/>
  <c r="K50" i="7" s="1"/>
  <c r="J49" i="7"/>
  <c r="I49" i="7"/>
  <c r="K49" i="7" s="1"/>
  <c r="L49" i="7" s="1"/>
  <c r="J48" i="7"/>
  <c r="I48" i="7"/>
  <c r="K48" i="7" s="1"/>
  <c r="L48" i="7" s="1"/>
  <c r="J47" i="7"/>
  <c r="I47" i="7"/>
  <c r="K47" i="7" s="1"/>
  <c r="J46" i="7"/>
  <c r="I46" i="7"/>
  <c r="K46" i="7" s="1"/>
  <c r="J45" i="7"/>
  <c r="I45" i="7"/>
  <c r="K45" i="7" s="1"/>
  <c r="L45" i="7" s="1"/>
  <c r="J44" i="7"/>
  <c r="I44" i="7"/>
  <c r="K44" i="7" s="1"/>
  <c r="J43" i="7"/>
  <c r="I43" i="7"/>
  <c r="K43" i="7" s="1"/>
  <c r="L43" i="7" s="1"/>
  <c r="J42" i="7"/>
  <c r="I42" i="7"/>
  <c r="K42" i="7" s="1"/>
  <c r="L42" i="7" s="1"/>
  <c r="J41" i="7"/>
  <c r="I41" i="7"/>
  <c r="K41" i="7" s="1"/>
  <c r="J40" i="7"/>
  <c r="I40" i="7"/>
  <c r="K40" i="7" s="1"/>
  <c r="J39" i="7"/>
  <c r="I39" i="7"/>
  <c r="K39" i="7" s="1"/>
  <c r="J38" i="7"/>
  <c r="I38" i="7"/>
  <c r="K38" i="7" s="1"/>
  <c r="J37" i="7"/>
  <c r="I37" i="7"/>
  <c r="K37" i="7" s="1"/>
  <c r="L37" i="7" s="1"/>
  <c r="J36" i="7"/>
  <c r="I36" i="7"/>
  <c r="K36" i="7" s="1"/>
  <c r="J35" i="7"/>
  <c r="I35" i="7"/>
  <c r="K35" i="7" s="1"/>
  <c r="L35" i="7" s="1"/>
  <c r="J34" i="7"/>
  <c r="I34" i="7"/>
  <c r="K34" i="7" s="1"/>
  <c r="L34" i="7" s="1"/>
  <c r="J33" i="7"/>
  <c r="I33" i="7"/>
  <c r="K33" i="7" s="1"/>
  <c r="J32" i="7"/>
  <c r="I32" i="7"/>
  <c r="K32" i="7" s="1"/>
  <c r="J31" i="7"/>
  <c r="I31" i="7"/>
  <c r="K31" i="7" s="1"/>
  <c r="J30" i="7"/>
  <c r="I30" i="7"/>
  <c r="K30" i="7" s="1"/>
  <c r="J29" i="7"/>
  <c r="I29" i="7"/>
  <c r="K29" i="7" s="1"/>
  <c r="J28" i="7"/>
  <c r="I28" i="7"/>
  <c r="K28" i="7" s="1"/>
  <c r="J27" i="7"/>
  <c r="I27" i="7"/>
  <c r="K27" i="7" s="1"/>
  <c r="J26" i="7"/>
  <c r="I26" i="7"/>
  <c r="K26" i="7" s="1"/>
  <c r="L26" i="7" s="1"/>
  <c r="J25" i="7"/>
  <c r="I25" i="7"/>
  <c r="K25" i="7" s="1"/>
  <c r="J24" i="7"/>
  <c r="I24" i="7"/>
  <c r="K24" i="7" s="1"/>
  <c r="J23" i="7"/>
  <c r="I23" i="7"/>
  <c r="K23" i="7" s="1"/>
  <c r="J22" i="7"/>
  <c r="I22" i="7"/>
  <c r="K22" i="7" s="1"/>
  <c r="L22" i="7" s="1"/>
  <c r="K21" i="7"/>
  <c r="L21" i="7" s="1"/>
  <c r="J21" i="7"/>
  <c r="I21" i="7"/>
  <c r="J20" i="7"/>
  <c r="I20" i="7"/>
  <c r="K20" i="7" s="1"/>
  <c r="J19" i="7"/>
  <c r="I19" i="7"/>
  <c r="K19" i="7" s="1"/>
  <c r="L19" i="7" s="1"/>
  <c r="J18" i="7"/>
  <c r="I18" i="7"/>
  <c r="K18" i="7" s="1"/>
  <c r="J17" i="7"/>
  <c r="I17" i="7"/>
  <c r="K17" i="7" s="1"/>
  <c r="J16" i="7"/>
  <c r="I16" i="7"/>
  <c r="K16" i="7" s="1"/>
  <c r="L16" i="7" s="1"/>
  <c r="J15" i="7"/>
  <c r="I15" i="7"/>
  <c r="K15" i="7" s="1"/>
  <c r="J14" i="7"/>
  <c r="I14" i="7"/>
  <c r="K14" i="7" s="1"/>
  <c r="J13" i="7"/>
  <c r="I13" i="7"/>
  <c r="K13" i="7" s="1"/>
  <c r="L13" i="7" s="1"/>
  <c r="J12" i="7"/>
  <c r="I12" i="7"/>
  <c r="K12" i="7" s="1"/>
  <c r="L12" i="7" s="1"/>
  <c r="J11" i="7"/>
  <c r="I11" i="7"/>
  <c r="K11" i="7" s="1"/>
  <c r="K10" i="7"/>
  <c r="L10" i="7" s="1"/>
  <c r="J10" i="7"/>
  <c r="I10" i="7"/>
  <c r="J9" i="7"/>
  <c r="I9" i="7"/>
  <c r="K9" i="7" s="1"/>
  <c r="L9" i="7" s="1"/>
  <c r="J8" i="7"/>
  <c r="I8" i="7"/>
  <c r="K8" i="7" s="1"/>
  <c r="J7" i="7"/>
  <c r="I7" i="7"/>
  <c r="K7" i="7" s="1"/>
  <c r="J6" i="7"/>
  <c r="I6" i="7"/>
  <c r="K6" i="7" s="1"/>
  <c r="J5" i="7"/>
  <c r="I5" i="7"/>
  <c r="K5" i="7" s="1"/>
  <c r="L5" i="7" s="1"/>
  <c r="J4" i="7"/>
  <c r="I4" i="7"/>
  <c r="K4" i="7" s="1"/>
  <c r="L4" i="7" s="1"/>
  <c r="J3" i="7"/>
  <c r="I3" i="7"/>
  <c r="K3" i="7" s="1"/>
  <c r="L3" i="7" s="1"/>
  <c r="J2" i="7"/>
  <c r="I2" i="7"/>
  <c r="K2" i="7" s="1"/>
  <c r="L2" i="7" s="1"/>
  <c r="J322" i="6"/>
  <c r="I322" i="6"/>
  <c r="K322" i="6" s="1"/>
  <c r="L322" i="6" s="1"/>
  <c r="J321" i="6"/>
  <c r="I321" i="6"/>
  <c r="K321" i="6" s="1"/>
  <c r="L321" i="6" s="1"/>
  <c r="J320" i="6"/>
  <c r="I320" i="6"/>
  <c r="K320" i="6" s="1"/>
  <c r="L320" i="6" s="1"/>
  <c r="V102" i="6" s="1"/>
  <c r="J319" i="6"/>
  <c r="I319" i="6"/>
  <c r="K319" i="6" s="1"/>
  <c r="J318" i="6"/>
  <c r="I318" i="6"/>
  <c r="K318" i="6" s="1"/>
  <c r="J317" i="6"/>
  <c r="I317" i="6"/>
  <c r="K317" i="6" s="1"/>
  <c r="L317" i="6" s="1"/>
  <c r="V99" i="6" s="1"/>
  <c r="J316" i="6"/>
  <c r="I316" i="6"/>
  <c r="K316" i="6" s="1"/>
  <c r="L316" i="6" s="1"/>
  <c r="V98" i="6" s="1"/>
  <c r="J315" i="6"/>
  <c r="I315" i="6"/>
  <c r="K315" i="6" s="1"/>
  <c r="J314" i="6"/>
  <c r="I314" i="6"/>
  <c r="K314" i="6" s="1"/>
  <c r="J313" i="6"/>
  <c r="I313" i="6"/>
  <c r="K313" i="6" s="1"/>
  <c r="L313" i="6" s="1"/>
  <c r="J312" i="6"/>
  <c r="I312" i="6"/>
  <c r="K312" i="6" s="1"/>
  <c r="J311" i="6"/>
  <c r="I311" i="6"/>
  <c r="K311" i="6" s="1"/>
  <c r="J310" i="6"/>
  <c r="I310" i="6"/>
  <c r="K310" i="6" s="1"/>
  <c r="J309" i="6"/>
  <c r="I309" i="6"/>
  <c r="K309" i="6" s="1"/>
  <c r="J308" i="6"/>
  <c r="I308" i="6"/>
  <c r="K308" i="6" s="1"/>
  <c r="L308" i="6" s="1"/>
  <c r="V90" i="6" s="1"/>
  <c r="J307" i="6"/>
  <c r="I307" i="6"/>
  <c r="K307" i="6" s="1"/>
  <c r="J306" i="6"/>
  <c r="I306" i="6"/>
  <c r="K306" i="6" s="1"/>
  <c r="L306" i="6" s="1"/>
  <c r="J305" i="6"/>
  <c r="I305" i="6"/>
  <c r="K305" i="6" s="1"/>
  <c r="L305" i="6" s="1"/>
  <c r="V87" i="6" s="1"/>
  <c r="J304" i="6"/>
  <c r="I304" i="6"/>
  <c r="K304" i="6" s="1"/>
  <c r="L304" i="6" s="1"/>
  <c r="V86" i="6" s="1"/>
  <c r="J303" i="6"/>
  <c r="I303" i="6"/>
  <c r="K303" i="6" s="1"/>
  <c r="L303" i="6" s="1"/>
  <c r="J302" i="6"/>
  <c r="I302" i="6"/>
  <c r="K302" i="6" s="1"/>
  <c r="L302" i="6" s="1"/>
  <c r="V84" i="6" s="1"/>
  <c r="J301" i="6"/>
  <c r="I301" i="6"/>
  <c r="K301" i="6" s="1"/>
  <c r="J300" i="6"/>
  <c r="I300" i="6"/>
  <c r="K300" i="6" s="1"/>
  <c r="L300" i="6" s="1"/>
  <c r="J299" i="6"/>
  <c r="I299" i="6"/>
  <c r="K299" i="6" s="1"/>
  <c r="L299" i="6" s="1"/>
  <c r="J298" i="6"/>
  <c r="I298" i="6"/>
  <c r="K298" i="6" s="1"/>
  <c r="L298" i="6" s="1"/>
  <c r="J297" i="6"/>
  <c r="I297" i="6"/>
  <c r="K297" i="6" s="1"/>
  <c r="J296" i="6"/>
  <c r="I296" i="6"/>
  <c r="K296" i="6" s="1"/>
  <c r="L296" i="6" s="1"/>
  <c r="J295" i="6"/>
  <c r="I295" i="6"/>
  <c r="K295" i="6" s="1"/>
  <c r="L295" i="6" s="1"/>
  <c r="J294" i="6"/>
  <c r="I294" i="6"/>
  <c r="K294" i="6" s="1"/>
  <c r="J293" i="6"/>
  <c r="I293" i="6"/>
  <c r="K293" i="6" s="1"/>
  <c r="J292" i="6"/>
  <c r="I292" i="6"/>
  <c r="K292" i="6" s="1"/>
  <c r="L292" i="6" s="1"/>
  <c r="J291" i="6"/>
  <c r="I291" i="6"/>
  <c r="K291" i="6" s="1"/>
  <c r="J290" i="6"/>
  <c r="I290" i="6"/>
  <c r="K290" i="6" s="1"/>
  <c r="L290" i="6" s="1"/>
  <c r="J289" i="6"/>
  <c r="I289" i="6"/>
  <c r="K289" i="6" s="1"/>
  <c r="L289" i="6" s="1"/>
  <c r="K288" i="6"/>
  <c r="J288" i="6"/>
  <c r="I288" i="6"/>
  <c r="J287" i="6"/>
  <c r="I287" i="6"/>
  <c r="K287" i="6" s="1"/>
  <c r="J286" i="6"/>
  <c r="I286" i="6"/>
  <c r="K286" i="6" s="1"/>
  <c r="J285" i="6"/>
  <c r="I285" i="6"/>
  <c r="K285" i="6" s="1"/>
  <c r="J284" i="6"/>
  <c r="I284" i="6"/>
  <c r="K284" i="6" s="1"/>
  <c r="L284" i="6" s="1"/>
  <c r="J283" i="6"/>
  <c r="I283" i="6"/>
  <c r="K283" i="6" s="1"/>
  <c r="J282" i="6"/>
  <c r="I282" i="6"/>
  <c r="K282" i="6" s="1"/>
  <c r="J281" i="6"/>
  <c r="I281" i="6"/>
  <c r="K281" i="6" s="1"/>
  <c r="J280" i="6"/>
  <c r="I280" i="6"/>
  <c r="K280" i="6" s="1"/>
  <c r="L280" i="6" s="1"/>
  <c r="J279" i="6"/>
  <c r="I279" i="6"/>
  <c r="K279" i="6" s="1"/>
  <c r="J278" i="6"/>
  <c r="I278" i="6"/>
  <c r="K278" i="6" s="1"/>
  <c r="K277" i="6"/>
  <c r="L277" i="6" s="1"/>
  <c r="J277" i="6"/>
  <c r="I277" i="6"/>
  <c r="J276" i="6"/>
  <c r="I276" i="6"/>
  <c r="K276" i="6" s="1"/>
  <c r="L276" i="6" s="1"/>
  <c r="J275" i="6"/>
  <c r="I275" i="6"/>
  <c r="K275" i="6" s="1"/>
  <c r="J274" i="6"/>
  <c r="I274" i="6"/>
  <c r="K274" i="6" s="1"/>
  <c r="J273" i="6"/>
  <c r="I273" i="6"/>
  <c r="K273" i="6" s="1"/>
  <c r="L273" i="6" s="1"/>
  <c r="K272" i="6"/>
  <c r="L272" i="6" s="1"/>
  <c r="J272" i="6"/>
  <c r="I272" i="6"/>
  <c r="J271" i="6"/>
  <c r="I271" i="6"/>
  <c r="K271" i="6" s="1"/>
  <c r="L271" i="6" s="1"/>
  <c r="J270" i="6"/>
  <c r="I270" i="6"/>
  <c r="K270" i="6" s="1"/>
  <c r="L270" i="6" s="1"/>
  <c r="J269" i="6"/>
  <c r="I269" i="6"/>
  <c r="K269" i="6" s="1"/>
  <c r="L269" i="6" s="1"/>
  <c r="J268" i="6"/>
  <c r="I268" i="6"/>
  <c r="K268" i="6" s="1"/>
  <c r="J267" i="6"/>
  <c r="I267" i="6"/>
  <c r="K267" i="6" s="1"/>
  <c r="J266" i="6"/>
  <c r="I266" i="6"/>
  <c r="K266" i="6" s="1"/>
  <c r="J265" i="6"/>
  <c r="I265" i="6"/>
  <c r="K265" i="6" s="1"/>
  <c r="J264" i="6"/>
  <c r="I264" i="6"/>
  <c r="K264" i="6" s="1"/>
  <c r="J263" i="6"/>
  <c r="I263" i="6"/>
  <c r="K263" i="6" s="1"/>
  <c r="J262" i="6"/>
  <c r="I262" i="6"/>
  <c r="K262" i="6" s="1"/>
  <c r="L262" i="6" s="1"/>
  <c r="J261" i="6"/>
  <c r="I261" i="6"/>
  <c r="K261" i="6" s="1"/>
  <c r="J260" i="6"/>
  <c r="I260" i="6"/>
  <c r="K260" i="6" s="1"/>
  <c r="L260" i="6" s="1"/>
  <c r="J259" i="6"/>
  <c r="I259" i="6"/>
  <c r="K259" i="6" s="1"/>
  <c r="L259" i="6" s="1"/>
  <c r="J258" i="6"/>
  <c r="I258" i="6"/>
  <c r="K258" i="6" s="1"/>
  <c r="L258" i="6" s="1"/>
  <c r="J257" i="6"/>
  <c r="I257" i="6"/>
  <c r="K257" i="6" s="1"/>
  <c r="L257" i="6" s="1"/>
  <c r="K256" i="6"/>
  <c r="L256" i="6" s="1"/>
  <c r="J256" i="6"/>
  <c r="I256" i="6"/>
  <c r="J255" i="6"/>
  <c r="I255" i="6"/>
  <c r="K255" i="6" s="1"/>
  <c r="L255" i="6" s="1"/>
  <c r="J254" i="6"/>
  <c r="I254" i="6"/>
  <c r="K254" i="6" s="1"/>
  <c r="L254" i="6" s="1"/>
  <c r="J253" i="6"/>
  <c r="I253" i="6"/>
  <c r="K253" i="6" s="1"/>
  <c r="J252" i="6"/>
  <c r="I252" i="6"/>
  <c r="K252" i="6" s="1"/>
  <c r="L252" i="6" s="1"/>
  <c r="J251" i="6"/>
  <c r="I251" i="6"/>
  <c r="K251" i="6" s="1"/>
  <c r="L251" i="6" s="1"/>
  <c r="J250" i="6"/>
  <c r="I250" i="6"/>
  <c r="K250" i="6" s="1"/>
  <c r="L250" i="6" s="1"/>
  <c r="J249" i="6"/>
  <c r="I249" i="6"/>
  <c r="K249" i="6" s="1"/>
  <c r="L249" i="6" s="1"/>
  <c r="J248" i="6"/>
  <c r="I248" i="6"/>
  <c r="K248" i="6" s="1"/>
  <c r="L248" i="6" s="1"/>
  <c r="J247" i="6"/>
  <c r="I247" i="6"/>
  <c r="K247" i="6" s="1"/>
  <c r="L247" i="6" s="1"/>
  <c r="J246" i="6"/>
  <c r="I246" i="6"/>
  <c r="K246" i="6" s="1"/>
  <c r="L246" i="6" s="1"/>
  <c r="J245" i="6"/>
  <c r="I245" i="6"/>
  <c r="K245" i="6" s="1"/>
  <c r="L245" i="6" s="1"/>
  <c r="K244" i="6"/>
  <c r="J244" i="6"/>
  <c r="I244" i="6"/>
  <c r="J243" i="6"/>
  <c r="I243" i="6"/>
  <c r="K243" i="6" s="1"/>
  <c r="J242" i="6"/>
  <c r="I242" i="6"/>
  <c r="K242" i="6" s="1"/>
  <c r="J241" i="6"/>
  <c r="I241" i="6"/>
  <c r="K241" i="6" s="1"/>
  <c r="J240" i="6"/>
  <c r="I240" i="6"/>
  <c r="K240" i="6" s="1"/>
  <c r="L240" i="6" s="1"/>
  <c r="J239" i="6"/>
  <c r="I239" i="6"/>
  <c r="K239" i="6" s="1"/>
  <c r="L239" i="6" s="1"/>
  <c r="J238" i="6"/>
  <c r="I238" i="6"/>
  <c r="K238" i="6" s="1"/>
  <c r="L238" i="6" s="1"/>
  <c r="J237" i="6"/>
  <c r="I237" i="6"/>
  <c r="K237" i="6" s="1"/>
  <c r="J236" i="6"/>
  <c r="I236" i="6"/>
  <c r="K236" i="6" s="1"/>
  <c r="L236" i="6" s="1"/>
  <c r="J235" i="6"/>
  <c r="I235" i="6"/>
  <c r="K235" i="6" s="1"/>
  <c r="L235" i="6" s="1"/>
  <c r="J234" i="6"/>
  <c r="I234" i="6"/>
  <c r="K234" i="6" s="1"/>
  <c r="L234" i="6" s="1"/>
  <c r="J233" i="6"/>
  <c r="I233" i="6"/>
  <c r="K233" i="6" s="1"/>
  <c r="L233" i="6" s="1"/>
  <c r="J232" i="6"/>
  <c r="I232" i="6"/>
  <c r="K232" i="6" s="1"/>
  <c r="L232" i="6" s="1"/>
  <c r="J231" i="6"/>
  <c r="I231" i="6"/>
  <c r="K231" i="6" s="1"/>
  <c r="L231" i="6" s="1"/>
  <c r="J230" i="6"/>
  <c r="I230" i="6"/>
  <c r="K230" i="6" s="1"/>
  <c r="L230" i="6" s="1"/>
  <c r="J229" i="6"/>
  <c r="I229" i="6"/>
  <c r="K229" i="6" s="1"/>
  <c r="L229" i="6" s="1"/>
  <c r="J228" i="6"/>
  <c r="I228" i="6"/>
  <c r="K228" i="6" s="1"/>
  <c r="L228" i="6" s="1"/>
  <c r="J227" i="6"/>
  <c r="I227" i="6"/>
  <c r="K227" i="6" s="1"/>
  <c r="J226" i="6"/>
  <c r="I226" i="6"/>
  <c r="K226" i="6" s="1"/>
  <c r="J225" i="6"/>
  <c r="I225" i="6"/>
  <c r="K225" i="6" s="1"/>
  <c r="K224" i="6"/>
  <c r="L224" i="6" s="1"/>
  <c r="J224" i="6"/>
  <c r="I224" i="6"/>
  <c r="J223" i="6"/>
  <c r="I223" i="6"/>
  <c r="K223" i="6" s="1"/>
  <c r="L223" i="6" s="1"/>
  <c r="J222" i="6"/>
  <c r="I222" i="6"/>
  <c r="K222" i="6" s="1"/>
  <c r="L222" i="6" s="1"/>
  <c r="J221" i="6"/>
  <c r="I221" i="6"/>
  <c r="K221" i="6" s="1"/>
  <c r="L221" i="6" s="1"/>
  <c r="J220" i="6"/>
  <c r="I220" i="6"/>
  <c r="K220" i="6" s="1"/>
  <c r="L220" i="6" s="1"/>
  <c r="J219" i="6"/>
  <c r="I219" i="6"/>
  <c r="K219" i="6" s="1"/>
  <c r="L219" i="6" s="1"/>
  <c r="J218" i="6"/>
  <c r="I218" i="6"/>
  <c r="K218" i="6" s="1"/>
  <c r="L218" i="6" s="1"/>
  <c r="J217" i="6"/>
  <c r="I217" i="6"/>
  <c r="K217" i="6" s="1"/>
  <c r="L217" i="6" s="1"/>
  <c r="J216" i="6"/>
  <c r="I216" i="6"/>
  <c r="K216" i="6" s="1"/>
  <c r="L216" i="6" s="1"/>
  <c r="J215" i="6"/>
  <c r="I215" i="6"/>
  <c r="K215" i="6" s="1"/>
  <c r="L215" i="6" s="1"/>
  <c r="J214" i="6"/>
  <c r="I214" i="6"/>
  <c r="K214" i="6" s="1"/>
  <c r="L214" i="6" s="1"/>
  <c r="J213" i="6"/>
  <c r="I213" i="6"/>
  <c r="K213" i="6" s="1"/>
  <c r="L213" i="6" s="1"/>
  <c r="J212" i="6"/>
  <c r="I212" i="6"/>
  <c r="K212" i="6" s="1"/>
  <c r="L212" i="6" s="1"/>
  <c r="J211" i="6"/>
  <c r="I211" i="6"/>
  <c r="K211" i="6" s="1"/>
  <c r="J210" i="6"/>
  <c r="I210" i="6"/>
  <c r="K210" i="6" s="1"/>
  <c r="K209" i="6"/>
  <c r="J209" i="6"/>
  <c r="I209" i="6"/>
  <c r="J208" i="6"/>
  <c r="I208" i="6"/>
  <c r="K208" i="6" s="1"/>
  <c r="L208" i="6" s="1"/>
  <c r="J207" i="6"/>
  <c r="I207" i="6"/>
  <c r="K207" i="6" s="1"/>
  <c r="L207" i="6" s="1"/>
  <c r="J206" i="6"/>
  <c r="I206" i="6"/>
  <c r="K206" i="6" s="1"/>
  <c r="J205" i="6"/>
  <c r="I205" i="6"/>
  <c r="K205" i="6" s="1"/>
  <c r="L205" i="6" s="1"/>
  <c r="J204" i="6"/>
  <c r="I204" i="6"/>
  <c r="K204" i="6" s="1"/>
  <c r="J203" i="6"/>
  <c r="I203" i="6"/>
  <c r="K203" i="6" s="1"/>
  <c r="J202" i="6"/>
  <c r="I202" i="6"/>
  <c r="K202" i="6" s="1"/>
  <c r="J201" i="6"/>
  <c r="I201" i="6"/>
  <c r="K201" i="6" s="1"/>
  <c r="J200" i="6"/>
  <c r="I200" i="6"/>
  <c r="K200" i="6" s="1"/>
  <c r="L200" i="6" s="1"/>
  <c r="J199" i="6"/>
  <c r="I199" i="6"/>
  <c r="K199" i="6" s="1"/>
  <c r="J198" i="6"/>
  <c r="I198" i="6"/>
  <c r="K198" i="6" s="1"/>
  <c r="L198" i="6" s="1"/>
  <c r="K197" i="6"/>
  <c r="L197" i="6" s="1"/>
  <c r="J197" i="6"/>
  <c r="I197" i="6"/>
  <c r="J196" i="6"/>
  <c r="I196" i="6"/>
  <c r="K196" i="6" s="1"/>
  <c r="L196" i="6" s="1"/>
  <c r="J195" i="6"/>
  <c r="I195" i="6"/>
  <c r="K195" i="6" s="1"/>
  <c r="J194" i="6"/>
  <c r="I194" i="6"/>
  <c r="K194" i="6" s="1"/>
  <c r="L194" i="6" s="1"/>
  <c r="J193" i="6"/>
  <c r="I193" i="6"/>
  <c r="K193" i="6" s="1"/>
  <c r="L193" i="6" s="1"/>
  <c r="J192" i="6"/>
  <c r="I192" i="6"/>
  <c r="K192" i="6" s="1"/>
  <c r="L192" i="6" s="1"/>
  <c r="J191" i="6"/>
  <c r="I191" i="6"/>
  <c r="K191" i="6" s="1"/>
  <c r="J190" i="6"/>
  <c r="I190" i="6"/>
  <c r="K190" i="6" s="1"/>
  <c r="J189" i="6"/>
  <c r="I189" i="6"/>
  <c r="K189" i="6" s="1"/>
  <c r="L189" i="6" s="1"/>
  <c r="J188" i="6"/>
  <c r="I188" i="6"/>
  <c r="K188" i="6" s="1"/>
  <c r="J187" i="6"/>
  <c r="I187" i="6"/>
  <c r="K187" i="6" s="1"/>
  <c r="J186" i="6"/>
  <c r="I186" i="6"/>
  <c r="K186" i="6" s="1"/>
  <c r="J185" i="6"/>
  <c r="I185" i="6"/>
  <c r="K185" i="6" s="1"/>
  <c r="L185" i="6" s="1"/>
  <c r="J184" i="6"/>
  <c r="I184" i="6"/>
  <c r="K184" i="6" s="1"/>
  <c r="L184" i="6" s="1"/>
  <c r="J183" i="6"/>
  <c r="I183" i="6"/>
  <c r="K183" i="6" s="1"/>
  <c r="L183" i="6" s="1"/>
  <c r="J182" i="6"/>
  <c r="I182" i="6"/>
  <c r="K182" i="6" s="1"/>
  <c r="J181" i="6"/>
  <c r="I181" i="6"/>
  <c r="K181" i="6" s="1"/>
  <c r="L181" i="6" s="1"/>
  <c r="J180" i="6"/>
  <c r="I180" i="6"/>
  <c r="K180" i="6" s="1"/>
  <c r="L180" i="6" s="1"/>
  <c r="J179" i="6"/>
  <c r="I179" i="6"/>
  <c r="K179" i="6" s="1"/>
  <c r="J178" i="6"/>
  <c r="I178" i="6"/>
  <c r="K178" i="6" s="1"/>
  <c r="L178" i="6" s="1"/>
  <c r="J177" i="6"/>
  <c r="I177" i="6"/>
  <c r="K177" i="6" s="1"/>
  <c r="J176" i="6"/>
  <c r="I176" i="6"/>
  <c r="K176" i="6" s="1"/>
  <c r="J175" i="6"/>
  <c r="I175" i="6"/>
  <c r="K175" i="6" s="1"/>
  <c r="L175" i="6" s="1"/>
  <c r="J174" i="6"/>
  <c r="I174" i="6"/>
  <c r="K174" i="6" s="1"/>
  <c r="L174" i="6" s="1"/>
  <c r="J173" i="6"/>
  <c r="I173" i="6"/>
  <c r="K173" i="6" s="1"/>
  <c r="L173" i="6" s="1"/>
  <c r="K172" i="6"/>
  <c r="L172" i="6" s="1"/>
  <c r="J172" i="6"/>
  <c r="I172" i="6"/>
  <c r="J171" i="6"/>
  <c r="I171" i="6"/>
  <c r="K171" i="6" s="1"/>
  <c r="L171" i="6" s="1"/>
  <c r="J170" i="6"/>
  <c r="I170" i="6"/>
  <c r="K170" i="6" s="1"/>
  <c r="L170" i="6" s="1"/>
  <c r="K169" i="6"/>
  <c r="J169" i="6"/>
  <c r="I169" i="6"/>
  <c r="J168" i="6"/>
  <c r="I168" i="6"/>
  <c r="K168" i="6" s="1"/>
  <c r="L168" i="6" s="1"/>
  <c r="J167" i="6"/>
  <c r="I167" i="6"/>
  <c r="K167" i="6" s="1"/>
  <c r="J166" i="6"/>
  <c r="I166" i="6"/>
  <c r="K166" i="6" s="1"/>
  <c r="L166" i="6" s="1"/>
  <c r="J165" i="6"/>
  <c r="I165" i="6"/>
  <c r="K165" i="6" s="1"/>
  <c r="J164" i="6"/>
  <c r="I164" i="6"/>
  <c r="K164" i="6" s="1"/>
  <c r="L164" i="6" s="1"/>
  <c r="J163" i="6"/>
  <c r="I163" i="6"/>
  <c r="K163" i="6" s="1"/>
  <c r="J162" i="6"/>
  <c r="I162" i="6"/>
  <c r="K162" i="6" s="1"/>
  <c r="L162" i="6" s="1"/>
  <c r="J161" i="6"/>
  <c r="I161" i="6"/>
  <c r="K161" i="6" s="1"/>
  <c r="J160" i="6"/>
  <c r="I160" i="6"/>
  <c r="K160" i="6" s="1"/>
  <c r="L160" i="6" s="1"/>
  <c r="J159" i="6"/>
  <c r="I159" i="6"/>
  <c r="K159" i="6" s="1"/>
  <c r="L159" i="6" s="1"/>
  <c r="J158" i="6"/>
  <c r="I158" i="6"/>
  <c r="K158" i="6" s="1"/>
  <c r="J157" i="6"/>
  <c r="I157" i="6"/>
  <c r="K157" i="6" s="1"/>
  <c r="L157" i="6" s="1"/>
  <c r="J156" i="6"/>
  <c r="I156" i="6"/>
  <c r="K156" i="6" s="1"/>
  <c r="L156" i="6" s="1"/>
  <c r="J155" i="6"/>
  <c r="I155" i="6"/>
  <c r="K155" i="6" s="1"/>
  <c r="J154" i="6"/>
  <c r="I154" i="6"/>
  <c r="K154" i="6" s="1"/>
  <c r="L154" i="6" s="1"/>
  <c r="J153" i="6"/>
  <c r="I153" i="6"/>
  <c r="K153" i="6" s="1"/>
  <c r="L153" i="6" s="1"/>
  <c r="J152" i="6"/>
  <c r="I152" i="6"/>
  <c r="K152" i="6" s="1"/>
  <c r="L152" i="6" s="1"/>
  <c r="J151" i="6"/>
  <c r="I151" i="6"/>
  <c r="K151" i="6" s="1"/>
  <c r="J150" i="6"/>
  <c r="I150" i="6"/>
  <c r="K150" i="6" s="1"/>
  <c r="L150" i="6" s="1"/>
  <c r="J149" i="6"/>
  <c r="I149" i="6"/>
  <c r="K149" i="6" s="1"/>
  <c r="L149" i="6" s="1"/>
  <c r="J148" i="6"/>
  <c r="I148" i="6"/>
  <c r="K148" i="6" s="1"/>
  <c r="J147" i="6"/>
  <c r="I147" i="6"/>
  <c r="K147" i="6" s="1"/>
  <c r="J146" i="6"/>
  <c r="I146" i="6"/>
  <c r="K146" i="6" s="1"/>
  <c r="L146" i="6" s="1"/>
  <c r="J145" i="6"/>
  <c r="I145" i="6"/>
  <c r="K145" i="6" s="1"/>
  <c r="L145" i="6" s="1"/>
  <c r="J144" i="6"/>
  <c r="I144" i="6"/>
  <c r="K144" i="6" s="1"/>
  <c r="J143" i="6"/>
  <c r="I143" i="6"/>
  <c r="K143" i="6" s="1"/>
  <c r="L143" i="6" s="1"/>
  <c r="J142" i="6"/>
  <c r="I142" i="6"/>
  <c r="K142" i="6" s="1"/>
  <c r="L142" i="6" s="1"/>
  <c r="J141" i="6"/>
  <c r="I141" i="6"/>
  <c r="K141" i="6" s="1"/>
  <c r="J140" i="6"/>
  <c r="I140" i="6"/>
  <c r="K140" i="6" s="1"/>
  <c r="L140" i="6" s="1"/>
  <c r="J139" i="6"/>
  <c r="I139" i="6"/>
  <c r="K139" i="6" s="1"/>
  <c r="L139" i="6" s="1"/>
  <c r="J138" i="6"/>
  <c r="I138" i="6"/>
  <c r="K138" i="6" s="1"/>
  <c r="L138" i="6" s="1"/>
  <c r="J137" i="6"/>
  <c r="I137" i="6"/>
  <c r="K137" i="6" s="1"/>
  <c r="J136" i="6"/>
  <c r="I136" i="6"/>
  <c r="K136" i="6" s="1"/>
  <c r="L136" i="6" s="1"/>
  <c r="J135" i="6"/>
  <c r="I135" i="6"/>
  <c r="K135" i="6" s="1"/>
  <c r="L135" i="6" s="1"/>
  <c r="K134" i="6"/>
  <c r="J134" i="6"/>
  <c r="I134" i="6"/>
  <c r="J133" i="6"/>
  <c r="I133" i="6"/>
  <c r="K133" i="6" s="1"/>
  <c r="J132" i="6"/>
  <c r="I132" i="6"/>
  <c r="K132" i="6" s="1"/>
  <c r="J131" i="6"/>
  <c r="I131" i="6"/>
  <c r="K131" i="6" s="1"/>
  <c r="K130" i="6"/>
  <c r="L130" i="6" s="1"/>
  <c r="J130" i="6"/>
  <c r="I130" i="6"/>
  <c r="J129" i="6"/>
  <c r="I129" i="6"/>
  <c r="K129" i="6" s="1"/>
  <c r="L129" i="6" s="1"/>
  <c r="J128" i="6"/>
  <c r="I128" i="6"/>
  <c r="K128" i="6" s="1"/>
  <c r="L128" i="6" s="1"/>
  <c r="J127" i="6"/>
  <c r="I127" i="6"/>
  <c r="K127" i="6" s="1"/>
  <c r="L127" i="6" s="1"/>
  <c r="J126" i="6"/>
  <c r="I126" i="6"/>
  <c r="K126" i="6" s="1"/>
  <c r="L126" i="6" s="1"/>
  <c r="J125" i="6"/>
  <c r="I125" i="6"/>
  <c r="K125" i="6" s="1"/>
  <c r="J124" i="6"/>
  <c r="I124" i="6"/>
  <c r="K124" i="6" s="1"/>
  <c r="J123" i="6"/>
  <c r="I123" i="6"/>
  <c r="K123" i="6" s="1"/>
  <c r="J122" i="6"/>
  <c r="I122" i="6"/>
  <c r="K122" i="6" s="1"/>
  <c r="L122" i="6" s="1"/>
  <c r="J121" i="6"/>
  <c r="I121" i="6"/>
  <c r="K121" i="6" s="1"/>
  <c r="J120" i="6"/>
  <c r="I120" i="6"/>
  <c r="K120" i="6" s="1"/>
  <c r="J119" i="6"/>
  <c r="I119" i="6"/>
  <c r="K119" i="6" s="1"/>
  <c r="J118" i="6"/>
  <c r="I118" i="6"/>
  <c r="K118" i="6" s="1"/>
  <c r="L118" i="6" s="1"/>
  <c r="J117" i="6"/>
  <c r="I117" i="6"/>
  <c r="K117" i="6" s="1"/>
  <c r="J116" i="6"/>
  <c r="I116" i="6"/>
  <c r="K116" i="6" s="1"/>
  <c r="J115" i="6"/>
  <c r="I115" i="6"/>
  <c r="K115" i="6" s="1"/>
  <c r="J114" i="6"/>
  <c r="I114" i="6"/>
  <c r="K114" i="6" s="1"/>
  <c r="L114" i="6" s="1"/>
  <c r="J113" i="6"/>
  <c r="I113" i="6"/>
  <c r="K113" i="6" s="1"/>
  <c r="J112" i="6"/>
  <c r="I112" i="6"/>
  <c r="K112" i="6" s="1"/>
  <c r="J111" i="6"/>
  <c r="I111" i="6"/>
  <c r="K111" i="6" s="1"/>
  <c r="J110" i="6"/>
  <c r="I110" i="6"/>
  <c r="K110" i="6" s="1"/>
  <c r="L110" i="6" s="1"/>
  <c r="J109" i="6"/>
  <c r="I109" i="6"/>
  <c r="K109" i="6" s="1"/>
  <c r="J108" i="6"/>
  <c r="I108" i="6"/>
  <c r="K108" i="6" s="1"/>
  <c r="L108" i="6" s="1"/>
  <c r="J107" i="6"/>
  <c r="I107" i="6"/>
  <c r="K107" i="6" s="1"/>
  <c r="J106" i="6"/>
  <c r="I106" i="6"/>
  <c r="K106" i="6" s="1"/>
  <c r="L106" i="6" s="1"/>
  <c r="J105" i="6"/>
  <c r="I105" i="6"/>
  <c r="K105" i="6" s="1"/>
  <c r="J104" i="6"/>
  <c r="I104" i="6"/>
  <c r="K104" i="6" s="1"/>
  <c r="V103" i="6"/>
  <c r="J103" i="6"/>
  <c r="I103" i="6"/>
  <c r="K103" i="6" s="1"/>
  <c r="J102" i="6"/>
  <c r="I102" i="6"/>
  <c r="K102" i="6" s="1"/>
  <c r="J101" i="6"/>
  <c r="I101" i="6"/>
  <c r="K101" i="6" s="1"/>
  <c r="L101" i="6" s="1"/>
  <c r="K100" i="6"/>
  <c r="J100" i="6"/>
  <c r="I100" i="6"/>
  <c r="J99" i="6"/>
  <c r="I99" i="6"/>
  <c r="K99" i="6" s="1"/>
  <c r="L99" i="6" s="1"/>
  <c r="J98" i="6"/>
  <c r="I98" i="6"/>
  <c r="K98" i="6" s="1"/>
  <c r="J97" i="6"/>
  <c r="I97" i="6"/>
  <c r="K97" i="6" s="1"/>
  <c r="J96" i="6"/>
  <c r="I96" i="6"/>
  <c r="K96" i="6" s="1"/>
  <c r="V95" i="6"/>
  <c r="J95" i="6"/>
  <c r="I95" i="6"/>
  <c r="K95" i="6" s="1"/>
  <c r="J94" i="6"/>
  <c r="I94" i="6"/>
  <c r="K94" i="6" s="1"/>
  <c r="J93" i="6"/>
  <c r="I93" i="6"/>
  <c r="K93" i="6" s="1"/>
  <c r="J92" i="6"/>
  <c r="I92" i="6"/>
  <c r="K92" i="6" s="1"/>
  <c r="L92" i="6" s="1"/>
  <c r="J91" i="6"/>
  <c r="I91" i="6"/>
  <c r="K91" i="6" s="1"/>
  <c r="L91" i="6" s="1"/>
  <c r="J90" i="6"/>
  <c r="I90" i="6"/>
  <c r="K90" i="6" s="1"/>
  <c r="J89" i="6"/>
  <c r="I89" i="6"/>
  <c r="K89" i="6" s="1"/>
  <c r="V88" i="6"/>
  <c r="J88" i="6"/>
  <c r="I88" i="6"/>
  <c r="K88" i="6" s="1"/>
  <c r="L88" i="6" s="1"/>
  <c r="J87" i="6"/>
  <c r="I87" i="6"/>
  <c r="K87" i="6" s="1"/>
  <c r="J86" i="6"/>
  <c r="I86" i="6"/>
  <c r="K86" i="6" s="1"/>
  <c r="V85" i="6"/>
  <c r="J85" i="6"/>
  <c r="I85" i="6"/>
  <c r="K85" i="6" s="1"/>
  <c r="J84" i="6"/>
  <c r="I84" i="6"/>
  <c r="K84" i="6" s="1"/>
  <c r="J83" i="6"/>
  <c r="I83" i="6"/>
  <c r="K83" i="6" s="1"/>
  <c r="L83" i="6" s="1"/>
  <c r="J82" i="6"/>
  <c r="I82" i="6"/>
  <c r="K82" i="6" s="1"/>
  <c r="J81" i="6"/>
  <c r="I81" i="6"/>
  <c r="K81" i="6" s="1"/>
  <c r="L81" i="6" s="1"/>
  <c r="J80" i="6"/>
  <c r="I80" i="6"/>
  <c r="K80" i="6" s="1"/>
  <c r="J79" i="6"/>
  <c r="I79" i="6"/>
  <c r="K79" i="6" s="1"/>
  <c r="L79" i="6" s="1"/>
  <c r="J78" i="6"/>
  <c r="I78" i="6"/>
  <c r="K78" i="6" s="1"/>
  <c r="J77" i="6"/>
  <c r="I77" i="6"/>
  <c r="K77" i="6" s="1"/>
  <c r="L77" i="6" s="1"/>
  <c r="V79" i="6" s="1"/>
  <c r="J76" i="6"/>
  <c r="I76" i="6"/>
  <c r="K76" i="6" s="1"/>
  <c r="J75" i="6"/>
  <c r="I75" i="6"/>
  <c r="K75" i="6" s="1"/>
  <c r="L75" i="6" s="1"/>
  <c r="J74" i="6"/>
  <c r="I74" i="6"/>
  <c r="K74" i="6" s="1"/>
  <c r="L74" i="6" s="1"/>
  <c r="J73" i="6"/>
  <c r="I73" i="6"/>
  <c r="K73" i="6" s="1"/>
  <c r="L73" i="6" s="1"/>
  <c r="J72" i="6"/>
  <c r="I72" i="6"/>
  <c r="K72" i="6" s="1"/>
  <c r="J71" i="6"/>
  <c r="I71" i="6"/>
  <c r="K71" i="6" s="1"/>
  <c r="L71" i="6" s="1"/>
  <c r="J70" i="6"/>
  <c r="I70" i="6"/>
  <c r="K70" i="6" s="1"/>
  <c r="L70" i="6" s="1"/>
  <c r="J69" i="6"/>
  <c r="I69" i="6"/>
  <c r="K69" i="6" s="1"/>
  <c r="L69" i="6" s="1"/>
  <c r="K68" i="6"/>
  <c r="L68" i="6" s="1"/>
  <c r="J68" i="6"/>
  <c r="I68" i="6"/>
  <c r="J67" i="6"/>
  <c r="I67" i="6"/>
  <c r="K67" i="6" s="1"/>
  <c r="J66" i="6"/>
  <c r="I66" i="6"/>
  <c r="K66" i="6" s="1"/>
  <c r="L66" i="6" s="1"/>
  <c r="J65" i="6"/>
  <c r="I65" i="6"/>
  <c r="K65" i="6" s="1"/>
  <c r="J64" i="6"/>
  <c r="I64" i="6"/>
  <c r="K64" i="6" s="1"/>
  <c r="L64" i="6" s="1"/>
  <c r="J63" i="6"/>
  <c r="I63" i="6"/>
  <c r="K63" i="6" s="1"/>
  <c r="J62" i="6"/>
  <c r="I62" i="6"/>
  <c r="K62" i="6" s="1"/>
  <c r="J61" i="6"/>
  <c r="I61" i="6"/>
  <c r="K61" i="6" s="1"/>
  <c r="J60" i="6"/>
  <c r="I60" i="6"/>
  <c r="K60" i="6" s="1"/>
  <c r="L60" i="6" s="1"/>
  <c r="J59" i="6"/>
  <c r="I59" i="6"/>
  <c r="K59" i="6" s="1"/>
  <c r="L59" i="6" s="1"/>
  <c r="K58" i="6"/>
  <c r="J58" i="6"/>
  <c r="I58" i="6"/>
  <c r="J57" i="6"/>
  <c r="I57" i="6"/>
  <c r="K57" i="6" s="1"/>
  <c r="J56" i="6"/>
  <c r="I56" i="6"/>
  <c r="K56" i="6" s="1"/>
  <c r="J55" i="6"/>
  <c r="I55" i="6"/>
  <c r="K55" i="6" s="1"/>
  <c r="L55" i="6" s="1"/>
  <c r="J54" i="6"/>
  <c r="I54" i="6"/>
  <c r="K54" i="6" s="1"/>
  <c r="J53" i="6"/>
  <c r="I53" i="6"/>
  <c r="K53" i="6" s="1"/>
  <c r="L53" i="6" s="1"/>
  <c r="J52" i="6"/>
  <c r="I52" i="6"/>
  <c r="K52" i="6" s="1"/>
  <c r="J51" i="6"/>
  <c r="I51" i="6"/>
  <c r="K51" i="6" s="1"/>
  <c r="L51" i="6" s="1"/>
  <c r="J50" i="6"/>
  <c r="I50" i="6"/>
  <c r="K50" i="6" s="1"/>
  <c r="J49" i="6"/>
  <c r="I49" i="6"/>
  <c r="K49" i="6" s="1"/>
  <c r="J48" i="6"/>
  <c r="I48" i="6"/>
  <c r="K48" i="6" s="1"/>
  <c r="J47" i="6"/>
  <c r="I47" i="6"/>
  <c r="K47" i="6" s="1"/>
  <c r="J46" i="6"/>
  <c r="I46" i="6"/>
  <c r="K46" i="6" s="1"/>
  <c r="J45" i="6"/>
  <c r="I45" i="6"/>
  <c r="K45" i="6" s="1"/>
  <c r="L45" i="6" s="1"/>
  <c r="J44" i="6"/>
  <c r="I44" i="6"/>
  <c r="K44" i="6" s="1"/>
  <c r="J43" i="6"/>
  <c r="I43" i="6"/>
  <c r="K43" i="6" s="1"/>
  <c r="L43" i="6" s="1"/>
  <c r="K42" i="6"/>
  <c r="J42" i="6"/>
  <c r="I42" i="6"/>
  <c r="J41" i="6"/>
  <c r="I41" i="6"/>
  <c r="K41" i="6" s="1"/>
  <c r="J40" i="6"/>
  <c r="I40" i="6"/>
  <c r="K40" i="6" s="1"/>
  <c r="J39" i="6"/>
  <c r="I39" i="6"/>
  <c r="K39" i="6" s="1"/>
  <c r="L39" i="6" s="1"/>
  <c r="J38" i="6"/>
  <c r="I38" i="6"/>
  <c r="K38" i="6" s="1"/>
  <c r="J37" i="6"/>
  <c r="I37" i="6"/>
  <c r="K37" i="6" s="1"/>
  <c r="L37" i="6" s="1"/>
  <c r="J36" i="6"/>
  <c r="I36" i="6"/>
  <c r="K36" i="6" s="1"/>
  <c r="L36" i="6" s="1"/>
  <c r="J35" i="6"/>
  <c r="I35" i="6"/>
  <c r="K35" i="6" s="1"/>
  <c r="J34" i="6"/>
  <c r="I34" i="6"/>
  <c r="K34" i="6" s="1"/>
  <c r="L34" i="6" s="1"/>
  <c r="J33" i="6"/>
  <c r="I33" i="6"/>
  <c r="K33" i="6" s="1"/>
  <c r="J32" i="6"/>
  <c r="I32" i="6"/>
  <c r="K32" i="6" s="1"/>
  <c r="L32" i="6" s="1"/>
  <c r="J31" i="6"/>
  <c r="I31" i="6"/>
  <c r="K31" i="6" s="1"/>
  <c r="J30" i="6"/>
  <c r="I30" i="6"/>
  <c r="K30" i="6" s="1"/>
  <c r="J29" i="6"/>
  <c r="I29" i="6"/>
  <c r="K29" i="6" s="1"/>
  <c r="J28" i="6"/>
  <c r="I28" i="6"/>
  <c r="K28" i="6" s="1"/>
  <c r="L28" i="6" s="1"/>
  <c r="J27" i="6"/>
  <c r="I27" i="6"/>
  <c r="K27" i="6" s="1"/>
  <c r="J26" i="6"/>
  <c r="I26" i="6"/>
  <c r="K26" i="6" s="1"/>
  <c r="L26" i="6" s="1"/>
  <c r="J25" i="6"/>
  <c r="I25" i="6"/>
  <c r="K25" i="6" s="1"/>
  <c r="J24" i="6"/>
  <c r="I24" i="6"/>
  <c r="K24" i="6" s="1"/>
  <c r="J23" i="6"/>
  <c r="I23" i="6"/>
  <c r="K23" i="6" s="1"/>
  <c r="J22" i="6"/>
  <c r="I22" i="6"/>
  <c r="K22" i="6" s="1"/>
  <c r="L22" i="6" s="1"/>
  <c r="J21" i="6"/>
  <c r="I21" i="6"/>
  <c r="K21" i="6" s="1"/>
  <c r="J20" i="6"/>
  <c r="I20" i="6"/>
  <c r="K20" i="6" s="1"/>
  <c r="J19" i="6"/>
  <c r="I19" i="6"/>
  <c r="K19" i="6" s="1"/>
  <c r="J18" i="6"/>
  <c r="I18" i="6"/>
  <c r="K18" i="6" s="1"/>
  <c r="L18" i="6" s="1"/>
  <c r="K17" i="6"/>
  <c r="J17" i="6"/>
  <c r="I17" i="6"/>
  <c r="J16" i="6"/>
  <c r="I16" i="6"/>
  <c r="K16" i="6" s="1"/>
  <c r="L16" i="6" s="1"/>
  <c r="J15" i="6"/>
  <c r="I15" i="6"/>
  <c r="K15" i="6" s="1"/>
  <c r="J14" i="6"/>
  <c r="I14" i="6"/>
  <c r="K14" i="6" s="1"/>
  <c r="L14" i="6" s="1"/>
  <c r="K13" i="6"/>
  <c r="L13" i="6" s="1"/>
  <c r="J13" i="6"/>
  <c r="I13" i="6"/>
  <c r="J12" i="6"/>
  <c r="I12" i="6"/>
  <c r="K12" i="6" s="1"/>
  <c r="J11" i="6"/>
  <c r="I11" i="6"/>
  <c r="K11" i="6" s="1"/>
  <c r="L11" i="6" s="1"/>
  <c r="J10" i="6"/>
  <c r="I10" i="6"/>
  <c r="K10" i="6" s="1"/>
  <c r="J9" i="6"/>
  <c r="I9" i="6"/>
  <c r="K9" i="6" s="1"/>
  <c r="L9" i="6" s="1"/>
  <c r="J8" i="6"/>
  <c r="I8" i="6"/>
  <c r="K8" i="6" s="1"/>
  <c r="J7" i="6"/>
  <c r="I7" i="6"/>
  <c r="K7" i="6" s="1"/>
  <c r="L7" i="6" s="1"/>
  <c r="J6" i="6"/>
  <c r="I6" i="6"/>
  <c r="K6" i="6" s="1"/>
  <c r="J5" i="6"/>
  <c r="I5" i="6"/>
  <c r="K5" i="6" s="1"/>
  <c r="L5" i="6" s="1"/>
  <c r="J4" i="6"/>
  <c r="I4" i="6"/>
  <c r="K4" i="6" s="1"/>
  <c r="J3" i="6"/>
  <c r="I3" i="6"/>
  <c r="K3" i="6" s="1"/>
  <c r="L3" i="6" s="1"/>
  <c r="J2" i="6"/>
  <c r="I2" i="6"/>
  <c r="K2" i="6" s="1"/>
  <c r="J322" i="5"/>
  <c r="I322" i="5"/>
  <c r="K322" i="5" s="1"/>
  <c r="L322" i="5" s="1"/>
  <c r="J321" i="5"/>
  <c r="I321" i="5"/>
  <c r="K321" i="5" s="1"/>
  <c r="L321" i="5" s="1"/>
  <c r="V103" i="5" s="1"/>
  <c r="J320" i="5"/>
  <c r="I320" i="5"/>
  <c r="K320" i="5" s="1"/>
  <c r="L320" i="5" s="1"/>
  <c r="V102" i="5" s="1"/>
  <c r="J319" i="5"/>
  <c r="I319" i="5"/>
  <c r="K319" i="5" s="1"/>
  <c r="J318" i="5"/>
  <c r="I318" i="5"/>
  <c r="K318" i="5" s="1"/>
  <c r="J317" i="5"/>
  <c r="I317" i="5"/>
  <c r="K317" i="5" s="1"/>
  <c r="J316" i="5"/>
  <c r="I316" i="5"/>
  <c r="K316" i="5" s="1"/>
  <c r="L316" i="5" s="1"/>
  <c r="V98" i="5" s="1"/>
  <c r="J315" i="5"/>
  <c r="I315" i="5"/>
  <c r="K315" i="5" s="1"/>
  <c r="L315" i="5" s="1"/>
  <c r="J314" i="5"/>
  <c r="I314" i="5"/>
  <c r="K314" i="5" s="1"/>
  <c r="L314" i="5" s="1"/>
  <c r="J313" i="5"/>
  <c r="I313" i="5"/>
  <c r="K313" i="5" s="1"/>
  <c r="J312" i="5"/>
  <c r="I312" i="5"/>
  <c r="K312" i="5" s="1"/>
  <c r="J311" i="5"/>
  <c r="I311" i="5"/>
  <c r="K311" i="5" s="1"/>
  <c r="J310" i="5"/>
  <c r="I310" i="5"/>
  <c r="K310" i="5" s="1"/>
  <c r="J309" i="5"/>
  <c r="I309" i="5"/>
  <c r="K309" i="5" s="1"/>
  <c r="L309" i="5" s="1"/>
  <c r="J308" i="5"/>
  <c r="I308" i="5"/>
  <c r="K308" i="5" s="1"/>
  <c r="L308" i="5" s="1"/>
  <c r="V90" i="5" s="1"/>
  <c r="J307" i="5"/>
  <c r="I307" i="5"/>
  <c r="K307" i="5" s="1"/>
  <c r="J306" i="5"/>
  <c r="I306" i="5"/>
  <c r="K306" i="5" s="1"/>
  <c r="J305" i="5"/>
  <c r="I305" i="5"/>
  <c r="K305" i="5" s="1"/>
  <c r="L305" i="5" s="1"/>
  <c r="J304" i="5"/>
  <c r="I304" i="5"/>
  <c r="K304" i="5" s="1"/>
  <c r="J303" i="5"/>
  <c r="I303" i="5"/>
  <c r="K303" i="5" s="1"/>
  <c r="J302" i="5"/>
  <c r="I302" i="5"/>
  <c r="K302" i="5" s="1"/>
  <c r="L302" i="5" s="1"/>
  <c r="J301" i="5"/>
  <c r="I301" i="5"/>
  <c r="K301" i="5" s="1"/>
  <c r="J300" i="5"/>
  <c r="I300" i="5"/>
  <c r="K300" i="5" s="1"/>
  <c r="L300" i="5" s="1"/>
  <c r="J299" i="5"/>
  <c r="I299" i="5"/>
  <c r="K299" i="5" s="1"/>
  <c r="L299" i="5" s="1"/>
  <c r="J298" i="5"/>
  <c r="I298" i="5"/>
  <c r="K298" i="5" s="1"/>
  <c r="L298" i="5" s="1"/>
  <c r="J297" i="5"/>
  <c r="I297" i="5"/>
  <c r="K297" i="5" s="1"/>
  <c r="L297" i="5" s="1"/>
  <c r="J296" i="5"/>
  <c r="I296" i="5"/>
  <c r="K296" i="5" s="1"/>
  <c r="L296" i="5" s="1"/>
  <c r="J295" i="5"/>
  <c r="I295" i="5"/>
  <c r="K295" i="5" s="1"/>
  <c r="L295" i="5" s="1"/>
  <c r="J294" i="5"/>
  <c r="I294" i="5"/>
  <c r="K294" i="5" s="1"/>
  <c r="J293" i="5"/>
  <c r="I293" i="5"/>
  <c r="K293" i="5" s="1"/>
  <c r="K292" i="5"/>
  <c r="J292" i="5"/>
  <c r="I292" i="5"/>
  <c r="J291" i="5"/>
  <c r="I291" i="5"/>
  <c r="K291" i="5" s="1"/>
  <c r="J290" i="5"/>
  <c r="I290" i="5"/>
  <c r="K290" i="5" s="1"/>
  <c r="L290" i="5" s="1"/>
  <c r="J289" i="5"/>
  <c r="I289" i="5"/>
  <c r="K289" i="5" s="1"/>
  <c r="L289" i="5" s="1"/>
  <c r="J288" i="5"/>
  <c r="I288" i="5"/>
  <c r="K288" i="5" s="1"/>
  <c r="J287" i="5"/>
  <c r="I287" i="5"/>
  <c r="K287" i="5" s="1"/>
  <c r="J286" i="5"/>
  <c r="I286" i="5"/>
  <c r="K286" i="5" s="1"/>
  <c r="J285" i="5"/>
  <c r="I285" i="5"/>
  <c r="K285" i="5" s="1"/>
  <c r="J284" i="5"/>
  <c r="I284" i="5"/>
  <c r="K284" i="5" s="1"/>
  <c r="J283" i="5"/>
  <c r="I283" i="5"/>
  <c r="K283" i="5" s="1"/>
  <c r="L283" i="5" s="1"/>
  <c r="J282" i="5"/>
  <c r="I282" i="5"/>
  <c r="K282" i="5" s="1"/>
  <c r="L282" i="5" s="1"/>
  <c r="J281" i="5"/>
  <c r="I281" i="5"/>
  <c r="K281" i="5" s="1"/>
  <c r="K280" i="5"/>
  <c r="J280" i="5"/>
  <c r="I280" i="5"/>
  <c r="J279" i="5"/>
  <c r="I279" i="5"/>
  <c r="K279" i="5" s="1"/>
  <c r="J278" i="5"/>
  <c r="I278" i="5"/>
  <c r="K278" i="5" s="1"/>
  <c r="J277" i="5"/>
  <c r="I277" i="5"/>
  <c r="K277" i="5" s="1"/>
  <c r="L277" i="5" s="1"/>
  <c r="J276" i="5"/>
  <c r="I276" i="5"/>
  <c r="K276" i="5" s="1"/>
  <c r="L276" i="5" s="1"/>
  <c r="J275" i="5"/>
  <c r="I275" i="5"/>
  <c r="K275" i="5" s="1"/>
  <c r="L275" i="5" s="1"/>
  <c r="J274" i="5"/>
  <c r="I274" i="5"/>
  <c r="K274" i="5" s="1"/>
  <c r="J273" i="5"/>
  <c r="I273" i="5"/>
  <c r="K273" i="5" s="1"/>
  <c r="L273" i="5" s="1"/>
  <c r="J272" i="5"/>
  <c r="I272" i="5"/>
  <c r="K272" i="5" s="1"/>
  <c r="J271" i="5"/>
  <c r="I271" i="5"/>
  <c r="K271" i="5" s="1"/>
  <c r="J270" i="5"/>
  <c r="I270" i="5"/>
  <c r="K270" i="5" s="1"/>
  <c r="L270" i="5" s="1"/>
  <c r="J269" i="5"/>
  <c r="I269" i="5"/>
  <c r="K269" i="5" s="1"/>
  <c r="J268" i="5"/>
  <c r="I268" i="5"/>
  <c r="K268" i="5" s="1"/>
  <c r="L268" i="5" s="1"/>
  <c r="J267" i="5"/>
  <c r="I267" i="5"/>
  <c r="K267" i="5" s="1"/>
  <c r="L267" i="5" s="1"/>
  <c r="J266" i="5"/>
  <c r="I266" i="5"/>
  <c r="K266" i="5" s="1"/>
  <c r="L266" i="5" s="1"/>
  <c r="J265" i="5"/>
  <c r="I265" i="5"/>
  <c r="K265" i="5" s="1"/>
  <c r="J264" i="5"/>
  <c r="I264" i="5"/>
  <c r="K264" i="5" s="1"/>
  <c r="L264" i="5" s="1"/>
  <c r="J263" i="5"/>
  <c r="I263" i="5"/>
  <c r="K263" i="5" s="1"/>
  <c r="L263" i="5" s="1"/>
  <c r="J262" i="5"/>
  <c r="I262" i="5"/>
  <c r="K262" i="5" s="1"/>
  <c r="J261" i="5"/>
  <c r="I261" i="5"/>
  <c r="K261" i="5" s="1"/>
  <c r="J260" i="5"/>
  <c r="I260" i="5"/>
  <c r="K260" i="5" s="1"/>
  <c r="L260" i="5" s="1"/>
  <c r="J259" i="5"/>
  <c r="I259" i="5"/>
  <c r="K259" i="5" s="1"/>
  <c r="L259" i="5" s="1"/>
  <c r="J258" i="5"/>
  <c r="I258" i="5"/>
  <c r="K258" i="5" s="1"/>
  <c r="L258" i="5" s="1"/>
  <c r="J257" i="5"/>
  <c r="I257" i="5"/>
  <c r="K257" i="5" s="1"/>
  <c r="L257" i="5" s="1"/>
  <c r="J256" i="5"/>
  <c r="I256" i="5"/>
  <c r="K256" i="5" s="1"/>
  <c r="L256" i="5" s="1"/>
  <c r="J255" i="5"/>
  <c r="I255" i="5"/>
  <c r="K255" i="5" s="1"/>
  <c r="J254" i="5"/>
  <c r="I254" i="5"/>
  <c r="K254" i="5" s="1"/>
  <c r="J253" i="5"/>
  <c r="I253" i="5"/>
  <c r="K253" i="5" s="1"/>
  <c r="J252" i="5"/>
  <c r="I252" i="5"/>
  <c r="K252" i="5" s="1"/>
  <c r="L252" i="5" s="1"/>
  <c r="J251" i="5"/>
  <c r="I251" i="5"/>
  <c r="K251" i="5" s="1"/>
  <c r="L251" i="5" s="1"/>
  <c r="J250" i="5"/>
  <c r="I250" i="5"/>
  <c r="K250" i="5" s="1"/>
  <c r="L250" i="5" s="1"/>
  <c r="J249" i="5"/>
  <c r="I249" i="5"/>
  <c r="K249" i="5" s="1"/>
  <c r="L249" i="5" s="1"/>
  <c r="J248" i="5"/>
  <c r="I248" i="5"/>
  <c r="K248" i="5" s="1"/>
  <c r="J247" i="5"/>
  <c r="I247" i="5"/>
  <c r="K247" i="5" s="1"/>
  <c r="J246" i="5"/>
  <c r="I246" i="5"/>
  <c r="K246" i="5" s="1"/>
  <c r="J245" i="5"/>
  <c r="I245" i="5"/>
  <c r="K245" i="5" s="1"/>
  <c r="L245" i="5" s="1"/>
  <c r="J244" i="5"/>
  <c r="I244" i="5"/>
  <c r="K244" i="5" s="1"/>
  <c r="L244" i="5" s="1"/>
  <c r="J243" i="5"/>
  <c r="I243" i="5"/>
  <c r="K243" i="5" s="1"/>
  <c r="L243" i="5" s="1"/>
  <c r="J242" i="5"/>
  <c r="I242" i="5"/>
  <c r="K242" i="5" s="1"/>
  <c r="J241" i="5"/>
  <c r="I241" i="5"/>
  <c r="K241" i="5" s="1"/>
  <c r="L241" i="5" s="1"/>
  <c r="J240" i="5"/>
  <c r="I240" i="5"/>
  <c r="K240" i="5" s="1"/>
  <c r="J239" i="5"/>
  <c r="I239" i="5"/>
  <c r="K239" i="5" s="1"/>
  <c r="J238" i="5"/>
  <c r="I238" i="5"/>
  <c r="K238" i="5" s="1"/>
  <c r="L238" i="5" s="1"/>
  <c r="J237" i="5"/>
  <c r="I237" i="5"/>
  <c r="K237" i="5" s="1"/>
  <c r="J236" i="5"/>
  <c r="I236" i="5"/>
  <c r="K236" i="5" s="1"/>
  <c r="L236" i="5" s="1"/>
  <c r="J235" i="5"/>
  <c r="I235" i="5"/>
  <c r="K235" i="5" s="1"/>
  <c r="L235" i="5" s="1"/>
  <c r="J234" i="5"/>
  <c r="I234" i="5"/>
  <c r="K234" i="5" s="1"/>
  <c r="L234" i="5" s="1"/>
  <c r="J233" i="5"/>
  <c r="I233" i="5"/>
  <c r="K233" i="5" s="1"/>
  <c r="L233" i="5" s="1"/>
  <c r="J232" i="5"/>
  <c r="I232" i="5"/>
  <c r="K232" i="5" s="1"/>
  <c r="L232" i="5" s="1"/>
  <c r="J231" i="5"/>
  <c r="I231" i="5"/>
  <c r="K231" i="5" s="1"/>
  <c r="L231" i="5" s="1"/>
  <c r="J230" i="5"/>
  <c r="I230" i="5"/>
  <c r="K230" i="5" s="1"/>
  <c r="J229" i="5"/>
  <c r="I229" i="5"/>
  <c r="K229" i="5" s="1"/>
  <c r="J228" i="5"/>
  <c r="I228" i="5"/>
  <c r="K228" i="5" s="1"/>
  <c r="L228" i="5" s="1"/>
  <c r="J227" i="5"/>
  <c r="I227" i="5"/>
  <c r="K227" i="5" s="1"/>
  <c r="J226" i="5"/>
  <c r="I226" i="5"/>
  <c r="K226" i="5" s="1"/>
  <c r="J225" i="5"/>
  <c r="I225" i="5"/>
  <c r="K225" i="5" s="1"/>
  <c r="L225" i="5" s="1"/>
  <c r="J224" i="5"/>
  <c r="I224" i="5"/>
  <c r="K224" i="5" s="1"/>
  <c r="L224" i="5" s="1"/>
  <c r="J223" i="5"/>
  <c r="I223" i="5"/>
  <c r="K223" i="5" s="1"/>
  <c r="J222" i="5"/>
  <c r="I222" i="5"/>
  <c r="K222" i="5" s="1"/>
  <c r="J221" i="5"/>
  <c r="I221" i="5"/>
  <c r="K221" i="5" s="1"/>
  <c r="J220" i="5"/>
  <c r="I220" i="5"/>
  <c r="K220" i="5" s="1"/>
  <c r="L220" i="5" s="1"/>
  <c r="J219" i="5"/>
  <c r="I219" i="5"/>
  <c r="K219" i="5" s="1"/>
  <c r="J218" i="5"/>
  <c r="I218" i="5"/>
  <c r="K218" i="5" s="1"/>
  <c r="L218" i="5" s="1"/>
  <c r="J217" i="5"/>
  <c r="I217" i="5"/>
  <c r="K217" i="5" s="1"/>
  <c r="L217" i="5" s="1"/>
  <c r="J216" i="5"/>
  <c r="I216" i="5"/>
  <c r="K216" i="5" s="1"/>
  <c r="J215" i="5"/>
  <c r="I215" i="5"/>
  <c r="K215" i="5" s="1"/>
  <c r="J214" i="5"/>
  <c r="I214" i="5"/>
  <c r="K214" i="5" s="1"/>
  <c r="J213" i="5"/>
  <c r="I213" i="5"/>
  <c r="K213" i="5" s="1"/>
  <c r="L213" i="5" s="1"/>
  <c r="J212" i="5"/>
  <c r="I212" i="5"/>
  <c r="K212" i="5" s="1"/>
  <c r="L212" i="5" s="1"/>
  <c r="J211" i="5"/>
  <c r="I211" i="5"/>
  <c r="K211" i="5" s="1"/>
  <c r="L211" i="5" s="1"/>
  <c r="J210" i="5"/>
  <c r="I210" i="5"/>
  <c r="K210" i="5" s="1"/>
  <c r="L210" i="5" s="1"/>
  <c r="J209" i="5"/>
  <c r="I209" i="5"/>
  <c r="K209" i="5" s="1"/>
  <c r="L209" i="5" s="1"/>
  <c r="K208" i="5"/>
  <c r="J208" i="5"/>
  <c r="I208" i="5"/>
  <c r="J207" i="5"/>
  <c r="I207" i="5"/>
  <c r="K207" i="5" s="1"/>
  <c r="J206" i="5"/>
  <c r="I206" i="5"/>
  <c r="K206" i="5" s="1"/>
  <c r="L206" i="5" s="1"/>
  <c r="J205" i="5"/>
  <c r="I205" i="5"/>
  <c r="K205" i="5" s="1"/>
  <c r="J204" i="5"/>
  <c r="I204" i="5"/>
  <c r="K204" i="5" s="1"/>
  <c r="J203" i="5"/>
  <c r="I203" i="5"/>
  <c r="K203" i="5" s="1"/>
  <c r="L203" i="5" s="1"/>
  <c r="J202" i="5"/>
  <c r="I202" i="5"/>
  <c r="K202" i="5" s="1"/>
  <c r="L202" i="5" s="1"/>
  <c r="J201" i="5"/>
  <c r="I201" i="5"/>
  <c r="K201" i="5" s="1"/>
  <c r="L201" i="5" s="1"/>
  <c r="J200" i="5"/>
  <c r="I200" i="5"/>
  <c r="K200" i="5" s="1"/>
  <c r="J199" i="5"/>
  <c r="I199" i="5"/>
  <c r="K199" i="5" s="1"/>
  <c r="L199" i="5" s="1"/>
  <c r="J198" i="5"/>
  <c r="I198" i="5"/>
  <c r="K198" i="5" s="1"/>
  <c r="L198" i="5" s="1"/>
  <c r="J197" i="5"/>
  <c r="I197" i="5"/>
  <c r="K197" i="5" s="1"/>
  <c r="L197" i="5" s="1"/>
  <c r="J196" i="5"/>
  <c r="I196" i="5"/>
  <c r="K196" i="5" s="1"/>
  <c r="J195" i="5"/>
  <c r="I195" i="5"/>
  <c r="K195" i="5" s="1"/>
  <c r="J194" i="5"/>
  <c r="I194" i="5"/>
  <c r="K194" i="5" s="1"/>
  <c r="L194" i="5" s="1"/>
  <c r="J193" i="5"/>
  <c r="I193" i="5"/>
  <c r="K193" i="5" s="1"/>
  <c r="L193" i="5" s="1"/>
  <c r="K192" i="5"/>
  <c r="J192" i="5"/>
  <c r="I192" i="5"/>
  <c r="J191" i="5"/>
  <c r="I191" i="5"/>
  <c r="K191" i="5" s="1"/>
  <c r="L191" i="5" s="1"/>
  <c r="J190" i="5"/>
  <c r="I190" i="5"/>
  <c r="K190" i="5" s="1"/>
  <c r="L190" i="5" s="1"/>
  <c r="J189" i="5"/>
  <c r="I189" i="5"/>
  <c r="K189" i="5" s="1"/>
  <c r="L189" i="5" s="1"/>
  <c r="J188" i="5"/>
  <c r="I188" i="5"/>
  <c r="K188" i="5" s="1"/>
  <c r="J187" i="5"/>
  <c r="I187" i="5"/>
  <c r="K187" i="5" s="1"/>
  <c r="J186" i="5"/>
  <c r="I186" i="5"/>
  <c r="K186" i="5" s="1"/>
  <c r="L186" i="5" s="1"/>
  <c r="J185" i="5"/>
  <c r="I185" i="5"/>
  <c r="K185" i="5" s="1"/>
  <c r="J184" i="5"/>
  <c r="I184" i="5"/>
  <c r="K184" i="5" s="1"/>
  <c r="L184" i="5" s="1"/>
  <c r="J183" i="5"/>
  <c r="I183" i="5"/>
  <c r="K183" i="5" s="1"/>
  <c r="L183" i="5" s="1"/>
  <c r="J182" i="5"/>
  <c r="I182" i="5"/>
  <c r="K182" i="5" s="1"/>
  <c r="L182" i="5" s="1"/>
  <c r="J181" i="5"/>
  <c r="I181" i="5"/>
  <c r="K181" i="5" s="1"/>
  <c r="J180" i="5"/>
  <c r="I180" i="5"/>
  <c r="K180" i="5" s="1"/>
  <c r="L180" i="5" s="1"/>
  <c r="J179" i="5"/>
  <c r="I179" i="5"/>
  <c r="K179" i="5" s="1"/>
  <c r="J178" i="5"/>
  <c r="I178" i="5"/>
  <c r="K178" i="5" s="1"/>
  <c r="L178" i="5" s="1"/>
  <c r="J177" i="5"/>
  <c r="I177" i="5"/>
  <c r="K177" i="5" s="1"/>
  <c r="J176" i="5"/>
  <c r="I176" i="5"/>
  <c r="K176" i="5" s="1"/>
  <c r="L176" i="5" s="1"/>
  <c r="J175" i="5"/>
  <c r="I175" i="5"/>
  <c r="K175" i="5" s="1"/>
  <c r="L175" i="5" s="1"/>
  <c r="J174" i="5"/>
  <c r="I174" i="5"/>
  <c r="K174" i="5" s="1"/>
  <c r="L174" i="5" s="1"/>
  <c r="J173" i="5"/>
  <c r="I173" i="5"/>
  <c r="K173" i="5" s="1"/>
  <c r="L173" i="5" s="1"/>
  <c r="J172" i="5"/>
  <c r="I172" i="5"/>
  <c r="K172" i="5" s="1"/>
  <c r="J171" i="5"/>
  <c r="I171" i="5"/>
  <c r="K171" i="5" s="1"/>
  <c r="L171" i="5" s="1"/>
  <c r="J170" i="5"/>
  <c r="I170" i="5"/>
  <c r="K170" i="5" s="1"/>
  <c r="L170" i="5" s="1"/>
  <c r="J169" i="5"/>
  <c r="I169" i="5"/>
  <c r="K169" i="5" s="1"/>
  <c r="L169" i="5" s="1"/>
  <c r="J168" i="5"/>
  <c r="I168" i="5"/>
  <c r="K168" i="5" s="1"/>
  <c r="L168" i="5" s="1"/>
  <c r="J167" i="5"/>
  <c r="I167" i="5"/>
  <c r="K167" i="5" s="1"/>
  <c r="L167" i="5" s="1"/>
  <c r="J166" i="5"/>
  <c r="I166" i="5"/>
  <c r="K166" i="5" s="1"/>
  <c r="L166" i="5" s="1"/>
  <c r="J165" i="5"/>
  <c r="I165" i="5"/>
  <c r="K165" i="5" s="1"/>
  <c r="L165" i="5" s="1"/>
  <c r="J164" i="5"/>
  <c r="I164" i="5"/>
  <c r="K164" i="5" s="1"/>
  <c r="J163" i="5"/>
  <c r="I163" i="5"/>
  <c r="K163" i="5" s="1"/>
  <c r="K162" i="5"/>
  <c r="L162" i="5" s="1"/>
  <c r="J162" i="5"/>
  <c r="I162" i="5"/>
  <c r="J161" i="5"/>
  <c r="I161" i="5"/>
  <c r="K161" i="5" s="1"/>
  <c r="L161" i="5" s="1"/>
  <c r="J160" i="5"/>
  <c r="I160" i="5"/>
  <c r="K160" i="5" s="1"/>
  <c r="K159" i="5"/>
  <c r="L159" i="5" s="1"/>
  <c r="J159" i="5"/>
  <c r="I159" i="5"/>
  <c r="J158" i="5"/>
  <c r="I158" i="5"/>
  <c r="K158" i="5" s="1"/>
  <c r="L158" i="5" s="1"/>
  <c r="J157" i="5"/>
  <c r="I157" i="5"/>
  <c r="K157" i="5" s="1"/>
  <c r="L157" i="5" s="1"/>
  <c r="J156" i="5"/>
  <c r="I156" i="5"/>
  <c r="K156" i="5" s="1"/>
  <c r="L156" i="5" s="1"/>
  <c r="J155" i="5"/>
  <c r="I155" i="5"/>
  <c r="K155" i="5" s="1"/>
  <c r="L155" i="5" s="1"/>
  <c r="J154" i="5"/>
  <c r="I154" i="5"/>
  <c r="K154" i="5" s="1"/>
  <c r="J153" i="5"/>
  <c r="I153" i="5"/>
  <c r="K153" i="5" s="1"/>
  <c r="J152" i="5"/>
  <c r="I152" i="5"/>
  <c r="K152" i="5" s="1"/>
  <c r="L152" i="5" s="1"/>
  <c r="J151" i="5"/>
  <c r="I151" i="5"/>
  <c r="K151" i="5" s="1"/>
  <c r="L151" i="5" s="1"/>
  <c r="J150" i="5"/>
  <c r="I150" i="5"/>
  <c r="K150" i="5" s="1"/>
  <c r="J149" i="5"/>
  <c r="I149" i="5"/>
  <c r="K149" i="5" s="1"/>
  <c r="L149" i="5" s="1"/>
  <c r="J148" i="5"/>
  <c r="I148" i="5"/>
  <c r="K148" i="5" s="1"/>
  <c r="J147" i="5"/>
  <c r="I147" i="5"/>
  <c r="K147" i="5" s="1"/>
  <c r="L147" i="5" s="1"/>
  <c r="J146" i="5"/>
  <c r="I146" i="5"/>
  <c r="K146" i="5" s="1"/>
  <c r="L146" i="5" s="1"/>
  <c r="J145" i="5"/>
  <c r="I145" i="5"/>
  <c r="K145" i="5" s="1"/>
  <c r="L145" i="5" s="1"/>
  <c r="J144" i="5"/>
  <c r="I144" i="5"/>
  <c r="K144" i="5" s="1"/>
  <c r="J143" i="5"/>
  <c r="I143" i="5"/>
  <c r="K143" i="5" s="1"/>
  <c r="L143" i="5" s="1"/>
  <c r="J142" i="5"/>
  <c r="I142" i="5"/>
  <c r="K142" i="5" s="1"/>
  <c r="L142" i="5" s="1"/>
  <c r="J141" i="5"/>
  <c r="I141" i="5"/>
  <c r="K141" i="5" s="1"/>
  <c r="J140" i="5"/>
  <c r="I140" i="5"/>
  <c r="K140" i="5" s="1"/>
  <c r="J139" i="5"/>
  <c r="I139" i="5"/>
  <c r="K139" i="5" s="1"/>
  <c r="L139" i="5" s="1"/>
  <c r="J138" i="5"/>
  <c r="I138" i="5"/>
  <c r="K138" i="5" s="1"/>
  <c r="L138" i="5" s="1"/>
  <c r="K137" i="5"/>
  <c r="J137" i="5"/>
  <c r="I137" i="5"/>
  <c r="J136" i="5"/>
  <c r="I136" i="5"/>
  <c r="K136" i="5" s="1"/>
  <c r="J135" i="5"/>
  <c r="I135" i="5"/>
  <c r="K135" i="5" s="1"/>
  <c r="L135" i="5" s="1"/>
  <c r="J134" i="5"/>
  <c r="I134" i="5"/>
  <c r="K134" i="5" s="1"/>
  <c r="L134" i="5" s="1"/>
  <c r="J133" i="5"/>
  <c r="I133" i="5"/>
  <c r="K133" i="5" s="1"/>
  <c r="L133" i="5" s="1"/>
  <c r="J132" i="5"/>
  <c r="I132" i="5"/>
  <c r="K132" i="5" s="1"/>
  <c r="J131" i="5"/>
  <c r="I131" i="5"/>
  <c r="K131" i="5" s="1"/>
  <c r="L131" i="5" s="1"/>
  <c r="J130" i="5"/>
  <c r="I130" i="5"/>
  <c r="K130" i="5" s="1"/>
  <c r="L130" i="5" s="1"/>
  <c r="J129" i="5"/>
  <c r="I129" i="5"/>
  <c r="K129" i="5" s="1"/>
  <c r="L129" i="5" s="1"/>
  <c r="J128" i="5"/>
  <c r="I128" i="5"/>
  <c r="K128" i="5" s="1"/>
  <c r="J127" i="5"/>
  <c r="I127" i="5"/>
  <c r="K127" i="5" s="1"/>
  <c r="L127" i="5" s="1"/>
  <c r="J126" i="5"/>
  <c r="I126" i="5"/>
  <c r="K126" i="5" s="1"/>
  <c r="L126" i="5" s="1"/>
  <c r="J125" i="5"/>
  <c r="I125" i="5"/>
  <c r="K125" i="5" s="1"/>
  <c r="J124" i="5"/>
  <c r="I124" i="5"/>
  <c r="K124" i="5" s="1"/>
  <c r="J123" i="5"/>
  <c r="I123" i="5"/>
  <c r="K123" i="5" s="1"/>
  <c r="L123" i="5" s="1"/>
  <c r="J122" i="5"/>
  <c r="I122" i="5"/>
  <c r="K122" i="5" s="1"/>
  <c r="L122" i="5" s="1"/>
  <c r="J121" i="5"/>
  <c r="I121" i="5"/>
  <c r="K121" i="5" s="1"/>
  <c r="L121" i="5" s="1"/>
  <c r="J120" i="5"/>
  <c r="I120" i="5"/>
  <c r="K120" i="5" s="1"/>
  <c r="L120" i="5" s="1"/>
  <c r="J119" i="5"/>
  <c r="I119" i="5"/>
  <c r="K119" i="5" s="1"/>
  <c r="L119" i="5" s="1"/>
  <c r="J118" i="5"/>
  <c r="I118" i="5"/>
  <c r="K118" i="5" s="1"/>
  <c r="L118" i="5" s="1"/>
  <c r="J117" i="5"/>
  <c r="I117" i="5"/>
  <c r="K117" i="5" s="1"/>
  <c r="L117" i="5" s="1"/>
  <c r="J116" i="5"/>
  <c r="I116" i="5"/>
  <c r="K116" i="5" s="1"/>
  <c r="J115" i="5"/>
  <c r="I115" i="5"/>
  <c r="K115" i="5" s="1"/>
  <c r="L115" i="5" s="1"/>
  <c r="J114" i="5"/>
  <c r="I114" i="5"/>
  <c r="K114" i="5" s="1"/>
  <c r="L114" i="5" s="1"/>
  <c r="J113" i="5"/>
  <c r="I113" i="5"/>
  <c r="K113" i="5" s="1"/>
  <c r="J112" i="5"/>
  <c r="I112" i="5"/>
  <c r="K112" i="5" s="1"/>
  <c r="L112" i="5" s="1"/>
  <c r="J111" i="5"/>
  <c r="I111" i="5"/>
  <c r="K111" i="5" s="1"/>
  <c r="L111" i="5" s="1"/>
  <c r="J110" i="5"/>
  <c r="I110" i="5"/>
  <c r="K110" i="5" s="1"/>
  <c r="L110" i="5" s="1"/>
  <c r="J109" i="5"/>
  <c r="I109" i="5"/>
  <c r="K109" i="5" s="1"/>
  <c r="J108" i="5"/>
  <c r="I108" i="5"/>
  <c r="K108" i="5" s="1"/>
  <c r="K107" i="5"/>
  <c r="L107" i="5" s="1"/>
  <c r="J107" i="5"/>
  <c r="I107" i="5"/>
  <c r="J106" i="5"/>
  <c r="I106" i="5"/>
  <c r="K106" i="5" s="1"/>
  <c r="L106" i="5" s="1"/>
  <c r="J105" i="5"/>
  <c r="I105" i="5"/>
  <c r="K105" i="5" s="1"/>
  <c r="L105" i="5" s="1"/>
  <c r="K104" i="5"/>
  <c r="J104" i="5"/>
  <c r="I104" i="5"/>
  <c r="J103" i="5"/>
  <c r="I103" i="5"/>
  <c r="K103" i="5" s="1"/>
  <c r="J102" i="5"/>
  <c r="I102" i="5"/>
  <c r="K102" i="5" s="1"/>
  <c r="L102" i="5" s="1"/>
  <c r="J101" i="5"/>
  <c r="I101" i="5"/>
  <c r="K101" i="5" s="1"/>
  <c r="L101" i="5" s="1"/>
  <c r="J100" i="5"/>
  <c r="I100" i="5"/>
  <c r="K100" i="5" s="1"/>
  <c r="J99" i="5"/>
  <c r="I99" i="5"/>
  <c r="K99" i="5" s="1"/>
  <c r="J98" i="5"/>
  <c r="I98" i="5"/>
  <c r="K98" i="5" s="1"/>
  <c r="L98" i="5" s="1"/>
  <c r="J97" i="5"/>
  <c r="I97" i="5"/>
  <c r="K97" i="5" s="1"/>
  <c r="V96" i="5"/>
  <c r="J96" i="5"/>
  <c r="I96" i="5"/>
  <c r="K96" i="5" s="1"/>
  <c r="L96" i="5" s="1"/>
  <c r="J95" i="5"/>
  <c r="I95" i="5"/>
  <c r="K95" i="5" s="1"/>
  <c r="J94" i="5"/>
  <c r="I94" i="5"/>
  <c r="K94" i="5" s="1"/>
  <c r="L94" i="5" s="1"/>
  <c r="J93" i="5"/>
  <c r="I93" i="5"/>
  <c r="K93" i="5" s="1"/>
  <c r="L93" i="5" s="1"/>
  <c r="J92" i="5"/>
  <c r="I92" i="5"/>
  <c r="K92" i="5" s="1"/>
  <c r="J91" i="5"/>
  <c r="I91" i="5"/>
  <c r="K91" i="5" s="1"/>
  <c r="L91" i="5" s="1"/>
  <c r="J90" i="5"/>
  <c r="I90" i="5"/>
  <c r="K90" i="5" s="1"/>
  <c r="L90" i="5" s="1"/>
  <c r="J89" i="5"/>
  <c r="I89" i="5"/>
  <c r="K89" i="5" s="1"/>
  <c r="L89" i="5" s="1"/>
  <c r="J88" i="5"/>
  <c r="I88" i="5"/>
  <c r="K88" i="5" s="1"/>
  <c r="V87" i="5"/>
  <c r="J87" i="5"/>
  <c r="I87" i="5"/>
  <c r="K87" i="5" s="1"/>
  <c r="L87" i="5" s="1"/>
  <c r="J86" i="5"/>
  <c r="I86" i="5"/>
  <c r="K86" i="5" s="1"/>
  <c r="J85" i="5"/>
  <c r="I85" i="5"/>
  <c r="K85" i="5" s="1"/>
  <c r="L85" i="5" s="1"/>
  <c r="V84" i="5"/>
  <c r="J84" i="5"/>
  <c r="I84" i="5"/>
  <c r="K84" i="5" s="1"/>
  <c r="L84" i="5" s="1"/>
  <c r="J83" i="5"/>
  <c r="I83" i="5"/>
  <c r="K83" i="5" s="1"/>
  <c r="L83" i="5" s="1"/>
  <c r="J82" i="5"/>
  <c r="I82" i="5"/>
  <c r="K82" i="5" s="1"/>
  <c r="L82" i="5" s="1"/>
  <c r="J81" i="5"/>
  <c r="I81" i="5"/>
  <c r="K81" i="5" s="1"/>
  <c r="J80" i="5"/>
  <c r="I80" i="5"/>
  <c r="K80" i="5" s="1"/>
  <c r="L80" i="5" s="1"/>
  <c r="J79" i="5"/>
  <c r="I79" i="5"/>
  <c r="K79" i="5" s="1"/>
  <c r="L79" i="5" s="1"/>
  <c r="J78" i="5"/>
  <c r="I78" i="5"/>
  <c r="K78" i="5" s="1"/>
  <c r="J77" i="5"/>
  <c r="I77" i="5"/>
  <c r="K77" i="5" s="1"/>
  <c r="J76" i="5"/>
  <c r="I76" i="5"/>
  <c r="K76" i="5" s="1"/>
  <c r="L76" i="5" s="1"/>
  <c r="V78" i="5" s="1"/>
  <c r="V75" i="5"/>
  <c r="J75" i="5"/>
  <c r="I75" i="5"/>
  <c r="K75" i="5" s="1"/>
  <c r="J74" i="5"/>
  <c r="I74" i="5"/>
  <c r="K74" i="5" s="1"/>
  <c r="J73" i="5"/>
  <c r="I73" i="5"/>
  <c r="K73" i="5" s="1"/>
  <c r="L73" i="5" s="1"/>
  <c r="K72" i="5"/>
  <c r="J72" i="5"/>
  <c r="I72" i="5"/>
  <c r="J71" i="5"/>
  <c r="I71" i="5"/>
  <c r="K71" i="5" s="1"/>
  <c r="J70" i="5"/>
  <c r="I70" i="5"/>
  <c r="K70" i="5" s="1"/>
  <c r="J69" i="5"/>
  <c r="I69" i="5"/>
  <c r="K69" i="5" s="1"/>
  <c r="L69" i="5" s="1"/>
  <c r="J68" i="5"/>
  <c r="I68" i="5"/>
  <c r="K68" i="5" s="1"/>
  <c r="J67" i="5"/>
  <c r="I67" i="5"/>
  <c r="K67" i="5" s="1"/>
  <c r="L67" i="5" s="1"/>
  <c r="J66" i="5"/>
  <c r="I66" i="5"/>
  <c r="K66" i="5" s="1"/>
  <c r="L66" i="5" s="1"/>
  <c r="V68" i="5" s="1"/>
  <c r="J65" i="5"/>
  <c r="I65" i="5"/>
  <c r="K65" i="5" s="1"/>
  <c r="J64" i="5"/>
  <c r="I64" i="5"/>
  <c r="K64" i="5" s="1"/>
  <c r="J63" i="5"/>
  <c r="I63" i="5"/>
  <c r="K63" i="5" s="1"/>
  <c r="L63" i="5" s="1"/>
  <c r="J62" i="5"/>
  <c r="I62" i="5"/>
  <c r="K62" i="5" s="1"/>
  <c r="L62" i="5" s="1"/>
  <c r="J61" i="5"/>
  <c r="I61" i="5"/>
  <c r="K61" i="5" s="1"/>
  <c r="J60" i="5"/>
  <c r="I60" i="5"/>
  <c r="K60" i="5" s="1"/>
  <c r="L60" i="5" s="1"/>
  <c r="J59" i="5"/>
  <c r="I59" i="5"/>
  <c r="K59" i="5" s="1"/>
  <c r="L59" i="5" s="1"/>
  <c r="J58" i="5"/>
  <c r="I58" i="5"/>
  <c r="K58" i="5" s="1"/>
  <c r="L58" i="5" s="1"/>
  <c r="J57" i="5"/>
  <c r="I57" i="5"/>
  <c r="K57" i="5" s="1"/>
  <c r="L57" i="5" s="1"/>
  <c r="J56" i="5"/>
  <c r="I56" i="5"/>
  <c r="K56" i="5" s="1"/>
  <c r="L56" i="5" s="1"/>
  <c r="J55" i="5"/>
  <c r="I55" i="5"/>
  <c r="K55" i="5" s="1"/>
  <c r="L55" i="5" s="1"/>
  <c r="J54" i="5"/>
  <c r="I54" i="5"/>
  <c r="K54" i="5" s="1"/>
  <c r="L54" i="5" s="1"/>
  <c r="J53" i="5"/>
  <c r="I53" i="5"/>
  <c r="K53" i="5" s="1"/>
  <c r="J52" i="5"/>
  <c r="I52" i="5"/>
  <c r="K52" i="5" s="1"/>
  <c r="J51" i="5"/>
  <c r="I51" i="5"/>
  <c r="K51" i="5" s="1"/>
  <c r="L51" i="5" s="1"/>
  <c r="J50" i="5"/>
  <c r="I50" i="5"/>
  <c r="K50" i="5" s="1"/>
  <c r="J49" i="5"/>
  <c r="I49" i="5"/>
  <c r="K49" i="5" s="1"/>
  <c r="J48" i="5"/>
  <c r="I48" i="5"/>
  <c r="K48" i="5" s="1"/>
  <c r="L48" i="5" s="1"/>
  <c r="J47" i="5"/>
  <c r="I47" i="5"/>
  <c r="K47" i="5" s="1"/>
  <c r="J46" i="5"/>
  <c r="I46" i="5"/>
  <c r="K46" i="5" s="1"/>
  <c r="J45" i="5"/>
  <c r="I45" i="5"/>
  <c r="K45" i="5" s="1"/>
  <c r="J44" i="5"/>
  <c r="I44" i="5"/>
  <c r="K44" i="5" s="1"/>
  <c r="J43" i="5"/>
  <c r="I43" i="5"/>
  <c r="K43" i="5" s="1"/>
  <c r="J42" i="5"/>
  <c r="I42" i="5"/>
  <c r="K42" i="5" s="1"/>
  <c r="J41" i="5"/>
  <c r="I41" i="5"/>
  <c r="K41" i="5" s="1"/>
  <c r="L41" i="5" s="1"/>
  <c r="J40" i="5"/>
  <c r="I40" i="5"/>
  <c r="K40" i="5" s="1"/>
  <c r="L40" i="5" s="1"/>
  <c r="J39" i="5"/>
  <c r="I39" i="5"/>
  <c r="K39" i="5" s="1"/>
  <c r="L39" i="5" s="1"/>
  <c r="J38" i="5"/>
  <c r="I38" i="5"/>
  <c r="K38" i="5" s="1"/>
  <c r="L38" i="5" s="1"/>
  <c r="J37" i="5"/>
  <c r="I37" i="5"/>
  <c r="K37" i="5" s="1"/>
  <c r="L37" i="5" s="1"/>
  <c r="J36" i="5"/>
  <c r="I36" i="5"/>
  <c r="K36" i="5" s="1"/>
  <c r="J35" i="5"/>
  <c r="I35" i="5"/>
  <c r="K35" i="5" s="1"/>
  <c r="L35" i="5" s="1"/>
  <c r="J34" i="5"/>
  <c r="I34" i="5"/>
  <c r="K34" i="5" s="1"/>
  <c r="L34" i="5" s="1"/>
  <c r="J33" i="5"/>
  <c r="I33" i="5"/>
  <c r="K33" i="5" s="1"/>
  <c r="L33" i="5" s="1"/>
  <c r="J32" i="5"/>
  <c r="I32" i="5"/>
  <c r="K32" i="5" s="1"/>
  <c r="J31" i="5"/>
  <c r="I31" i="5"/>
  <c r="K31" i="5" s="1"/>
  <c r="L31" i="5" s="1"/>
  <c r="J30" i="5"/>
  <c r="I30" i="5"/>
  <c r="K30" i="5" s="1"/>
  <c r="L30" i="5" s="1"/>
  <c r="J29" i="5"/>
  <c r="I29" i="5"/>
  <c r="K29" i="5" s="1"/>
  <c r="L29" i="5" s="1"/>
  <c r="J28" i="5"/>
  <c r="I28" i="5"/>
  <c r="K28" i="5" s="1"/>
  <c r="J27" i="5"/>
  <c r="I27" i="5"/>
  <c r="K27" i="5" s="1"/>
  <c r="J26" i="5"/>
  <c r="I26" i="5"/>
  <c r="K26" i="5" s="1"/>
  <c r="J25" i="5"/>
  <c r="I25" i="5"/>
  <c r="K25" i="5" s="1"/>
  <c r="J24" i="5"/>
  <c r="I24" i="5"/>
  <c r="K24" i="5" s="1"/>
  <c r="L24" i="5" s="1"/>
  <c r="K23" i="5"/>
  <c r="J23" i="5"/>
  <c r="I23" i="5"/>
  <c r="J22" i="5"/>
  <c r="I22" i="5"/>
  <c r="K22" i="5" s="1"/>
  <c r="J21" i="5"/>
  <c r="I21" i="5"/>
  <c r="K21" i="5" s="1"/>
  <c r="L21" i="5" s="1"/>
  <c r="J20" i="5"/>
  <c r="I20" i="5"/>
  <c r="K20" i="5" s="1"/>
  <c r="L20" i="5" s="1"/>
  <c r="J19" i="5"/>
  <c r="I19" i="5"/>
  <c r="K19" i="5" s="1"/>
  <c r="J18" i="5"/>
  <c r="I18" i="5"/>
  <c r="K18" i="5" s="1"/>
  <c r="J17" i="5"/>
  <c r="I17" i="5"/>
  <c r="K17" i="5" s="1"/>
  <c r="L17" i="5" s="1"/>
  <c r="J16" i="5"/>
  <c r="I16" i="5"/>
  <c r="K16" i="5" s="1"/>
  <c r="J15" i="5"/>
  <c r="I15" i="5"/>
  <c r="K15" i="5" s="1"/>
  <c r="J14" i="5"/>
  <c r="I14" i="5"/>
  <c r="K14" i="5" s="1"/>
  <c r="L14" i="5" s="1"/>
  <c r="J13" i="5"/>
  <c r="I13" i="5"/>
  <c r="K13" i="5" s="1"/>
  <c r="J12" i="5"/>
  <c r="I12" i="5"/>
  <c r="K12" i="5" s="1"/>
  <c r="J11" i="5"/>
  <c r="I11" i="5"/>
  <c r="K11" i="5" s="1"/>
  <c r="J10" i="5"/>
  <c r="I10" i="5"/>
  <c r="K10" i="5" s="1"/>
  <c r="J9" i="5"/>
  <c r="I9" i="5"/>
  <c r="K9" i="5" s="1"/>
  <c r="K8" i="5"/>
  <c r="J8" i="5"/>
  <c r="I8" i="5"/>
  <c r="J7" i="5"/>
  <c r="I7" i="5"/>
  <c r="K7" i="5" s="1"/>
  <c r="J6" i="5"/>
  <c r="I6" i="5"/>
  <c r="K6" i="5" s="1"/>
  <c r="L6" i="5" s="1"/>
  <c r="J5" i="5"/>
  <c r="I5" i="5"/>
  <c r="K5" i="5" s="1"/>
  <c r="L5" i="5" s="1"/>
  <c r="J4" i="5"/>
  <c r="I4" i="5"/>
  <c r="K4" i="5" s="1"/>
  <c r="L4" i="5" s="1"/>
  <c r="J3" i="5"/>
  <c r="I3" i="5"/>
  <c r="K3" i="5" s="1"/>
  <c r="L3" i="5" s="1"/>
  <c r="J2" i="5"/>
  <c r="I2" i="5"/>
  <c r="K2" i="5" s="1"/>
  <c r="L2" i="5" s="1"/>
  <c r="J322" i="4"/>
  <c r="I322" i="4"/>
  <c r="K322" i="4" s="1"/>
  <c r="L322" i="4" s="1"/>
  <c r="J321" i="4"/>
  <c r="I321" i="4"/>
  <c r="K321" i="4" s="1"/>
  <c r="J320" i="4"/>
  <c r="I320" i="4"/>
  <c r="K320" i="4" s="1"/>
  <c r="L320" i="4" s="1"/>
  <c r="V102" i="4" s="1"/>
  <c r="J319" i="4"/>
  <c r="I319" i="4"/>
  <c r="K319" i="4" s="1"/>
  <c r="J318" i="4"/>
  <c r="I318" i="4"/>
  <c r="K318" i="4" s="1"/>
  <c r="J317" i="4"/>
  <c r="I317" i="4"/>
  <c r="K317" i="4" s="1"/>
  <c r="J316" i="4"/>
  <c r="I316" i="4"/>
  <c r="K316" i="4" s="1"/>
  <c r="L316" i="4" s="1"/>
  <c r="V98" i="4" s="1"/>
  <c r="J315" i="4"/>
  <c r="I315" i="4"/>
  <c r="K315" i="4" s="1"/>
  <c r="J314" i="4"/>
  <c r="I314" i="4"/>
  <c r="K314" i="4" s="1"/>
  <c r="J313" i="4"/>
  <c r="I313" i="4"/>
  <c r="K313" i="4" s="1"/>
  <c r="J312" i="4"/>
  <c r="I312" i="4"/>
  <c r="K312" i="4" s="1"/>
  <c r="J311" i="4"/>
  <c r="I311" i="4"/>
  <c r="K311" i="4" s="1"/>
  <c r="J310" i="4"/>
  <c r="I310" i="4"/>
  <c r="K310" i="4" s="1"/>
  <c r="L310" i="4" s="1"/>
  <c r="V92" i="4" s="1"/>
  <c r="J309" i="4"/>
  <c r="I309" i="4"/>
  <c r="K309" i="4" s="1"/>
  <c r="J308" i="4"/>
  <c r="I308" i="4"/>
  <c r="K308" i="4" s="1"/>
  <c r="L308" i="4" s="1"/>
  <c r="V90" i="4" s="1"/>
  <c r="J307" i="4"/>
  <c r="I307" i="4"/>
  <c r="K307" i="4" s="1"/>
  <c r="J306" i="4"/>
  <c r="I306" i="4"/>
  <c r="K306" i="4" s="1"/>
  <c r="J305" i="4"/>
  <c r="I305" i="4"/>
  <c r="K305" i="4" s="1"/>
  <c r="L305" i="4" s="1"/>
  <c r="J304" i="4"/>
  <c r="I304" i="4"/>
  <c r="K304" i="4" s="1"/>
  <c r="L304" i="4" s="1"/>
  <c r="V86" i="4" s="1"/>
  <c r="J303" i="4"/>
  <c r="I303" i="4"/>
  <c r="K303" i="4" s="1"/>
  <c r="J302" i="4"/>
  <c r="I302" i="4"/>
  <c r="K302" i="4" s="1"/>
  <c r="J301" i="4"/>
  <c r="I301" i="4"/>
  <c r="K301" i="4" s="1"/>
  <c r="J300" i="4"/>
  <c r="I300" i="4"/>
  <c r="K300" i="4" s="1"/>
  <c r="L300" i="4" s="1"/>
  <c r="J299" i="4"/>
  <c r="I299" i="4"/>
  <c r="K299" i="4" s="1"/>
  <c r="J298" i="4"/>
  <c r="I298" i="4"/>
  <c r="K298" i="4" s="1"/>
  <c r="J297" i="4"/>
  <c r="I297" i="4"/>
  <c r="K297" i="4" s="1"/>
  <c r="J296" i="4"/>
  <c r="I296" i="4"/>
  <c r="K296" i="4" s="1"/>
  <c r="L296" i="4" s="1"/>
  <c r="J295" i="4"/>
  <c r="I295" i="4"/>
  <c r="K295" i="4" s="1"/>
  <c r="L295" i="4" s="1"/>
  <c r="J294" i="4"/>
  <c r="I294" i="4"/>
  <c r="K294" i="4" s="1"/>
  <c r="J293" i="4"/>
  <c r="I293" i="4"/>
  <c r="K293" i="4" s="1"/>
  <c r="J292" i="4"/>
  <c r="I292" i="4"/>
  <c r="K292" i="4" s="1"/>
  <c r="L292" i="4" s="1"/>
  <c r="J291" i="4"/>
  <c r="I291" i="4"/>
  <c r="K291" i="4" s="1"/>
  <c r="L291" i="4" s="1"/>
  <c r="J290" i="4"/>
  <c r="I290" i="4"/>
  <c r="K290" i="4" s="1"/>
  <c r="J289" i="4"/>
  <c r="I289" i="4"/>
  <c r="K289" i="4" s="1"/>
  <c r="J288" i="4"/>
  <c r="I288" i="4"/>
  <c r="K288" i="4" s="1"/>
  <c r="L288" i="4" s="1"/>
  <c r="J287" i="4"/>
  <c r="I287" i="4"/>
  <c r="K287" i="4" s="1"/>
  <c r="J286" i="4"/>
  <c r="I286" i="4"/>
  <c r="K286" i="4" s="1"/>
  <c r="L286" i="4" s="1"/>
  <c r="J285" i="4"/>
  <c r="I285" i="4"/>
  <c r="K285" i="4" s="1"/>
  <c r="L285" i="4" s="1"/>
  <c r="J284" i="4"/>
  <c r="I284" i="4"/>
  <c r="K284" i="4" s="1"/>
  <c r="L284" i="4" s="1"/>
  <c r="J283" i="4"/>
  <c r="I283" i="4"/>
  <c r="K283" i="4" s="1"/>
  <c r="J282" i="4"/>
  <c r="I282" i="4"/>
  <c r="K282" i="4" s="1"/>
  <c r="J281" i="4"/>
  <c r="I281" i="4"/>
  <c r="K281" i="4" s="1"/>
  <c r="J280" i="4"/>
  <c r="I280" i="4"/>
  <c r="K280" i="4" s="1"/>
  <c r="J279" i="4"/>
  <c r="I279" i="4"/>
  <c r="K279" i="4" s="1"/>
  <c r="J278" i="4"/>
  <c r="I278" i="4"/>
  <c r="K278" i="4" s="1"/>
  <c r="J277" i="4"/>
  <c r="I277" i="4"/>
  <c r="K277" i="4" s="1"/>
  <c r="J276" i="4"/>
  <c r="I276" i="4"/>
  <c r="K276" i="4" s="1"/>
  <c r="L276" i="4" s="1"/>
  <c r="J275" i="4"/>
  <c r="I275" i="4"/>
  <c r="K275" i="4" s="1"/>
  <c r="J274" i="4"/>
  <c r="I274" i="4"/>
  <c r="K274" i="4" s="1"/>
  <c r="L274" i="4" s="1"/>
  <c r="J273" i="4"/>
  <c r="I273" i="4"/>
  <c r="K273" i="4" s="1"/>
  <c r="J272" i="4"/>
  <c r="I272" i="4"/>
  <c r="K272" i="4" s="1"/>
  <c r="J271" i="4"/>
  <c r="I271" i="4"/>
  <c r="K271" i="4" s="1"/>
  <c r="L271" i="4" s="1"/>
  <c r="J270" i="4"/>
  <c r="I270" i="4"/>
  <c r="K270" i="4" s="1"/>
  <c r="J269" i="4"/>
  <c r="I269" i="4"/>
  <c r="K269" i="4" s="1"/>
  <c r="J268" i="4"/>
  <c r="I268" i="4"/>
  <c r="K268" i="4" s="1"/>
  <c r="J267" i="4"/>
  <c r="I267" i="4"/>
  <c r="K267" i="4" s="1"/>
  <c r="L267" i="4" s="1"/>
  <c r="J266" i="4"/>
  <c r="I266" i="4"/>
  <c r="K266" i="4" s="1"/>
  <c r="L266" i="4" s="1"/>
  <c r="J265" i="4"/>
  <c r="I265" i="4"/>
  <c r="K265" i="4" s="1"/>
  <c r="L265" i="4" s="1"/>
  <c r="K264" i="4"/>
  <c r="J264" i="4"/>
  <c r="I264" i="4"/>
  <c r="J263" i="4"/>
  <c r="I263" i="4"/>
  <c r="K263" i="4" s="1"/>
  <c r="J262" i="4"/>
  <c r="I262" i="4"/>
  <c r="K262" i="4" s="1"/>
  <c r="J261" i="4"/>
  <c r="I261" i="4"/>
  <c r="K261" i="4" s="1"/>
  <c r="J260" i="4"/>
  <c r="I260" i="4"/>
  <c r="K260" i="4" s="1"/>
  <c r="J259" i="4"/>
  <c r="I259" i="4"/>
  <c r="K259" i="4" s="1"/>
  <c r="J258" i="4"/>
  <c r="I258" i="4"/>
  <c r="K258" i="4" s="1"/>
  <c r="J257" i="4"/>
  <c r="I257" i="4"/>
  <c r="K257" i="4" s="1"/>
  <c r="J256" i="4"/>
  <c r="I256" i="4"/>
  <c r="K256" i="4" s="1"/>
  <c r="J255" i="4"/>
  <c r="I255" i="4"/>
  <c r="K255" i="4" s="1"/>
  <c r="J254" i="4"/>
  <c r="I254" i="4"/>
  <c r="K254" i="4" s="1"/>
  <c r="J253" i="4"/>
  <c r="I253" i="4"/>
  <c r="K253" i="4" s="1"/>
  <c r="J252" i="4"/>
  <c r="I252" i="4"/>
  <c r="K252" i="4" s="1"/>
  <c r="J251" i="4"/>
  <c r="I251" i="4"/>
  <c r="K251" i="4" s="1"/>
  <c r="L251" i="4" s="1"/>
  <c r="J250" i="4"/>
  <c r="I250" i="4"/>
  <c r="K250" i="4" s="1"/>
  <c r="J249" i="4"/>
  <c r="I249" i="4"/>
  <c r="K249" i="4" s="1"/>
  <c r="K248" i="4"/>
  <c r="J248" i="4"/>
  <c r="I248" i="4"/>
  <c r="J247" i="4"/>
  <c r="I247" i="4"/>
  <c r="K247" i="4" s="1"/>
  <c r="J246" i="4"/>
  <c r="I246" i="4"/>
  <c r="K246" i="4" s="1"/>
  <c r="J245" i="4"/>
  <c r="I245" i="4"/>
  <c r="K245" i="4" s="1"/>
  <c r="J244" i="4"/>
  <c r="I244" i="4"/>
  <c r="K244" i="4" s="1"/>
  <c r="L244" i="4" s="1"/>
  <c r="J243" i="4"/>
  <c r="I243" i="4"/>
  <c r="K243" i="4" s="1"/>
  <c r="J242" i="4"/>
  <c r="I242" i="4"/>
  <c r="K242" i="4" s="1"/>
  <c r="J241" i="4"/>
  <c r="I241" i="4"/>
  <c r="K241" i="4" s="1"/>
  <c r="J240" i="4"/>
  <c r="I240" i="4"/>
  <c r="K240" i="4" s="1"/>
  <c r="L240" i="4" s="1"/>
  <c r="J239" i="4"/>
  <c r="I239" i="4"/>
  <c r="K239" i="4" s="1"/>
  <c r="J238" i="4"/>
  <c r="I238" i="4"/>
  <c r="K238" i="4" s="1"/>
  <c r="J237" i="4"/>
  <c r="I237" i="4"/>
  <c r="K237" i="4" s="1"/>
  <c r="J236" i="4"/>
  <c r="I236" i="4"/>
  <c r="K236" i="4" s="1"/>
  <c r="L236" i="4" s="1"/>
  <c r="J235" i="4"/>
  <c r="I235" i="4"/>
  <c r="K235" i="4" s="1"/>
  <c r="J234" i="4"/>
  <c r="I234" i="4"/>
  <c r="K234" i="4" s="1"/>
  <c r="L234" i="4" s="1"/>
  <c r="J233" i="4"/>
  <c r="I233" i="4"/>
  <c r="K233" i="4" s="1"/>
  <c r="J232" i="4"/>
  <c r="I232" i="4"/>
  <c r="K232" i="4" s="1"/>
  <c r="L232" i="4" s="1"/>
  <c r="J231" i="4"/>
  <c r="I231" i="4"/>
  <c r="K231" i="4" s="1"/>
  <c r="J230" i="4"/>
  <c r="I230" i="4"/>
  <c r="K230" i="4" s="1"/>
  <c r="J229" i="4"/>
  <c r="I229" i="4"/>
  <c r="K229" i="4" s="1"/>
  <c r="J228" i="4"/>
  <c r="I228" i="4"/>
  <c r="K228" i="4" s="1"/>
  <c r="L228" i="4" s="1"/>
  <c r="J227" i="4"/>
  <c r="I227" i="4"/>
  <c r="K227" i="4" s="1"/>
  <c r="J226" i="4"/>
  <c r="I226" i="4"/>
  <c r="K226" i="4" s="1"/>
  <c r="J225" i="4"/>
  <c r="I225" i="4"/>
  <c r="K225" i="4" s="1"/>
  <c r="J224" i="4"/>
  <c r="I224" i="4"/>
  <c r="K224" i="4" s="1"/>
  <c r="L224" i="4" s="1"/>
  <c r="J223" i="4"/>
  <c r="I223" i="4"/>
  <c r="K223" i="4" s="1"/>
  <c r="J222" i="4"/>
  <c r="I222" i="4"/>
  <c r="K222" i="4" s="1"/>
  <c r="J221" i="4"/>
  <c r="I221" i="4"/>
  <c r="K221" i="4" s="1"/>
  <c r="J220" i="4"/>
  <c r="I220" i="4"/>
  <c r="K220" i="4" s="1"/>
  <c r="L220" i="4" s="1"/>
  <c r="J219" i="4"/>
  <c r="I219" i="4"/>
  <c r="K219" i="4" s="1"/>
  <c r="L219" i="4" s="1"/>
  <c r="J218" i="4"/>
  <c r="I218" i="4"/>
  <c r="K218" i="4" s="1"/>
  <c r="J217" i="4"/>
  <c r="I217" i="4"/>
  <c r="K217" i="4" s="1"/>
  <c r="J216" i="4"/>
  <c r="I216" i="4"/>
  <c r="K216" i="4" s="1"/>
  <c r="L216" i="4" s="1"/>
  <c r="J215" i="4"/>
  <c r="I215" i="4"/>
  <c r="K215" i="4" s="1"/>
  <c r="L215" i="4" s="1"/>
  <c r="J214" i="4"/>
  <c r="I214" i="4"/>
  <c r="K214" i="4" s="1"/>
  <c r="J213" i="4"/>
  <c r="I213" i="4"/>
  <c r="K213" i="4" s="1"/>
  <c r="J212" i="4"/>
  <c r="I212" i="4"/>
  <c r="K212" i="4" s="1"/>
  <c r="L212" i="4" s="1"/>
  <c r="J211" i="4"/>
  <c r="I211" i="4"/>
  <c r="K211" i="4" s="1"/>
  <c r="J210" i="4"/>
  <c r="I210" i="4"/>
  <c r="K210" i="4" s="1"/>
  <c r="J209" i="4"/>
  <c r="I209" i="4"/>
  <c r="K209" i="4" s="1"/>
  <c r="J208" i="4"/>
  <c r="I208" i="4"/>
  <c r="K208" i="4" s="1"/>
  <c r="L208" i="4" s="1"/>
  <c r="J207" i="4"/>
  <c r="I207" i="4"/>
  <c r="K207" i="4" s="1"/>
  <c r="L207" i="4" s="1"/>
  <c r="J206" i="4"/>
  <c r="I206" i="4"/>
  <c r="K206" i="4" s="1"/>
  <c r="J205" i="4"/>
  <c r="I205" i="4"/>
  <c r="K205" i="4" s="1"/>
  <c r="J204" i="4"/>
  <c r="I204" i="4"/>
  <c r="K204" i="4" s="1"/>
  <c r="L204" i="4" s="1"/>
  <c r="J203" i="4"/>
  <c r="I203" i="4"/>
  <c r="K203" i="4" s="1"/>
  <c r="J202" i="4"/>
  <c r="I202" i="4"/>
  <c r="K202" i="4" s="1"/>
  <c r="J201" i="4"/>
  <c r="I201" i="4"/>
  <c r="K201" i="4" s="1"/>
  <c r="L201" i="4" s="1"/>
  <c r="J200" i="4"/>
  <c r="I200" i="4"/>
  <c r="K200" i="4" s="1"/>
  <c r="J199" i="4"/>
  <c r="I199" i="4"/>
  <c r="K199" i="4" s="1"/>
  <c r="L199" i="4" s="1"/>
  <c r="J198" i="4"/>
  <c r="I198" i="4"/>
  <c r="K198" i="4" s="1"/>
  <c r="J197" i="4"/>
  <c r="I197" i="4"/>
  <c r="K197" i="4" s="1"/>
  <c r="J196" i="4"/>
  <c r="I196" i="4"/>
  <c r="K196" i="4" s="1"/>
  <c r="J195" i="4"/>
  <c r="I195" i="4"/>
  <c r="K195" i="4" s="1"/>
  <c r="J194" i="4"/>
  <c r="I194" i="4"/>
  <c r="K194" i="4" s="1"/>
  <c r="L194" i="4" s="1"/>
  <c r="J193" i="4"/>
  <c r="I193" i="4"/>
  <c r="K193" i="4" s="1"/>
  <c r="J192" i="4"/>
  <c r="I192" i="4"/>
  <c r="K192" i="4" s="1"/>
  <c r="J191" i="4"/>
  <c r="I191" i="4"/>
  <c r="K191" i="4" s="1"/>
  <c r="L191" i="4" s="1"/>
  <c r="J190" i="4"/>
  <c r="I190" i="4"/>
  <c r="K190" i="4" s="1"/>
  <c r="L190" i="4" s="1"/>
  <c r="J189" i="4"/>
  <c r="I189" i="4"/>
  <c r="K189" i="4" s="1"/>
  <c r="L189" i="4" s="1"/>
  <c r="J188" i="4"/>
  <c r="I188" i="4"/>
  <c r="K188" i="4" s="1"/>
  <c r="L188" i="4" s="1"/>
  <c r="J187" i="4"/>
  <c r="I187" i="4"/>
  <c r="K187" i="4" s="1"/>
  <c r="J186" i="4"/>
  <c r="I186" i="4"/>
  <c r="K186" i="4" s="1"/>
  <c r="J185" i="4"/>
  <c r="I185" i="4"/>
  <c r="K185" i="4" s="1"/>
  <c r="J184" i="4"/>
  <c r="I184" i="4"/>
  <c r="K184" i="4" s="1"/>
  <c r="L184" i="4" s="1"/>
  <c r="J183" i="4"/>
  <c r="I183" i="4"/>
  <c r="K183" i="4" s="1"/>
  <c r="J182" i="4"/>
  <c r="I182" i="4"/>
  <c r="K182" i="4" s="1"/>
  <c r="L182" i="4" s="1"/>
  <c r="J181" i="4"/>
  <c r="I181" i="4"/>
  <c r="K181" i="4" s="1"/>
  <c r="J180" i="4"/>
  <c r="I180" i="4"/>
  <c r="K180" i="4" s="1"/>
  <c r="L180" i="4" s="1"/>
  <c r="J179" i="4"/>
  <c r="I179" i="4"/>
  <c r="K179" i="4" s="1"/>
  <c r="J178" i="4"/>
  <c r="I178" i="4"/>
  <c r="K178" i="4" s="1"/>
  <c r="J177" i="4"/>
  <c r="I177" i="4"/>
  <c r="K177" i="4" s="1"/>
  <c r="L177" i="4" s="1"/>
  <c r="J176" i="4"/>
  <c r="I176" i="4"/>
  <c r="K176" i="4" s="1"/>
  <c r="L176" i="4" s="1"/>
  <c r="J175" i="4"/>
  <c r="I175" i="4"/>
  <c r="K175" i="4" s="1"/>
  <c r="J174" i="4"/>
  <c r="I174" i="4"/>
  <c r="K174" i="4" s="1"/>
  <c r="J173" i="4"/>
  <c r="I173" i="4"/>
  <c r="K173" i="4" s="1"/>
  <c r="L173" i="4" s="1"/>
  <c r="J172" i="4"/>
  <c r="I172" i="4"/>
  <c r="K172" i="4" s="1"/>
  <c r="L172" i="4" s="1"/>
  <c r="J171" i="4"/>
  <c r="I171" i="4"/>
  <c r="K171" i="4" s="1"/>
  <c r="J170" i="4"/>
  <c r="I170" i="4"/>
  <c r="K170" i="4" s="1"/>
  <c r="L170" i="4" s="1"/>
  <c r="J169" i="4"/>
  <c r="I169" i="4"/>
  <c r="K169" i="4" s="1"/>
  <c r="L169" i="4" s="1"/>
  <c r="J168" i="4"/>
  <c r="I168" i="4"/>
  <c r="K168" i="4" s="1"/>
  <c r="L168" i="4" s="1"/>
  <c r="J167" i="4"/>
  <c r="I167" i="4"/>
  <c r="K167" i="4" s="1"/>
  <c r="J166" i="4"/>
  <c r="I166" i="4"/>
  <c r="K166" i="4" s="1"/>
  <c r="J165" i="4"/>
  <c r="I165" i="4"/>
  <c r="K165" i="4" s="1"/>
  <c r="L165" i="4" s="1"/>
  <c r="J164" i="4"/>
  <c r="I164" i="4"/>
  <c r="K164" i="4" s="1"/>
  <c r="L164" i="4" s="1"/>
  <c r="J163" i="4"/>
  <c r="I163" i="4"/>
  <c r="K163" i="4" s="1"/>
  <c r="J162" i="4"/>
  <c r="I162" i="4"/>
  <c r="K162" i="4" s="1"/>
  <c r="L162" i="4" s="1"/>
  <c r="J161" i="4"/>
  <c r="I161" i="4"/>
  <c r="K161" i="4" s="1"/>
  <c r="L161" i="4" s="1"/>
  <c r="J160" i="4"/>
  <c r="I160" i="4"/>
  <c r="K160" i="4" s="1"/>
  <c r="L160" i="4" s="1"/>
  <c r="J159" i="4"/>
  <c r="I159" i="4"/>
  <c r="K159" i="4" s="1"/>
  <c r="J158" i="4"/>
  <c r="I158" i="4"/>
  <c r="K158" i="4" s="1"/>
  <c r="L158" i="4" s="1"/>
  <c r="J157" i="4"/>
  <c r="I157" i="4"/>
  <c r="K157" i="4" s="1"/>
  <c r="L157" i="4" s="1"/>
  <c r="J156" i="4"/>
  <c r="I156" i="4"/>
  <c r="K156" i="4" s="1"/>
  <c r="L156" i="4" s="1"/>
  <c r="J155" i="4"/>
  <c r="I155" i="4"/>
  <c r="K155" i="4" s="1"/>
  <c r="J154" i="4"/>
  <c r="I154" i="4"/>
  <c r="K154" i="4" s="1"/>
  <c r="L154" i="4" s="1"/>
  <c r="J153" i="4"/>
  <c r="I153" i="4"/>
  <c r="K153" i="4" s="1"/>
  <c r="L153" i="4" s="1"/>
  <c r="J152" i="4"/>
  <c r="I152" i="4"/>
  <c r="K152" i="4" s="1"/>
  <c r="J151" i="4"/>
  <c r="I151" i="4"/>
  <c r="K151" i="4" s="1"/>
  <c r="J150" i="4"/>
  <c r="I150" i="4"/>
  <c r="K150" i="4" s="1"/>
  <c r="L150" i="4" s="1"/>
  <c r="J149" i="4"/>
  <c r="I149" i="4"/>
  <c r="K149" i="4" s="1"/>
  <c r="J148" i="4"/>
  <c r="I148" i="4"/>
  <c r="K148" i="4" s="1"/>
  <c r="L148" i="4" s="1"/>
  <c r="J147" i="4"/>
  <c r="I147" i="4"/>
  <c r="K147" i="4" s="1"/>
  <c r="J146" i="4"/>
  <c r="I146" i="4"/>
  <c r="K146" i="4" s="1"/>
  <c r="J145" i="4"/>
  <c r="I145" i="4"/>
  <c r="K145" i="4" s="1"/>
  <c r="L145" i="4" s="1"/>
  <c r="J144" i="4"/>
  <c r="I144" i="4"/>
  <c r="K144" i="4" s="1"/>
  <c r="L144" i="4" s="1"/>
  <c r="J143" i="4"/>
  <c r="I143" i="4"/>
  <c r="K143" i="4" s="1"/>
  <c r="J142" i="4"/>
  <c r="I142" i="4"/>
  <c r="K142" i="4" s="1"/>
  <c r="J141" i="4"/>
  <c r="I141" i="4"/>
  <c r="K141" i="4" s="1"/>
  <c r="J140" i="4"/>
  <c r="I140" i="4"/>
  <c r="K140" i="4" s="1"/>
  <c r="J139" i="4"/>
  <c r="I139" i="4"/>
  <c r="K139" i="4" s="1"/>
  <c r="J138" i="4"/>
  <c r="I138" i="4"/>
  <c r="K138" i="4" s="1"/>
  <c r="J137" i="4"/>
  <c r="I137" i="4"/>
  <c r="K137" i="4" s="1"/>
  <c r="L137" i="4" s="1"/>
  <c r="J136" i="4"/>
  <c r="I136" i="4"/>
  <c r="K136" i="4" s="1"/>
  <c r="J135" i="4"/>
  <c r="I135" i="4"/>
  <c r="K135" i="4" s="1"/>
  <c r="J134" i="4"/>
  <c r="I134" i="4"/>
  <c r="K134" i="4" s="1"/>
  <c r="J133" i="4"/>
  <c r="I133" i="4"/>
  <c r="K133" i="4" s="1"/>
  <c r="J132" i="4"/>
  <c r="I132" i="4"/>
  <c r="K132" i="4" s="1"/>
  <c r="J131" i="4"/>
  <c r="I131" i="4"/>
  <c r="K131" i="4" s="1"/>
  <c r="J130" i="4"/>
  <c r="I130" i="4"/>
  <c r="K130" i="4" s="1"/>
  <c r="J129" i="4"/>
  <c r="I129" i="4"/>
  <c r="K129" i="4" s="1"/>
  <c r="J128" i="4"/>
  <c r="I128" i="4"/>
  <c r="K128" i="4" s="1"/>
  <c r="J127" i="4"/>
  <c r="I127" i="4"/>
  <c r="K127" i="4" s="1"/>
  <c r="J126" i="4"/>
  <c r="I126" i="4"/>
  <c r="K126" i="4" s="1"/>
  <c r="L126" i="4" s="1"/>
  <c r="J125" i="4"/>
  <c r="I125" i="4"/>
  <c r="K125" i="4" s="1"/>
  <c r="J124" i="4"/>
  <c r="I124" i="4"/>
  <c r="K124" i="4" s="1"/>
  <c r="J123" i="4"/>
  <c r="I123" i="4"/>
  <c r="K123" i="4" s="1"/>
  <c r="J122" i="4"/>
  <c r="I122" i="4"/>
  <c r="K122" i="4" s="1"/>
  <c r="J121" i="4"/>
  <c r="I121" i="4"/>
  <c r="K121" i="4" s="1"/>
  <c r="L121" i="4" s="1"/>
  <c r="J120" i="4"/>
  <c r="I120" i="4"/>
  <c r="K120" i="4" s="1"/>
  <c r="J119" i="4"/>
  <c r="I119" i="4"/>
  <c r="K119" i="4" s="1"/>
  <c r="J118" i="4"/>
  <c r="I118" i="4"/>
  <c r="K118" i="4" s="1"/>
  <c r="J117" i="4"/>
  <c r="I117" i="4"/>
  <c r="K117" i="4" s="1"/>
  <c r="J116" i="4"/>
  <c r="I116" i="4"/>
  <c r="K116" i="4" s="1"/>
  <c r="L116" i="4" s="1"/>
  <c r="J115" i="4"/>
  <c r="I115" i="4"/>
  <c r="K115" i="4" s="1"/>
  <c r="J114" i="4"/>
  <c r="I114" i="4"/>
  <c r="K114" i="4" s="1"/>
  <c r="J113" i="4"/>
  <c r="I113" i="4"/>
  <c r="K113" i="4" s="1"/>
  <c r="L113" i="4" s="1"/>
  <c r="J112" i="4"/>
  <c r="I112" i="4"/>
  <c r="K112" i="4" s="1"/>
  <c r="J111" i="4"/>
  <c r="I111" i="4"/>
  <c r="K111" i="4" s="1"/>
  <c r="J110" i="4"/>
  <c r="I110" i="4"/>
  <c r="K110" i="4" s="1"/>
  <c r="J109" i="4"/>
  <c r="I109" i="4"/>
  <c r="K109" i="4" s="1"/>
  <c r="J108" i="4"/>
  <c r="I108" i="4"/>
  <c r="K108" i="4" s="1"/>
  <c r="L108" i="4" s="1"/>
  <c r="J107" i="4"/>
  <c r="I107" i="4"/>
  <c r="K107" i="4" s="1"/>
  <c r="L107" i="4" s="1"/>
  <c r="J106" i="4"/>
  <c r="I106" i="4"/>
  <c r="K106" i="4" s="1"/>
  <c r="L106" i="4" s="1"/>
  <c r="J105" i="4"/>
  <c r="I105" i="4"/>
  <c r="K105" i="4" s="1"/>
  <c r="K104" i="4"/>
  <c r="J104" i="4"/>
  <c r="I104" i="4"/>
  <c r="J103" i="4"/>
  <c r="I103" i="4"/>
  <c r="K103" i="4" s="1"/>
  <c r="J102" i="4"/>
  <c r="I102" i="4"/>
  <c r="K102" i="4" s="1"/>
  <c r="J101" i="4"/>
  <c r="I101" i="4"/>
  <c r="K101" i="4" s="1"/>
  <c r="J100" i="4"/>
  <c r="I100" i="4"/>
  <c r="K100" i="4" s="1"/>
  <c r="J99" i="4"/>
  <c r="I99" i="4"/>
  <c r="K99" i="4" s="1"/>
  <c r="J98" i="4"/>
  <c r="I98" i="4"/>
  <c r="K98" i="4" s="1"/>
  <c r="J97" i="4"/>
  <c r="I97" i="4"/>
  <c r="K97" i="4" s="1"/>
  <c r="J96" i="4"/>
  <c r="I96" i="4"/>
  <c r="K96" i="4" s="1"/>
  <c r="L96" i="4" s="1"/>
  <c r="J95" i="4"/>
  <c r="I95" i="4"/>
  <c r="K95" i="4" s="1"/>
  <c r="J94" i="4"/>
  <c r="I94" i="4"/>
  <c r="K94" i="4" s="1"/>
  <c r="J93" i="4"/>
  <c r="I93" i="4"/>
  <c r="K93" i="4" s="1"/>
  <c r="L93" i="4" s="1"/>
  <c r="J92" i="4"/>
  <c r="I92" i="4"/>
  <c r="K92" i="4" s="1"/>
  <c r="J91" i="4"/>
  <c r="I91" i="4"/>
  <c r="K91" i="4" s="1"/>
  <c r="J90" i="4"/>
  <c r="I90" i="4"/>
  <c r="K90" i="4" s="1"/>
  <c r="J89" i="4"/>
  <c r="I89" i="4"/>
  <c r="K89" i="4" s="1"/>
  <c r="L89" i="4" s="1"/>
  <c r="J88" i="4"/>
  <c r="I88" i="4"/>
  <c r="K88" i="4" s="1"/>
  <c r="V87" i="4"/>
  <c r="J87" i="4"/>
  <c r="I87" i="4"/>
  <c r="K87" i="4" s="1"/>
  <c r="J86" i="4"/>
  <c r="I86" i="4"/>
  <c r="K86" i="4" s="1"/>
  <c r="J85" i="4"/>
  <c r="I85" i="4"/>
  <c r="K85" i="4" s="1"/>
  <c r="J84" i="4"/>
  <c r="I84" i="4"/>
  <c r="K84" i="4" s="1"/>
  <c r="J83" i="4"/>
  <c r="I83" i="4"/>
  <c r="K83" i="4" s="1"/>
  <c r="J82" i="4"/>
  <c r="I82" i="4"/>
  <c r="K82" i="4" s="1"/>
  <c r="L82" i="4" s="1"/>
  <c r="J81" i="4"/>
  <c r="I81" i="4"/>
  <c r="K81" i="4" s="1"/>
  <c r="J80" i="4"/>
  <c r="I80" i="4"/>
  <c r="K80" i="4" s="1"/>
  <c r="J79" i="4"/>
  <c r="I79" i="4"/>
  <c r="K79" i="4" s="1"/>
  <c r="L79" i="4" s="1"/>
  <c r="V81" i="4" s="1"/>
  <c r="J78" i="4"/>
  <c r="I78" i="4"/>
  <c r="K78" i="4" s="1"/>
  <c r="L78" i="4" s="1"/>
  <c r="J77" i="4"/>
  <c r="I77" i="4"/>
  <c r="K77" i="4" s="1"/>
  <c r="J76" i="4"/>
  <c r="I76" i="4"/>
  <c r="K76" i="4" s="1"/>
  <c r="J75" i="4"/>
  <c r="I75" i="4"/>
  <c r="K75" i="4" s="1"/>
  <c r="J74" i="4"/>
  <c r="I74" i="4"/>
  <c r="K74" i="4" s="1"/>
  <c r="J73" i="4"/>
  <c r="I73" i="4"/>
  <c r="K73" i="4" s="1"/>
  <c r="J72" i="4"/>
  <c r="I72" i="4"/>
  <c r="K72" i="4" s="1"/>
  <c r="J71" i="4"/>
  <c r="I71" i="4"/>
  <c r="K71" i="4" s="1"/>
  <c r="L71" i="4" s="1"/>
  <c r="J70" i="4"/>
  <c r="I70" i="4"/>
  <c r="K70" i="4" s="1"/>
  <c r="J69" i="4"/>
  <c r="I69" i="4"/>
  <c r="K69" i="4" s="1"/>
  <c r="J68" i="4"/>
  <c r="I68" i="4"/>
  <c r="K68" i="4" s="1"/>
  <c r="J67" i="4"/>
  <c r="I67" i="4"/>
  <c r="K67" i="4" s="1"/>
  <c r="J66" i="4"/>
  <c r="I66" i="4"/>
  <c r="K66" i="4" s="1"/>
  <c r="J65" i="4"/>
  <c r="I65" i="4"/>
  <c r="K65" i="4" s="1"/>
  <c r="J64" i="4"/>
  <c r="I64" i="4"/>
  <c r="K64" i="4" s="1"/>
  <c r="J63" i="4"/>
  <c r="I63" i="4"/>
  <c r="K63" i="4" s="1"/>
  <c r="L63" i="4" s="1"/>
  <c r="J62" i="4"/>
  <c r="I62" i="4"/>
  <c r="K62" i="4" s="1"/>
  <c r="L62" i="4" s="1"/>
  <c r="J61" i="4"/>
  <c r="I61" i="4"/>
  <c r="K61" i="4" s="1"/>
  <c r="J60" i="4"/>
  <c r="I60" i="4"/>
  <c r="K60" i="4" s="1"/>
  <c r="J59" i="4"/>
  <c r="I59" i="4"/>
  <c r="K59" i="4" s="1"/>
  <c r="L59" i="4" s="1"/>
  <c r="J58" i="4"/>
  <c r="I58" i="4"/>
  <c r="K58" i="4" s="1"/>
  <c r="L58" i="4" s="1"/>
  <c r="J57" i="4"/>
  <c r="I57" i="4"/>
  <c r="K57" i="4" s="1"/>
  <c r="J56" i="4"/>
  <c r="I56" i="4"/>
  <c r="K56" i="4" s="1"/>
  <c r="J55" i="4"/>
  <c r="I55" i="4"/>
  <c r="K55" i="4" s="1"/>
  <c r="J54" i="4"/>
  <c r="I54" i="4"/>
  <c r="K54" i="4" s="1"/>
  <c r="L54" i="4" s="1"/>
  <c r="J53" i="4"/>
  <c r="I53" i="4"/>
  <c r="K53" i="4" s="1"/>
  <c r="J52" i="4"/>
  <c r="I52" i="4"/>
  <c r="K52" i="4" s="1"/>
  <c r="J51" i="4"/>
  <c r="I51" i="4"/>
  <c r="K51" i="4" s="1"/>
  <c r="L51" i="4" s="1"/>
  <c r="J50" i="4"/>
  <c r="I50" i="4"/>
  <c r="K50" i="4" s="1"/>
  <c r="L50" i="4" s="1"/>
  <c r="J49" i="4"/>
  <c r="I49" i="4"/>
  <c r="K49" i="4" s="1"/>
  <c r="J48" i="4"/>
  <c r="I48" i="4"/>
  <c r="K48" i="4" s="1"/>
  <c r="J47" i="4"/>
  <c r="I47" i="4"/>
  <c r="K47" i="4" s="1"/>
  <c r="L47" i="4" s="1"/>
  <c r="J46" i="4"/>
  <c r="I46" i="4"/>
  <c r="K46" i="4" s="1"/>
  <c r="J45" i="4"/>
  <c r="I45" i="4"/>
  <c r="K45" i="4" s="1"/>
  <c r="J44" i="4"/>
  <c r="I44" i="4"/>
  <c r="K44" i="4" s="1"/>
  <c r="J43" i="4"/>
  <c r="I43" i="4"/>
  <c r="K43" i="4" s="1"/>
  <c r="J42" i="4"/>
  <c r="I42" i="4"/>
  <c r="K42" i="4" s="1"/>
  <c r="J41" i="4"/>
  <c r="I41" i="4"/>
  <c r="K41" i="4" s="1"/>
  <c r="J40" i="4"/>
  <c r="I40" i="4"/>
  <c r="K40" i="4" s="1"/>
  <c r="L40" i="4" s="1"/>
  <c r="J39" i="4"/>
  <c r="I39" i="4"/>
  <c r="K39" i="4" s="1"/>
  <c r="J38" i="4"/>
  <c r="I38" i="4"/>
  <c r="K38" i="4" s="1"/>
  <c r="L38" i="4" s="1"/>
  <c r="J37" i="4"/>
  <c r="I37" i="4"/>
  <c r="K37" i="4" s="1"/>
  <c r="J36" i="4"/>
  <c r="I36" i="4"/>
  <c r="K36" i="4" s="1"/>
  <c r="L36" i="4" s="1"/>
  <c r="J35" i="4"/>
  <c r="I35" i="4"/>
  <c r="K35" i="4" s="1"/>
  <c r="L35" i="4" s="1"/>
  <c r="J34" i="4"/>
  <c r="I34" i="4"/>
  <c r="K34" i="4" s="1"/>
  <c r="L34" i="4" s="1"/>
  <c r="J33" i="4"/>
  <c r="I33" i="4"/>
  <c r="K33" i="4" s="1"/>
  <c r="J32" i="4"/>
  <c r="I32" i="4"/>
  <c r="K32" i="4" s="1"/>
  <c r="L32" i="4" s="1"/>
  <c r="J31" i="4"/>
  <c r="I31" i="4"/>
  <c r="K31" i="4" s="1"/>
  <c r="L31" i="4" s="1"/>
  <c r="J30" i="4"/>
  <c r="I30" i="4"/>
  <c r="K30" i="4" s="1"/>
  <c r="J29" i="4"/>
  <c r="I29" i="4"/>
  <c r="K29" i="4" s="1"/>
  <c r="J28" i="4"/>
  <c r="I28" i="4"/>
  <c r="K28" i="4" s="1"/>
  <c r="J27" i="4"/>
  <c r="I27" i="4"/>
  <c r="K27" i="4" s="1"/>
  <c r="J26" i="4"/>
  <c r="I26" i="4"/>
  <c r="K26" i="4" s="1"/>
  <c r="L26" i="4" s="1"/>
  <c r="J25" i="4"/>
  <c r="I25" i="4"/>
  <c r="K25" i="4" s="1"/>
  <c r="J24" i="4"/>
  <c r="I24" i="4"/>
  <c r="K24" i="4" s="1"/>
  <c r="L24" i="4" s="1"/>
  <c r="J23" i="4"/>
  <c r="I23" i="4"/>
  <c r="K23" i="4" s="1"/>
  <c r="L23" i="4" s="1"/>
  <c r="J22" i="4"/>
  <c r="I22" i="4"/>
  <c r="K22" i="4" s="1"/>
  <c r="L22" i="4" s="1"/>
  <c r="J21" i="4"/>
  <c r="I21" i="4"/>
  <c r="K21" i="4" s="1"/>
  <c r="J20" i="4"/>
  <c r="I20" i="4"/>
  <c r="K20" i="4" s="1"/>
  <c r="L20" i="4" s="1"/>
  <c r="J19" i="4"/>
  <c r="I19" i="4"/>
  <c r="K19" i="4" s="1"/>
  <c r="L19" i="4" s="1"/>
  <c r="J18" i="4"/>
  <c r="I18" i="4"/>
  <c r="K18" i="4" s="1"/>
  <c r="L18" i="4" s="1"/>
  <c r="J17" i="4"/>
  <c r="I17" i="4"/>
  <c r="K17" i="4" s="1"/>
  <c r="J16" i="4"/>
  <c r="I16" i="4"/>
  <c r="K16" i="4" s="1"/>
  <c r="L16" i="4" s="1"/>
  <c r="J15" i="4"/>
  <c r="I15" i="4"/>
  <c r="K15" i="4" s="1"/>
  <c r="J14" i="4"/>
  <c r="I14" i="4"/>
  <c r="K14" i="4" s="1"/>
  <c r="L14" i="4" s="1"/>
  <c r="J13" i="4"/>
  <c r="I13" i="4"/>
  <c r="K13" i="4" s="1"/>
  <c r="L13" i="4" s="1"/>
  <c r="J12" i="4"/>
  <c r="I12" i="4"/>
  <c r="K12" i="4" s="1"/>
  <c r="J11" i="4"/>
  <c r="I11" i="4"/>
  <c r="K11" i="4" s="1"/>
  <c r="L11" i="4" s="1"/>
  <c r="L10" i="4"/>
  <c r="J10" i="4"/>
  <c r="I10" i="4"/>
  <c r="K10" i="4" s="1"/>
  <c r="J9" i="4"/>
  <c r="I9" i="4"/>
  <c r="K9" i="4" s="1"/>
  <c r="J8" i="4"/>
  <c r="I8" i="4"/>
  <c r="K8" i="4" s="1"/>
  <c r="L8" i="4" s="1"/>
  <c r="J7" i="4"/>
  <c r="I7" i="4"/>
  <c r="K7" i="4" s="1"/>
  <c r="J6" i="4"/>
  <c r="I6" i="4"/>
  <c r="K6" i="4" s="1"/>
  <c r="L6" i="4" s="1"/>
  <c r="J5" i="4"/>
  <c r="I5" i="4"/>
  <c r="K5" i="4" s="1"/>
  <c r="L5" i="4" s="1"/>
  <c r="J4" i="4"/>
  <c r="I4" i="4"/>
  <c r="K4" i="4" s="1"/>
  <c r="J3" i="4"/>
  <c r="I3" i="4"/>
  <c r="K3" i="4" s="1"/>
  <c r="J2" i="4"/>
  <c r="I2" i="4"/>
  <c r="K2" i="4" s="1"/>
  <c r="L2" i="4" s="1"/>
  <c r="J322" i="3"/>
  <c r="I322" i="3"/>
  <c r="K322" i="3" s="1"/>
  <c r="L322" i="3" s="1"/>
  <c r="J321" i="3"/>
  <c r="I321" i="3"/>
  <c r="K321" i="3" s="1"/>
  <c r="L321" i="3" s="1"/>
  <c r="J320" i="3"/>
  <c r="I320" i="3"/>
  <c r="K320" i="3" s="1"/>
  <c r="L320" i="3" s="1"/>
  <c r="V102" i="3" s="1"/>
  <c r="J319" i="3"/>
  <c r="I319" i="3"/>
  <c r="K319" i="3" s="1"/>
  <c r="J318" i="3"/>
  <c r="I318" i="3"/>
  <c r="K318" i="3" s="1"/>
  <c r="J317" i="3"/>
  <c r="I317" i="3"/>
  <c r="K317" i="3" s="1"/>
  <c r="L317" i="3" s="1"/>
  <c r="J316" i="3"/>
  <c r="I316" i="3"/>
  <c r="K316" i="3" s="1"/>
  <c r="L316" i="3" s="1"/>
  <c r="J315" i="3"/>
  <c r="I315" i="3"/>
  <c r="K315" i="3" s="1"/>
  <c r="L315" i="3" s="1"/>
  <c r="J314" i="3"/>
  <c r="I314" i="3"/>
  <c r="K314" i="3" s="1"/>
  <c r="L314" i="3" s="1"/>
  <c r="J313" i="3"/>
  <c r="I313" i="3"/>
  <c r="K313" i="3" s="1"/>
  <c r="J312" i="3"/>
  <c r="I312" i="3"/>
  <c r="K312" i="3" s="1"/>
  <c r="J311" i="3"/>
  <c r="I311" i="3"/>
  <c r="K311" i="3" s="1"/>
  <c r="J310" i="3"/>
  <c r="I310" i="3"/>
  <c r="K310" i="3" s="1"/>
  <c r="J309" i="3"/>
  <c r="I309" i="3"/>
  <c r="K309" i="3" s="1"/>
  <c r="L309" i="3" s="1"/>
  <c r="V91" i="3" s="1"/>
  <c r="J308" i="3"/>
  <c r="I308" i="3"/>
  <c r="K308" i="3" s="1"/>
  <c r="L308" i="3" s="1"/>
  <c r="V90" i="3" s="1"/>
  <c r="J307" i="3"/>
  <c r="I307" i="3"/>
  <c r="K307" i="3" s="1"/>
  <c r="L307" i="3" s="1"/>
  <c r="J306" i="3"/>
  <c r="I306" i="3"/>
  <c r="K306" i="3" s="1"/>
  <c r="J305" i="3"/>
  <c r="I305" i="3"/>
  <c r="K305" i="3" s="1"/>
  <c r="L305" i="3" s="1"/>
  <c r="J304" i="3"/>
  <c r="I304" i="3"/>
  <c r="K304" i="3" s="1"/>
  <c r="L304" i="3" s="1"/>
  <c r="V86" i="3" s="1"/>
  <c r="J303" i="3"/>
  <c r="I303" i="3"/>
  <c r="K303" i="3" s="1"/>
  <c r="L303" i="3" s="1"/>
  <c r="J302" i="3"/>
  <c r="I302" i="3"/>
  <c r="K302" i="3" s="1"/>
  <c r="L302" i="3" s="1"/>
  <c r="V84" i="3" s="1"/>
  <c r="J301" i="3"/>
  <c r="I301" i="3"/>
  <c r="K301" i="3" s="1"/>
  <c r="J300" i="3"/>
  <c r="I300" i="3"/>
  <c r="K300" i="3" s="1"/>
  <c r="L300" i="3" s="1"/>
  <c r="J299" i="3"/>
  <c r="I299" i="3"/>
  <c r="K299" i="3" s="1"/>
  <c r="J298" i="3"/>
  <c r="I298" i="3"/>
  <c r="K298" i="3" s="1"/>
  <c r="L298" i="3" s="1"/>
  <c r="J297" i="3"/>
  <c r="I297" i="3"/>
  <c r="K297" i="3" s="1"/>
  <c r="L297" i="3" s="1"/>
  <c r="J296" i="3"/>
  <c r="I296" i="3"/>
  <c r="K296" i="3" s="1"/>
  <c r="L296" i="3" s="1"/>
  <c r="J295" i="3"/>
  <c r="I295" i="3"/>
  <c r="K295" i="3" s="1"/>
  <c r="L295" i="3" s="1"/>
  <c r="J294" i="3"/>
  <c r="I294" i="3"/>
  <c r="K294" i="3" s="1"/>
  <c r="J293" i="3"/>
  <c r="I293" i="3"/>
  <c r="K293" i="3" s="1"/>
  <c r="J292" i="3"/>
  <c r="I292" i="3"/>
  <c r="K292" i="3" s="1"/>
  <c r="L292" i="3" s="1"/>
  <c r="J291" i="3"/>
  <c r="I291" i="3"/>
  <c r="K291" i="3" s="1"/>
  <c r="L291" i="3" s="1"/>
  <c r="J290" i="3"/>
  <c r="I290" i="3"/>
  <c r="K290" i="3" s="1"/>
  <c r="L290" i="3" s="1"/>
  <c r="J289" i="3"/>
  <c r="I289" i="3"/>
  <c r="K289" i="3" s="1"/>
  <c r="L289" i="3" s="1"/>
  <c r="J288" i="3"/>
  <c r="I288" i="3"/>
  <c r="K288" i="3" s="1"/>
  <c r="L288" i="3" s="1"/>
  <c r="J287" i="3"/>
  <c r="I287" i="3"/>
  <c r="K287" i="3" s="1"/>
  <c r="J286" i="3"/>
  <c r="I286" i="3"/>
  <c r="K286" i="3" s="1"/>
  <c r="J285" i="3"/>
  <c r="I285" i="3"/>
  <c r="K285" i="3" s="1"/>
  <c r="L285" i="3" s="1"/>
  <c r="J284" i="3"/>
  <c r="I284" i="3"/>
  <c r="K284" i="3" s="1"/>
  <c r="L284" i="3" s="1"/>
  <c r="J283" i="3"/>
  <c r="I283" i="3"/>
  <c r="K283" i="3" s="1"/>
  <c r="L283" i="3" s="1"/>
  <c r="J282" i="3"/>
  <c r="I282" i="3"/>
  <c r="K282" i="3" s="1"/>
  <c r="L282" i="3" s="1"/>
  <c r="J281" i="3"/>
  <c r="I281" i="3"/>
  <c r="K281" i="3" s="1"/>
  <c r="K280" i="3"/>
  <c r="J280" i="3"/>
  <c r="I280" i="3"/>
  <c r="J279" i="3"/>
  <c r="I279" i="3"/>
  <c r="K279" i="3" s="1"/>
  <c r="J278" i="3"/>
  <c r="I278" i="3"/>
  <c r="K278" i="3" s="1"/>
  <c r="L278" i="3" s="1"/>
  <c r="J277" i="3"/>
  <c r="I277" i="3"/>
  <c r="K277" i="3" s="1"/>
  <c r="L277" i="3" s="1"/>
  <c r="K276" i="3"/>
  <c r="L276" i="3" s="1"/>
  <c r="J276" i="3"/>
  <c r="I276" i="3"/>
  <c r="J275" i="3"/>
  <c r="I275" i="3"/>
  <c r="K275" i="3" s="1"/>
  <c r="L275" i="3" s="1"/>
  <c r="J274" i="3"/>
  <c r="I274" i="3"/>
  <c r="K274" i="3" s="1"/>
  <c r="J273" i="3"/>
  <c r="I273" i="3"/>
  <c r="K273" i="3" s="1"/>
  <c r="L273" i="3" s="1"/>
  <c r="J272" i="3"/>
  <c r="I272" i="3"/>
  <c r="K272" i="3" s="1"/>
  <c r="L272" i="3" s="1"/>
  <c r="J271" i="3"/>
  <c r="I271" i="3"/>
  <c r="K271" i="3" s="1"/>
  <c r="J270" i="3"/>
  <c r="I270" i="3"/>
  <c r="K270" i="3" s="1"/>
  <c r="L270" i="3" s="1"/>
  <c r="J269" i="3"/>
  <c r="I269" i="3"/>
  <c r="K269" i="3" s="1"/>
  <c r="L269" i="3" s="1"/>
  <c r="J268" i="3"/>
  <c r="I268" i="3"/>
  <c r="K268" i="3" s="1"/>
  <c r="L268" i="3" s="1"/>
  <c r="J267" i="3"/>
  <c r="I267" i="3"/>
  <c r="K267" i="3" s="1"/>
  <c r="L267" i="3" s="1"/>
  <c r="J266" i="3"/>
  <c r="I266" i="3"/>
  <c r="K266" i="3" s="1"/>
  <c r="L266" i="3" s="1"/>
  <c r="J265" i="3"/>
  <c r="I265" i="3"/>
  <c r="K265" i="3" s="1"/>
  <c r="L265" i="3" s="1"/>
  <c r="J264" i="3"/>
  <c r="I264" i="3"/>
  <c r="K264" i="3" s="1"/>
  <c r="L264" i="3" s="1"/>
  <c r="J263" i="3"/>
  <c r="I263" i="3"/>
  <c r="K263" i="3" s="1"/>
  <c r="J262" i="3"/>
  <c r="I262" i="3"/>
  <c r="K262" i="3" s="1"/>
  <c r="L262" i="3" s="1"/>
  <c r="J261" i="3"/>
  <c r="I261" i="3"/>
  <c r="K261" i="3" s="1"/>
  <c r="J260" i="3"/>
  <c r="I260" i="3"/>
  <c r="K260" i="3" s="1"/>
  <c r="J259" i="3"/>
  <c r="I259" i="3"/>
  <c r="K259" i="3" s="1"/>
  <c r="L259" i="3" s="1"/>
  <c r="J258" i="3"/>
  <c r="I258" i="3"/>
  <c r="K258" i="3" s="1"/>
  <c r="L258" i="3" s="1"/>
  <c r="J257" i="3"/>
  <c r="I257" i="3"/>
  <c r="K257" i="3" s="1"/>
  <c r="J256" i="3"/>
  <c r="I256" i="3"/>
  <c r="K256" i="3" s="1"/>
  <c r="J255" i="3"/>
  <c r="I255" i="3"/>
  <c r="K255" i="3" s="1"/>
  <c r="L255" i="3" s="1"/>
  <c r="J254" i="3"/>
  <c r="I254" i="3"/>
  <c r="K254" i="3" s="1"/>
  <c r="L254" i="3" s="1"/>
  <c r="J253" i="3"/>
  <c r="I253" i="3"/>
  <c r="K253" i="3" s="1"/>
  <c r="J252" i="3"/>
  <c r="I252" i="3"/>
  <c r="K252" i="3" s="1"/>
  <c r="J251" i="3"/>
  <c r="I251" i="3"/>
  <c r="K251" i="3" s="1"/>
  <c r="L251" i="3" s="1"/>
  <c r="J250" i="3"/>
  <c r="I250" i="3"/>
  <c r="K250" i="3" s="1"/>
  <c r="J249" i="3"/>
  <c r="I249" i="3"/>
  <c r="K249" i="3" s="1"/>
  <c r="J248" i="3"/>
  <c r="I248" i="3"/>
  <c r="K248" i="3" s="1"/>
  <c r="J247" i="3"/>
  <c r="I247" i="3"/>
  <c r="K247" i="3" s="1"/>
  <c r="J246" i="3"/>
  <c r="I246" i="3"/>
  <c r="K246" i="3" s="1"/>
  <c r="L246" i="3" s="1"/>
  <c r="J245" i="3"/>
  <c r="I245" i="3"/>
  <c r="K245" i="3" s="1"/>
  <c r="J244" i="3"/>
  <c r="I244" i="3"/>
  <c r="K244" i="3" s="1"/>
  <c r="J243" i="3"/>
  <c r="I243" i="3"/>
  <c r="K243" i="3" s="1"/>
  <c r="L243" i="3" s="1"/>
  <c r="J242" i="3"/>
  <c r="I242" i="3"/>
  <c r="K242" i="3" s="1"/>
  <c r="L242" i="3" s="1"/>
  <c r="J241" i="3"/>
  <c r="I241" i="3"/>
  <c r="K241" i="3" s="1"/>
  <c r="K240" i="3"/>
  <c r="L240" i="3" s="1"/>
  <c r="J240" i="3"/>
  <c r="I240" i="3"/>
  <c r="J239" i="3"/>
  <c r="I239" i="3"/>
  <c r="K239" i="3" s="1"/>
  <c r="L239" i="3" s="1"/>
  <c r="J238" i="3"/>
  <c r="I238" i="3"/>
  <c r="K238" i="3" s="1"/>
  <c r="L238" i="3" s="1"/>
  <c r="J237" i="3"/>
  <c r="I237" i="3"/>
  <c r="K237" i="3" s="1"/>
  <c r="L237" i="3" s="1"/>
  <c r="J236" i="3"/>
  <c r="I236" i="3"/>
  <c r="K236" i="3" s="1"/>
  <c r="L236" i="3" s="1"/>
  <c r="J235" i="3"/>
  <c r="I235" i="3"/>
  <c r="K235" i="3" s="1"/>
  <c r="L235" i="3" s="1"/>
  <c r="J234" i="3"/>
  <c r="I234" i="3"/>
  <c r="K234" i="3" s="1"/>
  <c r="J233" i="3"/>
  <c r="I233" i="3"/>
  <c r="K233" i="3" s="1"/>
  <c r="L233" i="3" s="1"/>
  <c r="J232" i="3"/>
  <c r="I232" i="3"/>
  <c r="K232" i="3" s="1"/>
  <c r="L232" i="3" s="1"/>
  <c r="J231" i="3"/>
  <c r="I231" i="3"/>
  <c r="K231" i="3" s="1"/>
  <c r="L231" i="3" s="1"/>
  <c r="K230" i="3"/>
  <c r="J230" i="3"/>
  <c r="I230" i="3"/>
  <c r="J229" i="3"/>
  <c r="I229" i="3"/>
  <c r="K229" i="3" s="1"/>
  <c r="J228" i="3"/>
  <c r="I228" i="3"/>
  <c r="K228" i="3" s="1"/>
  <c r="L228" i="3" s="1"/>
  <c r="J227" i="3"/>
  <c r="I227" i="3"/>
  <c r="K227" i="3" s="1"/>
  <c r="J226" i="3"/>
  <c r="I226" i="3"/>
  <c r="K226" i="3" s="1"/>
  <c r="L226" i="3" s="1"/>
  <c r="J225" i="3"/>
  <c r="I225" i="3"/>
  <c r="K225" i="3" s="1"/>
  <c r="L225" i="3" s="1"/>
  <c r="J224" i="3"/>
  <c r="I224" i="3"/>
  <c r="K224" i="3" s="1"/>
  <c r="J223" i="3"/>
  <c r="I223" i="3"/>
  <c r="K223" i="3" s="1"/>
  <c r="J222" i="3"/>
  <c r="I222" i="3"/>
  <c r="K222" i="3" s="1"/>
  <c r="J221" i="3"/>
  <c r="I221" i="3"/>
  <c r="K221" i="3" s="1"/>
  <c r="L221" i="3" s="1"/>
  <c r="J220" i="3"/>
  <c r="I220" i="3"/>
  <c r="K220" i="3" s="1"/>
  <c r="L220" i="3" s="1"/>
  <c r="J219" i="3"/>
  <c r="I219" i="3"/>
  <c r="K219" i="3" s="1"/>
  <c r="L219" i="3" s="1"/>
  <c r="J218" i="3"/>
  <c r="I218" i="3"/>
  <c r="K218" i="3" s="1"/>
  <c r="L218" i="3" s="1"/>
  <c r="J217" i="3"/>
  <c r="I217" i="3"/>
  <c r="K217" i="3" s="1"/>
  <c r="J216" i="3"/>
  <c r="I216" i="3"/>
  <c r="K216" i="3" s="1"/>
  <c r="L216" i="3" s="1"/>
  <c r="J215" i="3"/>
  <c r="I215" i="3"/>
  <c r="K215" i="3" s="1"/>
  <c r="J214" i="3"/>
  <c r="I214" i="3"/>
  <c r="K214" i="3" s="1"/>
  <c r="L214" i="3" s="1"/>
  <c r="J213" i="3"/>
  <c r="I213" i="3"/>
  <c r="K213" i="3" s="1"/>
  <c r="L213" i="3" s="1"/>
  <c r="J212" i="3"/>
  <c r="I212" i="3"/>
  <c r="K212" i="3" s="1"/>
  <c r="L212" i="3" s="1"/>
  <c r="J211" i="3"/>
  <c r="I211" i="3"/>
  <c r="K211" i="3" s="1"/>
  <c r="L211" i="3" s="1"/>
  <c r="J210" i="3"/>
  <c r="I210" i="3"/>
  <c r="K210" i="3" s="1"/>
  <c r="J209" i="3"/>
  <c r="I209" i="3"/>
  <c r="K209" i="3" s="1"/>
  <c r="L209" i="3" s="1"/>
  <c r="J208" i="3"/>
  <c r="I208" i="3"/>
  <c r="K208" i="3" s="1"/>
  <c r="L208" i="3" s="1"/>
  <c r="J207" i="3"/>
  <c r="I207" i="3"/>
  <c r="K207" i="3" s="1"/>
  <c r="L207" i="3" s="1"/>
  <c r="J206" i="3"/>
  <c r="I206" i="3"/>
  <c r="K206" i="3" s="1"/>
  <c r="L206" i="3" s="1"/>
  <c r="J205" i="3"/>
  <c r="I205" i="3"/>
  <c r="K205" i="3" s="1"/>
  <c r="L205" i="3" s="1"/>
  <c r="J204" i="3"/>
  <c r="I204" i="3"/>
  <c r="K204" i="3" s="1"/>
  <c r="L204" i="3" s="1"/>
  <c r="J203" i="3"/>
  <c r="I203" i="3"/>
  <c r="K203" i="3" s="1"/>
  <c r="J202" i="3"/>
  <c r="I202" i="3"/>
  <c r="K202" i="3" s="1"/>
  <c r="L202" i="3" s="1"/>
  <c r="J201" i="3"/>
  <c r="I201" i="3"/>
  <c r="K201" i="3" s="1"/>
  <c r="L201" i="3" s="1"/>
  <c r="J200" i="3"/>
  <c r="I200" i="3"/>
  <c r="K200" i="3" s="1"/>
  <c r="L200" i="3" s="1"/>
  <c r="J199" i="3"/>
  <c r="I199" i="3"/>
  <c r="K199" i="3" s="1"/>
  <c r="J198" i="3"/>
  <c r="I198" i="3"/>
  <c r="K198" i="3" s="1"/>
  <c r="J197" i="3"/>
  <c r="I197" i="3"/>
  <c r="K197" i="3" s="1"/>
  <c r="L197" i="3" s="1"/>
  <c r="J196" i="3"/>
  <c r="I196" i="3"/>
  <c r="K196" i="3" s="1"/>
  <c r="J195" i="3"/>
  <c r="I195" i="3"/>
  <c r="K195" i="3" s="1"/>
  <c r="J194" i="3"/>
  <c r="I194" i="3"/>
  <c r="K194" i="3" s="1"/>
  <c r="L194" i="3" s="1"/>
  <c r="J193" i="3"/>
  <c r="I193" i="3"/>
  <c r="K193" i="3" s="1"/>
  <c r="L193" i="3" s="1"/>
  <c r="K192" i="3"/>
  <c r="L192" i="3" s="1"/>
  <c r="J192" i="3"/>
  <c r="I192" i="3"/>
  <c r="J191" i="3"/>
  <c r="I191" i="3"/>
  <c r="K191" i="3" s="1"/>
  <c r="L191" i="3" s="1"/>
  <c r="J190" i="3"/>
  <c r="I190" i="3"/>
  <c r="K190" i="3" s="1"/>
  <c r="L190" i="3" s="1"/>
  <c r="K189" i="3"/>
  <c r="J189" i="3"/>
  <c r="I189" i="3"/>
  <c r="J188" i="3"/>
  <c r="I188" i="3"/>
  <c r="K188" i="3" s="1"/>
  <c r="J187" i="3"/>
  <c r="I187" i="3"/>
  <c r="K187" i="3" s="1"/>
  <c r="L187" i="3" s="1"/>
  <c r="J186" i="3"/>
  <c r="I186" i="3"/>
  <c r="K186" i="3" s="1"/>
  <c r="J185" i="3"/>
  <c r="I185" i="3"/>
  <c r="K185" i="3" s="1"/>
  <c r="J184" i="3"/>
  <c r="I184" i="3"/>
  <c r="K184" i="3" s="1"/>
  <c r="L184" i="3" s="1"/>
  <c r="J183" i="3"/>
  <c r="I183" i="3"/>
  <c r="K183" i="3" s="1"/>
  <c r="L183" i="3" s="1"/>
  <c r="J182" i="3"/>
  <c r="I182" i="3"/>
  <c r="K182" i="3" s="1"/>
  <c r="L182" i="3" s="1"/>
  <c r="J181" i="3"/>
  <c r="I181" i="3"/>
  <c r="K181" i="3" s="1"/>
  <c r="L181" i="3" s="1"/>
  <c r="J180" i="3"/>
  <c r="I180" i="3"/>
  <c r="K180" i="3" s="1"/>
  <c r="L180" i="3" s="1"/>
  <c r="J179" i="3"/>
  <c r="I179" i="3"/>
  <c r="K179" i="3" s="1"/>
  <c r="L179" i="3" s="1"/>
  <c r="J178" i="3"/>
  <c r="I178" i="3"/>
  <c r="K178" i="3" s="1"/>
  <c r="J177" i="3"/>
  <c r="I177" i="3"/>
  <c r="K177" i="3" s="1"/>
  <c r="L177" i="3" s="1"/>
  <c r="J176" i="3"/>
  <c r="I176" i="3"/>
  <c r="K176" i="3" s="1"/>
  <c r="L176" i="3" s="1"/>
  <c r="J175" i="3"/>
  <c r="I175" i="3"/>
  <c r="K175" i="3" s="1"/>
  <c r="L175" i="3" s="1"/>
  <c r="J174" i="3"/>
  <c r="I174" i="3"/>
  <c r="K174" i="3" s="1"/>
  <c r="J173" i="3"/>
  <c r="I173" i="3"/>
  <c r="K173" i="3" s="1"/>
  <c r="J172" i="3"/>
  <c r="I172" i="3"/>
  <c r="K172" i="3" s="1"/>
  <c r="L172" i="3" s="1"/>
  <c r="J171" i="3"/>
  <c r="I171" i="3"/>
  <c r="K171" i="3" s="1"/>
  <c r="J170" i="3"/>
  <c r="I170" i="3"/>
  <c r="K170" i="3" s="1"/>
  <c r="J169" i="3"/>
  <c r="I169" i="3"/>
  <c r="K169" i="3" s="1"/>
  <c r="J168" i="3"/>
  <c r="I168" i="3"/>
  <c r="K168" i="3" s="1"/>
  <c r="J167" i="3"/>
  <c r="I167" i="3"/>
  <c r="K167" i="3" s="1"/>
  <c r="J166" i="3"/>
  <c r="I166" i="3"/>
  <c r="K166" i="3" s="1"/>
  <c r="J165" i="3"/>
  <c r="I165" i="3"/>
  <c r="K165" i="3" s="1"/>
  <c r="L165" i="3" s="1"/>
  <c r="J164" i="3"/>
  <c r="I164" i="3"/>
  <c r="K164" i="3" s="1"/>
  <c r="L164" i="3" s="1"/>
  <c r="K163" i="3"/>
  <c r="L163" i="3" s="1"/>
  <c r="J163" i="3"/>
  <c r="I163" i="3"/>
  <c r="J162" i="3"/>
  <c r="I162" i="3"/>
  <c r="K162" i="3" s="1"/>
  <c r="J161" i="3"/>
  <c r="I161" i="3"/>
  <c r="K161" i="3" s="1"/>
  <c r="L161" i="3" s="1"/>
  <c r="K160" i="3"/>
  <c r="J160" i="3"/>
  <c r="I160" i="3"/>
  <c r="J159" i="3"/>
  <c r="I159" i="3"/>
  <c r="K159" i="3" s="1"/>
  <c r="L159" i="3" s="1"/>
  <c r="J158" i="3"/>
  <c r="I158" i="3"/>
  <c r="K158" i="3" s="1"/>
  <c r="L158" i="3" s="1"/>
  <c r="J157" i="3"/>
  <c r="I157" i="3"/>
  <c r="K157" i="3" s="1"/>
  <c r="L157" i="3" s="1"/>
  <c r="J156" i="3"/>
  <c r="I156" i="3"/>
  <c r="K156" i="3" s="1"/>
  <c r="J155" i="3"/>
  <c r="I155" i="3"/>
  <c r="K155" i="3" s="1"/>
  <c r="L155" i="3" s="1"/>
  <c r="J154" i="3"/>
  <c r="I154" i="3"/>
  <c r="K154" i="3" s="1"/>
  <c r="L154" i="3" s="1"/>
  <c r="J153" i="3"/>
  <c r="I153" i="3"/>
  <c r="K153" i="3" s="1"/>
  <c r="J152" i="3"/>
  <c r="I152" i="3"/>
  <c r="K152" i="3" s="1"/>
  <c r="J151" i="3"/>
  <c r="I151" i="3"/>
  <c r="K151" i="3" s="1"/>
  <c r="J150" i="3"/>
  <c r="I150" i="3"/>
  <c r="K150" i="3" s="1"/>
  <c r="L150" i="3" s="1"/>
  <c r="J149" i="3"/>
  <c r="I149" i="3"/>
  <c r="K149" i="3" s="1"/>
  <c r="L149" i="3" s="1"/>
  <c r="J148" i="3"/>
  <c r="I148" i="3"/>
  <c r="K148" i="3" s="1"/>
  <c r="J147" i="3"/>
  <c r="I147" i="3"/>
  <c r="K147" i="3" s="1"/>
  <c r="L147" i="3" s="1"/>
  <c r="J146" i="3"/>
  <c r="I146" i="3"/>
  <c r="K146" i="3" s="1"/>
  <c r="J145" i="3"/>
  <c r="I145" i="3"/>
  <c r="K145" i="3" s="1"/>
  <c r="L145" i="3" s="1"/>
  <c r="J144" i="3"/>
  <c r="I144" i="3"/>
  <c r="K144" i="3" s="1"/>
  <c r="L144" i="3" s="1"/>
  <c r="J143" i="3"/>
  <c r="I143" i="3"/>
  <c r="K143" i="3" s="1"/>
  <c r="J142" i="3"/>
  <c r="I142" i="3"/>
  <c r="K142" i="3" s="1"/>
  <c r="J141" i="3"/>
  <c r="I141" i="3"/>
  <c r="K141" i="3" s="1"/>
  <c r="L141" i="3" s="1"/>
  <c r="J140" i="3"/>
  <c r="I140" i="3"/>
  <c r="K140" i="3" s="1"/>
  <c r="L140" i="3" s="1"/>
  <c r="J139" i="3"/>
  <c r="I139" i="3"/>
  <c r="K139" i="3" s="1"/>
  <c r="J138" i="3"/>
  <c r="I138" i="3"/>
  <c r="K138" i="3" s="1"/>
  <c r="L138" i="3" s="1"/>
  <c r="J137" i="3"/>
  <c r="I137" i="3"/>
  <c r="K137" i="3" s="1"/>
  <c r="L137" i="3" s="1"/>
  <c r="J136" i="3"/>
  <c r="I136" i="3"/>
  <c r="K136" i="3" s="1"/>
  <c r="J135" i="3"/>
  <c r="I135" i="3"/>
  <c r="K135" i="3" s="1"/>
  <c r="J134" i="3"/>
  <c r="I134" i="3"/>
  <c r="K134" i="3" s="1"/>
  <c r="L134" i="3" s="1"/>
  <c r="K133" i="3"/>
  <c r="J133" i="3"/>
  <c r="I133" i="3"/>
  <c r="J132" i="3"/>
  <c r="I132" i="3"/>
  <c r="K132" i="3" s="1"/>
  <c r="J131" i="3"/>
  <c r="I131" i="3"/>
  <c r="K131" i="3" s="1"/>
  <c r="J130" i="3"/>
  <c r="I130" i="3"/>
  <c r="K130" i="3" s="1"/>
  <c r="L130" i="3" s="1"/>
  <c r="K129" i="3"/>
  <c r="L129" i="3" s="1"/>
  <c r="J129" i="3"/>
  <c r="I129" i="3"/>
  <c r="J128" i="3"/>
  <c r="I128" i="3"/>
  <c r="K128" i="3" s="1"/>
  <c r="L128" i="3" s="1"/>
  <c r="J127" i="3"/>
  <c r="I127" i="3"/>
  <c r="K127" i="3" s="1"/>
  <c r="L127" i="3" s="1"/>
  <c r="J126" i="3"/>
  <c r="I126" i="3"/>
  <c r="K126" i="3" s="1"/>
  <c r="L126" i="3" s="1"/>
  <c r="J125" i="3"/>
  <c r="I125" i="3"/>
  <c r="K125" i="3" s="1"/>
  <c r="L125" i="3" s="1"/>
  <c r="J124" i="3"/>
  <c r="I124" i="3"/>
  <c r="K124" i="3" s="1"/>
  <c r="J123" i="3"/>
  <c r="I123" i="3"/>
  <c r="K123" i="3" s="1"/>
  <c r="L123" i="3" s="1"/>
  <c r="J122" i="3"/>
  <c r="I122" i="3"/>
  <c r="K122" i="3" s="1"/>
  <c r="J121" i="3"/>
  <c r="I121" i="3"/>
  <c r="K121" i="3" s="1"/>
  <c r="L121" i="3" s="1"/>
  <c r="J120" i="3"/>
  <c r="I120" i="3"/>
  <c r="K120" i="3" s="1"/>
  <c r="L120" i="3" s="1"/>
  <c r="J119" i="3"/>
  <c r="I119" i="3"/>
  <c r="K119" i="3" s="1"/>
  <c r="L119" i="3" s="1"/>
  <c r="J118" i="3"/>
  <c r="I118" i="3"/>
  <c r="K118" i="3" s="1"/>
  <c r="J117" i="3"/>
  <c r="I117" i="3"/>
  <c r="K117" i="3" s="1"/>
  <c r="L117" i="3" s="1"/>
  <c r="J116" i="3"/>
  <c r="I116" i="3"/>
  <c r="K116" i="3" s="1"/>
  <c r="J115" i="3"/>
  <c r="I115" i="3"/>
  <c r="K115" i="3" s="1"/>
  <c r="J114" i="3"/>
  <c r="I114" i="3"/>
  <c r="K114" i="3" s="1"/>
  <c r="J113" i="3"/>
  <c r="I113" i="3"/>
  <c r="K113" i="3" s="1"/>
  <c r="L113" i="3" s="1"/>
  <c r="J112" i="3"/>
  <c r="I112" i="3"/>
  <c r="K112" i="3" s="1"/>
  <c r="J111" i="3"/>
  <c r="I111" i="3"/>
  <c r="K111" i="3" s="1"/>
  <c r="L111" i="3" s="1"/>
  <c r="J110" i="3"/>
  <c r="I110" i="3"/>
  <c r="K110" i="3" s="1"/>
  <c r="L110" i="3" s="1"/>
  <c r="J109" i="3"/>
  <c r="I109" i="3"/>
  <c r="K109" i="3" s="1"/>
  <c r="J108" i="3"/>
  <c r="I108" i="3"/>
  <c r="K108" i="3" s="1"/>
  <c r="J107" i="3"/>
  <c r="I107" i="3"/>
  <c r="K107" i="3" s="1"/>
  <c r="L107" i="3" s="1"/>
  <c r="J106" i="3"/>
  <c r="I106" i="3"/>
  <c r="K106" i="3" s="1"/>
  <c r="J105" i="3"/>
  <c r="I105" i="3"/>
  <c r="K105" i="3" s="1"/>
  <c r="L105" i="3" s="1"/>
  <c r="J104" i="3"/>
  <c r="I104" i="3"/>
  <c r="K104" i="3" s="1"/>
  <c r="L104" i="3" s="1"/>
  <c r="V103" i="3"/>
  <c r="K103" i="3"/>
  <c r="J103" i="3"/>
  <c r="I103" i="3"/>
  <c r="J102" i="3"/>
  <c r="I102" i="3"/>
  <c r="K102" i="3" s="1"/>
  <c r="L102" i="3" s="1"/>
  <c r="J101" i="3"/>
  <c r="I101" i="3"/>
  <c r="K101" i="3" s="1"/>
  <c r="L101" i="3" s="1"/>
  <c r="J100" i="3"/>
  <c r="I100" i="3"/>
  <c r="K100" i="3" s="1"/>
  <c r="L100" i="3" s="1"/>
  <c r="V99" i="3"/>
  <c r="J99" i="3"/>
  <c r="I99" i="3"/>
  <c r="K99" i="3" s="1"/>
  <c r="J98" i="3"/>
  <c r="I98" i="3"/>
  <c r="K98" i="3" s="1"/>
  <c r="V97" i="3"/>
  <c r="K97" i="3"/>
  <c r="L97" i="3" s="1"/>
  <c r="J97" i="3"/>
  <c r="I97" i="3"/>
  <c r="J96" i="3"/>
  <c r="I96" i="3"/>
  <c r="K96" i="3" s="1"/>
  <c r="L96" i="3" s="1"/>
  <c r="J95" i="3"/>
  <c r="I95" i="3"/>
  <c r="K95" i="3" s="1"/>
  <c r="L95" i="3" s="1"/>
  <c r="J94" i="3"/>
  <c r="I94" i="3"/>
  <c r="K94" i="3" s="1"/>
  <c r="L94" i="3" s="1"/>
  <c r="J93" i="3"/>
  <c r="I93" i="3"/>
  <c r="K93" i="3" s="1"/>
  <c r="L93" i="3" s="1"/>
  <c r="J92" i="3"/>
  <c r="I92" i="3"/>
  <c r="K92" i="3" s="1"/>
  <c r="L92" i="3" s="1"/>
  <c r="J91" i="3"/>
  <c r="I91" i="3"/>
  <c r="K91" i="3" s="1"/>
  <c r="L91" i="3" s="1"/>
  <c r="K90" i="3"/>
  <c r="J90" i="3"/>
  <c r="I90" i="3"/>
  <c r="J89" i="3"/>
  <c r="I89" i="3"/>
  <c r="K89" i="3" s="1"/>
  <c r="J88" i="3"/>
  <c r="I88" i="3"/>
  <c r="K88" i="3" s="1"/>
  <c r="V87" i="3"/>
  <c r="K87" i="3"/>
  <c r="J87" i="3"/>
  <c r="I87" i="3"/>
  <c r="J86" i="3"/>
  <c r="I86" i="3"/>
  <c r="K86" i="3" s="1"/>
  <c r="V85" i="3"/>
  <c r="J85" i="3"/>
  <c r="I85" i="3"/>
  <c r="K85" i="3" s="1"/>
  <c r="J84" i="3"/>
  <c r="I84" i="3"/>
  <c r="K84" i="3" s="1"/>
  <c r="L84" i="3" s="1"/>
  <c r="J83" i="3"/>
  <c r="I83" i="3"/>
  <c r="K83" i="3" s="1"/>
  <c r="L83" i="3" s="1"/>
  <c r="J82" i="3"/>
  <c r="I82" i="3"/>
  <c r="K82" i="3" s="1"/>
  <c r="J81" i="3"/>
  <c r="I81" i="3"/>
  <c r="K81" i="3" s="1"/>
  <c r="L81" i="3" s="1"/>
  <c r="J80" i="3"/>
  <c r="I80" i="3"/>
  <c r="K80" i="3" s="1"/>
  <c r="J79" i="3"/>
  <c r="I79" i="3"/>
  <c r="K79" i="3" s="1"/>
  <c r="J78" i="3"/>
  <c r="I78" i="3"/>
  <c r="K78" i="3" s="1"/>
  <c r="J77" i="3"/>
  <c r="I77" i="3"/>
  <c r="K77" i="3" s="1"/>
  <c r="L77" i="3" s="1"/>
  <c r="J76" i="3"/>
  <c r="I76" i="3"/>
  <c r="K76" i="3" s="1"/>
  <c r="L76" i="3" s="1"/>
  <c r="V78" i="3" s="1"/>
  <c r="J75" i="3"/>
  <c r="I75" i="3"/>
  <c r="K75" i="3" s="1"/>
  <c r="L75" i="3" s="1"/>
  <c r="V77" i="3" s="1"/>
  <c r="J74" i="3"/>
  <c r="I74" i="3"/>
  <c r="K74" i="3" s="1"/>
  <c r="L74" i="3" s="1"/>
  <c r="K73" i="3"/>
  <c r="L73" i="3" s="1"/>
  <c r="J73" i="3"/>
  <c r="I73" i="3"/>
  <c r="J72" i="3"/>
  <c r="I72" i="3"/>
  <c r="K72" i="3" s="1"/>
  <c r="L72" i="3" s="1"/>
  <c r="J71" i="3"/>
  <c r="I71" i="3"/>
  <c r="K71" i="3" s="1"/>
  <c r="L71" i="3" s="1"/>
  <c r="V73" i="3" s="1"/>
  <c r="K70" i="3"/>
  <c r="J70" i="3"/>
  <c r="I70" i="3"/>
  <c r="J69" i="3"/>
  <c r="I69" i="3"/>
  <c r="K69" i="3" s="1"/>
  <c r="J68" i="3"/>
  <c r="I68" i="3"/>
  <c r="K68" i="3" s="1"/>
  <c r="J67" i="3"/>
  <c r="I67" i="3"/>
  <c r="K67" i="3" s="1"/>
  <c r="L67" i="3" s="1"/>
  <c r="K66" i="3"/>
  <c r="L66" i="3" s="1"/>
  <c r="V68" i="3" s="1"/>
  <c r="J66" i="3"/>
  <c r="I66" i="3"/>
  <c r="J65" i="3"/>
  <c r="I65" i="3"/>
  <c r="K65" i="3" s="1"/>
  <c r="L65" i="3" s="1"/>
  <c r="J64" i="3"/>
  <c r="I64" i="3"/>
  <c r="K64" i="3" s="1"/>
  <c r="L64" i="3" s="1"/>
  <c r="J63" i="3"/>
  <c r="I63" i="3"/>
  <c r="K63" i="3" s="1"/>
  <c r="J62" i="3"/>
  <c r="I62" i="3"/>
  <c r="K62" i="3" s="1"/>
  <c r="L62" i="3" s="1"/>
  <c r="V64" i="3" s="1"/>
  <c r="J61" i="3"/>
  <c r="I61" i="3"/>
  <c r="K61" i="3" s="1"/>
  <c r="L61" i="3" s="1"/>
  <c r="J60" i="3"/>
  <c r="I60" i="3"/>
  <c r="K60" i="3" s="1"/>
  <c r="J59" i="3"/>
  <c r="I59" i="3"/>
  <c r="K59" i="3" s="1"/>
  <c r="J58" i="3"/>
  <c r="I58" i="3"/>
  <c r="K58" i="3" s="1"/>
  <c r="L58" i="3" s="1"/>
  <c r="J57" i="3"/>
  <c r="I57" i="3"/>
  <c r="K57" i="3" s="1"/>
  <c r="L57" i="3" s="1"/>
  <c r="J56" i="3"/>
  <c r="I56" i="3"/>
  <c r="K56" i="3" s="1"/>
  <c r="L56" i="3" s="1"/>
  <c r="J55" i="3"/>
  <c r="I55" i="3"/>
  <c r="K55" i="3" s="1"/>
  <c r="L55" i="3" s="1"/>
  <c r="J54" i="3"/>
  <c r="I54" i="3"/>
  <c r="K54" i="3" s="1"/>
  <c r="L54" i="3" s="1"/>
  <c r="J53" i="3"/>
  <c r="I53" i="3"/>
  <c r="K53" i="3" s="1"/>
  <c r="L53" i="3" s="1"/>
  <c r="J52" i="3"/>
  <c r="I52" i="3"/>
  <c r="K52" i="3" s="1"/>
  <c r="L52" i="3" s="1"/>
  <c r="J51" i="3"/>
  <c r="I51" i="3"/>
  <c r="K51" i="3" s="1"/>
  <c r="L51" i="3" s="1"/>
  <c r="J50" i="3"/>
  <c r="I50" i="3"/>
  <c r="K50" i="3" s="1"/>
  <c r="J49" i="3"/>
  <c r="I49" i="3"/>
  <c r="K49" i="3" s="1"/>
  <c r="L49" i="3" s="1"/>
  <c r="J48" i="3"/>
  <c r="I48" i="3"/>
  <c r="K48" i="3" s="1"/>
  <c r="L48" i="3" s="1"/>
  <c r="J47" i="3"/>
  <c r="I47" i="3"/>
  <c r="K47" i="3" s="1"/>
  <c r="L47" i="3" s="1"/>
  <c r="J46" i="3"/>
  <c r="I46" i="3"/>
  <c r="K46" i="3" s="1"/>
  <c r="L46" i="3" s="1"/>
  <c r="J45" i="3"/>
  <c r="I45" i="3"/>
  <c r="K45" i="3" s="1"/>
  <c r="L45" i="3" s="1"/>
  <c r="J44" i="3"/>
  <c r="I44" i="3"/>
  <c r="K44" i="3" s="1"/>
  <c r="J43" i="3"/>
  <c r="I43" i="3"/>
  <c r="K43" i="3" s="1"/>
  <c r="J42" i="3"/>
  <c r="I42" i="3"/>
  <c r="K42" i="3" s="1"/>
  <c r="L42" i="3" s="1"/>
  <c r="J41" i="3"/>
  <c r="I41" i="3"/>
  <c r="K41" i="3" s="1"/>
  <c r="J40" i="3"/>
  <c r="I40" i="3"/>
  <c r="K40" i="3" s="1"/>
  <c r="L40" i="3" s="1"/>
  <c r="J39" i="3"/>
  <c r="I39" i="3"/>
  <c r="K39" i="3" s="1"/>
  <c r="J38" i="3"/>
  <c r="I38" i="3"/>
  <c r="K38" i="3" s="1"/>
  <c r="J37" i="3"/>
  <c r="I37" i="3"/>
  <c r="K37" i="3" s="1"/>
  <c r="J36" i="3"/>
  <c r="I36" i="3"/>
  <c r="K36" i="3" s="1"/>
  <c r="L36" i="3" s="1"/>
  <c r="J35" i="3"/>
  <c r="I35" i="3"/>
  <c r="K35" i="3" s="1"/>
  <c r="L35" i="3" s="1"/>
  <c r="J34" i="3"/>
  <c r="I34" i="3"/>
  <c r="K34" i="3" s="1"/>
  <c r="L34" i="3" s="1"/>
  <c r="J33" i="3"/>
  <c r="I33" i="3"/>
  <c r="K33" i="3" s="1"/>
  <c r="L33" i="3" s="1"/>
  <c r="K32" i="3"/>
  <c r="J32" i="3"/>
  <c r="I32" i="3"/>
  <c r="J31" i="3"/>
  <c r="I31" i="3"/>
  <c r="K31" i="3" s="1"/>
  <c r="J30" i="3"/>
  <c r="I30" i="3"/>
  <c r="K30" i="3" s="1"/>
  <c r="J29" i="3"/>
  <c r="I29" i="3"/>
  <c r="K29" i="3" s="1"/>
  <c r="L29" i="3" s="1"/>
  <c r="J28" i="3"/>
  <c r="I28" i="3"/>
  <c r="K28" i="3" s="1"/>
  <c r="J27" i="3"/>
  <c r="I27" i="3"/>
  <c r="K27" i="3" s="1"/>
  <c r="J26" i="3"/>
  <c r="I26" i="3"/>
  <c r="K26" i="3" s="1"/>
  <c r="J25" i="3"/>
  <c r="I25" i="3"/>
  <c r="K25" i="3" s="1"/>
  <c r="L25" i="3" s="1"/>
  <c r="J24" i="3"/>
  <c r="I24" i="3"/>
  <c r="K24" i="3" s="1"/>
  <c r="L24" i="3" s="1"/>
  <c r="J23" i="3"/>
  <c r="I23" i="3"/>
  <c r="K23" i="3" s="1"/>
  <c r="L23" i="3" s="1"/>
  <c r="J22" i="3"/>
  <c r="I22" i="3"/>
  <c r="K22" i="3" s="1"/>
  <c r="L22" i="3" s="1"/>
  <c r="J21" i="3"/>
  <c r="I21" i="3"/>
  <c r="K21" i="3" s="1"/>
  <c r="L21" i="3" s="1"/>
  <c r="J20" i="3"/>
  <c r="I20" i="3"/>
  <c r="K20" i="3" s="1"/>
  <c r="L20" i="3" s="1"/>
  <c r="J19" i="3"/>
  <c r="I19" i="3"/>
  <c r="K19" i="3" s="1"/>
  <c r="J18" i="3"/>
  <c r="I18" i="3"/>
  <c r="K18" i="3" s="1"/>
  <c r="J17" i="3"/>
  <c r="I17" i="3"/>
  <c r="K17" i="3" s="1"/>
  <c r="L17" i="3" s="1"/>
  <c r="J16" i="3"/>
  <c r="I16" i="3"/>
  <c r="K16" i="3" s="1"/>
  <c r="L16" i="3" s="1"/>
  <c r="J15" i="3"/>
  <c r="I15" i="3"/>
  <c r="K15" i="3" s="1"/>
  <c r="J14" i="3"/>
  <c r="I14" i="3"/>
  <c r="K14" i="3" s="1"/>
  <c r="L14" i="3" s="1"/>
  <c r="K13" i="3"/>
  <c r="J13" i="3"/>
  <c r="I13" i="3"/>
  <c r="J12" i="3"/>
  <c r="I12" i="3"/>
  <c r="K12" i="3" s="1"/>
  <c r="J11" i="3"/>
  <c r="I11" i="3"/>
  <c r="K11" i="3" s="1"/>
  <c r="L11" i="3" s="1"/>
  <c r="J10" i="3"/>
  <c r="I10" i="3"/>
  <c r="K10" i="3" s="1"/>
  <c r="L10" i="3" s="1"/>
  <c r="J9" i="3"/>
  <c r="I9" i="3"/>
  <c r="K9" i="3" s="1"/>
  <c r="L9" i="3" s="1"/>
  <c r="J8" i="3"/>
  <c r="I8" i="3"/>
  <c r="K8" i="3" s="1"/>
  <c r="L8" i="3" s="1"/>
  <c r="J7" i="3"/>
  <c r="I7" i="3"/>
  <c r="K7" i="3" s="1"/>
  <c r="L7" i="3" s="1"/>
  <c r="J6" i="3"/>
  <c r="I6" i="3"/>
  <c r="K6" i="3" s="1"/>
  <c r="J5" i="3"/>
  <c r="I5" i="3"/>
  <c r="K5" i="3" s="1"/>
  <c r="J4" i="3"/>
  <c r="I4" i="3"/>
  <c r="K4" i="3" s="1"/>
  <c r="J3" i="3"/>
  <c r="I3" i="3"/>
  <c r="K3" i="3" s="1"/>
  <c r="L3" i="3" s="1"/>
  <c r="J2" i="3"/>
  <c r="I2" i="3"/>
  <c r="K2" i="3" s="1"/>
  <c r="J322" i="2"/>
  <c r="I322" i="2"/>
  <c r="K322" i="2" s="1"/>
  <c r="J321" i="2"/>
  <c r="I321" i="2"/>
  <c r="K321" i="2" s="1"/>
  <c r="L321" i="2" s="1"/>
  <c r="J320" i="2"/>
  <c r="I320" i="2"/>
  <c r="K320" i="2" s="1"/>
  <c r="L320" i="2" s="1"/>
  <c r="V102" i="2" s="1"/>
  <c r="J319" i="2"/>
  <c r="I319" i="2"/>
  <c r="K319" i="2" s="1"/>
  <c r="J318" i="2"/>
  <c r="I318" i="2"/>
  <c r="K318" i="2" s="1"/>
  <c r="L318" i="2" s="1"/>
  <c r="J317" i="2"/>
  <c r="I317" i="2"/>
  <c r="K317" i="2" s="1"/>
  <c r="L317" i="2" s="1"/>
  <c r="J316" i="2"/>
  <c r="I316" i="2"/>
  <c r="K316" i="2" s="1"/>
  <c r="L316" i="2" s="1"/>
  <c r="V98" i="2" s="1"/>
  <c r="J315" i="2"/>
  <c r="I315" i="2"/>
  <c r="K315" i="2" s="1"/>
  <c r="J314" i="2"/>
  <c r="I314" i="2"/>
  <c r="K314" i="2" s="1"/>
  <c r="L314" i="2" s="1"/>
  <c r="J313" i="2"/>
  <c r="I313" i="2"/>
  <c r="K313" i="2" s="1"/>
  <c r="L313" i="2" s="1"/>
  <c r="J312" i="2"/>
  <c r="I312" i="2"/>
  <c r="K312" i="2" s="1"/>
  <c r="J311" i="2"/>
  <c r="I311" i="2"/>
  <c r="K311" i="2" s="1"/>
  <c r="J310" i="2"/>
  <c r="I310" i="2"/>
  <c r="K310" i="2" s="1"/>
  <c r="L310" i="2" s="1"/>
  <c r="J309" i="2"/>
  <c r="I309" i="2"/>
  <c r="K309" i="2" s="1"/>
  <c r="J308" i="2"/>
  <c r="I308" i="2"/>
  <c r="K308" i="2" s="1"/>
  <c r="L308" i="2" s="1"/>
  <c r="V90" i="2" s="1"/>
  <c r="J307" i="2"/>
  <c r="I307" i="2"/>
  <c r="K307" i="2" s="1"/>
  <c r="L307" i="2" s="1"/>
  <c r="J306" i="2"/>
  <c r="I306" i="2"/>
  <c r="K306" i="2" s="1"/>
  <c r="L306" i="2" s="1"/>
  <c r="V88" i="2" s="1"/>
  <c r="J305" i="2"/>
  <c r="I305" i="2"/>
  <c r="K305" i="2" s="1"/>
  <c r="L305" i="2" s="1"/>
  <c r="V87" i="2" s="1"/>
  <c r="J304" i="2"/>
  <c r="I304" i="2"/>
  <c r="K304" i="2" s="1"/>
  <c r="L304" i="2" s="1"/>
  <c r="V86" i="2" s="1"/>
  <c r="J303" i="2"/>
  <c r="I303" i="2"/>
  <c r="K303" i="2" s="1"/>
  <c r="L303" i="2" s="1"/>
  <c r="J302" i="2"/>
  <c r="I302" i="2"/>
  <c r="K302" i="2" s="1"/>
  <c r="L302" i="2" s="1"/>
  <c r="J301" i="2"/>
  <c r="I301" i="2"/>
  <c r="K301" i="2" s="1"/>
  <c r="J300" i="2"/>
  <c r="I300" i="2"/>
  <c r="K300" i="2" s="1"/>
  <c r="L300" i="2" s="1"/>
  <c r="J299" i="2"/>
  <c r="I299" i="2"/>
  <c r="K299" i="2" s="1"/>
  <c r="L299" i="2" s="1"/>
  <c r="J298" i="2"/>
  <c r="I298" i="2"/>
  <c r="K298" i="2" s="1"/>
  <c r="L298" i="2" s="1"/>
  <c r="J297" i="2"/>
  <c r="I297" i="2"/>
  <c r="K297" i="2" s="1"/>
  <c r="L297" i="2" s="1"/>
  <c r="J296" i="2"/>
  <c r="I296" i="2"/>
  <c r="K296" i="2" s="1"/>
  <c r="L296" i="2" s="1"/>
  <c r="J295" i="2"/>
  <c r="I295" i="2"/>
  <c r="K295" i="2" s="1"/>
  <c r="L295" i="2" s="1"/>
  <c r="J294" i="2"/>
  <c r="I294" i="2"/>
  <c r="K294" i="2" s="1"/>
  <c r="J293" i="2"/>
  <c r="I293" i="2"/>
  <c r="K293" i="2" s="1"/>
  <c r="J292" i="2"/>
  <c r="I292" i="2"/>
  <c r="K292" i="2" s="1"/>
  <c r="L292" i="2" s="1"/>
  <c r="J291" i="2"/>
  <c r="I291" i="2"/>
  <c r="K291" i="2" s="1"/>
  <c r="L291" i="2" s="1"/>
  <c r="J290" i="2"/>
  <c r="I290" i="2"/>
  <c r="K290" i="2" s="1"/>
  <c r="L290" i="2" s="1"/>
  <c r="J289" i="2"/>
  <c r="I289" i="2"/>
  <c r="K289" i="2" s="1"/>
  <c r="L289" i="2" s="1"/>
  <c r="J288" i="2"/>
  <c r="I288" i="2"/>
  <c r="K288" i="2" s="1"/>
  <c r="L288" i="2" s="1"/>
  <c r="J287" i="2"/>
  <c r="I287" i="2"/>
  <c r="K287" i="2" s="1"/>
  <c r="J286" i="2"/>
  <c r="I286" i="2"/>
  <c r="K286" i="2" s="1"/>
  <c r="J285" i="2"/>
  <c r="I285" i="2"/>
  <c r="K285" i="2" s="1"/>
  <c r="L285" i="2" s="1"/>
  <c r="J284" i="2"/>
  <c r="I284" i="2"/>
  <c r="K284" i="2" s="1"/>
  <c r="L284" i="2" s="1"/>
  <c r="J283" i="2"/>
  <c r="I283" i="2"/>
  <c r="K283" i="2" s="1"/>
  <c r="L283" i="2" s="1"/>
  <c r="J282" i="2"/>
  <c r="I282" i="2"/>
  <c r="K282" i="2" s="1"/>
  <c r="L282" i="2" s="1"/>
  <c r="J281" i="2"/>
  <c r="I281" i="2"/>
  <c r="K281" i="2" s="1"/>
  <c r="L281" i="2" s="1"/>
  <c r="K280" i="2"/>
  <c r="J280" i="2"/>
  <c r="I280" i="2"/>
  <c r="J279" i="2"/>
  <c r="I279" i="2"/>
  <c r="K279" i="2" s="1"/>
  <c r="L279" i="2" s="1"/>
  <c r="J278" i="2"/>
  <c r="I278" i="2"/>
  <c r="K278" i="2" s="1"/>
  <c r="J277" i="2"/>
  <c r="I277" i="2"/>
  <c r="K277" i="2" s="1"/>
  <c r="L277" i="2" s="1"/>
  <c r="K276" i="2"/>
  <c r="L276" i="2" s="1"/>
  <c r="J276" i="2"/>
  <c r="I276" i="2"/>
  <c r="J275" i="2"/>
  <c r="I275" i="2"/>
  <c r="K275" i="2" s="1"/>
  <c r="L275" i="2" s="1"/>
  <c r="J274" i="2"/>
  <c r="I274" i="2"/>
  <c r="K274" i="2" s="1"/>
  <c r="L274" i="2" s="1"/>
  <c r="J273" i="2"/>
  <c r="I273" i="2"/>
  <c r="K273" i="2" s="1"/>
  <c r="L273" i="2" s="1"/>
  <c r="J272" i="2"/>
  <c r="I272" i="2"/>
  <c r="K272" i="2" s="1"/>
  <c r="L272" i="2" s="1"/>
  <c r="J271" i="2"/>
  <c r="I271" i="2"/>
  <c r="K271" i="2" s="1"/>
  <c r="L271" i="2" s="1"/>
  <c r="J270" i="2"/>
  <c r="I270" i="2"/>
  <c r="K270" i="2" s="1"/>
  <c r="L270" i="2" s="1"/>
  <c r="J269" i="2"/>
  <c r="I269" i="2"/>
  <c r="K269" i="2" s="1"/>
  <c r="J268" i="2"/>
  <c r="I268" i="2"/>
  <c r="K268" i="2" s="1"/>
  <c r="L268" i="2" s="1"/>
  <c r="J267" i="2"/>
  <c r="I267" i="2"/>
  <c r="K267" i="2" s="1"/>
  <c r="L267" i="2" s="1"/>
  <c r="J266" i="2"/>
  <c r="I266" i="2"/>
  <c r="K266" i="2" s="1"/>
  <c r="L266" i="2" s="1"/>
  <c r="J265" i="2"/>
  <c r="I265" i="2"/>
  <c r="K265" i="2" s="1"/>
  <c r="L265" i="2" s="1"/>
  <c r="J264" i="2"/>
  <c r="I264" i="2"/>
  <c r="K264" i="2" s="1"/>
  <c r="L264" i="2" s="1"/>
  <c r="J263" i="2"/>
  <c r="I263" i="2"/>
  <c r="K263" i="2" s="1"/>
  <c r="L263" i="2" s="1"/>
  <c r="J262" i="2"/>
  <c r="I262" i="2"/>
  <c r="K262" i="2" s="1"/>
  <c r="J261" i="2"/>
  <c r="I261" i="2"/>
  <c r="K261" i="2" s="1"/>
  <c r="J260" i="2"/>
  <c r="I260" i="2"/>
  <c r="K260" i="2" s="1"/>
  <c r="L260" i="2" s="1"/>
  <c r="J259" i="2"/>
  <c r="I259" i="2"/>
  <c r="K259" i="2" s="1"/>
  <c r="L259" i="2" s="1"/>
  <c r="J258" i="2"/>
  <c r="I258" i="2"/>
  <c r="K258" i="2" s="1"/>
  <c r="L258" i="2" s="1"/>
  <c r="J257" i="2"/>
  <c r="I257" i="2"/>
  <c r="K257" i="2" s="1"/>
  <c r="L257" i="2" s="1"/>
  <c r="J256" i="2"/>
  <c r="I256" i="2"/>
  <c r="K256" i="2" s="1"/>
  <c r="L256" i="2" s="1"/>
  <c r="J255" i="2"/>
  <c r="I255" i="2"/>
  <c r="K255" i="2" s="1"/>
  <c r="J254" i="2"/>
  <c r="I254" i="2"/>
  <c r="K254" i="2" s="1"/>
  <c r="J253" i="2"/>
  <c r="I253" i="2"/>
  <c r="K253" i="2" s="1"/>
  <c r="L253" i="2" s="1"/>
  <c r="J252" i="2"/>
  <c r="I252" i="2"/>
  <c r="K252" i="2" s="1"/>
  <c r="L252" i="2" s="1"/>
  <c r="J251" i="2"/>
  <c r="I251" i="2"/>
  <c r="K251" i="2" s="1"/>
  <c r="L251" i="2" s="1"/>
  <c r="J250" i="2"/>
  <c r="I250" i="2"/>
  <c r="K250" i="2" s="1"/>
  <c r="L250" i="2" s="1"/>
  <c r="J249" i="2"/>
  <c r="I249" i="2"/>
  <c r="K249" i="2" s="1"/>
  <c r="L249" i="2" s="1"/>
  <c r="J248" i="2"/>
  <c r="I248" i="2"/>
  <c r="K248" i="2" s="1"/>
  <c r="J247" i="2"/>
  <c r="I247" i="2"/>
  <c r="K247" i="2" s="1"/>
  <c r="J246" i="2"/>
  <c r="I246" i="2"/>
  <c r="K246" i="2" s="1"/>
  <c r="L246" i="2" s="1"/>
  <c r="J245" i="2"/>
  <c r="I245" i="2"/>
  <c r="K245" i="2" s="1"/>
  <c r="J244" i="2"/>
  <c r="I244" i="2"/>
  <c r="K244" i="2" s="1"/>
  <c r="L244" i="2" s="1"/>
  <c r="J243" i="2"/>
  <c r="I243" i="2"/>
  <c r="K243" i="2" s="1"/>
  <c r="L243" i="2" s="1"/>
  <c r="J242" i="2"/>
  <c r="I242" i="2"/>
  <c r="K242" i="2" s="1"/>
  <c r="L242" i="2" s="1"/>
  <c r="J241" i="2"/>
  <c r="I241" i="2"/>
  <c r="K241" i="2" s="1"/>
  <c r="L241" i="2" s="1"/>
  <c r="J240" i="2"/>
  <c r="I240" i="2"/>
  <c r="K240" i="2" s="1"/>
  <c r="L240" i="2" s="1"/>
  <c r="J239" i="2"/>
  <c r="I239" i="2"/>
  <c r="K239" i="2" s="1"/>
  <c r="L239" i="2" s="1"/>
  <c r="J238" i="2"/>
  <c r="I238" i="2"/>
  <c r="K238" i="2" s="1"/>
  <c r="L238" i="2" s="1"/>
  <c r="J237" i="2"/>
  <c r="I237" i="2"/>
  <c r="K237" i="2" s="1"/>
  <c r="J236" i="2"/>
  <c r="I236" i="2"/>
  <c r="K236" i="2" s="1"/>
  <c r="L236" i="2" s="1"/>
  <c r="J235" i="2"/>
  <c r="I235" i="2"/>
  <c r="K235" i="2" s="1"/>
  <c r="L235" i="2" s="1"/>
  <c r="J234" i="2"/>
  <c r="I234" i="2"/>
  <c r="K234" i="2" s="1"/>
  <c r="L234" i="2" s="1"/>
  <c r="J233" i="2"/>
  <c r="I233" i="2"/>
  <c r="K233" i="2" s="1"/>
  <c r="L233" i="2" s="1"/>
  <c r="J232" i="2"/>
  <c r="I232" i="2"/>
  <c r="K232" i="2" s="1"/>
  <c r="L232" i="2" s="1"/>
  <c r="J231" i="2"/>
  <c r="I231" i="2"/>
  <c r="K231" i="2" s="1"/>
  <c r="L231" i="2" s="1"/>
  <c r="J230" i="2"/>
  <c r="I230" i="2"/>
  <c r="K230" i="2" s="1"/>
  <c r="J229" i="2"/>
  <c r="I229" i="2"/>
  <c r="K229" i="2" s="1"/>
  <c r="J228" i="2"/>
  <c r="I228" i="2"/>
  <c r="K228" i="2" s="1"/>
  <c r="L228" i="2" s="1"/>
  <c r="J227" i="2"/>
  <c r="I227" i="2"/>
  <c r="K227" i="2" s="1"/>
  <c r="L227" i="2" s="1"/>
  <c r="J226" i="2"/>
  <c r="I226" i="2"/>
  <c r="K226" i="2" s="1"/>
  <c r="L226" i="2" s="1"/>
  <c r="J225" i="2"/>
  <c r="I225" i="2"/>
  <c r="K225" i="2" s="1"/>
  <c r="L225" i="2" s="1"/>
  <c r="J224" i="2"/>
  <c r="I224" i="2"/>
  <c r="K224" i="2" s="1"/>
  <c r="L224" i="2" s="1"/>
  <c r="J223" i="2"/>
  <c r="I223" i="2"/>
  <c r="K223" i="2" s="1"/>
  <c r="J222" i="2"/>
  <c r="I222" i="2"/>
  <c r="K222" i="2" s="1"/>
  <c r="J221" i="2"/>
  <c r="I221" i="2"/>
  <c r="K221" i="2" s="1"/>
  <c r="L221" i="2" s="1"/>
  <c r="J220" i="2"/>
  <c r="I220" i="2"/>
  <c r="K220" i="2" s="1"/>
  <c r="L220" i="2" s="1"/>
  <c r="J219" i="2"/>
  <c r="I219" i="2"/>
  <c r="K219" i="2" s="1"/>
  <c r="L219" i="2" s="1"/>
  <c r="J218" i="2"/>
  <c r="I218" i="2"/>
  <c r="K218" i="2" s="1"/>
  <c r="L218" i="2" s="1"/>
  <c r="J217" i="2"/>
  <c r="I217" i="2"/>
  <c r="K217" i="2" s="1"/>
  <c r="L217" i="2" s="1"/>
  <c r="K216" i="2"/>
  <c r="J216" i="2"/>
  <c r="I216" i="2"/>
  <c r="J215" i="2"/>
  <c r="I215" i="2"/>
  <c r="K215" i="2" s="1"/>
  <c r="J214" i="2"/>
  <c r="I214" i="2"/>
  <c r="K214" i="2" s="1"/>
  <c r="J213" i="2"/>
  <c r="I213" i="2"/>
  <c r="K213" i="2" s="1"/>
  <c r="K212" i="2"/>
  <c r="L212" i="2" s="1"/>
  <c r="J212" i="2"/>
  <c r="I212" i="2"/>
  <c r="J211" i="2"/>
  <c r="I211" i="2"/>
  <c r="K211" i="2" s="1"/>
  <c r="L211" i="2" s="1"/>
  <c r="J210" i="2"/>
  <c r="I210" i="2"/>
  <c r="K210" i="2" s="1"/>
  <c r="L210" i="2" s="1"/>
  <c r="J209" i="2"/>
  <c r="I209" i="2"/>
  <c r="K209" i="2" s="1"/>
  <c r="L209" i="2" s="1"/>
  <c r="J208" i="2"/>
  <c r="I208" i="2"/>
  <c r="K208" i="2" s="1"/>
  <c r="L208" i="2" s="1"/>
  <c r="J207" i="2"/>
  <c r="I207" i="2"/>
  <c r="K207" i="2" s="1"/>
  <c r="L207" i="2" s="1"/>
  <c r="J206" i="2"/>
  <c r="I206" i="2"/>
  <c r="K206" i="2" s="1"/>
  <c r="J205" i="2"/>
  <c r="I205" i="2"/>
  <c r="K205" i="2" s="1"/>
  <c r="J204" i="2"/>
  <c r="I204" i="2"/>
  <c r="K204" i="2" s="1"/>
  <c r="L204" i="2" s="1"/>
  <c r="K203" i="2"/>
  <c r="J203" i="2"/>
  <c r="I203" i="2"/>
  <c r="J202" i="2"/>
  <c r="I202" i="2"/>
  <c r="K202" i="2" s="1"/>
  <c r="L202" i="2" s="1"/>
  <c r="J201" i="2"/>
  <c r="I201" i="2"/>
  <c r="K201" i="2" s="1"/>
  <c r="L201" i="2" s="1"/>
  <c r="J200" i="2"/>
  <c r="I200" i="2"/>
  <c r="K200" i="2" s="1"/>
  <c r="L200" i="2" s="1"/>
  <c r="J199" i="2"/>
  <c r="I199" i="2"/>
  <c r="K199" i="2" s="1"/>
  <c r="L199" i="2" s="1"/>
  <c r="J198" i="2"/>
  <c r="I198" i="2"/>
  <c r="K198" i="2" s="1"/>
  <c r="L198" i="2" s="1"/>
  <c r="J197" i="2"/>
  <c r="I197" i="2"/>
  <c r="K197" i="2" s="1"/>
  <c r="J196" i="2"/>
  <c r="I196" i="2"/>
  <c r="K196" i="2" s="1"/>
  <c r="L196" i="2" s="1"/>
  <c r="J195" i="2"/>
  <c r="I195" i="2"/>
  <c r="K195" i="2" s="1"/>
  <c r="L195" i="2" s="1"/>
  <c r="J194" i="2"/>
  <c r="I194" i="2"/>
  <c r="K194" i="2" s="1"/>
  <c r="L194" i="2" s="1"/>
  <c r="J193" i="2"/>
  <c r="I193" i="2"/>
  <c r="K193" i="2" s="1"/>
  <c r="L193" i="2" s="1"/>
  <c r="J192" i="2"/>
  <c r="I192" i="2"/>
  <c r="K192" i="2" s="1"/>
  <c r="L192" i="2" s="1"/>
  <c r="J191" i="2"/>
  <c r="I191" i="2"/>
  <c r="K191" i="2" s="1"/>
  <c r="L191" i="2" s="1"/>
  <c r="K190" i="2"/>
  <c r="J190" i="2"/>
  <c r="I190" i="2"/>
  <c r="J189" i="2"/>
  <c r="I189" i="2"/>
  <c r="K189" i="2" s="1"/>
  <c r="L189" i="2" s="1"/>
  <c r="J188" i="2"/>
  <c r="I188" i="2"/>
  <c r="K188" i="2" s="1"/>
  <c r="J187" i="2"/>
  <c r="I187" i="2"/>
  <c r="K187" i="2" s="1"/>
  <c r="L187" i="2" s="1"/>
  <c r="J186" i="2"/>
  <c r="I186" i="2"/>
  <c r="K186" i="2" s="1"/>
  <c r="J185" i="2"/>
  <c r="I185" i="2"/>
  <c r="K185" i="2" s="1"/>
  <c r="L185" i="2" s="1"/>
  <c r="J184" i="2"/>
  <c r="I184" i="2"/>
  <c r="K184" i="2" s="1"/>
  <c r="L184" i="2" s="1"/>
  <c r="J183" i="2"/>
  <c r="I183" i="2"/>
  <c r="K183" i="2" s="1"/>
  <c r="J182" i="2"/>
  <c r="I182" i="2"/>
  <c r="K182" i="2" s="1"/>
  <c r="L182" i="2" s="1"/>
  <c r="J181" i="2"/>
  <c r="I181" i="2"/>
  <c r="K181" i="2" s="1"/>
  <c r="J180" i="2"/>
  <c r="I180" i="2"/>
  <c r="K180" i="2" s="1"/>
  <c r="J179" i="2"/>
  <c r="I179" i="2"/>
  <c r="K179" i="2" s="1"/>
  <c r="J178" i="2"/>
  <c r="I178" i="2"/>
  <c r="K178" i="2" s="1"/>
  <c r="J177" i="2"/>
  <c r="I177" i="2"/>
  <c r="K177" i="2" s="1"/>
  <c r="J176" i="2"/>
  <c r="I176" i="2"/>
  <c r="K176" i="2" s="1"/>
  <c r="K175" i="2"/>
  <c r="J175" i="2"/>
  <c r="I175" i="2"/>
  <c r="J174" i="2"/>
  <c r="I174" i="2"/>
  <c r="K174" i="2" s="1"/>
  <c r="L174" i="2" s="1"/>
  <c r="J173" i="2"/>
  <c r="I173" i="2"/>
  <c r="K173" i="2" s="1"/>
  <c r="L173" i="2" s="1"/>
  <c r="K172" i="2"/>
  <c r="J172" i="2"/>
  <c r="I172" i="2"/>
  <c r="J171" i="2"/>
  <c r="I171" i="2"/>
  <c r="K171" i="2" s="1"/>
  <c r="L171" i="2" s="1"/>
  <c r="J170" i="2"/>
  <c r="I170" i="2"/>
  <c r="K170" i="2" s="1"/>
  <c r="J169" i="2"/>
  <c r="I169" i="2"/>
  <c r="K169" i="2" s="1"/>
  <c r="J168" i="2"/>
  <c r="I168" i="2"/>
  <c r="K168" i="2" s="1"/>
  <c r="J167" i="2"/>
  <c r="I167" i="2"/>
  <c r="K167" i="2" s="1"/>
  <c r="L167" i="2" s="1"/>
  <c r="K166" i="2"/>
  <c r="J166" i="2"/>
  <c r="I166" i="2"/>
  <c r="J165" i="2"/>
  <c r="I165" i="2"/>
  <c r="K165" i="2" s="1"/>
  <c r="L165" i="2" s="1"/>
  <c r="J164" i="2"/>
  <c r="I164" i="2"/>
  <c r="K164" i="2" s="1"/>
  <c r="L164" i="2" s="1"/>
  <c r="K163" i="2"/>
  <c r="J163" i="2"/>
  <c r="I163" i="2"/>
  <c r="J162" i="2"/>
  <c r="I162" i="2"/>
  <c r="K162" i="2" s="1"/>
  <c r="J161" i="2"/>
  <c r="I161" i="2"/>
  <c r="K161" i="2" s="1"/>
  <c r="J160" i="2"/>
  <c r="I160" i="2"/>
  <c r="K160" i="2" s="1"/>
  <c r="L160" i="2" s="1"/>
  <c r="J159" i="2"/>
  <c r="I159" i="2"/>
  <c r="K159" i="2" s="1"/>
  <c r="J158" i="2"/>
  <c r="I158" i="2"/>
  <c r="K158" i="2" s="1"/>
  <c r="J157" i="2"/>
  <c r="I157" i="2"/>
  <c r="K157" i="2" s="1"/>
  <c r="J156" i="2"/>
  <c r="I156" i="2"/>
  <c r="K156" i="2" s="1"/>
  <c r="L156" i="2" s="1"/>
  <c r="J155" i="2"/>
  <c r="I155" i="2"/>
  <c r="K155" i="2" s="1"/>
  <c r="L155" i="2" s="1"/>
  <c r="J154" i="2"/>
  <c r="I154" i="2"/>
  <c r="K154" i="2" s="1"/>
  <c r="L154" i="2" s="1"/>
  <c r="J153" i="2"/>
  <c r="I153" i="2"/>
  <c r="K153" i="2" s="1"/>
  <c r="J152" i="2"/>
  <c r="I152" i="2"/>
  <c r="K152" i="2" s="1"/>
  <c r="L152" i="2" s="1"/>
  <c r="J151" i="2"/>
  <c r="I151" i="2"/>
  <c r="K151" i="2" s="1"/>
  <c r="L151" i="2" s="1"/>
  <c r="J150" i="2"/>
  <c r="I150" i="2"/>
  <c r="K150" i="2" s="1"/>
  <c r="L150" i="2" s="1"/>
  <c r="J149" i="2"/>
  <c r="I149" i="2"/>
  <c r="K149" i="2" s="1"/>
  <c r="L149" i="2" s="1"/>
  <c r="J148" i="2"/>
  <c r="I148" i="2"/>
  <c r="K148" i="2" s="1"/>
  <c r="L148" i="2" s="1"/>
  <c r="J147" i="2"/>
  <c r="I147" i="2"/>
  <c r="K147" i="2" s="1"/>
  <c r="L147" i="2" s="1"/>
  <c r="J146" i="2"/>
  <c r="I146" i="2"/>
  <c r="K146" i="2" s="1"/>
  <c r="J145" i="2"/>
  <c r="I145" i="2"/>
  <c r="K145" i="2" s="1"/>
  <c r="L145" i="2" s="1"/>
  <c r="K144" i="2"/>
  <c r="J144" i="2"/>
  <c r="I144" i="2"/>
  <c r="J143" i="2"/>
  <c r="I143" i="2"/>
  <c r="K143" i="2" s="1"/>
  <c r="L143" i="2" s="1"/>
  <c r="J142" i="2"/>
  <c r="I142" i="2"/>
  <c r="K142" i="2" s="1"/>
  <c r="L142" i="2" s="1"/>
  <c r="J141" i="2"/>
  <c r="I141" i="2"/>
  <c r="K141" i="2" s="1"/>
  <c r="L141" i="2" s="1"/>
  <c r="J140" i="2"/>
  <c r="I140" i="2"/>
  <c r="K140" i="2" s="1"/>
  <c r="L140" i="2" s="1"/>
  <c r="J139" i="2"/>
  <c r="I139" i="2"/>
  <c r="K139" i="2" s="1"/>
  <c r="L139" i="2" s="1"/>
  <c r="J138" i="2"/>
  <c r="I138" i="2"/>
  <c r="K138" i="2" s="1"/>
  <c r="L138" i="2" s="1"/>
  <c r="J137" i="2"/>
  <c r="I137" i="2"/>
  <c r="K137" i="2" s="1"/>
  <c r="L137" i="2" s="1"/>
  <c r="J136" i="2"/>
  <c r="I136" i="2"/>
  <c r="K136" i="2" s="1"/>
  <c r="L136" i="2" s="1"/>
  <c r="K135" i="2"/>
  <c r="J135" i="2"/>
  <c r="I135" i="2"/>
  <c r="J134" i="2"/>
  <c r="I134" i="2"/>
  <c r="K134" i="2" s="1"/>
  <c r="L134" i="2" s="1"/>
  <c r="J133" i="2"/>
  <c r="I133" i="2"/>
  <c r="K133" i="2" s="1"/>
  <c r="J132" i="2"/>
  <c r="I132" i="2"/>
  <c r="K132" i="2" s="1"/>
  <c r="J131" i="2"/>
  <c r="I131" i="2"/>
  <c r="K131" i="2" s="1"/>
  <c r="J130" i="2"/>
  <c r="I130" i="2"/>
  <c r="K130" i="2" s="1"/>
  <c r="L130" i="2" s="1"/>
  <c r="J129" i="2"/>
  <c r="I129" i="2"/>
  <c r="K129" i="2" s="1"/>
  <c r="J128" i="2"/>
  <c r="I128" i="2"/>
  <c r="K128" i="2" s="1"/>
  <c r="L128" i="2" s="1"/>
  <c r="J127" i="2"/>
  <c r="I127" i="2"/>
  <c r="K127" i="2" s="1"/>
  <c r="L127" i="2" s="1"/>
  <c r="J126" i="2"/>
  <c r="I126" i="2"/>
  <c r="K126" i="2" s="1"/>
  <c r="L126" i="2" s="1"/>
  <c r="J125" i="2"/>
  <c r="I125" i="2"/>
  <c r="K125" i="2" s="1"/>
  <c r="J124" i="2"/>
  <c r="I124" i="2"/>
  <c r="K124" i="2" s="1"/>
  <c r="L124" i="2" s="1"/>
  <c r="J123" i="2"/>
  <c r="I123" i="2"/>
  <c r="K123" i="2" s="1"/>
  <c r="L123" i="2" s="1"/>
  <c r="J122" i="2"/>
  <c r="I122" i="2"/>
  <c r="K122" i="2" s="1"/>
  <c r="J121" i="2"/>
  <c r="I121" i="2"/>
  <c r="K121" i="2" s="1"/>
  <c r="L121" i="2" s="1"/>
  <c r="J120" i="2"/>
  <c r="I120" i="2"/>
  <c r="K120" i="2" s="1"/>
  <c r="L120" i="2" s="1"/>
  <c r="J119" i="2"/>
  <c r="I119" i="2"/>
  <c r="K119" i="2" s="1"/>
  <c r="L119" i="2" s="1"/>
  <c r="J118" i="2"/>
  <c r="I118" i="2"/>
  <c r="K118" i="2" s="1"/>
  <c r="J117" i="2"/>
  <c r="I117" i="2"/>
  <c r="K117" i="2" s="1"/>
  <c r="K116" i="2"/>
  <c r="J116" i="2"/>
  <c r="I116" i="2"/>
  <c r="J115" i="2"/>
  <c r="I115" i="2"/>
  <c r="K115" i="2" s="1"/>
  <c r="L115" i="2" s="1"/>
  <c r="J114" i="2"/>
  <c r="I114" i="2"/>
  <c r="K114" i="2" s="1"/>
  <c r="L114" i="2" s="1"/>
  <c r="J113" i="2"/>
  <c r="I113" i="2"/>
  <c r="K113" i="2" s="1"/>
  <c r="L113" i="2" s="1"/>
  <c r="J112" i="2"/>
  <c r="I112" i="2"/>
  <c r="K112" i="2" s="1"/>
  <c r="L112" i="2" s="1"/>
  <c r="J111" i="2"/>
  <c r="I111" i="2"/>
  <c r="K111" i="2" s="1"/>
  <c r="L111" i="2" s="1"/>
  <c r="J110" i="2"/>
  <c r="I110" i="2"/>
  <c r="K110" i="2" s="1"/>
  <c r="L110" i="2" s="1"/>
  <c r="J109" i="2"/>
  <c r="I109" i="2"/>
  <c r="K109" i="2" s="1"/>
  <c r="L109" i="2" s="1"/>
  <c r="J108" i="2"/>
  <c r="I108" i="2"/>
  <c r="K108" i="2" s="1"/>
  <c r="L108" i="2" s="1"/>
  <c r="J107" i="2"/>
  <c r="I107" i="2"/>
  <c r="K107" i="2" s="1"/>
  <c r="L107" i="2" s="1"/>
  <c r="J106" i="2"/>
  <c r="I106" i="2"/>
  <c r="K106" i="2" s="1"/>
  <c r="L106" i="2" s="1"/>
  <c r="J105" i="2"/>
  <c r="I105" i="2"/>
  <c r="K105" i="2" s="1"/>
  <c r="L105" i="2" s="1"/>
  <c r="J104" i="2"/>
  <c r="I104" i="2"/>
  <c r="K104" i="2" s="1"/>
  <c r="L104" i="2" s="1"/>
  <c r="J103" i="2"/>
  <c r="L103" i="2" s="1"/>
  <c r="I103" i="2"/>
  <c r="K103" i="2" s="1"/>
  <c r="J102" i="2"/>
  <c r="I102" i="2"/>
  <c r="K102" i="2" s="1"/>
  <c r="J101" i="2"/>
  <c r="I101" i="2"/>
  <c r="K101" i="2" s="1"/>
  <c r="V100" i="2"/>
  <c r="J100" i="2"/>
  <c r="I100" i="2"/>
  <c r="K100" i="2" s="1"/>
  <c r="J99" i="2"/>
  <c r="I99" i="2"/>
  <c r="K99" i="2" s="1"/>
  <c r="L99" i="2" s="1"/>
  <c r="J98" i="2"/>
  <c r="I98" i="2"/>
  <c r="K98" i="2" s="1"/>
  <c r="L98" i="2" s="1"/>
  <c r="J97" i="2"/>
  <c r="I97" i="2"/>
  <c r="K97" i="2" s="1"/>
  <c r="V96" i="2"/>
  <c r="J96" i="2"/>
  <c r="I96" i="2"/>
  <c r="K96" i="2" s="1"/>
  <c r="V95" i="2"/>
  <c r="J95" i="2"/>
  <c r="I95" i="2"/>
  <c r="K95" i="2" s="1"/>
  <c r="J94" i="2"/>
  <c r="I94" i="2"/>
  <c r="K94" i="2" s="1"/>
  <c r="L94" i="2" s="1"/>
  <c r="J93" i="2"/>
  <c r="I93" i="2"/>
  <c r="K93" i="2" s="1"/>
  <c r="L93" i="2" s="1"/>
  <c r="V92" i="2"/>
  <c r="J92" i="2"/>
  <c r="I92" i="2"/>
  <c r="K92" i="2" s="1"/>
  <c r="J91" i="2"/>
  <c r="I91" i="2"/>
  <c r="K91" i="2" s="1"/>
  <c r="J90" i="2"/>
  <c r="I90" i="2"/>
  <c r="K90" i="2" s="1"/>
  <c r="L90" i="2" s="1"/>
  <c r="L89" i="2"/>
  <c r="J89" i="2"/>
  <c r="I89" i="2"/>
  <c r="K89" i="2" s="1"/>
  <c r="J88" i="2"/>
  <c r="I88" i="2"/>
  <c r="K88" i="2" s="1"/>
  <c r="L88" i="2" s="1"/>
  <c r="J87" i="2"/>
  <c r="I87" i="2"/>
  <c r="K87" i="2" s="1"/>
  <c r="L87" i="2" s="1"/>
  <c r="J86" i="2"/>
  <c r="I86" i="2"/>
  <c r="K86" i="2" s="1"/>
  <c r="J85" i="2"/>
  <c r="I85" i="2"/>
  <c r="K85" i="2" s="1"/>
  <c r="L85" i="2" s="1"/>
  <c r="V84" i="2"/>
  <c r="J84" i="2"/>
  <c r="I84" i="2"/>
  <c r="K84" i="2" s="1"/>
  <c r="J83" i="2"/>
  <c r="I83" i="2"/>
  <c r="K83" i="2" s="1"/>
  <c r="L83" i="2" s="1"/>
  <c r="V82" i="2"/>
  <c r="J82" i="2"/>
  <c r="I82" i="2"/>
  <c r="K82" i="2" s="1"/>
  <c r="L82" i="2" s="1"/>
  <c r="J81" i="2"/>
  <c r="I81" i="2"/>
  <c r="K81" i="2" s="1"/>
  <c r="L81" i="2" s="1"/>
  <c r="J80" i="2"/>
  <c r="I80" i="2"/>
  <c r="K80" i="2" s="1"/>
  <c r="L80" i="2" s="1"/>
  <c r="J79" i="2"/>
  <c r="I79" i="2"/>
  <c r="K79" i="2" s="1"/>
  <c r="L79" i="2" s="1"/>
  <c r="J78" i="2"/>
  <c r="I78" i="2"/>
  <c r="K78" i="2" s="1"/>
  <c r="J77" i="2"/>
  <c r="I77" i="2"/>
  <c r="K77" i="2" s="1"/>
  <c r="J76" i="2"/>
  <c r="I76" i="2"/>
  <c r="K76" i="2" s="1"/>
  <c r="L76" i="2" s="1"/>
  <c r="J75" i="2"/>
  <c r="I75" i="2"/>
  <c r="K75" i="2" s="1"/>
  <c r="L75" i="2" s="1"/>
  <c r="J74" i="2"/>
  <c r="I74" i="2"/>
  <c r="K74" i="2" s="1"/>
  <c r="L74" i="2" s="1"/>
  <c r="J73" i="2"/>
  <c r="I73" i="2"/>
  <c r="K73" i="2" s="1"/>
  <c r="L73" i="2" s="1"/>
  <c r="J72" i="2"/>
  <c r="I72" i="2"/>
  <c r="K72" i="2" s="1"/>
  <c r="L72" i="2" s="1"/>
  <c r="J71" i="2"/>
  <c r="I71" i="2"/>
  <c r="K71" i="2" s="1"/>
  <c r="J70" i="2"/>
  <c r="I70" i="2"/>
  <c r="K70" i="2" s="1"/>
  <c r="L70" i="2" s="1"/>
  <c r="V72" i="2" s="1"/>
  <c r="J69" i="2"/>
  <c r="I69" i="2"/>
  <c r="K69" i="2" s="1"/>
  <c r="L69" i="2" s="1"/>
  <c r="J68" i="2"/>
  <c r="I68" i="2"/>
  <c r="K68" i="2" s="1"/>
  <c r="J67" i="2"/>
  <c r="I67" i="2"/>
  <c r="K67" i="2" s="1"/>
  <c r="J66" i="2"/>
  <c r="I66" i="2"/>
  <c r="K66" i="2" s="1"/>
  <c r="J65" i="2"/>
  <c r="L65" i="2" s="1"/>
  <c r="I65" i="2"/>
  <c r="K65" i="2" s="1"/>
  <c r="J64" i="2"/>
  <c r="I64" i="2"/>
  <c r="K64" i="2" s="1"/>
  <c r="J63" i="2"/>
  <c r="I63" i="2"/>
  <c r="K63" i="2" s="1"/>
  <c r="J62" i="2"/>
  <c r="I62" i="2"/>
  <c r="K62" i="2" s="1"/>
  <c r="J61" i="2"/>
  <c r="I61" i="2"/>
  <c r="K61" i="2" s="1"/>
  <c r="J60" i="2"/>
  <c r="I60" i="2"/>
  <c r="K60" i="2" s="1"/>
  <c r="L60" i="2" s="1"/>
  <c r="J59" i="2"/>
  <c r="I59" i="2"/>
  <c r="K59" i="2" s="1"/>
  <c r="J58" i="2"/>
  <c r="I58" i="2"/>
  <c r="K58" i="2" s="1"/>
  <c r="J57" i="2"/>
  <c r="I57" i="2"/>
  <c r="K57" i="2" s="1"/>
  <c r="J56" i="2"/>
  <c r="I56" i="2"/>
  <c r="K56" i="2" s="1"/>
  <c r="L56" i="2" s="1"/>
  <c r="J55" i="2"/>
  <c r="I55" i="2"/>
  <c r="K55" i="2" s="1"/>
  <c r="J54" i="2"/>
  <c r="I54" i="2"/>
  <c r="K54" i="2" s="1"/>
  <c r="L54" i="2" s="1"/>
  <c r="J53" i="2"/>
  <c r="I53" i="2"/>
  <c r="K53" i="2" s="1"/>
  <c r="J52" i="2"/>
  <c r="I52" i="2"/>
  <c r="K52" i="2" s="1"/>
  <c r="L52" i="2" s="1"/>
  <c r="K51" i="2"/>
  <c r="J51" i="2"/>
  <c r="I51" i="2"/>
  <c r="J50" i="2"/>
  <c r="I50" i="2"/>
  <c r="K50" i="2" s="1"/>
  <c r="J49" i="2"/>
  <c r="I49" i="2"/>
  <c r="K49" i="2" s="1"/>
  <c r="L49" i="2" s="1"/>
  <c r="K48" i="2"/>
  <c r="J48" i="2"/>
  <c r="I48" i="2"/>
  <c r="J47" i="2"/>
  <c r="I47" i="2"/>
  <c r="K47" i="2" s="1"/>
  <c r="J46" i="2"/>
  <c r="I46" i="2"/>
  <c r="K46" i="2" s="1"/>
  <c r="L46" i="2" s="1"/>
  <c r="K45" i="2"/>
  <c r="J45" i="2"/>
  <c r="I45" i="2"/>
  <c r="J44" i="2"/>
  <c r="I44" i="2"/>
  <c r="K44" i="2" s="1"/>
  <c r="J43" i="2"/>
  <c r="I43" i="2"/>
  <c r="K43" i="2" s="1"/>
  <c r="J42" i="2"/>
  <c r="I42" i="2"/>
  <c r="K42" i="2" s="1"/>
  <c r="J41" i="2"/>
  <c r="I41" i="2"/>
  <c r="K41" i="2" s="1"/>
  <c r="J40" i="2"/>
  <c r="I40" i="2"/>
  <c r="K40" i="2" s="1"/>
  <c r="J39" i="2"/>
  <c r="I39" i="2"/>
  <c r="K39" i="2" s="1"/>
  <c r="J38" i="2"/>
  <c r="I38" i="2"/>
  <c r="K38" i="2" s="1"/>
  <c r="L38" i="2" s="1"/>
  <c r="J37" i="2"/>
  <c r="I37" i="2"/>
  <c r="K37" i="2" s="1"/>
  <c r="J36" i="2"/>
  <c r="I36" i="2"/>
  <c r="K36" i="2" s="1"/>
  <c r="K35" i="2"/>
  <c r="L35" i="2" s="1"/>
  <c r="J35" i="2"/>
  <c r="I35" i="2"/>
  <c r="J34" i="2"/>
  <c r="I34" i="2"/>
  <c r="K34" i="2" s="1"/>
  <c r="L34" i="2" s="1"/>
  <c r="J33" i="2"/>
  <c r="I33" i="2"/>
  <c r="K33" i="2" s="1"/>
  <c r="L33" i="2" s="1"/>
  <c r="K32" i="2"/>
  <c r="J32" i="2"/>
  <c r="I32" i="2"/>
  <c r="J31" i="2"/>
  <c r="I31" i="2"/>
  <c r="K31" i="2" s="1"/>
  <c r="J30" i="2"/>
  <c r="I30" i="2"/>
  <c r="K30" i="2" s="1"/>
  <c r="J29" i="2"/>
  <c r="I29" i="2"/>
  <c r="K29" i="2" s="1"/>
  <c r="L29" i="2" s="1"/>
  <c r="J28" i="2"/>
  <c r="I28" i="2"/>
  <c r="K28" i="2" s="1"/>
  <c r="L28" i="2" s="1"/>
  <c r="J27" i="2"/>
  <c r="I27" i="2"/>
  <c r="K27" i="2" s="1"/>
  <c r="L27" i="2" s="1"/>
  <c r="J26" i="2"/>
  <c r="I26" i="2"/>
  <c r="K26" i="2" s="1"/>
  <c r="J25" i="2"/>
  <c r="I25" i="2"/>
  <c r="K25" i="2" s="1"/>
  <c r="L25" i="2" s="1"/>
  <c r="J24" i="2"/>
  <c r="I24" i="2"/>
  <c r="K24" i="2" s="1"/>
  <c r="L24" i="2" s="1"/>
  <c r="J23" i="2"/>
  <c r="I23" i="2"/>
  <c r="K23" i="2" s="1"/>
  <c r="J22" i="2"/>
  <c r="I22" i="2"/>
  <c r="K22" i="2" s="1"/>
  <c r="L22" i="2" s="1"/>
  <c r="J21" i="2"/>
  <c r="I21" i="2"/>
  <c r="K21" i="2" s="1"/>
  <c r="L21" i="2" s="1"/>
  <c r="J20" i="2"/>
  <c r="I20" i="2"/>
  <c r="K20" i="2" s="1"/>
  <c r="L20" i="2" s="1"/>
  <c r="J19" i="2"/>
  <c r="I19" i="2"/>
  <c r="K19" i="2" s="1"/>
  <c r="L19" i="2" s="1"/>
  <c r="J18" i="2"/>
  <c r="I18" i="2"/>
  <c r="K18" i="2" s="1"/>
  <c r="L18" i="2" s="1"/>
  <c r="J17" i="2"/>
  <c r="I17" i="2"/>
  <c r="K17" i="2" s="1"/>
  <c r="L17" i="2" s="1"/>
  <c r="J16" i="2"/>
  <c r="I16" i="2"/>
  <c r="K16" i="2" s="1"/>
  <c r="J15" i="2"/>
  <c r="I15" i="2"/>
  <c r="K15" i="2" s="1"/>
  <c r="J14" i="2"/>
  <c r="I14" i="2"/>
  <c r="K14" i="2" s="1"/>
  <c r="K13" i="2"/>
  <c r="L13" i="2" s="1"/>
  <c r="J13" i="2"/>
  <c r="I13" i="2"/>
  <c r="J12" i="2"/>
  <c r="I12" i="2"/>
  <c r="K12" i="2" s="1"/>
  <c r="L12" i="2" s="1"/>
  <c r="J11" i="2"/>
  <c r="I11" i="2"/>
  <c r="K11" i="2" s="1"/>
  <c r="L11" i="2" s="1"/>
  <c r="J10" i="2"/>
  <c r="I10" i="2"/>
  <c r="K10" i="2" s="1"/>
  <c r="L10" i="2" s="1"/>
  <c r="J9" i="2"/>
  <c r="I9" i="2"/>
  <c r="K9" i="2" s="1"/>
  <c r="L9" i="2" s="1"/>
  <c r="J8" i="2"/>
  <c r="I8" i="2"/>
  <c r="K8" i="2" s="1"/>
  <c r="J7" i="2"/>
  <c r="I7" i="2"/>
  <c r="K7" i="2" s="1"/>
  <c r="J6" i="2"/>
  <c r="I6" i="2"/>
  <c r="K6" i="2" s="1"/>
  <c r="J5" i="2"/>
  <c r="I5" i="2"/>
  <c r="K5" i="2" s="1"/>
  <c r="J4" i="2"/>
  <c r="I4" i="2"/>
  <c r="K4" i="2" s="1"/>
  <c r="J3" i="2"/>
  <c r="I3" i="2"/>
  <c r="K3" i="2" s="1"/>
  <c r="J2" i="2"/>
  <c r="I2" i="2"/>
  <c r="K2" i="2" s="1"/>
  <c r="L2" i="2" s="1"/>
  <c r="I322" i="1"/>
  <c r="J322" i="1"/>
  <c r="K322" i="1"/>
  <c r="L322" i="1" s="1"/>
  <c r="I316" i="1"/>
  <c r="J316" i="1"/>
  <c r="K316" i="1"/>
  <c r="L316" i="1" s="1"/>
  <c r="I317" i="1"/>
  <c r="K317" i="1" s="1"/>
  <c r="J317" i="1"/>
  <c r="I318" i="1"/>
  <c r="K318" i="1" s="1"/>
  <c r="J318" i="1"/>
  <c r="I319" i="1"/>
  <c r="K319" i="1" s="1"/>
  <c r="L319" i="1" s="1"/>
  <c r="J319" i="1"/>
  <c r="I320" i="1"/>
  <c r="K320" i="1" s="1"/>
  <c r="J320" i="1"/>
  <c r="I321" i="1"/>
  <c r="K321" i="1" s="1"/>
  <c r="J321" i="1"/>
  <c r="K315" i="1"/>
  <c r="J315" i="1"/>
  <c r="I315" i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L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L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L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L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L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L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L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L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L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L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L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L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L100" i="1" s="1"/>
  <c r="J99" i="1"/>
  <c r="I99" i="1"/>
  <c r="K99" i="1" s="1"/>
  <c r="J98" i="1"/>
  <c r="I98" i="1"/>
  <c r="K98" i="1" s="1"/>
  <c r="J97" i="1"/>
  <c r="I97" i="1"/>
  <c r="K97" i="1" s="1"/>
  <c r="L97" i="1" s="1"/>
  <c r="J96" i="1"/>
  <c r="I96" i="1"/>
  <c r="K96" i="1" s="1"/>
  <c r="J95" i="1"/>
  <c r="I95" i="1"/>
  <c r="K95" i="1" s="1"/>
  <c r="L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L82" i="1" s="1"/>
  <c r="J81" i="1"/>
  <c r="I81" i="1"/>
  <c r="K81" i="1" s="1"/>
  <c r="J80" i="1"/>
  <c r="I80" i="1"/>
  <c r="K80" i="1" s="1"/>
  <c r="L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L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L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L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139" i="7" l="1"/>
  <c r="L167" i="7"/>
  <c r="L8" i="7"/>
  <c r="L206" i="7"/>
  <c r="L290" i="7"/>
  <c r="L20" i="7"/>
  <c r="L130" i="7"/>
  <c r="L207" i="7"/>
  <c r="L218" i="7"/>
  <c r="L308" i="7"/>
  <c r="V90" i="7" s="1"/>
  <c r="L252" i="7"/>
  <c r="L226" i="7"/>
  <c r="L281" i="7"/>
  <c r="L14" i="7"/>
  <c r="L18" i="7"/>
  <c r="L25" i="7"/>
  <c r="L32" i="7"/>
  <c r="L69" i="7"/>
  <c r="L87" i="7"/>
  <c r="L113" i="7"/>
  <c r="L135" i="7"/>
  <c r="L145" i="7"/>
  <c r="L180" i="7"/>
  <c r="L212" i="7"/>
  <c r="L223" i="7"/>
  <c r="L230" i="7"/>
  <c r="L234" i="7"/>
  <c r="L248" i="7"/>
  <c r="L259" i="7"/>
  <c r="L296" i="7"/>
  <c r="L300" i="7"/>
  <c r="L304" i="7"/>
  <c r="V86" i="7" s="1"/>
  <c r="L156" i="7"/>
  <c r="L159" i="7"/>
  <c r="L172" i="7"/>
  <c r="L200" i="7"/>
  <c r="L216" i="7"/>
  <c r="L7" i="7"/>
  <c r="L29" i="7"/>
  <c r="L39" i="7"/>
  <c r="L68" i="7"/>
  <c r="L71" i="7"/>
  <c r="V73" i="7" s="1"/>
  <c r="L82" i="7"/>
  <c r="L97" i="7"/>
  <c r="L122" i="7"/>
  <c r="L157" i="7"/>
  <c r="L160" i="7"/>
  <c r="L173" i="7"/>
  <c r="L179" i="7"/>
  <c r="L198" i="7"/>
  <c r="L201" i="7"/>
  <c r="L214" i="7"/>
  <c r="L217" i="7"/>
  <c r="L263" i="7"/>
  <c r="L270" i="7"/>
  <c r="L277" i="7"/>
  <c r="L280" i="7"/>
  <c r="L295" i="7"/>
  <c r="L302" i="7"/>
  <c r="V84" i="7" s="1"/>
  <c r="L309" i="7"/>
  <c r="V91" i="7" s="1"/>
  <c r="L312" i="7"/>
  <c r="V94" i="7" s="1"/>
  <c r="L33" i="7"/>
  <c r="L36" i="7"/>
  <c r="L46" i="7"/>
  <c r="L17" i="7"/>
  <c r="L23" i="7"/>
  <c r="L30" i="7"/>
  <c r="L40" i="7"/>
  <c r="L56" i="7"/>
  <c r="L62" i="7"/>
  <c r="V64" i="7" s="1"/>
  <c r="L72" i="7"/>
  <c r="L79" i="7"/>
  <c r="V81" i="7" s="1"/>
  <c r="L83" i="7"/>
  <c r="L95" i="7"/>
  <c r="L98" i="7"/>
  <c r="L106" i="7"/>
  <c r="L112" i="7"/>
  <c r="L116" i="7"/>
  <c r="L119" i="7"/>
  <c r="L170" i="7"/>
  <c r="L174" i="7"/>
  <c r="L177" i="7"/>
  <c r="L205" i="7"/>
  <c r="L221" i="7"/>
  <c r="L227" i="7"/>
  <c r="L236" i="7"/>
  <c r="L243" i="7"/>
  <c r="L253" i="7"/>
  <c r="L256" i="7"/>
  <c r="L271" i="7"/>
  <c r="L278" i="7"/>
  <c r="L285" i="7"/>
  <c r="L288" i="7"/>
  <c r="L303" i="7"/>
  <c r="L310" i="7"/>
  <c r="V92" i="7" s="1"/>
  <c r="L317" i="7"/>
  <c r="V99" i="7" s="1"/>
  <c r="L15" i="7"/>
  <c r="L158" i="7"/>
  <c r="L11" i="7"/>
  <c r="L24" i="7"/>
  <c r="L27" i="7"/>
  <c r="L41" i="7"/>
  <c r="L47" i="7"/>
  <c r="L50" i="7"/>
  <c r="L66" i="7"/>
  <c r="L73" i="7"/>
  <c r="V75" i="7" s="1"/>
  <c r="L88" i="7"/>
  <c r="L93" i="7"/>
  <c r="L110" i="7"/>
  <c r="L117" i="7"/>
  <c r="L225" i="7"/>
  <c r="L6" i="7"/>
  <c r="L31" i="7"/>
  <c r="L38" i="7"/>
  <c r="L44" i="7"/>
  <c r="L54" i="7"/>
  <c r="L60" i="7"/>
  <c r="L63" i="7"/>
  <c r="V65" i="7" s="1"/>
  <c r="L77" i="7"/>
  <c r="V79" i="7" s="1"/>
  <c r="L99" i="7"/>
  <c r="L107" i="7"/>
  <c r="L114" i="7"/>
  <c r="L124" i="7"/>
  <c r="L127" i="7"/>
  <c r="L137" i="7"/>
  <c r="L143" i="7"/>
  <c r="L153" i="7"/>
  <c r="L162" i="7"/>
  <c r="L166" i="7"/>
  <c r="L181" i="7"/>
  <c r="L203" i="7"/>
  <c r="L219" i="7"/>
  <c r="L238" i="7"/>
  <c r="L241" i="7"/>
  <c r="L251" i="7"/>
  <c r="L258" i="7"/>
  <c r="L265" i="7"/>
  <c r="L283" i="7"/>
  <c r="L315" i="7"/>
  <c r="V97" i="7" s="1"/>
  <c r="L287" i="7"/>
  <c r="L294" i="7"/>
  <c r="L301" i="7"/>
  <c r="L319" i="7"/>
  <c r="V101" i="7" s="1"/>
  <c r="V72" i="7"/>
  <c r="V77" i="7"/>
  <c r="V66" i="7"/>
  <c r="V70" i="7"/>
  <c r="V68" i="7"/>
  <c r="V71" i="7"/>
  <c r="V82" i="7"/>
  <c r="V76" i="7"/>
  <c r="V69" i="7"/>
  <c r="L28" i="7"/>
  <c r="L51" i="7"/>
  <c r="L105" i="7"/>
  <c r="L115" i="7"/>
  <c r="L123" i="7"/>
  <c r="V85" i="7"/>
  <c r="L90" i="7"/>
  <c r="L161" i="7"/>
  <c r="V89" i="7"/>
  <c r="V80" i="7"/>
  <c r="L57" i="7"/>
  <c r="V74" i="7"/>
  <c r="L100" i="7"/>
  <c r="L120" i="7"/>
  <c r="L142" i="7"/>
  <c r="L163" i="7"/>
  <c r="L58" i="6"/>
  <c r="L120" i="6"/>
  <c r="L124" i="6"/>
  <c r="L131" i="6"/>
  <c r="L169" i="6"/>
  <c r="L201" i="6"/>
  <c r="L227" i="6"/>
  <c r="L242" i="6"/>
  <c r="L264" i="6"/>
  <c r="L268" i="6"/>
  <c r="L282" i="6"/>
  <c r="L285" i="6"/>
  <c r="L288" i="6"/>
  <c r="L40" i="6"/>
  <c r="L10" i="6"/>
  <c r="L21" i="6"/>
  <c r="L25" i="6"/>
  <c r="L29" i="6"/>
  <c r="L33" i="6"/>
  <c r="L52" i="6"/>
  <c r="L56" i="6"/>
  <c r="L63" i="6"/>
  <c r="V65" i="6" s="1"/>
  <c r="L67" i="6"/>
  <c r="V69" i="6" s="1"/>
  <c r="L89" i="6"/>
  <c r="L98" i="6"/>
  <c r="L113" i="6"/>
  <c r="L117" i="6"/>
  <c r="L121" i="6"/>
  <c r="L125" i="6"/>
  <c r="L132" i="6"/>
  <c r="L177" i="6"/>
  <c r="L188" i="6"/>
  <c r="L199" i="6"/>
  <c r="L202" i="6"/>
  <c r="L243" i="6"/>
  <c r="L261" i="6"/>
  <c r="L265" i="6"/>
  <c r="L279" i="6"/>
  <c r="L283" i="6"/>
  <c r="L286" i="6"/>
  <c r="L309" i="6"/>
  <c r="V91" i="6" s="1"/>
  <c r="L57" i="6"/>
  <c r="L203" i="6"/>
  <c r="L210" i="6"/>
  <c r="L225" i="6"/>
  <c r="L287" i="6"/>
  <c r="L310" i="6"/>
  <c r="V92" i="6" s="1"/>
  <c r="L4" i="6"/>
  <c r="L8" i="6"/>
  <c r="L15" i="6"/>
  <c r="L61" i="6"/>
  <c r="L72" i="6"/>
  <c r="L103" i="6"/>
  <c r="L237" i="6"/>
  <c r="L307" i="6"/>
  <c r="V89" i="6" s="1"/>
  <c r="L12" i="6"/>
  <c r="L19" i="6"/>
  <c r="L35" i="6"/>
  <c r="L46" i="6"/>
  <c r="L50" i="6"/>
  <c r="L54" i="6"/>
  <c r="L65" i="6"/>
  <c r="V67" i="6" s="1"/>
  <c r="L76" i="6"/>
  <c r="V78" i="6" s="1"/>
  <c r="L80" i="6"/>
  <c r="V82" i="6" s="1"/>
  <c r="L84" i="6"/>
  <c r="L93" i="6"/>
  <c r="L107" i="6"/>
  <c r="L165" i="6"/>
  <c r="L186" i="6"/>
  <c r="L190" i="6"/>
  <c r="L204" i="6"/>
  <c r="L211" i="6"/>
  <c r="L226" i="6"/>
  <c r="L241" i="6"/>
  <c r="L244" i="6"/>
  <c r="L267" i="6"/>
  <c r="L311" i="6"/>
  <c r="V93" i="6" s="1"/>
  <c r="L42" i="6"/>
  <c r="L100" i="6"/>
  <c r="L209" i="6"/>
  <c r="L176" i="6"/>
  <c r="L86" i="6"/>
  <c r="L96" i="6"/>
  <c r="L17" i="6"/>
  <c r="L134" i="6"/>
  <c r="L312" i="6"/>
  <c r="V94" i="6" s="1"/>
  <c r="L62" i="6"/>
  <c r="L44" i="6"/>
  <c r="L94" i="6"/>
  <c r="L104" i="6"/>
  <c r="L111" i="6"/>
  <c r="L163" i="6"/>
  <c r="L274" i="6"/>
  <c r="L314" i="6"/>
  <c r="V96" i="6" s="1"/>
  <c r="L23" i="6"/>
  <c r="L30" i="6"/>
  <c r="L41" i="6"/>
  <c r="L48" i="6"/>
  <c r="L87" i="6"/>
  <c r="L97" i="6"/>
  <c r="L115" i="6"/>
  <c r="L133" i="6"/>
  <c r="L147" i="6"/>
  <c r="L191" i="6"/>
  <c r="L293" i="6"/>
  <c r="L318" i="6"/>
  <c r="V100" i="6" s="1"/>
  <c r="L2" i="6"/>
  <c r="L20" i="6"/>
  <c r="L27" i="6"/>
  <c r="L78" i="6"/>
  <c r="V80" i="6" s="1"/>
  <c r="L82" i="6"/>
  <c r="L90" i="6"/>
  <c r="L102" i="6"/>
  <c r="L105" i="6"/>
  <c r="L112" i="6"/>
  <c r="L119" i="6"/>
  <c r="L137" i="6"/>
  <c r="L144" i="6"/>
  <c r="L151" i="6"/>
  <c r="L253" i="6"/>
  <c r="L263" i="6"/>
  <c r="L266" i="6"/>
  <c r="L275" i="6"/>
  <c r="L297" i="6"/>
  <c r="L315" i="6"/>
  <c r="V97" i="6" s="1"/>
  <c r="L6" i="6"/>
  <c r="L24" i="6"/>
  <c r="L31" i="6"/>
  <c r="L38" i="6"/>
  <c r="L49" i="6"/>
  <c r="L85" i="6"/>
  <c r="L95" i="6"/>
  <c r="L109" i="6"/>
  <c r="L116" i="6"/>
  <c r="L123" i="6"/>
  <c r="L141" i="6"/>
  <c r="L148" i="6"/>
  <c r="L158" i="6"/>
  <c r="L161" i="6"/>
  <c r="L167" i="6"/>
  <c r="L182" i="6"/>
  <c r="L206" i="6"/>
  <c r="L278" i="6"/>
  <c r="L281" i="6"/>
  <c r="L291" i="6"/>
  <c r="L294" i="6"/>
  <c r="L301" i="6"/>
  <c r="L319" i="6"/>
  <c r="V101" i="6" s="1"/>
  <c r="V68" i="6"/>
  <c r="V71" i="6"/>
  <c r="V75" i="6"/>
  <c r="V64" i="6"/>
  <c r="V76" i="6"/>
  <c r="V83" i="6"/>
  <c r="V70" i="6"/>
  <c r="V77" i="6"/>
  <c r="V72" i="6"/>
  <c r="L47" i="6"/>
  <c r="V74" i="6"/>
  <c r="V66" i="6"/>
  <c r="V73" i="6"/>
  <c r="V81" i="6"/>
  <c r="L179" i="6"/>
  <c r="L155" i="6"/>
  <c r="L187" i="6"/>
  <c r="L195" i="6"/>
  <c r="L50" i="5"/>
  <c r="L7" i="5"/>
  <c r="L10" i="5"/>
  <c r="L44" i="5"/>
  <c r="L81" i="5"/>
  <c r="L92" i="5"/>
  <c r="L172" i="5"/>
  <c r="L23" i="5"/>
  <c r="L18" i="5"/>
  <c r="L22" i="5"/>
  <c r="L99" i="5"/>
  <c r="L150" i="5"/>
  <c r="L226" i="5"/>
  <c r="L291" i="5"/>
  <c r="L12" i="5"/>
  <c r="L292" i="5"/>
  <c r="L9" i="5"/>
  <c r="L15" i="5"/>
  <c r="L49" i="5"/>
  <c r="L53" i="5"/>
  <c r="L68" i="5"/>
  <c r="V70" i="5" s="1"/>
  <c r="L86" i="5"/>
  <c r="L100" i="5"/>
  <c r="L144" i="5"/>
  <c r="L148" i="5"/>
  <c r="L177" i="5"/>
  <c r="L181" i="5"/>
  <c r="L185" i="5"/>
  <c r="L196" i="5"/>
  <c r="L200" i="5"/>
  <c r="L204" i="5"/>
  <c r="L219" i="5"/>
  <c r="L227" i="5"/>
  <c r="L242" i="5"/>
  <c r="L265" i="5"/>
  <c r="L284" i="5"/>
  <c r="L288" i="5"/>
  <c r="L307" i="5"/>
  <c r="V89" i="5" s="1"/>
  <c r="L13" i="5"/>
  <c r="L25" i="5"/>
  <c r="L47" i="5"/>
  <c r="L72" i="5"/>
  <c r="L95" i="5"/>
  <c r="L109" i="5"/>
  <c r="L113" i="5"/>
  <c r="L125" i="5"/>
  <c r="L141" i="5"/>
  <c r="L164" i="5"/>
  <c r="L192" i="5"/>
  <c r="L216" i="5"/>
  <c r="L248" i="5"/>
  <c r="L280" i="5"/>
  <c r="L312" i="5"/>
  <c r="V94" i="5" s="1"/>
  <c r="L274" i="5"/>
  <c r="L281" i="5"/>
  <c r="L306" i="5"/>
  <c r="V88" i="5" s="1"/>
  <c r="L313" i="5"/>
  <c r="L8" i="5"/>
  <c r="L11" i="5"/>
  <c r="L26" i="5"/>
  <c r="L36" i="5"/>
  <c r="L42" i="5"/>
  <c r="L52" i="5"/>
  <c r="L64" i="5"/>
  <c r="V66" i="5" s="1"/>
  <c r="L70" i="5"/>
  <c r="V72" i="5" s="1"/>
  <c r="L88" i="5"/>
  <c r="L187" i="5"/>
  <c r="L207" i="5"/>
  <c r="L214" i="5"/>
  <c r="L221" i="5"/>
  <c r="L239" i="5"/>
  <c r="L246" i="5"/>
  <c r="L253" i="5"/>
  <c r="L271" i="5"/>
  <c r="L278" i="5"/>
  <c r="L285" i="5"/>
  <c r="L303" i="5"/>
  <c r="V85" i="5" s="1"/>
  <c r="L310" i="5"/>
  <c r="V92" i="5" s="1"/>
  <c r="L317" i="5"/>
  <c r="V99" i="5" s="1"/>
  <c r="L27" i="5"/>
  <c r="L43" i="5"/>
  <c r="L46" i="5"/>
  <c r="L65" i="5"/>
  <c r="V67" i="5" s="1"/>
  <c r="L71" i="5"/>
  <c r="L108" i="5"/>
  <c r="L163" i="5"/>
  <c r="L215" i="5"/>
  <c r="L222" i="5"/>
  <c r="L229" i="5"/>
  <c r="L247" i="5"/>
  <c r="L254" i="5"/>
  <c r="L261" i="5"/>
  <c r="L279" i="5"/>
  <c r="L286" i="5"/>
  <c r="L293" i="5"/>
  <c r="L311" i="5"/>
  <c r="L318" i="5"/>
  <c r="V100" i="5" s="1"/>
  <c r="L16" i="5"/>
  <c r="L19" i="5"/>
  <c r="L28" i="5"/>
  <c r="L75" i="5"/>
  <c r="V77" i="5" s="1"/>
  <c r="L78" i="5"/>
  <c r="V80" i="5" s="1"/>
  <c r="L97" i="5"/>
  <c r="L103" i="5"/>
  <c r="L137" i="5"/>
  <c r="L154" i="5"/>
  <c r="L160" i="5"/>
  <c r="L179" i="5"/>
  <c r="L188" i="5"/>
  <c r="L195" i="5"/>
  <c r="L205" i="5"/>
  <c r="L208" i="5"/>
  <c r="L223" i="5"/>
  <c r="L230" i="5"/>
  <c r="L237" i="5"/>
  <c r="L240" i="5"/>
  <c r="L255" i="5"/>
  <c r="L262" i="5"/>
  <c r="L269" i="5"/>
  <c r="L272" i="5"/>
  <c r="L287" i="5"/>
  <c r="L294" i="5"/>
  <c r="L301" i="5"/>
  <c r="L304" i="5"/>
  <c r="V86" i="5" s="1"/>
  <c r="L319" i="5"/>
  <c r="V101" i="5" s="1"/>
  <c r="V74" i="5"/>
  <c r="V65" i="5"/>
  <c r="V82" i="5"/>
  <c r="V69" i="5"/>
  <c r="V73" i="5"/>
  <c r="V83" i="5"/>
  <c r="V64" i="5"/>
  <c r="V97" i="5"/>
  <c r="V93" i="5"/>
  <c r="L61" i="5"/>
  <c r="L153" i="5"/>
  <c r="L32" i="5"/>
  <c r="L77" i="5"/>
  <c r="L74" i="5"/>
  <c r="V81" i="5"/>
  <c r="L45" i="5"/>
  <c r="V71" i="5"/>
  <c r="L116" i="5"/>
  <c r="V91" i="5"/>
  <c r="L104" i="5"/>
  <c r="L124" i="5"/>
  <c r="L128" i="5"/>
  <c r="L132" i="5"/>
  <c r="L136" i="5"/>
  <c r="L140" i="5"/>
  <c r="V95" i="5"/>
  <c r="L242" i="4"/>
  <c r="L249" i="4"/>
  <c r="L253" i="4"/>
  <c r="L261" i="4"/>
  <c r="L264" i="4"/>
  <c r="L235" i="4"/>
  <c r="L254" i="4"/>
  <c r="L258" i="4"/>
  <c r="L114" i="4"/>
  <c r="L193" i="4"/>
  <c r="L200" i="4"/>
  <c r="L45" i="4"/>
  <c r="L49" i="4"/>
  <c r="L53" i="4"/>
  <c r="L61" i="4"/>
  <c r="L69" i="4"/>
  <c r="L73" i="4"/>
  <c r="L77" i="4"/>
  <c r="L81" i="4"/>
  <c r="V83" i="4" s="1"/>
  <c r="L119" i="4"/>
  <c r="L123" i="4"/>
  <c r="L151" i="4"/>
  <c r="L155" i="4"/>
  <c r="L159" i="4"/>
  <c r="L163" i="4"/>
  <c r="L167" i="4"/>
  <c r="L171" i="4"/>
  <c r="L179" i="4"/>
  <c r="L183" i="4"/>
  <c r="L217" i="4"/>
  <c r="L221" i="4"/>
  <c r="L233" i="4"/>
  <c r="L241" i="4"/>
  <c r="L178" i="4"/>
  <c r="L74" i="4"/>
  <c r="V76" i="4" s="1"/>
  <c r="L195" i="4"/>
  <c r="L209" i="4"/>
  <c r="L259" i="4"/>
  <c r="L278" i="4"/>
  <c r="L293" i="4"/>
  <c r="L131" i="4"/>
  <c r="L142" i="4"/>
  <c r="L229" i="4"/>
  <c r="L87" i="4"/>
  <c r="L112" i="4"/>
  <c r="L174" i="4"/>
  <c r="L181" i="4"/>
  <c r="L192" i="4"/>
  <c r="L210" i="4"/>
  <c r="L214" i="4"/>
  <c r="L252" i="4"/>
  <c r="L256" i="4"/>
  <c r="L260" i="4"/>
  <c r="L309" i="4"/>
  <c r="V91" i="4" s="1"/>
  <c r="L3" i="4"/>
  <c r="L21" i="4"/>
  <c r="L29" i="4"/>
  <c r="L33" i="4"/>
  <c r="L37" i="4"/>
  <c r="L41" i="4"/>
  <c r="L48" i="4"/>
  <c r="L52" i="4"/>
  <c r="L56" i="4"/>
  <c r="L60" i="4"/>
  <c r="L64" i="4"/>
  <c r="L72" i="4"/>
  <c r="L76" i="4"/>
  <c r="V78" i="4" s="1"/>
  <c r="L80" i="4"/>
  <c r="V82" i="4" s="1"/>
  <c r="L84" i="4"/>
  <c r="L94" i="4"/>
  <c r="L101" i="4"/>
  <c r="L120" i="4"/>
  <c r="L124" i="4"/>
  <c r="L128" i="4"/>
  <c r="L132" i="4"/>
  <c r="L185" i="4"/>
  <c r="L203" i="4"/>
  <c r="L218" i="4"/>
  <c r="L222" i="4"/>
  <c r="L226" i="4"/>
  <c r="L268" i="4"/>
  <c r="L272" i="4"/>
  <c r="L283" i="4"/>
  <c r="L298" i="4"/>
  <c r="L302" i="4"/>
  <c r="V84" i="4" s="1"/>
  <c r="L317" i="4"/>
  <c r="V99" i="4" s="1"/>
  <c r="L88" i="4"/>
  <c r="L133" i="4"/>
  <c r="L186" i="4"/>
  <c r="L197" i="4"/>
  <c r="L223" i="4"/>
  <c r="L227" i="4"/>
  <c r="L246" i="4"/>
  <c r="L273" i="4"/>
  <c r="L318" i="4"/>
  <c r="V100" i="4" s="1"/>
  <c r="L99" i="4"/>
  <c r="L103" i="4"/>
  <c r="L141" i="4"/>
  <c r="L9" i="4"/>
  <c r="L43" i="4"/>
  <c r="L46" i="4"/>
  <c r="L66" i="4"/>
  <c r="L85" i="4"/>
  <c r="L90" i="4"/>
  <c r="L98" i="4"/>
  <c r="L110" i="4"/>
  <c r="L117" i="4"/>
  <c r="L135" i="4"/>
  <c r="L138" i="4"/>
  <c r="L175" i="4"/>
  <c r="L187" i="4"/>
  <c r="L196" i="4"/>
  <c r="L202" i="4"/>
  <c r="L206" i="4"/>
  <c r="L231" i="4"/>
  <c r="L238" i="4"/>
  <c r="L245" i="4"/>
  <c r="L248" i="4"/>
  <c r="L263" i="4"/>
  <c r="L270" i="4"/>
  <c r="L277" i="4"/>
  <c r="L280" i="4"/>
  <c r="L312" i="4"/>
  <c r="V94" i="4" s="1"/>
  <c r="L281" i="4"/>
  <c r="L299" i="4"/>
  <c r="L306" i="4"/>
  <c r="V88" i="4" s="1"/>
  <c r="L313" i="4"/>
  <c r="V95" i="4" s="1"/>
  <c r="L4" i="4"/>
  <c r="L25" i="4"/>
  <c r="L67" i="4"/>
  <c r="V69" i="4" s="1"/>
  <c r="L70" i="4"/>
  <c r="V72" i="4" s="1"/>
  <c r="L86" i="4"/>
  <c r="L118" i="4"/>
  <c r="L125" i="4"/>
  <c r="L152" i="4"/>
  <c r="L7" i="4"/>
  <c r="L57" i="4"/>
  <c r="L91" i="4"/>
  <c r="L104" i="4"/>
  <c r="L115" i="4"/>
  <c r="L122" i="4"/>
  <c r="L129" i="4"/>
  <c r="L136" i="4"/>
  <c r="L146" i="4"/>
  <c r="L149" i="4"/>
  <c r="L198" i="4"/>
  <c r="L213" i="4"/>
  <c r="L225" i="4"/>
  <c r="L243" i="4"/>
  <c r="L250" i="4"/>
  <c r="L257" i="4"/>
  <c r="L275" i="4"/>
  <c r="L282" i="4"/>
  <c r="L289" i="4"/>
  <c r="L307" i="4"/>
  <c r="V89" i="4" s="1"/>
  <c r="L314" i="4"/>
  <c r="V96" i="4" s="1"/>
  <c r="L321" i="4"/>
  <c r="V103" i="4" s="1"/>
  <c r="L17" i="4"/>
  <c r="L75" i="4"/>
  <c r="V77" i="4" s="1"/>
  <c r="L97" i="4"/>
  <c r="L105" i="4"/>
  <c r="L130" i="4"/>
  <c r="L140" i="4"/>
  <c r="L290" i="4"/>
  <c r="L297" i="4"/>
  <c r="L315" i="4"/>
  <c r="L27" i="4"/>
  <c r="L30" i="4"/>
  <c r="L39" i="4"/>
  <c r="L42" i="4"/>
  <c r="L55" i="4"/>
  <c r="L65" i="4"/>
  <c r="V67" i="4" s="1"/>
  <c r="L92" i="4"/>
  <c r="L95" i="4"/>
  <c r="L100" i="4"/>
  <c r="L109" i="4"/>
  <c r="L134" i="4"/>
  <c r="L166" i="4"/>
  <c r="L205" i="4"/>
  <c r="L211" i="4"/>
  <c r="L230" i="4"/>
  <c r="L237" i="4"/>
  <c r="L262" i="4"/>
  <c r="L269" i="4"/>
  <c r="L287" i="4"/>
  <c r="L294" i="4"/>
  <c r="L301" i="4"/>
  <c r="L319" i="4"/>
  <c r="V101" i="4" s="1"/>
  <c r="V65" i="4"/>
  <c r="V71" i="4"/>
  <c r="V75" i="4"/>
  <c r="V66" i="4"/>
  <c r="V80" i="4"/>
  <c r="V74" i="4"/>
  <c r="V79" i="4"/>
  <c r="L15" i="4"/>
  <c r="V68" i="4"/>
  <c r="L68" i="4"/>
  <c r="L83" i="4"/>
  <c r="V64" i="4"/>
  <c r="V73" i="4"/>
  <c r="L127" i="4"/>
  <c r="L239" i="4"/>
  <c r="V97" i="4"/>
  <c r="L44" i="4"/>
  <c r="L102" i="4"/>
  <c r="L28" i="4"/>
  <c r="L12" i="4"/>
  <c r="L111" i="4"/>
  <c r="L303" i="4"/>
  <c r="L147" i="4"/>
  <c r="L143" i="4"/>
  <c r="L255" i="4"/>
  <c r="L139" i="4"/>
  <c r="L247" i="4"/>
  <c r="L279" i="4"/>
  <c r="L311" i="4"/>
  <c r="L189" i="3"/>
  <c r="L230" i="3"/>
  <c r="L186" i="3"/>
  <c r="L4" i="3"/>
  <c r="L15" i="3"/>
  <c r="L26" i="3"/>
  <c r="L30" i="3"/>
  <c r="L68" i="3"/>
  <c r="V70" i="3" s="1"/>
  <c r="L88" i="3"/>
  <c r="L98" i="3"/>
  <c r="L108" i="3"/>
  <c r="L151" i="3"/>
  <c r="L5" i="3"/>
  <c r="L86" i="3"/>
  <c r="L89" i="3"/>
  <c r="L99" i="3"/>
  <c r="L112" i="3"/>
  <c r="L166" i="3"/>
  <c r="L170" i="3"/>
  <c r="L195" i="3"/>
  <c r="L222" i="3"/>
  <c r="L229" i="3"/>
  <c r="L244" i="3"/>
  <c r="L248" i="3"/>
  <c r="L252" i="3"/>
  <c r="L256" i="3"/>
  <c r="L310" i="3"/>
  <c r="L174" i="3"/>
  <c r="L2" i="3"/>
  <c r="L6" i="3"/>
  <c r="L39" i="3"/>
  <c r="L80" i="3"/>
  <c r="V82" i="3" s="1"/>
  <c r="L106" i="3"/>
  <c r="L156" i="3"/>
  <c r="L167" i="3"/>
  <c r="L171" i="3"/>
  <c r="L178" i="3"/>
  <c r="L185" i="3"/>
  <c r="L196" i="3"/>
  <c r="L223" i="3"/>
  <c r="L241" i="3"/>
  <c r="L245" i="3"/>
  <c r="L253" i="3"/>
  <c r="L257" i="3"/>
  <c r="L312" i="3"/>
  <c r="V94" i="3" s="1"/>
  <c r="L261" i="3"/>
  <c r="L271" i="3"/>
  <c r="L274" i="3"/>
  <c r="L281" i="3"/>
  <c r="L299" i="3"/>
  <c r="L306" i="3"/>
  <c r="V88" i="3" s="1"/>
  <c r="L313" i="3"/>
  <c r="V95" i="3" s="1"/>
  <c r="L160" i="3"/>
  <c r="L280" i="3"/>
  <c r="L124" i="3"/>
  <c r="L131" i="3"/>
  <c r="L168" i="3"/>
  <c r="L41" i="3"/>
  <c r="L109" i="3"/>
  <c r="L224" i="3"/>
  <c r="L27" i="3"/>
  <c r="L188" i="3"/>
  <c r="L32" i="3"/>
  <c r="L18" i="3"/>
  <c r="L31" i="3"/>
  <c r="L43" i="3"/>
  <c r="L69" i="3"/>
  <c r="L114" i="3"/>
  <c r="L135" i="3"/>
  <c r="L142" i="3"/>
  <c r="L249" i="3"/>
  <c r="L279" i="3"/>
  <c r="L286" i="3"/>
  <c r="L293" i="3"/>
  <c r="L311" i="3"/>
  <c r="L318" i="3"/>
  <c r="V100" i="3" s="1"/>
  <c r="L37" i="3"/>
  <c r="L59" i="3"/>
  <c r="L118" i="3"/>
  <c r="L139" i="3"/>
  <c r="L198" i="3"/>
  <c r="L13" i="3"/>
  <c r="L70" i="3"/>
  <c r="V72" i="3" s="1"/>
  <c r="L103" i="3"/>
  <c r="L133" i="3"/>
  <c r="L173" i="3"/>
  <c r="L260" i="3"/>
  <c r="L19" i="3"/>
  <c r="L38" i="3"/>
  <c r="L50" i="3"/>
  <c r="L63" i="3"/>
  <c r="V65" i="3" s="1"/>
  <c r="L79" i="3"/>
  <c r="V81" i="3" s="1"/>
  <c r="L82" i="3"/>
  <c r="L85" i="3"/>
  <c r="L115" i="3"/>
  <c r="L122" i="3"/>
  <c r="L143" i="3"/>
  <c r="L146" i="3"/>
  <c r="L199" i="3"/>
  <c r="L203" i="3"/>
  <c r="L217" i="3"/>
  <c r="L287" i="3"/>
  <c r="L294" i="3"/>
  <c r="L301" i="3"/>
  <c r="L319" i="3"/>
  <c r="V101" i="3" s="1"/>
  <c r="V66" i="3"/>
  <c r="V76" i="3"/>
  <c r="V67" i="3"/>
  <c r="V71" i="3"/>
  <c r="L12" i="3"/>
  <c r="L28" i="3"/>
  <c r="L44" i="3"/>
  <c r="L60" i="3"/>
  <c r="V79" i="3"/>
  <c r="L162" i="3"/>
  <c r="V75" i="3"/>
  <c r="L90" i="3"/>
  <c r="L153" i="3"/>
  <c r="L234" i="3"/>
  <c r="V69" i="3"/>
  <c r="L78" i="3"/>
  <c r="L116" i="3"/>
  <c r="L148" i="3"/>
  <c r="L250" i="3"/>
  <c r="V74" i="3"/>
  <c r="L169" i="3"/>
  <c r="L263" i="3"/>
  <c r="V83" i="3"/>
  <c r="L87" i="3"/>
  <c r="L132" i="3"/>
  <c r="L227" i="3"/>
  <c r="V98" i="3"/>
  <c r="V96" i="3"/>
  <c r="L215" i="3"/>
  <c r="V92" i="3"/>
  <c r="V89" i="3"/>
  <c r="V93" i="3"/>
  <c r="L136" i="3"/>
  <c r="L152" i="3"/>
  <c r="L210" i="3"/>
  <c r="L247" i="3"/>
  <c r="L23" i="2"/>
  <c r="L45" i="2"/>
  <c r="L42" i="2"/>
  <c r="L53" i="2"/>
  <c r="L6" i="2"/>
  <c r="L39" i="2"/>
  <c r="L43" i="2"/>
  <c r="L50" i="2"/>
  <c r="L61" i="2"/>
  <c r="L91" i="2"/>
  <c r="L101" i="2"/>
  <c r="L131" i="2"/>
  <c r="L146" i="2"/>
  <c r="L161" i="2"/>
  <c r="L168" i="2"/>
  <c r="L179" i="2"/>
  <c r="L183" i="2"/>
  <c r="L205" i="2"/>
  <c r="L278" i="2"/>
  <c r="L309" i="2"/>
  <c r="V91" i="2" s="1"/>
  <c r="L7" i="2"/>
  <c r="L14" i="2"/>
  <c r="L36" i="2"/>
  <c r="L40" i="2"/>
  <c r="L44" i="2"/>
  <c r="L62" i="2"/>
  <c r="L66" i="2"/>
  <c r="V68" i="2" s="1"/>
  <c r="L92" i="2"/>
  <c r="L102" i="2"/>
  <c r="L117" i="2"/>
  <c r="L132" i="2"/>
  <c r="L135" i="2"/>
  <c r="L158" i="2"/>
  <c r="L162" i="2"/>
  <c r="L169" i="2"/>
  <c r="L176" i="2"/>
  <c r="L180" i="2"/>
  <c r="L190" i="2"/>
  <c r="L213" i="2"/>
  <c r="L322" i="2"/>
  <c r="L15" i="2"/>
  <c r="L26" i="2"/>
  <c r="L30" i="2"/>
  <c r="L37" i="2"/>
  <c r="L41" i="2"/>
  <c r="L51" i="2"/>
  <c r="L55" i="2"/>
  <c r="L59" i="2"/>
  <c r="L63" i="2"/>
  <c r="L67" i="2"/>
  <c r="L78" i="2"/>
  <c r="V80" i="2" s="1"/>
  <c r="L96" i="2"/>
  <c r="L118" i="2"/>
  <c r="L129" i="2"/>
  <c r="L133" i="2"/>
  <c r="L159" i="2"/>
  <c r="L170" i="2"/>
  <c r="L188" i="2"/>
  <c r="L214" i="2"/>
  <c r="L245" i="2"/>
  <c r="L116" i="2"/>
  <c r="L144" i="2"/>
  <c r="L163" i="2"/>
  <c r="L172" i="2"/>
  <c r="L206" i="2"/>
  <c r="L216" i="2"/>
  <c r="L248" i="2"/>
  <c r="L3" i="2"/>
  <c r="L166" i="2"/>
  <c r="L203" i="2"/>
  <c r="L280" i="2"/>
  <c r="L312" i="2"/>
  <c r="V94" i="2" s="1"/>
  <c r="L4" i="2"/>
  <c r="L31" i="2"/>
  <c r="L47" i="2"/>
  <c r="L86" i="2"/>
  <c r="L97" i="2"/>
  <c r="L100" i="2"/>
  <c r="L177" i="2"/>
  <c r="L215" i="2"/>
  <c r="L222" i="2"/>
  <c r="L229" i="2"/>
  <c r="L247" i="2"/>
  <c r="L254" i="2"/>
  <c r="L261" i="2"/>
  <c r="L286" i="2"/>
  <c r="L293" i="2"/>
  <c r="L311" i="2"/>
  <c r="V93" i="2" s="1"/>
  <c r="L315" i="2"/>
  <c r="V97" i="2" s="1"/>
  <c r="L5" i="2"/>
  <c r="L58" i="2"/>
  <c r="L71" i="2"/>
  <c r="V73" i="2" s="1"/>
  <c r="L122" i="2"/>
  <c r="L125" i="2"/>
  <c r="L153" i="2"/>
  <c r="L178" i="2"/>
  <c r="L181" i="2"/>
  <c r="L223" i="2"/>
  <c r="L230" i="2"/>
  <c r="L237" i="2"/>
  <c r="L255" i="2"/>
  <c r="L262" i="2"/>
  <c r="L269" i="2"/>
  <c r="L287" i="2"/>
  <c r="L294" i="2"/>
  <c r="L301" i="2"/>
  <c r="L319" i="2"/>
  <c r="V101" i="2" s="1"/>
  <c r="V71" i="2"/>
  <c r="V76" i="2"/>
  <c r="V67" i="2"/>
  <c r="V65" i="2"/>
  <c r="L32" i="2"/>
  <c r="V81" i="2"/>
  <c r="L84" i="2"/>
  <c r="L175" i="2"/>
  <c r="L186" i="2"/>
  <c r="V75" i="2"/>
  <c r="V85" i="2"/>
  <c r="L68" i="2"/>
  <c r="V89" i="2"/>
  <c r="L8" i="2"/>
  <c r="V78" i="2"/>
  <c r="L48" i="2"/>
  <c r="V69" i="2"/>
  <c r="L16" i="2"/>
  <c r="V64" i="2"/>
  <c r="V74" i="2"/>
  <c r="V77" i="2"/>
  <c r="L197" i="2"/>
  <c r="V83" i="2"/>
  <c r="L64" i="2"/>
  <c r="L77" i="2"/>
  <c r="L57" i="2"/>
  <c r="L95" i="2"/>
  <c r="V99" i="2"/>
  <c r="V103" i="2"/>
  <c r="L157" i="2"/>
  <c r="L317" i="1"/>
  <c r="L320" i="1"/>
  <c r="L318" i="1"/>
  <c r="L262" i="1"/>
  <c r="L282" i="1"/>
  <c r="L321" i="1"/>
  <c r="V103" i="1" s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V98" i="1"/>
  <c r="L176" i="1"/>
  <c r="L258" i="1"/>
  <c r="V101" i="1"/>
  <c r="L161" i="1"/>
  <c r="L212" i="1"/>
  <c r="L222" i="1"/>
  <c r="V100" i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V99" i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V102" i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82" i="1"/>
  <c r="V79" i="1"/>
  <c r="V72" i="1"/>
  <c r="N5" i="7" l="1"/>
  <c r="N2" i="7"/>
  <c r="M100" i="7" s="1"/>
  <c r="N2" i="6"/>
  <c r="N5" i="6"/>
  <c r="V76" i="5"/>
  <c r="V79" i="5"/>
  <c r="N5" i="4"/>
  <c r="V70" i="4"/>
  <c r="V93" i="4"/>
  <c r="V85" i="4"/>
  <c r="V80" i="3"/>
  <c r="N2" i="3" s="1"/>
  <c r="V79" i="2"/>
  <c r="V70" i="2"/>
  <c r="V66" i="2"/>
  <c r="N5" i="2"/>
  <c r="N2" i="2"/>
  <c r="M57" i="2" s="1"/>
  <c r="N2" i="1"/>
  <c r="M322" i="1" s="1"/>
  <c r="N5" i="1"/>
  <c r="M120" i="7" l="1"/>
  <c r="M142" i="7"/>
  <c r="M57" i="7"/>
  <c r="M105" i="7"/>
  <c r="M28" i="7"/>
  <c r="M161" i="7"/>
  <c r="M163" i="7"/>
  <c r="M90" i="7"/>
  <c r="M123" i="7"/>
  <c r="M115" i="7"/>
  <c r="M205" i="7"/>
  <c r="M165" i="7"/>
  <c r="M245" i="7"/>
  <c r="M181" i="7"/>
  <c r="M221" i="7"/>
  <c r="M197" i="7"/>
  <c r="M237" i="7"/>
  <c r="M173" i="7"/>
  <c r="M213" i="7"/>
  <c r="M229" i="7"/>
  <c r="M189" i="7"/>
  <c r="M76" i="7"/>
  <c r="M12" i="7"/>
  <c r="M200" i="7"/>
  <c r="M118" i="7"/>
  <c r="M24" i="7"/>
  <c r="M22" i="7"/>
  <c r="M39" i="7"/>
  <c r="M87" i="7"/>
  <c r="M56" i="7"/>
  <c r="M106" i="7"/>
  <c r="M29" i="7"/>
  <c r="M55" i="7"/>
  <c r="M186" i="7"/>
  <c r="M27" i="7"/>
  <c r="M31" i="7"/>
  <c r="M25" i="7"/>
  <c r="M67" i="7"/>
  <c r="M223" i="7"/>
  <c r="M124" i="7"/>
  <c r="M267" i="7"/>
  <c r="M73" i="7"/>
  <c r="M135" i="7"/>
  <c r="M196" i="7"/>
  <c r="M60" i="7"/>
  <c r="M153" i="7"/>
  <c r="M292" i="7"/>
  <c r="M50" i="7"/>
  <c r="M177" i="7"/>
  <c r="M296" i="7"/>
  <c r="M44" i="7"/>
  <c r="M156" i="7"/>
  <c r="M268" i="7"/>
  <c r="M319" i="7"/>
  <c r="M277" i="7"/>
  <c r="M187" i="7"/>
  <c r="M225" i="7"/>
  <c r="M257" i="7"/>
  <c r="M321" i="7"/>
  <c r="M169" i="7"/>
  <c r="M193" i="7"/>
  <c r="M266" i="7"/>
  <c r="M298" i="7"/>
  <c r="M157" i="7"/>
  <c r="M191" i="7"/>
  <c r="M131" i="7"/>
  <c r="M103" i="7"/>
  <c r="M11" i="7"/>
  <c r="M101" i="7"/>
  <c r="M121" i="7"/>
  <c r="M65" i="7"/>
  <c r="M239" i="7"/>
  <c r="M146" i="7"/>
  <c r="M35" i="7"/>
  <c r="M158" i="7"/>
  <c r="M127" i="7"/>
  <c r="M224" i="7"/>
  <c r="M184" i="7"/>
  <c r="M125" i="7"/>
  <c r="M192" i="7"/>
  <c r="M133" i="7"/>
  <c r="M138" i="7"/>
  <c r="M272" i="7"/>
  <c r="M253" i="7"/>
  <c r="M180" i="7"/>
  <c r="M297" i="7"/>
  <c r="M233" i="7"/>
  <c r="M286" i="7"/>
  <c r="M7" i="7"/>
  <c r="M33" i="7"/>
  <c r="M109" i="7"/>
  <c r="M14" i="7"/>
  <c r="M69" i="7"/>
  <c r="M3" i="7"/>
  <c r="M140" i="7"/>
  <c r="M107" i="7"/>
  <c r="M110" i="7"/>
  <c r="M242" i="7"/>
  <c r="M291" i="7"/>
  <c r="M37" i="7"/>
  <c r="M116" i="7"/>
  <c r="M167" i="7"/>
  <c r="M320" i="7"/>
  <c r="M136" i="7"/>
  <c r="M260" i="7"/>
  <c r="M217" i="7"/>
  <c r="M145" i="7"/>
  <c r="M264" i="7"/>
  <c r="M210" i="7"/>
  <c r="M139" i="7"/>
  <c r="M247" i="7"/>
  <c r="M134" i="7"/>
  <c r="M287" i="7"/>
  <c r="M261" i="7"/>
  <c r="M227" i="7"/>
  <c r="M190" i="7"/>
  <c r="M235" i="7"/>
  <c r="M238" i="7"/>
  <c r="M322" i="7"/>
  <c r="M16" i="7"/>
  <c r="M46" i="7"/>
  <c r="M126" i="7"/>
  <c r="M18" i="7"/>
  <c r="M6" i="7"/>
  <c r="M15" i="7"/>
  <c r="M19" i="7"/>
  <c r="M172" i="7"/>
  <c r="M252" i="7"/>
  <c r="M21" i="7"/>
  <c r="M49" i="7"/>
  <c r="M130" i="7"/>
  <c r="M176" i="7"/>
  <c r="M143" i="7"/>
  <c r="M150" i="7"/>
  <c r="M275" i="7"/>
  <c r="M78" i="7"/>
  <c r="M248" i="7"/>
  <c r="M162" i="7"/>
  <c r="M279" i="7"/>
  <c r="M154" i="7"/>
  <c r="M72" i="7"/>
  <c r="M137" i="7"/>
  <c r="M304" i="7"/>
  <c r="M241" i="7"/>
  <c r="M249" i="7"/>
  <c r="M262" i="7"/>
  <c r="M45" i="7"/>
  <c r="M58" i="7"/>
  <c r="M10" i="7"/>
  <c r="M112" i="7"/>
  <c r="M42" i="7"/>
  <c r="M102" i="7"/>
  <c r="M13" i="7"/>
  <c r="M43" i="7"/>
  <c r="M38" i="7"/>
  <c r="M48" i="7"/>
  <c r="M295" i="7"/>
  <c r="M132" i="7"/>
  <c r="M284" i="7"/>
  <c r="M164" i="7"/>
  <c r="M141" i="7"/>
  <c r="M256" i="7"/>
  <c r="M81" i="7"/>
  <c r="M307" i="7"/>
  <c r="M104" i="7"/>
  <c r="M88" i="7"/>
  <c r="M203" i="7"/>
  <c r="M311" i="7"/>
  <c r="M166" i="7"/>
  <c r="M283" i="7"/>
  <c r="M82" i="7"/>
  <c r="M148" i="7"/>
  <c r="M285" i="7"/>
  <c r="M201" i="7"/>
  <c r="M244" i="7"/>
  <c r="M265" i="7"/>
  <c r="M160" i="7"/>
  <c r="M178" i="7"/>
  <c r="M212" i="7"/>
  <c r="M270" i="7"/>
  <c r="M302" i="7"/>
  <c r="M70" i="7"/>
  <c r="M216" i="7"/>
  <c r="M114" i="7"/>
  <c r="M300" i="7"/>
  <c r="M159" i="7"/>
  <c r="M226" i="7"/>
  <c r="M220" i="7"/>
  <c r="M171" i="7"/>
  <c r="M273" i="7"/>
  <c r="M188" i="7"/>
  <c r="M222" i="7"/>
  <c r="M274" i="7"/>
  <c r="M306" i="7"/>
  <c r="M86" i="7"/>
  <c r="M113" i="7"/>
  <c r="M63" i="7"/>
  <c r="M240" i="7"/>
  <c r="M234" i="7"/>
  <c r="M317" i="7"/>
  <c r="M214" i="7"/>
  <c r="M228" i="7"/>
  <c r="M254" i="7"/>
  <c r="M318" i="7"/>
  <c r="M36" i="7"/>
  <c r="M305" i="7"/>
  <c r="M290" i="7"/>
  <c r="M61" i="7"/>
  <c r="M251" i="7"/>
  <c r="M211" i="7"/>
  <c r="M179" i="7"/>
  <c r="M17" i="7"/>
  <c r="M62" i="7"/>
  <c r="M151" i="7"/>
  <c r="M68" i="7"/>
  <c r="M20" i="7"/>
  <c r="M2" i="7"/>
  <c r="M59" i="7"/>
  <c r="M54" i="7"/>
  <c r="M152" i="7"/>
  <c r="M299" i="7"/>
  <c r="M207" i="7"/>
  <c r="M77" i="7"/>
  <c r="M144" i="7"/>
  <c r="M271" i="7"/>
  <c r="M170" i="7"/>
  <c r="M95" i="7"/>
  <c r="M206" i="7"/>
  <c r="M98" i="7"/>
  <c r="M183" i="7"/>
  <c r="M93" i="7"/>
  <c r="M293" i="7"/>
  <c r="M174" i="7"/>
  <c r="M79" i="7"/>
  <c r="M91" i="7"/>
  <c r="M83" i="7"/>
  <c r="M71" i="7"/>
  <c r="M23" i="7"/>
  <c r="M32" i="7"/>
  <c r="M34" i="7"/>
  <c r="M5" i="7"/>
  <c r="M74" i="7"/>
  <c r="M259" i="7"/>
  <c r="M47" i="7"/>
  <c r="M182" i="7"/>
  <c r="M316" i="7"/>
  <c r="M263" i="7"/>
  <c r="M92" i="7"/>
  <c r="M149" i="7"/>
  <c r="M288" i="7"/>
  <c r="M94" i="7"/>
  <c r="M202" i="7"/>
  <c r="M9" i="7"/>
  <c r="M276" i="7"/>
  <c r="M119" i="7"/>
  <c r="M215" i="7"/>
  <c r="M129" i="7"/>
  <c r="M117" i="7"/>
  <c r="M194" i="7"/>
  <c r="M315" i="7"/>
  <c r="M168" i="7"/>
  <c r="M236" i="7"/>
  <c r="M301" i="7"/>
  <c r="M230" i="7"/>
  <c r="M185" i="7"/>
  <c r="M281" i="7"/>
  <c r="M195" i="7"/>
  <c r="M198" i="7"/>
  <c r="M243" i="7"/>
  <c r="M278" i="7"/>
  <c r="M310" i="7"/>
  <c r="M40" i="7"/>
  <c r="M258" i="7"/>
  <c r="M52" i="7"/>
  <c r="M232" i="7"/>
  <c r="M269" i="7"/>
  <c r="M313" i="7"/>
  <c r="M294" i="7"/>
  <c r="M84" i="7"/>
  <c r="M147" i="7"/>
  <c r="M26" i="7"/>
  <c r="M75" i="7"/>
  <c r="M64" i="7"/>
  <c r="M97" i="7"/>
  <c r="M85" i="7"/>
  <c r="M8" i="7"/>
  <c r="M66" i="7"/>
  <c r="M80" i="7"/>
  <c r="M96" i="7"/>
  <c r="M308" i="7"/>
  <c r="M199" i="7"/>
  <c r="M89" i="7"/>
  <c r="M280" i="7"/>
  <c r="M99" i="7"/>
  <c r="M155" i="7"/>
  <c r="M303" i="7"/>
  <c r="M108" i="7"/>
  <c r="M208" i="7"/>
  <c r="M53" i="7"/>
  <c r="M41" i="7"/>
  <c r="M122" i="7"/>
  <c r="M218" i="7"/>
  <c r="M175" i="7"/>
  <c r="M128" i="7"/>
  <c r="M231" i="7"/>
  <c r="M111" i="7"/>
  <c r="M255" i="7"/>
  <c r="M246" i="7"/>
  <c r="M309" i="7"/>
  <c r="M312" i="7"/>
  <c r="M204" i="7"/>
  <c r="M289" i="7"/>
  <c r="M209" i="7"/>
  <c r="M219" i="7"/>
  <c r="M250" i="7"/>
  <c r="M282" i="7"/>
  <c r="M314" i="7"/>
  <c r="M30" i="7"/>
  <c r="M4" i="7"/>
  <c r="M51" i="7"/>
  <c r="M181" i="6"/>
  <c r="M107" i="6"/>
  <c r="M51" i="6"/>
  <c r="M157" i="6"/>
  <c r="M111" i="6"/>
  <c r="M3" i="6"/>
  <c r="M127" i="6"/>
  <c r="M18" i="6"/>
  <c r="M83" i="6"/>
  <c r="M25" i="6"/>
  <c r="M142" i="6"/>
  <c r="M67" i="6"/>
  <c r="M146" i="6"/>
  <c r="M54" i="6"/>
  <c r="M2" i="6"/>
  <c r="M55" i="6"/>
  <c r="M119" i="6"/>
  <c r="M49" i="6"/>
  <c r="M109" i="6"/>
  <c r="M180" i="6"/>
  <c r="M104" i="6"/>
  <c r="M152" i="6"/>
  <c r="M154" i="6"/>
  <c r="M80" i="6"/>
  <c r="M95" i="6"/>
  <c r="M124" i="6"/>
  <c r="M192" i="6"/>
  <c r="M251" i="6"/>
  <c r="M305" i="6"/>
  <c r="M228" i="6"/>
  <c r="M302" i="6"/>
  <c r="M226" i="6"/>
  <c r="M288" i="6"/>
  <c r="M191" i="6"/>
  <c r="M264" i="6"/>
  <c r="M310" i="6"/>
  <c r="M214" i="6"/>
  <c r="M259" i="6"/>
  <c r="M290" i="6"/>
  <c r="M203" i="6"/>
  <c r="M237" i="6"/>
  <c r="M280" i="6"/>
  <c r="M291" i="6"/>
  <c r="M14" i="6"/>
  <c r="M201" i="6"/>
  <c r="M311" i="6"/>
  <c r="M304" i="6"/>
  <c r="M256" i="6"/>
  <c r="M11" i="6"/>
  <c r="M143" i="6"/>
  <c r="M52" i="6"/>
  <c r="M165" i="6"/>
  <c r="M87" i="6"/>
  <c r="M212" i="6"/>
  <c r="M211" i="6"/>
  <c r="M277" i="6"/>
  <c r="M10" i="6"/>
  <c r="M66" i="6"/>
  <c r="M130" i="6"/>
  <c r="M62" i="6"/>
  <c r="M21" i="6"/>
  <c r="M86" i="6"/>
  <c r="M40" i="6"/>
  <c r="M12" i="6"/>
  <c r="M153" i="6"/>
  <c r="M84" i="6"/>
  <c r="M5" i="6"/>
  <c r="M61" i="6"/>
  <c r="M122" i="6"/>
  <c r="M58" i="6"/>
  <c r="M123" i="6"/>
  <c r="M132" i="6"/>
  <c r="M149" i="6"/>
  <c r="M177" i="6"/>
  <c r="M173" i="6"/>
  <c r="M160" i="6"/>
  <c r="M103" i="6"/>
  <c r="M200" i="6"/>
  <c r="M254" i="6"/>
  <c r="M308" i="6"/>
  <c r="M244" i="6"/>
  <c r="M309" i="6"/>
  <c r="M229" i="6"/>
  <c r="M299" i="6"/>
  <c r="M193" i="6"/>
  <c r="M271" i="6"/>
  <c r="M317" i="6"/>
  <c r="M217" i="6"/>
  <c r="M262" i="6"/>
  <c r="M186" i="6"/>
  <c r="M293" i="6"/>
  <c r="M205" i="6"/>
  <c r="M247" i="6"/>
  <c r="M297" i="6"/>
  <c r="M197" i="6"/>
  <c r="M294" i="6"/>
  <c r="M69" i="6"/>
  <c r="M276" i="6"/>
  <c r="M220" i="6"/>
  <c r="M224" i="6"/>
  <c r="M76" i="6"/>
  <c r="M48" i="6"/>
  <c r="M38" i="6"/>
  <c r="M88" i="6"/>
  <c r="M169" i="6"/>
  <c r="M295" i="6"/>
  <c r="M303" i="6"/>
  <c r="M234" i="6"/>
  <c r="M13" i="6"/>
  <c r="M7" i="6"/>
  <c r="M93" i="6"/>
  <c r="M36" i="6"/>
  <c r="M106" i="6"/>
  <c r="M50" i="6"/>
  <c r="M19" i="6"/>
  <c r="M74" i="6"/>
  <c r="M16" i="6"/>
  <c r="M97" i="6"/>
  <c r="M20" i="6"/>
  <c r="M151" i="6"/>
  <c r="M68" i="6"/>
  <c r="M126" i="6"/>
  <c r="M140" i="6"/>
  <c r="M162" i="6"/>
  <c r="M116" i="6"/>
  <c r="M60" i="6"/>
  <c r="M175" i="6"/>
  <c r="M121" i="6"/>
  <c r="M79" i="6"/>
  <c r="M219" i="6"/>
  <c r="M257" i="6"/>
  <c r="M170" i="6"/>
  <c r="M260" i="6"/>
  <c r="M312" i="6"/>
  <c r="M239" i="6"/>
  <c r="M306" i="6"/>
  <c r="M199" i="6"/>
  <c r="M273" i="6"/>
  <c r="M320" i="6"/>
  <c r="M227" i="6"/>
  <c r="M265" i="6"/>
  <c r="M194" i="6"/>
  <c r="M296" i="6"/>
  <c r="M208" i="6"/>
  <c r="M250" i="6"/>
  <c r="M300" i="6"/>
  <c r="M206" i="6"/>
  <c r="M301" i="6"/>
  <c r="M100" i="6"/>
  <c r="M242" i="6"/>
  <c r="M230" i="6"/>
  <c r="M253" i="6"/>
  <c r="M315" i="6"/>
  <c r="M266" i="6"/>
  <c r="M59" i="6"/>
  <c r="M92" i="6"/>
  <c r="M182" i="6"/>
  <c r="M223" i="6"/>
  <c r="M248" i="6"/>
  <c r="M249" i="6"/>
  <c r="M174" i="6"/>
  <c r="M189" i="6"/>
  <c r="M28" i="6"/>
  <c r="M43" i="6"/>
  <c r="M135" i="6"/>
  <c r="M89" i="6"/>
  <c r="M26" i="6"/>
  <c r="M23" i="6"/>
  <c r="M99" i="6"/>
  <c r="M27" i="6"/>
  <c r="M65" i="6"/>
  <c r="M6" i="6"/>
  <c r="M125" i="6"/>
  <c r="M148" i="6"/>
  <c r="M184" i="6"/>
  <c r="M129" i="6"/>
  <c r="M108" i="6"/>
  <c r="M222" i="6"/>
  <c r="M267" i="6"/>
  <c r="M190" i="6"/>
  <c r="M270" i="6"/>
  <c r="M158" i="6"/>
  <c r="M313" i="6"/>
  <c r="M159" i="6"/>
  <c r="M274" i="6"/>
  <c r="M215" i="6"/>
  <c r="M113" i="6"/>
  <c r="M105" i="6"/>
  <c r="M133" i="6"/>
  <c r="M298" i="6"/>
  <c r="M178" i="6"/>
  <c r="M287" i="6"/>
  <c r="M35" i="6"/>
  <c r="M17" i="6"/>
  <c r="M131" i="6"/>
  <c r="M46" i="6"/>
  <c r="M138" i="6"/>
  <c r="M91" i="6"/>
  <c r="M29" i="6"/>
  <c r="M81" i="6"/>
  <c r="M30" i="6"/>
  <c r="M115" i="6"/>
  <c r="M34" i="6"/>
  <c r="M82" i="6"/>
  <c r="M9" i="6"/>
  <c r="M75" i="6"/>
  <c r="M63" i="6"/>
  <c r="M156" i="6"/>
  <c r="M120" i="6"/>
  <c r="M72" i="6"/>
  <c r="M64" i="6"/>
  <c r="M96" i="6"/>
  <c r="M137" i="6"/>
  <c r="M117" i="6"/>
  <c r="M225" i="6"/>
  <c r="M269" i="6"/>
  <c r="M198" i="6"/>
  <c r="M279" i="6"/>
  <c r="M183" i="6"/>
  <c r="M245" i="6"/>
  <c r="M316" i="6"/>
  <c r="M204" i="6"/>
  <c r="M283" i="6"/>
  <c r="M166" i="6"/>
  <c r="M233" i="6"/>
  <c r="M292" i="6"/>
  <c r="M236" i="6"/>
  <c r="M318" i="6"/>
  <c r="M218" i="6"/>
  <c r="M263" i="6"/>
  <c r="M322" i="6"/>
  <c r="M240" i="6"/>
  <c r="M319" i="6"/>
  <c r="M42" i="6"/>
  <c r="M150" i="6"/>
  <c r="M144" i="6"/>
  <c r="M241" i="6"/>
  <c r="M261" i="6"/>
  <c r="M321" i="6"/>
  <c r="M281" i="6"/>
  <c r="M53" i="6"/>
  <c r="M73" i="6"/>
  <c r="M32" i="6"/>
  <c r="M134" i="6"/>
  <c r="M70" i="6"/>
  <c r="M8" i="6"/>
  <c r="M101" i="6"/>
  <c r="M44" i="6"/>
  <c r="M94" i="6"/>
  <c r="M33" i="6"/>
  <c r="M118" i="6"/>
  <c r="M37" i="6"/>
  <c r="M90" i="6"/>
  <c r="M24" i="6"/>
  <c r="M185" i="6"/>
  <c r="M128" i="6"/>
  <c r="M176" i="6"/>
  <c r="M141" i="6"/>
  <c r="M145" i="6"/>
  <c r="M172" i="6"/>
  <c r="M235" i="6"/>
  <c r="M272" i="6"/>
  <c r="M207" i="6"/>
  <c r="M282" i="6"/>
  <c r="M210" i="6"/>
  <c r="M255" i="6"/>
  <c r="M168" i="6"/>
  <c r="M216" i="6"/>
  <c r="M286" i="6"/>
  <c r="M196" i="6"/>
  <c r="M243" i="6"/>
  <c r="M307" i="6"/>
  <c r="M252" i="6"/>
  <c r="M164" i="6"/>
  <c r="M221" i="6"/>
  <c r="M139" i="6"/>
  <c r="M56" i="6"/>
  <c r="M98" i="6"/>
  <c r="M39" i="6"/>
  <c r="M4" i="6"/>
  <c r="M15" i="6"/>
  <c r="M110" i="6"/>
  <c r="M57" i="6"/>
  <c r="M114" i="6"/>
  <c r="M41" i="6"/>
  <c r="M147" i="6"/>
  <c r="M45" i="6"/>
  <c r="M102" i="6"/>
  <c r="M31" i="6"/>
  <c r="M85" i="6"/>
  <c r="M163" i="6"/>
  <c r="M77" i="6"/>
  <c r="M136" i="6"/>
  <c r="M112" i="6"/>
  <c r="M71" i="6"/>
  <c r="M78" i="6"/>
  <c r="M161" i="6"/>
  <c r="M188" i="6"/>
  <c r="M238" i="6"/>
  <c r="M284" i="6"/>
  <c r="M209" i="6"/>
  <c r="M285" i="6"/>
  <c r="M213" i="6"/>
  <c r="M258" i="6"/>
  <c r="M171" i="6"/>
  <c r="M232" i="6"/>
  <c r="M289" i="6"/>
  <c r="M202" i="6"/>
  <c r="M246" i="6"/>
  <c r="M314" i="6"/>
  <c r="M268" i="6"/>
  <c r="M167" i="6"/>
  <c r="M231" i="6"/>
  <c r="M275" i="6"/>
  <c r="M278" i="6"/>
  <c r="M22" i="6"/>
  <c r="M179" i="6"/>
  <c r="M195" i="6"/>
  <c r="M47" i="6"/>
  <c r="M155" i="6"/>
  <c r="M187" i="6"/>
  <c r="N2" i="5"/>
  <c r="M157" i="5" s="1"/>
  <c r="M173" i="5"/>
  <c r="M184" i="5"/>
  <c r="M189" i="5"/>
  <c r="M93" i="5"/>
  <c r="M73" i="5"/>
  <c r="M7" i="5"/>
  <c r="M248" i="5"/>
  <c r="M14" i="5"/>
  <c r="M183" i="5"/>
  <c r="M17" i="5"/>
  <c r="M307" i="5"/>
  <c r="M232" i="5"/>
  <c r="M9" i="5"/>
  <c r="M92" i="5"/>
  <c r="M37" i="5"/>
  <c r="M247" i="5"/>
  <c r="M311" i="5"/>
  <c r="M236" i="5"/>
  <c r="M179" i="5"/>
  <c r="M192" i="5"/>
  <c r="M308" i="5"/>
  <c r="M69" i="5"/>
  <c r="M207" i="5"/>
  <c r="M271" i="5"/>
  <c r="M319" i="5"/>
  <c r="M321" i="5"/>
  <c r="M214" i="5"/>
  <c r="M246" i="5"/>
  <c r="M278" i="5"/>
  <c r="M310" i="5"/>
  <c r="M314" i="5"/>
  <c r="M322" i="5"/>
  <c r="M44" i="5"/>
  <c r="M52" i="5"/>
  <c r="M224" i="5"/>
  <c r="M49" i="5"/>
  <c r="M110" i="5"/>
  <c r="M127" i="5"/>
  <c r="M122" i="5"/>
  <c r="M245" i="5"/>
  <c r="M276" i="5"/>
  <c r="M255" i="5"/>
  <c r="M171" i="5"/>
  <c r="M10" i="5"/>
  <c r="M237" i="5"/>
  <c r="M167" i="5"/>
  <c r="M72" i="5"/>
  <c r="M280" i="5"/>
  <c r="M39" i="5"/>
  <c r="M203" i="5"/>
  <c r="M91" i="5"/>
  <c r="M65" i="5"/>
  <c r="M264" i="5"/>
  <c r="M12" i="5"/>
  <c r="M100" i="5"/>
  <c r="M138" i="5"/>
  <c r="M170" i="5"/>
  <c r="M284" i="5"/>
  <c r="M193" i="5"/>
  <c r="M252" i="5"/>
  <c r="M86" i="5"/>
  <c r="M213" i="5"/>
  <c r="M277" i="5"/>
  <c r="M172" i="5"/>
  <c r="M201" i="5"/>
  <c r="M282" i="5"/>
  <c r="M125" i="5"/>
  <c r="M21" i="5"/>
  <c r="M113" i="5"/>
  <c r="M158" i="5"/>
  <c r="M270" i="5"/>
  <c r="M11" i="5"/>
  <c r="M259" i="5"/>
  <c r="M85" i="5"/>
  <c r="M312" i="5"/>
  <c r="M88" i="5"/>
  <c r="M291" i="5"/>
  <c r="M99" i="5"/>
  <c r="M59" i="5"/>
  <c r="M296" i="5"/>
  <c r="M56" i="5"/>
  <c r="M121" i="5"/>
  <c r="M144" i="5"/>
  <c r="M178" i="5"/>
  <c r="M263" i="5"/>
  <c r="M154" i="5"/>
  <c r="M58" i="5"/>
  <c r="M212" i="5"/>
  <c r="M79" i="5"/>
  <c r="M223" i="5"/>
  <c r="M287" i="5"/>
  <c r="M175" i="5"/>
  <c r="M151" i="5"/>
  <c r="M209" i="5"/>
  <c r="M273" i="5"/>
  <c r="M161" i="5"/>
  <c r="M164" i="5"/>
  <c r="M222" i="5"/>
  <c r="M286" i="5"/>
  <c r="M318" i="5"/>
  <c r="M227" i="5"/>
  <c r="M251" i="5"/>
  <c r="M285" i="5"/>
  <c r="M102" i="5"/>
  <c r="M84" i="5"/>
  <c r="M96" i="5"/>
  <c r="M206" i="5"/>
  <c r="M98" i="5"/>
  <c r="M13" i="5"/>
  <c r="M87" i="5"/>
  <c r="M3" i="5"/>
  <c r="M63" i="5"/>
  <c r="M29" i="5"/>
  <c r="M101" i="5"/>
  <c r="M5" i="5"/>
  <c r="M107" i="5"/>
  <c r="M176" i="5"/>
  <c r="M67" i="5"/>
  <c r="M34" i="5"/>
  <c r="M191" i="5"/>
  <c r="M16" i="5"/>
  <c r="M75" i="5"/>
  <c r="M137" i="5"/>
  <c r="M300" i="5"/>
  <c r="M205" i="5"/>
  <c r="M269" i="5"/>
  <c r="M304" i="5"/>
  <c r="M108" i="5"/>
  <c r="M182" i="5"/>
  <c r="M228" i="5"/>
  <c r="M119" i="5"/>
  <c r="M229" i="5"/>
  <c r="M293" i="5"/>
  <c r="M194" i="5"/>
  <c r="M163" i="5"/>
  <c r="M217" i="5"/>
  <c r="M281" i="5"/>
  <c r="M180" i="5"/>
  <c r="M174" i="5"/>
  <c r="M226" i="5"/>
  <c r="M290" i="5"/>
  <c r="M76" i="5"/>
  <c r="M81" i="5"/>
  <c r="M208" i="5"/>
  <c r="M135" i="5"/>
  <c r="M126" i="5"/>
  <c r="M260" i="5"/>
  <c r="M234" i="5"/>
  <c r="M298" i="5"/>
  <c r="M141" i="5"/>
  <c r="M80" i="5"/>
  <c r="M133" i="5"/>
  <c r="M24" i="5"/>
  <c r="M240" i="5"/>
  <c r="M148" i="5"/>
  <c r="M131" i="5"/>
  <c r="M106" i="5"/>
  <c r="M169" i="5"/>
  <c r="M305" i="5"/>
  <c r="M302" i="5"/>
  <c r="M216" i="5"/>
  <c r="M46" i="5"/>
  <c r="M6" i="5"/>
  <c r="M315" i="5"/>
  <c r="M97" i="5"/>
  <c r="M117" i="5"/>
  <c r="M204" i="5"/>
  <c r="M120" i="5"/>
  <c r="M111" i="5"/>
  <c r="M261" i="5"/>
  <c r="M112" i="5"/>
  <c r="M249" i="5"/>
  <c r="M185" i="5"/>
  <c r="M274" i="5"/>
  <c r="M25" i="5"/>
  <c r="M38" i="5"/>
  <c r="M299" i="5"/>
  <c r="M36" i="5"/>
  <c r="M129" i="5"/>
  <c r="M23" i="5"/>
  <c r="M162" i="5"/>
  <c r="M27" i="5"/>
  <c r="M40" i="5"/>
  <c r="M219" i="5"/>
  <c r="M19" i="5"/>
  <c r="M150" i="5"/>
  <c r="M94" i="5"/>
  <c r="M215" i="5"/>
  <c r="M279" i="5"/>
  <c r="M90" i="5"/>
  <c r="M55" i="5"/>
  <c r="M123" i="5"/>
  <c r="M95" i="5"/>
  <c r="M89" i="5"/>
  <c r="M244" i="5"/>
  <c r="M316" i="5"/>
  <c r="M239" i="5"/>
  <c r="M303" i="5"/>
  <c r="M268" i="5"/>
  <c r="M198" i="5"/>
  <c r="M177" i="5"/>
  <c r="M225" i="5"/>
  <c r="M289" i="5"/>
  <c r="M195" i="5"/>
  <c r="M230" i="5"/>
  <c r="M262" i="5"/>
  <c r="M294" i="5"/>
  <c r="M50" i="5"/>
  <c r="M221" i="5"/>
  <c r="M152" i="5"/>
  <c r="M57" i="5"/>
  <c r="M256" i="5"/>
  <c r="M243" i="5"/>
  <c r="M43" i="5"/>
  <c r="M2" i="5"/>
  <c r="M283" i="5"/>
  <c r="M78" i="5"/>
  <c r="M66" i="5"/>
  <c r="M146" i="5"/>
  <c r="M130" i="5"/>
  <c r="M64" i="5"/>
  <c r="M309" i="5"/>
  <c r="M156" i="5"/>
  <c r="M241" i="5"/>
  <c r="M60" i="5"/>
  <c r="M275" i="5"/>
  <c r="M200" i="5"/>
  <c r="M62" i="5"/>
  <c r="M28" i="5"/>
  <c r="M272" i="5"/>
  <c r="M301" i="5"/>
  <c r="M166" i="5"/>
  <c r="M313" i="5"/>
  <c r="M242" i="5"/>
  <c r="M153" i="5"/>
  <c r="M32" i="5"/>
  <c r="M136" i="5"/>
  <c r="M45" i="5"/>
  <c r="M104" i="5"/>
  <c r="M140" i="5"/>
  <c r="M132" i="5"/>
  <c r="M74" i="5"/>
  <c r="M77" i="5"/>
  <c r="M128" i="5"/>
  <c r="M116" i="5"/>
  <c r="N5" i="5"/>
  <c r="N2" i="4"/>
  <c r="M221" i="4" s="1"/>
  <c r="M160" i="4"/>
  <c r="M165" i="4"/>
  <c r="M55" i="4"/>
  <c r="M20" i="4"/>
  <c r="M61" i="4"/>
  <c r="M9" i="4"/>
  <c r="M153" i="4"/>
  <c r="M72" i="4"/>
  <c r="M300" i="4"/>
  <c r="M121" i="4"/>
  <c r="M33" i="4"/>
  <c r="M236" i="4"/>
  <c r="M106" i="4"/>
  <c r="M150" i="4"/>
  <c r="M149" i="4"/>
  <c r="M115" i="4"/>
  <c r="M276" i="4"/>
  <c r="M137" i="4"/>
  <c r="M158" i="4"/>
  <c r="M317" i="4"/>
  <c r="M80" i="4"/>
  <c r="M253" i="4"/>
  <c r="M161" i="4"/>
  <c r="M249" i="4"/>
  <c r="M132" i="4"/>
  <c r="M89" i="4"/>
  <c r="M52" i="4"/>
  <c r="M3" i="4"/>
  <c r="M5" i="4"/>
  <c r="M77" i="4"/>
  <c r="M194" i="4"/>
  <c r="M53" i="4"/>
  <c r="M140" i="4"/>
  <c r="M240" i="4"/>
  <c r="M267" i="4"/>
  <c r="M185" i="4"/>
  <c r="M96" i="4"/>
  <c r="M166" i="4"/>
  <c r="M29" i="4"/>
  <c r="M78" i="4"/>
  <c r="M188" i="4"/>
  <c r="M8" i="4"/>
  <c r="M131" i="4"/>
  <c r="M283" i="4"/>
  <c r="M204" i="4"/>
  <c r="M230" i="4"/>
  <c r="M88" i="4"/>
  <c r="M22" i="4"/>
  <c r="M97" i="4"/>
  <c r="M224" i="4"/>
  <c r="M67" i="4"/>
  <c r="M113" i="4"/>
  <c r="M312" i="4"/>
  <c r="M269" i="4"/>
  <c r="M298" i="4"/>
  <c r="M94" i="4"/>
  <c r="M90" i="4"/>
  <c r="M69" i="4"/>
  <c r="M117" i="4"/>
  <c r="M251" i="4"/>
  <c r="M271" i="4"/>
  <c r="M46" i="4"/>
  <c r="M248" i="4"/>
  <c r="M104" i="4"/>
  <c r="M119" i="4"/>
  <c r="M162" i="4"/>
  <c r="M172" i="4"/>
  <c r="M309" i="4"/>
  <c r="M287" i="4"/>
  <c r="M304" i="4"/>
  <c r="M229" i="4"/>
  <c r="M238" i="4"/>
  <c r="M54" i="4"/>
  <c r="M288" i="4"/>
  <c r="M93" i="4"/>
  <c r="M74" i="4"/>
  <c r="M84" i="4"/>
  <c r="M260" i="4"/>
  <c r="M129" i="4"/>
  <c r="M280" i="4"/>
  <c r="M320" i="4"/>
  <c r="M315" i="4"/>
  <c r="M142" i="4"/>
  <c r="M21" i="4"/>
  <c r="M168" i="4"/>
  <c r="M225" i="4"/>
  <c r="M301" i="4"/>
  <c r="M130" i="4"/>
  <c r="M242" i="4"/>
  <c r="M308" i="4"/>
  <c r="M154" i="4"/>
  <c r="M247" i="4"/>
  <c r="M68" i="4"/>
  <c r="M239" i="4"/>
  <c r="M28" i="4"/>
  <c r="M279" i="4"/>
  <c r="M83" i="4"/>
  <c r="M147" i="4"/>
  <c r="M303" i="4"/>
  <c r="M311" i="4"/>
  <c r="M297" i="3"/>
  <c r="M253" i="3"/>
  <c r="M313" i="3"/>
  <c r="M239" i="3"/>
  <c r="M164" i="3"/>
  <c r="M4" i="3"/>
  <c r="M244" i="3"/>
  <c r="M33" i="3"/>
  <c r="M26" i="3"/>
  <c r="M268" i="3"/>
  <c r="M110" i="3"/>
  <c r="M97" i="3"/>
  <c r="M58" i="3"/>
  <c r="M49" i="3"/>
  <c r="M42" i="3"/>
  <c r="M17" i="3"/>
  <c r="M10" i="3"/>
  <c r="M281" i="3"/>
  <c r="M150" i="3"/>
  <c r="M84" i="3"/>
  <c r="M237" i="3"/>
  <c r="M183" i="3"/>
  <c r="M255" i="3"/>
  <c r="M205" i="3"/>
  <c r="M138" i="3"/>
  <c r="M221" i="3"/>
  <c r="M176" i="3"/>
  <c r="M100" i="3"/>
  <c r="M66" i="3"/>
  <c r="M154" i="3"/>
  <c r="M74" i="3"/>
  <c r="M134" i="3"/>
  <c r="M70" i="3"/>
  <c r="M19" i="3"/>
  <c r="M41" i="3"/>
  <c r="M109" i="3"/>
  <c r="M248" i="3"/>
  <c r="M94" i="3"/>
  <c r="M192" i="3"/>
  <c r="M15" i="3"/>
  <c r="M75" i="3"/>
  <c r="M186" i="3"/>
  <c r="M24" i="3"/>
  <c r="M101" i="3"/>
  <c r="M196" i="3"/>
  <c r="M3" i="3"/>
  <c r="M172" i="3"/>
  <c r="M22" i="3"/>
  <c r="M93" i="3"/>
  <c r="M194" i="3"/>
  <c r="M50" i="3"/>
  <c r="M120" i="3"/>
  <c r="M201" i="3"/>
  <c r="M104" i="3"/>
  <c r="M187" i="3"/>
  <c r="M307" i="3"/>
  <c r="M254" i="3"/>
  <c r="M140" i="3"/>
  <c r="M220" i="3"/>
  <c r="M226" i="3"/>
  <c r="M301" i="3"/>
  <c r="M252" i="3"/>
  <c r="M286" i="3"/>
  <c r="M280" i="3"/>
  <c r="M322" i="3"/>
  <c r="M80" i="3"/>
  <c r="M141" i="3"/>
  <c r="M260" i="3"/>
  <c r="M79" i="3"/>
  <c r="M129" i="3"/>
  <c r="M5" i="3"/>
  <c r="M112" i="3"/>
  <c r="M198" i="3"/>
  <c r="M21" i="3"/>
  <c r="M86" i="3"/>
  <c r="M40" i="3"/>
  <c r="M105" i="3"/>
  <c r="M216" i="3"/>
  <c r="M38" i="3"/>
  <c r="M184" i="3"/>
  <c r="M11" i="3"/>
  <c r="M111" i="3"/>
  <c r="M207" i="3"/>
  <c r="M211" i="3"/>
  <c r="M258" i="3"/>
  <c r="M238" i="3"/>
  <c r="M317" i="3"/>
  <c r="M256" i="3"/>
  <c r="M230" i="3"/>
  <c r="M115" i="3"/>
  <c r="M231" i="3"/>
  <c r="M304" i="3"/>
  <c r="M262" i="3"/>
  <c r="M287" i="3"/>
  <c r="M146" i="3"/>
  <c r="M68" i="3"/>
  <c r="M126" i="3"/>
  <c r="M224" i="3"/>
  <c r="M240" i="3"/>
  <c r="M320" i="3"/>
  <c r="M270" i="3"/>
  <c r="M168" i="3"/>
  <c r="M233" i="3"/>
  <c r="M119" i="3"/>
  <c r="M236" i="3"/>
  <c r="M206" i="3"/>
  <c r="M265" i="3"/>
  <c r="M290" i="3"/>
  <c r="M67" i="3"/>
  <c r="M316" i="3"/>
  <c r="M235" i="3"/>
  <c r="M311" i="3"/>
  <c r="M273" i="3"/>
  <c r="M246" i="3"/>
  <c r="M193" i="3"/>
  <c r="M302" i="3"/>
  <c r="M249" i="3"/>
  <c r="M83" i="3"/>
  <c r="M285" i="3"/>
  <c r="M89" i="3"/>
  <c r="M158" i="3"/>
  <c r="M212" i="3"/>
  <c r="M289" i="3"/>
  <c r="M312" i="3"/>
  <c r="M73" i="3"/>
  <c r="M8" i="3"/>
  <c r="M181" i="3"/>
  <c r="M6" i="3"/>
  <c r="M191" i="3"/>
  <c r="M182" i="3"/>
  <c r="M217" i="3"/>
  <c r="M291" i="3"/>
  <c r="M283" i="3"/>
  <c r="M319" i="3"/>
  <c r="M157" i="3"/>
  <c r="M199" i="3"/>
  <c r="M137" i="3"/>
  <c r="M117" i="3"/>
  <c r="M161" i="3"/>
  <c r="M292" i="3"/>
  <c r="M299" i="3"/>
  <c r="M143" i="3"/>
  <c r="M245" i="3"/>
  <c r="M269" i="3"/>
  <c r="M264" i="3"/>
  <c r="M185" i="3"/>
  <c r="M147" i="3"/>
  <c r="M318" i="3"/>
  <c r="M65" i="3"/>
  <c r="M114" i="3"/>
  <c r="M171" i="3"/>
  <c r="M14" i="3"/>
  <c r="M2" i="3"/>
  <c r="M106" i="3"/>
  <c r="M35" i="3"/>
  <c r="M91" i="3"/>
  <c r="M57" i="3"/>
  <c r="M156" i="3"/>
  <c r="M7" i="3"/>
  <c r="M118" i="3"/>
  <c r="M208" i="3"/>
  <c r="M31" i="3"/>
  <c r="M88" i="3"/>
  <c r="M203" i="3"/>
  <c r="M56" i="3"/>
  <c r="M241" i="3"/>
  <c r="M54" i="3"/>
  <c r="M204" i="3"/>
  <c r="M27" i="3"/>
  <c r="M125" i="3"/>
  <c r="M214" i="3"/>
  <c r="M81" i="3"/>
  <c r="M123" i="3"/>
  <c r="M296" i="3"/>
  <c r="M200" i="3"/>
  <c r="M32" i="3"/>
  <c r="M180" i="3"/>
  <c r="M284" i="3"/>
  <c r="M266" i="3"/>
  <c r="M18" i="3"/>
  <c r="M173" i="3"/>
  <c r="M222" i="3"/>
  <c r="M242" i="3"/>
  <c r="M188" i="3"/>
  <c r="M310" i="3"/>
  <c r="M29" i="3"/>
  <c r="M30" i="3"/>
  <c r="M51" i="3"/>
  <c r="M13" i="3"/>
  <c r="M92" i="3"/>
  <c r="M195" i="3"/>
  <c r="M23" i="3"/>
  <c r="M124" i="3"/>
  <c r="M219" i="3"/>
  <c r="M37" i="3"/>
  <c r="M228" i="3"/>
  <c r="M133" i="3"/>
  <c r="M108" i="3"/>
  <c r="M213" i="3"/>
  <c r="M43" i="3"/>
  <c r="M232" i="3"/>
  <c r="M155" i="3"/>
  <c r="M251" i="3"/>
  <c r="M178" i="3"/>
  <c r="M295" i="3"/>
  <c r="M64" i="3"/>
  <c r="M202" i="3"/>
  <c r="M63" i="3"/>
  <c r="M128" i="3"/>
  <c r="M98" i="3"/>
  <c r="M321" i="3"/>
  <c r="M277" i="3"/>
  <c r="M276" i="3"/>
  <c r="M99" i="3"/>
  <c r="M107" i="3"/>
  <c r="M218" i="3"/>
  <c r="M189" i="3"/>
  <c r="M309" i="3"/>
  <c r="M175" i="3"/>
  <c r="M82" i="3"/>
  <c r="M288" i="3"/>
  <c r="M76" i="3"/>
  <c r="M102" i="3"/>
  <c r="M293" i="3"/>
  <c r="M36" i="3"/>
  <c r="M45" i="3"/>
  <c r="M46" i="3"/>
  <c r="M69" i="3"/>
  <c r="M95" i="3"/>
  <c r="M9" i="3"/>
  <c r="M62" i="3"/>
  <c r="M174" i="3"/>
  <c r="M39" i="3"/>
  <c r="M159" i="3"/>
  <c r="M225" i="3"/>
  <c r="M47" i="3"/>
  <c r="M121" i="3"/>
  <c r="M139" i="3"/>
  <c r="M259" i="3"/>
  <c r="M113" i="3"/>
  <c r="M223" i="3"/>
  <c r="M59" i="3"/>
  <c r="M145" i="3"/>
  <c r="M257" i="3"/>
  <c r="M166" i="3"/>
  <c r="M149" i="3"/>
  <c r="M261" i="3"/>
  <c r="M135" i="3"/>
  <c r="M314" i="3"/>
  <c r="M190" i="3"/>
  <c r="M294" i="3"/>
  <c r="M127" i="3"/>
  <c r="M298" i="3"/>
  <c r="M308" i="3"/>
  <c r="M303" i="3"/>
  <c r="M25" i="3"/>
  <c r="M209" i="3"/>
  <c r="M34" i="3"/>
  <c r="M279" i="3"/>
  <c r="M274" i="3"/>
  <c r="M48" i="3"/>
  <c r="M52" i="3"/>
  <c r="M61" i="3"/>
  <c r="M16" i="3"/>
  <c r="M77" i="3"/>
  <c r="M179" i="3"/>
  <c r="M55" i="3"/>
  <c r="M177" i="3"/>
  <c r="M243" i="3"/>
  <c r="M53" i="3"/>
  <c r="M130" i="3"/>
  <c r="M278" i="3"/>
  <c r="M71" i="3"/>
  <c r="M142" i="3"/>
  <c r="M275" i="3"/>
  <c r="M122" i="3"/>
  <c r="M229" i="3"/>
  <c r="M72" i="3"/>
  <c r="M160" i="3"/>
  <c r="M85" i="3"/>
  <c r="M170" i="3"/>
  <c r="M96" i="3"/>
  <c r="M167" i="3"/>
  <c r="M144" i="3"/>
  <c r="M267" i="3"/>
  <c r="M151" i="3"/>
  <c r="M197" i="3"/>
  <c r="M300" i="3"/>
  <c r="M131" i="3"/>
  <c r="M271" i="3"/>
  <c r="M282" i="3"/>
  <c r="M305" i="3"/>
  <c r="M315" i="3"/>
  <c r="M306" i="3"/>
  <c r="M20" i="3"/>
  <c r="M272" i="3"/>
  <c r="M103" i="3"/>
  <c r="M163" i="3"/>
  <c r="M165" i="3"/>
  <c r="M215" i="3"/>
  <c r="M60" i="3"/>
  <c r="M227" i="3"/>
  <c r="M210" i="3"/>
  <c r="M169" i="3"/>
  <c r="M263" i="3"/>
  <c r="M116" i="3"/>
  <c r="M12" i="3"/>
  <c r="M78" i="3"/>
  <c r="M148" i="3"/>
  <c r="M28" i="3"/>
  <c r="M132" i="3"/>
  <c r="M153" i="3"/>
  <c r="M87" i="3"/>
  <c r="M250" i="3"/>
  <c r="M152" i="3"/>
  <c r="M234" i="3"/>
  <c r="M90" i="3"/>
  <c r="M136" i="3"/>
  <c r="M247" i="3"/>
  <c r="M162" i="3"/>
  <c r="M44" i="3"/>
  <c r="N5" i="3"/>
  <c r="M8" i="2"/>
  <c r="M197" i="2"/>
  <c r="M68" i="2"/>
  <c r="M157" i="2"/>
  <c r="M32" i="2"/>
  <c r="M175" i="2"/>
  <c r="M16" i="2"/>
  <c r="M77" i="2"/>
  <c r="M64" i="2"/>
  <c r="M48" i="2"/>
  <c r="M95" i="2"/>
  <c r="M161" i="2"/>
  <c r="M185" i="2"/>
  <c r="M169" i="2"/>
  <c r="M193" i="2"/>
  <c r="M179" i="2"/>
  <c r="M49" i="2"/>
  <c r="M181" i="2"/>
  <c r="M85" i="2"/>
  <c r="M103" i="2"/>
  <c r="M201" i="2"/>
  <c r="M177" i="2"/>
  <c r="M172" i="2"/>
  <c r="M20" i="2"/>
  <c r="M35" i="2"/>
  <c r="M107" i="2"/>
  <c r="M13" i="2"/>
  <c r="M52" i="2"/>
  <c r="M115" i="2"/>
  <c r="M74" i="2"/>
  <c r="M291" i="2"/>
  <c r="M50" i="2"/>
  <c r="M91" i="2"/>
  <c r="M284" i="2"/>
  <c r="M203" i="2"/>
  <c r="M109" i="2"/>
  <c r="M221" i="2"/>
  <c r="M60" i="2"/>
  <c r="M24" i="2"/>
  <c r="M153" i="2"/>
  <c r="M243" i="2"/>
  <c r="M148" i="2"/>
  <c r="M59" i="2"/>
  <c r="M187" i="2"/>
  <c r="M264" i="2"/>
  <c r="M116" i="2"/>
  <c r="M46" i="2"/>
  <c r="M83" i="2"/>
  <c r="M171" i="2"/>
  <c r="M283" i="2"/>
  <c r="M259" i="2"/>
  <c r="M87" i="2"/>
  <c r="M97" i="2"/>
  <c r="M240" i="2"/>
  <c r="M245" i="2"/>
  <c r="M182" i="2"/>
  <c r="M257" i="2"/>
  <c r="M321" i="2"/>
  <c r="M222" i="2"/>
  <c r="M254" i="2"/>
  <c r="M286" i="2"/>
  <c r="M318" i="2"/>
  <c r="M82" i="2"/>
  <c r="M26" i="2"/>
  <c r="M6" i="2"/>
  <c r="M29" i="2"/>
  <c r="M3" i="2"/>
  <c r="M143" i="2"/>
  <c r="M131" i="2"/>
  <c r="M63" i="2"/>
  <c r="M66" i="2"/>
  <c r="M98" i="2"/>
  <c r="M180" i="2"/>
  <c r="M299" i="2"/>
  <c r="M244" i="2"/>
  <c r="M118" i="2"/>
  <c r="M224" i="2"/>
  <c r="M137" i="2"/>
  <c r="M28" i="2"/>
  <c r="M162" i="2"/>
  <c r="M260" i="2"/>
  <c r="M200" i="2"/>
  <c r="M94" i="2"/>
  <c r="M196" i="2"/>
  <c r="M279" i="2"/>
  <c r="M227" i="2"/>
  <c r="M56" i="2"/>
  <c r="M62" i="2"/>
  <c r="M101" i="2"/>
  <c r="M191" i="2"/>
  <c r="M300" i="2"/>
  <c r="M308" i="2"/>
  <c r="M110" i="2"/>
  <c r="M102" i="2"/>
  <c r="M255" i="2"/>
  <c r="M253" i="2"/>
  <c r="M309" i="2"/>
  <c r="M158" i="2"/>
  <c r="M265" i="2"/>
  <c r="M226" i="2"/>
  <c r="M258" i="2"/>
  <c r="M290" i="2"/>
  <c r="M322" i="2"/>
  <c r="M36" i="2"/>
  <c r="M9" i="2"/>
  <c r="M34" i="2"/>
  <c r="M15" i="2"/>
  <c r="M7" i="2"/>
  <c r="M168" i="2"/>
  <c r="M106" i="2"/>
  <c r="M316" i="2"/>
  <c r="M70" i="2"/>
  <c r="M120" i="2"/>
  <c r="M239" i="2"/>
  <c r="M188" i="2"/>
  <c r="M165" i="2"/>
  <c r="M275" i="2"/>
  <c r="M276" i="2"/>
  <c r="M112" i="2"/>
  <c r="M199" i="2"/>
  <c r="M296" i="2"/>
  <c r="M76" i="2"/>
  <c r="M67" i="2"/>
  <c r="M113" i="2"/>
  <c r="M194" i="2"/>
  <c r="M315" i="2"/>
  <c r="M47" i="2"/>
  <c r="M184" i="2"/>
  <c r="M272" i="2"/>
  <c r="M261" i="2"/>
  <c r="M209" i="2"/>
  <c r="M273" i="2"/>
  <c r="M198" i="2"/>
  <c r="M230" i="2"/>
  <c r="M262" i="2"/>
  <c r="M294" i="2"/>
  <c r="M133" i="2"/>
  <c r="M72" i="2"/>
  <c r="M122" i="2"/>
  <c r="M78" i="2"/>
  <c r="M27" i="2"/>
  <c r="M125" i="2"/>
  <c r="M269" i="2"/>
  <c r="M317" i="2"/>
  <c r="M217" i="2"/>
  <c r="M281" i="2"/>
  <c r="M234" i="2"/>
  <c r="M266" i="2"/>
  <c r="M298" i="2"/>
  <c r="M304" i="2"/>
  <c r="M289" i="2"/>
  <c r="M302" i="2"/>
  <c r="M128" i="2"/>
  <c r="M136" i="2"/>
  <c r="M319" i="2"/>
  <c r="M297" i="2"/>
  <c r="M242" i="2"/>
  <c r="M96" i="2"/>
  <c r="M30" i="2"/>
  <c r="M164" i="2"/>
  <c r="M12" i="2"/>
  <c r="M232" i="2"/>
  <c r="M14" i="2"/>
  <c r="M154" i="2"/>
  <c r="M90" i="2"/>
  <c r="M208" i="2"/>
  <c r="M241" i="2"/>
  <c r="M45" i="2"/>
  <c r="M267" i="2"/>
  <c r="M228" i="2"/>
  <c r="M176" i="2"/>
  <c r="M313" i="2"/>
  <c r="M41" i="2"/>
  <c r="M105" i="2"/>
  <c r="M211" i="2"/>
  <c r="M213" i="2"/>
  <c r="M246" i="2"/>
  <c r="M55" i="2"/>
  <c r="M151" i="2"/>
  <c r="M280" i="2"/>
  <c r="M163" i="2"/>
  <c r="M320" i="2"/>
  <c r="M42" i="2"/>
  <c r="M37" i="2"/>
  <c r="M104" i="2"/>
  <c r="M270" i="2"/>
  <c r="M4" i="2"/>
  <c r="M214" i="2"/>
  <c r="M306" i="2"/>
  <c r="M192" i="2"/>
  <c r="M61" i="2"/>
  <c r="M252" i="2"/>
  <c r="M189" i="2"/>
  <c r="M159" i="2"/>
  <c r="M251" i="2"/>
  <c r="M312" i="2"/>
  <c r="M92" i="2"/>
  <c r="M93" i="2"/>
  <c r="M114" i="2"/>
  <c r="M80" i="2"/>
  <c r="M237" i="2"/>
  <c r="M250" i="2"/>
  <c r="M18" i="2"/>
  <c r="M33" i="2"/>
  <c r="M31" i="2"/>
  <c r="M10" i="2"/>
  <c r="M111" i="2"/>
  <c r="M19" i="2"/>
  <c r="M40" i="2"/>
  <c r="M86" i="2"/>
  <c r="M71" i="2"/>
  <c r="M108" i="2"/>
  <c r="M195" i="2"/>
  <c r="M44" i="2"/>
  <c r="M178" i="2"/>
  <c r="M141" i="2"/>
  <c r="M256" i="2"/>
  <c r="M212" i="2"/>
  <c r="M53" i="2"/>
  <c r="M202" i="2"/>
  <c r="M292" i="2"/>
  <c r="M205" i="2"/>
  <c r="M311" i="2"/>
  <c r="M287" i="2"/>
  <c r="M99" i="2"/>
  <c r="M238" i="2"/>
  <c r="M236" i="2"/>
  <c r="M285" i="2"/>
  <c r="M274" i="2"/>
  <c r="M17" i="2"/>
  <c r="M140" i="2"/>
  <c r="M132" i="2"/>
  <c r="M54" i="2"/>
  <c r="M146" i="2"/>
  <c r="M305" i="2"/>
  <c r="M2" i="2"/>
  <c r="M173" i="2"/>
  <c r="M88" i="2"/>
  <c r="M268" i="2"/>
  <c r="M301" i="2"/>
  <c r="M314" i="2"/>
  <c r="M69" i="2"/>
  <c r="M139" i="2"/>
  <c r="M127" i="2"/>
  <c r="M39" i="2"/>
  <c r="M22" i="2"/>
  <c r="M38" i="2"/>
  <c r="M167" i="2"/>
  <c r="M129" i="2"/>
  <c r="M220" i="2"/>
  <c r="M295" i="2"/>
  <c r="M150" i="2"/>
  <c r="M271" i="2"/>
  <c r="M121" i="2"/>
  <c r="M204" i="2"/>
  <c r="M307" i="2"/>
  <c r="M126" i="2"/>
  <c r="M142" i="2"/>
  <c r="M215" i="2"/>
  <c r="M117" i="2"/>
  <c r="M89" i="2"/>
  <c r="M124" i="2"/>
  <c r="M219" i="2"/>
  <c r="M81" i="2"/>
  <c r="M183" i="2"/>
  <c r="M51" i="2"/>
  <c r="M134" i="2"/>
  <c r="M277" i="2"/>
  <c r="M206" i="2"/>
  <c r="M225" i="2"/>
  <c r="M174" i="2"/>
  <c r="M145" i="2"/>
  <c r="M210" i="2"/>
  <c r="M23" i="2"/>
  <c r="M100" i="2"/>
  <c r="M303" i="2"/>
  <c r="M216" i="2"/>
  <c r="M75" i="2"/>
  <c r="M278" i="2"/>
  <c r="M170" i="2"/>
  <c r="M135" i="2"/>
  <c r="M248" i="2"/>
  <c r="M218" i="2"/>
  <c r="M5" i="2"/>
  <c r="M155" i="2"/>
  <c r="M147" i="2"/>
  <c r="M25" i="2"/>
  <c r="M58" i="2"/>
  <c r="M65" i="2"/>
  <c r="M263" i="2"/>
  <c r="M79" i="2"/>
  <c r="M138" i="2"/>
  <c r="M235" i="2"/>
  <c r="M73" i="2"/>
  <c r="M11" i="2"/>
  <c r="M152" i="2"/>
  <c r="M288" i="2"/>
  <c r="M149" i="2"/>
  <c r="M130" i="2"/>
  <c r="M207" i="2"/>
  <c r="M160" i="2"/>
  <c r="M144" i="2"/>
  <c r="M229" i="2"/>
  <c r="M21" i="2"/>
  <c r="M190" i="2"/>
  <c r="M119" i="2"/>
  <c r="M233" i="2"/>
  <c r="M43" i="2"/>
  <c r="M293" i="2"/>
  <c r="M310" i="2"/>
  <c r="M123" i="2"/>
  <c r="M166" i="2"/>
  <c r="M231" i="2"/>
  <c r="M247" i="2"/>
  <c r="M156" i="2"/>
  <c r="M223" i="2"/>
  <c r="M249" i="2"/>
  <c r="M282" i="2"/>
  <c r="M186" i="2"/>
  <c r="M84" i="2"/>
  <c r="M319" i="1"/>
  <c r="M320" i="1"/>
  <c r="M317" i="1"/>
  <c r="M316" i="1"/>
  <c r="M321" i="1"/>
  <c r="M318" i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112" i="1"/>
  <c r="M50" i="1"/>
  <c r="M142" i="1"/>
  <c r="M293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184" i="1"/>
  <c r="M270" i="1"/>
  <c r="M296" i="1"/>
  <c r="M109" i="1"/>
  <c r="M147" i="1"/>
  <c r="M100" i="1"/>
  <c r="M264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O2" i="7" l="1"/>
  <c r="P67" i="7" s="1"/>
  <c r="P178" i="6"/>
  <c r="P304" i="6"/>
  <c r="P297" i="6"/>
  <c r="P9" i="6"/>
  <c r="P216" i="6"/>
  <c r="O2" i="6"/>
  <c r="P18" i="6" s="1"/>
  <c r="P184" i="6"/>
  <c r="P230" i="6"/>
  <c r="P223" i="6"/>
  <c r="P97" i="6"/>
  <c r="P265" i="6"/>
  <c r="P221" i="6"/>
  <c r="P34" i="6"/>
  <c r="P131" i="6"/>
  <c r="P140" i="6"/>
  <c r="P19" i="6"/>
  <c r="P192" i="6"/>
  <c r="P195" i="6"/>
  <c r="P152" i="6"/>
  <c r="P209" i="6"/>
  <c r="P13" i="6"/>
  <c r="P247" i="6"/>
  <c r="P232" i="6"/>
  <c r="P42" i="6"/>
  <c r="P222" i="6"/>
  <c r="P27" i="6"/>
  <c r="P50" i="6"/>
  <c r="P295" i="6"/>
  <c r="P143" i="6"/>
  <c r="P231" i="6"/>
  <c r="P176" i="6"/>
  <c r="P94" i="6"/>
  <c r="P35" i="6"/>
  <c r="P274" i="6"/>
  <c r="P79" i="6"/>
  <c r="P10" i="6"/>
  <c r="P181" i="6"/>
  <c r="M54" i="5"/>
  <c r="M26" i="5"/>
  <c r="M8" i="5"/>
  <c r="M218" i="5"/>
  <c r="M160" i="5"/>
  <c r="M105" i="5"/>
  <c r="M31" i="5"/>
  <c r="M306" i="5"/>
  <c r="M295" i="5"/>
  <c r="M33" i="5"/>
  <c r="M250" i="5"/>
  <c r="M257" i="5"/>
  <c r="M145" i="5"/>
  <c r="M159" i="5"/>
  <c r="M83" i="5"/>
  <c r="M114" i="5"/>
  <c r="M168" i="5"/>
  <c r="M199" i="5"/>
  <c r="M118" i="5"/>
  <c r="M235" i="5"/>
  <c r="M266" i="5"/>
  <c r="M143" i="5"/>
  <c r="M51" i="5"/>
  <c r="M53" i="5"/>
  <c r="M82" i="5"/>
  <c r="M210" i="5"/>
  <c r="M4" i="5"/>
  <c r="M211" i="5"/>
  <c r="M147" i="5"/>
  <c r="M187" i="5"/>
  <c r="M220" i="5"/>
  <c r="M35" i="5"/>
  <c r="M320" i="5"/>
  <c r="M181" i="5"/>
  <c r="M197" i="5"/>
  <c r="M124" i="5"/>
  <c r="M61" i="5"/>
  <c r="M292" i="5"/>
  <c r="M238" i="5"/>
  <c r="M115" i="5"/>
  <c r="M47" i="5"/>
  <c r="M190" i="5"/>
  <c r="M155" i="5"/>
  <c r="M42" i="5"/>
  <c r="M71" i="5"/>
  <c r="M109" i="5"/>
  <c r="M134" i="5"/>
  <c r="M288" i="5"/>
  <c r="M231" i="5"/>
  <c r="M233" i="5"/>
  <c r="M258" i="5"/>
  <c r="M186" i="5"/>
  <c r="M68" i="5"/>
  <c r="O2" i="5" s="1"/>
  <c r="M18" i="5"/>
  <c r="M267" i="5"/>
  <c r="M202" i="5"/>
  <c r="M254" i="5"/>
  <c r="M48" i="5"/>
  <c r="M317" i="5"/>
  <c r="M15" i="5"/>
  <c r="M41" i="5"/>
  <c r="M196" i="5"/>
  <c r="M265" i="5"/>
  <c r="M142" i="5"/>
  <c r="M22" i="5"/>
  <c r="M20" i="5"/>
  <c r="M188" i="5"/>
  <c r="M297" i="5"/>
  <c r="M30" i="5"/>
  <c r="M253" i="5"/>
  <c r="M149" i="5"/>
  <c r="M139" i="5"/>
  <c r="M103" i="5"/>
  <c r="M70" i="5"/>
  <c r="M165" i="5"/>
  <c r="M50" i="4"/>
  <c r="M261" i="4"/>
  <c r="M266" i="4"/>
  <c r="M206" i="4"/>
  <c r="M285" i="4"/>
  <c r="M43" i="4"/>
  <c r="M85" i="4"/>
  <c r="M281" i="4"/>
  <c r="M209" i="4"/>
  <c r="M210" i="4"/>
  <c r="M16" i="4"/>
  <c r="M76" i="4"/>
  <c r="M170" i="4"/>
  <c r="M273" i="4"/>
  <c r="M4" i="4"/>
  <c r="M42" i="4"/>
  <c r="M246" i="4"/>
  <c r="M146" i="4"/>
  <c r="M110" i="4"/>
  <c r="M156" i="4"/>
  <c r="M27" i="4"/>
  <c r="M124" i="4"/>
  <c r="M73" i="4"/>
  <c r="M187" i="4"/>
  <c r="M151" i="4"/>
  <c r="M155" i="4"/>
  <c r="M2" i="4"/>
  <c r="M128" i="4"/>
  <c r="M112" i="4"/>
  <c r="M189" i="4"/>
  <c r="M127" i="4"/>
  <c r="M255" i="4"/>
  <c r="M306" i="4"/>
  <c r="M138" i="4"/>
  <c r="M198" i="4"/>
  <c r="M123" i="4"/>
  <c r="M98" i="4"/>
  <c r="M211" i="4"/>
  <c r="M212" i="4"/>
  <c r="M284" i="4"/>
  <c r="M65" i="4"/>
  <c r="M243" i="4"/>
  <c r="M234" i="4"/>
  <c r="M295" i="4"/>
  <c r="M178" i="4"/>
  <c r="M241" i="4"/>
  <c r="M134" i="4"/>
  <c r="M180" i="4"/>
  <c r="M49" i="4"/>
  <c r="M95" i="4"/>
  <c r="M19" i="4"/>
  <c r="M6" i="4"/>
  <c r="M114" i="4"/>
  <c r="M125" i="4"/>
  <c r="M175" i="4"/>
  <c r="M64" i="4"/>
  <c r="O2" i="4" s="1"/>
  <c r="P311" i="4" s="1"/>
  <c r="M319" i="4"/>
  <c r="M318" i="4"/>
  <c r="M201" i="4"/>
  <c r="M92" i="4"/>
  <c r="M191" i="4"/>
  <c r="M202" i="4"/>
  <c r="M294" i="4"/>
  <c r="M257" i="4"/>
  <c r="M82" i="4"/>
  <c r="M24" i="4"/>
  <c r="M58" i="4"/>
  <c r="M296" i="4"/>
  <c r="M181" i="4"/>
  <c r="M213" i="4"/>
  <c r="M143" i="4"/>
  <c r="M15" i="4"/>
  <c r="M274" i="4"/>
  <c r="M182" i="4"/>
  <c r="M107" i="4"/>
  <c r="M56" i="4"/>
  <c r="M203" i="4"/>
  <c r="M126" i="4"/>
  <c r="M272" i="4"/>
  <c r="M91" i="4"/>
  <c r="M108" i="4"/>
  <c r="M145" i="4"/>
  <c r="M214" i="4"/>
  <c r="M148" i="4"/>
  <c r="M86" i="4"/>
  <c r="M87" i="4"/>
  <c r="M71" i="4"/>
  <c r="M118" i="4"/>
  <c r="M268" i="4"/>
  <c r="M40" i="4"/>
  <c r="M47" i="4"/>
  <c r="M103" i="4"/>
  <c r="M237" i="4"/>
  <c r="M179" i="4"/>
  <c r="M62" i="4"/>
  <c r="M244" i="4"/>
  <c r="M233" i="4"/>
  <c r="M286" i="4"/>
  <c r="M275" i="4"/>
  <c r="M37" i="4"/>
  <c r="M157" i="4"/>
  <c r="M36" i="4"/>
  <c r="M314" i="4"/>
  <c r="M163" i="4"/>
  <c r="M14" i="4"/>
  <c r="M169" i="4"/>
  <c r="M99" i="4"/>
  <c r="M70" i="4"/>
  <c r="M183" i="4"/>
  <c r="M173" i="4"/>
  <c r="M38" i="4"/>
  <c r="M133" i="4"/>
  <c r="M299" i="4"/>
  <c r="M292" i="4"/>
  <c r="M11" i="4"/>
  <c r="M31" i="4"/>
  <c r="M316" i="4"/>
  <c r="M307" i="4"/>
  <c r="M167" i="4"/>
  <c r="M222" i="4"/>
  <c r="M63" i="4"/>
  <c r="M322" i="4"/>
  <c r="M289" i="4"/>
  <c r="M100" i="4"/>
  <c r="M199" i="4"/>
  <c r="M13" i="4"/>
  <c r="M200" i="4"/>
  <c r="M254" i="4"/>
  <c r="M177" i="4"/>
  <c r="M259" i="4"/>
  <c r="M159" i="4"/>
  <c r="M310" i="4"/>
  <c r="M282" i="4"/>
  <c r="M231" i="4"/>
  <c r="M252" i="4"/>
  <c r="M81" i="4"/>
  <c r="M176" i="4"/>
  <c r="M216" i="4"/>
  <c r="M232" i="4"/>
  <c r="M208" i="4"/>
  <c r="M139" i="4"/>
  <c r="M12" i="4"/>
  <c r="M313" i="4"/>
  <c r="M17" i="4"/>
  <c r="M291" i="4"/>
  <c r="M207" i="4"/>
  <c r="M302" i="4"/>
  <c r="M321" i="4"/>
  <c r="M305" i="4"/>
  <c r="M101" i="4"/>
  <c r="M57" i="4"/>
  <c r="M18" i="4"/>
  <c r="M190" i="4"/>
  <c r="M174" i="4"/>
  <c r="M228" i="4"/>
  <c r="M35" i="4"/>
  <c r="M45" i="4"/>
  <c r="M196" i="4"/>
  <c r="M60" i="4"/>
  <c r="M26" i="4"/>
  <c r="M79" i="4"/>
  <c r="M290" i="4"/>
  <c r="M186" i="4"/>
  <c r="M265" i="4"/>
  <c r="M34" i="4"/>
  <c r="M7" i="4"/>
  <c r="M297" i="4"/>
  <c r="M293" i="4"/>
  <c r="M245" i="4"/>
  <c r="M144" i="4"/>
  <c r="M32" i="4"/>
  <c r="M226" i="4"/>
  <c r="M250" i="4"/>
  <c r="M193" i="4"/>
  <c r="M136" i="4"/>
  <c r="M10" i="4"/>
  <c r="M141" i="4"/>
  <c r="M205" i="4"/>
  <c r="M39" i="4"/>
  <c r="M197" i="4"/>
  <c r="M44" i="4"/>
  <c r="M102" i="4"/>
  <c r="M111" i="4"/>
  <c r="M223" i="4"/>
  <c r="M227" i="4"/>
  <c r="M109" i="4"/>
  <c r="M51" i="4"/>
  <c r="M270" i="4"/>
  <c r="M220" i="4"/>
  <c r="M195" i="4"/>
  <c r="M66" i="4"/>
  <c r="M256" i="4"/>
  <c r="M59" i="4"/>
  <c r="M122" i="4"/>
  <c r="M215" i="4"/>
  <c r="M75" i="4"/>
  <c r="M23" i="4"/>
  <c r="M262" i="4"/>
  <c r="M277" i="4"/>
  <c r="M217" i="4"/>
  <c r="M48" i="4"/>
  <c r="M278" i="4"/>
  <c r="M258" i="4"/>
  <c r="M263" i="4"/>
  <c r="M164" i="4"/>
  <c r="M219" i="4"/>
  <c r="M25" i="4"/>
  <c r="M135" i="4"/>
  <c r="M171" i="4"/>
  <c r="M218" i="4"/>
  <c r="M41" i="4"/>
  <c r="M116" i="4"/>
  <c r="M184" i="4"/>
  <c r="M235" i="4"/>
  <c r="M105" i="4"/>
  <c r="M30" i="4"/>
  <c r="M152" i="4"/>
  <c r="M120" i="4"/>
  <c r="M264" i="4"/>
  <c r="M192" i="4"/>
  <c r="O2" i="3"/>
  <c r="P162" i="3" s="1"/>
  <c r="P15" i="2"/>
  <c r="O2" i="2"/>
  <c r="P57" i="2" s="1"/>
  <c r="O2" i="1"/>
  <c r="P114" i="7" l="1"/>
  <c r="P110" i="7"/>
  <c r="P159" i="7"/>
  <c r="P89" i="7"/>
  <c r="P239" i="7"/>
  <c r="P78" i="7"/>
  <c r="P317" i="7"/>
  <c r="P230" i="7"/>
  <c r="P214" i="7"/>
  <c r="P207" i="7"/>
  <c r="P32" i="7"/>
  <c r="P177" i="7"/>
  <c r="P287" i="7"/>
  <c r="P160" i="7"/>
  <c r="P149" i="7"/>
  <c r="P209" i="7"/>
  <c r="P84" i="7"/>
  <c r="P35" i="7"/>
  <c r="P162" i="7"/>
  <c r="P228" i="7"/>
  <c r="P281" i="7"/>
  <c r="P19" i="7"/>
  <c r="P22" i="7"/>
  <c r="P109" i="7"/>
  <c r="P38" i="7"/>
  <c r="P54" i="7"/>
  <c r="P64" i="7"/>
  <c r="P121" i="7"/>
  <c r="P23" i="7"/>
  <c r="P233" i="7"/>
  <c r="P42" i="7"/>
  <c r="P263" i="7"/>
  <c r="P156" i="7"/>
  <c r="P190" i="7"/>
  <c r="P270" i="7"/>
  <c r="P47" i="7"/>
  <c r="P246" i="7"/>
  <c r="P25" i="7"/>
  <c r="P116" i="7"/>
  <c r="P104" i="7"/>
  <c r="P299" i="7"/>
  <c r="P85" i="7"/>
  <c r="P187" i="7"/>
  <c r="P289" i="7"/>
  <c r="P55" i="7"/>
  <c r="P108" i="7"/>
  <c r="P257" i="7"/>
  <c r="P288" i="7"/>
  <c r="P158" i="7"/>
  <c r="P279" i="7"/>
  <c r="P195" i="7"/>
  <c r="P201" i="7"/>
  <c r="P65" i="7"/>
  <c r="P275" i="7"/>
  <c r="P68" i="7"/>
  <c r="P31" i="7"/>
  <c r="P37" i="7"/>
  <c r="P307" i="7"/>
  <c r="P206" i="7"/>
  <c r="P189" i="7"/>
  <c r="P197" i="7"/>
  <c r="P192" i="7"/>
  <c r="P241" i="7"/>
  <c r="P61" i="7"/>
  <c r="P40" i="7"/>
  <c r="P184" i="7"/>
  <c r="P276" i="7"/>
  <c r="P119" i="7"/>
  <c r="P225" i="7"/>
  <c r="P46" i="7"/>
  <c r="P300" i="7"/>
  <c r="P129" i="7"/>
  <c r="P76" i="7"/>
  <c r="P173" i="7"/>
  <c r="P138" i="7"/>
  <c r="P262" i="7"/>
  <c r="P211" i="7"/>
  <c r="P52" i="7"/>
  <c r="P70" i="7"/>
  <c r="P27" i="7"/>
  <c r="P291" i="7"/>
  <c r="P81" i="7"/>
  <c r="P95" i="7"/>
  <c r="P199" i="7"/>
  <c r="P297" i="7"/>
  <c r="P236" i="7"/>
  <c r="P140" i="7"/>
  <c r="P284" i="7"/>
  <c r="P301" i="7"/>
  <c r="P169" i="7"/>
  <c r="P6" i="7"/>
  <c r="P220" i="7"/>
  <c r="P202" i="7"/>
  <c r="P282" i="7"/>
  <c r="P60" i="7"/>
  <c r="P210" i="7"/>
  <c r="P285" i="7"/>
  <c r="P98" i="7"/>
  <c r="P280" i="7"/>
  <c r="P16" i="7"/>
  <c r="P240" i="7"/>
  <c r="P141" i="7"/>
  <c r="P30" i="7"/>
  <c r="P219" i="7"/>
  <c r="P254" i="7"/>
  <c r="P180" i="7"/>
  <c r="P200" i="7"/>
  <c r="P286" i="7"/>
  <c r="P102" i="7"/>
  <c r="P20" i="7"/>
  <c r="P147" i="7"/>
  <c r="P3" i="7"/>
  <c r="P294" i="7"/>
  <c r="P155" i="7"/>
  <c r="P191" i="7"/>
  <c r="P21" i="7"/>
  <c r="P274" i="7"/>
  <c r="P185" i="7"/>
  <c r="P150" i="7"/>
  <c r="P24" i="7"/>
  <c r="P33" i="7"/>
  <c r="P43" i="7"/>
  <c r="P59" i="7"/>
  <c r="P75" i="7"/>
  <c r="P316" i="7"/>
  <c r="P135" i="7"/>
  <c r="P145" i="7"/>
  <c r="P82" i="7"/>
  <c r="P91" i="7"/>
  <c r="P53" i="7"/>
  <c r="P167" i="7"/>
  <c r="P99" i="7"/>
  <c r="P320" i="7"/>
  <c r="P203" i="7"/>
  <c r="P204" i="7"/>
  <c r="P11" i="7"/>
  <c r="P176" i="7"/>
  <c r="P113" i="7"/>
  <c r="P315" i="7"/>
  <c r="P153" i="7"/>
  <c r="P268" i="7"/>
  <c r="P235" i="7"/>
  <c r="P302" i="7"/>
  <c r="P71" i="7"/>
  <c r="P122" i="7"/>
  <c r="P309" i="7"/>
  <c r="P29" i="7"/>
  <c r="P164" i="7"/>
  <c r="P80" i="7"/>
  <c r="P218" i="7"/>
  <c r="P146" i="7"/>
  <c r="P251" i="7"/>
  <c r="P186" i="7"/>
  <c r="P8" i="7"/>
  <c r="P15" i="7"/>
  <c r="P124" i="7"/>
  <c r="P136" i="7"/>
  <c r="P311" i="7"/>
  <c r="P293" i="7"/>
  <c r="P303" i="7"/>
  <c r="P137" i="7"/>
  <c r="P221" i="7"/>
  <c r="P133" i="7"/>
  <c r="P249" i="7"/>
  <c r="P2" i="7"/>
  <c r="P26" i="7"/>
  <c r="P183" i="7"/>
  <c r="P73" i="7"/>
  <c r="P217" i="7"/>
  <c r="P283" i="7"/>
  <c r="P79" i="7"/>
  <c r="P208" i="7"/>
  <c r="P106" i="7"/>
  <c r="P321" i="7"/>
  <c r="P18" i="7"/>
  <c r="P226" i="7"/>
  <c r="P94" i="7"/>
  <c r="P250" i="7"/>
  <c r="P112" i="7"/>
  <c r="P277" i="7"/>
  <c r="P322" i="7"/>
  <c r="P188" i="7"/>
  <c r="P229" i="7"/>
  <c r="P253" i="7"/>
  <c r="P58" i="7"/>
  <c r="P17" i="7"/>
  <c r="P269" i="7"/>
  <c r="P66" i="7"/>
  <c r="P101" i="7"/>
  <c r="P143" i="7"/>
  <c r="P63" i="7"/>
  <c r="P9" i="7"/>
  <c r="P314" i="7"/>
  <c r="P107" i="7"/>
  <c r="P144" i="7"/>
  <c r="P139" i="7"/>
  <c r="P4" i="7"/>
  <c r="P248" i="7"/>
  <c r="P258" i="7"/>
  <c r="P273" i="7"/>
  <c r="P242" i="7"/>
  <c r="P256" i="7"/>
  <c r="P170" i="7"/>
  <c r="P308" i="7"/>
  <c r="P44" i="7"/>
  <c r="P227" i="7"/>
  <c r="P212" i="7"/>
  <c r="P259" i="7"/>
  <c r="P255" i="7"/>
  <c r="P238" i="7"/>
  <c r="P312" i="7"/>
  <c r="P247" i="7"/>
  <c r="P216" i="7"/>
  <c r="P165" i="7"/>
  <c r="P127" i="7"/>
  <c r="P154" i="7"/>
  <c r="P318" i="7"/>
  <c r="P198" i="7"/>
  <c r="P223" i="7"/>
  <c r="P193" i="7"/>
  <c r="P171" i="7"/>
  <c r="P182" i="7"/>
  <c r="P237" i="7"/>
  <c r="P50" i="7"/>
  <c r="P134" i="7"/>
  <c r="P265" i="7"/>
  <c r="P34" i="7"/>
  <c r="P128" i="7"/>
  <c r="P88" i="7"/>
  <c r="P244" i="7"/>
  <c r="P118" i="7"/>
  <c r="P7" i="7"/>
  <c r="P13" i="7"/>
  <c r="P271" i="7"/>
  <c r="P96" i="7"/>
  <c r="P278" i="7"/>
  <c r="P296" i="7"/>
  <c r="P261" i="7"/>
  <c r="P178" i="7"/>
  <c r="P74" i="7"/>
  <c r="P111" i="7"/>
  <c r="P310" i="7"/>
  <c r="P103" i="7"/>
  <c r="P130" i="7"/>
  <c r="P86" i="7"/>
  <c r="P194" i="7"/>
  <c r="P181" i="7"/>
  <c r="P132" i="7"/>
  <c r="P298" i="7"/>
  <c r="P172" i="7"/>
  <c r="P234" i="7"/>
  <c r="P39" i="7"/>
  <c r="P14" i="7"/>
  <c r="P48" i="7"/>
  <c r="P152" i="7"/>
  <c r="P97" i="7"/>
  <c r="P245" i="7"/>
  <c r="P224" i="7"/>
  <c r="P72" i="7"/>
  <c r="P36" i="7"/>
  <c r="P168" i="7"/>
  <c r="P57" i="7"/>
  <c r="P105" i="7"/>
  <c r="P120" i="7"/>
  <c r="P28" i="7"/>
  <c r="P90" i="7"/>
  <c r="P163" i="7"/>
  <c r="P100" i="7"/>
  <c r="P115" i="7"/>
  <c r="P142" i="7"/>
  <c r="P161" i="7"/>
  <c r="P123" i="7"/>
  <c r="P243" i="7"/>
  <c r="P292" i="7"/>
  <c r="P92" i="7"/>
  <c r="P290" i="7"/>
  <c r="P174" i="7"/>
  <c r="P126" i="7"/>
  <c r="P205" i="7"/>
  <c r="P319" i="7"/>
  <c r="P10" i="7"/>
  <c r="P157" i="7"/>
  <c r="P252" i="7"/>
  <c r="P222" i="7"/>
  <c r="P215" i="7"/>
  <c r="P51" i="7"/>
  <c r="P151" i="7"/>
  <c r="P77" i="7"/>
  <c r="P267" i="7"/>
  <c r="P260" i="7"/>
  <c r="P166" i="7"/>
  <c r="P5" i="7"/>
  <c r="P231" i="7"/>
  <c r="P12" i="7"/>
  <c r="P131" i="7"/>
  <c r="P49" i="7"/>
  <c r="P306" i="7"/>
  <c r="P117" i="7"/>
  <c r="P56" i="7"/>
  <c r="P213" i="7"/>
  <c r="P272" i="7"/>
  <c r="P45" i="7"/>
  <c r="P179" i="7"/>
  <c r="P232" i="7"/>
  <c r="P266" i="7"/>
  <c r="P305" i="7"/>
  <c r="P125" i="7"/>
  <c r="P304" i="7"/>
  <c r="P93" i="7"/>
  <c r="P196" i="7"/>
  <c r="P264" i="7"/>
  <c r="P148" i="7"/>
  <c r="P83" i="7"/>
  <c r="P41" i="7"/>
  <c r="P87" i="7"/>
  <c r="P69" i="7"/>
  <c r="P295" i="7"/>
  <c r="P62" i="7"/>
  <c r="P313" i="7"/>
  <c r="P175" i="7"/>
  <c r="P308" i="6"/>
  <c r="P153" i="6"/>
  <c r="P187" i="6"/>
  <c r="P73" i="6"/>
  <c r="P154" i="6"/>
  <c r="P57" i="6"/>
  <c r="P61" i="6"/>
  <c r="P129" i="6"/>
  <c r="P68" i="6"/>
  <c r="P280" i="6"/>
  <c r="P188" i="6"/>
  <c r="P109" i="6"/>
  <c r="P16" i="6"/>
  <c r="P92" i="6"/>
  <c r="P156" i="6"/>
  <c r="P149" i="6"/>
  <c r="P210" i="6"/>
  <c r="P215" i="6"/>
  <c r="P260" i="6"/>
  <c r="P52" i="6"/>
  <c r="P289" i="6"/>
  <c r="P158" i="6"/>
  <c r="P43" i="6"/>
  <c r="P211" i="6"/>
  <c r="P225" i="6"/>
  <c r="P240" i="6"/>
  <c r="P119" i="6"/>
  <c r="P244" i="6"/>
  <c r="P250" i="6"/>
  <c r="P120" i="6"/>
  <c r="P252" i="6"/>
  <c r="P107" i="6"/>
  <c r="P84" i="6"/>
  <c r="P219" i="6"/>
  <c r="P17" i="6"/>
  <c r="P141" i="6"/>
  <c r="P111" i="6"/>
  <c r="P182" i="6"/>
  <c r="P242" i="6"/>
  <c r="P239" i="6"/>
  <c r="P130" i="6"/>
  <c r="P320" i="6"/>
  <c r="P183" i="6"/>
  <c r="P278" i="6"/>
  <c r="P133" i="6"/>
  <c r="P75" i="6"/>
  <c r="P67" i="6"/>
  <c r="P299" i="6"/>
  <c r="P46" i="6"/>
  <c r="P114" i="6"/>
  <c r="P3" i="6"/>
  <c r="P7" i="6"/>
  <c r="P40" i="6"/>
  <c r="P268" i="6"/>
  <c r="P294" i="6"/>
  <c r="P281" i="6"/>
  <c r="P44" i="6"/>
  <c r="P199" i="6"/>
  <c r="P147" i="6"/>
  <c r="P275" i="6"/>
  <c r="P93" i="6"/>
  <c r="P257" i="6"/>
  <c r="P135" i="6"/>
  <c r="P157" i="6"/>
  <c r="P160" i="6"/>
  <c r="P179" i="6"/>
  <c r="P166" i="6"/>
  <c r="P95" i="6"/>
  <c r="P262" i="6"/>
  <c r="P315" i="6"/>
  <c r="P198" i="6"/>
  <c r="P15" i="6"/>
  <c r="P25" i="6"/>
  <c r="P177" i="6"/>
  <c r="P273" i="6"/>
  <c r="P115" i="6"/>
  <c r="P255" i="6"/>
  <c r="P305" i="6"/>
  <c r="P125" i="6"/>
  <c r="P148" i="6"/>
  <c r="P29" i="6"/>
  <c r="P5" i="6"/>
  <c r="P206" i="6"/>
  <c r="P32" i="6"/>
  <c r="P202" i="6"/>
  <c r="P137" i="6"/>
  <c r="P98" i="6"/>
  <c r="P180" i="6"/>
  <c r="P205" i="6"/>
  <c r="P82" i="6"/>
  <c r="P77" i="6"/>
  <c r="P228" i="6"/>
  <c r="P298" i="6"/>
  <c r="P123" i="6"/>
  <c r="P47" i="6"/>
  <c r="P88" i="6"/>
  <c r="P128" i="6"/>
  <c r="P258" i="6"/>
  <c r="P126" i="6"/>
  <c r="P48" i="6"/>
  <c r="P288" i="6"/>
  <c r="P69" i="6"/>
  <c r="P174" i="6"/>
  <c r="P233" i="6"/>
  <c r="P31" i="6"/>
  <c r="P49" i="6"/>
  <c r="P309" i="6"/>
  <c r="P300" i="6"/>
  <c r="P72" i="6"/>
  <c r="P164" i="6"/>
  <c r="P201" i="6"/>
  <c r="P138" i="6"/>
  <c r="P91" i="6"/>
  <c r="P283" i="6"/>
  <c r="P173" i="6"/>
  <c r="P59" i="6"/>
  <c r="P118" i="6"/>
  <c r="P146" i="6"/>
  <c r="P241" i="6"/>
  <c r="P314" i="6"/>
  <c r="P251" i="6"/>
  <c r="P224" i="6"/>
  <c r="P96" i="6"/>
  <c r="P193" i="6"/>
  <c r="P259" i="6"/>
  <c r="P117" i="6"/>
  <c r="P254" i="6"/>
  <c r="P55" i="6"/>
  <c r="P306" i="6"/>
  <c r="P307" i="6"/>
  <c r="P155" i="6"/>
  <c r="P66" i="6"/>
  <c r="P139" i="6"/>
  <c r="P169" i="6"/>
  <c r="P99" i="6"/>
  <c r="P319" i="6"/>
  <c r="P161" i="6"/>
  <c r="P124" i="6"/>
  <c r="P186" i="6"/>
  <c r="P266" i="6"/>
  <c r="P279" i="6"/>
  <c r="P110" i="6"/>
  <c r="P21" i="6"/>
  <c r="P316" i="6"/>
  <c r="P196" i="6"/>
  <c r="P51" i="6"/>
  <c r="P229" i="6"/>
  <c r="P267" i="6"/>
  <c r="P145" i="6"/>
  <c r="P214" i="6"/>
  <c r="P246" i="6"/>
  <c r="P2" i="6"/>
  <c r="P310" i="6"/>
  <c r="P170" i="6"/>
  <c r="P245" i="6"/>
  <c r="P116" i="6"/>
  <c r="P311" i="6"/>
  <c r="P261" i="6"/>
  <c r="P20" i="6"/>
  <c r="P226" i="6"/>
  <c r="P208" i="6"/>
  <c r="P102" i="6"/>
  <c r="P207" i="6"/>
  <c r="P83" i="6"/>
  <c r="P30" i="6"/>
  <c r="P33" i="6"/>
  <c r="P60" i="6"/>
  <c r="P64" i="6"/>
  <c r="P217" i="6"/>
  <c r="P237" i="6"/>
  <c r="P11" i="6"/>
  <c r="P106" i="6"/>
  <c r="P108" i="6"/>
  <c r="P53" i="6"/>
  <c r="P171" i="6"/>
  <c r="P191" i="6"/>
  <c r="P276" i="6"/>
  <c r="P189" i="6"/>
  <c r="P292" i="6"/>
  <c r="P85" i="6"/>
  <c r="P103" i="6"/>
  <c r="P70" i="6"/>
  <c r="P112" i="6"/>
  <c r="P142" i="6"/>
  <c r="P293" i="6"/>
  <c r="P113" i="6"/>
  <c r="P168" i="6"/>
  <c r="P87" i="6"/>
  <c r="P54" i="6"/>
  <c r="P175" i="6"/>
  <c r="P14" i="6"/>
  <c r="P227" i="6"/>
  <c r="P318" i="6"/>
  <c r="P100" i="6"/>
  <c r="P200" i="6"/>
  <c r="P272" i="6"/>
  <c r="P296" i="6"/>
  <c r="P203" i="6"/>
  <c r="P253" i="6"/>
  <c r="P249" i="6"/>
  <c r="P185" i="6"/>
  <c r="P301" i="6"/>
  <c r="P172" i="6"/>
  <c r="P270" i="6"/>
  <c r="P271" i="6"/>
  <c r="P285" i="6"/>
  <c r="P248" i="6"/>
  <c r="P132" i="6"/>
  <c r="P23" i="6"/>
  <c r="P287" i="6"/>
  <c r="P45" i="6"/>
  <c r="P286" i="6"/>
  <c r="P204" i="6"/>
  <c r="P26" i="6"/>
  <c r="P264" i="6"/>
  <c r="P220" i="6"/>
  <c r="P28" i="6"/>
  <c r="P236" i="6"/>
  <c r="P163" i="6"/>
  <c r="P122" i="6"/>
  <c r="P235" i="6"/>
  <c r="P263" i="6"/>
  <c r="P63" i="6"/>
  <c r="P165" i="6"/>
  <c r="P234" i="6"/>
  <c r="P6" i="6"/>
  <c r="P144" i="6"/>
  <c r="P284" i="6"/>
  <c r="P218" i="6"/>
  <c r="P212" i="6"/>
  <c r="P312" i="6"/>
  <c r="P127" i="6"/>
  <c r="P317" i="6"/>
  <c r="P322" i="6"/>
  <c r="P256" i="6"/>
  <c r="P36" i="6"/>
  <c r="P159" i="6"/>
  <c r="P167" i="6"/>
  <c r="P282" i="6"/>
  <c r="P71" i="6"/>
  <c r="P56" i="6"/>
  <c r="P8" i="6"/>
  <c r="P313" i="6"/>
  <c r="P291" i="6"/>
  <c r="P303" i="6"/>
  <c r="P65" i="6"/>
  <c r="P150" i="6"/>
  <c r="P238" i="6"/>
  <c r="P76" i="6"/>
  <c r="P136" i="6"/>
  <c r="P24" i="6"/>
  <c r="P321" i="6"/>
  <c r="P62" i="6"/>
  <c r="P74" i="6"/>
  <c r="P190" i="6"/>
  <c r="P134" i="6"/>
  <c r="P22" i="6"/>
  <c r="P90" i="6"/>
  <c r="P86" i="6"/>
  <c r="P194" i="6"/>
  <c r="P302" i="6"/>
  <c r="P197" i="6"/>
  <c r="P39" i="6"/>
  <c r="P277" i="6"/>
  <c r="P151" i="6"/>
  <c r="P81" i="6"/>
  <c r="P101" i="6"/>
  <c r="P4" i="6"/>
  <c r="P243" i="6"/>
  <c r="P162" i="6"/>
  <c r="P105" i="6"/>
  <c r="P37" i="6"/>
  <c r="P104" i="6"/>
  <c r="P41" i="6"/>
  <c r="P58" i="6"/>
  <c r="P89" i="6"/>
  <c r="P290" i="6"/>
  <c r="P38" i="6"/>
  <c r="P213" i="6"/>
  <c r="P12" i="6"/>
  <c r="P121" i="6"/>
  <c r="P269" i="6"/>
  <c r="P80" i="6"/>
  <c r="P78" i="6"/>
  <c r="P45" i="5"/>
  <c r="P103" i="5"/>
  <c r="P294" i="5"/>
  <c r="P268" i="5"/>
  <c r="P20" i="5"/>
  <c r="P22" i="5"/>
  <c r="P79" i="5"/>
  <c r="P251" i="5"/>
  <c r="P278" i="5"/>
  <c r="P254" i="5"/>
  <c r="P137" i="5"/>
  <c r="P143" i="5"/>
  <c r="P107" i="5"/>
  <c r="P158" i="5"/>
  <c r="P163" i="5"/>
  <c r="P215" i="5"/>
  <c r="P277" i="5"/>
  <c r="P38" i="5"/>
  <c r="P58" i="5"/>
  <c r="P60" i="5"/>
  <c r="P26" i="5"/>
  <c r="P248" i="5"/>
  <c r="P126" i="5"/>
  <c r="P51" i="5"/>
  <c r="P108" i="5"/>
  <c r="P233" i="5"/>
  <c r="P23" i="5"/>
  <c r="P96" i="5"/>
  <c r="P127" i="5"/>
  <c r="P116" i="5"/>
  <c r="P219" i="5"/>
  <c r="P287" i="5"/>
  <c r="P77" i="5"/>
  <c r="P269" i="5"/>
  <c r="P295" i="5"/>
  <c r="P220" i="5"/>
  <c r="P205" i="5"/>
  <c r="P187" i="5"/>
  <c r="P54" i="5"/>
  <c r="P100" i="5"/>
  <c r="P231" i="5"/>
  <c r="P309" i="5"/>
  <c r="P29" i="5"/>
  <c r="P264" i="5"/>
  <c r="P168" i="5"/>
  <c r="P55" i="5"/>
  <c r="P7" i="5"/>
  <c r="P174" i="5"/>
  <c r="P47" i="5"/>
  <c r="P2" i="5"/>
  <c r="P146" i="5"/>
  <c r="P81" i="5"/>
  <c r="P166" i="5"/>
  <c r="P48" i="5"/>
  <c r="P212" i="5"/>
  <c r="P273" i="5"/>
  <c r="P70" i="5"/>
  <c r="P190" i="5"/>
  <c r="P192" i="5"/>
  <c r="P111" i="5"/>
  <c r="P89" i="5"/>
  <c r="P33" i="5"/>
  <c r="P232" i="5"/>
  <c r="P167" i="5"/>
  <c r="P296" i="5"/>
  <c r="P281" i="5"/>
  <c r="P179" i="5"/>
  <c r="P208" i="5"/>
  <c r="P306" i="5"/>
  <c r="P180" i="5"/>
  <c r="P247" i="5"/>
  <c r="P106" i="5"/>
  <c r="P97" i="5"/>
  <c r="P134" i="5"/>
  <c r="P150" i="5"/>
  <c r="P241" i="5"/>
  <c r="P211" i="5"/>
  <c r="P235" i="5"/>
  <c r="P90" i="5"/>
  <c r="P184" i="5"/>
  <c r="P249" i="5"/>
  <c r="P144" i="5"/>
  <c r="P52" i="5"/>
  <c r="P225" i="5"/>
  <c r="P63" i="5"/>
  <c r="P83" i="5"/>
  <c r="P31" i="5"/>
  <c r="P151" i="5"/>
  <c r="P298" i="5"/>
  <c r="P230" i="5"/>
  <c r="P291" i="5"/>
  <c r="P14" i="5"/>
  <c r="P305" i="5"/>
  <c r="P85" i="5"/>
  <c r="P17" i="5"/>
  <c r="P216" i="5"/>
  <c r="P308" i="5"/>
  <c r="P86" i="5"/>
  <c r="P98" i="5"/>
  <c r="P315" i="5"/>
  <c r="P130" i="5"/>
  <c r="P95" i="5"/>
  <c r="P176" i="5"/>
  <c r="P122" i="5"/>
  <c r="P156" i="5"/>
  <c r="P226" i="5"/>
  <c r="P72" i="5"/>
  <c r="P10" i="5"/>
  <c r="P307" i="5"/>
  <c r="P141" i="5"/>
  <c r="P262" i="5"/>
  <c r="P204" i="5"/>
  <c r="P142" i="5"/>
  <c r="P115" i="5"/>
  <c r="P147" i="5"/>
  <c r="P21" i="5"/>
  <c r="P263" i="5"/>
  <c r="P154" i="5"/>
  <c r="P62" i="5"/>
  <c r="P293" i="5"/>
  <c r="P227" i="5"/>
  <c r="P244" i="5"/>
  <c r="P43" i="5"/>
  <c r="P239" i="5"/>
  <c r="P260" i="5"/>
  <c r="P256" i="5"/>
  <c r="P94" i="5"/>
  <c r="P310" i="5"/>
  <c r="P279" i="5"/>
  <c r="P321" i="5"/>
  <c r="P282" i="5"/>
  <c r="P5" i="5"/>
  <c r="P200" i="5"/>
  <c r="P64" i="5"/>
  <c r="P133" i="5"/>
  <c r="P12" i="5"/>
  <c r="P37" i="5"/>
  <c r="P240" i="5"/>
  <c r="P283" i="5"/>
  <c r="P91" i="5"/>
  <c r="P92" i="5"/>
  <c r="P202" i="5"/>
  <c r="P169" i="5"/>
  <c r="P40" i="5"/>
  <c r="P274" i="5"/>
  <c r="P303" i="5"/>
  <c r="P136" i="5"/>
  <c r="P161" i="5"/>
  <c r="P171" i="5"/>
  <c r="P99" i="5"/>
  <c r="P266" i="5"/>
  <c r="P34" i="5"/>
  <c r="P87" i="5"/>
  <c r="P84" i="5"/>
  <c r="P209" i="5"/>
  <c r="P222" i="5"/>
  <c r="P139" i="5"/>
  <c r="P288" i="5"/>
  <c r="P69" i="5"/>
  <c r="P25" i="5"/>
  <c r="P191" i="5"/>
  <c r="P104" i="5"/>
  <c r="P93" i="5"/>
  <c r="P114" i="5"/>
  <c r="P76" i="5"/>
  <c r="P213" i="5"/>
  <c r="P193" i="5"/>
  <c r="P138" i="5"/>
  <c r="P243" i="5"/>
  <c r="P271" i="5"/>
  <c r="P149" i="5"/>
  <c r="P265" i="5"/>
  <c r="P267" i="5"/>
  <c r="P238" i="5"/>
  <c r="P322" i="5"/>
  <c r="P102" i="5"/>
  <c r="P304" i="5"/>
  <c r="P253" i="5"/>
  <c r="P196" i="5"/>
  <c r="P18" i="5"/>
  <c r="P109" i="5"/>
  <c r="P292" i="5"/>
  <c r="P255" i="5"/>
  <c r="P24" i="5"/>
  <c r="P197" i="5"/>
  <c r="P4" i="5"/>
  <c r="P118" i="5"/>
  <c r="P194" i="5"/>
  <c r="P214" i="5"/>
  <c r="P198" i="5"/>
  <c r="P285" i="5"/>
  <c r="P39" i="5"/>
  <c r="P272" i="5"/>
  <c r="P159" i="5"/>
  <c r="P105" i="5"/>
  <c r="P318" i="5"/>
  <c r="P131" i="5"/>
  <c r="P13" i="5"/>
  <c r="P246" i="5"/>
  <c r="P223" i="5"/>
  <c r="P112" i="5"/>
  <c r="P30" i="5"/>
  <c r="P41" i="5"/>
  <c r="P68" i="5"/>
  <c r="P71" i="5"/>
  <c r="P61" i="5"/>
  <c r="P65" i="5"/>
  <c r="P74" i="5"/>
  <c r="P162" i="5"/>
  <c r="P181" i="5"/>
  <c r="P210" i="5"/>
  <c r="P199" i="5"/>
  <c r="P290" i="5"/>
  <c r="P195" i="5"/>
  <c r="P110" i="5"/>
  <c r="P153" i="5"/>
  <c r="P300" i="5"/>
  <c r="P172" i="5"/>
  <c r="P73" i="5"/>
  <c r="P120" i="5"/>
  <c r="P145" i="5"/>
  <c r="P160" i="5"/>
  <c r="P206" i="5"/>
  <c r="P6" i="5"/>
  <c r="P275" i="5"/>
  <c r="P228" i="5"/>
  <c r="P50" i="5"/>
  <c r="P3" i="5"/>
  <c r="P237" i="5"/>
  <c r="P152" i="5"/>
  <c r="P314" i="5"/>
  <c r="P270" i="5"/>
  <c r="P75" i="5"/>
  <c r="P36" i="5"/>
  <c r="P242" i="5"/>
  <c r="P189" i="5"/>
  <c r="P185" i="5"/>
  <c r="P113" i="5"/>
  <c r="P224" i="5"/>
  <c r="P27" i="5"/>
  <c r="P157" i="5"/>
  <c r="P297" i="5"/>
  <c r="P15" i="5"/>
  <c r="P186" i="5"/>
  <c r="P42" i="5"/>
  <c r="P124" i="5"/>
  <c r="P125" i="5"/>
  <c r="P236" i="5"/>
  <c r="P221" i="5"/>
  <c r="P320" i="5"/>
  <c r="P82" i="5"/>
  <c r="P175" i="5"/>
  <c r="P234" i="5"/>
  <c r="P57" i="5"/>
  <c r="P170" i="5"/>
  <c r="P9" i="5"/>
  <c r="P135" i="5"/>
  <c r="P59" i="5"/>
  <c r="P319" i="5"/>
  <c r="P316" i="5"/>
  <c r="P257" i="5"/>
  <c r="P218" i="5"/>
  <c r="P101" i="5"/>
  <c r="P261" i="5"/>
  <c r="P313" i="5"/>
  <c r="P80" i="5"/>
  <c r="P284" i="5"/>
  <c r="P32" i="5"/>
  <c r="P229" i="5"/>
  <c r="P252" i="5"/>
  <c r="P301" i="5"/>
  <c r="P49" i="5"/>
  <c r="P88" i="5"/>
  <c r="P182" i="5"/>
  <c r="P19" i="5"/>
  <c r="P132" i="5"/>
  <c r="P44" i="5"/>
  <c r="P177" i="5"/>
  <c r="P178" i="5"/>
  <c r="P203" i="5"/>
  <c r="P289" i="5"/>
  <c r="P165" i="5"/>
  <c r="P188" i="5"/>
  <c r="P317" i="5"/>
  <c r="P258" i="5"/>
  <c r="P155" i="5"/>
  <c r="P46" i="5"/>
  <c r="P121" i="5"/>
  <c r="P119" i="5"/>
  <c r="P128" i="5"/>
  <c r="P35" i="5"/>
  <c r="P53" i="5"/>
  <c r="P286" i="5"/>
  <c r="P148" i="5"/>
  <c r="P66" i="5"/>
  <c r="P11" i="5"/>
  <c r="P207" i="5"/>
  <c r="P117" i="5"/>
  <c r="P164" i="5"/>
  <c r="P245" i="5"/>
  <c r="P78" i="5"/>
  <c r="P250" i="5"/>
  <c r="P8" i="5"/>
  <c r="P16" i="5"/>
  <c r="P299" i="5"/>
  <c r="P140" i="5"/>
  <c r="P129" i="5"/>
  <c r="P259" i="5"/>
  <c r="P183" i="5"/>
  <c r="P302" i="5"/>
  <c r="P312" i="5"/>
  <c r="P173" i="5"/>
  <c r="P276" i="5"/>
  <c r="P56" i="5"/>
  <c r="P217" i="5"/>
  <c r="P123" i="5"/>
  <c r="P311" i="5"/>
  <c r="P280" i="5"/>
  <c r="P28" i="5"/>
  <c r="P67" i="5"/>
  <c r="P201" i="5"/>
  <c r="P226" i="4"/>
  <c r="P321" i="4"/>
  <c r="P41" i="4"/>
  <c r="P244" i="4"/>
  <c r="P243" i="4"/>
  <c r="P258" i="4"/>
  <c r="P229" i="4"/>
  <c r="P268" i="4"/>
  <c r="P138" i="4"/>
  <c r="P215" i="4"/>
  <c r="P282" i="4"/>
  <c r="P2" i="4"/>
  <c r="P51" i="4"/>
  <c r="P199" i="4"/>
  <c r="P108" i="4"/>
  <c r="P110" i="4"/>
  <c r="P197" i="4"/>
  <c r="P316" i="4"/>
  <c r="P274" i="4"/>
  <c r="P16" i="4"/>
  <c r="P119" i="4"/>
  <c r="P265" i="4"/>
  <c r="P83" i="4"/>
  <c r="P318" i="4"/>
  <c r="P315" i="4"/>
  <c r="P24" i="4"/>
  <c r="P266" i="4"/>
  <c r="P264" i="4"/>
  <c r="P35" i="4"/>
  <c r="P163" i="4"/>
  <c r="P95" i="4"/>
  <c r="P80" i="4"/>
  <c r="P96" i="4"/>
  <c r="P238" i="4"/>
  <c r="P210" i="4"/>
  <c r="P312" i="4"/>
  <c r="P218" i="4"/>
  <c r="P302" i="4"/>
  <c r="P287" i="4"/>
  <c r="P15" i="4"/>
  <c r="P155" i="4"/>
  <c r="P161" i="4"/>
  <c r="P298" i="4"/>
  <c r="P48" i="4"/>
  <c r="P232" i="4"/>
  <c r="P62" i="4"/>
  <c r="P180" i="4"/>
  <c r="P151" i="4"/>
  <c r="P246" i="4"/>
  <c r="P308" i="4"/>
  <c r="P188" i="4"/>
  <c r="P117" i="4"/>
  <c r="P9" i="4"/>
  <c r="P253" i="4"/>
  <c r="P166" i="4"/>
  <c r="P269" i="4"/>
  <c r="P280" i="4"/>
  <c r="P306" i="4"/>
  <c r="P74" i="4"/>
  <c r="P144" i="4"/>
  <c r="P179" i="4"/>
  <c r="P72" i="4"/>
  <c r="P240" i="4"/>
  <c r="P109" i="4"/>
  <c r="P228" i="4"/>
  <c r="P208" i="4"/>
  <c r="P172" i="4"/>
  <c r="P82" i="4"/>
  <c r="P146" i="4"/>
  <c r="P29" i="4"/>
  <c r="P20" i="4"/>
  <c r="P59" i="4"/>
  <c r="P174" i="4"/>
  <c r="P11" i="4"/>
  <c r="P272" i="4"/>
  <c r="P132" i="4"/>
  <c r="P217" i="4"/>
  <c r="P245" i="4"/>
  <c r="P291" i="4"/>
  <c r="P259" i="4"/>
  <c r="P183" i="4"/>
  <c r="P87" i="4"/>
  <c r="P175" i="4"/>
  <c r="P212" i="4"/>
  <c r="P281" i="4"/>
  <c r="P239" i="4"/>
  <c r="P52" i="4"/>
  <c r="P93" i="4"/>
  <c r="P78" i="4"/>
  <c r="P111" i="4"/>
  <c r="P26" i="4"/>
  <c r="P18" i="4"/>
  <c r="P17" i="4"/>
  <c r="P176" i="4"/>
  <c r="P177" i="4"/>
  <c r="P63" i="4"/>
  <c r="P299" i="4"/>
  <c r="P320" i="4"/>
  <c r="P70" i="4"/>
  <c r="P37" i="4"/>
  <c r="P237" i="4"/>
  <c r="P86" i="4"/>
  <c r="P203" i="4"/>
  <c r="P213" i="4"/>
  <c r="P202" i="4"/>
  <c r="P125" i="4"/>
  <c r="P241" i="4"/>
  <c r="P211" i="4"/>
  <c r="P129" i="4"/>
  <c r="P73" i="4"/>
  <c r="P4" i="4"/>
  <c r="P85" i="4"/>
  <c r="P162" i="4"/>
  <c r="P147" i="4"/>
  <c r="P106" i="4"/>
  <c r="P5" i="4"/>
  <c r="P204" i="4"/>
  <c r="P301" i="4"/>
  <c r="P121" i="4"/>
  <c r="P89" i="4"/>
  <c r="P8" i="4"/>
  <c r="P69" i="4"/>
  <c r="P130" i="4"/>
  <c r="P224" i="4"/>
  <c r="P122" i="4"/>
  <c r="P32" i="4"/>
  <c r="P100" i="4"/>
  <c r="P118" i="4"/>
  <c r="P49" i="4"/>
  <c r="P225" i="4"/>
  <c r="P317" i="4"/>
  <c r="P171" i="4"/>
  <c r="P290" i="4"/>
  <c r="P54" i="4"/>
  <c r="P257" i="4"/>
  <c r="P300" i="4"/>
  <c r="P30" i="4"/>
  <c r="P256" i="4"/>
  <c r="P79" i="4"/>
  <c r="P322" i="4"/>
  <c r="P157" i="4"/>
  <c r="P126" i="4"/>
  <c r="P134" i="4"/>
  <c r="P127" i="4"/>
  <c r="P46" i="4"/>
  <c r="P33" i="4"/>
  <c r="P131" i="4"/>
  <c r="P249" i="4"/>
  <c r="P297" i="4"/>
  <c r="P254" i="4"/>
  <c r="P168" i="4"/>
  <c r="P103" i="4"/>
  <c r="P148" i="4"/>
  <c r="P56" i="4"/>
  <c r="P181" i="4"/>
  <c r="P191" i="4"/>
  <c r="P114" i="4"/>
  <c r="P178" i="4"/>
  <c r="P98" i="4"/>
  <c r="P189" i="4"/>
  <c r="P124" i="4"/>
  <c r="P273" i="4"/>
  <c r="P43" i="4"/>
  <c r="P304" i="4"/>
  <c r="P90" i="4"/>
  <c r="P149" i="4"/>
  <c r="P194" i="4"/>
  <c r="P88" i="4"/>
  <c r="P154" i="4"/>
  <c r="P236" i="4"/>
  <c r="P3" i="4"/>
  <c r="P283" i="4"/>
  <c r="P251" i="4"/>
  <c r="P247" i="4"/>
  <c r="P61" i="4"/>
  <c r="P165" i="4"/>
  <c r="P278" i="4"/>
  <c r="P186" i="4"/>
  <c r="P31" i="4"/>
  <c r="P91" i="4"/>
  <c r="P65" i="4"/>
  <c r="P153" i="4"/>
  <c r="P185" i="4"/>
  <c r="P152" i="4"/>
  <c r="P205" i="4"/>
  <c r="P159" i="4"/>
  <c r="P173" i="4"/>
  <c r="P71" i="4"/>
  <c r="P64" i="4"/>
  <c r="P255" i="4"/>
  <c r="P209" i="4"/>
  <c r="P223" i="4"/>
  <c r="P190" i="4"/>
  <c r="P292" i="4"/>
  <c r="P142" i="4"/>
  <c r="P187" i="4"/>
  <c r="P94" i="4"/>
  <c r="P25" i="4"/>
  <c r="P277" i="4"/>
  <c r="P10" i="4"/>
  <c r="P235" i="4"/>
  <c r="P262" i="4"/>
  <c r="P102" i="4"/>
  <c r="P60" i="4"/>
  <c r="P81" i="4"/>
  <c r="P133" i="4"/>
  <c r="P99" i="4"/>
  <c r="P221" i="4"/>
  <c r="P184" i="4"/>
  <c r="P164" i="4"/>
  <c r="P23" i="4"/>
  <c r="P220" i="4"/>
  <c r="P44" i="4"/>
  <c r="P193" i="4"/>
  <c r="P7" i="4"/>
  <c r="P196" i="4"/>
  <c r="P101" i="4"/>
  <c r="P12" i="4"/>
  <c r="P252" i="4"/>
  <c r="P200" i="4"/>
  <c r="P167" i="4"/>
  <c r="P38" i="4"/>
  <c r="P242" i="4"/>
  <c r="P169" i="4"/>
  <c r="P286" i="4"/>
  <c r="P47" i="4"/>
  <c r="P214" i="4"/>
  <c r="P107" i="4"/>
  <c r="P296" i="4"/>
  <c r="P92" i="4"/>
  <c r="P6" i="4"/>
  <c r="P295" i="4"/>
  <c r="P123" i="4"/>
  <c r="P112" i="4"/>
  <c r="P27" i="4"/>
  <c r="P170" i="4"/>
  <c r="P285" i="4"/>
  <c r="P288" i="4"/>
  <c r="P160" i="4"/>
  <c r="P276" i="4"/>
  <c r="P140" i="4"/>
  <c r="P97" i="4"/>
  <c r="P28" i="4"/>
  <c r="P150" i="4"/>
  <c r="P77" i="4"/>
  <c r="P230" i="4"/>
  <c r="P104" i="4"/>
  <c r="P279" i="4"/>
  <c r="P137" i="4"/>
  <c r="P120" i="4"/>
  <c r="P39" i="4"/>
  <c r="P310" i="4"/>
  <c r="P314" i="4"/>
  <c r="P319" i="4"/>
  <c r="P261" i="4"/>
  <c r="P113" i="4"/>
  <c r="P227" i="4"/>
  <c r="P207" i="4"/>
  <c r="P289" i="4"/>
  <c r="P36" i="4"/>
  <c r="P143" i="4"/>
  <c r="P284" i="4"/>
  <c r="P50" i="4"/>
  <c r="P135" i="4"/>
  <c r="P141" i="4"/>
  <c r="P216" i="4"/>
  <c r="P84" i="4"/>
  <c r="P294" i="4"/>
  <c r="P42" i="4"/>
  <c r="P21" i="4"/>
  <c r="P105" i="4"/>
  <c r="P66" i="4"/>
  <c r="P293" i="4"/>
  <c r="P219" i="4"/>
  <c r="P195" i="4"/>
  <c r="P136" i="4"/>
  <c r="P57" i="4"/>
  <c r="P313" i="4"/>
  <c r="P222" i="4"/>
  <c r="P275" i="4"/>
  <c r="P192" i="4"/>
  <c r="P116" i="4"/>
  <c r="P263" i="4"/>
  <c r="P75" i="4"/>
  <c r="P270" i="4"/>
  <c r="P248" i="4"/>
  <c r="P250" i="4"/>
  <c r="P34" i="4"/>
  <c r="P45" i="4"/>
  <c r="P305" i="4"/>
  <c r="P139" i="4"/>
  <c r="P231" i="4"/>
  <c r="P13" i="4"/>
  <c r="P307" i="4"/>
  <c r="P271" i="4"/>
  <c r="P68" i="4"/>
  <c r="P14" i="4"/>
  <c r="P233" i="4"/>
  <c r="P40" i="4"/>
  <c r="P145" i="4"/>
  <c r="P182" i="4"/>
  <c r="P58" i="4"/>
  <c r="P201" i="4"/>
  <c r="P19" i="4"/>
  <c r="P234" i="4"/>
  <c r="P198" i="4"/>
  <c r="P128" i="4"/>
  <c r="P156" i="4"/>
  <c r="P76" i="4"/>
  <c r="P206" i="4"/>
  <c r="P260" i="4"/>
  <c r="P55" i="4"/>
  <c r="P158" i="4"/>
  <c r="P267" i="4"/>
  <c r="P67" i="4"/>
  <c r="P303" i="4"/>
  <c r="P115" i="4"/>
  <c r="P53" i="4"/>
  <c r="P22" i="4"/>
  <c r="P309" i="4"/>
  <c r="P236" i="3"/>
  <c r="P190" i="3"/>
  <c r="P111" i="3"/>
  <c r="P217" i="3"/>
  <c r="P255" i="3"/>
  <c r="P200" i="3"/>
  <c r="P95" i="3"/>
  <c r="P319" i="3"/>
  <c r="P273" i="3"/>
  <c r="P179" i="3"/>
  <c r="P135" i="3"/>
  <c r="P176" i="3"/>
  <c r="P38" i="3"/>
  <c r="P257" i="3"/>
  <c r="P67" i="3"/>
  <c r="P143" i="3"/>
  <c r="P264" i="3"/>
  <c r="P142" i="3"/>
  <c r="P206" i="3"/>
  <c r="P41" i="3"/>
  <c r="P235" i="3"/>
  <c r="P127" i="3"/>
  <c r="P249" i="3"/>
  <c r="P114" i="3"/>
  <c r="P75" i="3"/>
  <c r="P125" i="3"/>
  <c r="P246" i="3"/>
  <c r="P35" i="3"/>
  <c r="P120" i="3"/>
  <c r="P106" i="3"/>
  <c r="P10" i="3"/>
  <c r="P263" i="3"/>
  <c r="P293" i="3"/>
  <c r="P150" i="3"/>
  <c r="P302" i="3"/>
  <c r="P63" i="3"/>
  <c r="P4" i="3"/>
  <c r="P138" i="3"/>
  <c r="P185" i="3"/>
  <c r="P115" i="3"/>
  <c r="P46" i="3"/>
  <c r="P312" i="3"/>
  <c r="P113" i="3"/>
  <c r="P53" i="3"/>
  <c r="P39" i="3"/>
  <c r="P268" i="3"/>
  <c r="P147" i="3"/>
  <c r="P101" i="3"/>
  <c r="P62" i="3"/>
  <c r="P183" i="3"/>
  <c r="P2" i="3"/>
  <c r="P250" i="3"/>
  <c r="P281" i="3"/>
  <c r="P141" i="3"/>
  <c r="P171" i="3"/>
  <c r="P203" i="3"/>
  <c r="P153" i="3"/>
  <c r="P154" i="3"/>
  <c r="P93" i="3"/>
  <c r="P71" i="3"/>
  <c r="P243" i="3"/>
  <c r="P221" i="3"/>
  <c r="P86" i="3"/>
  <c r="P275" i="3"/>
  <c r="P226" i="3"/>
  <c r="P215" i="3"/>
  <c r="P248" i="3"/>
  <c r="P90" i="3"/>
  <c r="P108" i="3"/>
  <c r="P11" i="3"/>
  <c r="P219" i="3"/>
  <c r="P89" i="3"/>
  <c r="P284" i="3"/>
  <c r="P205" i="3"/>
  <c r="P207" i="3"/>
  <c r="P37" i="3"/>
  <c r="P167" i="3"/>
  <c r="P269" i="3"/>
  <c r="P260" i="3"/>
  <c r="P18" i="3"/>
  <c r="P78" i="3"/>
  <c r="P307" i="3"/>
  <c r="P196" i="3"/>
  <c r="P123" i="3"/>
  <c r="P172" i="3"/>
  <c r="P216" i="3"/>
  <c r="P64" i="3"/>
  <c r="P202" i="3"/>
  <c r="P73" i="3"/>
  <c r="P156" i="3"/>
  <c r="P208" i="3"/>
  <c r="P29" i="3"/>
  <c r="P17" i="3"/>
  <c r="P61" i="3"/>
  <c r="P88" i="3"/>
  <c r="P134" i="3"/>
  <c r="P81" i="3"/>
  <c r="P33" i="3"/>
  <c r="P56" i="3"/>
  <c r="P129" i="3"/>
  <c r="P192" i="3"/>
  <c r="P27" i="3"/>
  <c r="P170" i="3"/>
  <c r="P42" i="3"/>
  <c r="P19" i="3"/>
  <c r="P230" i="3"/>
  <c r="P180" i="3"/>
  <c r="P131" i="3"/>
  <c r="P159" i="3"/>
  <c r="P187" i="3"/>
  <c r="P204" i="3"/>
  <c r="P186" i="3"/>
  <c r="P309" i="3"/>
  <c r="P313" i="3"/>
  <c r="P231" i="3"/>
  <c r="P251" i="3"/>
  <c r="P282" i="3"/>
  <c r="P174" i="3"/>
  <c r="P320" i="3"/>
  <c r="P51" i="3"/>
  <c r="P234" i="3"/>
  <c r="P112" i="3"/>
  <c r="P201" i="3"/>
  <c r="P173" i="3"/>
  <c r="P107" i="3"/>
  <c r="P238" i="3"/>
  <c r="P99" i="3"/>
  <c r="P20" i="3"/>
  <c r="P189" i="3"/>
  <c r="P242" i="3"/>
  <c r="P163" i="3"/>
  <c r="P175" i="3"/>
  <c r="P239" i="3"/>
  <c r="P47" i="3"/>
  <c r="P270" i="3"/>
  <c r="P52" i="3"/>
  <c r="P36" i="3"/>
  <c r="P259" i="3"/>
  <c r="P181" i="3"/>
  <c r="P161" i="3"/>
  <c r="P109" i="3"/>
  <c r="P195" i="3"/>
  <c r="P121" i="3"/>
  <c r="P49" i="3"/>
  <c r="P70" i="3"/>
  <c r="P31" i="3"/>
  <c r="P160" i="3"/>
  <c r="P54" i="3"/>
  <c r="P279" i="3"/>
  <c r="P291" i="3"/>
  <c r="P278" i="3"/>
  <c r="P166" i="3"/>
  <c r="P72" i="3"/>
  <c r="P223" i="3"/>
  <c r="P132" i="3"/>
  <c r="P102" i="3"/>
  <c r="P55" i="3"/>
  <c r="P305" i="3"/>
  <c r="P298" i="3"/>
  <c r="P151" i="3"/>
  <c r="P126" i="3"/>
  <c r="P128" i="3"/>
  <c r="P103" i="3"/>
  <c r="P59" i="3"/>
  <c r="P317" i="3"/>
  <c r="P188" i="3"/>
  <c r="P21" i="3"/>
  <c r="P34" i="3"/>
  <c r="P110" i="3"/>
  <c r="P240" i="3"/>
  <c r="P321" i="3"/>
  <c r="P315" i="3"/>
  <c r="P300" i="3"/>
  <c r="P290" i="3"/>
  <c r="P69" i="3"/>
  <c r="P245" i="3"/>
  <c r="P184" i="3"/>
  <c r="P301" i="3"/>
  <c r="P13" i="3"/>
  <c r="P197" i="3"/>
  <c r="P287" i="3"/>
  <c r="P76" i="3"/>
  <c r="P22" i="3"/>
  <c r="P228" i="3"/>
  <c r="P274" i="3"/>
  <c r="P244" i="3"/>
  <c r="P96" i="3"/>
  <c r="P97" i="3"/>
  <c r="P23" i="3"/>
  <c r="P297" i="3"/>
  <c r="P68" i="3"/>
  <c r="P164" i="3"/>
  <c r="P79" i="3"/>
  <c r="P283" i="3"/>
  <c r="P133" i="3"/>
  <c r="P48" i="3"/>
  <c r="P15" i="3"/>
  <c r="P94" i="3"/>
  <c r="P168" i="3"/>
  <c r="P241" i="3"/>
  <c r="P9" i="3"/>
  <c r="P306" i="3"/>
  <c r="P6" i="3"/>
  <c r="P254" i="3"/>
  <c r="P158" i="3"/>
  <c r="P310" i="3"/>
  <c r="P314" i="3"/>
  <c r="P87" i="3"/>
  <c r="P155" i="3"/>
  <c r="P233" i="3"/>
  <c r="P280" i="3"/>
  <c r="P85" i="3"/>
  <c r="P194" i="3"/>
  <c r="P212" i="3"/>
  <c r="P267" i="3"/>
  <c r="P14" i="3"/>
  <c r="P24" i="3"/>
  <c r="P265" i="3"/>
  <c r="P214" i="3"/>
  <c r="P225" i="3"/>
  <c r="P165" i="3"/>
  <c r="P213" i="3"/>
  <c r="P40" i="3"/>
  <c r="P292" i="3"/>
  <c r="P178" i="3"/>
  <c r="P177" i="3"/>
  <c r="P286" i="3"/>
  <c r="P261" i="3"/>
  <c r="P311" i="3"/>
  <c r="P58" i="3"/>
  <c r="P105" i="3"/>
  <c r="P299" i="3"/>
  <c r="P295" i="3"/>
  <c r="P229" i="3"/>
  <c r="P199" i="3"/>
  <c r="P3" i="3"/>
  <c r="P316" i="3"/>
  <c r="P296" i="3"/>
  <c r="P139" i="3"/>
  <c r="P227" i="3"/>
  <c r="P322" i="3"/>
  <c r="P191" i="3"/>
  <c r="P124" i="3"/>
  <c r="P209" i="3"/>
  <c r="P44" i="3"/>
  <c r="P98" i="3"/>
  <c r="P271" i="3"/>
  <c r="P157" i="3"/>
  <c r="P256" i="3"/>
  <c r="P169" i="3"/>
  <c r="P140" i="3"/>
  <c r="P182" i="3"/>
  <c r="P74" i="3"/>
  <c r="P218" i="3"/>
  <c r="P50" i="3"/>
  <c r="P193" i="3"/>
  <c r="P266" i="3"/>
  <c r="P145" i="3"/>
  <c r="P12" i="3"/>
  <c r="P303" i="3"/>
  <c r="P84" i="3"/>
  <c r="P211" i="3"/>
  <c r="P318" i="3"/>
  <c r="P277" i="3"/>
  <c r="P122" i="3"/>
  <c r="P146" i="3"/>
  <c r="P130" i="3"/>
  <c r="P118" i="3"/>
  <c r="P237" i="3"/>
  <c r="P258" i="3"/>
  <c r="P65" i="3"/>
  <c r="P276" i="3"/>
  <c r="P60" i="3"/>
  <c r="P43" i="3"/>
  <c r="P104" i="3"/>
  <c r="P83" i="3"/>
  <c r="P222" i="3"/>
  <c r="P149" i="3"/>
  <c r="P28" i="3"/>
  <c r="P25" i="3"/>
  <c r="P26" i="3"/>
  <c r="P198" i="3"/>
  <c r="P137" i="3"/>
  <c r="P232" i="3"/>
  <c r="P77" i="3"/>
  <c r="P224" i="3"/>
  <c r="P45" i="3"/>
  <c r="P116" i="3"/>
  <c r="P7" i="3"/>
  <c r="P119" i="3"/>
  <c r="P253" i="3"/>
  <c r="P80" i="3"/>
  <c r="P117" i="3"/>
  <c r="P5" i="3"/>
  <c r="P272" i="3"/>
  <c r="P220" i="3"/>
  <c r="P289" i="3"/>
  <c r="P30" i="3"/>
  <c r="P294" i="3"/>
  <c r="P152" i="3"/>
  <c r="P247" i="3"/>
  <c r="P100" i="3"/>
  <c r="P304" i="3"/>
  <c r="P91" i="3"/>
  <c r="P82" i="3"/>
  <c r="P144" i="3"/>
  <c r="P285" i="3"/>
  <c r="P210" i="3"/>
  <c r="P32" i="3"/>
  <c r="P66" i="3"/>
  <c r="P262" i="3"/>
  <c r="P57" i="3"/>
  <c r="P288" i="3"/>
  <c r="P148" i="3"/>
  <c r="P16" i="3"/>
  <c r="P252" i="3"/>
  <c r="P8" i="3"/>
  <c r="P92" i="3"/>
  <c r="P308" i="3"/>
  <c r="P136" i="3"/>
  <c r="P228" i="2"/>
  <c r="P109" i="2"/>
  <c r="P267" i="2"/>
  <c r="P294" i="2"/>
  <c r="P202" i="2"/>
  <c r="P288" i="2"/>
  <c r="P51" i="2"/>
  <c r="P317" i="2"/>
  <c r="P150" i="2"/>
  <c r="P23" i="2"/>
  <c r="P74" i="2"/>
  <c r="P80" i="2"/>
  <c r="P227" i="2"/>
  <c r="P295" i="2"/>
  <c r="P140" i="2"/>
  <c r="P19" i="2"/>
  <c r="P282" i="2"/>
  <c r="P7" i="2"/>
  <c r="P59" i="2"/>
  <c r="P38" i="2"/>
  <c r="P284" i="2"/>
  <c r="P305" i="2"/>
  <c r="P179" i="2"/>
  <c r="P81" i="2"/>
  <c r="P172" i="2"/>
  <c r="P225" i="2"/>
  <c r="P20" i="2"/>
  <c r="P119" i="2"/>
  <c r="P62" i="2"/>
  <c r="P161" i="2"/>
  <c r="P278" i="2"/>
  <c r="P158" i="2"/>
  <c r="P320" i="2"/>
  <c r="P32" i="2"/>
  <c r="P194" i="2"/>
  <c r="P243" i="2"/>
  <c r="P97" i="2"/>
  <c r="P113" i="2"/>
  <c r="P162" i="2"/>
  <c r="P145" i="2"/>
  <c r="P242" i="2"/>
  <c r="P9" i="2"/>
  <c r="P160" i="2"/>
  <c r="P224" i="2"/>
  <c r="P39" i="2"/>
  <c r="P209" i="2"/>
  <c r="P106" i="2"/>
  <c r="P54" i="2"/>
  <c r="P111" i="2"/>
  <c r="P121" i="2"/>
  <c r="P255" i="2"/>
  <c r="P314" i="2"/>
  <c r="P177" i="2"/>
  <c r="P266" i="2"/>
  <c r="P259" i="2"/>
  <c r="P221" i="2"/>
  <c r="P170" i="2"/>
  <c r="P257" i="2"/>
  <c r="P149" i="2"/>
  <c r="P168" i="2"/>
  <c r="P174" i="2"/>
  <c r="P283" i="2"/>
  <c r="P239" i="2"/>
  <c r="P270" i="2"/>
  <c r="P71" i="2"/>
  <c r="P280" i="2"/>
  <c r="P298" i="2"/>
  <c r="P63" i="2"/>
  <c r="P16" i="2"/>
  <c r="P11" i="2"/>
  <c r="P222" i="2"/>
  <c r="P67" i="2"/>
  <c r="P254" i="2"/>
  <c r="P286" i="2"/>
  <c r="P293" i="2"/>
  <c r="P22" i="2"/>
  <c r="P30" i="2"/>
  <c r="P190" i="2"/>
  <c r="P144" i="2"/>
  <c r="P116" i="2"/>
  <c r="P47" i="2"/>
  <c r="P287" i="2"/>
  <c r="P247" i="2"/>
  <c r="P218" i="2"/>
  <c r="P68" i="2"/>
  <c r="P234" i="2"/>
  <c r="P110" i="2"/>
  <c r="P175" i="2"/>
  <c r="P75" i="2"/>
  <c r="P61" i="2"/>
  <c r="P248" i="2"/>
  <c r="P268" i="2"/>
  <c r="P275" i="2"/>
  <c r="P100" i="2"/>
  <c r="P302" i="2"/>
  <c r="P5" i="2"/>
  <c r="P296" i="2"/>
  <c r="P297" i="2"/>
  <c r="P164" i="2"/>
  <c r="P43" i="2"/>
  <c r="P6" i="2"/>
  <c r="P312" i="2"/>
  <c r="P82" i="2"/>
  <c r="P132" i="2"/>
  <c r="P316" i="2"/>
  <c r="P197" i="2"/>
  <c r="P311" i="2"/>
  <c r="P92" i="2"/>
  <c r="P104" i="2"/>
  <c r="P130" i="2"/>
  <c r="P153" i="2"/>
  <c r="P308" i="2"/>
  <c r="P272" i="2"/>
  <c r="P102" i="2"/>
  <c r="P290" i="2"/>
  <c r="P213" i="2"/>
  <c r="P120" i="2"/>
  <c r="P134" i="2"/>
  <c r="P279" i="2"/>
  <c r="P34" i="2"/>
  <c r="P55" i="2"/>
  <c r="P73" i="2"/>
  <c r="P188" i="2"/>
  <c r="P216" i="2"/>
  <c r="P4" i="2"/>
  <c r="P46" i="2"/>
  <c r="P129" i="2"/>
  <c r="P193" i="2"/>
  <c r="P53" i="2"/>
  <c r="P105" i="2"/>
  <c r="P8" i="2"/>
  <c r="P126" i="2"/>
  <c r="P156" i="2"/>
  <c r="P245" i="2"/>
  <c r="P76" i="2"/>
  <c r="P33" i="2"/>
  <c r="P313" i="2"/>
  <c r="P36" i="2"/>
  <c r="P152" i="2"/>
  <c r="P185" i="2"/>
  <c r="P10" i="2"/>
  <c r="P180" i="2"/>
  <c r="P237" i="2"/>
  <c r="P212" i="2"/>
  <c r="P285" i="2"/>
  <c r="P230" i="2"/>
  <c r="P29" i="2"/>
  <c r="P250" i="2"/>
  <c r="P2" i="2"/>
  <c r="P315" i="2"/>
  <c r="P244" i="2"/>
  <c r="P310" i="2"/>
  <c r="P70" i="2"/>
  <c r="P21" i="2"/>
  <c r="P78" i="2"/>
  <c r="P88" i="2"/>
  <c r="P260" i="2"/>
  <c r="P146" i="2"/>
  <c r="P37" i="2"/>
  <c r="P181" i="2"/>
  <c r="P24" i="2"/>
  <c r="P171" i="2"/>
  <c r="P246" i="2"/>
  <c r="P273" i="2"/>
  <c r="P148" i="2"/>
  <c r="P263" i="2"/>
  <c r="P219" i="2"/>
  <c r="P44" i="2"/>
  <c r="P50" i="2"/>
  <c r="P141" i="2"/>
  <c r="P143" i="2"/>
  <c r="P125" i="2"/>
  <c r="P229" i="2"/>
  <c r="P231" i="2"/>
  <c r="P318" i="2"/>
  <c r="P253" i="2"/>
  <c r="P58" i="2"/>
  <c r="P274" i="2"/>
  <c r="P28" i="2"/>
  <c r="P189" i="2"/>
  <c r="P232" i="2"/>
  <c r="P27" i="2"/>
  <c r="P123" i="2"/>
  <c r="P321" i="2"/>
  <c r="P159" i="2"/>
  <c r="P163" i="2"/>
  <c r="P3" i="2"/>
  <c r="P83" i="2"/>
  <c r="P45" i="2"/>
  <c r="P139" i="2"/>
  <c r="P165" i="2"/>
  <c r="P89" i="2"/>
  <c r="P64" i="2"/>
  <c r="P133" i="2"/>
  <c r="P183" i="2"/>
  <c r="P122" i="2"/>
  <c r="P103" i="2"/>
  <c r="P41" i="2"/>
  <c r="P56" i="2"/>
  <c r="P261" i="2"/>
  <c r="P157" i="2"/>
  <c r="P292" i="2"/>
  <c r="P322" i="2"/>
  <c r="P95" i="2"/>
  <c r="P319" i="2"/>
  <c r="P108" i="2"/>
  <c r="P198" i="2"/>
  <c r="P60" i="2"/>
  <c r="P182" i="2"/>
  <c r="P301" i="2"/>
  <c r="P215" i="2"/>
  <c r="P264" i="2"/>
  <c r="P235" i="2"/>
  <c r="P269" i="2"/>
  <c r="P49" i="2"/>
  <c r="P217" i="2"/>
  <c r="P40" i="2"/>
  <c r="P210" i="2"/>
  <c r="P151" i="2"/>
  <c r="P52" i="2"/>
  <c r="P117" i="2"/>
  <c r="P31" i="2"/>
  <c r="P96" i="2"/>
  <c r="P112" i="2"/>
  <c r="P48" i="2"/>
  <c r="P299" i="2"/>
  <c r="P72" i="2"/>
  <c r="P86" i="2"/>
  <c r="P187" i="2"/>
  <c r="P303" i="2"/>
  <c r="P271" i="2"/>
  <c r="P208" i="2"/>
  <c r="P262" i="2"/>
  <c r="P85" i="2"/>
  <c r="P94" i="2"/>
  <c r="P14" i="2"/>
  <c r="P127" i="2"/>
  <c r="P90" i="2"/>
  <c r="P137" i="2"/>
  <c r="P291" i="2"/>
  <c r="P204" i="2"/>
  <c r="P26" i="2"/>
  <c r="P199" i="2"/>
  <c r="P167" i="2"/>
  <c r="P166" i="2"/>
  <c r="P79" i="2"/>
  <c r="P154" i="2"/>
  <c r="P131" i="2"/>
  <c r="P169" i="2"/>
  <c r="P124" i="2"/>
  <c r="P42" i="2"/>
  <c r="P35" i="2"/>
  <c r="P101" i="2"/>
  <c r="P128" i="2"/>
  <c r="P256" i="2"/>
  <c r="P135" i="2"/>
  <c r="P220" i="2"/>
  <c r="P18" i="2"/>
  <c r="P87" i="2"/>
  <c r="P138" i="2"/>
  <c r="P173" i="2"/>
  <c r="P192" i="2"/>
  <c r="P289" i="2"/>
  <c r="P200" i="2"/>
  <c r="P281" i="2"/>
  <c r="P238" i="2"/>
  <c r="P118" i="2"/>
  <c r="P223" i="2"/>
  <c r="P155" i="2"/>
  <c r="P93" i="2"/>
  <c r="P241" i="2"/>
  <c r="P13" i="2"/>
  <c r="P300" i="2"/>
  <c r="P176" i="2"/>
  <c r="P277" i="2"/>
  <c r="P306" i="2"/>
  <c r="P276" i="2"/>
  <c r="P25" i="2"/>
  <c r="P77" i="2"/>
  <c r="P98" i="2"/>
  <c r="P184" i="2"/>
  <c r="P252" i="2"/>
  <c r="P307" i="2"/>
  <c r="P84" i="2"/>
  <c r="P233" i="2"/>
  <c r="P214" i="2"/>
  <c r="P258" i="2"/>
  <c r="P240" i="2"/>
  <c r="P147" i="2"/>
  <c r="P178" i="2"/>
  <c r="P91" i="2"/>
  <c r="P309" i="2"/>
  <c r="P12" i="2"/>
  <c r="P99" i="2"/>
  <c r="P65" i="2"/>
  <c r="P142" i="2"/>
  <c r="P236" i="2"/>
  <c r="P196" i="2"/>
  <c r="P201" i="2"/>
  <c r="P206" i="2"/>
  <c r="P17" i="2"/>
  <c r="P211" i="2"/>
  <c r="P107" i="2"/>
  <c r="P191" i="2"/>
  <c r="P136" i="2"/>
  <c r="P69" i="2"/>
  <c r="P226" i="2"/>
  <c r="P115" i="2"/>
  <c r="P249" i="2"/>
  <c r="P205" i="2"/>
  <c r="P114" i="2"/>
  <c r="P203" i="2"/>
  <c r="P265" i="2"/>
  <c r="P251" i="2"/>
  <c r="P207" i="2"/>
  <c r="P195" i="2"/>
  <c r="P304" i="2"/>
  <c r="P66" i="2"/>
  <c r="P186" i="2"/>
  <c r="P55" i="1"/>
  <c r="P322" i="1"/>
  <c r="P319" i="1"/>
  <c r="P320" i="1"/>
  <c r="P318" i="1"/>
  <c r="P317" i="1"/>
  <c r="P316" i="1"/>
  <c r="P321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272" i="1"/>
  <c r="P258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108" i="1"/>
  <c r="P46" i="1"/>
  <c r="P253" i="1"/>
  <c r="P233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<sst xmlns="http://schemas.openxmlformats.org/spreadsheetml/2006/main" count="147" uniqueCount="20">
  <si>
    <t>Time (s)</t>
  </si>
  <si>
    <t>Image #</t>
  </si>
  <si>
    <t>Markers</t>
  </si>
  <si>
    <t>YFP adjust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</si>
  <si>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</si>
  <si>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</si>
  <si>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</si>
  <si>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</si>
  <si>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</si>
  <si>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</si>
  <si>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</si>
  <si>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7% O2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</si>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</sst>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'240806B001'!$A$2:$A$321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'240806B001'!$J$2:$J$321</c:f>
              <c:numCache>
                <c:formatCode>0.0</c:formatCode>
                <c:ptCount val="320"/>
                <c:pt idx="0">
                  <c:v>676.43200962695994</c:v>
                </c:pt>
                <c:pt idx="1">
                  <c:v>690.63658243080999</c:v>
                </c:pt>
                <c:pt idx="2">
                  <c:v>676.29602888086004</c:v>
                </c:pt>
                <c:pt idx="3">
                  <c:v>685.11070998797004</c:v>
                </c:pt>
                <c:pt idx="4">
                  <c:v>705.11672683514007</c:v>
                </c:pt>
                <c:pt idx="5">
                  <c:v>650.61973525872008</c:v>
                </c:pt>
                <c:pt idx="6">
                  <c:v>520.70878459687992</c:v>
                </c:pt>
                <c:pt idx="7">
                  <c:v>962.47221836522988</c:v>
                </c:pt>
                <c:pt idx="8">
                  <c:v>550.88353061650002</c:v>
                </c:pt>
                <c:pt idx="9">
                  <c:v>1410.7992031860701</c:v>
                </c:pt>
                <c:pt idx="10">
                  <c:v>1368.86977418273</c:v>
                </c:pt>
                <c:pt idx="11">
                  <c:v>1419.10359453874</c:v>
                </c:pt>
                <c:pt idx="12">
                  <c:v>1342.5544433725499</c:v>
                </c:pt>
                <c:pt idx="13">
                  <c:v>1451.6594159666201</c:v>
                </c:pt>
                <c:pt idx="14">
                  <c:v>1452.50521339125</c:v>
                </c:pt>
                <c:pt idx="15">
                  <c:v>1360.1080406957599</c:v>
                </c:pt>
                <c:pt idx="16">
                  <c:v>1346.58209694021</c:v>
                </c:pt>
                <c:pt idx="17">
                  <c:v>1374.9043401137201</c:v>
                </c:pt>
                <c:pt idx="18">
                  <c:v>1381.11374323834</c:v>
                </c:pt>
                <c:pt idx="19">
                  <c:v>1298.35000674923</c:v>
                </c:pt>
                <c:pt idx="20">
                  <c:v>1378.7148014440302</c:v>
                </c:pt>
                <c:pt idx="21">
                  <c:v>1426.08617607566</c:v>
                </c:pt>
                <c:pt idx="22">
                  <c:v>1485.9483121391302</c:v>
                </c:pt>
                <c:pt idx="23">
                  <c:v>1488.8222346994301</c:v>
                </c:pt>
                <c:pt idx="24">
                  <c:v>1435.6419460617201</c:v>
                </c:pt>
                <c:pt idx="25">
                  <c:v>1429.2342471965501</c:v>
                </c:pt>
                <c:pt idx="26">
                  <c:v>1419.46749594517</c:v>
                </c:pt>
                <c:pt idx="27">
                  <c:v>1395.1983237020299</c:v>
                </c:pt>
                <c:pt idx="28">
                  <c:v>1392.10773277356</c:v>
                </c:pt>
                <c:pt idx="29">
                  <c:v>1287.0127141109501</c:v>
                </c:pt>
                <c:pt idx="30">
                  <c:v>1192.5516603753201</c:v>
                </c:pt>
                <c:pt idx="31">
                  <c:v>1259.3157979032499</c:v>
                </c:pt>
                <c:pt idx="32">
                  <c:v>1272.90136266442</c:v>
                </c:pt>
                <c:pt idx="33">
                  <c:v>1251.08839570942</c:v>
                </c:pt>
                <c:pt idx="34">
                  <c:v>1220.4008377303101</c:v>
                </c:pt>
                <c:pt idx="35">
                  <c:v>1222.9640536772499</c:v>
                </c:pt>
                <c:pt idx="36">
                  <c:v>1227.8116777641001</c:v>
                </c:pt>
                <c:pt idx="37">
                  <c:v>1162.1995270714699</c:v>
                </c:pt>
                <c:pt idx="38">
                  <c:v>1240.48432560318</c:v>
                </c:pt>
                <c:pt idx="39">
                  <c:v>1204.5767810887901</c:v>
                </c:pt>
                <c:pt idx="40">
                  <c:v>1263.36240359206</c:v>
                </c:pt>
                <c:pt idx="41">
                  <c:v>1204.8769795136</c:v>
                </c:pt>
                <c:pt idx="42">
                  <c:v>1271.1133206877698</c:v>
                </c:pt>
                <c:pt idx="43">
                  <c:v>1299.4326098548599</c:v>
                </c:pt>
                <c:pt idx="44">
                  <c:v>1229.5092379728699</c:v>
                </c:pt>
                <c:pt idx="45">
                  <c:v>1128.8207547719799</c:v>
                </c:pt>
                <c:pt idx="46">
                  <c:v>1203.83849385294</c:v>
                </c:pt>
                <c:pt idx="47">
                  <c:v>1216.01353535966</c:v>
                </c:pt>
                <c:pt idx="48">
                  <c:v>1192.11992514953</c:v>
                </c:pt>
                <c:pt idx="49">
                  <c:v>1223.9253387746799</c:v>
                </c:pt>
                <c:pt idx="50">
                  <c:v>1169.8693297755899</c:v>
                </c:pt>
                <c:pt idx="51">
                  <c:v>1248.43202270709</c:v>
                </c:pt>
                <c:pt idx="52">
                  <c:v>1172.1974267078301</c:v>
                </c:pt>
                <c:pt idx="53">
                  <c:v>1216.3970421527699</c:v>
                </c:pt>
                <c:pt idx="54">
                  <c:v>1196.4347215682501</c:v>
                </c:pt>
                <c:pt idx="55">
                  <c:v>1257.58874958981</c:v>
                </c:pt>
                <c:pt idx="56">
                  <c:v>1211.8287758450701</c:v>
                </c:pt>
                <c:pt idx="57">
                  <c:v>1138.4030937534001</c:v>
                </c:pt>
                <c:pt idx="58">
                  <c:v>1185.1822382671799</c:v>
                </c:pt>
                <c:pt idx="59">
                  <c:v>1272.4421573131799</c:v>
                </c:pt>
                <c:pt idx="60">
                  <c:v>1253.5717899541598</c:v>
                </c:pt>
                <c:pt idx="61">
                  <c:v>1111.66607655282</c:v>
                </c:pt>
                <c:pt idx="62">
                  <c:v>1196.05655836339</c:v>
                </c:pt>
                <c:pt idx="63">
                  <c:v>1308.6678700361399</c:v>
                </c:pt>
                <c:pt idx="64">
                  <c:v>1269.3190530607599</c:v>
                </c:pt>
                <c:pt idx="65">
                  <c:v>1265.67726324355</c:v>
                </c:pt>
                <c:pt idx="66">
                  <c:v>1147.1610134275202</c:v>
                </c:pt>
                <c:pt idx="67">
                  <c:v>1200.5698820005798</c:v>
                </c:pt>
                <c:pt idx="68">
                  <c:v>1221.2897046983201</c:v>
                </c:pt>
                <c:pt idx="69">
                  <c:v>1281.42001921929</c:v>
                </c:pt>
                <c:pt idx="70">
                  <c:v>1250.1080718318899</c:v>
                </c:pt>
                <c:pt idx="71">
                  <c:v>1234.5617218596799</c:v>
                </c:pt>
                <c:pt idx="72">
                  <c:v>1192.9025588956699</c:v>
                </c:pt>
                <c:pt idx="73">
                  <c:v>1183.7171484514699</c:v>
                </c:pt>
                <c:pt idx="74">
                  <c:v>1150.5903357488301</c:v>
                </c:pt>
                <c:pt idx="75">
                  <c:v>1275.24597541401</c:v>
                </c:pt>
                <c:pt idx="76">
                  <c:v>1301.4489471245499</c:v>
                </c:pt>
                <c:pt idx="77">
                  <c:v>1234.9986021172699</c:v>
                </c:pt>
                <c:pt idx="78">
                  <c:v>1071.7486119155299</c:v>
                </c:pt>
                <c:pt idx="79">
                  <c:v>1264.7012570449199</c:v>
                </c:pt>
                <c:pt idx="80">
                  <c:v>1274.71811720304</c:v>
                </c:pt>
                <c:pt idx="81">
                  <c:v>1272.9907601525301</c:v>
                </c:pt>
                <c:pt idx="82">
                  <c:v>1264.50123381611</c:v>
                </c:pt>
                <c:pt idx="83">
                  <c:v>1227.5501677314301</c:v>
                </c:pt>
                <c:pt idx="84">
                  <c:v>1247.2188027562599</c:v>
                </c:pt>
                <c:pt idx="85">
                  <c:v>1228.79211140596</c:v>
                </c:pt>
                <c:pt idx="86">
                  <c:v>1259.7168182155199</c:v>
                </c:pt>
                <c:pt idx="87">
                  <c:v>1271.49166444766</c:v>
                </c:pt>
                <c:pt idx="88">
                  <c:v>1264.24373105636</c:v>
                </c:pt>
                <c:pt idx="89">
                  <c:v>1276.95286196758</c:v>
                </c:pt>
                <c:pt idx="90">
                  <c:v>1204.4031505343701</c:v>
                </c:pt>
                <c:pt idx="91">
                  <c:v>1236.2478012015899</c:v>
                </c:pt>
                <c:pt idx="92">
                  <c:v>1259.6682677721901</c:v>
                </c:pt>
                <c:pt idx="93">
                  <c:v>1241.3689056850699</c:v>
                </c:pt>
                <c:pt idx="94">
                  <c:v>1203.6489830589201</c:v>
                </c:pt>
                <c:pt idx="95">
                  <c:v>1239.0641281783901</c:v>
                </c:pt>
                <c:pt idx="96">
                  <c:v>1274.5242815476201</c:v>
                </c:pt>
                <c:pt idx="97">
                  <c:v>1262.34287724756</c:v>
                </c:pt>
                <c:pt idx="98">
                  <c:v>1283.2145392085799</c:v>
                </c:pt>
                <c:pt idx="99">
                  <c:v>1229.2002351777401</c:v>
                </c:pt>
                <c:pt idx="100">
                  <c:v>1238.40109807461</c:v>
                </c:pt>
                <c:pt idx="101">
                  <c:v>1242.2532482254301</c:v>
                </c:pt>
                <c:pt idx="102">
                  <c:v>1211.2797011488101</c:v>
                </c:pt>
                <c:pt idx="103">
                  <c:v>1102.0491087274202</c:v>
                </c:pt>
                <c:pt idx="104">
                  <c:v>1238.27440447709</c:v>
                </c:pt>
                <c:pt idx="105">
                  <c:v>1231.2004813477699</c:v>
                </c:pt>
                <c:pt idx="106">
                  <c:v>1213.46587360269</c:v>
                </c:pt>
                <c:pt idx="107">
                  <c:v>1209.0559160830599</c:v>
                </c:pt>
                <c:pt idx="108">
                  <c:v>1258.3372464587399</c:v>
                </c:pt>
                <c:pt idx="109">
                  <c:v>1258.7408279066801</c:v>
                </c:pt>
                <c:pt idx="110">
                  <c:v>1251.0800931603601</c:v>
                </c:pt>
                <c:pt idx="111">
                  <c:v>1250.9289608991401</c:v>
                </c:pt>
                <c:pt idx="112">
                  <c:v>1233.9413266676499</c:v>
                </c:pt>
                <c:pt idx="113">
                  <c:v>1253.3717785858498</c:v>
                </c:pt>
                <c:pt idx="114">
                  <c:v>1231.7625317030102</c:v>
                </c:pt>
                <c:pt idx="115">
                  <c:v>1268.3428176888501</c:v>
                </c:pt>
                <c:pt idx="116">
                  <c:v>1269.7947803486202</c:v>
                </c:pt>
                <c:pt idx="117">
                  <c:v>1255.5969709183601</c:v>
                </c:pt>
                <c:pt idx="118">
                  <c:v>1258.85897897067</c:v>
                </c:pt>
                <c:pt idx="119">
                  <c:v>1243.1555485794599</c:v>
                </c:pt>
                <c:pt idx="120">
                  <c:v>1250.9856947278899</c:v>
                </c:pt>
                <c:pt idx="121">
                  <c:v>1210.8038551422601</c:v>
                </c:pt>
                <c:pt idx="122">
                  <c:v>1234.2048038274202</c:v>
                </c:pt>
                <c:pt idx="123">
                  <c:v>1232.2131718507701</c:v>
                </c:pt>
                <c:pt idx="124">
                  <c:v>1261.34743892861</c:v>
                </c:pt>
                <c:pt idx="125">
                  <c:v>1240.4105843871698</c:v>
                </c:pt>
                <c:pt idx="126">
                  <c:v>1234.2989839350998</c:v>
                </c:pt>
                <c:pt idx="127">
                  <c:v>1258.7978704893301</c:v>
                </c:pt>
                <c:pt idx="128">
                  <c:v>1279.6567902855099</c:v>
                </c:pt>
                <c:pt idx="129">
                  <c:v>1288.9952696641299</c:v>
                </c:pt>
                <c:pt idx="130">
                  <c:v>1296.9700907996801</c:v>
                </c:pt>
                <c:pt idx="131">
                  <c:v>1264.5232894234798</c:v>
                </c:pt>
                <c:pt idx="132">
                  <c:v>1249.51400483099</c:v>
                </c:pt>
                <c:pt idx="133">
                  <c:v>1210.1328965656201</c:v>
                </c:pt>
                <c:pt idx="134">
                  <c:v>1123.4329653295601</c:v>
                </c:pt>
                <c:pt idx="135">
                  <c:v>1257.3530388720501</c:v>
                </c:pt>
                <c:pt idx="136">
                  <c:v>1275.9366526516599</c:v>
                </c:pt>
                <c:pt idx="137">
                  <c:v>1284.32631707766</c:v>
                </c:pt>
                <c:pt idx="138">
                  <c:v>1241.05340425342</c:v>
                </c:pt>
                <c:pt idx="139">
                  <c:v>1242.0579989145001</c:v>
                </c:pt>
                <c:pt idx="140">
                  <c:v>1261.6922299003102</c:v>
                </c:pt>
                <c:pt idx="141">
                  <c:v>1257.1142662575401</c:v>
                </c:pt>
                <c:pt idx="142">
                  <c:v>1267.66550258495</c:v>
                </c:pt>
                <c:pt idx="143">
                  <c:v>1264.03876683007</c:v>
                </c:pt>
                <c:pt idx="144">
                  <c:v>1257.56876594251</c:v>
                </c:pt>
                <c:pt idx="145">
                  <c:v>1260.9610891218699</c:v>
                </c:pt>
                <c:pt idx="146">
                  <c:v>1214.1541501746801</c:v>
                </c:pt>
                <c:pt idx="147">
                  <c:v>1280.1483116581801</c:v>
                </c:pt>
                <c:pt idx="148">
                  <c:v>1238.2882163695999</c:v>
                </c:pt>
                <c:pt idx="149">
                  <c:v>1253.96006173056</c:v>
                </c:pt>
                <c:pt idx="150">
                  <c:v>1274.1842490698798</c:v>
                </c:pt>
                <c:pt idx="151">
                  <c:v>1278.9706102387499</c:v>
                </c:pt>
                <c:pt idx="152">
                  <c:v>1221.09344965426</c:v>
                </c:pt>
                <c:pt idx="153">
                  <c:v>1193.17369457724</c:v>
                </c:pt>
                <c:pt idx="154">
                  <c:v>1260.61695892394</c:v>
                </c:pt>
                <c:pt idx="155">
                  <c:v>1265.48958089846</c:v>
                </c:pt>
                <c:pt idx="156">
                  <c:v>1279.17290427589</c:v>
                </c:pt>
                <c:pt idx="157">
                  <c:v>1175.2683775440698</c:v>
                </c:pt>
                <c:pt idx="158">
                  <c:v>1218.4935730782399</c:v>
                </c:pt>
                <c:pt idx="159">
                  <c:v>1216.2010383608999</c:v>
                </c:pt>
                <c:pt idx="160">
                  <c:v>1233.89880492462</c:v>
                </c:pt>
                <c:pt idx="161">
                  <c:v>1239.90485523915</c:v>
                </c:pt>
                <c:pt idx="162">
                  <c:v>1240.2716998901399</c:v>
                </c:pt>
                <c:pt idx="163">
                  <c:v>1228.01672945121</c:v>
                </c:pt>
                <c:pt idx="164">
                  <c:v>1273.14226629276</c:v>
                </c:pt>
                <c:pt idx="165">
                  <c:v>1286.5434180638899</c:v>
                </c:pt>
                <c:pt idx="166">
                  <c:v>1209.6540072784201</c:v>
                </c:pt>
                <c:pt idx="167">
                  <c:v>1283.6833079611399</c:v>
                </c:pt>
                <c:pt idx="168">
                  <c:v>1357.2311256973999</c:v>
                </c:pt>
                <c:pt idx="169">
                  <c:v>1379.3288445056801</c:v>
                </c:pt>
                <c:pt idx="170">
                  <c:v>1395.2801643161999</c:v>
                </c:pt>
                <c:pt idx="171">
                  <c:v>1304.0323784294001</c:v>
                </c:pt>
                <c:pt idx="172">
                  <c:v>1315.18625388493</c:v>
                </c:pt>
                <c:pt idx="173">
                  <c:v>1195.9757121136399</c:v>
                </c:pt>
                <c:pt idx="174">
                  <c:v>1106.53735174331</c:v>
                </c:pt>
                <c:pt idx="175">
                  <c:v>1209.0335897033201</c:v>
                </c:pt>
                <c:pt idx="176">
                  <c:v>1237.96883536676</c:v>
                </c:pt>
                <c:pt idx="177">
                  <c:v>1278.4206312615499</c:v>
                </c:pt>
                <c:pt idx="178">
                  <c:v>1358.8824670522999</c:v>
                </c:pt>
                <c:pt idx="179">
                  <c:v>1308.3415176953499</c:v>
                </c:pt>
                <c:pt idx="180">
                  <c:v>1299.7328519855698</c:v>
                </c:pt>
                <c:pt idx="181">
                  <c:v>1357.9190555805299</c:v>
                </c:pt>
                <c:pt idx="182">
                  <c:v>1341.6126809237401</c:v>
                </c:pt>
                <c:pt idx="183">
                  <c:v>1344.4780446919999</c:v>
                </c:pt>
                <c:pt idx="184">
                  <c:v>1351.7067270825401</c:v>
                </c:pt>
                <c:pt idx="185">
                  <c:v>1306.5795409735399</c:v>
                </c:pt>
                <c:pt idx="186">
                  <c:v>1431.7100814318499</c:v>
                </c:pt>
                <c:pt idx="187">
                  <c:v>1446.3220882548901</c:v>
                </c:pt>
                <c:pt idx="188">
                  <c:v>1373.84958027056</c:v>
                </c:pt>
                <c:pt idx="189">
                  <c:v>1298.34074202947</c:v>
                </c:pt>
                <c:pt idx="190">
                  <c:v>1369.7995940440398</c:v>
                </c:pt>
                <c:pt idx="191">
                  <c:v>1350.9088454902301</c:v>
                </c:pt>
                <c:pt idx="192">
                  <c:v>1380.9865626148701</c:v>
                </c:pt>
                <c:pt idx="193">
                  <c:v>1365.40986878641</c:v>
                </c:pt>
                <c:pt idx="194">
                  <c:v>1413.8868962903698</c:v>
                </c:pt>
                <c:pt idx="195">
                  <c:v>1381.4850490026399</c:v>
                </c:pt>
                <c:pt idx="196">
                  <c:v>1364.4016737249099</c:v>
                </c:pt>
                <c:pt idx="197">
                  <c:v>1410.7915524044502</c:v>
                </c:pt>
                <c:pt idx="198">
                  <c:v>1389.1142159584899</c:v>
                </c:pt>
                <c:pt idx="199">
                  <c:v>1422.73650259193</c:v>
                </c:pt>
                <c:pt idx="200">
                  <c:v>1428.50575794921</c:v>
                </c:pt>
                <c:pt idx="201">
                  <c:v>1419.3857782560699</c:v>
                </c:pt>
                <c:pt idx="202">
                  <c:v>1425.9926857701601</c:v>
                </c:pt>
                <c:pt idx="203">
                  <c:v>1397.6453877151798</c:v>
                </c:pt>
                <c:pt idx="204">
                  <c:v>1359.3350642669</c:v>
                </c:pt>
                <c:pt idx="205">
                  <c:v>1315.73609350734</c:v>
                </c:pt>
                <c:pt idx="206">
                  <c:v>1351.03112443653</c:v>
                </c:pt>
                <c:pt idx="207">
                  <c:v>1396.51529812322</c:v>
                </c:pt>
                <c:pt idx="208">
                  <c:v>1366.9544961469301</c:v>
                </c:pt>
                <c:pt idx="209">
                  <c:v>1387.36084016016</c:v>
                </c:pt>
                <c:pt idx="210">
                  <c:v>1412.6400614214301</c:v>
                </c:pt>
                <c:pt idx="211">
                  <c:v>1388.47130269843</c:v>
                </c:pt>
                <c:pt idx="212">
                  <c:v>1410.81700771845</c:v>
                </c:pt>
                <c:pt idx="213">
                  <c:v>1358.0867121917299</c:v>
                </c:pt>
                <c:pt idx="214">
                  <c:v>1334.71572577131</c:v>
                </c:pt>
                <c:pt idx="215">
                  <c:v>1274.4594865623599</c:v>
                </c:pt>
                <c:pt idx="216">
                  <c:v>1272.92308027697</c:v>
                </c:pt>
                <c:pt idx="217">
                  <c:v>1325.7625949020999</c:v>
                </c:pt>
                <c:pt idx="218">
                  <c:v>1294.2683295043901</c:v>
                </c:pt>
                <c:pt idx="219">
                  <c:v>1342.65163986433</c:v>
                </c:pt>
                <c:pt idx="220">
                  <c:v>1302.31743135327</c:v>
                </c:pt>
                <c:pt idx="221">
                  <c:v>1305.68420960505</c:v>
                </c:pt>
                <c:pt idx="222">
                  <c:v>1260.90511322614</c:v>
                </c:pt>
                <c:pt idx="223">
                  <c:v>1252.08271742695</c:v>
                </c:pt>
                <c:pt idx="224">
                  <c:v>1270.2181511869899</c:v>
                </c:pt>
                <c:pt idx="225">
                  <c:v>1279.6035532217902</c:v>
                </c:pt>
                <c:pt idx="226">
                  <c:v>1286.04007001419</c:v>
                </c:pt>
                <c:pt idx="227">
                  <c:v>1250.9961544498899</c:v>
                </c:pt>
                <c:pt idx="228">
                  <c:v>1233.1345986152301</c:v>
                </c:pt>
                <c:pt idx="229">
                  <c:v>1275.5365676066799</c:v>
                </c:pt>
                <c:pt idx="230">
                  <c:v>1204.76549120148</c:v>
                </c:pt>
                <c:pt idx="231">
                  <c:v>1240.1671680705699</c:v>
                </c:pt>
                <c:pt idx="232">
                  <c:v>1274.4149662533898</c:v>
                </c:pt>
                <c:pt idx="233">
                  <c:v>1231.1550907758701</c:v>
                </c:pt>
                <c:pt idx="234">
                  <c:v>1241.3146941871598</c:v>
                </c:pt>
                <c:pt idx="235">
                  <c:v>1293.1096897399898</c:v>
                </c:pt>
                <c:pt idx="236">
                  <c:v>1231.0940459373701</c:v>
                </c:pt>
                <c:pt idx="237">
                  <c:v>1230.3604614659901</c:v>
                </c:pt>
                <c:pt idx="238">
                  <c:v>1274.25894243008</c:v>
                </c:pt>
                <c:pt idx="239">
                  <c:v>1212.73950539774</c:v>
                </c:pt>
                <c:pt idx="240">
                  <c:v>1228.7546913967701</c:v>
                </c:pt>
                <c:pt idx="241">
                  <c:v>1231.9261802613</c:v>
                </c:pt>
                <c:pt idx="242">
                  <c:v>1272.89562078166</c:v>
                </c:pt>
                <c:pt idx="243">
                  <c:v>1233.5081881441699</c:v>
                </c:pt>
                <c:pt idx="244">
                  <c:v>1193.20183470236</c:v>
                </c:pt>
                <c:pt idx="245">
                  <c:v>1164.7617110517899</c:v>
                </c:pt>
                <c:pt idx="246">
                  <c:v>1182.3302071888099</c:v>
                </c:pt>
                <c:pt idx="247">
                  <c:v>1197.73668445564</c:v>
                </c:pt>
                <c:pt idx="248">
                  <c:v>1168.4017815099601</c:v>
                </c:pt>
                <c:pt idx="249">
                  <c:v>1148.1371056349401</c:v>
                </c:pt>
                <c:pt idx="250">
                  <c:v>1216.42998657112</c:v>
                </c:pt>
                <c:pt idx="251">
                  <c:v>1219.8675334415002</c:v>
                </c:pt>
                <c:pt idx="252">
                  <c:v>1209.3571740002101</c:v>
                </c:pt>
                <c:pt idx="253">
                  <c:v>1214.82353633657</c:v>
                </c:pt>
                <c:pt idx="254">
                  <c:v>1246.89773539824</c:v>
                </c:pt>
                <c:pt idx="255">
                  <c:v>1223.6197047385299</c:v>
                </c:pt>
                <c:pt idx="256">
                  <c:v>1202.0931085299399</c:v>
                </c:pt>
                <c:pt idx="257">
                  <c:v>1219.4713414953501</c:v>
                </c:pt>
                <c:pt idx="258">
                  <c:v>1195.1408073039599</c:v>
                </c:pt>
                <c:pt idx="259">
                  <c:v>1190.6890467221699</c:v>
                </c:pt>
                <c:pt idx="260">
                  <c:v>1222.48231570136</c:v>
                </c:pt>
                <c:pt idx="261">
                  <c:v>1270.80481870982</c:v>
                </c:pt>
                <c:pt idx="262">
                  <c:v>1247.7064694186799</c:v>
                </c:pt>
                <c:pt idx="263">
                  <c:v>1231.3945612933201</c:v>
                </c:pt>
                <c:pt idx="264">
                  <c:v>1254.8761706691901</c:v>
                </c:pt>
                <c:pt idx="265">
                  <c:v>1233.5577791729499</c:v>
                </c:pt>
                <c:pt idx="266">
                  <c:v>1223.7794433108202</c:v>
                </c:pt>
                <c:pt idx="267">
                  <c:v>1261.6541620886101</c:v>
                </c:pt>
                <c:pt idx="268">
                  <c:v>1226.1192512949401</c:v>
                </c:pt>
                <c:pt idx="269">
                  <c:v>1234.8946572141699</c:v>
                </c:pt>
                <c:pt idx="270">
                  <c:v>1215.3467537400302</c:v>
                </c:pt>
                <c:pt idx="271">
                  <c:v>1172.1151989779698</c:v>
                </c:pt>
                <c:pt idx="272">
                  <c:v>1202.8746892259101</c:v>
                </c:pt>
                <c:pt idx="273">
                  <c:v>1173.69614849555</c:v>
                </c:pt>
                <c:pt idx="274">
                  <c:v>1171.2898632377201</c:v>
                </c:pt>
                <c:pt idx="275">
                  <c:v>1204.10132602057</c:v>
                </c:pt>
                <c:pt idx="276">
                  <c:v>1207.0143247246599</c:v>
                </c:pt>
                <c:pt idx="277">
                  <c:v>1227.2339989470499</c:v>
                </c:pt>
                <c:pt idx="278">
                  <c:v>1208.85825551926</c:v>
                </c:pt>
                <c:pt idx="279">
                  <c:v>1216.7118605195101</c:v>
                </c:pt>
                <c:pt idx="280">
                  <c:v>1244.8615297743202</c:v>
                </c:pt>
                <c:pt idx="281">
                  <c:v>1160.5121810308501</c:v>
                </c:pt>
                <c:pt idx="282">
                  <c:v>1141.4259956829501</c:v>
                </c:pt>
                <c:pt idx="283">
                  <c:v>1119.5792968200101</c:v>
                </c:pt>
                <c:pt idx="284">
                  <c:v>1179.9945536283601</c:v>
                </c:pt>
                <c:pt idx="285">
                  <c:v>1200.67096337783</c:v>
                </c:pt>
                <c:pt idx="286">
                  <c:v>1169.89583959329</c:v>
                </c:pt>
                <c:pt idx="287">
                  <c:v>1184.0203103151</c:v>
                </c:pt>
                <c:pt idx="288">
                  <c:v>1167.5468534919598</c:v>
                </c:pt>
                <c:pt idx="289">
                  <c:v>1145.4625224008898</c:v>
                </c:pt>
                <c:pt idx="290">
                  <c:v>1140.03642573305</c:v>
                </c:pt>
                <c:pt idx="291">
                  <c:v>1137.2156195621101</c:v>
                </c:pt>
                <c:pt idx="292">
                  <c:v>1216.6662294712901</c:v>
                </c:pt>
                <c:pt idx="293">
                  <c:v>1216.5733795634901</c:v>
                </c:pt>
                <c:pt idx="294">
                  <c:v>1211.64380264744</c:v>
                </c:pt>
                <c:pt idx="295">
                  <c:v>1246.95667870034</c:v>
                </c:pt>
                <c:pt idx="296">
                  <c:v>1238.0589651023099</c:v>
                </c:pt>
                <c:pt idx="297">
                  <c:v>1102.3194568889301</c:v>
                </c:pt>
                <c:pt idx="298">
                  <c:v>1093.2008607151299</c:v>
                </c:pt>
                <c:pt idx="299">
                  <c:v>1159.43821586643</c:v>
                </c:pt>
                <c:pt idx="300">
                  <c:v>1236.8381990054299</c:v>
                </c:pt>
                <c:pt idx="301">
                  <c:v>1222.0557319531299</c:v>
                </c:pt>
                <c:pt idx="302">
                  <c:v>1202.4059661026799</c:v>
                </c:pt>
                <c:pt idx="303">
                  <c:v>1200.9901135226798</c:v>
                </c:pt>
                <c:pt idx="304">
                  <c:v>1206.9254142925201</c:v>
                </c:pt>
                <c:pt idx="305">
                  <c:v>1218.80360720867</c:v>
                </c:pt>
                <c:pt idx="306">
                  <c:v>1206.02667784185</c:v>
                </c:pt>
                <c:pt idx="307">
                  <c:v>1203.4214304273701</c:v>
                </c:pt>
                <c:pt idx="308">
                  <c:v>1172.0200609958799</c:v>
                </c:pt>
                <c:pt idx="309">
                  <c:v>1230.1838063344301</c:v>
                </c:pt>
                <c:pt idx="310">
                  <c:v>1205.0604820154999</c:v>
                </c:pt>
                <c:pt idx="311">
                  <c:v>1180.53986837506</c:v>
                </c:pt>
                <c:pt idx="312">
                  <c:v>1217.9559856297501</c:v>
                </c:pt>
                <c:pt idx="313">
                  <c:v>1180.36906009977</c:v>
                </c:pt>
                <c:pt idx="314">
                  <c:v>1170.9207747959499</c:v>
                </c:pt>
                <c:pt idx="315">
                  <c:v>1078.27378684415</c:v>
                </c:pt>
                <c:pt idx="316">
                  <c:v>1173.3868746158</c:v>
                </c:pt>
                <c:pt idx="317">
                  <c:v>1178.9007263503299</c:v>
                </c:pt>
                <c:pt idx="318">
                  <c:v>1235.3090495112899</c:v>
                </c:pt>
                <c:pt idx="319">
                  <c:v>1286.4735983646201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'240806B001'!$A$2:$A$321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'240806B001'!$P$2:$P$321</c:f>
              <c:numCache>
                <c:formatCode>General</c:formatCode>
                <c:ptCount val="320"/>
                <c:pt idx="0">
                  <c:v>82.712843167180665</c:v>
                </c:pt>
                <c:pt idx="1">
                  <c:v>74.97622513875362</c:v>
                </c:pt>
                <c:pt idx="2">
                  <c:v>97.798978601515813</c:v>
                </c:pt>
                <c:pt idx="3">
                  <c:v>85.678723031238107</c:v>
                </c:pt>
                <c:pt idx="4">
                  <c:v>60.468414017171398</c:v>
                </c:pt>
                <c:pt idx="5">
                  <c:v>67.340336592185636</c:v>
                </c:pt>
                <c:pt idx="6">
                  <c:v>88.950252543079799</c:v>
                </c:pt>
                <c:pt idx="7">
                  <c:v>-1.2017265892783511</c:v>
                </c:pt>
                <c:pt idx="8">
                  <c:v>22.874947131213787</c:v>
                </c:pt>
                <c:pt idx="9">
                  <c:v>-8.6870873191715958</c:v>
                </c:pt>
                <c:pt idx="10">
                  <c:v>-5.9389911236275195</c:v>
                </c:pt>
                <c:pt idx="11">
                  <c:v>-8.4259876866955157</c:v>
                </c:pt>
                <c:pt idx="12">
                  <c:v>-8.4493109424218193</c:v>
                </c:pt>
                <c:pt idx="13">
                  <c:v>-11.755390425806509</c:v>
                </c:pt>
                <c:pt idx="14">
                  <c:v>-14.371414229005561</c:v>
                </c:pt>
                <c:pt idx="15">
                  <c:v>-11.620754812663462</c:v>
                </c:pt>
                <c:pt idx="16">
                  <c:v>-12.134116873317078</c:v>
                </c:pt>
                <c:pt idx="17">
                  <c:v>-17.114686791067452</c:v>
                </c:pt>
                <c:pt idx="18">
                  <c:v>-16.719577392364666</c:v>
                </c:pt>
                <c:pt idx="19">
                  <c:v>-16.966498746610551</c:v>
                </c:pt>
                <c:pt idx="20">
                  <c:v>-17.47991965220233</c:v>
                </c:pt>
                <c:pt idx="21">
                  <c:v>-22.63802551960752</c:v>
                </c:pt>
                <c:pt idx="22">
                  <c:v>-23.4864668460187</c:v>
                </c:pt>
                <c:pt idx="23">
                  <c:v>-25.704419320189189</c:v>
                </c:pt>
                <c:pt idx="24">
                  <c:v>-22.732631487119537</c:v>
                </c:pt>
                <c:pt idx="25">
                  <c:v>-22.772210728647874</c:v>
                </c:pt>
                <c:pt idx="26">
                  <c:v>-25.193478170650806</c:v>
                </c:pt>
                <c:pt idx="27">
                  <c:v>-23.520544579673665</c:v>
                </c:pt>
                <c:pt idx="28">
                  <c:v>-22.923320440100056</c:v>
                </c:pt>
                <c:pt idx="29">
                  <c:v>-21.723858579997117</c:v>
                </c:pt>
                <c:pt idx="30">
                  <c:v>-17.394762838162087</c:v>
                </c:pt>
                <c:pt idx="31">
                  <c:v>-20.151101490563118</c:v>
                </c:pt>
                <c:pt idx="32">
                  <c:v>-13.420743578228327</c:v>
                </c:pt>
                <c:pt idx="33">
                  <c:v>-11.40931448363642</c:v>
                </c:pt>
                <c:pt idx="34">
                  <c:v>-12.463228185371745</c:v>
                </c:pt>
                <c:pt idx="35">
                  <c:v>-12.197432774829782</c:v>
                </c:pt>
                <c:pt idx="36">
                  <c:v>-6.3428834153307285</c:v>
                </c:pt>
                <c:pt idx="37">
                  <c:v>-8.1185503098371434</c:v>
                </c:pt>
                <c:pt idx="38">
                  <c:v>-3.7723006875300786</c:v>
                </c:pt>
                <c:pt idx="39">
                  <c:v>-6.3916515003013537</c:v>
                </c:pt>
                <c:pt idx="40">
                  <c:v>-3.4554321182964234</c:v>
                </c:pt>
                <c:pt idx="41">
                  <c:v>-6.675005279068488</c:v>
                </c:pt>
                <c:pt idx="42">
                  <c:v>-4.4227920050832745</c:v>
                </c:pt>
                <c:pt idx="43">
                  <c:v>-3.5179049797259672</c:v>
                </c:pt>
                <c:pt idx="44">
                  <c:v>-7.527013990270512</c:v>
                </c:pt>
                <c:pt idx="45">
                  <c:v>-6.8988496880330068</c:v>
                </c:pt>
                <c:pt idx="46">
                  <c:v>-6.1403064656469812</c:v>
                </c:pt>
                <c:pt idx="47">
                  <c:v>-7.1441527396155751</c:v>
                </c:pt>
                <c:pt idx="48">
                  <c:v>-7.164265688400798</c:v>
                </c:pt>
                <c:pt idx="49">
                  <c:v>-7.9377341957739409</c:v>
                </c:pt>
                <c:pt idx="50">
                  <c:v>-7.3107519110488033</c:v>
                </c:pt>
                <c:pt idx="51">
                  <c:v>-6.0911655032223617</c:v>
                </c:pt>
                <c:pt idx="52">
                  <c:v>-9.0247543493922961</c:v>
                </c:pt>
                <c:pt idx="53">
                  <c:v>-11.58631725635812</c:v>
                </c:pt>
                <c:pt idx="54">
                  <c:v>-9.9321016194598943</c:v>
                </c:pt>
                <c:pt idx="55">
                  <c:v>-8.8004863368672712</c:v>
                </c:pt>
                <c:pt idx="56">
                  <c:v>-7.198997453309719</c:v>
                </c:pt>
                <c:pt idx="57">
                  <c:v>-5.4073635561163362</c:v>
                </c:pt>
                <c:pt idx="58">
                  <c:v>-6.5556479743916487</c:v>
                </c:pt>
                <c:pt idx="59">
                  <c:v>-4.3495321937787432</c:v>
                </c:pt>
                <c:pt idx="60">
                  <c:v>-4.0684297565527414</c:v>
                </c:pt>
                <c:pt idx="61">
                  <c:v>-0.89130330963200477</c:v>
                </c:pt>
                <c:pt idx="62">
                  <c:v>0.46633308183790312</c:v>
                </c:pt>
                <c:pt idx="63">
                  <c:v>7.6351747084338353</c:v>
                </c:pt>
                <c:pt idx="64">
                  <c:v>3.4127593257883899</c:v>
                </c:pt>
                <c:pt idx="65">
                  <c:v>5.239364376846873</c:v>
                </c:pt>
                <c:pt idx="66">
                  <c:v>1.9062586331103766</c:v>
                </c:pt>
                <c:pt idx="67">
                  <c:v>1.1893386497649345</c:v>
                </c:pt>
                <c:pt idx="68">
                  <c:v>1.3795590369937496</c:v>
                </c:pt>
                <c:pt idx="69">
                  <c:v>3.0721420636455377</c:v>
                </c:pt>
                <c:pt idx="70">
                  <c:v>-0.58730649531222923</c:v>
                </c:pt>
                <c:pt idx="71">
                  <c:v>-0.69353889566819016</c:v>
                </c:pt>
                <c:pt idx="72">
                  <c:v>-0.37381120443522475</c:v>
                </c:pt>
                <c:pt idx="73">
                  <c:v>-0.70573452858862307</c:v>
                </c:pt>
                <c:pt idx="74">
                  <c:v>-2.0016685480959815</c:v>
                </c:pt>
                <c:pt idx="75">
                  <c:v>-1.899687863457284</c:v>
                </c:pt>
                <c:pt idx="76">
                  <c:v>-3.6252344790589635</c:v>
                </c:pt>
                <c:pt idx="77">
                  <c:v>-4.0991707302203375</c:v>
                </c:pt>
                <c:pt idx="78">
                  <c:v>-0.76205586287752569</c:v>
                </c:pt>
                <c:pt idx="79">
                  <c:v>-4.5929882025223545</c:v>
                </c:pt>
                <c:pt idx="80">
                  <c:v>-12.33776662741975</c:v>
                </c:pt>
                <c:pt idx="81">
                  <c:v>-16.679808547253259</c:v>
                </c:pt>
                <c:pt idx="82">
                  <c:v>-19.580765391848935</c:v>
                </c:pt>
                <c:pt idx="83">
                  <c:v>-21.08733250118566</c:v>
                </c:pt>
                <c:pt idx="84">
                  <c:v>-23.471591052848755</c:v>
                </c:pt>
                <c:pt idx="85">
                  <c:v>-24.21300143357578</c:v>
                </c:pt>
                <c:pt idx="86">
                  <c:v>-25.635881265510736</c:v>
                </c:pt>
                <c:pt idx="87">
                  <c:v>-27.29545965886031</c:v>
                </c:pt>
                <c:pt idx="88">
                  <c:v>-28.074027643947975</c:v>
                </c:pt>
                <c:pt idx="89">
                  <c:v>-28.538905802865962</c:v>
                </c:pt>
                <c:pt idx="90">
                  <c:v>-28.331635767335499</c:v>
                </c:pt>
                <c:pt idx="91">
                  <c:v>-30.046058085315241</c:v>
                </c:pt>
                <c:pt idx="92">
                  <c:v>-30.171225085313473</c:v>
                </c:pt>
                <c:pt idx="93">
                  <c:v>-30.588887985462147</c:v>
                </c:pt>
                <c:pt idx="94">
                  <c:v>-30.144679508522991</c:v>
                </c:pt>
                <c:pt idx="95">
                  <c:v>-31.25461555593192</c:v>
                </c:pt>
                <c:pt idx="96">
                  <c:v>-31.019815036395908</c:v>
                </c:pt>
                <c:pt idx="97">
                  <c:v>-30.930763804259996</c:v>
                </c:pt>
                <c:pt idx="98">
                  <c:v>-31.236674329468649</c:v>
                </c:pt>
                <c:pt idx="99">
                  <c:v>-30.478639116427331</c:v>
                </c:pt>
                <c:pt idx="100">
                  <c:v>-31.176227971970345</c:v>
                </c:pt>
                <c:pt idx="101">
                  <c:v>-31.2370850361187</c:v>
                </c:pt>
                <c:pt idx="102">
                  <c:v>-31.09540080978288</c:v>
                </c:pt>
                <c:pt idx="103">
                  <c:v>-29.572836013467512</c:v>
                </c:pt>
                <c:pt idx="104">
                  <c:v>-30.221305043623552</c:v>
                </c:pt>
                <c:pt idx="105">
                  <c:v>-29.429769294239687</c:v>
                </c:pt>
                <c:pt idx="106">
                  <c:v>-29.887237696793338</c:v>
                </c:pt>
                <c:pt idx="107">
                  <c:v>-29.261065418425421</c:v>
                </c:pt>
                <c:pt idx="108">
                  <c:v>-28.779797080277071</c:v>
                </c:pt>
                <c:pt idx="109">
                  <c:v>-27.94275562796027</c:v>
                </c:pt>
                <c:pt idx="110">
                  <c:v>-26.730450880421174</c:v>
                </c:pt>
                <c:pt idx="111">
                  <c:v>-26.885060973354584</c:v>
                </c:pt>
                <c:pt idx="112">
                  <c:v>-28.080955628158421</c:v>
                </c:pt>
                <c:pt idx="113">
                  <c:v>-27.874311647131183</c:v>
                </c:pt>
                <c:pt idx="114">
                  <c:v>-27.467209012028714</c:v>
                </c:pt>
                <c:pt idx="115">
                  <c:v>-27.388133634238436</c:v>
                </c:pt>
                <c:pt idx="116">
                  <c:v>-26.8951258863442</c:v>
                </c:pt>
                <c:pt idx="117">
                  <c:v>-25.865705034008961</c:v>
                </c:pt>
                <c:pt idx="118">
                  <c:v>-25.117362593754834</c:v>
                </c:pt>
                <c:pt idx="119">
                  <c:v>-25.47031201855421</c:v>
                </c:pt>
                <c:pt idx="120">
                  <c:v>-25.292957023372548</c:v>
                </c:pt>
                <c:pt idx="121">
                  <c:v>-25.234726355535287</c:v>
                </c:pt>
                <c:pt idx="122">
                  <c:v>-24.489994729389739</c:v>
                </c:pt>
                <c:pt idx="123">
                  <c:v>-24.870407741391393</c:v>
                </c:pt>
                <c:pt idx="124">
                  <c:v>-24.602301152246397</c:v>
                </c:pt>
                <c:pt idx="125">
                  <c:v>-24.906409261159197</c:v>
                </c:pt>
                <c:pt idx="126">
                  <c:v>-24.719048468023946</c:v>
                </c:pt>
                <c:pt idx="127">
                  <c:v>-24.383221941015659</c:v>
                </c:pt>
                <c:pt idx="128">
                  <c:v>-24.51921135820983</c:v>
                </c:pt>
                <c:pt idx="129">
                  <c:v>-23.815765193657903</c:v>
                </c:pt>
                <c:pt idx="130">
                  <c:v>-24.646452627477281</c:v>
                </c:pt>
                <c:pt idx="131">
                  <c:v>-23.986884785356217</c:v>
                </c:pt>
                <c:pt idx="132">
                  <c:v>-23.26864443957729</c:v>
                </c:pt>
                <c:pt idx="133">
                  <c:v>-22.700168030483763</c:v>
                </c:pt>
                <c:pt idx="134">
                  <c:v>-22.078796804434923</c:v>
                </c:pt>
                <c:pt idx="135">
                  <c:v>-22.444920045255166</c:v>
                </c:pt>
                <c:pt idx="136">
                  <c:v>-22.556963260077683</c:v>
                </c:pt>
                <c:pt idx="137">
                  <c:v>-22.058595568858287</c:v>
                </c:pt>
                <c:pt idx="138">
                  <c:v>-21.230502221344214</c:v>
                </c:pt>
                <c:pt idx="139">
                  <c:v>-21.712756742422922</c:v>
                </c:pt>
                <c:pt idx="140">
                  <c:v>-21.550127984591153</c:v>
                </c:pt>
                <c:pt idx="141">
                  <c:v>-21.277715848851866</c:v>
                </c:pt>
                <c:pt idx="142">
                  <c:v>-21.893334077162304</c:v>
                </c:pt>
                <c:pt idx="143">
                  <c:v>-21.136121958253675</c:v>
                </c:pt>
                <c:pt idx="144">
                  <c:v>-22.266555397305972</c:v>
                </c:pt>
                <c:pt idx="145">
                  <c:v>-20.852121372693802</c:v>
                </c:pt>
                <c:pt idx="146">
                  <c:v>-20.903601100910901</c:v>
                </c:pt>
                <c:pt idx="147">
                  <c:v>-20.505633983732547</c:v>
                </c:pt>
                <c:pt idx="148">
                  <c:v>-19.044588643736972</c:v>
                </c:pt>
                <c:pt idx="149">
                  <c:v>-20.242540285676746</c:v>
                </c:pt>
                <c:pt idx="150">
                  <c:v>-21.108796404703885</c:v>
                </c:pt>
                <c:pt idx="151">
                  <c:v>-19.348051983932475</c:v>
                </c:pt>
                <c:pt idx="152">
                  <c:v>-20.622205117565212</c:v>
                </c:pt>
                <c:pt idx="153">
                  <c:v>-20.776583908701323</c:v>
                </c:pt>
                <c:pt idx="154">
                  <c:v>-21.652241388912731</c:v>
                </c:pt>
                <c:pt idx="155">
                  <c:v>-21.667449264067191</c:v>
                </c:pt>
                <c:pt idx="156">
                  <c:v>-21.939911770751181</c:v>
                </c:pt>
                <c:pt idx="157">
                  <c:v>-21.234915753186865</c:v>
                </c:pt>
                <c:pt idx="158">
                  <c:v>-20.746365842550514</c:v>
                </c:pt>
                <c:pt idx="159">
                  <c:v>-21.443929769093792</c:v>
                </c:pt>
                <c:pt idx="160">
                  <c:v>-21.814953884275294</c:v>
                </c:pt>
                <c:pt idx="161">
                  <c:v>2.1416852765133103</c:v>
                </c:pt>
                <c:pt idx="162">
                  <c:v>20.203950394602547</c:v>
                </c:pt>
                <c:pt idx="163">
                  <c:v>34.391877816994736</c:v>
                </c:pt>
                <c:pt idx="164">
                  <c:v>55.764731961734284</c:v>
                </c:pt>
                <c:pt idx="165">
                  <c:v>70.441528592815374</c:v>
                </c:pt>
                <c:pt idx="166">
                  <c:v>74.376254521894197</c:v>
                </c:pt>
                <c:pt idx="167">
                  <c:v>82.903502106037834</c:v>
                </c:pt>
                <c:pt idx="168">
                  <c:v>88.79091374779567</c:v>
                </c:pt>
                <c:pt idx="169">
                  <c:v>91.957262676511178</c:v>
                </c:pt>
                <c:pt idx="170">
                  <c:v>94.207544978844908</c:v>
                </c:pt>
                <c:pt idx="171">
                  <c:v>93.428285537193219</c:v>
                </c:pt>
                <c:pt idx="172">
                  <c:v>89.025995626085731</c:v>
                </c:pt>
                <c:pt idx="173">
                  <c:v>90.345533802186637</c:v>
                </c:pt>
                <c:pt idx="174">
                  <c:v>94.582618971165715</c:v>
                </c:pt>
                <c:pt idx="175">
                  <c:v>89.17048883325765</c:v>
                </c:pt>
                <c:pt idx="176">
                  <c:v>76.465484562677759</c:v>
                </c:pt>
                <c:pt idx="177">
                  <c:v>74.232212118785725</c:v>
                </c:pt>
                <c:pt idx="178">
                  <c:v>73.9394990772483</c:v>
                </c:pt>
                <c:pt idx="179">
                  <c:v>64.928029541850506</c:v>
                </c:pt>
                <c:pt idx="180">
                  <c:v>63.192158371730422</c:v>
                </c:pt>
                <c:pt idx="181">
                  <c:v>59.720695530856815</c:v>
                </c:pt>
                <c:pt idx="182">
                  <c:v>59.008718316399943</c:v>
                </c:pt>
                <c:pt idx="183">
                  <c:v>55.874667969116757</c:v>
                </c:pt>
                <c:pt idx="184">
                  <c:v>58.954524361108817</c:v>
                </c:pt>
                <c:pt idx="185">
                  <c:v>57.123693766172693</c:v>
                </c:pt>
                <c:pt idx="186">
                  <c:v>54.052695795304615</c:v>
                </c:pt>
                <c:pt idx="187">
                  <c:v>53.87416384382702</c:v>
                </c:pt>
                <c:pt idx="188">
                  <c:v>53.043644395168911</c:v>
                </c:pt>
                <c:pt idx="189">
                  <c:v>51.869992234874452</c:v>
                </c:pt>
                <c:pt idx="190">
                  <c:v>49.827252403997832</c:v>
                </c:pt>
                <c:pt idx="191">
                  <c:v>58.205987942151971</c:v>
                </c:pt>
                <c:pt idx="192">
                  <c:v>43.693440506254817</c:v>
                </c:pt>
                <c:pt idx="193">
                  <c:v>41.710596248510321</c:v>
                </c:pt>
                <c:pt idx="194">
                  <c:v>42.67872736517247</c:v>
                </c:pt>
                <c:pt idx="195">
                  <c:v>41.159476902162453</c:v>
                </c:pt>
                <c:pt idx="196">
                  <c:v>40.007332107089766</c:v>
                </c:pt>
                <c:pt idx="197">
                  <c:v>39.402411464972445</c:v>
                </c:pt>
                <c:pt idx="198">
                  <c:v>35.546685948417853</c:v>
                </c:pt>
                <c:pt idx="199">
                  <c:v>31.497736495055999</c:v>
                </c:pt>
                <c:pt idx="200">
                  <c:v>31.628313248929256</c:v>
                </c:pt>
                <c:pt idx="201">
                  <c:v>27.997400415489153</c:v>
                </c:pt>
                <c:pt idx="202">
                  <c:v>26.499801568692526</c:v>
                </c:pt>
                <c:pt idx="203">
                  <c:v>24.950481488222675</c:v>
                </c:pt>
                <c:pt idx="204">
                  <c:v>24.618428132166603</c:v>
                </c:pt>
                <c:pt idx="205">
                  <c:v>32.459535567555285</c:v>
                </c:pt>
                <c:pt idx="206">
                  <c:v>24.841952894935652</c:v>
                </c:pt>
                <c:pt idx="207">
                  <c:v>24.39835755381997</c:v>
                </c:pt>
                <c:pt idx="208">
                  <c:v>24.066414422280239</c:v>
                </c:pt>
                <c:pt idx="209">
                  <c:v>25.743952241293975</c:v>
                </c:pt>
                <c:pt idx="210">
                  <c:v>22.861270870622917</c:v>
                </c:pt>
                <c:pt idx="211">
                  <c:v>25.220179320774953</c:v>
                </c:pt>
                <c:pt idx="212">
                  <c:v>26.441799688876905</c:v>
                </c:pt>
                <c:pt idx="213">
                  <c:v>33.113747367334213</c:v>
                </c:pt>
                <c:pt idx="214">
                  <c:v>36.160488689136614</c:v>
                </c:pt>
                <c:pt idx="215">
                  <c:v>32.038817947238371</c:v>
                </c:pt>
                <c:pt idx="216">
                  <c:v>31.462711050722959</c:v>
                </c:pt>
                <c:pt idx="217">
                  <c:v>27.914864535155704</c:v>
                </c:pt>
                <c:pt idx="218">
                  <c:v>27.173533073305578</c:v>
                </c:pt>
                <c:pt idx="219">
                  <c:v>34.015316350930505</c:v>
                </c:pt>
                <c:pt idx="220">
                  <c:v>30.855037188677532</c:v>
                </c:pt>
                <c:pt idx="221">
                  <c:v>32.752969643486864</c:v>
                </c:pt>
                <c:pt idx="222">
                  <c:v>29.02364523120346</c:v>
                </c:pt>
                <c:pt idx="223">
                  <c:v>28.828080932677576</c:v>
                </c:pt>
                <c:pt idx="224">
                  <c:v>29.138983374954481</c:v>
                </c:pt>
                <c:pt idx="225">
                  <c:v>32.282618601619319</c:v>
                </c:pt>
                <c:pt idx="226">
                  <c:v>33.237874299468338</c:v>
                </c:pt>
                <c:pt idx="227">
                  <c:v>30.930461850478252</c:v>
                </c:pt>
                <c:pt idx="228">
                  <c:v>31.902733416438434</c:v>
                </c:pt>
                <c:pt idx="229">
                  <c:v>33.34650160765959</c:v>
                </c:pt>
                <c:pt idx="230">
                  <c:v>30.332119253832818</c:v>
                </c:pt>
                <c:pt idx="231">
                  <c:v>32.909947587530588</c:v>
                </c:pt>
                <c:pt idx="232">
                  <c:v>38.987501299116659</c:v>
                </c:pt>
                <c:pt idx="233">
                  <c:v>37.167218949123253</c:v>
                </c:pt>
                <c:pt idx="234">
                  <c:v>37.470734390711954</c:v>
                </c:pt>
                <c:pt idx="235">
                  <c:v>40.572537672305465</c:v>
                </c:pt>
                <c:pt idx="236">
                  <c:v>38.970635801954138</c:v>
                </c:pt>
                <c:pt idx="237">
                  <c:v>36.347063345344161</c:v>
                </c:pt>
                <c:pt idx="238">
                  <c:v>39.542623337188658</c:v>
                </c:pt>
                <c:pt idx="239">
                  <c:v>39.534356638353373</c:v>
                </c:pt>
                <c:pt idx="240">
                  <c:v>39.508438047589429</c:v>
                </c:pt>
                <c:pt idx="241">
                  <c:v>41.041704337460558</c:v>
                </c:pt>
                <c:pt idx="242">
                  <c:v>42.406093431056632</c:v>
                </c:pt>
                <c:pt idx="243">
                  <c:v>40.380465196899031</c:v>
                </c:pt>
                <c:pt idx="244">
                  <c:v>38.94762776767152</c:v>
                </c:pt>
                <c:pt idx="245">
                  <c:v>40.126281550410667</c:v>
                </c:pt>
                <c:pt idx="246">
                  <c:v>36.381264711502226</c:v>
                </c:pt>
                <c:pt idx="247">
                  <c:v>38.652040024147553</c:v>
                </c:pt>
                <c:pt idx="248">
                  <c:v>38.451609648108665</c:v>
                </c:pt>
                <c:pt idx="249">
                  <c:v>35.366067117337963</c:v>
                </c:pt>
                <c:pt idx="250">
                  <c:v>37.116485807265612</c:v>
                </c:pt>
                <c:pt idx="251">
                  <c:v>35.643931056647887</c:v>
                </c:pt>
                <c:pt idx="252">
                  <c:v>35.237442102946495</c:v>
                </c:pt>
                <c:pt idx="253">
                  <c:v>33.362432808836353</c:v>
                </c:pt>
                <c:pt idx="254">
                  <c:v>34.692893114009266</c:v>
                </c:pt>
                <c:pt idx="255">
                  <c:v>33.957702455279751</c:v>
                </c:pt>
                <c:pt idx="256">
                  <c:v>31.654508832200946</c:v>
                </c:pt>
                <c:pt idx="257">
                  <c:v>32.15957959634175</c:v>
                </c:pt>
                <c:pt idx="258">
                  <c:v>29.651619700375388</c:v>
                </c:pt>
                <c:pt idx="259">
                  <c:v>28.32976654071755</c:v>
                </c:pt>
                <c:pt idx="260">
                  <c:v>28.779031993634831</c:v>
                </c:pt>
                <c:pt idx="261">
                  <c:v>32.714671091437289</c:v>
                </c:pt>
                <c:pt idx="262">
                  <c:v>29.556792123788838</c:v>
                </c:pt>
                <c:pt idx="263">
                  <c:v>26.685078165711623</c:v>
                </c:pt>
                <c:pt idx="264">
                  <c:v>24.764766658369677</c:v>
                </c:pt>
                <c:pt idx="265">
                  <c:v>23.669201607231965</c:v>
                </c:pt>
                <c:pt idx="266">
                  <c:v>19.991218377145746</c:v>
                </c:pt>
                <c:pt idx="267">
                  <c:v>21.465330229530583</c:v>
                </c:pt>
                <c:pt idx="268">
                  <c:v>18.06782012456571</c:v>
                </c:pt>
                <c:pt idx="269">
                  <c:v>16.566367176061664</c:v>
                </c:pt>
                <c:pt idx="270">
                  <c:v>13.04262930427983</c:v>
                </c:pt>
                <c:pt idx="271">
                  <c:v>14.863029766078508</c:v>
                </c:pt>
                <c:pt idx="272">
                  <c:v>13.639159097460137</c:v>
                </c:pt>
                <c:pt idx="273">
                  <c:v>13.535809175051581</c:v>
                </c:pt>
                <c:pt idx="274">
                  <c:v>13.319669544393934</c:v>
                </c:pt>
                <c:pt idx="275">
                  <c:v>14.518030984354255</c:v>
                </c:pt>
                <c:pt idx="276">
                  <c:v>15.009818342365614</c:v>
                </c:pt>
                <c:pt idx="277">
                  <c:v>17.430562508609931</c:v>
                </c:pt>
                <c:pt idx="278">
                  <c:v>21.064997262521143</c:v>
                </c:pt>
                <c:pt idx="279">
                  <c:v>20.602957712247555</c:v>
                </c:pt>
                <c:pt idx="280">
                  <c:v>22.233803897660195</c:v>
                </c:pt>
                <c:pt idx="281">
                  <c:v>14.630971077810464</c:v>
                </c:pt>
                <c:pt idx="282">
                  <c:v>15.917681919042989</c:v>
                </c:pt>
                <c:pt idx="283">
                  <c:v>18.253754365799878</c:v>
                </c:pt>
                <c:pt idx="284">
                  <c:v>16.533238881571176</c:v>
                </c:pt>
                <c:pt idx="285">
                  <c:v>15.821672225543077</c:v>
                </c:pt>
                <c:pt idx="286">
                  <c:v>15.00567246016492</c:v>
                </c:pt>
                <c:pt idx="287">
                  <c:v>12.12745783653893</c:v>
                </c:pt>
                <c:pt idx="288">
                  <c:v>14.138564835883352</c:v>
                </c:pt>
                <c:pt idx="289">
                  <c:v>12.530872009735077</c:v>
                </c:pt>
                <c:pt idx="290">
                  <c:v>10.546528972408089</c:v>
                </c:pt>
                <c:pt idx="291">
                  <c:v>9.9496314991195014</c:v>
                </c:pt>
                <c:pt idx="292">
                  <c:v>9.3932053508463582</c:v>
                </c:pt>
                <c:pt idx="293">
                  <c:v>6.425736512969582</c:v>
                </c:pt>
                <c:pt idx="294">
                  <c:v>3.2108222966313349</c:v>
                </c:pt>
                <c:pt idx="295">
                  <c:v>0.88335633096333532</c:v>
                </c:pt>
                <c:pt idx="296">
                  <c:v>0.28692154967847516</c:v>
                </c:pt>
                <c:pt idx="297">
                  <c:v>-0.59500368958525263</c:v>
                </c:pt>
                <c:pt idx="298">
                  <c:v>-1.8375203233131971</c:v>
                </c:pt>
                <c:pt idx="299">
                  <c:v>-2.801862834774258</c:v>
                </c:pt>
                <c:pt idx="300">
                  <c:v>-2.007714146282976</c:v>
                </c:pt>
                <c:pt idx="301">
                  <c:v>-2.4810903718981447</c:v>
                </c:pt>
                <c:pt idx="302">
                  <c:v>-0.58447462801182992</c:v>
                </c:pt>
                <c:pt idx="303">
                  <c:v>1.300468485675377</c:v>
                </c:pt>
                <c:pt idx="304">
                  <c:v>3.9988213967909734</c:v>
                </c:pt>
                <c:pt idx="305">
                  <c:v>2.7390412658632011</c:v>
                </c:pt>
                <c:pt idx="306">
                  <c:v>2.2400843377198845</c:v>
                </c:pt>
                <c:pt idx="307">
                  <c:v>0.30211373046546536</c:v>
                </c:pt>
                <c:pt idx="308">
                  <c:v>0.5663124206968011</c:v>
                </c:pt>
                <c:pt idx="309">
                  <c:v>-0.92012834113792863</c:v>
                </c:pt>
                <c:pt idx="310">
                  <c:v>-0.64865901018044103</c:v>
                </c:pt>
                <c:pt idx="311">
                  <c:v>-1.9224624048310313</c:v>
                </c:pt>
                <c:pt idx="312">
                  <c:v>-2.6725525805121908</c:v>
                </c:pt>
                <c:pt idx="313">
                  <c:v>-2.4129836254864956</c:v>
                </c:pt>
                <c:pt idx="314">
                  <c:v>4.6990323502053823E-2</c:v>
                </c:pt>
                <c:pt idx="315">
                  <c:v>4.5679625802956636</c:v>
                </c:pt>
                <c:pt idx="316">
                  <c:v>2.9641617602188939</c:v>
                </c:pt>
                <c:pt idx="317">
                  <c:v>0.89930321867341034</c:v>
                </c:pt>
                <c:pt idx="318">
                  <c:v>-1.5921730718455553</c:v>
                </c:pt>
                <c:pt idx="319">
                  <c:v>-2.6804573633694289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'240806B002'!$A$2:$A$321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'240806B002'!$J$2:$J$321</c:f>
              <c:numCache>
                <c:formatCode>0.0</c:formatCode>
                <c:ptCount val="320"/>
                <c:pt idx="0">
                  <c:v>1464.0894568690101</c:v>
                </c:pt>
                <c:pt idx="1">
                  <c:v>1425.7236421725599</c:v>
                </c:pt>
                <c:pt idx="2">
                  <c:v>1441.3817891373501</c:v>
                </c:pt>
                <c:pt idx="3">
                  <c:v>1432.1789137380301</c:v>
                </c:pt>
                <c:pt idx="4">
                  <c:v>1457.0750798722399</c:v>
                </c:pt>
                <c:pt idx="5">
                  <c:v>1475.99999999996</c:v>
                </c:pt>
                <c:pt idx="6">
                  <c:v>1502.6813099041601</c:v>
                </c:pt>
                <c:pt idx="7">
                  <c:v>2530.5964186169499</c:v>
                </c:pt>
                <c:pt idx="8">
                  <c:v>2518.4132131810402</c:v>
                </c:pt>
                <c:pt idx="9">
                  <c:v>2782.9115138266698</c:v>
                </c:pt>
                <c:pt idx="10">
                  <c:v>2834.7285185808396</c:v>
                </c:pt>
                <c:pt idx="11">
                  <c:v>3099.2166229057502</c:v>
                </c:pt>
                <c:pt idx="12">
                  <c:v>3136.9788627120802</c:v>
                </c:pt>
                <c:pt idx="13">
                  <c:v>3002.1503225657798</c:v>
                </c:pt>
                <c:pt idx="14">
                  <c:v>3072.45407412345</c:v>
                </c:pt>
                <c:pt idx="15">
                  <c:v>3089.4182444525004</c:v>
                </c:pt>
                <c:pt idx="16">
                  <c:v>3084.9552907963703</c:v>
                </c:pt>
                <c:pt idx="17">
                  <c:v>3088.5181526572301</c:v>
                </c:pt>
                <c:pt idx="18">
                  <c:v>3069.96342160732</c:v>
                </c:pt>
                <c:pt idx="19">
                  <c:v>3095.2376127570201</c:v>
                </c:pt>
                <c:pt idx="20">
                  <c:v>3131.79076431157</c:v>
                </c:pt>
                <c:pt idx="21">
                  <c:v>3189.84240756189</c:v>
                </c:pt>
                <c:pt idx="22">
                  <c:v>3213.6712368490303</c:v>
                </c:pt>
                <c:pt idx="23">
                  <c:v>3115.4261818033797</c:v>
                </c:pt>
                <c:pt idx="24">
                  <c:v>3049.40312569956</c:v>
                </c:pt>
                <c:pt idx="25">
                  <c:v>3066.84934932136</c:v>
                </c:pt>
                <c:pt idx="26">
                  <c:v>3058.7998743411899</c:v>
                </c:pt>
                <c:pt idx="27">
                  <c:v>3061.60202529461</c:v>
                </c:pt>
                <c:pt idx="28">
                  <c:v>3106.2544718259301</c:v>
                </c:pt>
                <c:pt idx="29">
                  <c:v>3160.8922615535298</c:v>
                </c:pt>
                <c:pt idx="30">
                  <c:v>3204.4460531939003</c:v>
                </c:pt>
                <c:pt idx="31">
                  <c:v>3080.1085626055601</c:v>
                </c:pt>
                <c:pt idx="32">
                  <c:v>3083.1437903177098</c:v>
                </c:pt>
                <c:pt idx="33">
                  <c:v>3050.1077104657797</c:v>
                </c:pt>
                <c:pt idx="34">
                  <c:v>3109.5472110864598</c:v>
                </c:pt>
                <c:pt idx="35">
                  <c:v>3120.3603762642601</c:v>
                </c:pt>
                <c:pt idx="36">
                  <c:v>3160.69746749147</c:v>
                </c:pt>
                <c:pt idx="37">
                  <c:v>3248.2807482549797</c:v>
                </c:pt>
                <c:pt idx="38">
                  <c:v>3241.2775279298498</c:v>
                </c:pt>
                <c:pt idx="39">
                  <c:v>3102.3415961213304</c:v>
                </c:pt>
                <c:pt idx="40">
                  <c:v>3158.3234544474199</c:v>
                </c:pt>
                <c:pt idx="41">
                  <c:v>3124.4372036588898</c:v>
                </c:pt>
                <c:pt idx="42">
                  <c:v>3005.3529868134201</c:v>
                </c:pt>
                <c:pt idx="43">
                  <c:v>2998.2079348202301</c:v>
                </c:pt>
                <c:pt idx="44">
                  <c:v>2771.8704925622401</c:v>
                </c:pt>
                <c:pt idx="45">
                  <c:v>2880.1087823584503</c:v>
                </c:pt>
                <c:pt idx="46">
                  <c:v>2953.7790842344398</c:v>
                </c:pt>
                <c:pt idx="47">
                  <c:v>3071.3310062873602</c:v>
                </c:pt>
                <c:pt idx="48">
                  <c:v>3082.3357064594397</c:v>
                </c:pt>
                <c:pt idx="49">
                  <c:v>3164.3496317254398</c:v>
                </c:pt>
                <c:pt idx="50">
                  <c:v>3157.7024782910103</c:v>
                </c:pt>
                <c:pt idx="51">
                  <c:v>3116.2590704188001</c:v>
                </c:pt>
                <c:pt idx="52">
                  <c:v>3152.5833065162301</c:v>
                </c:pt>
                <c:pt idx="53">
                  <c:v>3173.8229006031802</c:v>
                </c:pt>
                <c:pt idx="54">
                  <c:v>3123.32349465677</c:v>
                </c:pt>
                <c:pt idx="55">
                  <c:v>3106.2319191380698</c:v>
                </c:pt>
                <c:pt idx="56">
                  <c:v>3001.9765178283101</c:v>
                </c:pt>
                <c:pt idx="57">
                  <c:v>3058.6254583357004</c:v>
                </c:pt>
                <c:pt idx="58">
                  <c:v>3046.4557484910501</c:v>
                </c:pt>
                <c:pt idx="59">
                  <c:v>3055.5337322242799</c:v>
                </c:pt>
                <c:pt idx="60">
                  <c:v>3141.0698261703501</c:v>
                </c:pt>
                <c:pt idx="61">
                  <c:v>3210.1705306907397</c:v>
                </c:pt>
                <c:pt idx="62">
                  <c:v>3306.2156953693702</c:v>
                </c:pt>
                <c:pt idx="63">
                  <c:v>3314.0117031251202</c:v>
                </c:pt>
                <c:pt idx="64">
                  <c:v>3307.9022654661399</c:v>
                </c:pt>
                <c:pt idx="65">
                  <c:v>3399.4646487532</c:v>
                </c:pt>
                <c:pt idx="66">
                  <c:v>3252.3273691177301</c:v>
                </c:pt>
                <c:pt idx="67">
                  <c:v>3110.7107934996197</c:v>
                </c:pt>
                <c:pt idx="68">
                  <c:v>3090.9617367412102</c:v>
                </c:pt>
                <c:pt idx="69">
                  <c:v>3066.0307143769996</c:v>
                </c:pt>
                <c:pt idx="70">
                  <c:v>3054.87338402556</c:v>
                </c:pt>
                <c:pt idx="71">
                  <c:v>3027.5144089456899</c:v>
                </c:pt>
                <c:pt idx="72">
                  <c:v>3099.7981972066</c:v>
                </c:pt>
                <c:pt idx="73">
                  <c:v>3109.59230398828</c:v>
                </c:pt>
                <c:pt idx="74">
                  <c:v>3103.8747484089699</c:v>
                </c:pt>
                <c:pt idx="75">
                  <c:v>3058.3693892005899</c:v>
                </c:pt>
                <c:pt idx="76">
                  <c:v>3143.52966863862</c:v>
                </c:pt>
                <c:pt idx="77">
                  <c:v>3142.6592909081201</c:v>
                </c:pt>
                <c:pt idx="78">
                  <c:v>3144.3195321298099</c:v>
                </c:pt>
                <c:pt idx="79">
                  <c:v>3124.0484685428301</c:v>
                </c:pt>
                <c:pt idx="80">
                  <c:v>3000.3575663308702</c:v>
                </c:pt>
                <c:pt idx="81">
                  <c:v>2989.3052239224198</c:v>
                </c:pt>
                <c:pt idx="82">
                  <c:v>3073.6381473767601</c:v>
                </c:pt>
                <c:pt idx="83">
                  <c:v>3124.1605309023303</c:v>
                </c:pt>
                <c:pt idx="84">
                  <c:v>3168.1982774378403</c:v>
                </c:pt>
                <c:pt idx="85">
                  <c:v>3173.8054013255301</c:v>
                </c:pt>
                <c:pt idx="86">
                  <c:v>3080.3178990477199</c:v>
                </c:pt>
                <c:pt idx="87">
                  <c:v>2906.4462029687302</c:v>
                </c:pt>
                <c:pt idx="88">
                  <c:v>2846.1876120705201</c:v>
                </c:pt>
                <c:pt idx="89">
                  <c:v>2870.8029030253201</c:v>
                </c:pt>
                <c:pt idx="90">
                  <c:v>2955.83308307985</c:v>
                </c:pt>
                <c:pt idx="91">
                  <c:v>2984.97855217082</c:v>
                </c:pt>
                <c:pt idx="92">
                  <c:v>3031.6532482217899</c:v>
                </c:pt>
                <c:pt idx="93">
                  <c:v>3018.1798765634899</c:v>
                </c:pt>
                <c:pt idx="94">
                  <c:v>3044.1152695574297</c:v>
                </c:pt>
                <c:pt idx="95">
                  <c:v>2949.79135397864</c:v>
                </c:pt>
                <c:pt idx="96">
                  <c:v>2905.8534534913802</c:v>
                </c:pt>
                <c:pt idx="97">
                  <c:v>2887.43932158182</c:v>
                </c:pt>
                <c:pt idx="98">
                  <c:v>2859.8373709237098</c:v>
                </c:pt>
                <c:pt idx="99">
                  <c:v>2834.28114951609</c:v>
                </c:pt>
                <c:pt idx="100">
                  <c:v>2795.0782747603698</c:v>
                </c:pt>
                <c:pt idx="101">
                  <c:v>2782.80670926523</c:v>
                </c:pt>
                <c:pt idx="102">
                  <c:v>2873.4097444089398</c:v>
                </c:pt>
                <c:pt idx="103">
                  <c:v>2846.8698083066702</c:v>
                </c:pt>
                <c:pt idx="104">
                  <c:v>2975.1729898828198</c:v>
                </c:pt>
                <c:pt idx="105">
                  <c:v>2940.29487435485</c:v>
                </c:pt>
                <c:pt idx="106">
                  <c:v>2864.7254597771703</c:v>
                </c:pt>
                <c:pt idx="107">
                  <c:v>3053.25463998228</c:v>
                </c:pt>
                <c:pt idx="108">
                  <c:v>3016.8557768065502</c:v>
                </c:pt>
                <c:pt idx="109">
                  <c:v>2650.92963214163</c:v>
                </c:pt>
                <c:pt idx="110">
                  <c:v>2739.1057325934698</c:v>
                </c:pt>
                <c:pt idx="111">
                  <c:v>2731.2189652255097</c:v>
                </c:pt>
                <c:pt idx="112">
                  <c:v>2747.03157452088</c:v>
                </c:pt>
                <c:pt idx="113">
                  <c:v>2772.1968535736601</c:v>
                </c:pt>
                <c:pt idx="114">
                  <c:v>2758.3900366155299</c:v>
                </c:pt>
                <c:pt idx="115">
                  <c:v>2690.3391209698498</c:v>
                </c:pt>
                <c:pt idx="116">
                  <c:v>2713.2138408402402</c:v>
                </c:pt>
                <c:pt idx="117">
                  <c:v>2830.1020210360302</c:v>
                </c:pt>
                <c:pt idx="118">
                  <c:v>2880.1251601920599</c:v>
                </c:pt>
                <c:pt idx="119">
                  <c:v>2851.5607284549701</c:v>
                </c:pt>
                <c:pt idx="120">
                  <c:v>2887.54349439306</c:v>
                </c:pt>
                <c:pt idx="121">
                  <c:v>2827.6476502933901</c:v>
                </c:pt>
                <c:pt idx="122">
                  <c:v>2843.2034846809202</c:v>
                </c:pt>
                <c:pt idx="123">
                  <c:v>2910.4148413819898</c:v>
                </c:pt>
                <c:pt idx="124">
                  <c:v>2939.19278641354</c:v>
                </c:pt>
                <c:pt idx="125">
                  <c:v>3015.4421204840301</c:v>
                </c:pt>
                <c:pt idx="126">
                  <c:v>2721.0728807932901</c:v>
                </c:pt>
                <c:pt idx="127">
                  <c:v>2691.2022397739102</c:v>
                </c:pt>
                <c:pt idx="128">
                  <c:v>2671.9775558460396</c:v>
                </c:pt>
                <c:pt idx="129">
                  <c:v>2665.4858776402202</c:v>
                </c:pt>
                <c:pt idx="130">
                  <c:v>2646.93833981848</c:v>
                </c:pt>
                <c:pt idx="131">
                  <c:v>2644.2821558145802</c:v>
                </c:pt>
                <c:pt idx="132">
                  <c:v>2652.3706212110701</c:v>
                </c:pt>
                <c:pt idx="133">
                  <c:v>2712.1252347487202</c:v>
                </c:pt>
                <c:pt idx="134">
                  <c:v>2691.1086255575897</c:v>
                </c:pt>
                <c:pt idx="135">
                  <c:v>2688.5043785596499</c:v>
                </c:pt>
                <c:pt idx="136">
                  <c:v>2666.0712777759099</c:v>
                </c:pt>
                <c:pt idx="137">
                  <c:v>2684.6764842651501</c:v>
                </c:pt>
                <c:pt idx="138">
                  <c:v>2806.4004225496897</c:v>
                </c:pt>
                <c:pt idx="139">
                  <c:v>2744.0723436050398</c:v>
                </c:pt>
                <c:pt idx="140">
                  <c:v>2783.1343094077201</c:v>
                </c:pt>
                <c:pt idx="141">
                  <c:v>2712.1642528926</c:v>
                </c:pt>
                <c:pt idx="142">
                  <c:v>2642.4842331621298</c:v>
                </c:pt>
                <c:pt idx="143">
                  <c:v>2663.04228311623</c:v>
                </c:pt>
                <c:pt idx="144">
                  <c:v>2749.1595943656603</c:v>
                </c:pt>
                <c:pt idx="145">
                  <c:v>2800.0918646764103</c:v>
                </c:pt>
                <c:pt idx="146">
                  <c:v>2768.1658897181296</c:v>
                </c:pt>
                <c:pt idx="147">
                  <c:v>2657.80928328444</c:v>
                </c:pt>
                <c:pt idx="148">
                  <c:v>2608.2447213203404</c:v>
                </c:pt>
                <c:pt idx="149">
                  <c:v>2801.4467287123098</c:v>
                </c:pt>
                <c:pt idx="150">
                  <c:v>2732.9292327124003</c:v>
                </c:pt>
                <c:pt idx="151">
                  <c:v>2668.9327322683703</c:v>
                </c:pt>
                <c:pt idx="152">
                  <c:v>2653.8574332024</c:v>
                </c:pt>
                <c:pt idx="153">
                  <c:v>2696.6720788140301</c:v>
                </c:pt>
                <c:pt idx="154">
                  <c:v>2707.2159194969299</c:v>
                </c:pt>
                <c:pt idx="155">
                  <c:v>2679.1525660853199</c:v>
                </c:pt>
                <c:pt idx="156">
                  <c:v>2632.6027298997001</c:v>
                </c:pt>
                <c:pt idx="157">
                  <c:v>2581.7214622209899</c:v>
                </c:pt>
                <c:pt idx="158">
                  <c:v>2554.5138173826599</c:v>
                </c:pt>
                <c:pt idx="159">
                  <c:v>2580.0058937547396</c:v>
                </c:pt>
                <c:pt idx="160">
                  <c:v>2614.9890010377899</c:v>
                </c:pt>
                <c:pt idx="161">
                  <c:v>2648.6015190981102</c:v>
                </c:pt>
                <c:pt idx="162">
                  <c:v>2727.9731130827199</c:v>
                </c:pt>
                <c:pt idx="163">
                  <c:v>2894.57573105965</c:v>
                </c:pt>
                <c:pt idx="164">
                  <c:v>2915.6871324352401</c:v>
                </c:pt>
                <c:pt idx="165">
                  <c:v>2992.0129853425801</c:v>
                </c:pt>
                <c:pt idx="166">
                  <c:v>3011.5676174160099</c:v>
                </c:pt>
                <c:pt idx="167">
                  <c:v>3044.20926260334</c:v>
                </c:pt>
                <c:pt idx="168">
                  <c:v>3060.8545412685903</c:v>
                </c:pt>
                <c:pt idx="169">
                  <c:v>3064.1278199646899</c:v>
                </c:pt>
                <c:pt idx="170">
                  <c:v>3060.7568502312497</c:v>
                </c:pt>
                <c:pt idx="171">
                  <c:v>3053.8495808471098</c:v>
                </c:pt>
                <c:pt idx="172">
                  <c:v>2999.3076431358299</c:v>
                </c:pt>
                <c:pt idx="173">
                  <c:v>2957.6353151717299</c:v>
                </c:pt>
                <c:pt idx="174">
                  <c:v>2976.1976545626799</c:v>
                </c:pt>
                <c:pt idx="175">
                  <c:v>3087.0502708097001</c:v>
                </c:pt>
                <c:pt idx="176">
                  <c:v>3059.1531682427903</c:v>
                </c:pt>
                <c:pt idx="177">
                  <c:v>3071.4078683408502</c:v>
                </c:pt>
                <c:pt idx="178">
                  <c:v>2990.25449168246</c:v>
                </c:pt>
                <c:pt idx="179">
                  <c:v>3041.6335001316102</c:v>
                </c:pt>
                <c:pt idx="180">
                  <c:v>3087.9965470432999</c:v>
                </c:pt>
                <c:pt idx="181">
                  <c:v>3125.36149803628</c:v>
                </c:pt>
                <c:pt idx="182">
                  <c:v>3052.1392854235901</c:v>
                </c:pt>
                <c:pt idx="183">
                  <c:v>3037.3655984818802</c:v>
                </c:pt>
                <c:pt idx="184">
                  <c:v>3102.3459304499202</c:v>
                </c:pt>
                <c:pt idx="185">
                  <c:v>3124.5597707106399</c:v>
                </c:pt>
                <c:pt idx="186">
                  <c:v>3113.5523340218497</c:v>
                </c:pt>
                <c:pt idx="187">
                  <c:v>3136.20374825626</c:v>
                </c:pt>
                <c:pt idx="188">
                  <c:v>3113.2220937219199</c:v>
                </c:pt>
                <c:pt idx="189">
                  <c:v>3106.6179085215599</c:v>
                </c:pt>
                <c:pt idx="190">
                  <c:v>3131.7967100902902</c:v>
                </c:pt>
                <c:pt idx="191">
                  <c:v>3141.3181099103099</c:v>
                </c:pt>
                <c:pt idx="192">
                  <c:v>3195.36493166133</c:v>
                </c:pt>
                <c:pt idx="193">
                  <c:v>3046.82284010374</c:v>
                </c:pt>
                <c:pt idx="194">
                  <c:v>3070.8762122425801</c:v>
                </c:pt>
                <c:pt idx="195">
                  <c:v>3109.0881104335099</c:v>
                </c:pt>
                <c:pt idx="196">
                  <c:v>2995.7184750995298</c:v>
                </c:pt>
                <c:pt idx="197">
                  <c:v>2973.6259621115701</c:v>
                </c:pt>
                <c:pt idx="198">
                  <c:v>3007.3139003215801</c:v>
                </c:pt>
                <c:pt idx="199">
                  <c:v>3038.2208757421199</c:v>
                </c:pt>
                <c:pt idx="200">
                  <c:v>2977.36124618543</c:v>
                </c:pt>
                <c:pt idx="201">
                  <c:v>2995.0738917012404</c:v>
                </c:pt>
                <c:pt idx="202">
                  <c:v>3035.1390825120698</c:v>
                </c:pt>
                <c:pt idx="203">
                  <c:v>3040.5680947313599</c:v>
                </c:pt>
                <c:pt idx="204">
                  <c:v>3001.4985688230699</c:v>
                </c:pt>
                <c:pt idx="205">
                  <c:v>3039.8091724749502</c:v>
                </c:pt>
                <c:pt idx="206">
                  <c:v>3044.4105115430903</c:v>
                </c:pt>
                <c:pt idx="207">
                  <c:v>3022.0621236852503</c:v>
                </c:pt>
                <c:pt idx="208">
                  <c:v>2982.6239044164204</c:v>
                </c:pt>
                <c:pt idx="209">
                  <c:v>3017.61578246401</c:v>
                </c:pt>
                <c:pt idx="210">
                  <c:v>3055.9482614225199</c:v>
                </c:pt>
                <c:pt idx="211">
                  <c:v>3083.4029358851003</c:v>
                </c:pt>
                <c:pt idx="212">
                  <c:v>3081.2928389010804</c:v>
                </c:pt>
                <c:pt idx="213">
                  <c:v>3064.4755394605199</c:v>
                </c:pt>
                <c:pt idx="214">
                  <c:v>3057.1978349204701</c:v>
                </c:pt>
                <c:pt idx="215">
                  <c:v>2980.58385289035</c:v>
                </c:pt>
                <c:pt idx="216">
                  <c:v>3021.9001494879899</c:v>
                </c:pt>
                <c:pt idx="217">
                  <c:v>3033.0419322663197</c:v>
                </c:pt>
                <c:pt idx="218">
                  <c:v>3040.39075072176</c:v>
                </c:pt>
                <c:pt idx="219">
                  <c:v>3022.1478802455799</c:v>
                </c:pt>
                <c:pt idx="220">
                  <c:v>3033.8571340517801</c:v>
                </c:pt>
                <c:pt idx="221">
                  <c:v>3022.9844262042202</c:v>
                </c:pt>
                <c:pt idx="222">
                  <c:v>3016.8298182714402</c:v>
                </c:pt>
                <c:pt idx="223">
                  <c:v>3048.7833793904297</c:v>
                </c:pt>
                <c:pt idx="224">
                  <c:v>3016.5818317701101</c:v>
                </c:pt>
                <c:pt idx="225">
                  <c:v>2995.8271300950601</c:v>
                </c:pt>
                <c:pt idx="226">
                  <c:v>3009.3496164099502</c:v>
                </c:pt>
                <c:pt idx="227">
                  <c:v>3009.9075313892299</c:v>
                </c:pt>
                <c:pt idx="228">
                  <c:v>3009.9391088907896</c:v>
                </c:pt>
                <c:pt idx="229">
                  <c:v>2975.4882023157502</c:v>
                </c:pt>
                <c:pt idx="230">
                  <c:v>2968.0927967481398</c:v>
                </c:pt>
                <c:pt idx="231">
                  <c:v>2977.0890422458197</c:v>
                </c:pt>
                <c:pt idx="232">
                  <c:v>3004.5862619808299</c:v>
                </c:pt>
                <c:pt idx="233">
                  <c:v>3016.7225789056301</c:v>
                </c:pt>
                <c:pt idx="234">
                  <c:v>3003.56817881196</c:v>
                </c:pt>
                <c:pt idx="235">
                  <c:v>2998.2429895606297</c:v>
                </c:pt>
                <c:pt idx="236">
                  <c:v>2969.6435766467498</c:v>
                </c:pt>
                <c:pt idx="237">
                  <c:v>2964.8253774852401</c:v>
                </c:pt>
                <c:pt idx="238">
                  <c:v>2963.6016157587096</c:v>
                </c:pt>
                <c:pt idx="239">
                  <c:v>2975.2459427972603</c:v>
                </c:pt>
                <c:pt idx="240">
                  <c:v>2949.2828976821702</c:v>
                </c:pt>
                <c:pt idx="241">
                  <c:v>2978.69021794429</c:v>
                </c:pt>
                <c:pt idx="242">
                  <c:v>2977.8328915772699</c:v>
                </c:pt>
                <c:pt idx="243">
                  <c:v>2972.08158157143</c:v>
                </c:pt>
                <c:pt idx="244">
                  <c:v>2945.9785973016501</c:v>
                </c:pt>
                <c:pt idx="245">
                  <c:v>2920.7183665371599</c:v>
                </c:pt>
                <c:pt idx="246">
                  <c:v>2936.7462353228002</c:v>
                </c:pt>
                <c:pt idx="247">
                  <c:v>2906.80356270735</c:v>
                </c:pt>
                <c:pt idx="248">
                  <c:v>2929.52196739997</c:v>
                </c:pt>
                <c:pt idx="249">
                  <c:v>2960.6907801021798</c:v>
                </c:pt>
                <c:pt idx="250">
                  <c:v>2955.8653364807801</c:v>
                </c:pt>
                <c:pt idx="251">
                  <c:v>2940.2110635721397</c:v>
                </c:pt>
                <c:pt idx="252">
                  <c:v>2908.4905832197101</c:v>
                </c:pt>
                <c:pt idx="253">
                  <c:v>2902.4411158706803</c:v>
                </c:pt>
                <c:pt idx="254">
                  <c:v>2942.9752192670603</c:v>
                </c:pt>
                <c:pt idx="255">
                  <c:v>2945.4271789341101</c:v>
                </c:pt>
                <c:pt idx="256">
                  <c:v>2911.4060458680101</c:v>
                </c:pt>
                <c:pt idx="257">
                  <c:v>2893.1255494393599</c:v>
                </c:pt>
                <c:pt idx="258">
                  <c:v>2924.8437277426101</c:v>
                </c:pt>
                <c:pt idx="259">
                  <c:v>2927.78560926725</c:v>
                </c:pt>
                <c:pt idx="260">
                  <c:v>2899.4159815632197</c:v>
                </c:pt>
                <c:pt idx="261">
                  <c:v>2857.4820058606902</c:v>
                </c:pt>
                <c:pt idx="262">
                  <c:v>2874.6456315313599</c:v>
                </c:pt>
                <c:pt idx="263">
                  <c:v>2845.21625956241</c:v>
                </c:pt>
                <c:pt idx="264">
                  <c:v>2805.5066793529099</c:v>
                </c:pt>
                <c:pt idx="265">
                  <c:v>2845.89323472878</c:v>
                </c:pt>
                <c:pt idx="266">
                  <c:v>2914.6140314143104</c:v>
                </c:pt>
                <c:pt idx="267">
                  <c:v>2920.8937540572401</c:v>
                </c:pt>
                <c:pt idx="268">
                  <c:v>2832.9783014905101</c:v>
                </c:pt>
                <c:pt idx="269">
                  <c:v>2860.0044113438398</c:v>
                </c:pt>
                <c:pt idx="270">
                  <c:v>2863.45315517775</c:v>
                </c:pt>
                <c:pt idx="271">
                  <c:v>2890.1178788675802</c:v>
                </c:pt>
                <c:pt idx="272">
                  <c:v>2918.7591862705199</c:v>
                </c:pt>
                <c:pt idx="273">
                  <c:v>2949.86745081958</c:v>
                </c:pt>
                <c:pt idx="274">
                  <c:v>2951.43802265043</c:v>
                </c:pt>
                <c:pt idx="275">
                  <c:v>2916.7660137645798</c:v>
                </c:pt>
                <c:pt idx="276">
                  <c:v>2910.3769826227899</c:v>
                </c:pt>
                <c:pt idx="277">
                  <c:v>2908.91645199803</c:v>
                </c:pt>
                <c:pt idx="278">
                  <c:v>2930.3531492468801</c:v>
                </c:pt>
                <c:pt idx="279">
                  <c:v>2948.99840900244</c:v>
                </c:pt>
                <c:pt idx="280">
                  <c:v>2897.500466727</c:v>
                </c:pt>
                <c:pt idx="281">
                  <c:v>2910.20392037788</c:v>
                </c:pt>
                <c:pt idx="282">
                  <c:v>2877.8569939428298</c:v>
                </c:pt>
                <c:pt idx="283">
                  <c:v>2774.3615181005202</c:v>
                </c:pt>
                <c:pt idx="284">
                  <c:v>2758.1236936156902</c:v>
                </c:pt>
                <c:pt idx="285">
                  <c:v>2835.9647563092403</c:v>
                </c:pt>
                <c:pt idx="286">
                  <c:v>2850.1971547702801</c:v>
                </c:pt>
                <c:pt idx="287">
                  <c:v>2881.7409471721903</c:v>
                </c:pt>
                <c:pt idx="288">
                  <c:v>2861.03955253511</c:v>
                </c:pt>
                <c:pt idx="289">
                  <c:v>2858.6087744676802</c:v>
                </c:pt>
                <c:pt idx="290">
                  <c:v>2824.9504025197803</c:v>
                </c:pt>
                <c:pt idx="291">
                  <c:v>2861.1466760528101</c:v>
                </c:pt>
                <c:pt idx="292">
                  <c:v>2844.6861246904996</c:v>
                </c:pt>
                <c:pt idx="293">
                  <c:v>2825.6043900842697</c:v>
                </c:pt>
                <c:pt idx="294">
                  <c:v>2818.0148331344599</c:v>
                </c:pt>
                <c:pt idx="295">
                  <c:v>2823.8049700399001</c:v>
                </c:pt>
                <c:pt idx="296">
                  <c:v>2773.15806805494</c:v>
                </c:pt>
                <c:pt idx="297">
                  <c:v>2721.4096321387597</c:v>
                </c:pt>
                <c:pt idx="298">
                  <c:v>2738.2823350911399</c:v>
                </c:pt>
                <c:pt idx="299">
                  <c:v>2769.13887691339</c:v>
                </c:pt>
                <c:pt idx="300">
                  <c:v>2601.4941863299996</c:v>
                </c:pt>
                <c:pt idx="301">
                  <c:v>2806.8735004637797</c:v>
                </c:pt>
                <c:pt idx="302">
                  <c:v>2810.25570957439</c:v>
                </c:pt>
                <c:pt idx="303">
                  <c:v>2811.1871431516302</c:v>
                </c:pt>
                <c:pt idx="304">
                  <c:v>2858.3690559621</c:v>
                </c:pt>
                <c:pt idx="305">
                  <c:v>2882.8693445325898</c:v>
                </c:pt>
                <c:pt idx="306">
                  <c:v>2880.4242425022799</c:v>
                </c:pt>
                <c:pt idx="307">
                  <c:v>2888.00187570858</c:v>
                </c:pt>
                <c:pt idx="308">
                  <c:v>2876.35371019273</c:v>
                </c:pt>
                <c:pt idx="309">
                  <c:v>2841.1024245079002</c:v>
                </c:pt>
                <c:pt idx="310">
                  <c:v>2834.2654411027702</c:v>
                </c:pt>
                <c:pt idx="311">
                  <c:v>2856.6507464163597</c:v>
                </c:pt>
                <c:pt idx="312">
                  <c:v>2812.16428934947</c:v>
                </c:pt>
                <c:pt idx="313">
                  <c:v>2795.9126147962102</c:v>
                </c:pt>
                <c:pt idx="314">
                  <c:v>2902.9076972426301</c:v>
                </c:pt>
                <c:pt idx="315">
                  <c:v>2893.8001501213002</c:v>
                </c:pt>
                <c:pt idx="316">
                  <c:v>2786.3057629880996</c:v>
                </c:pt>
                <c:pt idx="317">
                  <c:v>2756.7223896164501</c:v>
                </c:pt>
                <c:pt idx="318">
                  <c:v>2791.9487709092</c:v>
                </c:pt>
                <c:pt idx="319">
                  <c:v>2836.8619835381801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D-064E-A0E3-E608B59F5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32-9A41-8A4E-64EAF75B560C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'240806B002'!$A$2:$A$321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'240806B002'!$P$2:$P$321</c:f>
              <c:numCache>
                <c:formatCode>General</c:formatCode>
                <c:ptCount val="320"/>
                <c:pt idx="0">
                  <c:v>-33.783253630339523</c:v>
                </c:pt>
                <c:pt idx="1">
                  <c:v>-30.505743828690278</c:v>
                </c:pt>
                <c:pt idx="2">
                  <c:v>-25.780237372762691</c:v>
                </c:pt>
                <c:pt idx="3">
                  <c:v>-19.292084558971155</c:v>
                </c:pt>
                <c:pt idx="4">
                  <c:v>-14.709694893088249</c:v>
                </c:pt>
                <c:pt idx="5">
                  <c:v>-9.3431917073769828</c:v>
                </c:pt>
                <c:pt idx="6">
                  <c:v>-5.2127430001617467</c:v>
                </c:pt>
                <c:pt idx="7">
                  <c:v>-8.7745006298094204</c:v>
                </c:pt>
                <c:pt idx="8">
                  <c:v>-7.810576221904963</c:v>
                </c:pt>
                <c:pt idx="9">
                  <c:v>-4.8601974496220013</c:v>
                </c:pt>
                <c:pt idx="10">
                  <c:v>-4.2728501939662165</c:v>
                </c:pt>
                <c:pt idx="11">
                  <c:v>-4.1089584051320696</c:v>
                </c:pt>
                <c:pt idx="12">
                  <c:v>-3.1040414925447415</c:v>
                </c:pt>
                <c:pt idx="13">
                  <c:v>-0.94918204487890401</c:v>
                </c:pt>
                <c:pt idx="14">
                  <c:v>-0.32713435646872713</c:v>
                </c:pt>
                <c:pt idx="15">
                  <c:v>-0.59313842955746809</c:v>
                </c:pt>
                <c:pt idx="16">
                  <c:v>0.1450468337740696</c:v>
                </c:pt>
                <c:pt idx="17">
                  <c:v>0.72472891710882081</c:v>
                </c:pt>
                <c:pt idx="18">
                  <c:v>0.63477158338948036</c:v>
                </c:pt>
                <c:pt idx="19">
                  <c:v>1.2759614364800811</c:v>
                </c:pt>
                <c:pt idx="20">
                  <c:v>0.89393776022833826</c:v>
                </c:pt>
                <c:pt idx="21">
                  <c:v>1.2491333653460304</c:v>
                </c:pt>
                <c:pt idx="22">
                  <c:v>2.1257487476101504</c:v>
                </c:pt>
                <c:pt idx="23">
                  <c:v>1.2833603206203217</c:v>
                </c:pt>
                <c:pt idx="24">
                  <c:v>1.8532922951601063</c:v>
                </c:pt>
                <c:pt idx="25">
                  <c:v>1.2764270347785875</c:v>
                </c:pt>
                <c:pt idx="26">
                  <c:v>0.99401557561446807</c:v>
                </c:pt>
                <c:pt idx="27">
                  <c:v>0.72678911176295513</c:v>
                </c:pt>
                <c:pt idx="28">
                  <c:v>0.34257541558910226</c:v>
                </c:pt>
                <c:pt idx="29">
                  <c:v>0.89663094293132573</c:v>
                </c:pt>
                <c:pt idx="30">
                  <c:v>1.2206980636532903</c:v>
                </c:pt>
                <c:pt idx="31">
                  <c:v>0.85390550724677772</c:v>
                </c:pt>
                <c:pt idx="32">
                  <c:v>1.545747024696994</c:v>
                </c:pt>
                <c:pt idx="33">
                  <c:v>1.3172697878333866</c:v>
                </c:pt>
                <c:pt idx="34">
                  <c:v>1.8478737142499806</c:v>
                </c:pt>
                <c:pt idx="35">
                  <c:v>1.6390750021805227</c:v>
                </c:pt>
                <c:pt idx="36">
                  <c:v>2.3980066909420525</c:v>
                </c:pt>
                <c:pt idx="37">
                  <c:v>3.8087869157201428</c:v>
                </c:pt>
                <c:pt idx="38">
                  <c:v>3.9836541613325687</c:v>
                </c:pt>
                <c:pt idx="39">
                  <c:v>4.0410637473262412</c:v>
                </c:pt>
                <c:pt idx="40">
                  <c:v>4.0870374442214255</c:v>
                </c:pt>
                <c:pt idx="41">
                  <c:v>3.5079526990909993</c:v>
                </c:pt>
                <c:pt idx="42">
                  <c:v>3.7246855720393728</c:v>
                </c:pt>
                <c:pt idx="43">
                  <c:v>4.2300853738749025</c:v>
                </c:pt>
                <c:pt idx="44">
                  <c:v>3.1324328420422813</c:v>
                </c:pt>
                <c:pt idx="45">
                  <c:v>3.5065339502864559</c:v>
                </c:pt>
                <c:pt idx="46">
                  <c:v>3.6305452961738762</c:v>
                </c:pt>
                <c:pt idx="47">
                  <c:v>4.5865518090995643</c:v>
                </c:pt>
                <c:pt idx="48">
                  <c:v>5.6992102693397504</c:v>
                </c:pt>
                <c:pt idx="49">
                  <c:v>5.4463676224057584</c:v>
                </c:pt>
                <c:pt idx="50">
                  <c:v>4.7694234946266363</c:v>
                </c:pt>
                <c:pt idx="51">
                  <c:v>4.9983330934495136</c:v>
                </c:pt>
                <c:pt idx="52">
                  <c:v>5.2777102593760121</c:v>
                </c:pt>
                <c:pt idx="53">
                  <c:v>5.236021979532369</c:v>
                </c:pt>
                <c:pt idx="54">
                  <c:v>3.5249468884294282</c:v>
                </c:pt>
                <c:pt idx="55">
                  <c:v>5.5497253282359669</c:v>
                </c:pt>
                <c:pt idx="56">
                  <c:v>6.0746318096410397</c:v>
                </c:pt>
                <c:pt idx="57">
                  <c:v>6.2972879830243054</c:v>
                </c:pt>
                <c:pt idx="58">
                  <c:v>5.7622855981644552</c:v>
                </c:pt>
                <c:pt idx="59">
                  <c:v>4.4418568139129206</c:v>
                </c:pt>
                <c:pt idx="60">
                  <c:v>3.8577763964584739</c:v>
                </c:pt>
                <c:pt idx="61">
                  <c:v>3.3507851436963159</c:v>
                </c:pt>
                <c:pt idx="62">
                  <c:v>2.1844861038223766</c:v>
                </c:pt>
                <c:pt idx="63">
                  <c:v>0.66935159264690214</c:v>
                </c:pt>
                <c:pt idx="64">
                  <c:v>-0.35078473689697126</c:v>
                </c:pt>
                <c:pt idx="65">
                  <c:v>2.3523364504138326E-2</c:v>
                </c:pt>
                <c:pt idx="66">
                  <c:v>0.12745847226428669</c:v>
                </c:pt>
                <c:pt idx="67">
                  <c:v>-0.25902901531079447</c:v>
                </c:pt>
                <c:pt idx="68">
                  <c:v>-0.99551366266139363</c:v>
                </c:pt>
                <c:pt idx="69">
                  <c:v>-0.2679737403999603</c:v>
                </c:pt>
                <c:pt idx="70">
                  <c:v>0.52321320404817928</c:v>
                </c:pt>
                <c:pt idx="71">
                  <c:v>-2.7828237432548898E-2</c:v>
                </c:pt>
                <c:pt idx="72">
                  <c:v>-1.0185807600545616</c:v>
                </c:pt>
                <c:pt idx="73">
                  <c:v>-0.59633773511898869</c:v>
                </c:pt>
                <c:pt idx="74">
                  <c:v>-0.92492933273088107</c:v>
                </c:pt>
                <c:pt idx="75">
                  <c:v>-1.2618596364626307</c:v>
                </c:pt>
                <c:pt idx="76">
                  <c:v>-1.9367162979082937</c:v>
                </c:pt>
                <c:pt idx="77">
                  <c:v>-1.4585967163578526</c:v>
                </c:pt>
                <c:pt idx="78">
                  <c:v>-0.95351279914870057</c:v>
                </c:pt>
                <c:pt idx="79">
                  <c:v>-0.6849316069569531</c:v>
                </c:pt>
                <c:pt idx="80">
                  <c:v>-1.0259316952000055</c:v>
                </c:pt>
                <c:pt idx="81">
                  <c:v>-0.64481409112572097</c:v>
                </c:pt>
                <c:pt idx="82">
                  <c:v>-0.44893441416470881</c:v>
                </c:pt>
                <c:pt idx="83">
                  <c:v>-0.94845363678807237</c:v>
                </c:pt>
                <c:pt idx="84">
                  <c:v>-2.5342971060733803</c:v>
                </c:pt>
                <c:pt idx="85">
                  <c:v>-3.8386265094921055</c:v>
                </c:pt>
                <c:pt idx="86">
                  <c:v>-5.7721055801438386</c:v>
                </c:pt>
                <c:pt idx="87">
                  <c:v>-8.1524535705371068</c:v>
                </c:pt>
                <c:pt idx="88">
                  <c:v>-10.375439174093176</c:v>
                </c:pt>
                <c:pt idx="89">
                  <c:v>-12.984204758687765</c:v>
                </c:pt>
                <c:pt idx="90">
                  <c:v>-14.954251783380176</c:v>
                </c:pt>
                <c:pt idx="91">
                  <c:v>-16.817153777846261</c:v>
                </c:pt>
                <c:pt idx="92">
                  <c:v>-17.509923157894548</c:v>
                </c:pt>
                <c:pt idx="93">
                  <c:v>-19.167079572964692</c:v>
                </c:pt>
                <c:pt idx="94">
                  <c:v>-19.013325022297661</c:v>
                </c:pt>
                <c:pt idx="95">
                  <c:v>-19.721217726891972</c:v>
                </c:pt>
                <c:pt idx="96">
                  <c:v>-20.262576551580917</c:v>
                </c:pt>
                <c:pt idx="97">
                  <c:v>-21.956488529045124</c:v>
                </c:pt>
                <c:pt idx="98">
                  <c:v>-22.617432135407974</c:v>
                </c:pt>
                <c:pt idx="99">
                  <c:v>-23.297056917632336</c:v>
                </c:pt>
                <c:pt idx="100">
                  <c:v>-25.083811200604693</c:v>
                </c:pt>
                <c:pt idx="101">
                  <c:v>-26.027958150526487</c:v>
                </c:pt>
                <c:pt idx="102">
                  <c:v>-27.600315419435717</c:v>
                </c:pt>
                <c:pt idx="103">
                  <c:v>-28.346492196034962</c:v>
                </c:pt>
                <c:pt idx="104">
                  <c:v>-27.937086978396891</c:v>
                </c:pt>
                <c:pt idx="105">
                  <c:v>-29.404039128379502</c:v>
                </c:pt>
                <c:pt idx="106">
                  <c:v>-30.997577154433593</c:v>
                </c:pt>
                <c:pt idx="107">
                  <c:v>-30.38021790831894</c:v>
                </c:pt>
                <c:pt idx="108">
                  <c:v>-30.793447270510725</c:v>
                </c:pt>
                <c:pt idx="109">
                  <c:v>-29.121153292779283</c:v>
                </c:pt>
                <c:pt idx="110">
                  <c:v>-31.80874425211281</c:v>
                </c:pt>
                <c:pt idx="111">
                  <c:v>-31.904337521362546</c:v>
                </c:pt>
                <c:pt idx="112">
                  <c:v>-32.755835374548212</c:v>
                </c:pt>
                <c:pt idx="113">
                  <c:v>-33.426229384475548</c:v>
                </c:pt>
                <c:pt idx="114">
                  <c:v>-33.921360412683569</c:v>
                </c:pt>
                <c:pt idx="115">
                  <c:v>-34.106521456425376</c:v>
                </c:pt>
                <c:pt idx="116">
                  <c:v>-34.501914018980727</c:v>
                </c:pt>
                <c:pt idx="117">
                  <c:v>-35.461851007420606</c:v>
                </c:pt>
                <c:pt idx="118">
                  <c:v>-35.383120687090454</c:v>
                </c:pt>
                <c:pt idx="119">
                  <c:v>-35.771713524550073</c:v>
                </c:pt>
                <c:pt idx="120">
                  <c:v>-35.793635357992656</c:v>
                </c:pt>
                <c:pt idx="121">
                  <c:v>-36.473369878003226</c:v>
                </c:pt>
                <c:pt idx="122">
                  <c:v>-36.364972026941508</c:v>
                </c:pt>
                <c:pt idx="123">
                  <c:v>-36.988073957268128</c:v>
                </c:pt>
                <c:pt idx="124">
                  <c:v>-37.481790458763655</c:v>
                </c:pt>
                <c:pt idx="125">
                  <c:v>-37.550857556594877</c:v>
                </c:pt>
                <c:pt idx="126">
                  <c:v>-38.086236213720198</c:v>
                </c:pt>
                <c:pt idx="127">
                  <c:v>-37.73498273688071</c:v>
                </c:pt>
                <c:pt idx="128">
                  <c:v>-38.14732259991014</c:v>
                </c:pt>
                <c:pt idx="129">
                  <c:v>-38.657781340011233</c:v>
                </c:pt>
                <c:pt idx="130">
                  <c:v>-39.124105358525526</c:v>
                </c:pt>
                <c:pt idx="131">
                  <c:v>-39.2613049056202</c:v>
                </c:pt>
                <c:pt idx="132">
                  <c:v>-39.303343156657469</c:v>
                </c:pt>
                <c:pt idx="133">
                  <c:v>-39.13556350873251</c:v>
                </c:pt>
                <c:pt idx="134">
                  <c:v>-39.634840846223909</c:v>
                </c:pt>
                <c:pt idx="135">
                  <c:v>-39.652453476741066</c:v>
                </c:pt>
                <c:pt idx="136">
                  <c:v>-40.124115880590985</c:v>
                </c:pt>
                <c:pt idx="137">
                  <c:v>-40.461107242540109</c:v>
                </c:pt>
                <c:pt idx="138">
                  <c:v>-40.385997412114918</c:v>
                </c:pt>
                <c:pt idx="139">
                  <c:v>-40.158154745742245</c:v>
                </c:pt>
                <c:pt idx="140">
                  <c:v>-39.833978740741784</c:v>
                </c:pt>
                <c:pt idx="141">
                  <c:v>-39.643967386530797</c:v>
                </c:pt>
                <c:pt idx="142">
                  <c:v>-39.55870800311699</c:v>
                </c:pt>
                <c:pt idx="143">
                  <c:v>-39.671412228546366</c:v>
                </c:pt>
                <c:pt idx="144">
                  <c:v>-40.114712067131002</c:v>
                </c:pt>
                <c:pt idx="145">
                  <c:v>-40.174184947330524</c:v>
                </c:pt>
                <c:pt idx="146">
                  <c:v>-40.823789045496994</c:v>
                </c:pt>
                <c:pt idx="147">
                  <c:v>-41.458365336123556</c:v>
                </c:pt>
                <c:pt idx="148">
                  <c:v>-41.701032656497958</c:v>
                </c:pt>
                <c:pt idx="149">
                  <c:v>-40.356814052443212</c:v>
                </c:pt>
                <c:pt idx="150">
                  <c:v>-40.157373800067191</c:v>
                </c:pt>
                <c:pt idx="151">
                  <c:v>-40.012492336237621</c:v>
                </c:pt>
                <c:pt idx="152">
                  <c:v>-40.261390406130943</c:v>
                </c:pt>
                <c:pt idx="153">
                  <c:v>-40.717198507924849</c:v>
                </c:pt>
                <c:pt idx="154">
                  <c:v>-40.93872929198222</c:v>
                </c:pt>
                <c:pt idx="155">
                  <c:v>-40.394563517306665</c:v>
                </c:pt>
                <c:pt idx="156">
                  <c:v>-40.28388708072282</c:v>
                </c:pt>
                <c:pt idx="157">
                  <c:v>-40.107468298716427</c:v>
                </c:pt>
                <c:pt idx="158">
                  <c:v>-40.218700776723082</c:v>
                </c:pt>
                <c:pt idx="159">
                  <c:v>-40.440342845118408</c:v>
                </c:pt>
                <c:pt idx="160">
                  <c:v>-40.094865014555708</c:v>
                </c:pt>
                <c:pt idx="161">
                  <c:v>-40.282409038404907</c:v>
                </c:pt>
                <c:pt idx="162">
                  <c:v>-40.883897610574557</c:v>
                </c:pt>
                <c:pt idx="163">
                  <c:v>-31.299271871873135</c:v>
                </c:pt>
                <c:pt idx="164">
                  <c:v>-22.027354595182803</c:v>
                </c:pt>
                <c:pt idx="165">
                  <c:v>-12.577056432288114</c:v>
                </c:pt>
                <c:pt idx="166">
                  <c:v>-7.0101330170996681</c:v>
                </c:pt>
                <c:pt idx="167">
                  <c:v>-2.3798635996927104</c:v>
                </c:pt>
                <c:pt idx="168">
                  <c:v>0.75352210817737042</c:v>
                </c:pt>
                <c:pt idx="169">
                  <c:v>3.5011979074404334</c:v>
                </c:pt>
                <c:pt idx="170">
                  <c:v>5.2142749015223675</c:v>
                </c:pt>
                <c:pt idx="171">
                  <c:v>8.151560692272696</c:v>
                </c:pt>
                <c:pt idx="172">
                  <c:v>9.3990847525730405</c:v>
                </c:pt>
                <c:pt idx="173">
                  <c:v>11.172442588055338</c:v>
                </c:pt>
                <c:pt idx="174">
                  <c:v>13.168421679509908</c:v>
                </c:pt>
                <c:pt idx="175">
                  <c:v>16.091377127727945</c:v>
                </c:pt>
                <c:pt idx="176">
                  <c:v>17.629336527066773</c:v>
                </c:pt>
                <c:pt idx="177">
                  <c:v>19.22835207218435</c:v>
                </c:pt>
                <c:pt idx="178">
                  <c:v>17.396238810808395</c:v>
                </c:pt>
                <c:pt idx="179">
                  <c:v>17.79583821200379</c:v>
                </c:pt>
                <c:pt idx="180">
                  <c:v>19.51330376088022</c:v>
                </c:pt>
                <c:pt idx="181">
                  <c:v>21.584255899469255</c:v>
                </c:pt>
                <c:pt idx="182">
                  <c:v>22.206682297046115</c:v>
                </c:pt>
                <c:pt idx="183">
                  <c:v>22.142052613294499</c:v>
                </c:pt>
                <c:pt idx="184">
                  <c:v>22.128651298054375</c:v>
                </c:pt>
                <c:pt idx="185">
                  <c:v>21.982942970455575</c:v>
                </c:pt>
                <c:pt idx="186">
                  <c:v>21.837155497846176</c:v>
                </c:pt>
                <c:pt idx="187">
                  <c:v>21.916159797631689</c:v>
                </c:pt>
                <c:pt idx="188">
                  <c:v>22.15484255724559</c:v>
                </c:pt>
                <c:pt idx="189">
                  <c:v>22.689754303300965</c:v>
                </c:pt>
                <c:pt idx="190">
                  <c:v>22.857492498724806</c:v>
                </c:pt>
                <c:pt idx="191">
                  <c:v>23.991387428869668</c:v>
                </c:pt>
                <c:pt idx="192">
                  <c:v>24.434195161170678</c:v>
                </c:pt>
                <c:pt idx="193">
                  <c:v>25.059859894664211</c:v>
                </c:pt>
                <c:pt idx="194">
                  <c:v>24.929294135589135</c:v>
                </c:pt>
                <c:pt idx="195">
                  <c:v>24.3965741031482</c:v>
                </c:pt>
                <c:pt idx="196">
                  <c:v>23.311451477854398</c:v>
                </c:pt>
                <c:pt idx="197">
                  <c:v>23.264895375129896</c:v>
                </c:pt>
                <c:pt idx="198">
                  <c:v>22.676291351475435</c:v>
                </c:pt>
                <c:pt idx="199">
                  <c:v>22.014271936759403</c:v>
                </c:pt>
                <c:pt idx="200">
                  <c:v>21.742519059735468</c:v>
                </c:pt>
                <c:pt idx="201">
                  <c:v>21.094216989987665</c:v>
                </c:pt>
                <c:pt idx="202">
                  <c:v>20.23699139899102</c:v>
                </c:pt>
                <c:pt idx="203">
                  <c:v>20.002392477716981</c:v>
                </c:pt>
                <c:pt idx="204">
                  <c:v>20.834360255980755</c:v>
                </c:pt>
                <c:pt idx="205">
                  <c:v>20.424021628197071</c:v>
                </c:pt>
                <c:pt idx="206">
                  <c:v>20.062892001394175</c:v>
                </c:pt>
                <c:pt idx="207">
                  <c:v>19.325619699150042</c:v>
                </c:pt>
                <c:pt idx="208">
                  <c:v>18.541264003926024</c:v>
                </c:pt>
                <c:pt idx="209">
                  <c:v>17.345375055005565</c:v>
                </c:pt>
                <c:pt idx="210">
                  <c:v>18.089361841242855</c:v>
                </c:pt>
                <c:pt idx="211">
                  <c:v>17.778294366992533</c:v>
                </c:pt>
                <c:pt idx="212">
                  <c:v>17.601759829528323</c:v>
                </c:pt>
                <c:pt idx="213">
                  <c:v>17.558202071254907</c:v>
                </c:pt>
                <c:pt idx="214">
                  <c:v>16.617684577911579</c:v>
                </c:pt>
                <c:pt idx="215">
                  <c:v>15.95575490334698</c:v>
                </c:pt>
                <c:pt idx="216">
                  <c:v>15.634708452838703</c:v>
                </c:pt>
                <c:pt idx="217">
                  <c:v>15.31842464908574</c:v>
                </c:pt>
                <c:pt idx="218">
                  <c:v>15.997879873153767</c:v>
                </c:pt>
                <c:pt idx="219">
                  <c:v>16.070543331411553</c:v>
                </c:pt>
                <c:pt idx="220">
                  <c:v>15.284229386042602</c:v>
                </c:pt>
                <c:pt idx="221">
                  <c:v>14.493489913959825</c:v>
                </c:pt>
                <c:pt idx="222">
                  <c:v>13.553332003847004</c:v>
                </c:pt>
                <c:pt idx="223">
                  <c:v>13.400759046792722</c:v>
                </c:pt>
                <c:pt idx="224">
                  <c:v>12.514242397440404</c:v>
                </c:pt>
                <c:pt idx="225">
                  <c:v>11.761096353304014</c:v>
                </c:pt>
                <c:pt idx="226">
                  <c:v>11.547962976424706</c:v>
                </c:pt>
                <c:pt idx="227">
                  <c:v>10.458078870838126</c:v>
                </c:pt>
                <c:pt idx="228">
                  <c:v>11.306319611617994</c:v>
                </c:pt>
                <c:pt idx="229">
                  <c:v>10.611421431678341</c:v>
                </c:pt>
                <c:pt idx="230">
                  <c:v>10.581960728636803</c:v>
                </c:pt>
                <c:pt idx="231">
                  <c:v>11.164934870065476</c:v>
                </c:pt>
                <c:pt idx="232">
                  <c:v>11.79943763913268</c:v>
                </c:pt>
                <c:pt idx="233">
                  <c:v>13.039142215886098</c:v>
                </c:pt>
                <c:pt idx="234">
                  <c:v>12.908385724633762</c:v>
                </c:pt>
                <c:pt idx="235">
                  <c:v>13.346563073974194</c:v>
                </c:pt>
                <c:pt idx="236">
                  <c:v>12.304591802794269</c:v>
                </c:pt>
                <c:pt idx="237">
                  <c:v>12.809266522445961</c:v>
                </c:pt>
                <c:pt idx="238">
                  <c:v>11.694125340142948</c:v>
                </c:pt>
                <c:pt idx="239">
                  <c:v>11.730668532597589</c:v>
                </c:pt>
                <c:pt idx="240">
                  <c:v>11.287037579005288</c:v>
                </c:pt>
                <c:pt idx="241">
                  <c:v>10.793298215951841</c:v>
                </c:pt>
                <c:pt idx="242">
                  <c:v>10.951382440786226</c:v>
                </c:pt>
                <c:pt idx="243">
                  <c:v>11.024601554603946</c:v>
                </c:pt>
                <c:pt idx="244">
                  <c:v>10.804153417393831</c:v>
                </c:pt>
                <c:pt idx="245">
                  <c:v>10.828266535072022</c:v>
                </c:pt>
                <c:pt idx="246">
                  <c:v>10.745132520401532</c:v>
                </c:pt>
                <c:pt idx="247">
                  <c:v>10.570139756573212</c:v>
                </c:pt>
                <c:pt idx="248">
                  <c:v>9.6426243165904637</c:v>
                </c:pt>
                <c:pt idx="249">
                  <c:v>9.3751644798313887</c:v>
                </c:pt>
                <c:pt idx="250">
                  <c:v>9.1153414359437406</c:v>
                </c:pt>
                <c:pt idx="251">
                  <c:v>8.3892587371796612</c:v>
                </c:pt>
                <c:pt idx="252">
                  <c:v>7.3900972605693269</c:v>
                </c:pt>
                <c:pt idx="253">
                  <c:v>7.2802421929888155</c:v>
                </c:pt>
                <c:pt idx="254">
                  <c:v>6.6489833270669578</c:v>
                </c:pt>
                <c:pt idx="255">
                  <c:v>6.0338906723080417</c:v>
                </c:pt>
                <c:pt idx="256">
                  <c:v>5.6838555064807794</c:v>
                </c:pt>
                <c:pt idx="257">
                  <c:v>5.6541542398922191</c:v>
                </c:pt>
                <c:pt idx="258">
                  <c:v>5.2703851416081742</c:v>
                </c:pt>
                <c:pt idx="259">
                  <c:v>5.6538853081255747</c:v>
                </c:pt>
                <c:pt idx="260">
                  <c:v>6.0645622819038598</c:v>
                </c:pt>
                <c:pt idx="261">
                  <c:v>6.7038152862888625</c:v>
                </c:pt>
                <c:pt idx="262">
                  <c:v>6.3444348412486917</c:v>
                </c:pt>
                <c:pt idx="263">
                  <c:v>4.3638023837134767</c:v>
                </c:pt>
                <c:pt idx="264">
                  <c:v>4.96566589946565</c:v>
                </c:pt>
                <c:pt idx="265">
                  <c:v>5.8175685473357523</c:v>
                </c:pt>
                <c:pt idx="266">
                  <c:v>5.9857927969311318</c:v>
                </c:pt>
                <c:pt idx="267">
                  <c:v>5.8455965255402038</c:v>
                </c:pt>
                <c:pt idx="268">
                  <c:v>5.0088897133064441</c:v>
                </c:pt>
                <c:pt idx="269">
                  <c:v>3.8783524610133657</c:v>
                </c:pt>
                <c:pt idx="270">
                  <c:v>3.8669123214569479</c:v>
                </c:pt>
                <c:pt idx="271">
                  <c:v>3.5844226225212683</c:v>
                </c:pt>
                <c:pt idx="272">
                  <c:v>4.0191109739485764</c:v>
                </c:pt>
                <c:pt idx="273">
                  <c:v>4.7847922749881633</c:v>
                </c:pt>
                <c:pt idx="274">
                  <c:v>5.3302415337931137</c:v>
                </c:pt>
                <c:pt idx="275">
                  <c:v>4.3423392352949852</c:v>
                </c:pt>
                <c:pt idx="276">
                  <c:v>3.8587361278920413</c:v>
                </c:pt>
                <c:pt idx="277">
                  <c:v>3.2486203819077146</c:v>
                </c:pt>
                <c:pt idx="278">
                  <c:v>2.5379845154085006</c:v>
                </c:pt>
                <c:pt idx="279">
                  <c:v>2.2268754843470111</c:v>
                </c:pt>
                <c:pt idx="280">
                  <c:v>2.2908936714138672</c:v>
                </c:pt>
                <c:pt idx="281">
                  <c:v>1.9311605596804184</c:v>
                </c:pt>
                <c:pt idx="282">
                  <c:v>1.4344691134112626</c:v>
                </c:pt>
                <c:pt idx="283">
                  <c:v>0.67582321812756385</c:v>
                </c:pt>
                <c:pt idx="284">
                  <c:v>-8.4264246265229839E-2</c:v>
                </c:pt>
                <c:pt idx="285">
                  <c:v>-0.23709170934228838</c:v>
                </c:pt>
                <c:pt idx="286">
                  <c:v>-0.60082972268195489</c:v>
                </c:pt>
                <c:pt idx="287">
                  <c:v>-0.32919906124998222</c:v>
                </c:pt>
                <c:pt idx="288">
                  <c:v>-0.22666289943530338</c:v>
                </c:pt>
                <c:pt idx="289">
                  <c:v>-0.88628680167391827</c:v>
                </c:pt>
                <c:pt idx="290">
                  <c:v>-1.438461797365898</c:v>
                </c:pt>
                <c:pt idx="291">
                  <c:v>-1.453362422999962</c:v>
                </c:pt>
                <c:pt idx="292">
                  <c:v>-1.2375730295328038</c:v>
                </c:pt>
                <c:pt idx="293">
                  <c:v>-0.88138720859429265</c:v>
                </c:pt>
                <c:pt idx="294">
                  <c:v>-0.49742107572754479</c:v>
                </c:pt>
                <c:pt idx="295">
                  <c:v>0.23034246875872902</c:v>
                </c:pt>
                <c:pt idx="296">
                  <c:v>-0.46156568282711896</c:v>
                </c:pt>
                <c:pt idx="297">
                  <c:v>-3.5285117042337992E-2</c:v>
                </c:pt>
                <c:pt idx="298">
                  <c:v>0.21853938452670785</c:v>
                </c:pt>
                <c:pt idx="299">
                  <c:v>0.69919775244009619</c:v>
                </c:pt>
                <c:pt idx="300">
                  <c:v>1.1942496663178008</c:v>
                </c:pt>
                <c:pt idx="301">
                  <c:v>-0.35256640039623027</c:v>
                </c:pt>
                <c:pt idx="302">
                  <c:v>-0.63738466376581149</c:v>
                </c:pt>
                <c:pt idx="303">
                  <c:v>-0.27340611801398379</c:v>
                </c:pt>
                <c:pt idx="304">
                  <c:v>-0.49367492757638692</c:v>
                </c:pt>
                <c:pt idx="305">
                  <c:v>-0.55981264182185475</c:v>
                </c:pt>
                <c:pt idx="306">
                  <c:v>-0.11379411518313835</c:v>
                </c:pt>
                <c:pt idx="307">
                  <c:v>-0.60908970591978595</c:v>
                </c:pt>
                <c:pt idx="308">
                  <c:v>-0.72485977564396742</c:v>
                </c:pt>
                <c:pt idx="309">
                  <c:v>-0.68503359976858347</c:v>
                </c:pt>
                <c:pt idx="310">
                  <c:v>-0.77336618983308103</c:v>
                </c:pt>
                <c:pt idx="311">
                  <c:v>-0.23547397369834386</c:v>
                </c:pt>
                <c:pt idx="312">
                  <c:v>-0.20324319420429202</c:v>
                </c:pt>
                <c:pt idx="313">
                  <c:v>0.58154788338860142</c:v>
                </c:pt>
                <c:pt idx="314">
                  <c:v>0.45403066928489633</c:v>
                </c:pt>
                <c:pt idx="315">
                  <c:v>1.0681243622458105</c:v>
                </c:pt>
                <c:pt idx="316">
                  <c:v>0.94275763023851167</c:v>
                </c:pt>
                <c:pt idx="317">
                  <c:v>0.94327433329982702</c:v>
                </c:pt>
                <c:pt idx="318">
                  <c:v>0.4956850073153945</c:v>
                </c:pt>
                <c:pt idx="319">
                  <c:v>0.77836228837227672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32-9A41-8A4E-64EAF75B5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'240806B005'!$A$2:$A$321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'240806B005'!$J$2:$J$321</c:f>
              <c:numCache>
                <c:formatCode>0.0</c:formatCode>
                <c:ptCount val="320"/>
                <c:pt idx="0">
                  <c:v>1226.3070818690701</c:v>
                </c:pt>
                <c:pt idx="1">
                  <c:v>1211.2956798387002</c:v>
                </c:pt>
                <c:pt idx="2">
                  <c:v>1222.0593230299801</c:v>
                </c:pt>
                <c:pt idx="3">
                  <c:v>1189.7627118644</c:v>
                </c:pt>
                <c:pt idx="4">
                  <c:v>1204.96282760791</c:v>
                </c:pt>
                <c:pt idx="5">
                  <c:v>1383.8365980493402</c:v>
                </c:pt>
                <c:pt idx="6">
                  <c:v>1350.3386947261999</c:v>
                </c:pt>
                <c:pt idx="7">
                  <c:v>1417.18829836541</c:v>
                </c:pt>
                <c:pt idx="8">
                  <c:v>1805.8574239742302</c:v>
                </c:pt>
                <c:pt idx="9">
                  <c:v>1757.8905662525899</c:v>
                </c:pt>
                <c:pt idx="10">
                  <c:v>1664.2840342899599</c:v>
                </c:pt>
                <c:pt idx="11">
                  <c:v>1600.1159287769399</c:v>
                </c:pt>
                <c:pt idx="12">
                  <c:v>1551.69684962509</c:v>
                </c:pt>
                <c:pt idx="13">
                  <c:v>1596.1755318937201</c:v>
                </c:pt>
                <c:pt idx="14">
                  <c:v>1588.89175887485</c:v>
                </c:pt>
                <c:pt idx="15">
                  <c:v>1563.88788613206</c:v>
                </c:pt>
                <c:pt idx="16">
                  <c:v>1465.00308011681</c:v>
                </c:pt>
                <c:pt idx="17">
                  <c:v>1348.8150489679599</c:v>
                </c:pt>
                <c:pt idx="18">
                  <c:v>1464.4518152257601</c:v>
                </c:pt>
                <c:pt idx="19">
                  <c:v>1521.9831057408201</c:v>
                </c:pt>
                <c:pt idx="20">
                  <c:v>1652.94856698782</c:v>
                </c:pt>
                <c:pt idx="21">
                  <c:v>1640.9696376414602</c:v>
                </c:pt>
                <c:pt idx="22">
                  <c:v>1693.4768039312899</c:v>
                </c:pt>
                <c:pt idx="23">
                  <c:v>1589.3253730392501</c:v>
                </c:pt>
                <c:pt idx="24">
                  <c:v>1626.9994770963899</c:v>
                </c:pt>
                <c:pt idx="25">
                  <c:v>1623.7217281462699</c:v>
                </c:pt>
                <c:pt idx="26">
                  <c:v>1657.0495596390699</c:v>
                </c:pt>
                <c:pt idx="27">
                  <c:v>1534.41512032793</c:v>
                </c:pt>
                <c:pt idx="28">
                  <c:v>1527.0058216874299</c:v>
                </c:pt>
                <c:pt idx="29">
                  <c:v>1556.2979034907898</c:v>
                </c:pt>
                <c:pt idx="30">
                  <c:v>1526.20149153488</c:v>
                </c:pt>
                <c:pt idx="31">
                  <c:v>1551.46265585433</c:v>
                </c:pt>
                <c:pt idx="32">
                  <c:v>1493.4679607153701</c:v>
                </c:pt>
                <c:pt idx="33">
                  <c:v>1508.7997298907901</c:v>
                </c:pt>
                <c:pt idx="34">
                  <c:v>1456.7244142393502</c:v>
                </c:pt>
                <c:pt idx="35">
                  <c:v>1484.6680701165599</c:v>
                </c:pt>
                <c:pt idx="36">
                  <c:v>1561.37788891319</c:v>
                </c:pt>
                <c:pt idx="37">
                  <c:v>1636.15788354955</c:v>
                </c:pt>
                <c:pt idx="38">
                  <c:v>1652.5881731857901</c:v>
                </c:pt>
                <c:pt idx="39">
                  <c:v>1691.3791745356202</c:v>
                </c:pt>
                <c:pt idx="40">
                  <c:v>1637.25150506405</c:v>
                </c:pt>
                <c:pt idx="41">
                  <c:v>1633.00525427715</c:v>
                </c:pt>
                <c:pt idx="42">
                  <c:v>1581.8103798618299</c:v>
                </c:pt>
                <c:pt idx="43">
                  <c:v>1478.8013871456501</c:v>
                </c:pt>
                <c:pt idx="44">
                  <c:v>1509.1528099485799</c:v>
                </c:pt>
                <c:pt idx="45">
                  <c:v>1575.26483839569</c:v>
                </c:pt>
                <c:pt idx="46">
                  <c:v>1596.33640815271</c:v>
                </c:pt>
                <c:pt idx="47">
                  <c:v>1594.8347037088201</c:v>
                </c:pt>
                <c:pt idx="48">
                  <c:v>1574.43723554301</c:v>
                </c:pt>
                <c:pt idx="49">
                  <c:v>1557.7849083215601</c:v>
                </c:pt>
                <c:pt idx="50">
                  <c:v>1426.8815232721902</c:v>
                </c:pt>
                <c:pt idx="51">
                  <c:v>1444.6680238296501</c:v>
                </c:pt>
                <c:pt idx="52">
                  <c:v>1434.6039538192101</c:v>
                </c:pt>
                <c:pt idx="53">
                  <c:v>1555.3737529093698</c:v>
                </c:pt>
                <c:pt idx="54">
                  <c:v>1470.9478472142901</c:v>
                </c:pt>
                <c:pt idx="55">
                  <c:v>1603.4900598710201</c:v>
                </c:pt>
                <c:pt idx="56">
                  <c:v>1561.3936200988899</c:v>
                </c:pt>
                <c:pt idx="57">
                  <c:v>1631.35612844915</c:v>
                </c:pt>
                <c:pt idx="58">
                  <c:v>1615.6623095413402</c:v>
                </c:pt>
                <c:pt idx="59">
                  <c:v>1564.0925753391598</c:v>
                </c:pt>
                <c:pt idx="60">
                  <c:v>1525.41834436827</c:v>
                </c:pt>
                <c:pt idx="61">
                  <c:v>1463.3587391708902</c:v>
                </c:pt>
                <c:pt idx="62">
                  <c:v>1358.83898256869</c:v>
                </c:pt>
                <c:pt idx="63">
                  <c:v>1315.8381011701899</c:v>
                </c:pt>
                <c:pt idx="64">
                  <c:v>1237.27251034869</c:v>
                </c:pt>
                <c:pt idx="65">
                  <c:v>1359.6412418186399</c:v>
                </c:pt>
                <c:pt idx="66">
                  <c:v>1292.82496909717</c:v>
                </c:pt>
                <c:pt idx="67">
                  <c:v>1311.92795379631</c:v>
                </c:pt>
                <c:pt idx="68">
                  <c:v>1256.9160670988101</c:v>
                </c:pt>
                <c:pt idx="69">
                  <c:v>1293.3408344007401</c:v>
                </c:pt>
                <c:pt idx="70">
                  <c:v>1513.81593794082</c:v>
                </c:pt>
                <c:pt idx="71">
                  <c:v>1359.38081805364</c:v>
                </c:pt>
                <c:pt idx="72">
                  <c:v>1445.77291960506</c:v>
                </c:pt>
                <c:pt idx="73">
                  <c:v>1448.2708039492099</c:v>
                </c:pt>
                <c:pt idx="74">
                  <c:v>1450.2193229901</c:v>
                </c:pt>
                <c:pt idx="75">
                  <c:v>1395.7594063206</c:v>
                </c:pt>
                <c:pt idx="76">
                  <c:v>1480.91810144185</c:v>
                </c:pt>
                <c:pt idx="77">
                  <c:v>1508.0501840740401</c:v>
                </c:pt>
                <c:pt idx="78">
                  <c:v>1396.4984411481098</c:v>
                </c:pt>
                <c:pt idx="79">
                  <c:v>1472.2292219486101</c:v>
                </c:pt>
                <c:pt idx="80">
                  <c:v>1519.1846562942201</c:v>
                </c:pt>
                <c:pt idx="81">
                  <c:v>1476.3173782390299</c:v>
                </c:pt>
                <c:pt idx="82">
                  <c:v>1577.72309792533</c:v>
                </c:pt>
                <c:pt idx="83">
                  <c:v>1463.8917328129801</c:v>
                </c:pt>
                <c:pt idx="84">
                  <c:v>1393.7685452631101</c:v>
                </c:pt>
                <c:pt idx="85">
                  <c:v>1311.55885717806</c:v>
                </c:pt>
                <c:pt idx="86">
                  <c:v>1287.0555065199501</c:v>
                </c:pt>
                <c:pt idx="87">
                  <c:v>1373.2994699180801</c:v>
                </c:pt>
                <c:pt idx="88">
                  <c:v>1450.63217904106</c:v>
                </c:pt>
                <c:pt idx="89">
                  <c:v>1452.2843427551602</c:v>
                </c:pt>
                <c:pt idx="90">
                  <c:v>1469.0399166659699</c:v>
                </c:pt>
                <c:pt idx="91">
                  <c:v>1459.0489100669599</c:v>
                </c:pt>
                <c:pt idx="92">
                  <c:v>1425.56494859995</c:v>
                </c:pt>
                <c:pt idx="93">
                  <c:v>1442.6848839044499</c:v>
                </c:pt>
                <c:pt idx="94">
                  <c:v>1426.3972336174402</c:v>
                </c:pt>
                <c:pt idx="95">
                  <c:v>1418.45766694747</c:v>
                </c:pt>
                <c:pt idx="96">
                  <c:v>1456.9192796304401</c:v>
                </c:pt>
                <c:pt idx="97">
                  <c:v>1416.31579809145</c:v>
                </c:pt>
                <c:pt idx="98">
                  <c:v>1418.64319521273</c:v>
                </c:pt>
                <c:pt idx="99">
                  <c:v>1333.7463995030701</c:v>
                </c:pt>
                <c:pt idx="100">
                  <c:v>1333.18667097194</c:v>
                </c:pt>
                <c:pt idx="101">
                  <c:v>1320.6219651828499</c:v>
                </c:pt>
                <c:pt idx="102">
                  <c:v>1496.05328969586</c:v>
                </c:pt>
                <c:pt idx="103">
                  <c:v>1434.5031128946</c:v>
                </c:pt>
                <c:pt idx="104">
                  <c:v>1462.2866952065501</c:v>
                </c:pt>
                <c:pt idx="105">
                  <c:v>1480.6513796459799</c:v>
                </c:pt>
                <c:pt idx="106">
                  <c:v>1499.38267347389</c:v>
                </c:pt>
                <c:pt idx="107">
                  <c:v>1544.1091177749802</c:v>
                </c:pt>
                <c:pt idx="108">
                  <c:v>1433.58129224718</c:v>
                </c:pt>
                <c:pt idx="109">
                  <c:v>1368.21365685466</c:v>
                </c:pt>
                <c:pt idx="110">
                  <c:v>1371.79999920205</c:v>
                </c:pt>
                <c:pt idx="111">
                  <c:v>1373.0431629702998</c:v>
                </c:pt>
                <c:pt idx="112">
                  <c:v>1301.9040563536801</c:v>
                </c:pt>
                <c:pt idx="113">
                  <c:v>1328.3854463624698</c:v>
                </c:pt>
                <c:pt idx="114">
                  <c:v>1350.9188180655801</c:v>
                </c:pt>
                <c:pt idx="115">
                  <c:v>1300.6128319863701</c:v>
                </c:pt>
                <c:pt idx="116">
                  <c:v>1370.60918025466</c:v>
                </c:pt>
                <c:pt idx="117">
                  <c:v>1370.06716358279</c:v>
                </c:pt>
                <c:pt idx="118">
                  <c:v>1379.27385756581</c:v>
                </c:pt>
                <c:pt idx="119">
                  <c:v>1388.7596465798401</c:v>
                </c:pt>
                <c:pt idx="120">
                  <c:v>1381.25298223809</c:v>
                </c:pt>
                <c:pt idx="121">
                  <c:v>1373.77355410266</c:v>
                </c:pt>
                <c:pt idx="122">
                  <c:v>1274.88915716411</c:v>
                </c:pt>
                <c:pt idx="123">
                  <c:v>1418.08165893717</c:v>
                </c:pt>
                <c:pt idx="124">
                  <c:v>1416.6952937614501</c:v>
                </c:pt>
                <c:pt idx="125">
                  <c:v>1391.37670826262</c:v>
                </c:pt>
                <c:pt idx="126">
                  <c:v>1531.33046266513</c:v>
                </c:pt>
                <c:pt idx="127">
                  <c:v>1457.9925299432298</c:v>
                </c:pt>
                <c:pt idx="128">
                  <c:v>1359.15937444476</c:v>
                </c:pt>
                <c:pt idx="129">
                  <c:v>1332.54613917642</c:v>
                </c:pt>
                <c:pt idx="130">
                  <c:v>1340.45648999782</c:v>
                </c:pt>
                <c:pt idx="131">
                  <c:v>1337.5984634180099</c:v>
                </c:pt>
                <c:pt idx="132">
                  <c:v>1340.15326089114</c:v>
                </c:pt>
                <c:pt idx="133">
                  <c:v>1322.4738949919299</c:v>
                </c:pt>
                <c:pt idx="134">
                  <c:v>1329.1637150121901</c:v>
                </c:pt>
                <c:pt idx="135">
                  <c:v>1273.7784888456199</c:v>
                </c:pt>
                <c:pt idx="136">
                  <c:v>1257.56050378433</c:v>
                </c:pt>
                <c:pt idx="137">
                  <c:v>1291.2917618546001</c:v>
                </c:pt>
                <c:pt idx="138">
                  <c:v>1290.6819493831399</c:v>
                </c:pt>
                <c:pt idx="139">
                  <c:v>1217.9229116589299</c:v>
                </c:pt>
                <c:pt idx="140">
                  <c:v>1280.4530278484099</c:v>
                </c:pt>
                <c:pt idx="141">
                  <c:v>1349.9339300491199</c:v>
                </c:pt>
                <c:pt idx="142">
                  <c:v>1528.53180796418</c:v>
                </c:pt>
                <c:pt idx="143">
                  <c:v>1416.54801196467</c:v>
                </c:pt>
                <c:pt idx="144">
                  <c:v>1540.26281477314</c:v>
                </c:pt>
                <c:pt idx="145">
                  <c:v>1510.5974776548901</c:v>
                </c:pt>
                <c:pt idx="146">
                  <c:v>1467.02597720326</c:v>
                </c:pt>
                <c:pt idx="147">
                  <c:v>1425.9592141962698</c:v>
                </c:pt>
                <c:pt idx="148">
                  <c:v>1470.3152327221799</c:v>
                </c:pt>
                <c:pt idx="149">
                  <c:v>1470.85684062059</c:v>
                </c:pt>
                <c:pt idx="150">
                  <c:v>1419.1748942172201</c:v>
                </c:pt>
                <c:pt idx="151">
                  <c:v>1315.8850493653099</c:v>
                </c:pt>
                <c:pt idx="152">
                  <c:v>1385.34993523103</c:v>
                </c:pt>
                <c:pt idx="153">
                  <c:v>1309.03779019595</c:v>
                </c:pt>
                <c:pt idx="154">
                  <c:v>1347.33931373257</c:v>
                </c:pt>
                <c:pt idx="155">
                  <c:v>1419.7262497931401</c:v>
                </c:pt>
                <c:pt idx="156">
                  <c:v>1432.9372291004099</c:v>
                </c:pt>
                <c:pt idx="157">
                  <c:v>1523.1113858587601</c:v>
                </c:pt>
                <c:pt idx="158">
                  <c:v>1457.89034693586</c:v>
                </c:pt>
                <c:pt idx="159">
                  <c:v>1431.25088365645</c:v>
                </c:pt>
                <c:pt idx="160">
                  <c:v>1424.8463587128501</c:v>
                </c:pt>
                <c:pt idx="161">
                  <c:v>1427.4616742542098</c:v>
                </c:pt>
                <c:pt idx="162">
                  <c:v>1426.59772665991</c:v>
                </c:pt>
                <c:pt idx="163">
                  <c:v>1377.86563755869</c:v>
                </c:pt>
                <c:pt idx="164">
                  <c:v>1368.9703296288199</c:v>
                </c:pt>
                <c:pt idx="165">
                  <c:v>1384.0648380401199</c:v>
                </c:pt>
                <c:pt idx="166">
                  <c:v>1352.9100245223499</c:v>
                </c:pt>
                <c:pt idx="167">
                  <c:v>1263.77328924379</c:v>
                </c:pt>
                <c:pt idx="168">
                  <c:v>1262.0667842528401</c:v>
                </c:pt>
                <c:pt idx="169">
                  <c:v>1240.2448691240102</c:v>
                </c:pt>
                <c:pt idx="170">
                  <c:v>1270.0129288421299</c:v>
                </c:pt>
                <c:pt idx="171">
                  <c:v>1309.33791965983</c:v>
                </c:pt>
                <c:pt idx="172">
                  <c:v>1330.29395622169</c:v>
                </c:pt>
                <c:pt idx="173">
                  <c:v>1361.21368124124</c:v>
                </c:pt>
                <c:pt idx="174">
                  <c:v>1331.9365303243799</c:v>
                </c:pt>
                <c:pt idx="175">
                  <c:v>1256.05712270804</c:v>
                </c:pt>
                <c:pt idx="176">
                  <c:v>1259.47825849265</c:v>
                </c:pt>
                <c:pt idx="177">
                  <c:v>1299.35358484469</c:v>
                </c:pt>
                <c:pt idx="178">
                  <c:v>1378.9464793163602</c:v>
                </c:pt>
                <c:pt idx="179">
                  <c:v>1504.9119488433801</c:v>
                </c:pt>
                <c:pt idx="180">
                  <c:v>1456.1042771360799</c:v>
                </c:pt>
                <c:pt idx="181">
                  <c:v>1394.1844419449401</c:v>
                </c:pt>
                <c:pt idx="182">
                  <c:v>1346.1837317669799</c:v>
                </c:pt>
                <c:pt idx="183">
                  <c:v>1270.1683595224899</c:v>
                </c:pt>
                <c:pt idx="184">
                  <c:v>1084.6225073998</c:v>
                </c:pt>
                <c:pt idx="185">
                  <c:v>1198.89210155152</c:v>
                </c:pt>
                <c:pt idx="186">
                  <c:v>1212.24047954868</c:v>
                </c:pt>
                <c:pt idx="187">
                  <c:v>1220.6304654442599</c:v>
                </c:pt>
                <c:pt idx="188">
                  <c:v>1282.24612129758</c:v>
                </c:pt>
                <c:pt idx="189">
                  <c:v>1402.7764228046799</c:v>
                </c:pt>
                <c:pt idx="190">
                  <c:v>1350.33159658112</c:v>
                </c:pt>
                <c:pt idx="191">
                  <c:v>1234.8266545762899</c:v>
                </c:pt>
                <c:pt idx="192">
                  <c:v>1288.7452829814001</c:v>
                </c:pt>
                <c:pt idx="193">
                  <c:v>1285.7615318143298</c:v>
                </c:pt>
                <c:pt idx="194">
                  <c:v>1265.1287967580299</c:v>
                </c:pt>
                <c:pt idx="195">
                  <c:v>1300.66207215079</c:v>
                </c:pt>
                <c:pt idx="196">
                  <c:v>1310.3344593655502</c:v>
                </c:pt>
                <c:pt idx="197">
                  <c:v>1217.6352218020099</c:v>
                </c:pt>
                <c:pt idx="198">
                  <c:v>1218.4343597294701</c:v>
                </c:pt>
                <c:pt idx="199">
                  <c:v>1353.55664923265</c:v>
                </c:pt>
                <c:pt idx="200">
                  <c:v>1382.7590397107401</c:v>
                </c:pt>
                <c:pt idx="201">
                  <c:v>1349.0554242237499</c:v>
                </c:pt>
                <c:pt idx="202">
                  <c:v>1335.6601472019502</c:v>
                </c:pt>
                <c:pt idx="203">
                  <c:v>1217.8878702398201</c:v>
                </c:pt>
                <c:pt idx="204">
                  <c:v>1253.2914608951201</c:v>
                </c:pt>
                <c:pt idx="205">
                  <c:v>1219.0685730745099</c:v>
                </c:pt>
                <c:pt idx="206">
                  <c:v>1189.7016577603599</c:v>
                </c:pt>
                <c:pt idx="207">
                  <c:v>1192.0123780766701</c:v>
                </c:pt>
                <c:pt idx="208">
                  <c:v>1167.55189515091</c:v>
                </c:pt>
                <c:pt idx="209">
                  <c:v>1179.7279615454302</c:v>
                </c:pt>
                <c:pt idx="210">
                  <c:v>1205.2502760739699</c:v>
                </c:pt>
                <c:pt idx="211">
                  <c:v>1288.54811887037</c:v>
                </c:pt>
                <c:pt idx="212">
                  <c:v>1350.86358972126</c:v>
                </c:pt>
                <c:pt idx="213">
                  <c:v>1357.01992044504</c:v>
                </c:pt>
                <c:pt idx="214">
                  <c:v>1338.8517277856099</c:v>
                </c:pt>
                <c:pt idx="215">
                  <c:v>1326.9647450119501</c:v>
                </c:pt>
                <c:pt idx="216">
                  <c:v>1298.1290405741699</c:v>
                </c:pt>
                <c:pt idx="217">
                  <c:v>1237.1064740760801</c:v>
                </c:pt>
                <c:pt idx="218">
                  <c:v>1239.13580758733</c:v>
                </c:pt>
                <c:pt idx="219">
                  <c:v>1306.9478138222801</c:v>
                </c:pt>
                <c:pt idx="220">
                  <c:v>1295.6925246826199</c:v>
                </c:pt>
                <c:pt idx="221">
                  <c:v>1278.0409026798602</c:v>
                </c:pt>
                <c:pt idx="222">
                  <c:v>1288.60860366713</c:v>
                </c:pt>
                <c:pt idx="223">
                  <c:v>1244.35190409027</c:v>
                </c:pt>
                <c:pt idx="224">
                  <c:v>1209.5261381667999</c:v>
                </c:pt>
                <c:pt idx="225">
                  <c:v>1158.3428203936598</c:v>
                </c:pt>
                <c:pt idx="226">
                  <c:v>1167.4170797137501</c:v>
                </c:pt>
                <c:pt idx="227">
                  <c:v>1289.3498122728402</c:v>
                </c:pt>
                <c:pt idx="228">
                  <c:v>1189.2345229344799</c:v>
                </c:pt>
                <c:pt idx="229">
                  <c:v>1378.80505046954</c:v>
                </c:pt>
                <c:pt idx="230">
                  <c:v>1392.13407234895</c:v>
                </c:pt>
                <c:pt idx="231">
                  <c:v>1438.04261514008</c:v>
                </c:pt>
                <c:pt idx="232">
                  <c:v>1236.0761690929501</c:v>
                </c:pt>
                <c:pt idx="233">
                  <c:v>1425.5934721610599</c:v>
                </c:pt>
                <c:pt idx="234">
                  <c:v>1428.9661784537802</c:v>
                </c:pt>
                <c:pt idx="235">
                  <c:v>1449.6222104436799</c:v>
                </c:pt>
                <c:pt idx="236">
                  <c:v>1425.7948058377701</c:v>
                </c:pt>
                <c:pt idx="237">
                  <c:v>1357.27011669796</c:v>
                </c:pt>
                <c:pt idx="238">
                  <c:v>1342.67827886951</c:v>
                </c:pt>
                <c:pt idx="239">
                  <c:v>1346.61900675841</c:v>
                </c:pt>
                <c:pt idx="240">
                  <c:v>1453.6365303244002</c:v>
                </c:pt>
                <c:pt idx="241">
                  <c:v>1484.0627376387999</c:v>
                </c:pt>
                <c:pt idx="242">
                  <c:v>1473.60021653187</c:v>
                </c:pt>
                <c:pt idx="243">
                  <c:v>1446.8616996762298</c:v>
                </c:pt>
                <c:pt idx="244">
                  <c:v>1419.7878901051301</c:v>
                </c:pt>
                <c:pt idx="245">
                  <c:v>1468.69996616146</c:v>
                </c:pt>
                <c:pt idx="246">
                  <c:v>1398.51186893415</c:v>
                </c:pt>
                <c:pt idx="247">
                  <c:v>1426.0865432509599</c:v>
                </c:pt>
                <c:pt idx="248">
                  <c:v>1460.4215255880399</c:v>
                </c:pt>
                <c:pt idx="249">
                  <c:v>1451.7487664912601</c:v>
                </c:pt>
                <c:pt idx="250">
                  <c:v>1430.62506176281</c:v>
                </c:pt>
                <c:pt idx="251">
                  <c:v>1488.7552708029598</c:v>
                </c:pt>
                <c:pt idx="252">
                  <c:v>1492.0368423452501</c:v>
                </c:pt>
                <c:pt idx="253">
                  <c:v>1496.29165919154</c:v>
                </c:pt>
                <c:pt idx="254">
                  <c:v>1497.9336717854399</c:v>
                </c:pt>
                <c:pt idx="255">
                  <c:v>1467.0587645762198</c:v>
                </c:pt>
                <c:pt idx="256">
                  <c:v>1464.7294890641201</c:v>
                </c:pt>
                <c:pt idx="257">
                  <c:v>1469.7037217663901</c:v>
                </c:pt>
                <c:pt idx="258">
                  <c:v>1490.5261745366099</c:v>
                </c:pt>
                <c:pt idx="259">
                  <c:v>1526.16799400065</c:v>
                </c:pt>
                <c:pt idx="260">
                  <c:v>1514.33216591511</c:v>
                </c:pt>
                <c:pt idx="261">
                  <c:v>1500.46839726656</c:v>
                </c:pt>
                <c:pt idx="262">
                  <c:v>1478.2136643556801</c:v>
                </c:pt>
                <c:pt idx="263">
                  <c:v>1439.17168497589</c:v>
                </c:pt>
                <c:pt idx="264">
                  <c:v>1387.81188751785</c:v>
                </c:pt>
                <c:pt idx="265">
                  <c:v>1373.6842885420001</c:v>
                </c:pt>
                <c:pt idx="266">
                  <c:v>1365.60805753158</c:v>
                </c:pt>
                <c:pt idx="267">
                  <c:v>1402.66687464755</c:v>
                </c:pt>
                <c:pt idx="268">
                  <c:v>1440.18779332488</c:v>
                </c:pt>
                <c:pt idx="269">
                  <c:v>1427.05724908245</c:v>
                </c:pt>
                <c:pt idx="270">
                  <c:v>1401.85079397801</c:v>
                </c:pt>
                <c:pt idx="271">
                  <c:v>1376.4843295765099</c:v>
                </c:pt>
                <c:pt idx="272">
                  <c:v>1331.8003601917799</c:v>
                </c:pt>
                <c:pt idx="273">
                  <c:v>1344.7289631254</c:v>
                </c:pt>
                <c:pt idx="274">
                  <c:v>1317.83234133568</c:v>
                </c:pt>
                <c:pt idx="275">
                  <c:v>1280.05174659312</c:v>
                </c:pt>
                <c:pt idx="276">
                  <c:v>1259.94233809463</c:v>
                </c:pt>
                <c:pt idx="277">
                  <c:v>1290.79680479425</c:v>
                </c:pt>
                <c:pt idx="278">
                  <c:v>1483.3792291995801</c:v>
                </c:pt>
                <c:pt idx="279">
                  <c:v>1505.3570717176599</c:v>
                </c:pt>
                <c:pt idx="280">
                  <c:v>1461.9765165679601</c:v>
                </c:pt>
                <c:pt idx="281">
                  <c:v>1474.5352489526499</c:v>
                </c:pt>
                <c:pt idx="282">
                  <c:v>1468.5162130409401</c:v>
                </c:pt>
                <c:pt idx="283">
                  <c:v>1461.8218822817</c:v>
                </c:pt>
                <c:pt idx="284">
                  <c:v>1432.5280390343698</c:v>
                </c:pt>
                <c:pt idx="285">
                  <c:v>1385.96541094292</c:v>
                </c:pt>
                <c:pt idx="286">
                  <c:v>1381.0017936541501</c:v>
                </c:pt>
                <c:pt idx="287">
                  <c:v>1348.4564342116601</c:v>
                </c:pt>
                <c:pt idx="288">
                  <c:v>1482.9404986732</c:v>
                </c:pt>
                <c:pt idx="289">
                  <c:v>1483.7765472974502</c:v>
                </c:pt>
                <c:pt idx="290">
                  <c:v>1487.7669471604399</c:v>
                </c:pt>
                <c:pt idx="291">
                  <c:v>1441.2996890264699</c:v>
                </c:pt>
                <c:pt idx="292">
                  <c:v>1406.5675954036901</c:v>
                </c:pt>
                <c:pt idx="293">
                  <c:v>1370.16743077824</c:v>
                </c:pt>
                <c:pt idx="294">
                  <c:v>1370.0363085274498</c:v>
                </c:pt>
                <c:pt idx="295">
                  <c:v>1351.21040120098</c:v>
                </c:pt>
                <c:pt idx="296">
                  <c:v>1315.01474371068</c:v>
                </c:pt>
                <c:pt idx="297">
                  <c:v>1332.0174671832799</c:v>
                </c:pt>
                <c:pt idx="298">
                  <c:v>1331.93385369924</c:v>
                </c:pt>
                <c:pt idx="299">
                  <c:v>1388.5109839803301</c:v>
                </c:pt>
                <c:pt idx="300">
                  <c:v>1467.98092878134</c:v>
                </c:pt>
                <c:pt idx="301">
                  <c:v>1439.90089218352</c:v>
                </c:pt>
                <c:pt idx="302">
                  <c:v>1342.79580765173</c:v>
                </c:pt>
                <c:pt idx="303">
                  <c:v>1403.7334452161401</c:v>
                </c:pt>
                <c:pt idx="304">
                  <c:v>1353.8402387229598</c:v>
                </c:pt>
                <c:pt idx="305">
                  <c:v>1417.8097714933199</c:v>
                </c:pt>
                <c:pt idx="306">
                  <c:v>1197.99889704202</c:v>
                </c:pt>
                <c:pt idx="307">
                  <c:v>1468.5588572583802</c:v>
                </c:pt>
                <c:pt idx="308">
                  <c:v>1467.9807534292399</c:v>
                </c:pt>
                <c:pt idx="309">
                  <c:v>1436.5092555607</c:v>
                </c:pt>
                <c:pt idx="310">
                  <c:v>1394.0550115125</c:v>
                </c:pt>
                <c:pt idx="311">
                  <c:v>1401.8208744711301</c:v>
                </c:pt>
                <c:pt idx="312">
                  <c:v>1363.8074753173701</c:v>
                </c:pt>
                <c:pt idx="313">
                  <c:v>1367.92947813822</c:v>
                </c:pt>
                <c:pt idx="314">
                  <c:v>1355.52397743303</c:v>
                </c:pt>
                <c:pt idx="315">
                  <c:v>1262.0049365303298</c:v>
                </c:pt>
                <c:pt idx="316">
                  <c:v>1326.6043495103202</c:v>
                </c:pt>
                <c:pt idx="317">
                  <c:v>1354.2282117244599</c:v>
                </c:pt>
                <c:pt idx="318">
                  <c:v>1273.4989729633201</c:v>
                </c:pt>
                <c:pt idx="319">
                  <c:v>1501.6617323052299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3-4B43-AD01-AEF3FA76D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F-7343-BC3B-7B593A74097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'240806B005'!$A$2:$A$321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'240806B005'!$P$2:$P$321</c:f>
              <c:numCache>
                <c:formatCode>General</c:formatCode>
                <c:ptCount val="320"/>
                <c:pt idx="0">
                  <c:v>24.568680086064223</c:v>
                </c:pt>
                <c:pt idx="1">
                  <c:v>26.594909886005308</c:v>
                </c:pt>
                <c:pt idx="2">
                  <c:v>26.779342666241362</c:v>
                </c:pt>
                <c:pt idx="3">
                  <c:v>26.067206459656372</c:v>
                </c:pt>
                <c:pt idx="4">
                  <c:v>25.34022508136124</c:v>
                </c:pt>
                <c:pt idx="5">
                  <c:v>26.854844056685451</c:v>
                </c:pt>
                <c:pt idx="6">
                  <c:v>19.306137179105935</c:v>
                </c:pt>
                <c:pt idx="7">
                  <c:v>25.253081297967867</c:v>
                </c:pt>
                <c:pt idx="8">
                  <c:v>20.048695927895917</c:v>
                </c:pt>
                <c:pt idx="9">
                  <c:v>19.075822155997638</c:v>
                </c:pt>
                <c:pt idx="10">
                  <c:v>19.705863874949419</c:v>
                </c:pt>
                <c:pt idx="11">
                  <c:v>21.303164842529739</c:v>
                </c:pt>
                <c:pt idx="12">
                  <c:v>20.802241757624266</c:v>
                </c:pt>
                <c:pt idx="13">
                  <c:v>19.496039934588357</c:v>
                </c:pt>
                <c:pt idx="14">
                  <c:v>18.521347410074153</c:v>
                </c:pt>
                <c:pt idx="15">
                  <c:v>20.097032949438741</c:v>
                </c:pt>
                <c:pt idx="16">
                  <c:v>21.218400136563989</c:v>
                </c:pt>
                <c:pt idx="17">
                  <c:v>22.987003175351166</c:v>
                </c:pt>
                <c:pt idx="18">
                  <c:v>15.745473857396625</c:v>
                </c:pt>
                <c:pt idx="19">
                  <c:v>14.010825515142319</c:v>
                </c:pt>
                <c:pt idx="20">
                  <c:v>10.366367992823305</c:v>
                </c:pt>
                <c:pt idx="21">
                  <c:v>8.6560829781532309</c:v>
                </c:pt>
                <c:pt idx="22">
                  <c:v>8.7330544520848186</c:v>
                </c:pt>
                <c:pt idx="23">
                  <c:v>7.2638233982301372</c:v>
                </c:pt>
                <c:pt idx="24">
                  <c:v>8.1569089871298139</c:v>
                </c:pt>
                <c:pt idx="25">
                  <c:v>11.035269506360553</c:v>
                </c:pt>
                <c:pt idx="26">
                  <c:v>8.2159993627430481</c:v>
                </c:pt>
                <c:pt idx="27">
                  <c:v>10.746410950516664</c:v>
                </c:pt>
                <c:pt idx="28">
                  <c:v>10.438774878622343</c:v>
                </c:pt>
                <c:pt idx="29">
                  <c:v>10.069008840376767</c:v>
                </c:pt>
                <c:pt idx="30">
                  <c:v>8.707706819287516</c:v>
                </c:pt>
                <c:pt idx="31">
                  <c:v>5.8156789651284644</c:v>
                </c:pt>
                <c:pt idx="32">
                  <c:v>5.7915272428455316</c:v>
                </c:pt>
                <c:pt idx="33">
                  <c:v>6.2502033846332701</c:v>
                </c:pt>
                <c:pt idx="34">
                  <c:v>4.0388114491835365</c:v>
                </c:pt>
                <c:pt idx="35">
                  <c:v>3.1272589549982319</c:v>
                </c:pt>
                <c:pt idx="36">
                  <c:v>4.9536085588211671</c:v>
                </c:pt>
                <c:pt idx="37">
                  <c:v>2.1320410373697087</c:v>
                </c:pt>
                <c:pt idx="38">
                  <c:v>1.7107356818461459</c:v>
                </c:pt>
                <c:pt idx="39">
                  <c:v>1.794838151105957</c:v>
                </c:pt>
                <c:pt idx="40">
                  <c:v>4.0107955276049978</c:v>
                </c:pt>
                <c:pt idx="41">
                  <c:v>3.6283391595987902</c:v>
                </c:pt>
                <c:pt idx="42">
                  <c:v>3.7003767773593541</c:v>
                </c:pt>
                <c:pt idx="43">
                  <c:v>4.4861022890953723</c:v>
                </c:pt>
                <c:pt idx="44">
                  <c:v>4.6737506745292556</c:v>
                </c:pt>
                <c:pt idx="45">
                  <c:v>2.3982474529597604</c:v>
                </c:pt>
                <c:pt idx="46">
                  <c:v>3.4972847570617236</c:v>
                </c:pt>
                <c:pt idx="47">
                  <c:v>4.6391584033558271</c:v>
                </c:pt>
                <c:pt idx="48">
                  <c:v>3.6767433078213978</c:v>
                </c:pt>
                <c:pt idx="49">
                  <c:v>1.4224819280035248</c:v>
                </c:pt>
                <c:pt idx="50">
                  <c:v>1.0445270971042946</c:v>
                </c:pt>
                <c:pt idx="51">
                  <c:v>0.64452542416953928</c:v>
                </c:pt>
                <c:pt idx="52">
                  <c:v>2.8799509113688169</c:v>
                </c:pt>
                <c:pt idx="53">
                  <c:v>-0.70247506509499069</c:v>
                </c:pt>
                <c:pt idx="54">
                  <c:v>-4.3829186702606293</c:v>
                </c:pt>
                <c:pt idx="55">
                  <c:v>-1.8612637216640644</c:v>
                </c:pt>
                <c:pt idx="56">
                  <c:v>1.6223636477878038</c:v>
                </c:pt>
                <c:pt idx="57">
                  <c:v>-2.429304370177892</c:v>
                </c:pt>
                <c:pt idx="58">
                  <c:v>-2.3502271412277946</c:v>
                </c:pt>
                <c:pt idx="59">
                  <c:v>-3.0378830568929156</c:v>
                </c:pt>
                <c:pt idx="60">
                  <c:v>-3.6828866785062004</c:v>
                </c:pt>
                <c:pt idx="61">
                  <c:v>0.15913589935399694</c:v>
                </c:pt>
                <c:pt idx="62">
                  <c:v>-0.95544531878476446</c:v>
                </c:pt>
                <c:pt idx="63">
                  <c:v>0.93172337301502439</c:v>
                </c:pt>
                <c:pt idx="64">
                  <c:v>3.191557951971518</c:v>
                </c:pt>
                <c:pt idx="65">
                  <c:v>-1.3848272147791572</c:v>
                </c:pt>
                <c:pt idx="66">
                  <c:v>-0.88157551721125982</c:v>
                </c:pt>
                <c:pt idx="67">
                  <c:v>1.7027847670721643</c:v>
                </c:pt>
                <c:pt idx="68">
                  <c:v>6.1738336409888293</c:v>
                </c:pt>
                <c:pt idx="69">
                  <c:v>3.1651223438819529</c:v>
                </c:pt>
                <c:pt idx="70">
                  <c:v>-1.8585534347673138</c:v>
                </c:pt>
                <c:pt idx="71">
                  <c:v>-4.4278676382600084</c:v>
                </c:pt>
                <c:pt idx="72">
                  <c:v>-3.8055757182046195</c:v>
                </c:pt>
                <c:pt idx="73">
                  <c:v>-1.9495610822978269</c:v>
                </c:pt>
                <c:pt idx="74">
                  <c:v>0.53161168101648526</c:v>
                </c:pt>
                <c:pt idx="75">
                  <c:v>0.96752775610452546</c:v>
                </c:pt>
                <c:pt idx="76">
                  <c:v>-1.0627332209152542</c:v>
                </c:pt>
                <c:pt idx="77">
                  <c:v>-2.3002809477669555</c:v>
                </c:pt>
                <c:pt idx="78">
                  <c:v>4.4488446411457243</c:v>
                </c:pt>
                <c:pt idx="79">
                  <c:v>1.0371647169430405</c:v>
                </c:pt>
                <c:pt idx="80">
                  <c:v>-1.4494781193513897</c:v>
                </c:pt>
                <c:pt idx="81">
                  <c:v>2.019831423014808</c:v>
                </c:pt>
                <c:pt idx="82">
                  <c:v>0.50875258392592659</c:v>
                </c:pt>
                <c:pt idx="83">
                  <c:v>3.0926181841575238</c:v>
                </c:pt>
                <c:pt idx="84">
                  <c:v>2.7889631183611003</c:v>
                </c:pt>
                <c:pt idx="85">
                  <c:v>2.8914796791101391</c:v>
                </c:pt>
                <c:pt idx="86">
                  <c:v>4.5192238040627695</c:v>
                </c:pt>
                <c:pt idx="87">
                  <c:v>4.139379976847164</c:v>
                </c:pt>
                <c:pt idx="88">
                  <c:v>2.085418083516045</c:v>
                </c:pt>
                <c:pt idx="89">
                  <c:v>0.31076934808621887</c:v>
                </c:pt>
                <c:pt idx="90">
                  <c:v>2.1048813785764389</c:v>
                </c:pt>
                <c:pt idx="91">
                  <c:v>3.5604664355556697</c:v>
                </c:pt>
                <c:pt idx="92">
                  <c:v>2.1226098227744936</c:v>
                </c:pt>
                <c:pt idx="93">
                  <c:v>0.74321069691121278</c:v>
                </c:pt>
                <c:pt idx="94">
                  <c:v>2.5356422553531743</c:v>
                </c:pt>
                <c:pt idx="95">
                  <c:v>6.1522454521113854</c:v>
                </c:pt>
                <c:pt idx="96">
                  <c:v>7.0380866762391197</c:v>
                </c:pt>
                <c:pt idx="97">
                  <c:v>5.4224748996543903</c:v>
                </c:pt>
                <c:pt idx="98">
                  <c:v>5.5469754380079168</c:v>
                </c:pt>
                <c:pt idx="99">
                  <c:v>6.4042008841115328</c:v>
                </c:pt>
                <c:pt idx="100">
                  <c:v>7.4922192862829151</c:v>
                </c:pt>
                <c:pt idx="101">
                  <c:v>8.0561676146419341</c:v>
                </c:pt>
                <c:pt idx="102">
                  <c:v>8.1671410846324051</c:v>
                </c:pt>
                <c:pt idx="103">
                  <c:v>8.751550432864013</c:v>
                </c:pt>
                <c:pt idx="104">
                  <c:v>10.359372673700317</c:v>
                </c:pt>
                <c:pt idx="105">
                  <c:v>11.101226475888458</c:v>
                </c:pt>
                <c:pt idx="106">
                  <c:v>16.227173438478598</c:v>
                </c:pt>
                <c:pt idx="107">
                  <c:v>14.995064527109388</c:v>
                </c:pt>
                <c:pt idx="108">
                  <c:v>13.186705330464971</c:v>
                </c:pt>
                <c:pt idx="109">
                  <c:v>14.144105004541045</c:v>
                </c:pt>
                <c:pt idx="110">
                  <c:v>15.964818013853355</c:v>
                </c:pt>
                <c:pt idx="111">
                  <c:v>16.319230345078857</c:v>
                </c:pt>
                <c:pt idx="112">
                  <c:v>17.42299332402877</c:v>
                </c:pt>
                <c:pt idx="113">
                  <c:v>20.463378583028046</c:v>
                </c:pt>
                <c:pt idx="114">
                  <c:v>22.712238608815976</c:v>
                </c:pt>
                <c:pt idx="115">
                  <c:v>25.075800067855873</c:v>
                </c:pt>
                <c:pt idx="116">
                  <c:v>19.705320835486699</c:v>
                </c:pt>
                <c:pt idx="117">
                  <c:v>18.797619638665548</c:v>
                </c:pt>
                <c:pt idx="118">
                  <c:v>20.166865104134523</c:v>
                </c:pt>
                <c:pt idx="119">
                  <c:v>21.415906740943147</c:v>
                </c:pt>
                <c:pt idx="120">
                  <c:v>20.307993349187576</c:v>
                </c:pt>
                <c:pt idx="121">
                  <c:v>22.583948416014344</c:v>
                </c:pt>
                <c:pt idx="122">
                  <c:v>18.899987558740079</c:v>
                </c:pt>
                <c:pt idx="123">
                  <c:v>17.388333354664837</c:v>
                </c:pt>
                <c:pt idx="124">
                  <c:v>12.970911855579862</c:v>
                </c:pt>
                <c:pt idx="125">
                  <c:v>12.778935940982949</c:v>
                </c:pt>
                <c:pt idx="126">
                  <c:v>14.114839299346313</c:v>
                </c:pt>
                <c:pt idx="127">
                  <c:v>13.495954105500974</c:v>
                </c:pt>
                <c:pt idx="128">
                  <c:v>14.464293724740346</c:v>
                </c:pt>
                <c:pt idx="129">
                  <c:v>12.380049210297292</c:v>
                </c:pt>
                <c:pt idx="130">
                  <c:v>10.549628075470665</c:v>
                </c:pt>
                <c:pt idx="131">
                  <c:v>12.25394452246463</c:v>
                </c:pt>
                <c:pt idx="132">
                  <c:v>11.993757821607485</c:v>
                </c:pt>
                <c:pt idx="133">
                  <c:v>11.933567564301919</c:v>
                </c:pt>
                <c:pt idx="134">
                  <c:v>11.125715124829807</c:v>
                </c:pt>
                <c:pt idx="135">
                  <c:v>9.2376067372797106</c:v>
                </c:pt>
                <c:pt idx="136">
                  <c:v>11.130348726599202</c:v>
                </c:pt>
                <c:pt idx="137">
                  <c:v>9.5978309041060577</c:v>
                </c:pt>
                <c:pt idx="138">
                  <c:v>10.2189066134119</c:v>
                </c:pt>
                <c:pt idx="139">
                  <c:v>13.489335348240997</c:v>
                </c:pt>
                <c:pt idx="140">
                  <c:v>7.6181190152073972</c:v>
                </c:pt>
                <c:pt idx="141">
                  <c:v>5.2851170052937571</c:v>
                </c:pt>
                <c:pt idx="142">
                  <c:v>3.5609139971995605</c:v>
                </c:pt>
                <c:pt idx="143">
                  <c:v>2.7740910716393232</c:v>
                </c:pt>
                <c:pt idx="144">
                  <c:v>2.4455228689069757</c:v>
                </c:pt>
                <c:pt idx="145">
                  <c:v>3.1305014244961558</c:v>
                </c:pt>
                <c:pt idx="146">
                  <c:v>2.9010679475642247</c:v>
                </c:pt>
                <c:pt idx="147">
                  <c:v>3.6778939870357505</c:v>
                </c:pt>
                <c:pt idx="148">
                  <c:v>4.1363572901544066</c:v>
                </c:pt>
                <c:pt idx="149">
                  <c:v>3.4377462179786371</c:v>
                </c:pt>
                <c:pt idx="150">
                  <c:v>4.726929585688759</c:v>
                </c:pt>
                <c:pt idx="151">
                  <c:v>7.9518811265193179</c:v>
                </c:pt>
                <c:pt idx="152">
                  <c:v>1.6385758341213128</c:v>
                </c:pt>
                <c:pt idx="153">
                  <c:v>2.7071118927155724</c:v>
                </c:pt>
                <c:pt idx="154">
                  <c:v>0.59788338115116824</c:v>
                </c:pt>
                <c:pt idx="155">
                  <c:v>-1.9233577724789124</c:v>
                </c:pt>
                <c:pt idx="156">
                  <c:v>-1.5073535367944493</c:v>
                </c:pt>
                <c:pt idx="157">
                  <c:v>-0.27656794138072543</c:v>
                </c:pt>
                <c:pt idx="158">
                  <c:v>-1.9717998642969439</c:v>
                </c:pt>
                <c:pt idx="159">
                  <c:v>0.67463326865489515</c:v>
                </c:pt>
                <c:pt idx="160">
                  <c:v>0.89757223251443019</c:v>
                </c:pt>
                <c:pt idx="161">
                  <c:v>-0.293972676581926</c:v>
                </c:pt>
                <c:pt idx="162">
                  <c:v>0.21401738204240026</c:v>
                </c:pt>
                <c:pt idx="163">
                  <c:v>3.7837945479258885</c:v>
                </c:pt>
                <c:pt idx="164">
                  <c:v>3.7272818459156607</c:v>
                </c:pt>
                <c:pt idx="165">
                  <c:v>3.9217291726440542</c:v>
                </c:pt>
                <c:pt idx="166">
                  <c:v>4.963493271450619</c:v>
                </c:pt>
                <c:pt idx="167">
                  <c:v>2.9836651057178254</c:v>
                </c:pt>
                <c:pt idx="168">
                  <c:v>1.0238601232968598</c:v>
                </c:pt>
                <c:pt idx="169">
                  <c:v>2.199421334359593</c:v>
                </c:pt>
                <c:pt idx="170">
                  <c:v>1.7639903167373991</c:v>
                </c:pt>
                <c:pt idx="171">
                  <c:v>-0.32340905202752179</c:v>
                </c:pt>
                <c:pt idx="172">
                  <c:v>-0.40632145446605022</c:v>
                </c:pt>
                <c:pt idx="173">
                  <c:v>0.96187765848948159</c:v>
                </c:pt>
                <c:pt idx="174">
                  <c:v>1.7721821998433549</c:v>
                </c:pt>
                <c:pt idx="175">
                  <c:v>4.5629692274168088</c:v>
                </c:pt>
                <c:pt idx="176">
                  <c:v>2.4619162181335761</c:v>
                </c:pt>
                <c:pt idx="177">
                  <c:v>2.2246825124652059</c:v>
                </c:pt>
                <c:pt idx="178">
                  <c:v>0.62776664320409037</c:v>
                </c:pt>
                <c:pt idx="179">
                  <c:v>-0.38226071023519098</c:v>
                </c:pt>
                <c:pt idx="180">
                  <c:v>-2.6204388624563935</c:v>
                </c:pt>
                <c:pt idx="181">
                  <c:v>-0.94154971586592096</c:v>
                </c:pt>
                <c:pt idx="182">
                  <c:v>-0.58658483944320494</c:v>
                </c:pt>
                <c:pt idx="183">
                  <c:v>5.9456140280176394E-2</c:v>
                </c:pt>
                <c:pt idx="184">
                  <c:v>9.242715464002691</c:v>
                </c:pt>
                <c:pt idx="185">
                  <c:v>3.4139083592914656</c:v>
                </c:pt>
                <c:pt idx="186">
                  <c:v>-0.39483605558193596</c:v>
                </c:pt>
                <c:pt idx="187">
                  <c:v>-2.7123052441589768</c:v>
                </c:pt>
                <c:pt idx="188">
                  <c:v>-4.6664155599080246</c:v>
                </c:pt>
                <c:pt idx="189">
                  <c:v>-4.4545420943971905</c:v>
                </c:pt>
                <c:pt idx="190">
                  <c:v>-4.978092017489737</c:v>
                </c:pt>
                <c:pt idx="191">
                  <c:v>-5.3225484975094517</c:v>
                </c:pt>
                <c:pt idx="192">
                  <c:v>-4.3287679535563317</c:v>
                </c:pt>
                <c:pt idx="193">
                  <c:v>-3.060097458770227</c:v>
                </c:pt>
                <c:pt idx="194">
                  <c:v>-2.7085461833758573</c:v>
                </c:pt>
                <c:pt idx="195">
                  <c:v>-3.6653802501669617</c:v>
                </c:pt>
                <c:pt idx="196">
                  <c:v>-0.78331357548044778</c:v>
                </c:pt>
                <c:pt idx="197">
                  <c:v>1.2812496985653942E-2</c:v>
                </c:pt>
                <c:pt idx="198">
                  <c:v>2.5621947990701339</c:v>
                </c:pt>
                <c:pt idx="199">
                  <c:v>2.15699544716048</c:v>
                </c:pt>
                <c:pt idx="200">
                  <c:v>0.85348083655972173</c:v>
                </c:pt>
                <c:pt idx="201">
                  <c:v>3.6975160189294214</c:v>
                </c:pt>
                <c:pt idx="202">
                  <c:v>3.8734025206223293</c:v>
                </c:pt>
                <c:pt idx="203">
                  <c:v>2.1503998087329097</c:v>
                </c:pt>
                <c:pt idx="204">
                  <c:v>0.65280570121039383</c:v>
                </c:pt>
                <c:pt idx="205">
                  <c:v>-6.7977581825598501E-2</c:v>
                </c:pt>
                <c:pt idx="206">
                  <c:v>1.577289084310177</c:v>
                </c:pt>
                <c:pt idx="207">
                  <c:v>3.3680943077723797</c:v>
                </c:pt>
                <c:pt idx="208">
                  <c:v>5.3970179693362823</c:v>
                </c:pt>
                <c:pt idx="209">
                  <c:v>1.9925581786444639</c:v>
                </c:pt>
                <c:pt idx="210">
                  <c:v>0.66853512293985251</c:v>
                </c:pt>
                <c:pt idx="211">
                  <c:v>-2.8314269181297317E-2</c:v>
                </c:pt>
                <c:pt idx="212">
                  <c:v>-6.7848076196608834E-2</c:v>
                </c:pt>
                <c:pt idx="213">
                  <c:v>-1.6863025097095061</c:v>
                </c:pt>
                <c:pt idx="214">
                  <c:v>-2.7606411564020257</c:v>
                </c:pt>
                <c:pt idx="215">
                  <c:v>-2.1333298911825596</c:v>
                </c:pt>
                <c:pt idx="216">
                  <c:v>-2.4790837887473423</c:v>
                </c:pt>
                <c:pt idx="217">
                  <c:v>-3.3908215250927318</c:v>
                </c:pt>
                <c:pt idx="218">
                  <c:v>-3.1097430974527112</c:v>
                </c:pt>
                <c:pt idx="219">
                  <c:v>-2.295575556378223</c:v>
                </c:pt>
                <c:pt idx="220">
                  <c:v>-1.7021661868736822</c:v>
                </c:pt>
                <c:pt idx="221">
                  <c:v>-0.17381951702041101</c:v>
                </c:pt>
                <c:pt idx="222">
                  <c:v>-1.4369319221189116</c:v>
                </c:pt>
                <c:pt idx="223">
                  <c:v>1.8965554927712163</c:v>
                </c:pt>
                <c:pt idx="224">
                  <c:v>2.1263166151422888</c:v>
                </c:pt>
                <c:pt idx="225">
                  <c:v>0.31819724508064945</c:v>
                </c:pt>
                <c:pt idx="226">
                  <c:v>2.3853371467171565</c:v>
                </c:pt>
                <c:pt idx="227">
                  <c:v>-0.82024375193341081</c:v>
                </c:pt>
                <c:pt idx="228">
                  <c:v>7.384699845298778</c:v>
                </c:pt>
                <c:pt idx="229">
                  <c:v>-0.11974024091401232</c:v>
                </c:pt>
                <c:pt idx="230">
                  <c:v>-1.7299345388648535</c:v>
                </c:pt>
                <c:pt idx="231">
                  <c:v>-3.0410331120321721</c:v>
                </c:pt>
                <c:pt idx="232">
                  <c:v>-5.3606314650981739</c:v>
                </c:pt>
                <c:pt idx="233">
                  <c:v>-5.0596348978690679</c:v>
                </c:pt>
                <c:pt idx="234">
                  <c:v>-4.3843209384088189</c:v>
                </c:pt>
                <c:pt idx="235">
                  <c:v>-3.3934703408829732</c:v>
                </c:pt>
                <c:pt idx="236">
                  <c:v>-3.411076112603157</c:v>
                </c:pt>
                <c:pt idx="237">
                  <c:v>-1.7377414704046239</c:v>
                </c:pt>
                <c:pt idx="238">
                  <c:v>-1.699029563841024</c:v>
                </c:pt>
                <c:pt idx="239">
                  <c:v>0.53796895394402466</c:v>
                </c:pt>
                <c:pt idx="240">
                  <c:v>-3.8152385787921252</c:v>
                </c:pt>
                <c:pt idx="241">
                  <c:v>-3.5222219039383198</c:v>
                </c:pt>
                <c:pt idx="242">
                  <c:v>-3.6995890281807</c:v>
                </c:pt>
                <c:pt idx="243">
                  <c:v>-3.4212378907876109</c:v>
                </c:pt>
                <c:pt idx="244">
                  <c:v>-3.6640743880339972</c:v>
                </c:pt>
                <c:pt idx="245">
                  <c:v>-4.6660251405987117</c:v>
                </c:pt>
                <c:pt idx="246">
                  <c:v>-6.0044340706810733</c:v>
                </c:pt>
                <c:pt idx="247">
                  <c:v>-2.6442900529789202</c:v>
                </c:pt>
                <c:pt idx="248">
                  <c:v>-3.0214791303325836</c:v>
                </c:pt>
                <c:pt idx="249">
                  <c:v>-3.1777048070966818</c:v>
                </c:pt>
                <c:pt idx="250">
                  <c:v>-4.6689134627914921</c:v>
                </c:pt>
                <c:pt idx="251">
                  <c:v>-3.460998273442085</c:v>
                </c:pt>
                <c:pt idx="252">
                  <c:v>-3.8633292471980081</c:v>
                </c:pt>
                <c:pt idx="253">
                  <c:v>-3.1109300497630339</c:v>
                </c:pt>
                <c:pt idx="254">
                  <c:v>-1.669284379399782</c:v>
                </c:pt>
                <c:pt idx="255">
                  <c:v>-0.74999199741907407</c:v>
                </c:pt>
                <c:pt idx="256">
                  <c:v>2.0244801359144282</c:v>
                </c:pt>
                <c:pt idx="257">
                  <c:v>-0.98735483815991909</c:v>
                </c:pt>
                <c:pt idx="258">
                  <c:v>-1.195754450665153</c:v>
                </c:pt>
                <c:pt idx="259">
                  <c:v>-0.65020675867595779</c:v>
                </c:pt>
                <c:pt idx="260">
                  <c:v>1.5993143062637301</c:v>
                </c:pt>
                <c:pt idx="261">
                  <c:v>3.5499578980539757E-2</c:v>
                </c:pt>
                <c:pt idx="262">
                  <c:v>0.39655004806319805</c:v>
                </c:pt>
                <c:pt idx="263">
                  <c:v>3.5081213170283108</c:v>
                </c:pt>
                <c:pt idx="264">
                  <c:v>2.9007313388270708</c:v>
                </c:pt>
                <c:pt idx="265">
                  <c:v>3.3166063483324013</c:v>
                </c:pt>
                <c:pt idx="266">
                  <c:v>4.1932915973294689</c:v>
                </c:pt>
                <c:pt idx="267">
                  <c:v>3.33994374299809</c:v>
                </c:pt>
                <c:pt idx="268">
                  <c:v>2.106314798772043</c:v>
                </c:pt>
                <c:pt idx="269">
                  <c:v>3.2554640577291676</c:v>
                </c:pt>
                <c:pt idx="270">
                  <c:v>4.1464936745768233</c:v>
                </c:pt>
                <c:pt idx="271">
                  <c:v>5.0017269835467957</c:v>
                </c:pt>
                <c:pt idx="272">
                  <c:v>5.1082453099122311</c:v>
                </c:pt>
                <c:pt idx="273">
                  <c:v>3.7019610808232315</c:v>
                </c:pt>
                <c:pt idx="274">
                  <c:v>3.1335542704669859</c:v>
                </c:pt>
                <c:pt idx="275">
                  <c:v>2.9250360602008465</c:v>
                </c:pt>
                <c:pt idx="276">
                  <c:v>3.3279854145965673</c:v>
                </c:pt>
                <c:pt idx="277">
                  <c:v>3.4983761249283765</c:v>
                </c:pt>
                <c:pt idx="278">
                  <c:v>-0.58184086084817277</c:v>
                </c:pt>
                <c:pt idx="279">
                  <c:v>0.76356327926676826</c:v>
                </c:pt>
                <c:pt idx="280">
                  <c:v>4.1747609406557746</c:v>
                </c:pt>
                <c:pt idx="281">
                  <c:v>2.0033291583742554</c:v>
                </c:pt>
                <c:pt idx="282">
                  <c:v>3.8648927068415633</c:v>
                </c:pt>
                <c:pt idx="283">
                  <c:v>4.561620268422149</c:v>
                </c:pt>
                <c:pt idx="284">
                  <c:v>7.7471748074998406</c:v>
                </c:pt>
                <c:pt idx="285">
                  <c:v>8.2184007256648393</c:v>
                </c:pt>
                <c:pt idx="286">
                  <c:v>8.8968637235732917</c:v>
                </c:pt>
                <c:pt idx="287">
                  <c:v>4.5926353760240293</c:v>
                </c:pt>
                <c:pt idx="288">
                  <c:v>4.026935779546652</c:v>
                </c:pt>
                <c:pt idx="289">
                  <c:v>5.0035699196654742</c:v>
                </c:pt>
                <c:pt idx="290">
                  <c:v>6.4615550910932544</c:v>
                </c:pt>
                <c:pt idx="291">
                  <c:v>5.9840541582357787</c:v>
                </c:pt>
                <c:pt idx="292">
                  <c:v>9.1570673830216833</c:v>
                </c:pt>
                <c:pt idx="293">
                  <c:v>5.9600460165748546</c:v>
                </c:pt>
                <c:pt idx="294">
                  <c:v>7.7808826104491624</c:v>
                </c:pt>
                <c:pt idx="295">
                  <c:v>9.5122414718308335</c:v>
                </c:pt>
                <c:pt idx="296">
                  <c:v>7.3846601062253994</c:v>
                </c:pt>
                <c:pt idx="297">
                  <c:v>5.7230043371713784</c:v>
                </c:pt>
                <c:pt idx="298">
                  <c:v>2.4014318864076829</c:v>
                </c:pt>
                <c:pt idx="299">
                  <c:v>1.7089067652583425</c:v>
                </c:pt>
                <c:pt idx="300">
                  <c:v>2.0691311009625597</c:v>
                </c:pt>
                <c:pt idx="301">
                  <c:v>1.7964667666458152</c:v>
                </c:pt>
                <c:pt idx="302">
                  <c:v>7.76448790436379</c:v>
                </c:pt>
                <c:pt idx="303">
                  <c:v>2.1758659823214499</c:v>
                </c:pt>
                <c:pt idx="304">
                  <c:v>1.6314404191777325</c:v>
                </c:pt>
                <c:pt idx="305">
                  <c:v>0.7398996435590679</c:v>
                </c:pt>
                <c:pt idx="306">
                  <c:v>0.45499357544550761</c:v>
                </c:pt>
                <c:pt idx="307">
                  <c:v>-0.56610386463175844</c:v>
                </c:pt>
                <c:pt idx="308">
                  <c:v>-1.1615416554283289</c:v>
                </c:pt>
                <c:pt idx="309">
                  <c:v>-2.0848223652683613</c:v>
                </c:pt>
                <c:pt idx="310">
                  <c:v>-1.6143530858508386</c:v>
                </c:pt>
                <c:pt idx="311">
                  <c:v>-0.84934594968858401</c:v>
                </c:pt>
                <c:pt idx="312">
                  <c:v>-0.84538973551267615</c:v>
                </c:pt>
                <c:pt idx="313">
                  <c:v>-1.749670681585334</c:v>
                </c:pt>
                <c:pt idx="314">
                  <c:v>-0.89362745215158368</c:v>
                </c:pt>
                <c:pt idx="315">
                  <c:v>2.4830635159057217</c:v>
                </c:pt>
                <c:pt idx="316">
                  <c:v>-0.44385586429296164</c:v>
                </c:pt>
                <c:pt idx="317">
                  <c:v>-1.7541594130521869</c:v>
                </c:pt>
                <c:pt idx="318">
                  <c:v>-2.0109511494210377</c:v>
                </c:pt>
                <c:pt idx="319">
                  <c:v>-3.744315583103941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1F-7343-BC3B-7B593A740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'240806B006'!$A$2:$A$321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'240806B006'!$J$2:$J$321</c:f>
              <c:numCache>
                <c:formatCode>0.0</c:formatCode>
                <c:ptCount val="320"/>
                <c:pt idx="0">
                  <c:v>982.65966690803998</c:v>
                </c:pt>
                <c:pt idx="1">
                  <c:v>975.34178131790009</c:v>
                </c:pt>
                <c:pt idx="2">
                  <c:v>994.08327299055009</c:v>
                </c:pt>
                <c:pt idx="3">
                  <c:v>1070.9203475741801</c:v>
                </c:pt>
                <c:pt idx="4">
                  <c:v>1146.26212889207</c:v>
                </c:pt>
                <c:pt idx="5">
                  <c:v>1011.7715687112</c:v>
                </c:pt>
                <c:pt idx="6">
                  <c:v>1161.4256925187099</c:v>
                </c:pt>
                <c:pt idx="7">
                  <c:v>1154.35559690831</c:v>
                </c:pt>
                <c:pt idx="8">
                  <c:v>1295.48320205491</c:v>
                </c:pt>
                <c:pt idx="9">
                  <c:v>1302.7102745321401</c:v>
                </c:pt>
                <c:pt idx="10">
                  <c:v>1309.9129349304601</c:v>
                </c:pt>
                <c:pt idx="11">
                  <c:v>1305.75833550985</c:v>
                </c:pt>
                <c:pt idx="12">
                  <c:v>1315.4350865833501</c:v>
                </c:pt>
                <c:pt idx="13">
                  <c:v>1318.7280588298402</c:v>
                </c:pt>
                <c:pt idx="14">
                  <c:v>1310.3135164103301</c:v>
                </c:pt>
                <c:pt idx="15">
                  <c:v>1312.72920781836</c:v>
                </c:pt>
                <c:pt idx="16">
                  <c:v>1310.94489025963</c:v>
                </c:pt>
                <c:pt idx="17">
                  <c:v>1324.8283039022401</c:v>
                </c:pt>
                <c:pt idx="18">
                  <c:v>1321.05017962072</c:v>
                </c:pt>
                <c:pt idx="19">
                  <c:v>1289.8143718531001</c:v>
                </c:pt>
                <c:pt idx="20">
                  <c:v>1291.18532292495</c:v>
                </c:pt>
                <c:pt idx="21">
                  <c:v>1295.55084946447</c:v>
                </c:pt>
                <c:pt idx="22">
                  <c:v>1298.38203063165</c:v>
                </c:pt>
                <c:pt idx="23">
                  <c:v>1305.33908483906</c:v>
                </c:pt>
                <c:pt idx="24">
                  <c:v>1336.45910761496</c:v>
                </c:pt>
                <c:pt idx="25">
                  <c:v>1383.6228954487699</c:v>
                </c:pt>
                <c:pt idx="26">
                  <c:v>1397.22845868428</c:v>
                </c:pt>
                <c:pt idx="27">
                  <c:v>1437.3625245942301</c:v>
                </c:pt>
                <c:pt idx="28">
                  <c:v>1388.9912004079799</c:v>
                </c:pt>
                <c:pt idx="29">
                  <c:v>1381.64037864941</c:v>
                </c:pt>
                <c:pt idx="30">
                  <c:v>1380.68587185604</c:v>
                </c:pt>
                <c:pt idx="31">
                  <c:v>1395.4796208699001</c:v>
                </c:pt>
                <c:pt idx="32">
                  <c:v>1418.0625244897099</c:v>
                </c:pt>
                <c:pt idx="33">
                  <c:v>1426.7495378946901</c:v>
                </c:pt>
                <c:pt idx="34">
                  <c:v>1388.2679217958</c:v>
                </c:pt>
                <c:pt idx="35">
                  <c:v>1411.8585712300101</c:v>
                </c:pt>
                <c:pt idx="36">
                  <c:v>1398.4285819163999</c:v>
                </c:pt>
                <c:pt idx="37">
                  <c:v>1409.7407121025401</c:v>
                </c:pt>
                <c:pt idx="38">
                  <c:v>1415.69580653564</c:v>
                </c:pt>
                <c:pt idx="39">
                  <c:v>1405.4089637895499</c:v>
                </c:pt>
                <c:pt idx="40">
                  <c:v>1414.1838945869299</c:v>
                </c:pt>
                <c:pt idx="41">
                  <c:v>1435.03536586718</c:v>
                </c:pt>
                <c:pt idx="42">
                  <c:v>1437.5787542828</c:v>
                </c:pt>
                <c:pt idx="43">
                  <c:v>1442.5225296313602</c:v>
                </c:pt>
                <c:pt idx="44">
                  <c:v>1448.82357735046</c:v>
                </c:pt>
                <c:pt idx="45">
                  <c:v>1442.8114776393402</c:v>
                </c:pt>
                <c:pt idx="46">
                  <c:v>1418.7006487439198</c:v>
                </c:pt>
                <c:pt idx="47">
                  <c:v>1394.83391246526</c:v>
                </c:pt>
                <c:pt idx="48">
                  <c:v>1388.2682095642499</c:v>
                </c:pt>
                <c:pt idx="49">
                  <c:v>1365.5449432257401</c:v>
                </c:pt>
                <c:pt idx="50">
                  <c:v>1426.6467366173499</c:v>
                </c:pt>
                <c:pt idx="51">
                  <c:v>1443.6334726820298</c:v>
                </c:pt>
                <c:pt idx="52">
                  <c:v>1454.77967364347</c:v>
                </c:pt>
                <c:pt idx="53">
                  <c:v>1469.1347396608601</c:v>
                </c:pt>
                <c:pt idx="54">
                  <c:v>1441.3863762717701</c:v>
                </c:pt>
                <c:pt idx="55">
                  <c:v>1367.1105291700001</c:v>
                </c:pt>
                <c:pt idx="56">
                  <c:v>1356.3280053052499</c:v>
                </c:pt>
                <c:pt idx="57">
                  <c:v>1376.44435155106</c:v>
                </c:pt>
                <c:pt idx="58">
                  <c:v>1318.2873383226599</c:v>
                </c:pt>
                <c:pt idx="59">
                  <c:v>1431.7378868267399</c:v>
                </c:pt>
                <c:pt idx="60">
                  <c:v>1473.4425682012502</c:v>
                </c:pt>
                <c:pt idx="61">
                  <c:v>1519.2565088952499</c:v>
                </c:pt>
                <c:pt idx="62">
                  <c:v>1532.0435080810098</c:v>
                </c:pt>
                <c:pt idx="63">
                  <c:v>1518.8095483069201</c:v>
                </c:pt>
                <c:pt idx="64">
                  <c:v>1522.3582551505401</c:v>
                </c:pt>
                <c:pt idx="65">
                  <c:v>1508.1167724110201</c:v>
                </c:pt>
                <c:pt idx="66">
                  <c:v>1517.45143135801</c:v>
                </c:pt>
                <c:pt idx="67">
                  <c:v>1540.47100710055</c:v>
                </c:pt>
                <c:pt idx="68">
                  <c:v>1510.4894918743198</c:v>
                </c:pt>
                <c:pt idx="69">
                  <c:v>1487.83387946833</c:v>
                </c:pt>
                <c:pt idx="70">
                  <c:v>1490.31567664771</c:v>
                </c:pt>
                <c:pt idx="71">
                  <c:v>1486.2381970913598</c:v>
                </c:pt>
                <c:pt idx="72">
                  <c:v>1480.00907130527</c:v>
                </c:pt>
                <c:pt idx="73">
                  <c:v>1502.3166750217999</c:v>
                </c:pt>
                <c:pt idx="74">
                  <c:v>1526.9100137130999</c:v>
                </c:pt>
                <c:pt idx="75">
                  <c:v>1475.3077453562898</c:v>
                </c:pt>
                <c:pt idx="76">
                  <c:v>1425.81233220072</c:v>
                </c:pt>
                <c:pt idx="77">
                  <c:v>1477.8783193152101</c:v>
                </c:pt>
                <c:pt idx="78">
                  <c:v>1509.62880997762</c:v>
                </c:pt>
                <c:pt idx="79">
                  <c:v>1516.95040486423</c:v>
                </c:pt>
                <c:pt idx="80">
                  <c:v>1512.57915938465</c:v>
                </c:pt>
                <c:pt idx="81">
                  <c:v>1421.63432982053</c:v>
                </c:pt>
                <c:pt idx="82">
                  <c:v>1394.31586008093</c:v>
                </c:pt>
                <c:pt idx="83">
                  <c:v>1398.4412150732001</c:v>
                </c:pt>
                <c:pt idx="84">
                  <c:v>1387.5414849121901</c:v>
                </c:pt>
                <c:pt idx="85">
                  <c:v>1383.98873056291</c:v>
                </c:pt>
                <c:pt idx="86">
                  <c:v>1381.4511762478801</c:v>
                </c:pt>
                <c:pt idx="87">
                  <c:v>1413.6557172970399</c:v>
                </c:pt>
                <c:pt idx="88">
                  <c:v>1448.2796174612799</c:v>
                </c:pt>
                <c:pt idx="89">
                  <c:v>1461.97768876448</c:v>
                </c:pt>
                <c:pt idx="90">
                  <c:v>1440.9776914054</c:v>
                </c:pt>
                <c:pt idx="91">
                  <c:v>1449.9505655463499</c:v>
                </c:pt>
                <c:pt idx="92">
                  <c:v>1422.4797921172601</c:v>
                </c:pt>
                <c:pt idx="93">
                  <c:v>1408.4311048142199</c:v>
                </c:pt>
                <c:pt idx="94">
                  <c:v>1358.6979773529799</c:v>
                </c:pt>
                <c:pt idx="95">
                  <c:v>1311.0916372021402</c:v>
                </c:pt>
                <c:pt idx="96">
                  <c:v>1352.1945969629201</c:v>
                </c:pt>
                <c:pt idx="97">
                  <c:v>1340.2130655165101</c:v>
                </c:pt>
                <c:pt idx="98">
                  <c:v>1327.2280336659799</c:v>
                </c:pt>
                <c:pt idx="99">
                  <c:v>1314.38546002165</c:v>
                </c:pt>
                <c:pt idx="100">
                  <c:v>1370.61330371024</c:v>
                </c:pt>
                <c:pt idx="101">
                  <c:v>1362.66539727944</c:v>
                </c:pt>
                <c:pt idx="102">
                  <c:v>1350.1993128809099</c:v>
                </c:pt>
                <c:pt idx="103">
                  <c:v>1343.07214750461</c:v>
                </c:pt>
                <c:pt idx="104">
                  <c:v>1339.0179325682</c:v>
                </c:pt>
                <c:pt idx="105">
                  <c:v>1332.0837364649701</c:v>
                </c:pt>
                <c:pt idx="106">
                  <c:v>1329.3652083164698</c:v>
                </c:pt>
                <c:pt idx="107">
                  <c:v>1326.73480597664</c:v>
                </c:pt>
                <c:pt idx="108">
                  <c:v>1327.35849844829</c:v>
                </c:pt>
                <c:pt idx="109">
                  <c:v>1328.86364238282</c:v>
                </c:pt>
                <c:pt idx="110">
                  <c:v>1321.1869640749401</c:v>
                </c:pt>
                <c:pt idx="111">
                  <c:v>1305.5090561413299</c:v>
                </c:pt>
                <c:pt idx="112">
                  <c:v>1266.9571491179099</c:v>
                </c:pt>
                <c:pt idx="113">
                  <c:v>1271.81323192946</c:v>
                </c:pt>
                <c:pt idx="114">
                  <c:v>1315.65654547892</c:v>
                </c:pt>
                <c:pt idx="115">
                  <c:v>1319.19450333383</c:v>
                </c:pt>
                <c:pt idx="116">
                  <c:v>1317.26090198107</c:v>
                </c:pt>
                <c:pt idx="117">
                  <c:v>1311.5452047398101</c:v>
                </c:pt>
                <c:pt idx="118">
                  <c:v>1308.2200356405801</c:v>
                </c:pt>
                <c:pt idx="119">
                  <c:v>1290.1486184301798</c:v>
                </c:pt>
                <c:pt idx="120">
                  <c:v>1284.8605690146501</c:v>
                </c:pt>
                <c:pt idx="121">
                  <c:v>1292.72615293018</c:v>
                </c:pt>
                <c:pt idx="122">
                  <c:v>1293.1421526874001</c:v>
                </c:pt>
                <c:pt idx="123">
                  <c:v>1295.9448235341001</c:v>
                </c:pt>
                <c:pt idx="124">
                  <c:v>1295.3518472205701</c:v>
                </c:pt>
                <c:pt idx="125">
                  <c:v>1270.0822799513301</c:v>
                </c:pt>
                <c:pt idx="126">
                  <c:v>1269.57741102408</c:v>
                </c:pt>
                <c:pt idx="127">
                  <c:v>1260.1081716985</c:v>
                </c:pt>
                <c:pt idx="128">
                  <c:v>1249.1010545679501</c:v>
                </c:pt>
                <c:pt idx="129">
                  <c:v>1239.8913934597099</c:v>
                </c:pt>
                <c:pt idx="130">
                  <c:v>1258.43607414249</c:v>
                </c:pt>
                <c:pt idx="131">
                  <c:v>1250.1001299449899</c:v>
                </c:pt>
                <c:pt idx="132">
                  <c:v>1255.42259013954</c:v>
                </c:pt>
                <c:pt idx="133">
                  <c:v>1275.1383185805901</c:v>
                </c:pt>
                <c:pt idx="134">
                  <c:v>1277.9378391678299</c:v>
                </c:pt>
                <c:pt idx="135">
                  <c:v>1283.24720498636</c:v>
                </c:pt>
                <c:pt idx="136">
                  <c:v>1276.45243691066</c:v>
                </c:pt>
                <c:pt idx="137">
                  <c:v>1265.7477896868099</c:v>
                </c:pt>
                <c:pt idx="138">
                  <c:v>1257.7055830565901</c:v>
                </c:pt>
                <c:pt idx="139">
                  <c:v>1249.0010190641001</c:v>
                </c:pt>
                <c:pt idx="140">
                  <c:v>1259.8732776307502</c:v>
                </c:pt>
                <c:pt idx="141">
                  <c:v>1276.6315034915999</c:v>
                </c:pt>
                <c:pt idx="142">
                  <c:v>1283.5019866288501</c:v>
                </c:pt>
                <c:pt idx="143">
                  <c:v>1282.6353238116301</c:v>
                </c:pt>
                <c:pt idx="144">
                  <c:v>1282.96207978556</c:v>
                </c:pt>
                <c:pt idx="145">
                  <c:v>1283.5219959715698</c:v>
                </c:pt>
                <c:pt idx="146">
                  <c:v>1272.36805746295</c:v>
                </c:pt>
                <c:pt idx="147">
                  <c:v>1256.83920166546</c:v>
                </c:pt>
                <c:pt idx="148">
                  <c:v>1241.22227250781</c:v>
                </c:pt>
                <c:pt idx="149">
                  <c:v>1238.87109800911</c:v>
                </c:pt>
                <c:pt idx="150">
                  <c:v>1230.5179675730901</c:v>
                </c:pt>
                <c:pt idx="151">
                  <c:v>1232.6494268479998</c:v>
                </c:pt>
                <c:pt idx="152">
                  <c:v>1231.8669801368701</c:v>
                </c:pt>
                <c:pt idx="153">
                  <c:v>1241.4385825281099</c:v>
                </c:pt>
                <c:pt idx="154">
                  <c:v>1256.07698590056</c:v>
                </c:pt>
                <c:pt idx="155">
                  <c:v>1258.5552869609601</c:v>
                </c:pt>
                <c:pt idx="156">
                  <c:v>1259.50490440874</c:v>
                </c:pt>
                <c:pt idx="157">
                  <c:v>1257.5614648097799</c:v>
                </c:pt>
                <c:pt idx="158">
                  <c:v>1261.2645935811699</c:v>
                </c:pt>
                <c:pt idx="159">
                  <c:v>1240.16027605763</c:v>
                </c:pt>
                <c:pt idx="160">
                  <c:v>1226.2551738703701</c:v>
                </c:pt>
                <c:pt idx="161">
                  <c:v>1228.95885508997</c:v>
                </c:pt>
                <c:pt idx="162">
                  <c:v>1244.1903990528099</c:v>
                </c:pt>
                <c:pt idx="163">
                  <c:v>1256.8268053925499</c:v>
                </c:pt>
                <c:pt idx="164">
                  <c:v>1320.35372280195</c:v>
                </c:pt>
                <c:pt idx="165">
                  <c:v>1355.32056512709</c:v>
                </c:pt>
                <c:pt idx="166">
                  <c:v>1343.2764783104599</c:v>
                </c:pt>
                <c:pt idx="167">
                  <c:v>1354.1800717861299</c:v>
                </c:pt>
                <c:pt idx="168">
                  <c:v>1360.82098101473</c:v>
                </c:pt>
                <c:pt idx="169">
                  <c:v>1417.20367788164</c:v>
                </c:pt>
                <c:pt idx="170">
                  <c:v>1404.34442572172</c:v>
                </c:pt>
                <c:pt idx="171">
                  <c:v>1418.78598602498</c:v>
                </c:pt>
                <c:pt idx="172">
                  <c:v>1415.5179003979899</c:v>
                </c:pt>
                <c:pt idx="173">
                  <c:v>1389.75552077057</c:v>
                </c:pt>
                <c:pt idx="174">
                  <c:v>1368.4078289265999</c:v>
                </c:pt>
                <c:pt idx="175">
                  <c:v>1341.6107611902498</c:v>
                </c:pt>
                <c:pt idx="176">
                  <c:v>1349.73609877031</c:v>
                </c:pt>
                <c:pt idx="177">
                  <c:v>1357.2136085806001</c:v>
                </c:pt>
                <c:pt idx="178">
                  <c:v>1337.2683044057499</c:v>
                </c:pt>
                <c:pt idx="179">
                  <c:v>1331.2772288081098</c:v>
                </c:pt>
                <c:pt idx="180">
                  <c:v>1346.7154278069399</c:v>
                </c:pt>
                <c:pt idx="181">
                  <c:v>1393.4336654241501</c:v>
                </c:pt>
                <c:pt idx="182">
                  <c:v>1391.5733312929699</c:v>
                </c:pt>
                <c:pt idx="183">
                  <c:v>1383.72461936741</c:v>
                </c:pt>
                <c:pt idx="184">
                  <c:v>1395.6686644191</c:v>
                </c:pt>
                <c:pt idx="185">
                  <c:v>1393.83746792891</c:v>
                </c:pt>
                <c:pt idx="186">
                  <c:v>1384.94311585228</c:v>
                </c:pt>
                <c:pt idx="187">
                  <c:v>1371.5807133538599</c:v>
                </c:pt>
                <c:pt idx="188">
                  <c:v>1312.07086525975</c:v>
                </c:pt>
                <c:pt idx="189">
                  <c:v>1343.3819624570499</c:v>
                </c:pt>
                <c:pt idx="190">
                  <c:v>1327.9614662046001</c:v>
                </c:pt>
                <c:pt idx="191">
                  <c:v>1333.2730993883201</c:v>
                </c:pt>
                <c:pt idx="192">
                  <c:v>1324.5042255767498</c:v>
                </c:pt>
                <c:pt idx="193">
                  <c:v>1340.5949766890401</c:v>
                </c:pt>
                <c:pt idx="194">
                  <c:v>1327.20687048016</c:v>
                </c:pt>
                <c:pt idx="195">
                  <c:v>1358.4892850144299</c:v>
                </c:pt>
                <c:pt idx="196">
                  <c:v>1353.5370811855501</c:v>
                </c:pt>
                <c:pt idx="197">
                  <c:v>1322.11454174185</c:v>
                </c:pt>
                <c:pt idx="198">
                  <c:v>1310.21627518173</c:v>
                </c:pt>
                <c:pt idx="199">
                  <c:v>1289.76376974564</c:v>
                </c:pt>
                <c:pt idx="200">
                  <c:v>1278.4409576849798</c:v>
                </c:pt>
                <c:pt idx="201">
                  <c:v>1315.4438032318301</c:v>
                </c:pt>
                <c:pt idx="202">
                  <c:v>1315.2049873215201</c:v>
                </c:pt>
                <c:pt idx="203">
                  <c:v>1311.2939846266099</c:v>
                </c:pt>
                <c:pt idx="204">
                  <c:v>1323.5642059915301</c:v>
                </c:pt>
                <c:pt idx="205">
                  <c:v>1348.4862745775802</c:v>
                </c:pt>
                <c:pt idx="206">
                  <c:v>1371.1283318752</c:v>
                </c:pt>
                <c:pt idx="207">
                  <c:v>1368.00000000005</c:v>
                </c:pt>
                <c:pt idx="208">
                  <c:v>1339.3968139029598</c:v>
                </c:pt>
                <c:pt idx="209">
                  <c:v>1324.0912382332101</c:v>
                </c:pt>
                <c:pt idx="210">
                  <c:v>1310.76755973935</c:v>
                </c:pt>
                <c:pt idx="211">
                  <c:v>1328.3980966474799</c:v>
                </c:pt>
                <c:pt idx="212">
                  <c:v>1326.2446073610699</c:v>
                </c:pt>
                <c:pt idx="213">
                  <c:v>1331.5548144026</c:v>
                </c:pt>
                <c:pt idx="214">
                  <c:v>1315.39809506643</c:v>
                </c:pt>
                <c:pt idx="215">
                  <c:v>1310.4710122930601</c:v>
                </c:pt>
                <c:pt idx="216">
                  <c:v>1313.4393979638098</c:v>
                </c:pt>
                <c:pt idx="217">
                  <c:v>1294.3263219804999</c:v>
                </c:pt>
                <c:pt idx="218">
                  <c:v>1312.28183488328</c:v>
                </c:pt>
                <c:pt idx="219">
                  <c:v>1327.4230822336999</c:v>
                </c:pt>
                <c:pt idx="220">
                  <c:v>1326.7353045648201</c:v>
                </c:pt>
                <c:pt idx="221">
                  <c:v>1332.3622472587701</c:v>
                </c:pt>
                <c:pt idx="222">
                  <c:v>1328.7902254236101</c:v>
                </c:pt>
                <c:pt idx="223">
                  <c:v>1329.48283103929</c:v>
                </c:pt>
                <c:pt idx="224">
                  <c:v>1293.61780327102</c:v>
                </c:pt>
                <c:pt idx="225">
                  <c:v>1277.3793350598301</c:v>
                </c:pt>
                <c:pt idx="226">
                  <c:v>1273.56718598316</c:v>
                </c:pt>
                <c:pt idx="227">
                  <c:v>1265.5659169409598</c:v>
                </c:pt>
                <c:pt idx="228">
                  <c:v>1261.1839004497399</c:v>
                </c:pt>
                <c:pt idx="229">
                  <c:v>1258.0906706424698</c:v>
                </c:pt>
                <c:pt idx="230">
                  <c:v>1252.9758465639002</c:v>
                </c:pt>
                <c:pt idx="231">
                  <c:v>1258.15539970087</c:v>
                </c:pt>
                <c:pt idx="232">
                  <c:v>1268.15740655835</c:v>
                </c:pt>
                <c:pt idx="233">
                  <c:v>1255.5397155406399</c:v>
                </c:pt>
                <c:pt idx="234">
                  <c:v>1245.42251833205</c:v>
                </c:pt>
                <c:pt idx="235">
                  <c:v>1243.58441344216</c:v>
                </c:pt>
                <c:pt idx="236">
                  <c:v>1250.45294787441</c:v>
                </c:pt>
                <c:pt idx="237">
                  <c:v>1268.9800868935499</c:v>
                </c:pt>
                <c:pt idx="238">
                  <c:v>1283.3428192131</c:v>
                </c:pt>
                <c:pt idx="239">
                  <c:v>1282.4508243343901</c:v>
                </c:pt>
                <c:pt idx="240">
                  <c:v>1283.2567468438599</c:v>
                </c:pt>
                <c:pt idx="241">
                  <c:v>1282.68355266614</c:v>
                </c:pt>
                <c:pt idx="242">
                  <c:v>1275.10118744035</c:v>
                </c:pt>
                <c:pt idx="243">
                  <c:v>1259.10248874473</c:v>
                </c:pt>
                <c:pt idx="244">
                  <c:v>1248.94796408819</c:v>
                </c:pt>
                <c:pt idx="245">
                  <c:v>1248.3203837798701</c:v>
                </c:pt>
                <c:pt idx="246">
                  <c:v>1260.6300454407201</c:v>
                </c:pt>
                <c:pt idx="247">
                  <c:v>1264.4764647546301</c:v>
                </c:pt>
                <c:pt idx="248">
                  <c:v>1244.87926255916</c:v>
                </c:pt>
                <c:pt idx="249">
                  <c:v>1241.25283873272</c:v>
                </c:pt>
                <c:pt idx="250">
                  <c:v>1235.47440680461</c:v>
                </c:pt>
                <c:pt idx="251">
                  <c:v>1239.4548006590201</c:v>
                </c:pt>
                <c:pt idx="252">
                  <c:v>1255.6993509219301</c:v>
                </c:pt>
                <c:pt idx="253">
                  <c:v>1257.6452990376699</c:v>
                </c:pt>
                <c:pt idx="254">
                  <c:v>1288.0421643631998</c:v>
                </c:pt>
                <c:pt idx="255">
                  <c:v>1272.2300354710901</c:v>
                </c:pt>
                <c:pt idx="256">
                  <c:v>1263.7589385973702</c:v>
                </c:pt>
                <c:pt idx="257">
                  <c:v>1241.86960457138</c:v>
                </c:pt>
                <c:pt idx="258">
                  <c:v>1227.1278542119601</c:v>
                </c:pt>
                <c:pt idx="259">
                  <c:v>1198.75574672842</c:v>
                </c:pt>
                <c:pt idx="260">
                  <c:v>1232.0843423689998</c:v>
                </c:pt>
                <c:pt idx="261">
                  <c:v>1173.31764897263</c:v>
                </c:pt>
                <c:pt idx="262">
                  <c:v>1172.9587561947101</c:v>
                </c:pt>
                <c:pt idx="263">
                  <c:v>1147.4713558130099</c:v>
                </c:pt>
                <c:pt idx="264">
                  <c:v>1136.4491327810299</c:v>
                </c:pt>
                <c:pt idx="265">
                  <c:v>1118.4977872565701</c:v>
                </c:pt>
                <c:pt idx="266">
                  <c:v>1088.03814084134</c:v>
                </c:pt>
                <c:pt idx="267">
                  <c:v>1067.8741796951499</c:v>
                </c:pt>
                <c:pt idx="268">
                  <c:v>1060.33081293429</c:v>
                </c:pt>
                <c:pt idx="269">
                  <c:v>1052.4654086854998</c:v>
                </c:pt>
                <c:pt idx="270">
                  <c:v>1054.2699330446101</c:v>
                </c:pt>
                <c:pt idx="271">
                  <c:v>1058.6245165318201</c:v>
                </c:pt>
                <c:pt idx="272">
                  <c:v>1100.7265330095101</c:v>
                </c:pt>
                <c:pt idx="273">
                  <c:v>1122.81138151354</c:v>
                </c:pt>
                <c:pt idx="274">
                  <c:v>1121.0168547722699</c:v>
                </c:pt>
                <c:pt idx="275">
                  <c:v>1130.57081122309</c:v>
                </c:pt>
                <c:pt idx="276">
                  <c:v>1128.5370710449199</c:v>
                </c:pt>
                <c:pt idx="277">
                  <c:v>1123.68246986433</c:v>
                </c:pt>
                <c:pt idx="278">
                  <c:v>1110.1296082976698</c:v>
                </c:pt>
                <c:pt idx="279">
                  <c:v>1105.9121340945401</c:v>
                </c:pt>
                <c:pt idx="280">
                  <c:v>1081.1521265735</c:v>
                </c:pt>
                <c:pt idx="281">
                  <c:v>1058.5124390564399</c:v>
                </c:pt>
                <c:pt idx="282">
                  <c:v>1075.29366662597</c:v>
                </c:pt>
                <c:pt idx="283">
                  <c:v>1083.5371766777901</c:v>
                </c:pt>
                <c:pt idx="284">
                  <c:v>1072.26191128853</c:v>
                </c:pt>
                <c:pt idx="285">
                  <c:v>1081.2605343647201</c:v>
                </c:pt>
                <c:pt idx="286">
                  <c:v>1130.64877110682</c:v>
                </c:pt>
                <c:pt idx="287">
                  <c:v>1144.3872655815001</c:v>
                </c:pt>
                <c:pt idx="288">
                  <c:v>1153.49787488587</c:v>
                </c:pt>
                <c:pt idx="289">
                  <c:v>1161.4465190106</c:v>
                </c:pt>
                <c:pt idx="290">
                  <c:v>1151.6353713440601</c:v>
                </c:pt>
                <c:pt idx="291">
                  <c:v>1136.45491924569</c:v>
                </c:pt>
                <c:pt idx="292">
                  <c:v>1120.9945872163798</c:v>
                </c:pt>
                <c:pt idx="293">
                  <c:v>1119.7383507084201</c:v>
                </c:pt>
                <c:pt idx="294">
                  <c:v>1123.9450333862001</c:v>
                </c:pt>
                <c:pt idx="295">
                  <c:v>1125.4121380809402</c:v>
                </c:pt>
                <c:pt idx="296">
                  <c:v>1127.3180065374202</c:v>
                </c:pt>
                <c:pt idx="297">
                  <c:v>1125.37547220493</c:v>
                </c:pt>
                <c:pt idx="298">
                  <c:v>1128.7240475139199</c:v>
                </c:pt>
                <c:pt idx="299">
                  <c:v>1118.6364329870501</c:v>
                </c:pt>
                <c:pt idx="300">
                  <c:v>1122.05901808612</c:v>
                </c:pt>
                <c:pt idx="301">
                  <c:v>1114.01616138449</c:v>
                </c:pt>
                <c:pt idx="302">
                  <c:v>1109.97583462785</c:v>
                </c:pt>
                <c:pt idx="303">
                  <c:v>1118.8846241445701</c:v>
                </c:pt>
                <c:pt idx="304">
                  <c:v>1112.04099013413</c:v>
                </c:pt>
                <c:pt idx="305">
                  <c:v>1119.67817131896</c:v>
                </c:pt>
                <c:pt idx="306">
                  <c:v>1115.6887848358801</c:v>
                </c:pt>
                <c:pt idx="307">
                  <c:v>1122.6058087158099</c:v>
                </c:pt>
                <c:pt idx="308">
                  <c:v>1134.57984484188</c:v>
                </c:pt>
                <c:pt idx="309">
                  <c:v>1124.8297098888499</c:v>
                </c:pt>
                <c:pt idx="310">
                  <c:v>1114.88652422113</c:v>
                </c:pt>
                <c:pt idx="311">
                  <c:v>1119.45786819676</c:v>
                </c:pt>
                <c:pt idx="312">
                  <c:v>1130.4027905837299</c:v>
                </c:pt>
                <c:pt idx="313">
                  <c:v>1117.2448308125702</c:v>
                </c:pt>
                <c:pt idx="314">
                  <c:v>1130.0169587988698</c:v>
                </c:pt>
                <c:pt idx="315">
                  <c:v>1130.4164906124299</c:v>
                </c:pt>
                <c:pt idx="316">
                  <c:v>1112.5606948552099</c:v>
                </c:pt>
                <c:pt idx="317">
                  <c:v>1115.1165486776501</c:v>
                </c:pt>
                <c:pt idx="318">
                  <c:v>1112.6655598157699</c:v>
                </c:pt>
                <c:pt idx="319">
                  <c:v>1106.7888176644299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38-804B-949F-00F63B880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3-3E43-BDD5-DC63EFB2B83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'240806B006'!$A$2:$A$321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'240806B006'!$P$2:$P$321</c:f>
              <c:numCache>
                <c:formatCode>General</c:formatCode>
                <c:ptCount val="320"/>
                <c:pt idx="0">
                  <c:v>3.569882959121093</c:v>
                </c:pt>
                <c:pt idx="1">
                  <c:v>4.2366428713369775</c:v>
                </c:pt>
                <c:pt idx="2">
                  <c:v>4.9181579842295937</c:v>
                </c:pt>
                <c:pt idx="3">
                  <c:v>6.7646556450216737</c:v>
                </c:pt>
                <c:pt idx="4">
                  <c:v>8.5423373795974413</c:v>
                </c:pt>
                <c:pt idx="5">
                  <c:v>15.022053476581535</c:v>
                </c:pt>
                <c:pt idx="6">
                  <c:v>10.472690388396339</c:v>
                </c:pt>
                <c:pt idx="7">
                  <c:v>11.75969844498073</c:v>
                </c:pt>
                <c:pt idx="8">
                  <c:v>6.3795731353211957</c:v>
                </c:pt>
                <c:pt idx="9">
                  <c:v>5.5314132208449118</c:v>
                </c:pt>
                <c:pt idx="10">
                  <c:v>5.0726935518526544</c:v>
                </c:pt>
                <c:pt idx="11">
                  <c:v>4.8574252583308448</c:v>
                </c:pt>
                <c:pt idx="12">
                  <c:v>4.1731727887218799</c:v>
                </c:pt>
                <c:pt idx="13">
                  <c:v>3.3326785352217128</c:v>
                </c:pt>
                <c:pt idx="14">
                  <c:v>3.0750014679806927</c:v>
                </c:pt>
                <c:pt idx="15">
                  <c:v>2.3182715545812393</c:v>
                </c:pt>
                <c:pt idx="16">
                  <c:v>0.54473541616570187</c:v>
                </c:pt>
                <c:pt idx="17">
                  <c:v>2.219082079046685</c:v>
                </c:pt>
                <c:pt idx="18">
                  <c:v>1.9822592174606746</c:v>
                </c:pt>
                <c:pt idx="19">
                  <c:v>1.1287945924916412</c:v>
                </c:pt>
                <c:pt idx="20">
                  <c:v>-0.47459954323577724</c:v>
                </c:pt>
                <c:pt idx="21">
                  <c:v>-0.26853313563282605</c:v>
                </c:pt>
                <c:pt idx="22">
                  <c:v>-1.1993069170719888</c:v>
                </c:pt>
                <c:pt idx="23">
                  <c:v>-1.3547345448660584</c:v>
                </c:pt>
                <c:pt idx="24">
                  <c:v>-1.1850169052213002</c:v>
                </c:pt>
                <c:pt idx="25">
                  <c:v>-1.8282677891361656</c:v>
                </c:pt>
                <c:pt idx="26">
                  <c:v>-1.9158597703887823</c:v>
                </c:pt>
                <c:pt idx="27">
                  <c:v>-2.3132956338127455</c:v>
                </c:pt>
                <c:pt idx="28">
                  <c:v>-2.8583114102615115</c:v>
                </c:pt>
                <c:pt idx="29">
                  <c:v>-2.4801563607643518</c:v>
                </c:pt>
                <c:pt idx="30">
                  <c:v>-1.3592353591950352</c:v>
                </c:pt>
                <c:pt idx="31">
                  <c:v>-1.9961378944069168</c:v>
                </c:pt>
                <c:pt idx="32">
                  <c:v>-1.5420195699560899</c:v>
                </c:pt>
                <c:pt idx="33">
                  <c:v>-2.0732516238213585</c:v>
                </c:pt>
                <c:pt idx="34">
                  <c:v>-2.1253943277516099</c:v>
                </c:pt>
                <c:pt idx="35">
                  <c:v>0.35522892193799288</c:v>
                </c:pt>
                <c:pt idx="36">
                  <c:v>-2.0238640705164923</c:v>
                </c:pt>
                <c:pt idx="37">
                  <c:v>-2.2680989600935444</c:v>
                </c:pt>
                <c:pt idx="38">
                  <c:v>-0.71001778005783633</c:v>
                </c:pt>
                <c:pt idx="39">
                  <c:v>-0.3273645816014733</c:v>
                </c:pt>
                <c:pt idx="40">
                  <c:v>-1.2620927108710431</c:v>
                </c:pt>
                <c:pt idx="41">
                  <c:v>-1.6189412311503597</c:v>
                </c:pt>
                <c:pt idx="42">
                  <c:v>-0.98126593460166356</c:v>
                </c:pt>
                <c:pt idx="43">
                  <c:v>0.15289750461529206</c:v>
                </c:pt>
                <c:pt idx="44">
                  <c:v>0.13029268761812868</c:v>
                </c:pt>
                <c:pt idx="45">
                  <c:v>0.77622721686497242</c:v>
                </c:pt>
                <c:pt idx="46">
                  <c:v>0.22220769544395094</c:v>
                </c:pt>
                <c:pt idx="47">
                  <c:v>-0.21611384290256228</c:v>
                </c:pt>
                <c:pt idx="48">
                  <c:v>1.5058370353036714</c:v>
                </c:pt>
                <c:pt idx="49">
                  <c:v>1.6890226282368026</c:v>
                </c:pt>
                <c:pt idx="50">
                  <c:v>-0.40576811141096258</c:v>
                </c:pt>
                <c:pt idx="51">
                  <c:v>-0.73727499771643001</c:v>
                </c:pt>
                <c:pt idx="52">
                  <c:v>-1.360003182408672</c:v>
                </c:pt>
                <c:pt idx="53">
                  <c:v>-0.6373840939628872</c:v>
                </c:pt>
                <c:pt idx="54">
                  <c:v>-1.5475676473455153</c:v>
                </c:pt>
                <c:pt idx="55">
                  <c:v>-0.87027029745162643</c:v>
                </c:pt>
                <c:pt idx="56">
                  <c:v>-1.0132399153405722</c:v>
                </c:pt>
                <c:pt idx="57">
                  <c:v>-1.0134019780572556</c:v>
                </c:pt>
                <c:pt idx="58">
                  <c:v>0.60338256221751729</c:v>
                </c:pt>
                <c:pt idx="59">
                  <c:v>-1.4584439278025849</c:v>
                </c:pt>
                <c:pt idx="60">
                  <c:v>-2.0070596628302093</c:v>
                </c:pt>
                <c:pt idx="61">
                  <c:v>-2.3003782387025602</c:v>
                </c:pt>
                <c:pt idx="62">
                  <c:v>-1.4858491802301588</c:v>
                </c:pt>
                <c:pt idx="63">
                  <c:v>-2.2631466861998351</c:v>
                </c:pt>
                <c:pt idx="64">
                  <c:v>-1.8461048818380394</c:v>
                </c:pt>
                <c:pt idx="65">
                  <c:v>-1.304972911639835</c:v>
                </c:pt>
                <c:pt idx="66">
                  <c:v>-0.33757147105672941</c:v>
                </c:pt>
                <c:pt idx="67">
                  <c:v>0.89093216953539534</c:v>
                </c:pt>
                <c:pt idx="68">
                  <c:v>0.66214480169629664</c:v>
                </c:pt>
                <c:pt idx="69">
                  <c:v>0.61246815242369024</c:v>
                </c:pt>
                <c:pt idx="70">
                  <c:v>0.14853530331818196</c:v>
                </c:pt>
                <c:pt idx="71">
                  <c:v>-0.20615100579955806</c:v>
                </c:pt>
                <c:pt idx="72">
                  <c:v>-0.78083810385155661</c:v>
                </c:pt>
                <c:pt idx="73">
                  <c:v>-0.12701171525771213</c:v>
                </c:pt>
                <c:pt idx="74">
                  <c:v>0.35193859888936802</c:v>
                </c:pt>
                <c:pt idx="75">
                  <c:v>2.7373758060838536</c:v>
                </c:pt>
                <c:pt idx="76">
                  <c:v>3.3773957080234922</c:v>
                </c:pt>
                <c:pt idx="77">
                  <c:v>1.3963284898145658</c:v>
                </c:pt>
                <c:pt idx="78">
                  <c:v>0.78205941253841027</c:v>
                </c:pt>
                <c:pt idx="79">
                  <c:v>1.6999054150827835</c:v>
                </c:pt>
                <c:pt idx="80">
                  <c:v>1.9326144759460973</c:v>
                </c:pt>
                <c:pt idx="81">
                  <c:v>0.80462959825628089</c:v>
                </c:pt>
                <c:pt idx="82">
                  <c:v>1.3523213467725108</c:v>
                </c:pt>
                <c:pt idx="83">
                  <c:v>1.9887073728890055</c:v>
                </c:pt>
                <c:pt idx="84">
                  <c:v>1.3632048142963196</c:v>
                </c:pt>
                <c:pt idx="85">
                  <c:v>1.2450310852360442</c:v>
                </c:pt>
                <c:pt idx="86">
                  <c:v>-0.88269191117542578</c:v>
                </c:pt>
                <c:pt idx="87">
                  <c:v>-3.362964179166001</c:v>
                </c:pt>
                <c:pt idx="88">
                  <c:v>-5.2584865552379405</c:v>
                </c:pt>
                <c:pt idx="89">
                  <c:v>-7.0180725974346529</c:v>
                </c:pt>
                <c:pt idx="90">
                  <c:v>-7.4725913740563321</c:v>
                </c:pt>
                <c:pt idx="91">
                  <c:v>-9.3193204734553454</c:v>
                </c:pt>
                <c:pt idx="92">
                  <c:v>-10.226319776947616</c:v>
                </c:pt>
                <c:pt idx="93">
                  <c:v>-11.475787963530973</c:v>
                </c:pt>
                <c:pt idx="94">
                  <c:v>-11.974982190484813</c:v>
                </c:pt>
                <c:pt idx="95">
                  <c:v>-12.090891940350801</c:v>
                </c:pt>
                <c:pt idx="96">
                  <c:v>-14.360227640279341</c:v>
                </c:pt>
                <c:pt idx="97">
                  <c:v>-15.433061584297796</c:v>
                </c:pt>
                <c:pt idx="98">
                  <c:v>-15.771721610601535</c:v>
                </c:pt>
                <c:pt idx="99">
                  <c:v>-16.659402984930264</c:v>
                </c:pt>
                <c:pt idx="100">
                  <c:v>-19.671695506015567</c:v>
                </c:pt>
                <c:pt idx="101">
                  <c:v>-19.849440451602526</c:v>
                </c:pt>
                <c:pt idx="102">
                  <c:v>-20.252088534115668</c:v>
                </c:pt>
                <c:pt idx="103">
                  <c:v>-20.810606654526804</c:v>
                </c:pt>
                <c:pt idx="104">
                  <c:v>-20.81214384810675</c:v>
                </c:pt>
                <c:pt idx="105">
                  <c:v>-21.492988055922055</c:v>
                </c:pt>
                <c:pt idx="106">
                  <c:v>-22.010028537019579</c:v>
                </c:pt>
                <c:pt idx="107">
                  <c:v>-22.493986682138029</c:v>
                </c:pt>
                <c:pt idx="108">
                  <c:v>-22.435480701054182</c:v>
                </c:pt>
                <c:pt idx="109">
                  <c:v>-22.706725795769795</c:v>
                </c:pt>
                <c:pt idx="110">
                  <c:v>-23.078252038941685</c:v>
                </c:pt>
                <c:pt idx="111">
                  <c:v>-23.046584092173379</c:v>
                </c:pt>
                <c:pt idx="112">
                  <c:v>-22.289330563034262</c:v>
                </c:pt>
                <c:pt idx="113">
                  <c:v>-22.679680619762074</c:v>
                </c:pt>
                <c:pt idx="114">
                  <c:v>-23.798482233913806</c:v>
                </c:pt>
                <c:pt idx="115">
                  <c:v>-24.625968457269487</c:v>
                </c:pt>
                <c:pt idx="116">
                  <c:v>-24.782351671856233</c:v>
                </c:pt>
                <c:pt idx="117">
                  <c:v>-24.728126481727649</c:v>
                </c:pt>
                <c:pt idx="118">
                  <c:v>-25.241331632046599</c:v>
                </c:pt>
                <c:pt idx="119">
                  <c:v>-24.874652172282541</c:v>
                </c:pt>
                <c:pt idx="120">
                  <c:v>-24.61984998125461</c:v>
                </c:pt>
                <c:pt idx="121">
                  <c:v>-24.773553129901373</c:v>
                </c:pt>
                <c:pt idx="122">
                  <c:v>-24.644817536141847</c:v>
                </c:pt>
                <c:pt idx="123">
                  <c:v>-25.423586196854853</c:v>
                </c:pt>
                <c:pt idx="124">
                  <c:v>-25.032146772781221</c:v>
                </c:pt>
                <c:pt idx="125">
                  <c:v>-24.250700858412394</c:v>
                </c:pt>
                <c:pt idx="126">
                  <c:v>-24.175137806101521</c:v>
                </c:pt>
                <c:pt idx="127">
                  <c:v>-23.6808187562687</c:v>
                </c:pt>
                <c:pt idx="128">
                  <c:v>-23.577089626400998</c:v>
                </c:pt>
                <c:pt idx="129">
                  <c:v>-23.486070593456958</c:v>
                </c:pt>
                <c:pt idx="130">
                  <c:v>-24.04013264486024</c:v>
                </c:pt>
                <c:pt idx="131">
                  <c:v>-23.994390696792188</c:v>
                </c:pt>
                <c:pt idx="132">
                  <c:v>-23.818430150758658</c:v>
                </c:pt>
                <c:pt idx="133">
                  <c:v>-24.514395938790891</c:v>
                </c:pt>
                <c:pt idx="134">
                  <c:v>-24.289530972505798</c:v>
                </c:pt>
                <c:pt idx="135">
                  <c:v>-24.097489376417165</c:v>
                </c:pt>
                <c:pt idx="136">
                  <c:v>-24.257445975987928</c:v>
                </c:pt>
                <c:pt idx="137">
                  <c:v>-24.033186708155718</c:v>
                </c:pt>
                <c:pt idx="138">
                  <c:v>-23.672656006819523</c:v>
                </c:pt>
                <c:pt idx="139">
                  <c:v>-22.997844696620067</c:v>
                </c:pt>
                <c:pt idx="140">
                  <c:v>-23.198657315312172</c:v>
                </c:pt>
                <c:pt idx="141">
                  <c:v>-23.444141591453135</c:v>
                </c:pt>
                <c:pt idx="142">
                  <c:v>-23.850176921125925</c:v>
                </c:pt>
                <c:pt idx="143">
                  <c:v>-23.568263219895798</c:v>
                </c:pt>
                <c:pt idx="144">
                  <c:v>-24.302613341034174</c:v>
                </c:pt>
                <c:pt idx="145">
                  <c:v>-22.931035883552077</c:v>
                </c:pt>
                <c:pt idx="146">
                  <c:v>-23.393706223682813</c:v>
                </c:pt>
                <c:pt idx="147">
                  <c:v>-22.252072959081829</c:v>
                </c:pt>
                <c:pt idx="148">
                  <c:v>-22.98483796348572</c:v>
                </c:pt>
                <c:pt idx="149">
                  <c:v>-22.320197092980631</c:v>
                </c:pt>
                <c:pt idx="150">
                  <c:v>-21.853912105874905</c:v>
                </c:pt>
                <c:pt idx="151">
                  <c:v>-21.993688542175924</c:v>
                </c:pt>
                <c:pt idx="152">
                  <c:v>-21.403016400561153</c:v>
                </c:pt>
                <c:pt idx="153">
                  <c:v>-21.817638865211876</c:v>
                </c:pt>
                <c:pt idx="154">
                  <c:v>-22.222922530878435</c:v>
                </c:pt>
                <c:pt idx="155">
                  <c:v>-21.813774875814747</c:v>
                </c:pt>
                <c:pt idx="156">
                  <c:v>-21.75563687744533</c:v>
                </c:pt>
                <c:pt idx="157">
                  <c:v>-21.741990538787643</c:v>
                </c:pt>
                <c:pt idx="158">
                  <c:v>-21.518769386720699</c:v>
                </c:pt>
                <c:pt idx="159">
                  <c:v>-21.579865380288169</c:v>
                </c:pt>
                <c:pt idx="160">
                  <c:v>-21.184560155051198</c:v>
                </c:pt>
                <c:pt idx="161">
                  <c:v>-20.913068078063592</c:v>
                </c:pt>
                <c:pt idx="162">
                  <c:v>-19.958336948621557</c:v>
                </c:pt>
                <c:pt idx="163">
                  <c:v>-9.4974330691675473</c:v>
                </c:pt>
                <c:pt idx="164">
                  <c:v>3.9750266103374128</c:v>
                </c:pt>
                <c:pt idx="165">
                  <c:v>20.396261581271464</c:v>
                </c:pt>
                <c:pt idx="166">
                  <c:v>32.589230150770227</c:v>
                </c:pt>
                <c:pt idx="167">
                  <c:v>41.483431281754861</c:v>
                </c:pt>
                <c:pt idx="168">
                  <c:v>50.689360387990867</c:v>
                </c:pt>
                <c:pt idx="169">
                  <c:v>58.408074022025303</c:v>
                </c:pt>
                <c:pt idx="170">
                  <c:v>60.63820233536763</c:v>
                </c:pt>
                <c:pt idx="171">
                  <c:v>66.266056842009604</c:v>
                </c:pt>
                <c:pt idx="172">
                  <c:v>73.281377344229838</c:v>
                </c:pt>
                <c:pt idx="173">
                  <c:v>80.201042298347232</c:v>
                </c:pt>
                <c:pt idx="174">
                  <c:v>86.156743730605584</c:v>
                </c:pt>
                <c:pt idx="175">
                  <c:v>87.556576503419052</c:v>
                </c:pt>
                <c:pt idx="176">
                  <c:v>87.025580056992126</c:v>
                </c:pt>
                <c:pt idx="177">
                  <c:v>85.686203627884225</c:v>
                </c:pt>
                <c:pt idx="178">
                  <c:v>87.015006261824794</c:v>
                </c:pt>
                <c:pt idx="179">
                  <c:v>87.64485085332511</c:v>
                </c:pt>
                <c:pt idx="180">
                  <c:v>87.956910973174431</c:v>
                </c:pt>
                <c:pt idx="181">
                  <c:v>86.992528584910133</c:v>
                </c:pt>
                <c:pt idx="182">
                  <c:v>88.077243561496317</c:v>
                </c:pt>
                <c:pt idx="183">
                  <c:v>87.393502176634016</c:v>
                </c:pt>
                <c:pt idx="184">
                  <c:v>84.570339704986438</c:v>
                </c:pt>
                <c:pt idx="185">
                  <c:v>83.134652772274265</c:v>
                </c:pt>
                <c:pt idx="186">
                  <c:v>80.60678404293246</c:v>
                </c:pt>
                <c:pt idx="187">
                  <c:v>79.1929437898213</c:v>
                </c:pt>
                <c:pt idx="188">
                  <c:v>82.128312724655544</c:v>
                </c:pt>
                <c:pt idx="189">
                  <c:v>78.729266086624634</c:v>
                </c:pt>
                <c:pt idx="190">
                  <c:v>77.964563913216011</c:v>
                </c:pt>
                <c:pt idx="191">
                  <c:v>76.320215156310084</c:v>
                </c:pt>
                <c:pt idx="192">
                  <c:v>76.044687908578098</c:v>
                </c:pt>
                <c:pt idx="193">
                  <c:v>74.713527791991567</c:v>
                </c:pt>
                <c:pt idx="194">
                  <c:v>74.21127013733485</c:v>
                </c:pt>
                <c:pt idx="195">
                  <c:v>72.00594085445141</c:v>
                </c:pt>
                <c:pt idx="196">
                  <c:v>70.7348945762011</c:v>
                </c:pt>
                <c:pt idx="197">
                  <c:v>71.205953145451474</c:v>
                </c:pt>
                <c:pt idx="198">
                  <c:v>70.128581113769101</c:v>
                </c:pt>
                <c:pt idx="199">
                  <c:v>68.40069166980166</c:v>
                </c:pt>
                <c:pt idx="200">
                  <c:v>66.7047819534273</c:v>
                </c:pt>
                <c:pt idx="201">
                  <c:v>64.854237740195714</c:v>
                </c:pt>
                <c:pt idx="202">
                  <c:v>64.398952595592348</c:v>
                </c:pt>
                <c:pt idx="203">
                  <c:v>64.852799720584969</c:v>
                </c:pt>
                <c:pt idx="204">
                  <c:v>64.903373991003377</c:v>
                </c:pt>
                <c:pt idx="205">
                  <c:v>65.448568609999143</c:v>
                </c:pt>
                <c:pt idx="206">
                  <c:v>65.452686946500364</c:v>
                </c:pt>
                <c:pt idx="207">
                  <c:v>65.65722757360497</c:v>
                </c:pt>
                <c:pt idx="208">
                  <c:v>68.44729312394513</c:v>
                </c:pt>
                <c:pt idx="209">
                  <c:v>67.232527731045209</c:v>
                </c:pt>
                <c:pt idx="210">
                  <c:v>68.64957738327827</c:v>
                </c:pt>
                <c:pt idx="211">
                  <c:v>66.571992249249874</c:v>
                </c:pt>
                <c:pt idx="212">
                  <c:v>67.367571295861879</c:v>
                </c:pt>
                <c:pt idx="213">
                  <c:v>65.898189396947416</c:v>
                </c:pt>
                <c:pt idx="214">
                  <c:v>65.76624140082366</c:v>
                </c:pt>
                <c:pt idx="215">
                  <c:v>66.072947792901971</c:v>
                </c:pt>
                <c:pt idx="216">
                  <c:v>66.458375996994363</c:v>
                </c:pt>
                <c:pt idx="217">
                  <c:v>66.745974827359348</c:v>
                </c:pt>
                <c:pt idx="218">
                  <c:v>64.192584239004759</c:v>
                </c:pt>
                <c:pt idx="219">
                  <c:v>62.209939195059761</c:v>
                </c:pt>
                <c:pt idx="220">
                  <c:v>60.148906105398666</c:v>
                </c:pt>
                <c:pt idx="221">
                  <c:v>60.077088064889615</c:v>
                </c:pt>
                <c:pt idx="222">
                  <c:v>58.45852065724452</c:v>
                </c:pt>
                <c:pt idx="223">
                  <c:v>58.37259638563571</c:v>
                </c:pt>
                <c:pt idx="224">
                  <c:v>58.880343801023585</c:v>
                </c:pt>
                <c:pt idx="225">
                  <c:v>57.006787175342787</c:v>
                </c:pt>
                <c:pt idx="226">
                  <c:v>55.503425015338173</c:v>
                </c:pt>
                <c:pt idx="227">
                  <c:v>53.897709703726406</c:v>
                </c:pt>
                <c:pt idx="228">
                  <c:v>52.91727054301446</c:v>
                </c:pt>
                <c:pt idx="229">
                  <c:v>51.052499783599693</c:v>
                </c:pt>
                <c:pt idx="230">
                  <c:v>49.570946996815962</c:v>
                </c:pt>
                <c:pt idx="231">
                  <c:v>48.341941109614247</c:v>
                </c:pt>
                <c:pt idx="232">
                  <c:v>47.304842349733036</c:v>
                </c:pt>
                <c:pt idx="233">
                  <c:v>47.622130284897793</c:v>
                </c:pt>
                <c:pt idx="234">
                  <c:v>45.574196912652745</c:v>
                </c:pt>
                <c:pt idx="235">
                  <c:v>45.192388909054486</c:v>
                </c:pt>
                <c:pt idx="236">
                  <c:v>45.581475887775831</c:v>
                </c:pt>
                <c:pt idx="237">
                  <c:v>43.116992834220689</c:v>
                </c:pt>
                <c:pt idx="238">
                  <c:v>41.993243437357613</c:v>
                </c:pt>
                <c:pt idx="239">
                  <c:v>41.563322317928495</c:v>
                </c:pt>
                <c:pt idx="240">
                  <c:v>41.036602800629915</c:v>
                </c:pt>
                <c:pt idx="241">
                  <c:v>40.829847768709129</c:v>
                </c:pt>
                <c:pt idx="242">
                  <c:v>41.242294989594988</c:v>
                </c:pt>
                <c:pt idx="243">
                  <c:v>43.569982728469583</c:v>
                </c:pt>
                <c:pt idx="244">
                  <c:v>42.555530966121815</c:v>
                </c:pt>
                <c:pt idx="245">
                  <c:v>42.707491202951012</c:v>
                </c:pt>
                <c:pt idx="246">
                  <c:v>42.071375595748954</c:v>
                </c:pt>
                <c:pt idx="247">
                  <c:v>43.043953875884505</c:v>
                </c:pt>
                <c:pt idx="248">
                  <c:v>43.518285565200166</c:v>
                </c:pt>
                <c:pt idx="249">
                  <c:v>44.159318076516143</c:v>
                </c:pt>
                <c:pt idx="250">
                  <c:v>45.568495899448173</c:v>
                </c:pt>
                <c:pt idx="251">
                  <c:v>45.607569211067485</c:v>
                </c:pt>
                <c:pt idx="252">
                  <c:v>44.331569699783692</c:v>
                </c:pt>
                <c:pt idx="253">
                  <c:v>43.896744669273843</c:v>
                </c:pt>
                <c:pt idx="254">
                  <c:v>42.622720876861536</c:v>
                </c:pt>
                <c:pt idx="255">
                  <c:v>40.949725060467003</c:v>
                </c:pt>
                <c:pt idx="256">
                  <c:v>40.549692774074828</c:v>
                </c:pt>
                <c:pt idx="257">
                  <c:v>40.021482837744891</c:v>
                </c:pt>
                <c:pt idx="258">
                  <c:v>39.400996787332616</c:v>
                </c:pt>
                <c:pt idx="259">
                  <c:v>40.201618126764025</c:v>
                </c:pt>
                <c:pt idx="260">
                  <c:v>37.204799892083948</c:v>
                </c:pt>
                <c:pt idx="261">
                  <c:v>37.010431563891835</c:v>
                </c:pt>
                <c:pt idx="262">
                  <c:v>35.638108273738673</c:v>
                </c:pt>
                <c:pt idx="263">
                  <c:v>32.890497152915898</c:v>
                </c:pt>
                <c:pt idx="264">
                  <c:v>33.056228157453951</c:v>
                </c:pt>
                <c:pt idx="265">
                  <c:v>31.214770360879051</c:v>
                </c:pt>
                <c:pt idx="266">
                  <c:v>29.877316463684551</c:v>
                </c:pt>
                <c:pt idx="267">
                  <c:v>29.166710793573529</c:v>
                </c:pt>
                <c:pt idx="268">
                  <c:v>27.863415339257884</c:v>
                </c:pt>
                <c:pt idx="269">
                  <c:v>27.356183696223109</c:v>
                </c:pt>
                <c:pt idx="270">
                  <c:v>25.175586590940657</c:v>
                </c:pt>
                <c:pt idx="271">
                  <c:v>24.626166698688834</c:v>
                </c:pt>
                <c:pt idx="272">
                  <c:v>23.059895441541041</c:v>
                </c:pt>
                <c:pt idx="273">
                  <c:v>23.057538567684681</c:v>
                </c:pt>
                <c:pt idx="274">
                  <c:v>23.477772173541737</c:v>
                </c:pt>
                <c:pt idx="275">
                  <c:v>22.786741898349185</c:v>
                </c:pt>
                <c:pt idx="276">
                  <c:v>22.31133160234964</c:v>
                </c:pt>
                <c:pt idx="277">
                  <c:v>22.249431921982033</c:v>
                </c:pt>
                <c:pt idx="278">
                  <c:v>20.9195854801746</c:v>
                </c:pt>
                <c:pt idx="279">
                  <c:v>20.50102110894786</c:v>
                </c:pt>
                <c:pt idx="280">
                  <c:v>20.058243916380754</c:v>
                </c:pt>
                <c:pt idx="281">
                  <c:v>18.284843483398667</c:v>
                </c:pt>
                <c:pt idx="282">
                  <c:v>17.112837873580084</c:v>
                </c:pt>
                <c:pt idx="283">
                  <c:v>17.130133646784216</c:v>
                </c:pt>
                <c:pt idx="284">
                  <c:v>16.000020828638196</c:v>
                </c:pt>
                <c:pt idx="285">
                  <c:v>15.518410341919703</c:v>
                </c:pt>
                <c:pt idx="286">
                  <c:v>13.980810442926165</c:v>
                </c:pt>
                <c:pt idx="287">
                  <c:v>13.5486885222982</c:v>
                </c:pt>
                <c:pt idx="288">
                  <c:v>13.200209786492758</c:v>
                </c:pt>
                <c:pt idx="289">
                  <c:v>12.909699383225409</c:v>
                </c:pt>
                <c:pt idx="290">
                  <c:v>12.994311276667922</c:v>
                </c:pt>
                <c:pt idx="291">
                  <c:v>11.807761662435407</c:v>
                </c:pt>
                <c:pt idx="292">
                  <c:v>13.787189455998226</c:v>
                </c:pt>
                <c:pt idx="293">
                  <c:v>13.53486286248082</c:v>
                </c:pt>
                <c:pt idx="294">
                  <c:v>13.331673600095337</c:v>
                </c:pt>
                <c:pt idx="295">
                  <c:v>13.383416393811345</c:v>
                </c:pt>
                <c:pt idx="296">
                  <c:v>11.986412529064699</c:v>
                </c:pt>
                <c:pt idx="297">
                  <c:v>12.182146176727079</c:v>
                </c:pt>
                <c:pt idx="298">
                  <c:v>11.161010067794763</c:v>
                </c:pt>
                <c:pt idx="299">
                  <c:v>11.307772298839904</c:v>
                </c:pt>
                <c:pt idx="300">
                  <c:v>11.246593114258324</c:v>
                </c:pt>
                <c:pt idx="301">
                  <c:v>10.465328425234018</c:v>
                </c:pt>
                <c:pt idx="302">
                  <c:v>9.3047888413646689</c:v>
                </c:pt>
                <c:pt idx="303">
                  <c:v>9.4198140333942888</c:v>
                </c:pt>
                <c:pt idx="304">
                  <c:v>9.6504074359967156</c:v>
                </c:pt>
                <c:pt idx="305">
                  <c:v>9.926867950323329</c:v>
                </c:pt>
                <c:pt idx="306">
                  <c:v>11.09743715347177</c:v>
                </c:pt>
                <c:pt idx="307">
                  <c:v>10.904398110509209</c:v>
                </c:pt>
                <c:pt idx="308">
                  <c:v>11.251573074160719</c:v>
                </c:pt>
                <c:pt idx="309">
                  <c:v>11.498261496944204</c:v>
                </c:pt>
                <c:pt idx="310">
                  <c:v>11.212169516169471</c:v>
                </c:pt>
                <c:pt idx="311">
                  <c:v>9.9775060736771568</c:v>
                </c:pt>
                <c:pt idx="312">
                  <c:v>10.606339865235912</c:v>
                </c:pt>
                <c:pt idx="313">
                  <c:v>10.519115502013346</c:v>
                </c:pt>
                <c:pt idx="314">
                  <c:v>10.798156253908891</c:v>
                </c:pt>
                <c:pt idx="315">
                  <c:v>9.6398208496531179</c:v>
                </c:pt>
                <c:pt idx="316">
                  <c:v>8.3696875435100662</c:v>
                </c:pt>
                <c:pt idx="317">
                  <c:v>7.6534322138971032</c:v>
                </c:pt>
                <c:pt idx="318">
                  <c:v>7.6069020448758211</c:v>
                </c:pt>
                <c:pt idx="319">
                  <c:v>6.9905588308044537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53-3E43-BDD5-DC63EFB2B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'240806B007'!$A$2:$A$321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'240806B007'!$J$2:$J$321</c:f>
              <c:numCache>
                <c:formatCode>0.0</c:formatCode>
                <c:ptCount val="320"/>
                <c:pt idx="0">
                  <c:v>612.7239144406401</c:v>
                </c:pt>
                <c:pt idx="1">
                  <c:v>618.56048932771</c:v>
                </c:pt>
                <c:pt idx="2">
                  <c:v>624.81771839558996</c:v>
                </c:pt>
                <c:pt idx="3">
                  <c:v>630.0379048986</c:v>
                </c:pt>
                <c:pt idx="4">
                  <c:v>604.92831962661</c:v>
                </c:pt>
                <c:pt idx="5">
                  <c:v>635.16633205854009</c:v>
                </c:pt>
                <c:pt idx="6">
                  <c:v>589.02569835558006</c:v>
                </c:pt>
                <c:pt idx="7">
                  <c:v>479.79047807347001</c:v>
                </c:pt>
                <c:pt idx="8">
                  <c:v>583.85437014774993</c:v>
                </c:pt>
                <c:pt idx="9">
                  <c:v>615.50588247901999</c:v>
                </c:pt>
                <c:pt idx="10">
                  <c:v>612.42073628851006</c:v>
                </c:pt>
                <c:pt idx="11">
                  <c:v>595.07062359128997</c:v>
                </c:pt>
                <c:pt idx="12">
                  <c:v>582.40270473327996</c:v>
                </c:pt>
                <c:pt idx="13">
                  <c:v>619.63632086489008</c:v>
                </c:pt>
                <c:pt idx="14">
                  <c:v>615.41600778891006</c:v>
                </c:pt>
                <c:pt idx="15">
                  <c:v>586.94523562301993</c:v>
                </c:pt>
                <c:pt idx="16">
                  <c:v>641.68972499627</c:v>
                </c:pt>
                <c:pt idx="17">
                  <c:v>629.94102713456004</c:v>
                </c:pt>
                <c:pt idx="18">
                  <c:v>582.84231731373006</c:v>
                </c:pt>
                <c:pt idx="19">
                  <c:v>587.02066256397995</c:v>
                </c:pt>
                <c:pt idx="20">
                  <c:v>566.43315858932999</c:v>
                </c:pt>
                <c:pt idx="21">
                  <c:v>281.58879812059001</c:v>
                </c:pt>
                <c:pt idx="22">
                  <c:v>372.16893873980996</c:v>
                </c:pt>
                <c:pt idx="23">
                  <c:v>355.00927649506002</c:v>
                </c:pt>
                <c:pt idx="24">
                  <c:v>334.87399233949003</c:v>
                </c:pt>
                <c:pt idx="25">
                  <c:v>224.08090644512004</c:v>
                </c:pt>
                <c:pt idx="26">
                  <c:v>237.09338128499999</c:v>
                </c:pt>
                <c:pt idx="27">
                  <c:v>306.52709589479002</c:v>
                </c:pt>
                <c:pt idx="28">
                  <c:v>301.78787915999999</c:v>
                </c:pt>
                <c:pt idx="29">
                  <c:v>362.32545048188001</c:v>
                </c:pt>
                <c:pt idx="30">
                  <c:v>249.01142545517001</c:v>
                </c:pt>
                <c:pt idx="31">
                  <c:v>245.49623896052</c:v>
                </c:pt>
                <c:pt idx="32">
                  <c:v>203.36730362830002</c:v>
                </c:pt>
                <c:pt idx="33">
                  <c:v>293.6974630245</c:v>
                </c:pt>
                <c:pt idx="34">
                  <c:v>317.50043458405003</c:v>
                </c:pt>
                <c:pt idx="35">
                  <c:v>271.75949795017004</c:v>
                </c:pt>
                <c:pt idx="36">
                  <c:v>278.73682706782995</c:v>
                </c:pt>
                <c:pt idx="37">
                  <c:v>289.20696920511</c:v>
                </c:pt>
                <c:pt idx="38">
                  <c:v>299.42286801753005</c:v>
                </c:pt>
                <c:pt idx="39">
                  <c:v>311.01045138587995</c:v>
                </c:pt>
                <c:pt idx="40">
                  <c:v>279.13465881633999</c:v>
                </c:pt>
                <c:pt idx="41">
                  <c:v>280.78763754862007</c:v>
                </c:pt>
                <c:pt idx="42">
                  <c:v>273.94703174334001</c:v>
                </c:pt>
                <c:pt idx="43">
                  <c:v>264.40938433024996</c:v>
                </c:pt>
                <c:pt idx="44">
                  <c:v>291.13115058574999</c:v>
                </c:pt>
                <c:pt idx="45">
                  <c:v>308.23739981303999</c:v>
                </c:pt>
                <c:pt idx="46">
                  <c:v>308.16596896393003</c:v>
                </c:pt>
                <c:pt idx="47">
                  <c:v>307.92520349038</c:v>
                </c:pt>
                <c:pt idx="48">
                  <c:v>315.13270357958004</c:v>
                </c:pt>
                <c:pt idx="49">
                  <c:v>298.91044608964</c:v>
                </c:pt>
                <c:pt idx="50">
                  <c:v>298.53637341140995</c:v>
                </c:pt>
                <c:pt idx="51">
                  <c:v>330.72691525600999</c:v>
                </c:pt>
                <c:pt idx="52">
                  <c:v>289.32697424729002</c:v>
                </c:pt>
                <c:pt idx="53">
                  <c:v>295.32392863760003</c:v>
                </c:pt>
                <c:pt idx="54">
                  <c:v>279.46610217654001</c:v>
                </c:pt>
                <c:pt idx="55">
                  <c:v>304.32718907103998</c:v>
                </c:pt>
                <c:pt idx="56">
                  <c:v>287.98618308210996</c:v>
                </c:pt>
                <c:pt idx="57">
                  <c:v>346.97053504753001</c:v>
                </c:pt>
                <c:pt idx="58">
                  <c:v>360.64611026937001</c:v>
                </c:pt>
                <c:pt idx="59">
                  <c:v>399.07100493184998</c:v>
                </c:pt>
                <c:pt idx="60">
                  <c:v>460.39015111889</c:v>
                </c:pt>
                <c:pt idx="61">
                  <c:v>470.18785275572998</c:v>
                </c:pt>
                <c:pt idx="62">
                  <c:v>479.06867789294006</c:v>
                </c:pt>
                <c:pt idx="63">
                  <c:v>500.94887311170999</c:v>
                </c:pt>
                <c:pt idx="64">
                  <c:v>508.19474962873005</c:v>
                </c:pt>
                <c:pt idx="65">
                  <c:v>510.03862562045003</c:v>
                </c:pt>
                <c:pt idx="66">
                  <c:v>514.41391160981993</c:v>
                </c:pt>
                <c:pt idx="67">
                  <c:v>511.56203952243999</c:v>
                </c:pt>
                <c:pt idx="68">
                  <c:v>507.99252308721998</c:v>
                </c:pt>
                <c:pt idx="69">
                  <c:v>504.60488654693</c:v>
                </c:pt>
                <c:pt idx="70">
                  <c:v>496.62471684150995</c:v>
                </c:pt>
                <c:pt idx="71">
                  <c:v>490.04195416584002</c:v>
                </c:pt>
                <c:pt idx="72">
                  <c:v>486.16131640317997</c:v>
                </c:pt>
                <c:pt idx="73">
                  <c:v>492.50251580054004</c:v>
                </c:pt>
                <c:pt idx="74">
                  <c:v>482.71290206240008</c:v>
                </c:pt>
                <c:pt idx="75">
                  <c:v>461.50359662944999</c:v>
                </c:pt>
                <c:pt idx="76">
                  <c:v>476.57531045822998</c:v>
                </c:pt>
                <c:pt idx="77">
                  <c:v>476.31891599378991</c:v>
                </c:pt>
                <c:pt idx="78">
                  <c:v>453.83484336182994</c:v>
                </c:pt>
                <c:pt idx="79">
                  <c:v>438.45183492880994</c:v>
                </c:pt>
                <c:pt idx="80">
                  <c:v>404.07457722215997</c:v>
                </c:pt>
                <c:pt idx="81">
                  <c:v>431.61610068182006</c:v>
                </c:pt>
                <c:pt idx="82">
                  <c:v>449.02861139778008</c:v>
                </c:pt>
                <c:pt idx="83">
                  <c:v>462.12888909679998</c:v>
                </c:pt>
                <c:pt idx="84">
                  <c:v>462.94796820917998</c:v>
                </c:pt>
                <c:pt idx="85">
                  <c:v>470.25520185455991</c:v>
                </c:pt>
                <c:pt idx="86">
                  <c:v>444.60649253222005</c:v>
                </c:pt>
                <c:pt idx="87">
                  <c:v>414.21407568270996</c:v>
                </c:pt>
                <c:pt idx="88">
                  <c:v>396.57892609890996</c:v>
                </c:pt>
                <c:pt idx="89">
                  <c:v>394.64676593641002</c:v>
                </c:pt>
                <c:pt idx="90">
                  <c:v>406.70820917101003</c:v>
                </c:pt>
                <c:pt idx="91">
                  <c:v>408.1091576425199</c:v>
                </c:pt>
                <c:pt idx="92">
                  <c:v>414.46911803082003</c:v>
                </c:pt>
                <c:pt idx="93">
                  <c:v>438.55253426429999</c:v>
                </c:pt>
                <c:pt idx="94">
                  <c:v>450.05920394449004</c:v>
                </c:pt>
                <c:pt idx="95">
                  <c:v>440.67949519310997</c:v>
                </c:pt>
                <c:pt idx="96">
                  <c:v>431.51462922078997</c:v>
                </c:pt>
                <c:pt idx="97">
                  <c:v>411.77632631299002</c:v>
                </c:pt>
                <c:pt idx="98">
                  <c:v>374.89513262559007</c:v>
                </c:pt>
                <c:pt idx="99">
                  <c:v>378.81472621930993</c:v>
                </c:pt>
                <c:pt idx="100">
                  <c:v>394.08958165579003</c:v>
                </c:pt>
                <c:pt idx="101">
                  <c:v>395.54634736349004</c:v>
                </c:pt>
                <c:pt idx="102">
                  <c:v>355.79936694147</c:v>
                </c:pt>
                <c:pt idx="103">
                  <c:v>327.23219757317003</c:v>
                </c:pt>
                <c:pt idx="104">
                  <c:v>349.76863916975003</c:v>
                </c:pt>
                <c:pt idx="105">
                  <c:v>348.25785191298996</c:v>
                </c:pt>
                <c:pt idx="106">
                  <c:v>342.75905743940001</c:v>
                </c:pt>
                <c:pt idx="107">
                  <c:v>344.99330044904997</c:v>
                </c:pt>
                <c:pt idx="108">
                  <c:v>366.11474656541998</c:v>
                </c:pt>
                <c:pt idx="109">
                  <c:v>404.27722286323001</c:v>
                </c:pt>
                <c:pt idx="110">
                  <c:v>423.47983878850994</c:v>
                </c:pt>
                <c:pt idx="111">
                  <c:v>444.92718614453003</c:v>
                </c:pt>
                <c:pt idx="112">
                  <c:v>415.33622538327006</c:v>
                </c:pt>
                <c:pt idx="113">
                  <c:v>371.16914526071997</c:v>
                </c:pt>
                <c:pt idx="114">
                  <c:v>351.07787735681001</c:v>
                </c:pt>
                <c:pt idx="115">
                  <c:v>382.90903836178001</c:v>
                </c:pt>
                <c:pt idx="116">
                  <c:v>394.43895219154001</c:v>
                </c:pt>
                <c:pt idx="117">
                  <c:v>392.58458807731995</c:v>
                </c:pt>
                <c:pt idx="118">
                  <c:v>336.01400059290006</c:v>
                </c:pt>
                <c:pt idx="119">
                  <c:v>330.08380837399</c:v>
                </c:pt>
                <c:pt idx="120">
                  <c:v>321.71584855575003</c:v>
                </c:pt>
                <c:pt idx="121">
                  <c:v>313.32564122002998</c:v>
                </c:pt>
                <c:pt idx="122">
                  <c:v>331.73328324568001</c:v>
                </c:pt>
                <c:pt idx="123">
                  <c:v>335.18782870023006</c:v>
                </c:pt>
                <c:pt idx="124">
                  <c:v>333.71224643126004</c:v>
                </c:pt>
                <c:pt idx="125">
                  <c:v>319.49123259556995</c:v>
                </c:pt>
                <c:pt idx="126">
                  <c:v>314.39881693262998</c:v>
                </c:pt>
                <c:pt idx="127">
                  <c:v>358.86771846983999</c:v>
                </c:pt>
                <c:pt idx="128">
                  <c:v>372.66998469209994</c:v>
                </c:pt>
                <c:pt idx="129">
                  <c:v>399.38714846183007</c:v>
                </c:pt>
                <c:pt idx="130">
                  <c:v>401.58165230419002</c:v>
                </c:pt>
                <c:pt idx="131">
                  <c:v>424.11385700579001</c:v>
                </c:pt>
                <c:pt idx="132">
                  <c:v>435.46787789775999</c:v>
                </c:pt>
                <c:pt idx="133">
                  <c:v>436.31209538392</c:v>
                </c:pt>
                <c:pt idx="134">
                  <c:v>410.57504491922009</c:v>
                </c:pt>
                <c:pt idx="135">
                  <c:v>376.60222783606997</c:v>
                </c:pt>
                <c:pt idx="136">
                  <c:v>369.53097039457998</c:v>
                </c:pt>
                <c:pt idx="137">
                  <c:v>349.47393152463997</c:v>
                </c:pt>
                <c:pt idx="138">
                  <c:v>363.58420972594001</c:v>
                </c:pt>
                <c:pt idx="139">
                  <c:v>352.72625231853999</c:v>
                </c:pt>
                <c:pt idx="140">
                  <c:v>350.39008841092004</c:v>
                </c:pt>
                <c:pt idx="141">
                  <c:v>370.36472517650998</c:v>
                </c:pt>
                <c:pt idx="142">
                  <c:v>408.03417250680002</c:v>
                </c:pt>
                <c:pt idx="143">
                  <c:v>421.15295414516004</c:v>
                </c:pt>
                <c:pt idx="144">
                  <c:v>408.31889618307002</c:v>
                </c:pt>
                <c:pt idx="145">
                  <c:v>367.96241515397003</c:v>
                </c:pt>
                <c:pt idx="146">
                  <c:v>369.30336877868001</c:v>
                </c:pt>
                <c:pt idx="147">
                  <c:v>343.22136276077003</c:v>
                </c:pt>
                <c:pt idx="148">
                  <c:v>331.96005490812001</c:v>
                </c:pt>
                <c:pt idx="149">
                  <c:v>352.06826740027998</c:v>
                </c:pt>
                <c:pt idx="150">
                  <c:v>345.65095044147</c:v>
                </c:pt>
                <c:pt idx="151">
                  <c:v>361.97101337113997</c:v>
                </c:pt>
                <c:pt idx="152">
                  <c:v>381.76274551895</c:v>
                </c:pt>
                <c:pt idx="153">
                  <c:v>397.83807188897003</c:v>
                </c:pt>
                <c:pt idx="154">
                  <c:v>372.16275505496003</c:v>
                </c:pt>
                <c:pt idx="155">
                  <c:v>371.79181729292998</c:v>
                </c:pt>
                <c:pt idx="156">
                  <c:v>379.49542728410995</c:v>
                </c:pt>
                <c:pt idx="157">
                  <c:v>347.29058161504003</c:v>
                </c:pt>
                <c:pt idx="158">
                  <c:v>345.41620893559002</c:v>
                </c:pt>
                <c:pt idx="159">
                  <c:v>352.97515099982002</c:v>
                </c:pt>
                <c:pt idx="160">
                  <c:v>342.63634639672</c:v>
                </c:pt>
                <c:pt idx="161">
                  <c:v>389.02158681467995</c:v>
                </c:pt>
                <c:pt idx="162">
                  <c:v>398.31451005209999</c:v>
                </c:pt>
                <c:pt idx="163">
                  <c:v>446.07372333058998</c:v>
                </c:pt>
                <c:pt idx="164">
                  <c:v>463.60766307254005</c:v>
                </c:pt>
                <c:pt idx="165">
                  <c:v>445.08733978154999</c:v>
                </c:pt>
                <c:pt idx="166">
                  <c:v>420.27803795951002</c:v>
                </c:pt>
                <c:pt idx="167">
                  <c:v>437.23173083015001</c:v>
                </c:pt>
                <c:pt idx="168">
                  <c:v>444.02887017642001</c:v>
                </c:pt>
                <c:pt idx="169">
                  <c:v>452.95533467454004</c:v>
                </c:pt>
                <c:pt idx="170">
                  <c:v>478.88086568662993</c:v>
                </c:pt>
                <c:pt idx="171">
                  <c:v>510.03843571309005</c:v>
                </c:pt>
                <c:pt idx="172">
                  <c:v>375.81743786365996</c:v>
                </c:pt>
                <c:pt idx="173">
                  <c:v>356.79906830171001</c:v>
                </c:pt>
                <c:pt idx="174">
                  <c:v>332.45191160642003</c:v>
                </c:pt>
                <c:pt idx="175">
                  <c:v>350.32754668299003</c:v>
                </c:pt>
                <c:pt idx="176">
                  <c:v>329.41472690075</c:v>
                </c:pt>
                <c:pt idx="177">
                  <c:v>300.52985614215004</c:v>
                </c:pt>
                <c:pt idx="178">
                  <c:v>325.92828589986999</c:v>
                </c:pt>
                <c:pt idx="179">
                  <c:v>332.15693481557003</c:v>
                </c:pt>
                <c:pt idx="180">
                  <c:v>365.54586481023</c:v>
                </c:pt>
                <c:pt idx="181">
                  <c:v>322.36248762228001</c:v>
                </c:pt>
                <c:pt idx="182">
                  <c:v>312.74397580609997</c:v>
                </c:pt>
                <c:pt idx="183">
                  <c:v>333.65106179790996</c:v>
                </c:pt>
                <c:pt idx="184">
                  <c:v>329.88677889619998</c:v>
                </c:pt>
                <c:pt idx="185">
                  <c:v>350.93358049024999</c:v>
                </c:pt>
                <c:pt idx="186">
                  <c:v>336.50940897322994</c:v>
                </c:pt>
                <c:pt idx="187">
                  <c:v>308.94121866881</c:v>
                </c:pt>
                <c:pt idx="188">
                  <c:v>298.64210089796006</c:v>
                </c:pt>
                <c:pt idx="189">
                  <c:v>297.63334938611001</c:v>
                </c:pt>
                <c:pt idx="190">
                  <c:v>298.25127574602004</c:v>
                </c:pt>
                <c:pt idx="191">
                  <c:v>313.41594349573</c:v>
                </c:pt>
                <c:pt idx="192">
                  <c:v>289.72729183325998</c:v>
                </c:pt>
                <c:pt idx="193">
                  <c:v>282.78285091654999</c:v>
                </c:pt>
                <c:pt idx="194">
                  <c:v>286.58098718381996</c:v>
                </c:pt>
                <c:pt idx="195">
                  <c:v>302.89833648675</c:v>
                </c:pt>
                <c:pt idx="196">
                  <c:v>286.04259960540003</c:v>
                </c:pt>
                <c:pt idx="197">
                  <c:v>296.40268000789001</c:v>
                </c:pt>
                <c:pt idx="198">
                  <c:v>308.39528430550001</c:v>
                </c:pt>
                <c:pt idx="199">
                  <c:v>318.67387430621</c:v>
                </c:pt>
                <c:pt idx="200">
                  <c:v>292.37263185067002</c:v>
                </c:pt>
                <c:pt idx="201">
                  <c:v>263.66458613150996</c:v>
                </c:pt>
                <c:pt idx="202">
                  <c:v>321.86797995516997</c:v>
                </c:pt>
                <c:pt idx="203">
                  <c:v>262.89213193607003</c:v>
                </c:pt>
                <c:pt idx="204">
                  <c:v>266.72005210167998</c:v>
                </c:pt>
                <c:pt idx="205">
                  <c:v>292.54996863414999</c:v>
                </c:pt>
                <c:pt idx="206">
                  <c:v>299.23756236334998</c:v>
                </c:pt>
                <c:pt idx="207">
                  <c:v>300.26542516820001</c:v>
                </c:pt>
                <c:pt idx="208">
                  <c:v>308.03487338798004</c:v>
                </c:pt>
                <c:pt idx="209">
                  <c:v>297.70477867990996</c:v>
                </c:pt>
                <c:pt idx="210">
                  <c:v>299.24893544820998</c:v>
                </c:pt>
                <c:pt idx="211">
                  <c:v>303.19230537882004</c:v>
                </c:pt>
                <c:pt idx="212">
                  <c:v>302.58085826935002</c:v>
                </c:pt>
                <c:pt idx="213">
                  <c:v>275.41044372969998</c:v>
                </c:pt>
                <c:pt idx="214">
                  <c:v>277.58057404028</c:v>
                </c:pt>
                <c:pt idx="215">
                  <c:v>302.49503707380995</c:v>
                </c:pt>
                <c:pt idx="216">
                  <c:v>325.18624110050001</c:v>
                </c:pt>
                <c:pt idx="217">
                  <c:v>304.54532700573003</c:v>
                </c:pt>
                <c:pt idx="218">
                  <c:v>313.12925368084996</c:v>
                </c:pt>
                <c:pt idx="219">
                  <c:v>324.93169497630004</c:v>
                </c:pt>
                <c:pt idx="220">
                  <c:v>307.24365414343998</c:v>
                </c:pt>
                <c:pt idx="221">
                  <c:v>324.17468069121003</c:v>
                </c:pt>
                <c:pt idx="222">
                  <c:v>313.98324437969995</c:v>
                </c:pt>
                <c:pt idx="223">
                  <c:v>338.46410111601006</c:v>
                </c:pt>
                <c:pt idx="224">
                  <c:v>291.42802387247002</c:v>
                </c:pt>
                <c:pt idx="225">
                  <c:v>299.99068403566002</c:v>
                </c:pt>
                <c:pt idx="226">
                  <c:v>331.87684368698001</c:v>
                </c:pt>
                <c:pt idx="227">
                  <c:v>306.63683193710006</c:v>
                </c:pt>
                <c:pt idx="228">
                  <c:v>358.43186874022001</c:v>
                </c:pt>
                <c:pt idx="229">
                  <c:v>298.30954169796996</c:v>
                </c:pt>
                <c:pt idx="230">
                  <c:v>258.3305785124</c:v>
                </c:pt>
                <c:pt idx="231">
                  <c:v>323.50408252035004</c:v>
                </c:pt>
                <c:pt idx="232">
                  <c:v>314.67329556046002</c:v>
                </c:pt>
                <c:pt idx="233">
                  <c:v>307.26966382900002</c:v>
                </c:pt>
                <c:pt idx="234">
                  <c:v>307.80807578676001</c:v>
                </c:pt>
                <c:pt idx="235">
                  <c:v>292.26727091959998</c:v>
                </c:pt>
                <c:pt idx="236">
                  <c:v>292.79633211503005</c:v>
                </c:pt>
                <c:pt idx="237">
                  <c:v>336.93922896666999</c:v>
                </c:pt>
                <c:pt idx="238">
                  <c:v>361.88730277986002</c:v>
                </c:pt>
                <c:pt idx="239">
                  <c:v>377.73779113448006</c:v>
                </c:pt>
                <c:pt idx="240">
                  <c:v>371.66566491360004</c:v>
                </c:pt>
                <c:pt idx="241">
                  <c:v>385.45380146690002</c:v>
                </c:pt>
                <c:pt idx="242">
                  <c:v>409.41353989888</c:v>
                </c:pt>
                <c:pt idx="243">
                  <c:v>405.91612948316003</c:v>
                </c:pt>
                <c:pt idx="244">
                  <c:v>414.96764048262003</c:v>
                </c:pt>
                <c:pt idx="245">
                  <c:v>411.74770702442993</c:v>
                </c:pt>
                <c:pt idx="246">
                  <c:v>449.71087052946007</c:v>
                </c:pt>
                <c:pt idx="247">
                  <c:v>459.99107587373999</c:v>
                </c:pt>
                <c:pt idx="248">
                  <c:v>502.59590522117998</c:v>
                </c:pt>
                <c:pt idx="249">
                  <c:v>489.11259085929998</c:v>
                </c:pt>
                <c:pt idx="250">
                  <c:v>495.66395408833</c:v>
                </c:pt>
                <c:pt idx="251">
                  <c:v>485.99326815149993</c:v>
                </c:pt>
                <c:pt idx="252">
                  <c:v>480.03138266816001</c:v>
                </c:pt>
                <c:pt idx="253">
                  <c:v>469.58708474797004</c:v>
                </c:pt>
                <c:pt idx="254">
                  <c:v>476.41577828014005</c:v>
                </c:pt>
                <c:pt idx="255">
                  <c:v>478.15029097339999</c:v>
                </c:pt>
                <c:pt idx="256">
                  <c:v>463.19968333846003</c:v>
                </c:pt>
                <c:pt idx="257">
                  <c:v>474.34434365285006</c:v>
                </c:pt>
                <c:pt idx="258">
                  <c:v>482.55200683971003</c:v>
                </c:pt>
                <c:pt idx="259">
                  <c:v>492.26424038487994</c:v>
                </c:pt>
                <c:pt idx="260">
                  <c:v>479.77952692379006</c:v>
                </c:pt>
                <c:pt idx="261">
                  <c:v>497.15927873780004</c:v>
                </c:pt>
                <c:pt idx="262">
                  <c:v>486.09691960932003</c:v>
                </c:pt>
                <c:pt idx="263">
                  <c:v>479.82719759579004</c:v>
                </c:pt>
                <c:pt idx="264">
                  <c:v>471.14650638618002</c:v>
                </c:pt>
                <c:pt idx="265">
                  <c:v>462.38993238166995</c:v>
                </c:pt>
                <c:pt idx="266">
                  <c:v>477.40495867769005</c:v>
                </c:pt>
                <c:pt idx="267">
                  <c:v>479.26070623590999</c:v>
                </c:pt>
                <c:pt idx="268">
                  <c:v>486.62659654394997</c:v>
                </c:pt>
                <c:pt idx="269">
                  <c:v>479.28399699473994</c:v>
                </c:pt>
                <c:pt idx="270">
                  <c:v>463.78136739293006</c:v>
                </c:pt>
                <c:pt idx="271">
                  <c:v>440.91723715607003</c:v>
                </c:pt>
                <c:pt idx="272">
                  <c:v>399.94514673609007</c:v>
                </c:pt>
                <c:pt idx="273">
                  <c:v>390.70159187974991</c:v>
                </c:pt>
                <c:pt idx="274">
                  <c:v>383.82924984494002</c:v>
                </c:pt>
                <c:pt idx="275">
                  <c:v>428.21335145494004</c:v>
                </c:pt>
                <c:pt idx="276">
                  <c:v>449.33967307957994</c:v>
                </c:pt>
                <c:pt idx="277">
                  <c:v>459.70226379310003</c:v>
                </c:pt>
                <c:pt idx="278">
                  <c:v>477.16858046356998</c:v>
                </c:pt>
                <c:pt idx="279">
                  <c:v>467.91974275878005</c:v>
                </c:pt>
                <c:pt idx="280">
                  <c:v>435.76135158168006</c:v>
                </c:pt>
                <c:pt idx="281">
                  <c:v>441.12352792759998</c:v>
                </c:pt>
                <c:pt idx="282">
                  <c:v>438.66910582325005</c:v>
                </c:pt>
                <c:pt idx="283">
                  <c:v>461.55137567551003</c:v>
                </c:pt>
                <c:pt idx="284">
                  <c:v>490.10531532591995</c:v>
                </c:pt>
                <c:pt idx="285">
                  <c:v>491.41625842962992</c:v>
                </c:pt>
                <c:pt idx="286">
                  <c:v>457.30261781647005</c:v>
                </c:pt>
                <c:pt idx="287">
                  <c:v>411.97792312130002</c:v>
                </c:pt>
                <c:pt idx="288">
                  <c:v>379.89376227539003</c:v>
                </c:pt>
                <c:pt idx="289">
                  <c:v>391.67092411720006</c:v>
                </c:pt>
                <c:pt idx="290">
                  <c:v>405.99398948159006</c:v>
                </c:pt>
                <c:pt idx="291">
                  <c:v>401.13223140495995</c:v>
                </c:pt>
                <c:pt idx="292">
                  <c:v>425.99999999999994</c:v>
                </c:pt>
                <c:pt idx="293">
                  <c:v>417.21788129226996</c:v>
                </c:pt>
                <c:pt idx="294">
                  <c:v>407.27272727272998</c:v>
                </c:pt>
                <c:pt idx="295">
                  <c:v>419.75657400451001</c:v>
                </c:pt>
                <c:pt idx="296">
                  <c:v>417.62434259955</c:v>
                </c:pt>
                <c:pt idx="297">
                  <c:v>426.31630353117998</c:v>
                </c:pt>
                <c:pt idx="298">
                  <c:v>438.15852742299001</c:v>
                </c:pt>
                <c:pt idx="299">
                  <c:v>433.82213171625006</c:v>
                </c:pt>
                <c:pt idx="300">
                  <c:v>448.32009730456002</c:v>
                </c:pt>
                <c:pt idx="301">
                  <c:v>463.71187411798996</c:v>
                </c:pt>
                <c:pt idx="302">
                  <c:v>462.49462263708995</c:v>
                </c:pt>
                <c:pt idx="303">
                  <c:v>430.70986039366994</c:v>
                </c:pt>
                <c:pt idx="304">
                  <c:v>443.29919495615997</c:v>
                </c:pt>
                <c:pt idx="305">
                  <c:v>452.71237740972998</c:v>
                </c:pt>
                <c:pt idx="306">
                  <c:v>467.95031624334001</c:v>
                </c:pt>
                <c:pt idx="307">
                  <c:v>429.72529968988999</c:v>
                </c:pt>
                <c:pt idx="308">
                  <c:v>384.45874239650999</c:v>
                </c:pt>
                <c:pt idx="309">
                  <c:v>396.80617887171002</c:v>
                </c:pt>
                <c:pt idx="310">
                  <c:v>415.41119249882996</c:v>
                </c:pt>
                <c:pt idx="311">
                  <c:v>424.22434754463001</c:v>
                </c:pt>
                <c:pt idx="312">
                  <c:v>434.61355839435998</c:v>
                </c:pt>
                <c:pt idx="313">
                  <c:v>439.80123876421999</c:v>
                </c:pt>
                <c:pt idx="314">
                  <c:v>393.68809007631</c:v>
                </c:pt>
                <c:pt idx="315">
                  <c:v>404.33481463699002</c:v>
                </c:pt>
                <c:pt idx="316">
                  <c:v>397.18149999122005</c:v>
                </c:pt>
                <c:pt idx="317">
                  <c:v>395.71698815052002</c:v>
                </c:pt>
                <c:pt idx="318">
                  <c:v>425.78855297221992</c:v>
                </c:pt>
                <c:pt idx="319">
                  <c:v>442.54316289462008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E-7142-AFC5-BACC30D30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3-4F47-9936-7C414E55C6CA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'240806B007'!$A$2:$A$321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'240806B007'!$P$2:$P$321</c:f>
              <c:numCache>
                <c:formatCode>General</c:formatCode>
                <c:ptCount val="320"/>
                <c:pt idx="0">
                  <c:v>-14.029164162145397</c:v>
                </c:pt>
                <c:pt idx="1">
                  <c:v>-14.409555472826169</c:v>
                </c:pt>
                <c:pt idx="2">
                  <c:v>-14.396715989807445</c:v>
                </c:pt>
                <c:pt idx="3">
                  <c:v>-6.5618368426039266</c:v>
                </c:pt>
                <c:pt idx="4">
                  <c:v>-3.1675306609831968</c:v>
                </c:pt>
                <c:pt idx="5">
                  <c:v>-0.99647670253091603</c:v>
                </c:pt>
                <c:pt idx="6">
                  <c:v>-2.9619271211912457</c:v>
                </c:pt>
                <c:pt idx="7">
                  <c:v>5.9838072451301825</c:v>
                </c:pt>
                <c:pt idx="8">
                  <c:v>-0.75682081115655864</c:v>
                </c:pt>
                <c:pt idx="9">
                  <c:v>-3.1119058412656044</c:v>
                </c:pt>
                <c:pt idx="10">
                  <c:v>-1.922498481270515</c:v>
                </c:pt>
                <c:pt idx="11">
                  <c:v>-2.0875217057833066</c:v>
                </c:pt>
                <c:pt idx="12">
                  <c:v>-5.4296419487841296</c:v>
                </c:pt>
                <c:pt idx="13">
                  <c:v>-6.4670390872941867</c:v>
                </c:pt>
                <c:pt idx="14">
                  <c:v>-6.9394384243994907</c:v>
                </c:pt>
                <c:pt idx="15">
                  <c:v>-8.4048448904520541</c:v>
                </c:pt>
                <c:pt idx="16">
                  <c:v>-8.4588203520382788</c:v>
                </c:pt>
                <c:pt idx="17">
                  <c:v>-7.9531899991219106</c:v>
                </c:pt>
                <c:pt idx="18">
                  <c:v>-6.4896356276591129</c:v>
                </c:pt>
                <c:pt idx="19">
                  <c:v>-6.455342240685229</c:v>
                </c:pt>
                <c:pt idx="20">
                  <c:v>-7.2996939623514168</c:v>
                </c:pt>
                <c:pt idx="21">
                  <c:v>11.778714028842655</c:v>
                </c:pt>
                <c:pt idx="22">
                  <c:v>0.21704493742911862</c:v>
                </c:pt>
                <c:pt idx="23">
                  <c:v>2.4876188336503899</c:v>
                </c:pt>
                <c:pt idx="24">
                  <c:v>7.4204443193985528</c:v>
                </c:pt>
                <c:pt idx="25">
                  <c:v>18.174111886950996</c:v>
                </c:pt>
                <c:pt idx="26">
                  <c:v>14.989380535382937</c:v>
                </c:pt>
                <c:pt idx="27">
                  <c:v>9.1301473590311257</c:v>
                </c:pt>
                <c:pt idx="28">
                  <c:v>5.3777874872079119</c:v>
                </c:pt>
                <c:pt idx="29">
                  <c:v>-0.47598956068410669</c:v>
                </c:pt>
                <c:pt idx="30">
                  <c:v>10.556910969703234</c:v>
                </c:pt>
                <c:pt idx="31">
                  <c:v>12.39077603020529</c:v>
                </c:pt>
                <c:pt idx="32">
                  <c:v>14.375476782428509</c:v>
                </c:pt>
                <c:pt idx="33">
                  <c:v>3.4375684370894262</c:v>
                </c:pt>
                <c:pt idx="34">
                  <c:v>2.1217481008436501</c:v>
                </c:pt>
                <c:pt idx="35">
                  <c:v>7.2293338074882847</c:v>
                </c:pt>
                <c:pt idx="36">
                  <c:v>7.2464124197736961</c:v>
                </c:pt>
                <c:pt idx="37">
                  <c:v>4.3980697994402878</c:v>
                </c:pt>
                <c:pt idx="38">
                  <c:v>5.04850425085246</c:v>
                </c:pt>
                <c:pt idx="39">
                  <c:v>5.3398387406690739</c:v>
                </c:pt>
                <c:pt idx="40">
                  <c:v>5.6714088092295345</c:v>
                </c:pt>
                <c:pt idx="41">
                  <c:v>6.3630076845694825</c:v>
                </c:pt>
                <c:pt idx="42">
                  <c:v>4.527957247124875</c:v>
                </c:pt>
                <c:pt idx="43">
                  <c:v>3.7632887193768378</c:v>
                </c:pt>
                <c:pt idx="44">
                  <c:v>1.0170860778976893</c:v>
                </c:pt>
                <c:pt idx="45">
                  <c:v>-0.18318090778640045</c:v>
                </c:pt>
                <c:pt idx="46">
                  <c:v>0.41401382275877507</c:v>
                </c:pt>
                <c:pt idx="47">
                  <c:v>3.8767716966888286</c:v>
                </c:pt>
                <c:pt idx="48">
                  <c:v>4.0727423852603257</c:v>
                </c:pt>
                <c:pt idx="49">
                  <c:v>4.5775008238647485</c:v>
                </c:pt>
                <c:pt idx="50">
                  <c:v>2.3565210760113535</c:v>
                </c:pt>
                <c:pt idx="51">
                  <c:v>-1.1093001389137449</c:v>
                </c:pt>
                <c:pt idx="52">
                  <c:v>1.602219513245037</c:v>
                </c:pt>
                <c:pt idx="53">
                  <c:v>7.1628217583220248</c:v>
                </c:pt>
                <c:pt idx="54">
                  <c:v>9.9549148712639148</c:v>
                </c:pt>
                <c:pt idx="55">
                  <c:v>7.2524315072324654</c:v>
                </c:pt>
                <c:pt idx="56">
                  <c:v>3.8666755687557606</c:v>
                </c:pt>
                <c:pt idx="57">
                  <c:v>-3.7314350854710416</c:v>
                </c:pt>
                <c:pt idx="58">
                  <c:v>-3.6623134966712212</c:v>
                </c:pt>
                <c:pt idx="59">
                  <c:v>-3.8579116526591046</c:v>
                </c:pt>
                <c:pt idx="60">
                  <c:v>-5.0939541192875932</c:v>
                </c:pt>
                <c:pt idx="61">
                  <c:v>-5.4186382006453311</c:v>
                </c:pt>
                <c:pt idx="62">
                  <c:v>-5.1098498499185636</c:v>
                </c:pt>
                <c:pt idx="63">
                  <c:v>-3.895810690619502</c:v>
                </c:pt>
                <c:pt idx="64">
                  <c:v>-5.7034004399034126</c:v>
                </c:pt>
                <c:pt idx="65">
                  <c:v>-4.314692457979004</c:v>
                </c:pt>
                <c:pt idx="66">
                  <c:v>-3.4121626893621597</c:v>
                </c:pt>
                <c:pt idx="67">
                  <c:v>-3.0170586051389741</c:v>
                </c:pt>
                <c:pt idx="68">
                  <c:v>-1.5604277134379283</c:v>
                </c:pt>
                <c:pt idx="69">
                  <c:v>-0.58769568952653284</c:v>
                </c:pt>
                <c:pt idx="70">
                  <c:v>-0.72650527378191088</c:v>
                </c:pt>
                <c:pt idx="71">
                  <c:v>-8.696716514385476E-2</c:v>
                </c:pt>
                <c:pt idx="72">
                  <c:v>-4.2399413229966952E-2</c:v>
                </c:pt>
                <c:pt idx="73">
                  <c:v>1.0231702676085235</c:v>
                </c:pt>
                <c:pt idx="74">
                  <c:v>2.0978795970055488</c:v>
                </c:pt>
                <c:pt idx="75">
                  <c:v>3.3653099350144835</c:v>
                </c:pt>
                <c:pt idx="76">
                  <c:v>6.2452756870247015</c:v>
                </c:pt>
                <c:pt idx="77">
                  <c:v>7.7005634735652713</c:v>
                </c:pt>
                <c:pt idx="78">
                  <c:v>8.2285477162355534</c:v>
                </c:pt>
                <c:pt idx="79">
                  <c:v>10.308815631520904</c:v>
                </c:pt>
                <c:pt idx="80">
                  <c:v>8.5202326794855363</c:v>
                </c:pt>
                <c:pt idx="81">
                  <c:v>9.1329332960162368</c:v>
                </c:pt>
                <c:pt idx="82">
                  <c:v>9.5825117629303911</c:v>
                </c:pt>
                <c:pt idx="83">
                  <c:v>11.644541791042814</c:v>
                </c:pt>
                <c:pt idx="84">
                  <c:v>12.560591793883743</c:v>
                </c:pt>
                <c:pt idx="85">
                  <c:v>6.9463066837894116</c:v>
                </c:pt>
                <c:pt idx="86">
                  <c:v>2.3265693395036173</c:v>
                </c:pt>
                <c:pt idx="87">
                  <c:v>-1.6561529410981906</c:v>
                </c:pt>
                <c:pt idx="88">
                  <c:v>-2.9687013477797435</c:v>
                </c:pt>
                <c:pt idx="89">
                  <c:v>-5.8314495412730682</c:v>
                </c:pt>
                <c:pt idx="90">
                  <c:v>-6.763558522832545</c:v>
                </c:pt>
                <c:pt idx="91">
                  <c:v>-7.625454878982028</c:v>
                </c:pt>
                <c:pt idx="92">
                  <c:v>-8.5022683505950578</c:v>
                </c:pt>
                <c:pt idx="93">
                  <c:v>-9.6486754310381802</c:v>
                </c:pt>
                <c:pt idx="94">
                  <c:v>-10.247901868804259</c:v>
                </c:pt>
                <c:pt idx="95">
                  <c:v>-12.215205088731906</c:v>
                </c:pt>
                <c:pt idx="96">
                  <c:v>-11.824499398248275</c:v>
                </c:pt>
                <c:pt idx="97">
                  <c:v>-12.19330546614567</c:v>
                </c:pt>
                <c:pt idx="98">
                  <c:v>-12.142627703558363</c:v>
                </c:pt>
                <c:pt idx="99">
                  <c:v>-11.502897821384705</c:v>
                </c:pt>
                <c:pt idx="100">
                  <c:v>-12.236662774656001</c:v>
                </c:pt>
                <c:pt idx="101">
                  <c:v>-11.999990006425797</c:v>
                </c:pt>
                <c:pt idx="102">
                  <c:v>-12.152815286541939</c:v>
                </c:pt>
                <c:pt idx="103">
                  <c:v>-10.015030462640915</c:v>
                </c:pt>
                <c:pt idx="104">
                  <c:v>-11.345252173810211</c:v>
                </c:pt>
                <c:pt idx="105">
                  <c:v>-11.746635534517164</c:v>
                </c:pt>
                <c:pt idx="106">
                  <c:v>-10.246727416208774</c:v>
                </c:pt>
                <c:pt idx="107">
                  <c:v>-10.070497691506214</c:v>
                </c:pt>
                <c:pt idx="108">
                  <c:v>-11.025546643227612</c:v>
                </c:pt>
                <c:pt idx="109">
                  <c:v>-10.544495228725458</c:v>
                </c:pt>
                <c:pt idx="110">
                  <c:v>-13.324967447250751</c:v>
                </c:pt>
                <c:pt idx="111">
                  <c:v>-12.212148594005335</c:v>
                </c:pt>
                <c:pt idx="112">
                  <c:v>-12.533310536887893</c:v>
                </c:pt>
                <c:pt idx="113">
                  <c:v>-12.593664206493854</c:v>
                </c:pt>
                <c:pt idx="114">
                  <c:v>-10.267818207842707</c:v>
                </c:pt>
                <c:pt idx="115">
                  <c:v>-9.3901765430155208</c:v>
                </c:pt>
                <c:pt idx="116">
                  <c:v>-9.9585111672778552</c:v>
                </c:pt>
                <c:pt idx="117">
                  <c:v>-10.130101897084138</c:v>
                </c:pt>
                <c:pt idx="118">
                  <c:v>-8.2641340622425119</c:v>
                </c:pt>
                <c:pt idx="119">
                  <c:v>-8.2720400985583495</c:v>
                </c:pt>
                <c:pt idx="120">
                  <c:v>-8.1017729119178465</c:v>
                </c:pt>
                <c:pt idx="121">
                  <c:v>-7.2489115845717027</c:v>
                </c:pt>
                <c:pt idx="122">
                  <c:v>-8.0907019980056063</c:v>
                </c:pt>
                <c:pt idx="123">
                  <c:v>-9.028563432107827</c:v>
                </c:pt>
                <c:pt idx="124">
                  <c:v>-7.4447401515573723</c:v>
                </c:pt>
                <c:pt idx="125">
                  <c:v>-8.5991909982477175</c:v>
                </c:pt>
                <c:pt idx="126">
                  <c:v>-6.7351180785628699</c:v>
                </c:pt>
                <c:pt idx="127">
                  <c:v>-6.6511362371140592</c:v>
                </c:pt>
                <c:pt idx="128">
                  <c:v>-6.4843461329857215</c:v>
                </c:pt>
                <c:pt idx="129">
                  <c:v>-6.5426810880404318</c:v>
                </c:pt>
                <c:pt idx="130">
                  <c:v>-10.435797933881068</c:v>
                </c:pt>
                <c:pt idx="131">
                  <c:v>-11.105325686106751</c:v>
                </c:pt>
                <c:pt idx="132">
                  <c:v>-8.7657283738812399</c:v>
                </c:pt>
                <c:pt idx="133">
                  <c:v>-10.185452151271788</c:v>
                </c:pt>
                <c:pt idx="134">
                  <c:v>-10.734384118477132</c:v>
                </c:pt>
                <c:pt idx="135">
                  <c:v>-10.443354499364023</c:v>
                </c:pt>
                <c:pt idx="136">
                  <c:v>-7.5674541997997142</c:v>
                </c:pt>
                <c:pt idx="137">
                  <c:v>-8.4240065913263322</c:v>
                </c:pt>
                <c:pt idx="138">
                  <c:v>-7.3138839738200732</c:v>
                </c:pt>
                <c:pt idx="139">
                  <c:v>-5.9531018056781422</c:v>
                </c:pt>
                <c:pt idx="140">
                  <c:v>-6.4916232972092214</c:v>
                </c:pt>
                <c:pt idx="141">
                  <c:v>-6.8687404258184248</c:v>
                </c:pt>
                <c:pt idx="142">
                  <c:v>-7.707964835326929</c:v>
                </c:pt>
                <c:pt idx="143">
                  <c:v>-6.3744366429541888</c:v>
                </c:pt>
                <c:pt idx="144">
                  <c:v>-7.1620373806313902</c:v>
                </c:pt>
                <c:pt idx="145">
                  <c:v>-5.510887776520593</c:v>
                </c:pt>
                <c:pt idx="146">
                  <c:v>-6.2679254872361287</c:v>
                </c:pt>
                <c:pt idx="147">
                  <c:v>-4.2589839573364552</c:v>
                </c:pt>
                <c:pt idx="148">
                  <c:v>-4.0396931255639323</c:v>
                </c:pt>
                <c:pt idx="149">
                  <c:v>-4.5769322888629205</c:v>
                </c:pt>
                <c:pt idx="150">
                  <c:v>-5.3460656623142571</c:v>
                </c:pt>
                <c:pt idx="151">
                  <c:v>-2.3871699257921355</c:v>
                </c:pt>
                <c:pt idx="152">
                  <c:v>-4.9526244586659285</c:v>
                </c:pt>
                <c:pt idx="153">
                  <c:v>-4.9381076713787433</c:v>
                </c:pt>
                <c:pt idx="154">
                  <c:v>-6.4308231316521187</c:v>
                </c:pt>
                <c:pt idx="155">
                  <c:v>-3.9157252962291236</c:v>
                </c:pt>
                <c:pt idx="156">
                  <c:v>-3.0400109638153161</c:v>
                </c:pt>
                <c:pt idx="157">
                  <c:v>-4.8099833098340303</c:v>
                </c:pt>
                <c:pt idx="158">
                  <c:v>-4.5386341769193601</c:v>
                </c:pt>
                <c:pt idx="159">
                  <c:v>-3.5258732806856283</c:v>
                </c:pt>
                <c:pt idx="160">
                  <c:v>-3.2934220063758213</c:v>
                </c:pt>
                <c:pt idx="161">
                  <c:v>-3.0246324271521701</c:v>
                </c:pt>
                <c:pt idx="162">
                  <c:v>-0.83810558015719083</c:v>
                </c:pt>
                <c:pt idx="163">
                  <c:v>28.905254588031781</c:v>
                </c:pt>
                <c:pt idx="164">
                  <c:v>50.554528683910362</c:v>
                </c:pt>
                <c:pt idx="165">
                  <c:v>72.532509313012611</c:v>
                </c:pt>
                <c:pt idx="166">
                  <c:v>84.606405793205653</c:v>
                </c:pt>
                <c:pt idx="167">
                  <c:v>85.767234171027965</c:v>
                </c:pt>
                <c:pt idx="168">
                  <c:v>89.089297311687034</c:v>
                </c:pt>
                <c:pt idx="169">
                  <c:v>88.504853976394486</c:v>
                </c:pt>
                <c:pt idx="170">
                  <c:v>87.311135728917407</c:v>
                </c:pt>
                <c:pt idx="171">
                  <c:v>86.654614445595499</c:v>
                </c:pt>
                <c:pt idx="172">
                  <c:v>90.922036159277525</c:v>
                </c:pt>
                <c:pt idx="173">
                  <c:v>92.151671960926407</c:v>
                </c:pt>
                <c:pt idx="174">
                  <c:v>87.863037714823292</c:v>
                </c:pt>
                <c:pt idx="175">
                  <c:v>80.50444948153384</c:v>
                </c:pt>
                <c:pt idx="176">
                  <c:v>75.570391869918524</c:v>
                </c:pt>
                <c:pt idx="177">
                  <c:v>74.833800615107819</c:v>
                </c:pt>
                <c:pt idx="178">
                  <c:v>67.166758244369447</c:v>
                </c:pt>
                <c:pt idx="179">
                  <c:v>60.661374383777719</c:v>
                </c:pt>
                <c:pt idx="180">
                  <c:v>57.923979489009611</c:v>
                </c:pt>
                <c:pt idx="181">
                  <c:v>58.546161694411204</c:v>
                </c:pt>
                <c:pt idx="182">
                  <c:v>61.069553437841215</c:v>
                </c:pt>
                <c:pt idx="183">
                  <c:v>52.857828680604037</c:v>
                </c:pt>
                <c:pt idx="184">
                  <c:v>50.043840504811939</c:v>
                </c:pt>
                <c:pt idx="185">
                  <c:v>45.303969590690073</c:v>
                </c:pt>
                <c:pt idx="186">
                  <c:v>48.450274461411801</c:v>
                </c:pt>
                <c:pt idx="187">
                  <c:v>51.016221860148491</c:v>
                </c:pt>
                <c:pt idx="188">
                  <c:v>50.630152975798978</c:v>
                </c:pt>
                <c:pt idx="189">
                  <c:v>42.432788186262357</c:v>
                </c:pt>
                <c:pt idx="190">
                  <c:v>43.191098979526103</c:v>
                </c:pt>
                <c:pt idx="191">
                  <c:v>41.815637494307424</c:v>
                </c:pt>
                <c:pt idx="192">
                  <c:v>39.386028227270025</c:v>
                </c:pt>
                <c:pt idx="193">
                  <c:v>35.653439255387674</c:v>
                </c:pt>
                <c:pt idx="194">
                  <c:v>35.749590912698842</c:v>
                </c:pt>
                <c:pt idx="195">
                  <c:v>29.073965357432929</c:v>
                </c:pt>
                <c:pt idx="196">
                  <c:v>30.081137040224128</c:v>
                </c:pt>
                <c:pt idx="197">
                  <c:v>30.146491125944351</c:v>
                </c:pt>
                <c:pt idx="198">
                  <c:v>26.653212754054088</c:v>
                </c:pt>
                <c:pt idx="199">
                  <c:v>25.314534862995863</c:v>
                </c:pt>
                <c:pt idx="200">
                  <c:v>28.219695872073576</c:v>
                </c:pt>
                <c:pt idx="201">
                  <c:v>26.898507870758881</c:v>
                </c:pt>
                <c:pt idx="202">
                  <c:v>20.209400984781031</c:v>
                </c:pt>
                <c:pt idx="203">
                  <c:v>23.679247039375749</c:v>
                </c:pt>
                <c:pt idx="204">
                  <c:v>25.77661759229467</c:v>
                </c:pt>
                <c:pt idx="205">
                  <c:v>22.176802790213699</c:v>
                </c:pt>
                <c:pt idx="206">
                  <c:v>19.964711199081776</c:v>
                </c:pt>
                <c:pt idx="207">
                  <c:v>23.608368976373256</c:v>
                </c:pt>
                <c:pt idx="208">
                  <c:v>21.896943798206543</c:v>
                </c:pt>
                <c:pt idx="209">
                  <c:v>25.682177324400079</c:v>
                </c:pt>
                <c:pt idx="210">
                  <c:v>24.265268965652371</c:v>
                </c:pt>
                <c:pt idx="211">
                  <c:v>23.54275456035899</c:v>
                </c:pt>
                <c:pt idx="212">
                  <c:v>20.853233079791135</c:v>
                </c:pt>
                <c:pt idx="213">
                  <c:v>16.042019983572334</c:v>
                </c:pt>
                <c:pt idx="214">
                  <c:v>18.309015705559755</c:v>
                </c:pt>
                <c:pt idx="215">
                  <c:v>17.423229353915126</c:v>
                </c:pt>
                <c:pt idx="216">
                  <c:v>18.4327108604922</c:v>
                </c:pt>
                <c:pt idx="217">
                  <c:v>20.415267328966035</c:v>
                </c:pt>
                <c:pt idx="218">
                  <c:v>21.271196607802572</c:v>
                </c:pt>
                <c:pt idx="219">
                  <c:v>22.204064657100062</c:v>
                </c:pt>
                <c:pt idx="220">
                  <c:v>16.988323635191378</c:v>
                </c:pt>
                <c:pt idx="221">
                  <c:v>17.878436445799085</c:v>
                </c:pt>
                <c:pt idx="222">
                  <c:v>18.294520021967088</c:v>
                </c:pt>
                <c:pt idx="223">
                  <c:v>20.138608942698564</c:v>
                </c:pt>
                <c:pt idx="224">
                  <c:v>22.451601012324705</c:v>
                </c:pt>
                <c:pt idx="225">
                  <c:v>20.273983145485754</c:v>
                </c:pt>
                <c:pt idx="226">
                  <c:v>22.532252216002586</c:v>
                </c:pt>
                <c:pt idx="227">
                  <c:v>16.444983806317559</c:v>
                </c:pt>
                <c:pt idx="228">
                  <c:v>19.868214343513134</c:v>
                </c:pt>
                <c:pt idx="229">
                  <c:v>16.670660113813941</c:v>
                </c:pt>
                <c:pt idx="230">
                  <c:v>16.829971133741733</c:v>
                </c:pt>
                <c:pt idx="231">
                  <c:v>16.934171344545522</c:v>
                </c:pt>
                <c:pt idx="232">
                  <c:v>15.397368901517282</c:v>
                </c:pt>
                <c:pt idx="233">
                  <c:v>18.455630869453159</c:v>
                </c:pt>
                <c:pt idx="234">
                  <c:v>19.725950398099769</c:v>
                </c:pt>
                <c:pt idx="235">
                  <c:v>21.687589424182214</c:v>
                </c:pt>
                <c:pt idx="236">
                  <c:v>20.892438458171405</c:v>
                </c:pt>
                <c:pt idx="237">
                  <c:v>18.35107570470911</c:v>
                </c:pt>
                <c:pt idx="238">
                  <c:v>15.645674509508723</c:v>
                </c:pt>
                <c:pt idx="239">
                  <c:v>13.293452339735209</c:v>
                </c:pt>
                <c:pt idx="240">
                  <c:v>11.103334785286631</c:v>
                </c:pt>
                <c:pt idx="241">
                  <c:v>9.1435985212297055</c:v>
                </c:pt>
                <c:pt idx="242">
                  <c:v>7.9242945088152466</c:v>
                </c:pt>
                <c:pt idx="243">
                  <c:v>7.0544966562186255</c:v>
                </c:pt>
                <c:pt idx="244">
                  <c:v>7.6932613300661465</c:v>
                </c:pt>
                <c:pt idx="245">
                  <c:v>7.2802852508296114</c:v>
                </c:pt>
                <c:pt idx="246">
                  <c:v>6.2866707831793116</c:v>
                </c:pt>
                <c:pt idx="247">
                  <c:v>9.1657906962322038</c:v>
                </c:pt>
                <c:pt idx="248">
                  <c:v>9.4055802658450887</c:v>
                </c:pt>
                <c:pt idx="249">
                  <c:v>10.170536805351981</c:v>
                </c:pt>
                <c:pt idx="250">
                  <c:v>11.484386381304265</c:v>
                </c:pt>
                <c:pt idx="251">
                  <c:v>10.18806545129855</c:v>
                </c:pt>
                <c:pt idx="252">
                  <c:v>11.154598593065232</c:v>
                </c:pt>
                <c:pt idx="253">
                  <c:v>10.257325709502291</c:v>
                </c:pt>
                <c:pt idx="254">
                  <c:v>10.434203468375074</c:v>
                </c:pt>
                <c:pt idx="255">
                  <c:v>10.586702562534647</c:v>
                </c:pt>
                <c:pt idx="256">
                  <c:v>12.069610083896377</c:v>
                </c:pt>
                <c:pt idx="257">
                  <c:v>15.174913082451811</c:v>
                </c:pt>
                <c:pt idx="258">
                  <c:v>15.896518545244867</c:v>
                </c:pt>
                <c:pt idx="259">
                  <c:v>17.752110740108172</c:v>
                </c:pt>
                <c:pt idx="260">
                  <c:v>17.167931218945164</c:v>
                </c:pt>
                <c:pt idx="261">
                  <c:v>14.961961729193526</c:v>
                </c:pt>
                <c:pt idx="262">
                  <c:v>14.362849152679777</c:v>
                </c:pt>
                <c:pt idx="263">
                  <c:v>17.169456146283547</c:v>
                </c:pt>
                <c:pt idx="264">
                  <c:v>21.008965269344909</c:v>
                </c:pt>
                <c:pt idx="265">
                  <c:v>21.499543054647987</c:v>
                </c:pt>
                <c:pt idx="266">
                  <c:v>21.375992014720747</c:v>
                </c:pt>
                <c:pt idx="267">
                  <c:v>20.533960829667901</c:v>
                </c:pt>
                <c:pt idx="268">
                  <c:v>20.917065778070391</c:v>
                </c:pt>
                <c:pt idx="269">
                  <c:v>21.947523092837031</c:v>
                </c:pt>
                <c:pt idx="270">
                  <c:v>22.32410355386925</c:v>
                </c:pt>
                <c:pt idx="271">
                  <c:v>26.455062822726777</c:v>
                </c:pt>
                <c:pt idx="272">
                  <c:v>22.995776058486904</c:v>
                </c:pt>
                <c:pt idx="273">
                  <c:v>22.49569248370581</c:v>
                </c:pt>
                <c:pt idx="274">
                  <c:v>20.649920187990926</c:v>
                </c:pt>
                <c:pt idx="275">
                  <c:v>24.351973423805905</c:v>
                </c:pt>
                <c:pt idx="276">
                  <c:v>25.53588018365329</c:v>
                </c:pt>
                <c:pt idx="277">
                  <c:v>30.064220921970385</c:v>
                </c:pt>
                <c:pt idx="278">
                  <c:v>25.592886155429024</c:v>
                </c:pt>
                <c:pt idx="279">
                  <c:v>24.393684889176821</c:v>
                </c:pt>
                <c:pt idx="280">
                  <c:v>23.879358226129249</c:v>
                </c:pt>
                <c:pt idx="281">
                  <c:v>23.6077362126113</c:v>
                </c:pt>
                <c:pt idx="282">
                  <c:v>26.065609864616125</c:v>
                </c:pt>
                <c:pt idx="283">
                  <c:v>26.526890952673643</c:v>
                </c:pt>
                <c:pt idx="284">
                  <c:v>27.686986232927108</c:v>
                </c:pt>
                <c:pt idx="285">
                  <c:v>27.688087230809277</c:v>
                </c:pt>
                <c:pt idx="286">
                  <c:v>25.276944720273605</c:v>
                </c:pt>
                <c:pt idx="287">
                  <c:v>25.650781939624164</c:v>
                </c:pt>
                <c:pt idx="288">
                  <c:v>24.910482907443814</c:v>
                </c:pt>
                <c:pt idx="289">
                  <c:v>28.721325021447342</c:v>
                </c:pt>
                <c:pt idx="290">
                  <c:v>28.488333696529551</c:v>
                </c:pt>
                <c:pt idx="291">
                  <c:v>29.379998577548523</c:v>
                </c:pt>
                <c:pt idx="292">
                  <c:v>30.304909148140315</c:v>
                </c:pt>
                <c:pt idx="293">
                  <c:v>29.980053521121398</c:v>
                </c:pt>
                <c:pt idx="294">
                  <c:v>30.98301218039084</c:v>
                </c:pt>
                <c:pt idx="295">
                  <c:v>30.399441167290131</c:v>
                </c:pt>
                <c:pt idx="296">
                  <c:v>32.231058287956955</c:v>
                </c:pt>
                <c:pt idx="297">
                  <c:v>31.328864647183273</c:v>
                </c:pt>
                <c:pt idx="298">
                  <c:v>34.333215944099884</c:v>
                </c:pt>
                <c:pt idx="299">
                  <c:v>34.966456353022295</c:v>
                </c:pt>
                <c:pt idx="300">
                  <c:v>38.068694613662515</c:v>
                </c:pt>
                <c:pt idx="301">
                  <c:v>37.69793510453664</c:v>
                </c:pt>
                <c:pt idx="302">
                  <c:v>37.891805083676964</c:v>
                </c:pt>
                <c:pt idx="303">
                  <c:v>32.920695382101862</c:v>
                </c:pt>
                <c:pt idx="304">
                  <c:v>32.387267857584831</c:v>
                </c:pt>
                <c:pt idx="305">
                  <c:v>30.168371723030891</c:v>
                </c:pt>
                <c:pt idx="306">
                  <c:v>26.218657994816162</c:v>
                </c:pt>
                <c:pt idx="307">
                  <c:v>23.752871868632429</c:v>
                </c:pt>
                <c:pt idx="308">
                  <c:v>23.172010038371678</c:v>
                </c:pt>
                <c:pt idx="309">
                  <c:v>20.433156074348421</c:v>
                </c:pt>
                <c:pt idx="310">
                  <c:v>22.064816190071138</c:v>
                </c:pt>
                <c:pt idx="311">
                  <c:v>18.634580227186849</c:v>
                </c:pt>
                <c:pt idx="312">
                  <c:v>17.862812945766073</c:v>
                </c:pt>
                <c:pt idx="313">
                  <c:v>19.889094046329575</c:v>
                </c:pt>
                <c:pt idx="314">
                  <c:v>18.729269475135883</c:v>
                </c:pt>
                <c:pt idx="315">
                  <c:v>22.656228349675441</c:v>
                </c:pt>
                <c:pt idx="316">
                  <c:v>20.440352999228981</c:v>
                </c:pt>
                <c:pt idx="317">
                  <c:v>22.346751855730197</c:v>
                </c:pt>
                <c:pt idx="318">
                  <c:v>21.994210154881781</c:v>
                </c:pt>
                <c:pt idx="319">
                  <c:v>22.658471234247266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3-4F47-9936-7C414E55C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'240806B008'!$A$2:$A$321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'240806B008'!$J$2:$J$321</c:f>
              <c:numCache>
                <c:formatCode>0.0</c:formatCode>
                <c:ptCount val="320"/>
                <c:pt idx="0">
                  <c:v>794.07623480148993</c:v>
                </c:pt>
                <c:pt idx="1">
                  <c:v>793.97010694657001</c:v>
                </c:pt>
                <c:pt idx="2">
                  <c:v>730.79781120251005</c:v>
                </c:pt>
                <c:pt idx="3">
                  <c:v>527.42226833547011</c:v>
                </c:pt>
                <c:pt idx="4">
                  <c:v>482.17521343339001</c:v>
                </c:pt>
                <c:pt idx="5">
                  <c:v>508.13752838116</c:v>
                </c:pt>
                <c:pt idx="6">
                  <c:v>630.62573119063006</c:v>
                </c:pt>
                <c:pt idx="7">
                  <c:v>884.17355123463994</c:v>
                </c:pt>
                <c:pt idx="8">
                  <c:v>958.45035314983011</c:v>
                </c:pt>
                <c:pt idx="9">
                  <c:v>945.17561639426992</c:v>
                </c:pt>
                <c:pt idx="10">
                  <c:v>1025.8395038764402</c:v>
                </c:pt>
                <c:pt idx="11">
                  <c:v>1031.6023161452802</c:v>
                </c:pt>
                <c:pt idx="12">
                  <c:v>1044.3711230163999</c:v>
                </c:pt>
                <c:pt idx="13">
                  <c:v>1085.9334036668802</c:v>
                </c:pt>
                <c:pt idx="14">
                  <c:v>1106.9125249593999</c:v>
                </c:pt>
                <c:pt idx="15">
                  <c:v>1037.6954090607801</c:v>
                </c:pt>
                <c:pt idx="16">
                  <c:v>1060.0392538546801</c:v>
                </c:pt>
                <c:pt idx="17">
                  <c:v>1066.82326065338</c:v>
                </c:pt>
                <c:pt idx="18">
                  <c:v>1048.0841783175799</c:v>
                </c:pt>
                <c:pt idx="19">
                  <c:v>1008.19849482597</c:v>
                </c:pt>
                <c:pt idx="20">
                  <c:v>1020.8764959731501</c:v>
                </c:pt>
                <c:pt idx="21">
                  <c:v>1027.57696756975</c:v>
                </c:pt>
                <c:pt idx="22">
                  <c:v>1103.0711368843001</c:v>
                </c:pt>
                <c:pt idx="23">
                  <c:v>1111.1924732295502</c:v>
                </c:pt>
                <c:pt idx="24">
                  <c:v>968.10123526255006</c:v>
                </c:pt>
                <c:pt idx="25">
                  <c:v>938.38584942988984</c:v>
                </c:pt>
                <c:pt idx="26">
                  <c:v>1009.48748208646</c:v>
                </c:pt>
                <c:pt idx="27">
                  <c:v>938.06041285787012</c:v>
                </c:pt>
                <c:pt idx="28">
                  <c:v>953.81756946669009</c:v>
                </c:pt>
                <c:pt idx="29">
                  <c:v>985.40795783256988</c:v>
                </c:pt>
                <c:pt idx="30">
                  <c:v>995.97727969393986</c:v>
                </c:pt>
                <c:pt idx="31">
                  <c:v>991.78589410228994</c:v>
                </c:pt>
                <c:pt idx="32">
                  <c:v>991.9035906434101</c:v>
                </c:pt>
                <c:pt idx="33">
                  <c:v>907.15788648476007</c:v>
                </c:pt>
                <c:pt idx="34">
                  <c:v>872.18241288474007</c:v>
                </c:pt>
                <c:pt idx="35">
                  <c:v>821.68778622844002</c:v>
                </c:pt>
                <c:pt idx="36">
                  <c:v>953.44827351633012</c:v>
                </c:pt>
                <c:pt idx="37">
                  <c:v>941.51976749282005</c:v>
                </c:pt>
                <c:pt idx="38">
                  <c:v>1026.3019030390799</c:v>
                </c:pt>
                <c:pt idx="39">
                  <c:v>1031.9894974797101</c:v>
                </c:pt>
                <c:pt idx="40">
                  <c:v>1016.1592883625399</c:v>
                </c:pt>
                <c:pt idx="41">
                  <c:v>1031.4295065520901</c:v>
                </c:pt>
                <c:pt idx="42">
                  <c:v>1067.1242810844001</c:v>
                </c:pt>
                <c:pt idx="43">
                  <c:v>1041.69282841002</c:v>
                </c:pt>
                <c:pt idx="44">
                  <c:v>1012.03773426872</c:v>
                </c:pt>
                <c:pt idx="45">
                  <c:v>996.24290768726007</c:v>
                </c:pt>
                <c:pt idx="46">
                  <c:v>1015.91603047383</c:v>
                </c:pt>
                <c:pt idx="47">
                  <c:v>1006.9575576541</c:v>
                </c:pt>
                <c:pt idx="48">
                  <c:v>1029.5583083014399</c:v>
                </c:pt>
                <c:pt idx="49">
                  <c:v>1006.1576873204</c:v>
                </c:pt>
                <c:pt idx="50">
                  <c:v>989.48375897222002</c:v>
                </c:pt>
                <c:pt idx="51">
                  <c:v>999.56730309738998</c:v>
                </c:pt>
                <c:pt idx="52">
                  <c:v>982.92510787526999</c:v>
                </c:pt>
                <c:pt idx="53">
                  <c:v>984.84700047258002</c:v>
                </c:pt>
                <c:pt idx="54">
                  <c:v>979.69673923129994</c:v>
                </c:pt>
                <c:pt idx="55">
                  <c:v>975.39103962128002</c:v>
                </c:pt>
                <c:pt idx="56">
                  <c:v>978.03812400905008</c:v>
                </c:pt>
                <c:pt idx="57">
                  <c:v>992.92136437317993</c:v>
                </c:pt>
                <c:pt idx="58">
                  <c:v>1018.74879493334</c:v>
                </c:pt>
                <c:pt idx="59">
                  <c:v>1034.1068470402599</c:v>
                </c:pt>
                <c:pt idx="60">
                  <c:v>1044.1241416574301</c:v>
                </c:pt>
                <c:pt idx="61">
                  <c:v>1051.6309375568899</c:v>
                </c:pt>
                <c:pt idx="62">
                  <c:v>1023.7670315493099</c:v>
                </c:pt>
                <c:pt idx="63">
                  <c:v>1031.5204410287301</c:v>
                </c:pt>
                <c:pt idx="64">
                  <c:v>983.20578684144004</c:v>
                </c:pt>
                <c:pt idx="65">
                  <c:v>975.01593952477992</c:v>
                </c:pt>
                <c:pt idx="66">
                  <c:v>936.64962961915012</c:v>
                </c:pt>
                <c:pt idx="67">
                  <c:v>939.57013126313007</c:v>
                </c:pt>
                <c:pt idx="68">
                  <c:v>939.80699747674987</c:v>
                </c:pt>
                <c:pt idx="69">
                  <c:v>932.02996105185002</c:v>
                </c:pt>
                <c:pt idx="70">
                  <c:v>932.5268012414499</c:v>
                </c:pt>
                <c:pt idx="71">
                  <c:v>967.2538838237499</c:v>
                </c:pt>
                <c:pt idx="72">
                  <c:v>971.46997125045004</c:v>
                </c:pt>
                <c:pt idx="73">
                  <c:v>1024.0845719661299</c:v>
                </c:pt>
                <c:pt idx="74">
                  <c:v>1019.79874389642</c:v>
                </c:pt>
                <c:pt idx="75">
                  <c:v>1043.33205035165</c:v>
                </c:pt>
                <c:pt idx="76">
                  <c:v>1036.34619002825</c:v>
                </c:pt>
                <c:pt idx="77">
                  <c:v>1026.8777046095902</c:v>
                </c:pt>
                <c:pt idx="78">
                  <c:v>1008.4223894638301</c:v>
                </c:pt>
                <c:pt idx="79">
                  <c:v>1047.30143464151</c:v>
                </c:pt>
                <c:pt idx="80">
                  <c:v>997.30425145179015</c:v>
                </c:pt>
                <c:pt idx="81">
                  <c:v>1031.6927205895099</c:v>
                </c:pt>
                <c:pt idx="82">
                  <c:v>1041.4909749757198</c:v>
                </c:pt>
                <c:pt idx="83">
                  <c:v>1027.1861266339802</c:v>
                </c:pt>
                <c:pt idx="84">
                  <c:v>984.66081499887991</c:v>
                </c:pt>
                <c:pt idx="85">
                  <c:v>1007.32919964376</c:v>
                </c:pt>
                <c:pt idx="86">
                  <c:v>998.41041811282003</c:v>
                </c:pt>
                <c:pt idx="87">
                  <c:v>986.0345221599099</c:v>
                </c:pt>
                <c:pt idx="88">
                  <c:v>988.74323194318004</c:v>
                </c:pt>
                <c:pt idx="89">
                  <c:v>989.39988094669991</c:v>
                </c:pt>
                <c:pt idx="90">
                  <c:v>967.43025725794007</c:v>
                </c:pt>
                <c:pt idx="91">
                  <c:v>960.09225866583006</c:v>
                </c:pt>
                <c:pt idx="92">
                  <c:v>956.67902356926004</c:v>
                </c:pt>
                <c:pt idx="93">
                  <c:v>982.07581295298007</c:v>
                </c:pt>
                <c:pt idx="94">
                  <c:v>1011.23459658762</c:v>
                </c:pt>
                <c:pt idx="95">
                  <c:v>1018.4305419015099</c:v>
                </c:pt>
                <c:pt idx="96">
                  <c:v>1046.8273612329199</c:v>
                </c:pt>
                <c:pt idx="97">
                  <c:v>1035.44468556016</c:v>
                </c:pt>
                <c:pt idx="98">
                  <c:v>1035.70268249533</c:v>
                </c:pt>
                <c:pt idx="99">
                  <c:v>1033.8039728450601</c:v>
                </c:pt>
                <c:pt idx="100">
                  <c:v>1006.54984660424</c:v>
                </c:pt>
                <c:pt idx="101">
                  <c:v>972.12622082387998</c:v>
                </c:pt>
                <c:pt idx="102">
                  <c:v>954.60958658442996</c:v>
                </c:pt>
                <c:pt idx="103">
                  <c:v>946.34191356106999</c:v>
                </c:pt>
                <c:pt idx="104">
                  <c:v>867.47695202258001</c:v>
                </c:pt>
                <c:pt idx="105">
                  <c:v>943.08774806255997</c:v>
                </c:pt>
                <c:pt idx="106">
                  <c:v>954.14995027554005</c:v>
                </c:pt>
                <c:pt idx="107">
                  <c:v>982.46959638042995</c:v>
                </c:pt>
                <c:pt idx="108">
                  <c:v>987.26893270754999</c:v>
                </c:pt>
                <c:pt idx="109">
                  <c:v>908.22549071420997</c:v>
                </c:pt>
                <c:pt idx="110">
                  <c:v>903.53036449867</c:v>
                </c:pt>
                <c:pt idx="111">
                  <c:v>899.60796879896009</c:v>
                </c:pt>
                <c:pt idx="112">
                  <c:v>937.66348166983016</c:v>
                </c:pt>
                <c:pt idx="113">
                  <c:v>943.3601604552</c:v>
                </c:pt>
                <c:pt idx="114">
                  <c:v>930.45836457322002</c:v>
                </c:pt>
                <c:pt idx="115">
                  <c:v>942.56811655199999</c:v>
                </c:pt>
                <c:pt idx="116">
                  <c:v>920.7739692598999</c:v>
                </c:pt>
                <c:pt idx="117">
                  <c:v>895.73546637052993</c:v>
                </c:pt>
                <c:pt idx="118">
                  <c:v>892.42698526651998</c:v>
                </c:pt>
                <c:pt idx="119">
                  <c:v>929.80303651882991</c:v>
                </c:pt>
                <c:pt idx="120">
                  <c:v>948.83786577212004</c:v>
                </c:pt>
                <c:pt idx="121">
                  <c:v>954.32857730175999</c:v>
                </c:pt>
                <c:pt idx="122">
                  <c:v>957.13168208224988</c:v>
                </c:pt>
                <c:pt idx="123">
                  <c:v>964.14284342168992</c:v>
                </c:pt>
                <c:pt idx="124">
                  <c:v>967.59573222838003</c:v>
                </c:pt>
                <c:pt idx="125">
                  <c:v>947.96742224858008</c:v>
                </c:pt>
                <c:pt idx="126">
                  <c:v>928.41634516121997</c:v>
                </c:pt>
                <c:pt idx="127">
                  <c:v>931.49774505766004</c:v>
                </c:pt>
                <c:pt idx="128">
                  <c:v>932.81267594719998</c:v>
                </c:pt>
                <c:pt idx="129">
                  <c:v>934.39218468680008</c:v>
                </c:pt>
                <c:pt idx="130">
                  <c:v>930.67400668029006</c:v>
                </c:pt>
                <c:pt idx="131">
                  <c:v>936.27957497863008</c:v>
                </c:pt>
                <c:pt idx="132">
                  <c:v>951.04177633082998</c:v>
                </c:pt>
                <c:pt idx="133">
                  <c:v>966.76913265761004</c:v>
                </c:pt>
                <c:pt idx="134">
                  <c:v>964.77288766511003</c:v>
                </c:pt>
                <c:pt idx="135">
                  <c:v>972.03241567749001</c:v>
                </c:pt>
                <c:pt idx="136">
                  <c:v>965.64300562676999</c:v>
                </c:pt>
                <c:pt idx="137">
                  <c:v>960.37567516149988</c:v>
                </c:pt>
                <c:pt idx="138">
                  <c:v>953.79927049094999</c:v>
                </c:pt>
                <c:pt idx="139">
                  <c:v>938.37111242644994</c:v>
                </c:pt>
                <c:pt idx="140">
                  <c:v>931.01309716338994</c:v>
                </c:pt>
                <c:pt idx="141">
                  <c:v>935.30841181591995</c:v>
                </c:pt>
                <c:pt idx="142">
                  <c:v>925.36738560569995</c:v>
                </c:pt>
                <c:pt idx="143">
                  <c:v>896.48688345821006</c:v>
                </c:pt>
                <c:pt idx="144">
                  <c:v>904.82770478575014</c:v>
                </c:pt>
                <c:pt idx="145">
                  <c:v>953.37708248283002</c:v>
                </c:pt>
                <c:pt idx="146">
                  <c:v>973.47044587229004</c:v>
                </c:pt>
                <c:pt idx="147">
                  <c:v>981.39814426951989</c:v>
                </c:pt>
                <c:pt idx="148">
                  <c:v>981.48616681756994</c:v>
                </c:pt>
                <c:pt idx="149">
                  <c:v>993.71164399817008</c:v>
                </c:pt>
                <c:pt idx="150">
                  <c:v>994.27635153547999</c:v>
                </c:pt>
                <c:pt idx="151">
                  <c:v>1002.64338919515</c:v>
                </c:pt>
                <c:pt idx="152">
                  <c:v>1001.0134433604701</c:v>
                </c:pt>
                <c:pt idx="153">
                  <c:v>975.8903641730401</c:v>
                </c:pt>
                <c:pt idx="154">
                  <c:v>993.76816317488988</c:v>
                </c:pt>
                <c:pt idx="155">
                  <c:v>989.89229268344002</c:v>
                </c:pt>
                <c:pt idx="156">
                  <c:v>950.97427052934995</c:v>
                </c:pt>
                <c:pt idx="157">
                  <c:v>996.54030266861002</c:v>
                </c:pt>
                <c:pt idx="158">
                  <c:v>996.8102730587799</c:v>
                </c:pt>
                <c:pt idx="159">
                  <c:v>966.84481318399992</c:v>
                </c:pt>
                <c:pt idx="160">
                  <c:v>945.64867861494008</c:v>
                </c:pt>
                <c:pt idx="161">
                  <c:v>1001.5274281848599</c:v>
                </c:pt>
                <c:pt idx="162">
                  <c:v>994.33766681850011</c:v>
                </c:pt>
                <c:pt idx="163">
                  <c:v>943.30224239666995</c:v>
                </c:pt>
                <c:pt idx="164">
                  <c:v>998.8849619544801</c:v>
                </c:pt>
                <c:pt idx="165">
                  <c:v>1027.5440717213598</c:v>
                </c:pt>
                <c:pt idx="166">
                  <c:v>1037.31232361244</c:v>
                </c:pt>
                <c:pt idx="167">
                  <c:v>1101.85186780598</c:v>
                </c:pt>
                <c:pt idx="168">
                  <c:v>1058.71365559174</c:v>
                </c:pt>
                <c:pt idx="169">
                  <c:v>1084.0065718241699</c:v>
                </c:pt>
                <c:pt idx="170">
                  <c:v>1076.7382186407101</c:v>
                </c:pt>
                <c:pt idx="171">
                  <c:v>1102.9782717122901</c:v>
                </c:pt>
                <c:pt idx="172">
                  <c:v>1060.32680115021</c:v>
                </c:pt>
                <c:pt idx="173">
                  <c:v>1042.6759128112601</c:v>
                </c:pt>
                <c:pt idx="174">
                  <c:v>1002.0879718202299</c:v>
                </c:pt>
                <c:pt idx="175">
                  <c:v>1014.8442698038799</c:v>
                </c:pt>
                <c:pt idx="176">
                  <c:v>1030.0501082731198</c:v>
                </c:pt>
                <c:pt idx="177">
                  <c:v>1033.3021432755602</c:v>
                </c:pt>
                <c:pt idx="178">
                  <c:v>1019.6333259375899</c:v>
                </c:pt>
                <c:pt idx="179">
                  <c:v>1019.98138407114</c:v>
                </c:pt>
                <c:pt idx="180">
                  <c:v>990.58028699001989</c:v>
                </c:pt>
                <c:pt idx="181">
                  <c:v>1084.19308002308</c:v>
                </c:pt>
                <c:pt idx="182">
                  <c:v>1033.1210591978002</c:v>
                </c:pt>
                <c:pt idx="183">
                  <c:v>1044.9033209743302</c:v>
                </c:pt>
                <c:pt idx="184">
                  <c:v>968.51223699125001</c:v>
                </c:pt>
                <c:pt idx="185">
                  <c:v>978.71990712905006</c:v>
                </c:pt>
                <c:pt idx="186">
                  <c:v>1012.85100952056</c:v>
                </c:pt>
                <c:pt idx="187">
                  <c:v>1047.33383341071</c:v>
                </c:pt>
                <c:pt idx="188">
                  <c:v>1038.7440842318999</c:v>
                </c:pt>
                <c:pt idx="189">
                  <c:v>1010.6320742562501</c:v>
                </c:pt>
                <c:pt idx="190">
                  <c:v>1013.0494932967699</c:v>
                </c:pt>
                <c:pt idx="191">
                  <c:v>1025.2730776261801</c:v>
                </c:pt>
                <c:pt idx="192">
                  <c:v>1023.46113431982</c:v>
                </c:pt>
                <c:pt idx="193">
                  <c:v>1045.46972754392</c:v>
                </c:pt>
                <c:pt idx="194">
                  <c:v>1038.36322668149</c:v>
                </c:pt>
                <c:pt idx="195">
                  <c:v>1046.4066472036202</c:v>
                </c:pt>
                <c:pt idx="196">
                  <c:v>1029.2030445242299</c:v>
                </c:pt>
                <c:pt idx="197">
                  <c:v>997.30968119183012</c:v>
                </c:pt>
                <c:pt idx="198">
                  <c:v>1054.7287904283201</c:v>
                </c:pt>
                <c:pt idx="199">
                  <c:v>1014.6457055282599</c:v>
                </c:pt>
                <c:pt idx="200">
                  <c:v>1031.37191755104</c:v>
                </c:pt>
                <c:pt idx="201">
                  <c:v>1059.8036526543299</c:v>
                </c:pt>
                <c:pt idx="202">
                  <c:v>1050.0299325983501</c:v>
                </c:pt>
                <c:pt idx="203">
                  <c:v>1019.7759952575701</c:v>
                </c:pt>
                <c:pt idx="204">
                  <c:v>1039.1838890235799</c:v>
                </c:pt>
                <c:pt idx="205">
                  <c:v>1012.38926757659</c:v>
                </c:pt>
                <c:pt idx="206">
                  <c:v>1047.23317321588</c:v>
                </c:pt>
                <c:pt idx="207">
                  <c:v>1077.37107304969</c:v>
                </c:pt>
                <c:pt idx="208">
                  <c:v>1052.07001810465</c:v>
                </c:pt>
                <c:pt idx="209">
                  <c:v>1003.7070217788399</c:v>
                </c:pt>
                <c:pt idx="210">
                  <c:v>1004.84394881546</c:v>
                </c:pt>
                <c:pt idx="211">
                  <c:v>984.97629548752991</c:v>
                </c:pt>
                <c:pt idx="212">
                  <c:v>989.2893806001199</c:v>
                </c:pt>
                <c:pt idx="213">
                  <c:v>1008.1456749523101</c:v>
                </c:pt>
                <c:pt idx="214">
                  <c:v>1024.4586020046299</c:v>
                </c:pt>
                <c:pt idx="215">
                  <c:v>1010.7103146055999</c:v>
                </c:pt>
                <c:pt idx="216">
                  <c:v>985.58992879062998</c:v>
                </c:pt>
                <c:pt idx="217">
                  <c:v>1002.6736550169301</c:v>
                </c:pt>
                <c:pt idx="218">
                  <c:v>1010.26616198369</c:v>
                </c:pt>
                <c:pt idx="219">
                  <c:v>980.85524947193005</c:v>
                </c:pt>
                <c:pt idx="220">
                  <c:v>994.81942703991001</c:v>
                </c:pt>
                <c:pt idx="221">
                  <c:v>1039.4021486004199</c:v>
                </c:pt>
                <c:pt idx="222">
                  <c:v>1038.50845417912</c:v>
                </c:pt>
                <c:pt idx="223">
                  <c:v>991.88640397242011</c:v>
                </c:pt>
                <c:pt idx="224">
                  <c:v>1006.2781512597599</c:v>
                </c:pt>
                <c:pt idx="225">
                  <c:v>1013.39415510731</c:v>
                </c:pt>
                <c:pt idx="226">
                  <c:v>1025.1786538152401</c:v>
                </c:pt>
                <c:pt idx="227">
                  <c:v>1041.1167004071501</c:v>
                </c:pt>
                <c:pt idx="228">
                  <c:v>964.1114028229</c:v>
                </c:pt>
                <c:pt idx="229">
                  <c:v>973.34170243825997</c:v>
                </c:pt>
                <c:pt idx="230">
                  <c:v>1015.76659437682</c:v>
                </c:pt>
                <c:pt idx="231">
                  <c:v>962.96612480048009</c:v>
                </c:pt>
                <c:pt idx="232">
                  <c:v>1028.5843432387401</c:v>
                </c:pt>
                <c:pt idx="233">
                  <c:v>985.75331606455006</c:v>
                </c:pt>
                <c:pt idx="234">
                  <c:v>1000.53631127058</c:v>
                </c:pt>
                <c:pt idx="235">
                  <c:v>1016.9431654638599</c:v>
                </c:pt>
                <c:pt idx="236">
                  <c:v>1025.7811812953501</c:v>
                </c:pt>
                <c:pt idx="237">
                  <c:v>1005.50937142517</c:v>
                </c:pt>
                <c:pt idx="238">
                  <c:v>962.97967699719004</c:v>
                </c:pt>
                <c:pt idx="239">
                  <c:v>962.22977355508999</c:v>
                </c:pt>
                <c:pt idx="240">
                  <c:v>944.05121604335</c:v>
                </c:pt>
                <c:pt idx="241">
                  <c:v>971.4038200033101</c:v>
                </c:pt>
                <c:pt idx="242">
                  <c:v>989.08778512970991</c:v>
                </c:pt>
                <c:pt idx="243">
                  <c:v>996.66084834689991</c:v>
                </c:pt>
                <c:pt idx="244">
                  <c:v>967.33212206179007</c:v>
                </c:pt>
                <c:pt idx="245">
                  <c:v>970.65072318909006</c:v>
                </c:pt>
                <c:pt idx="246">
                  <c:v>987.49910202682008</c:v>
                </c:pt>
                <c:pt idx="247">
                  <c:v>966.20578729441002</c:v>
                </c:pt>
                <c:pt idx="248">
                  <c:v>991.37444629782999</c:v>
                </c:pt>
                <c:pt idx="249">
                  <c:v>999.03020888509991</c:v>
                </c:pt>
                <c:pt idx="250">
                  <c:v>1010.9554161285701</c:v>
                </c:pt>
                <c:pt idx="251">
                  <c:v>1050.46591213088</c:v>
                </c:pt>
                <c:pt idx="252">
                  <c:v>1040.0948856681</c:v>
                </c:pt>
                <c:pt idx="253">
                  <c:v>993.9946827322301</c:v>
                </c:pt>
                <c:pt idx="254">
                  <c:v>890.28861340790991</c:v>
                </c:pt>
                <c:pt idx="255">
                  <c:v>950.07090670913999</c:v>
                </c:pt>
                <c:pt idx="256">
                  <c:v>924.20819141488994</c:v>
                </c:pt>
                <c:pt idx="257">
                  <c:v>908.37552543585991</c:v>
                </c:pt>
                <c:pt idx="258">
                  <c:v>918.53896249499007</c:v>
                </c:pt>
                <c:pt idx="259">
                  <c:v>918.3277607557701</c:v>
                </c:pt>
                <c:pt idx="260">
                  <c:v>990.67234911477988</c:v>
                </c:pt>
                <c:pt idx="261">
                  <c:v>959.19032515504</c:v>
                </c:pt>
                <c:pt idx="262">
                  <c:v>937.84781156790007</c:v>
                </c:pt>
                <c:pt idx="263">
                  <c:v>980.40446737077013</c:v>
                </c:pt>
                <c:pt idx="264">
                  <c:v>943.81982907047995</c:v>
                </c:pt>
                <c:pt idx="265">
                  <c:v>901.97561544417999</c:v>
                </c:pt>
                <c:pt idx="266">
                  <c:v>915.77899182612009</c:v>
                </c:pt>
                <c:pt idx="267">
                  <c:v>900.68319585292011</c:v>
                </c:pt>
                <c:pt idx="268">
                  <c:v>914.23572789049012</c:v>
                </c:pt>
                <c:pt idx="269">
                  <c:v>931.92926288954993</c:v>
                </c:pt>
                <c:pt idx="270">
                  <c:v>944.80046345750998</c:v>
                </c:pt>
                <c:pt idx="271">
                  <c:v>948.99960315560998</c:v>
                </c:pt>
                <c:pt idx="272">
                  <c:v>957.56338260227994</c:v>
                </c:pt>
                <c:pt idx="273">
                  <c:v>960.86049335667985</c:v>
                </c:pt>
                <c:pt idx="274">
                  <c:v>997.34629218536998</c:v>
                </c:pt>
                <c:pt idx="275">
                  <c:v>969.1075208540899</c:v>
                </c:pt>
                <c:pt idx="276">
                  <c:v>937.49969243546002</c:v>
                </c:pt>
                <c:pt idx="277">
                  <c:v>964.98810750588996</c:v>
                </c:pt>
                <c:pt idx="278">
                  <c:v>962.93610666458005</c:v>
                </c:pt>
                <c:pt idx="279">
                  <c:v>947.70178475418004</c:v>
                </c:pt>
                <c:pt idx="280">
                  <c:v>958.57262966331007</c:v>
                </c:pt>
                <c:pt idx="281">
                  <c:v>944.81031234299996</c:v>
                </c:pt>
                <c:pt idx="282">
                  <c:v>968.91553900351005</c:v>
                </c:pt>
                <c:pt idx="283">
                  <c:v>982.19765822262991</c:v>
                </c:pt>
                <c:pt idx="284">
                  <c:v>992.47253226488999</c:v>
                </c:pt>
                <c:pt idx="285">
                  <c:v>966.03351936604008</c:v>
                </c:pt>
                <c:pt idx="286">
                  <c:v>991.60008596963996</c:v>
                </c:pt>
                <c:pt idx="287">
                  <c:v>999.61994355597005</c:v>
                </c:pt>
                <c:pt idx="288">
                  <c:v>962.41184496564006</c:v>
                </c:pt>
                <c:pt idx="289">
                  <c:v>945.63215900163993</c:v>
                </c:pt>
                <c:pt idx="290">
                  <c:v>926.15285898359991</c:v>
                </c:pt>
                <c:pt idx="291">
                  <c:v>916.11698269676003</c:v>
                </c:pt>
                <c:pt idx="292">
                  <c:v>910.42543726284998</c:v>
                </c:pt>
                <c:pt idx="293">
                  <c:v>912.02058379001005</c:v>
                </c:pt>
                <c:pt idx="294">
                  <c:v>899.04486129757993</c:v>
                </c:pt>
                <c:pt idx="295">
                  <c:v>879.5659156460199</c:v>
                </c:pt>
                <c:pt idx="296">
                  <c:v>889.86245603336988</c:v>
                </c:pt>
                <c:pt idx="297">
                  <c:v>913.16979136277996</c:v>
                </c:pt>
                <c:pt idx="298">
                  <c:v>895.56357400808997</c:v>
                </c:pt>
                <c:pt idx="299">
                  <c:v>876.55515439648002</c:v>
                </c:pt>
                <c:pt idx="300">
                  <c:v>908.4047143186699</c:v>
                </c:pt>
                <c:pt idx="301">
                  <c:v>922.57607075032001</c:v>
                </c:pt>
                <c:pt idx="302">
                  <c:v>899.56480324467998</c:v>
                </c:pt>
                <c:pt idx="303">
                  <c:v>927.68604530543007</c:v>
                </c:pt>
                <c:pt idx="304">
                  <c:v>931.15398524152988</c:v>
                </c:pt>
                <c:pt idx="305">
                  <c:v>894.17215785732014</c:v>
                </c:pt>
                <c:pt idx="306">
                  <c:v>875.81707199301002</c:v>
                </c:pt>
                <c:pt idx="307">
                  <c:v>893.96460037326995</c:v>
                </c:pt>
                <c:pt idx="308">
                  <c:v>885.25627465880984</c:v>
                </c:pt>
                <c:pt idx="309">
                  <c:v>892.92777432311004</c:v>
                </c:pt>
                <c:pt idx="310">
                  <c:v>889.16188305753985</c:v>
                </c:pt>
                <c:pt idx="311">
                  <c:v>871.10355852001999</c:v>
                </c:pt>
                <c:pt idx="312">
                  <c:v>856.31035991904002</c:v>
                </c:pt>
                <c:pt idx="313">
                  <c:v>856.23211279613997</c:v>
                </c:pt>
                <c:pt idx="314">
                  <c:v>849.97847717836999</c:v>
                </c:pt>
                <c:pt idx="315">
                  <c:v>878.87776738413004</c:v>
                </c:pt>
                <c:pt idx="316">
                  <c:v>877.48491024122995</c:v>
                </c:pt>
                <c:pt idx="317">
                  <c:v>901.63973786767986</c:v>
                </c:pt>
                <c:pt idx="318">
                  <c:v>926.92003762935997</c:v>
                </c:pt>
                <c:pt idx="319">
                  <c:v>925.53809971779015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8-CF46-A457-495C8D9FE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58-C545-900E-DAAA4A58BCB6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'240806B008'!$A$2:$A$321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'240806B008'!$P$2:$P$321</c:f>
              <c:numCache>
                <c:formatCode>General</c:formatCode>
                <c:ptCount val="320"/>
                <c:pt idx="0">
                  <c:v>-41.834996111633359</c:v>
                </c:pt>
                <c:pt idx="1">
                  <c:v>-40.414173054581809</c:v>
                </c:pt>
                <c:pt idx="2">
                  <c:v>-38.57765376757218</c:v>
                </c:pt>
                <c:pt idx="3">
                  <c:v>-29.663949843020355</c:v>
                </c:pt>
                <c:pt idx="4">
                  <c:v>-24.346773127343667</c:v>
                </c:pt>
                <c:pt idx="5">
                  <c:v>-20.882447098918835</c:v>
                </c:pt>
                <c:pt idx="6">
                  <c:v>-20.758430660303212</c:v>
                </c:pt>
                <c:pt idx="7">
                  <c:v>-21.536220594782705</c:v>
                </c:pt>
                <c:pt idx="8">
                  <c:v>-18.527342300578571</c:v>
                </c:pt>
                <c:pt idx="9">
                  <c:v>-12.989650907187006</c:v>
                </c:pt>
                <c:pt idx="10">
                  <c:v>-7.0000530962846961</c:v>
                </c:pt>
                <c:pt idx="11">
                  <c:v>-0.5450872262512102</c:v>
                </c:pt>
                <c:pt idx="12">
                  <c:v>9.7898355551543803E-2</c:v>
                </c:pt>
                <c:pt idx="13">
                  <c:v>2.153346816365139</c:v>
                </c:pt>
                <c:pt idx="14">
                  <c:v>4.2791378198159622</c:v>
                </c:pt>
                <c:pt idx="15">
                  <c:v>6.3812780558500553</c:v>
                </c:pt>
                <c:pt idx="16">
                  <c:v>8.6792990420599327</c:v>
                </c:pt>
                <c:pt idx="17">
                  <c:v>11.934644123331505</c:v>
                </c:pt>
                <c:pt idx="18">
                  <c:v>15.905290908658998</c:v>
                </c:pt>
                <c:pt idx="19">
                  <c:v>22.417123295220332</c:v>
                </c:pt>
                <c:pt idx="20">
                  <c:v>22.089738004962626</c:v>
                </c:pt>
                <c:pt idx="21">
                  <c:v>21.410024788963611</c:v>
                </c:pt>
                <c:pt idx="22">
                  <c:v>18.293549758239692</c:v>
                </c:pt>
                <c:pt idx="23">
                  <c:v>16.885703754626793</c:v>
                </c:pt>
                <c:pt idx="24">
                  <c:v>18.145406024166157</c:v>
                </c:pt>
                <c:pt idx="25">
                  <c:v>20.879216802131939</c:v>
                </c:pt>
                <c:pt idx="26">
                  <c:v>17.85062120986985</c:v>
                </c:pt>
                <c:pt idx="27">
                  <c:v>17.901637580703404</c:v>
                </c:pt>
                <c:pt idx="28">
                  <c:v>16.840545232424748</c:v>
                </c:pt>
                <c:pt idx="29">
                  <c:v>16.795896540404033</c:v>
                </c:pt>
                <c:pt idx="30">
                  <c:v>16.670374994951619</c:v>
                </c:pt>
                <c:pt idx="31">
                  <c:v>16.461133082766072</c:v>
                </c:pt>
                <c:pt idx="32">
                  <c:v>14.783674222445548</c:v>
                </c:pt>
                <c:pt idx="33">
                  <c:v>14.166461989594767</c:v>
                </c:pt>
                <c:pt idx="34">
                  <c:v>15.549661781953967</c:v>
                </c:pt>
                <c:pt idx="35">
                  <c:v>20.780108741126416</c:v>
                </c:pt>
                <c:pt idx="36">
                  <c:v>16.941929943662689</c:v>
                </c:pt>
                <c:pt idx="37">
                  <c:v>18.776332968488394</c:v>
                </c:pt>
                <c:pt idx="38">
                  <c:v>17.56499454236463</c:v>
                </c:pt>
                <c:pt idx="39">
                  <c:v>15.234842849552098</c:v>
                </c:pt>
                <c:pt idx="40">
                  <c:v>16.609131362261241</c:v>
                </c:pt>
                <c:pt idx="41">
                  <c:v>14.662555026103199</c:v>
                </c:pt>
                <c:pt idx="42">
                  <c:v>12.847754792157046</c:v>
                </c:pt>
                <c:pt idx="43">
                  <c:v>13.300548793253796</c:v>
                </c:pt>
                <c:pt idx="44">
                  <c:v>14.081341505827885</c:v>
                </c:pt>
                <c:pt idx="45">
                  <c:v>12.419773473624712</c:v>
                </c:pt>
                <c:pt idx="46">
                  <c:v>11.217517067017578</c:v>
                </c:pt>
                <c:pt idx="47">
                  <c:v>10.708883988848431</c:v>
                </c:pt>
                <c:pt idx="48">
                  <c:v>10.831575861504508</c:v>
                </c:pt>
                <c:pt idx="49">
                  <c:v>12.036629815532992</c:v>
                </c:pt>
                <c:pt idx="50">
                  <c:v>12.072143137540428</c:v>
                </c:pt>
                <c:pt idx="51">
                  <c:v>10.979823772237747</c:v>
                </c:pt>
                <c:pt idx="52">
                  <c:v>9.7299420688948999</c:v>
                </c:pt>
                <c:pt idx="53">
                  <c:v>9.7037147289666166</c:v>
                </c:pt>
                <c:pt idx="54">
                  <c:v>8.9041534982398343</c:v>
                </c:pt>
                <c:pt idx="55">
                  <c:v>8.364322566213179</c:v>
                </c:pt>
                <c:pt idx="56">
                  <c:v>8.7282490223423892</c:v>
                </c:pt>
                <c:pt idx="57">
                  <c:v>7.2304801094953035</c:v>
                </c:pt>
                <c:pt idx="58">
                  <c:v>7.1633657923733915</c:v>
                </c:pt>
                <c:pt idx="59">
                  <c:v>5.7841466497467247</c:v>
                </c:pt>
                <c:pt idx="60">
                  <c:v>4.9232063885824644</c:v>
                </c:pt>
                <c:pt idx="61">
                  <c:v>4.0509416819090918</c:v>
                </c:pt>
                <c:pt idx="62">
                  <c:v>5.4017637525459055</c:v>
                </c:pt>
                <c:pt idx="63">
                  <c:v>4.2055050539407723</c:v>
                </c:pt>
                <c:pt idx="64">
                  <c:v>4.5815708165281066</c:v>
                </c:pt>
                <c:pt idx="65">
                  <c:v>4.4123694344376752</c:v>
                </c:pt>
                <c:pt idx="66">
                  <c:v>4.637509173661825</c:v>
                </c:pt>
                <c:pt idx="67">
                  <c:v>3.3651009595829278</c:v>
                </c:pt>
                <c:pt idx="68">
                  <c:v>2.7541326452477128</c:v>
                </c:pt>
                <c:pt idx="69">
                  <c:v>1.4169019001226444</c:v>
                </c:pt>
                <c:pt idx="70">
                  <c:v>-0.29364277437208652</c:v>
                </c:pt>
                <c:pt idx="71">
                  <c:v>-1.6348518018926912</c:v>
                </c:pt>
                <c:pt idx="72">
                  <c:v>-2.6255611722549572</c:v>
                </c:pt>
                <c:pt idx="73">
                  <c:v>-3.9095203052218217</c:v>
                </c:pt>
                <c:pt idx="74">
                  <c:v>-3.8649385860073249</c:v>
                </c:pt>
                <c:pt idx="75">
                  <c:v>-4.8554239529593239</c:v>
                </c:pt>
                <c:pt idx="76">
                  <c:v>-5.0946996246905742</c:v>
                </c:pt>
                <c:pt idx="77">
                  <c:v>-4.7845816890909258</c:v>
                </c:pt>
                <c:pt idx="78">
                  <c:v>-6.2444010531513587</c:v>
                </c:pt>
                <c:pt idx="79">
                  <c:v>-6.4413808469180491</c:v>
                </c:pt>
                <c:pt idx="80">
                  <c:v>-5.9695857740402571</c:v>
                </c:pt>
                <c:pt idx="81">
                  <c:v>-7.7777157525859799</c:v>
                </c:pt>
                <c:pt idx="82">
                  <c:v>-10.181003804682016</c:v>
                </c:pt>
                <c:pt idx="83">
                  <c:v>-9.5317245727189839</c:v>
                </c:pt>
                <c:pt idx="84">
                  <c:v>-10.341043226776751</c:v>
                </c:pt>
                <c:pt idx="85">
                  <c:v>-10.719778217455403</c:v>
                </c:pt>
                <c:pt idx="86">
                  <c:v>-14.885309151294129</c:v>
                </c:pt>
                <c:pt idx="87">
                  <c:v>-17.498967406006386</c:v>
                </c:pt>
                <c:pt idx="88">
                  <c:v>-18.666764419473605</c:v>
                </c:pt>
                <c:pt idx="89">
                  <c:v>-20.518917251913553</c:v>
                </c:pt>
                <c:pt idx="90">
                  <c:v>-21.442063079961976</c:v>
                </c:pt>
                <c:pt idx="91">
                  <c:v>-23.647682425208625</c:v>
                </c:pt>
                <c:pt idx="92">
                  <c:v>-25.393107103448116</c:v>
                </c:pt>
                <c:pt idx="93">
                  <c:v>-28.008434464133021</c:v>
                </c:pt>
                <c:pt idx="94">
                  <c:v>-28.975222540172972</c:v>
                </c:pt>
                <c:pt idx="95">
                  <c:v>-31.789410625206866</c:v>
                </c:pt>
                <c:pt idx="96">
                  <c:v>-31.463966108516424</c:v>
                </c:pt>
                <c:pt idx="97">
                  <c:v>-34.458876068403072</c:v>
                </c:pt>
                <c:pt idx="98">
                  <c:v>-33.845740928732035</c:v>
                </c:pt>
                <c:pt idx="99">
                  <c:v>-34.340351477229596</c:v>
                </c:pt>
                <c:pt idx="100">
                  <c:v>-35.117484039681138</c:v>
                </c:pt>
                <c:pt idx="101">
                  <c:v>-35.028409399231904</c:v>
                </c:pt>
                <c:pt idx="102">
                  <c:v>-35.802545870702616</c:v>
                </c:pt>
                <c:pt idx="103">
                  <c:v>-36.425887430560813</c:v>
                </c:pt>
                <c:pt idx="104">
                  <c:v>-35.488391124069203</c:v>
                </c:pt>
                <c:pt idx="105">
                  <c:v>-38.15898020224617</c:v>
                </c:pt>
                <c:pt idx="106">
                  <c:v>-38.765791434414638</c:v>
                </c:pt>
                <c:pt idx="107">
                  <c:v>-39.749309255839151</c:v>
                </c:pt>
                <c:pt idx="108">
                  <c:v>-39.889974618514628</c:v>
                </c:pt>
                <c:pt idx="109">
                  <c:v>-39.375030903168494</c:v>
                </c:pt>
                <c:pt idx="110">
                  <c:v>-39.663582730403554</c:v>
                </c:pt>
                <c:pt idx="111">
                  <c:v>-39.032052499560201</c:v>
                </c:pt>
                <c:pt idx="112">
                  <c:v>-40.879584696512175</c:v>
                </c:pt>
                <c:pt idx="113">
                  <c:v>-40.620294761074263</c:v>
                </c:pt>
                <c:pt idx="114">
                  <c:v>-40.715586464519134</c:v>
                </c:pt>
                <c:pt idx="115">
                  <c:v>-40.986077174474403</c:v>
                </c:pt>
                <c:pt idx="116">
                  <c:v>-41.529449671804322</c:v>
                </c:pt>
                <c:pt idx="117">
                  <c:v>-41.207564406042252</c:v>
                </c:pt>
                <c:pt idx="118">
                  <c:v>-41.71755707121121</c:v>
                </c:pt>
                <c:pt idx="119">
                  <c:v>-41.798204747022012</c:v>
                </c:pt>
                <c:pt idx="120">
                  <c:v>-42.531147213058219</c:v>
                </c:pt>
                <c:pt idx="121">
                  <c:v>-43.232415231004296</c:v>
                </c:pt>
                <c:pt idx="122">
                  <c:v>-42.862757743579877</c:v>
                </c:pt>
                <c:pt idx="123">
                  <c:v>-43.117541752931956</c:v>
                </c:pt>
                <c:pt idx="124">
                  <c:v>-43.613070945185655</c:v>
                </c:pt>
                <c:pt idx="125">
                  <c:v>-43.23094620344137</c:v>
                </c:pt>
                <c:pt idx="126">
                  <c:v>-42.169025214642332</c:v>
                </c:pt>
                <c:pt idx="127">
                  <c:v>-42.80445604014001</c:v>
                </c:pt>
                <c:pt idx="128">
                  <c:v>-42.451933829630015</c:v>
                </c:pt>
                <c:pt idx="129">
                  <c:v>-42.718911568468194</c:v>
                </c:pt>
                <c:pt idx="130">
                  <c:v>-42.855620762131544</c:v>
                </c:pt>
                <c:pt idx="131">
                  <c:v>-42.535432791746238</c:v>
                </c:pt>
                <c:pt idx="132">
                  <c:v>-42.850402264380222</c:v>
                </c:pt>
                <c:pt idx="133">
                  <c:v>-42.715481215200114</c:v>
                </c:pt>
                <c:pt idx="134">
                  <c:v>-42.795219585612159</c:v>
                </c:pt>
                <c:pt idx="135">
                  <c:v>-42.443838493404826</c:v>
                </c:pt>
                <c:pt idx="136">
                  <c:v>-42.163145112318645</c:v>
                </c:pt>
                <c:pt idx="137">
                  <c:v>-42.181937260382945</c:v>
                </c:pt>
                <c:pt idx="138">
                  <c:v>-41.732973454542119</c:v>
                </c:pt>
                <c:pt idx="139">
                  <c:v>-41.288885231878638</c:v>
                </c:pt>
                <c:pt idx="140">
                  <c:v>-41.409388815933013</c:v>
                </c:pt>
                <c:pt idx="141">
                  <c:v>-41.584645629855046</c:v>
                </c:pt>
                <c:pt idx="142">
                  <c:v>-41.082693458792832</c:v>
                </c:pt>
                <c:pt idx="143">
                  <c:v>-40.495634971701897</c:v>
                </c:pt>
                <c:pt idx="144">
                  <c:v>-40.166459456218206</c:v>
                </c:pt>
                <c:pt idx="145">
                  <c:v>-41.066595266914483</c:v>
                </c:pt>
                <c:pt idx="146">
                  <c:v>-41.153511622581313</c:v>
                </c:pt>
                <c:pt idx="147">
                  <c:v>-41.628985898018954</c:v>
                </c:pt>
                <c:pt idx="148">
                  <c:v>-40.885911416354368</c:v>
                </c:pt>
                <c:pt idx="149">
                  <c:v>-41.206633285364141</c:v>
                </c:pt>
                <c:pt idx="150">
                  <c:v>-40.870623650711494</c:v>
                </c:pt>
                <c:pt idx="151">
                  <c:v>-40.185725751338722</c:v>
                </c:pt>
                <c:pt idx="152">
                  <c:v>-40.301929637290051</c:v>
                </c:pt>
                <c:pt idx="153">
                  <c:v>-39.721543188751014</c:v>
                </c:pt>
                <c:pt idx="154">
                  <c:v>-39.651948393808134</c:v>
                </c:pt>
                <c:pt idx="155">
                  <c:v>-39.518802518904202</c:v>
                </c:pt>
                <c:pt idx="156">
                  <c:v>-39.15468535249552</c:v>
                </c:pt>
                <c:pt idx="157">
                  <c:v>-39.370926446986743</c:v>
                </c:pt>
                <c:pt idx="158">
                  <c:v>-39.535302937437528</c:v>
                </c:pt>
                <c:pt idx="159">
                  <c:v>-38.108502542983324</c:v>
                </c:pt>
                <c:pt idx="160">
                  <c:v>-37.82228367090719</c:v>
                </c:pt>
                <c:pt idx="161">
                  <c:v>-38.47467270948168</c:v>
                </c:pt>
                <c:pt idx="162">
                  <c:v>-38.708808637278899</c:v>
                </c:pt>
                <c:pt idx="163">
                  <c:v>-18.457785626570189</c:v>
                </c:pt>
                <c:pt idx="164">
                  <c:v>-5.9348995733009637</c:v>
                </c:pt>
                <c:pt idx="165">
                  <c:v>3.6167088325039685</c:v>
                </c:pt>
                <c:pt idx="166">
                  <c:v>9.5136723965701329</c:v>
                </c:pt>
                <c:pt idx="167">
                  <c:v>16.47340351859205</c:v>
                </c:pt>
                <c:pt idx="168">
                  <c:v>25.733680013559692</c:v>
                </c:pt>
                <c:pt idx="169">
                  <c:v>31.067924822787141</c:v>
                </c:pt>
                <c:pt idx="170">
                  <c:v>36.628244914055408</c:v>
                </c:pt>
                <c:pt idx="171">
                  <c:v>41.868688470196311</c:v>
                </c:pt>
                <c:pt idx="172">
                  <c:v>48.345547319964929</c:v>
                </c:pt>
                <c:pt idx="173">
                  <c:v>50.934824326837848</c:v>
                </c:pt>
                <c:pt idx="174">
                  <c:v>54.480709025424332</c:v>
                </c:pt>
                <c:pt idx="175">
                  <c:v>52.9853071105859</c:v>
                </c:pt>
                <c:pt idx="176">
                  <c:v>51.764095726417203</c:v>
                </c:pt>
                <c:pt idx="177">
                  <c:v>50.619791590347397</c:v>
                </c:pt>
                <c:pt idx="178">
                  <c:v>49.598109238129659</c:v>
                </c:pt>
                <c:pt idx="179">
                  <c:v>47.422322605948317</c:v>
                </c:pt>
                <c:pt idx="180">
                  <c:v>46.109656538118884</c:v>
                </c:pt>
                <c:pt idx="181">
                  <c:v>43.794853100915567</c:v>
                </c:pt>
                <c:pt idx="182">
                  <c:v>45.727006108509627</c:v>
                </c:pt>
                <c:pt idx="183">
                  <c:v>45.102364623305824</c:v>
                </c:pt>
                <c:pt idx="184">
                  <c:v>46.772387032207725</c:v>
                </c:pt>
                <c:pt idx="185">
                  <c:v>44.242926534339752</c:v>
                </c:pt>
                <c:pt idx="186">
                  <c:v>42.399189119398891</c:v>
                </c:pt>
                <c:pt idx="187">
                  <c:v>43.821950719223722</c:v>
                </c:pt>
                <c:pt idx="188">
                  <c:v>42.877663343209086</c:v>
                </c:pt>
                <c:pt idx="189">
                  <c:v>40.504768553255047</c:v>
                </c:pt>
                <c:pt idx="190">
                  <c:v>38.654111102936177</c:v>
                </c:pt>
                <c:pt idx="191">
                  <c:v>35.97135451493866</c:v>
                </c:pt>
                <c:pt idx="192">
                  <c:v>35.047384540678486</c:v>
                </c:pt>
                <c:pt idx="193">
                  <c:v>32.782814483990293</c:v>
                </c:pt>
                <c:pt idx="194">
                  <c:v>30.574649782215889</c:v>
                </c:pt>
                <c:pt idx="195">
                  <c:v>30.016414103091194</c:v>
                </c:pt>
                <c:pt idx="196">
                  <c:v>28.029553320055207</c:v>
                </c:pt>
                <c:pt idx="197">
                  <c:v>28.327492036870961</c:v>
                </c:pt>
                <c:pt idx="198">
                  <c:v>26.090827353179353</c:v>
                </c:pt>
                <c:pt idx="199">
                  <c:v>26.391621851480735</c:v>
                </c:pt>
                <c:pt idx="200">
                  <c:v>28.466024953239899</c:v>
                </c:pt>
                <c:pt idx="201">
                  <c:v>30.162626204982875</c:v>
                </c:pt>
                <c:pt idx="202">
                  <c:v>28.960545927772387</c:v>
                </c:pt>
                <c:pt idx="203">
                  <c:v>27.244079233484992</c:v>
                </c:pt>
                <c:pt idx="204">
                  <c:v>26.97273366373641</c:v>
                </c:pt>
                <c:pt idx="205">
                  <c:v>26.422134422174015</c:v>
                </c:pt>
                <c:pt idx="206">
                  <c:v>27.258142174069018</c:v>
                </c:pt>
                <c:pt idx="207">
                  <c:v>26.010627063428789</c:v>
                </c:pt>
                <c:pt idx="208">
                  <c:v>24.482317717792945</c:v>
                </c:pt>
                <c:pt idx="209">
                  <c:v>26.053252852948937</c:v>
                </c:pt>
                <c:pt idx="210">
                  <c:v>25.372843433656854</c:v>
                </c:pt>
                <c:pt idx="211">
                  <c:v>24.228254861926825</c:v>
                </c:pt>
                <c:pt idx="212">
                  <c:v>24.017277728027192</c:v>
                </c:pt>
                <c:pt idx="213">
                  <c:v>21.757194234003187</c:v>
                </c:pt>
                <c:pt idx="214">
                  <c:v>20.925295996870062</c:v>
                </c:pt>
                <c:pt idx="215">
                  <c:v>20.715789774539971</c:v>
                </c:pt>
                <c:pt idx="216">
                  <c:v>20.919245225510057</c:v>
                </c:pt>
                <c:pt idx="217">
                  <c:v>20.317472793385019</c:v>
                </c:pt>
                <c:pt idx="218">
                  <c:v>19.81236102042158</c:v>
                </c:pt>
                <c:pt idx="219">
                  <c:v>19.163273898004455</c:v>
                </c:pt>
                <c:pt idx="220">
                  <c:v>19.254815615394776</c:v>
                </c:pt>
                <c:pt idx="221">
                  <c:v>17.115460900525505</c:v>
                </c:pt>
                <c:pt idx="222">
                  <c:v>17.703193114140987</c:v>
                </c:pt>
                <c:pt idx="223">
                  <c:v>17.570414770956187</c:v>
                </c:pt>
                <c:pt idx="224">
                  <c:v>18.981423793359102</c:v>
                </c:pt>
                <c:pt idx="225">
                  <c:v>18.921246429468805</c:v>
                </c:pt>
                <c:pt idx="226">
                  <c:v>20.527624813650082</c:v>
                </c:pt>
                <c:pt idx="227">
                  <c:v>20.079524891879686</c:v>
                </c:pt>
                <c:pt idx="228">
                  <c:v>21.693225773757476</c:v>
                </c:pt>
                <c:pt idx="229">
                  <c:v>22.757815041367717</c:v>
                </c:pt>
                <c:pt idx="230">
                  <c:v>21.253457121728829</c:v>
                </c:pt>
                <c:pt idx="231">
                  <c:v>21.58045827781056</c:v>
                </c:pt>
                <c:pt idx="232">
                  <c:v>20.655472118228982</c:v>
                </c:pt>
                <c:pt idx="233">
                  <c:v>21.085776915293753</c:v>
                </c:pt>
                <c:pt idx="234">
                  <c:v>20.909453762935595</c:v>
                </c:pt>
                <c:pt idx="235">
                  <c:v>19.086438650457794</c:v>
                </c:pt>
                <c:pt idx="236">
                  <c:v>18.109081233272246</c:v>
                </c:pt>
                <c:pt idx="237">
                  <c:v>17.269627716173392</c:v>
                </c:pt>
                <c:pt idx="238">
                  <c:v>17.134815764918258</c:v>
                </c:pt>
                <c:pt idx="239">
                  <c:v>18.704942310275957</c:v>
                </c:pt>
                <c:pt idx="240">
                  <c:v>18.016516043136672</c:v>
                </c:pt>
                <c:pt idx="241">
                  <c:v>18.09837558565189</c:v>
                </c:pt>
                <c:pt idx="242">
                  <c:v>16.096269765771513</c:v>
                </c:pt>
                <c:pt idx="243">
                  <c:v>16.732583842684644</c:v>
                </c:pt>
                <c:pt idx="244">
                  <c:v>16.316046815316458</c:v>
                </c:pt>
                <c:pt idx="245">
                  <c:v>17.159616459500914</c:v>
                </c:pt>
                <c:pt idx="246">
                  <c:v>16.429896549097972</c:v>
                </c:pt>
                <c:pt idx="247">
                  <c:v>16.785358789082803</c:v>
                </c:pt>
                <c:pt idx="248">
                  <c:v>19.515721790377494</c:v>
                </c:pt>
                <c:pt idx="249">
                  <c:v>20.148238188612506</c:v>
                </c:pt>
                <c:pt idx="250">
                  <c:v>19.641466212935157</c:v>
                </c:pt>
                <c:pt idx="251">
                  <c:v>18.712535719993117</c:v>
                </c:pt>
                <c:pt idx="252">
                  <c:v>21.303111854572212</c:v>
                </c:pt>
                <c:pt idx="253">
                  <c:v>22.541102409174204</c:v>
                </c:pt>
                <c:pt idx="254">
                  <c:v>21.210026960578574</c:v>
                </c:pt>
                <c:pt idx="255">
                  <c:v>20.443057198559533</c:v>
                </c:pt>
                <c:pt idx="256">
                  <c:v>19.117768732222753</c:v>
                </c:pt>
                <c:pt idx="257">
                  <c:v>17.428348922411413</c:v>
                </c:pt>
                <c:pt idx="258">
                  <c:v>15.031715020629507</c:v>
                </c:pt>
                <c:pt idx="259">
                  <c:v>15.050455141932151</c:v>
                </c:pt>
                <c:pt idx="260">
                  <c:v>12.621770554341502</c:v>
                </c:pt>
                <c:pt idx="261">
                  <c:v>12.799716543065898</c:v>
                </c:pt>
                <c:pt idx="262">
                  <c:v>12.129520444817084</c:v>
                </c:pt>
                <c:pt idx="263">
                  <c:v>11.58699319409048</c:v>
                </c:pt>
                <c:pt idx="264">
                  <c:v>12.654737838361758</c:v>
                </c:pt>
                <c:pt idx="265">
                  <c:v>11.626980286343802</c:v>
                </c:pt>
                <c:pt idx="266">
                  <c:v>11.258270050626587</c:v>
                </c:pt>
                <c:pt idx="267">
                  <c:v>11.976489744935519</c:v>
                </c:pt>
                <c:pt idx="268">
                  <c:v>13.299255759825101</c:v>
                </c:pt>
                <c:pt idx="269">
                  <c:v>13.067568951492218</c:v>
                </c:pt>
                <c:pt idx="270">
                  <c:v>10.550998440508428</c:v>
                </c:pt>
                <c:pt idx="271">
                  <c:v>10.159404846845062</c:v>
                </c:pt>
                <c:pt idx="272">
                  <c:v>11.934465980618496</c:v>
                </c:pt>
                <c:pt idx="273">
                  <c:v>11.624924938924583</c:v>
                </c:pt>
                <c:pt idx="274">
                  <c:v>11.463358307159986</c:v>
                </c:pt>
                <c:pt idx="275">
                  <c:v>10.847039594562084</c:v>
                </c:pt>
                <c:pt idx="276">
                  <c:v>10.13821243792883</c:v>
                </c:pt>
                <c:pt idx="277">
                  <c:v>10.432990364618069</c:v>
                </c:pt>
                <c:pt idx="278">
                  <c:v>11.69488113551836</c:v>
                </c:pt>
                <c:pt idx="279">
                  <c:v>12.726257818060342</c:v>
                </c:pt>
                <c:pt idx="280">
                  <c:v>14.609816797721967</c:v>
                </c:pt>
                <c:pt idx="281">
                  <c:v>14.93109159848548</c:v>
                </c:pt>
                <c:pt idx="282">
                  <c:v>13.994037165872749</c:v>
                </c:pt>
                <c:pt idx="283">
                  <c:v>14.389453212034978</c:v>
                </c:pt>
                <c:pt idx="284">
                  <c:v>13.946860354782531</c:v>
                </c:pt>
                <c:pt idx="285">
                  <c:v>14.282696804669259</c:v>
                </c:pt>
                <c:pt idx="286">
                  <c:v>16.307877284796728</c:v>
                </c:pt>
                <c:pt idx="287">
                  <c:v>16.073681635555836</c:v>
                </c:pt>
                <c:pt idx="288">
                  <c:v>13.230933469266843</c:v>
                </c:pt>
                <c:pt idx="289">
                  <c:v>11.793929505583254</c:v>
                </c:pt>
                <c:pt idx="290">
                  <c:v>11.993600684201596</c:v>
                </c:pt>
                <c:pt idx="291">
                  <c:v>11.0742363663619</c:v>
                </c:pt>
                <c:pt idx="292">
                  <c:v>12.307371443105509</c:v>
                </c:pt>
                <c:pt idx="293">
                  <c:v>13.417692433718262</c:v>
                </c:pt>
                <c:pt idx="294">
                  <c:v>11.198697248603212</c:v>
                </c:pt>
                <c:pt idx="295">
                  <c:v>10.008470418424825</c:v>
                </c:pt>
                <c:pt idx="296">
                  <c:v>8.2081756079556421</c:v>
                </c:pt>
                <c:pt idx="297">
                  <c:v>7.339108344904818</c:v>
                </c:pt>
                <c:pt idx="298">
                  <c:v>6.7699741395306283</c:v>
                </c:pt>
                <c:pt idx="299">
                  <c:v>5.7983735781235541</c:v>
                </c:pt>
                <c:pt idx="300">
                  <c:v>3.940121519044522</c:v>
                </c:pt>
                <c:pt idx="301">
                  <c:v>3.2104862809406205</c:v>
                </c:pt>
                <c:pt idx="302">
                  <c:v>3.92581782770162</c:v>
                </c:pt>
                <c:pt idx="303">
                  <c:v>2.4566038942733575</c:v>
                </c:pt>
                <c:pt idx="304">
                  <c:v>2.7543002644461292</c:v>
                </c:pt>
                <c:pt idx="305">
                  <c:v>3.299902241432672</c:v>
                </c:pt>
                <c:pt idx="306">
                  <c:v>2.4426445811114541</c:v>
                </c:pt>
                <c:pt idx="307">
                  <c:v>0.69617726042098971</c:v>
                </c:pt>
                <c:pt idx="308">
                  <c:v>1.282860172575135</c:v>
                </c:pt>
                <c:pt idx="309">
                  <c:v>0.38322698055993881</c:v>
                </c:pt>
                <c:pt idx="310">
                  <c:v>-1.2805405221632458</c:v>
                </c:pt>
                <c:pt idx="311">
                  <c:v>-0.30085777921891788</c:v>
                </c:pt>
                <c:pt idx="312">
                  <c:v>-0.75209344112802579</c:v>
                </c:pt>
                <c:pt idx="313">
                  <c:v>-1.9801936694063702</c:v>
                </c:pt>
                <c:pt idx="314">
                  <c:v>-1.629458619414816</c:v>
                </c:pt>
                <c:pt idx="315">
                  <c:v>-2.193438567835801</c:v>
                </c:pt>
                <c:pt idx="316">
                  <c:v>-1.7057635622659808</c:v>
                </c:pt>
                <c:pt idx="317">
                  <c:v>-2.6793891743056211</c:v>
                </c:pt>
                <c:pt idx="318">
                  <c:v>-2.3944068683095407</c:v>
                </c:pt>
                <c:pt idx="319">
                  <c:v>-3.3200435075311834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58-C545-900E-DAAA4A58B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'240806B009'!$A$2:$A$321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'240806B009'!$J$2:$J$321</c:f>
              <c:numCache>
                <c:formatCode>0.0</c:formatCode>
                <c:ptCount val="320"/>
                <c:pt idx="0">
                  <c:v>4126.9419902014706</c:v>
                </c:pt>
                <c:pt idx="1">
                  <c:v>4140.5741726751903</c:v>
                </c:pt>
                <c:pt idx="2">
                  <c:v>4191.5867452394305</c:v>
                </c:pt>
                <c:pt idx="3">
                  <c:v>4057.4731121101499</c:v>
                </c:pt>
                <c:pt idx="4">
                  <c:v>4099.4266480226497</c:v>
                </c:pt>
                <c:pt idx="5">
                  <c:v>4046.6869748663999</c:v>
                </c:pt>
                <c:pt idx="6">
                  <c:v>3923.7975623991401</c:v>
                </c:pt>
                <c:pt idx="7">
                  <c:v>4275.2789546855101</c:v>
                </c:pt>
                <c:pt idx="8">
                  <c:v>4623.5169685917299</c:v>
                </c:pt>
                <c:pt idx="9">
                  <c:v>4608.3097624289003</c:v>
                </c:pt>
                <c:pt idx="10">
                  <c:v>4838.7552742111002</c:v>
                </c:pt>
                <c:pt idx="11">
                  <c:v>4796.5436606393205</c:v>
                </c:pt>
                <c:pt idx="12">
                  <c:v>4740.6651132086099</c:v>
                </c:pt>
                <c:pt idx="13">
                  <c:v>4652.3329548682304</c:v>
                </c:pt>
                <c:pt idx="14">
                  <c:v>4548.41137614943</c:v>
                </c:pt>
                <c:pt idx="15">
                  <c:v>4498.35394784253</c:v>
                </c:pt>
                <c:pt idx="16">
                  <c:v>4683.3352416458101</c:v>
                </c:pt>
                <c:pt idx="17">
                  <c:v>4756.8623264479793</c:v>
                </c:pt>
                <c:pt idx="18">
                  <c:v>4781.5685750881903</c:v>
                </c:pt>
                <c:pt idx="19">
                  <c:v>4825.1589471813695</c:v>
                </c:pt>
                <c:pt idx="20">
                  <c:v>4851.8887517121893</c:v>
                </c:pt>
                <c:pt idx="21">
                  <c:v>4839.7391097709697</c:v>
                </c:pt>
                <c:pt idx="22">
                  <c:v>4743.9102183106897</c:v>
                </c:pt>
                <c:pt idx="23">
                  <c:v>4581.0547424654096</c:v>
                </c:pt>
                <c:pt idx="24">
                  <c:v>4763.4044000739395</c:v>
                </c:pt>
                <c:pt idx="25">
                  <c:v>4766.0202505084198</c:v>
                </c:pt>
                <c:pt idx="26">
                  <c:v>4784.2474847476096</c:v>
                </c:pt>
                <c:pt idx="27">
                  <c:v>4791.3570965058198</c:v>
                </c:pt>
                <c:pt idx="28">
                  <c:v>4801.9774764281701</c:v>
                </c:pt>
                <c:pt idx="29">
                  <c:v>4807.3512839711602</c:v>
                </c:pt>
                <c:pt idx="30">
                  <c:v>4857.5002773156102</c:v>
                </c:pt>
                <c:pt idx="31">
                  <c:v>4874.9739323349604</c:v>
                </c:pt>
                <c:pt idx="32">
                  <c:v>4911.9944536883204</c:v>
                </c:pt>
                <c:pt idx="33">
                  <c:v>4901.8408208541796</c:v>
                </c:pt>
                <c:pt idx="34">
                  <c:v>4866.00000000001</c:v>
                </c:pt>
                <c:pt idx="35">
                  <c:v>4790.7448696617103</c:v>
                </c:pt>
                <c:pt idx="36">
                  <c:v>4706.0188574597805</c:v>
                </c:pt>
                <c:pt idx="37">
                  <c:v>4790.5396561286607</c:v>
                </c:pt>
                <c:pt idx="38">
                  <c:v>4824.4087631724697</c:v>
                </c:pt>
                <c:pt idx="39">
                  <c:v>4487.8508042151598</c:v>
                </c:pt>
                <c:pt idx="40">
                  <c:v>4431.9759628962302</c:v>
                </c:pt>
                <c:pt idx="41">
                  <c:v>4356.43149193929</c:v>
                </c:pt>
                <c:pt idx="42">
                  <c:v>4367.9078460403698</c:v>
                </c:pt>
                <c:pt idx="43">
                  <c:v>4345.6498277310102</c:v>
                </c:pt>
                <c:pt idx="44">
                  <c:v>4471.3142926334795</c:v>
                </c:pt>
                <c:pt idx="45">
                  <c:v>4503.8850961979597</c:v>
                </c:pt>
                <c:pt idx="46">
                  <c:v>4502.1978213154898</c:v>
                </c:pt>
                <c:pt idx="47">
                  <c:v>4487.4025508123095</c:v>
                </c:pt>
                <c:pt idx="48">
                  <c:v>4506.73063770918</c:v>
                </c:pt>
                <c:pt idx="49">
                  <c:v>4509.2605124398997</c:v>
                </c:pt>
                <c:pt idx="50">
                  <c:v>4521.1168927394792</c:v>
                </c:pt>
                <c:pt idx="51">
                  <c:v>4533.5405784677405</c:v>
                </c:pt>
                <c:pt idx="52">
                  <c:v>4543.3364465729492</c:v>
                </c:pt>
                <c:pt idx="53">
                  <c:v>4550.8323448498704</c:v>
                </c:pt>
                <c:pt idx="54">
                  <c:v>4578.3631139885301</c:v>
                </c:pt>
                <c:pt idx="55">
                  <c:v>4603.4480836679904</c:v>
                </c:pt>
                <c:pt idx="56">
                  <c:v>4655.7057284161301</c:v>
                </c:pt>
                <c:pt idx="57">
                  <c:v>4618.6331196146702</c:v>
                </c:pt>
                <c:pt idx="58">
                  <c:v>4640.3763269174906</c:v>
                </c:pt>
                <c:pt idx="59">
                  <c:v>4645.85701626848</c:v>
                </c:pt>
                <c:pt idx="60">
                  <c:v>4721.5637354701203</c:v>
                </c:pt>
                <c:pt idx="61">
                  <c:v>4709.1780123578392</c:v>
                </c:pt>
                <c:pt idx="62">
                  <c:v>4715.1960475392398</c:v>
                </c:pt>
                <c:pt idx="63">
                  <c:v>4708.1684522598298</c:v>
                </c:pt>
                <c:pt idx="64">
                  <c:v>4713.2811608642296</c:v>
                </c:pt>
                <c:pt idx="65">
                  <c:v>4707.4382955173996</c:v>
                </c:pt>
                <c:pt idx="66">
                  <c:v>4714.3007770668401</c:v>
                </c:pt>
                <c:pt idx="67">
                  <c:v>4703.5852371730798</c:v>
                </c:pt>
                <c:pt idx="68">
                  <c:v>4705.6745908021903</c:v>
                </c:pt>
                <c:pt idx="69">
                  <c:v>4712.7213219313498</c:v>
                </c:pt>
                <c:pt idx="70">
                  <c:v>4712.5143914051296</c:v>
                </c:pt>
                <c:pt idx="71">
                  <c:v>4700.0057255616603</c:v>
                </c:pt>
                <c:pt idx="72">
                  <c:v>4726.3226986566397</c:v>
                </c:pt>
                <c:pt idx="73">
                  <c:v>4696.0486823136198</c:v>
                </c:pt>
                <c:pt idx="74">
                  <c:v>4719.0983741356904</c:v>
                </c:pt>
                <c:pt idx="75">
                  <c:v>4727.9051982783103</c:v>
                </c:pt>
                <c:pt idx="76">
                  <c:v>4686.86970802216</c:v>
                </c:pt>
                <c:pt idx="77">
                  <c:v>4650.7715106808901</c:v>
                </c:pt>
                <c:pt idx="78">
                  <c:v>4653.3992445106696</c:v>
                </c:pt>
                <c:pt idx="79">
                  <c:v>4715.4644833362199</c:v>
                </c:pt>
                <c:pt idx="80">
                  <c:v>4736.4839894012503</c:v>
                </c:pt>
                <c:pt idx="81">
                  <c:v>4648.8059435824198</c:v>
                </c:pt>
                <c:pt idx="82">
                  <c:v>4648.0408962176298</c:v>
                </c:pt>
                <c:pt idx="83">
                  <c:v>4631.9194319913704</c:v>
                </c:pt>
                <c:pt idx="84">
                  <c:v>4688.3038964222105</c:v>
                </c:pt>
                <c:pt idx="85">
                  <c:v>4689.4299957804096</c:v>
                </c:pt>
                <c:pt idx="86">
                  <c:v>4677.6341175560001</c:v>
                </c:pt>
                <c:pt idx="87">
                  <c:v>4601.6703068179795</c:v>
                </c:pt>
                <c:pt idx="88">
                  <c:v>4610.2432509625905</c:v>
                </c:pt>
                <c:pt idx="89">
                  <c:v>4577.6153992545396</c:v>
                </c:pt>
                <c:pt idx="90">
                  <c:v>4540.8897670549104</c:v>
                </c:pt>
                <c:pt idx="91">
                  <c:v>4457.9652676064297</c:v>
                </c:pt>
                <c:pt idx="92">
                  <c:v>4589.0237658226797</c:v>
                </c:pt>
                <c:pt idx="93">
                  <c:v>4636.16194031138</c:v>
                </c:pt>
                <c:pt idx="94">
                  <c:v>4613.77342086913</c:v>
                </c:pt>
                <c:pt idx="95">
                  <c:v>4568.2694354568002</c:v>
                </c:pt>
                <c:pt idx="96">
                  <c:v>4540.4683374469896</c:v>
                </c:pt>
                <c:pt idx="97">
                  <c:v>4533.6514401348895</c:v>
                </c:pt>
                <c:pt idx="98">
                  <c:v>4534.3612963980604</c:v>
                </c:pt>
                <c:pt idx="99">
                  <c:v>4524.6815525491802</c:v>
                </c:pt>
                <c:pt idx="100">
                  <c:v>4529.8106494103404</c:v>
                </c:pt>
                <c:pt idx="101">
                  <c:v>4554.67994307341</c:v>
                </c:pt>
                <c:pt idx="102">
                  <c:v>4571.5803265190698</c:v>
                </c:pt>
                <c:pt idx="103">
                  <c:v>4549.2060282333496</c:v>
                </c:pt>
                <c:pt idx="104">
                  <c:v>4581.3554886660504</c:v>
                </c:pt>
                <c:pt idx="105">
                  <c:v>4589.7771521261702</c:v>
                </c:pt>
                <c:pt idx="106">
                  <c:v>4589.0467791862802</c:v>
                </c:pt>
                <c:pt idx="107">
                  <c:v>4631.3550565927198</c:v>
                </c:pt>
                <c:pt idx="108">
                  <c:v>4447.1757091245499</c:v>
                </c:pt>
                <c:pt idx="109">
                  <c:v>4471.2874085181802</c:v>
                </c:pt>
                <c:pt idx="110">
                  <c:v>4474.5872820795303</c:v>
                </c:pt>
                <c:pt idx="111">
                  <c:v>4500.0795295545404</c:v>
                </c:pt>
                <c:pt idx="112">
                  <c:v>4514.6875198137095</c:v>
                </c:pt>
                <c:pt idx="113">
                  <c:v>4539.29928507361</c:v>
                </c:pt>
                <c:pt idx="114">
                  <c:v>4556.3452825263694</c:v>
                </c:pt>
                <c:pt idx="115">
                  <c:v>4580.0159374898594</c:v>
                </c:pt>
                <c:pt idx="116">
                  <c:v>4582.22880690282</c:v>
                </c:pt>
                <c:pt idx="117">
                  <c:v>4607.4235446163902</c:v>
                </c:pt>
                <c:pt idx="118">
                  <c:v>4558.3133358325294</c:v>
                </c:pt>
                <c:pt idx="119">
                  <c:v>4516.0833341028101</c:v>
                </c:pt>
                <c:pt idx="120">
                  <c:v>4508.81097572607</c:v>
                </c:pt>
                <c:pt idx="121">
                  <c:v>4552.2107170623694</c:v>
                </c:pt>
                <c:pt idx="122">
                  <c:v>4524.9019081528804</c:v>
                </c:pt>
                <c:pt idx="123">
                  <c:v>4378.7977646086501</c:v>
                </c:pt>
                <c:pt idx="124">
                  <c:v>4309.7215314226096</c:v>
                </c:pt>
                <c:pt idx="125">
                  <c:v>4248.8896253175699</c:v>
                </c:pt>
                <c:pt idx="126">
                  <c:v>4238.69367082997</c:v>
                </c:pt>
                <c:pt idx="127">
                  <c:v>4242.0155053440903</c:v>
                </c:pt>
                <c:pt idx="128">
                  <c:v>4242.6025077582199</c:v>
                </c:pt>
                <c:pt idx="129">
                  <c:v>4226.6038652341404</c:v>
                </c:pt>
                <c:pt idx="130">
                  <c:v>4351.8456437205496</c:v>
                </c:pt>
                <c:pt idx="131">
                  <c:v>4375.1653841396201</c:v>
                </c:pt>
                <c:pt idx="132">
                  <c:v>4369.86525685374</c:v>
                </c:pt>
                <c:pt idx="133">
                  <c:v>4393.7498327972999</c:v>
                </c:pt>
                <c:pt idx="134">
                  <c:v>4384.2629280167102</c:v>
                </c:pt>
                <c:pt idx="135">
                  <c:v>4419.7476997896802</c:v>
                </c:pt>
                <c:pt idx="136">
                  <c:v>4451.8113708936799</c:v>
                </c:pt>
                <c:pt idx="137">
                  <c:v>4441.6125253025393</c:v>
                </c:pt>
                <c:pt idx="138">
                  <c:v>4411.6332163403304</c:v>
                </c:pt>
                <c:pt idx="139">
                  <c:v>4415.5315374493093</c:v>
                </c:pt>
                <c:pt idx="140">
                  <c:v>4424.7383144817804</c:v>
                </c:pt>
                <c:pt idx="141">
                  <c:v>4426.6266531535402</c:v>
                </c:pt>
                <c:pt idx="142">
                  <c:v>4414.4229911096299</c:v>
                </c:pt>
                <c:pt idx="143">
                  <c:v>4351.0001743038101</c:v>
                </c:pt>
                <c:pt idx="144">
                  <c:v>4319.0890156852001</c:v>
                </c:pt>
                <c:pt idx="145">
                  <c:v>4328.2164475088293</c:v>
                </c:pt>
                <c:pt idx="146">
                  <c:v>4273.57946515813</c:v>
                </c:pt>
                <c:pt idx="147">
                  <c:v>4256.3741318297498</c:v>
                </c:pt>
                <c:pt idx="148">
                  <c:v>4249.5799113883704</c:v>
                </c:pt>
                <c:pt idx="149">
                  <c:v>4261.7949121135598</c:v>
                </c:pt>
                <c:pt idx="150">
                  <c:v>4256.5442994382402</c:v>
                </c:pt>
                <c:pt idx="151">
                  <c:v>4313.4204567742399</c:v>
                </c:pt>
                <c:pt idx="152">
                  <c:v>4352.4189356053803</c:v>
                </c:pt>
                <c:pt idx="153">
                  <c:v>4352.2989081408996</c:v>
                </c:pt>
                <c:pt idx="154">
                  <c:v>4367.3919652451295</c:v>
                </c:pt>
                <c:pt idx="155">
                  <c:v>4358.5262970987496</c:v>
                </c:pt>
                <c:pt idx="156">
                  <c:v>4339.8812064133399</c:v>
                </c:pt>
                <c:pt idx="157">
                  <c:v>4337.3807765511501</c:v>
                </c:pt>
                <c:pt idx="158">
                  <c:v>4333.80905402393</c:v>
                </c:pt>
                <c:pt idx="159">
                  <c:v>4271.5550099278007</c:v>
                </c:pt>
                <c:pt idx="160">
                  <c:v>4238.92953114792</c:v>
                </c:pt>
                <c:pt idx="161">
                  <c:v>4239.7411176908199</c:v>
                </c:pt>
                <c:pt idx="162">
                  <c:v>4272.2003246756803</c:v>
                </c:pt>
                <c:pt idx="163">
                  <c:v>4329.0581033701001</c:v>
                </c:pt>
                <c:pt idx="164">
                  <c:v>4357.5189383371307</c:v>
                </c:pt>
                <c:pt idx="165">
                  <c:v>4437.4335303547805</c:v>
                </c:pt>
                <c:pt idx="166">
                  <c:v>4515.5188708114702</c:v>
                </c:pt>
                <c:pt idx="167">
                  <c:v>4505.9219581457901</c:v>
                </c:pt>
                <c:pt idx="168">
                  <c:v>4467.4679181012198</c:v>
                </c:pt>
                <c:pt idx="169">
                  <c:v>4514.1537095253798</c:v>
                </c:pt>
                <c:pt idx="170">
                  <c:v>4520.7896938607601</c:v>
                </c:pt>
                <c:pt idx="171">
                  <c:v>4529.0422436917197</c:v>
                </c:pt>
                <c:pt idx="172">
                  <c:v>4545.9763189669402</c:v>
                </c:pt>
                <c:pt idx="173">
                  <c:v>4590.1983186821899</c:v>
                </c:pt>
                <c:pt idx="174">
                  <c:v>4568.2770680257499</c:v>
                </c:pt>
                <c:pt idx="175">
                  <c:v>4629.8987376178302</c:v>
                </c:pt>
                <c:pt idx="176">
                  <c:v>4691.1310507233593</c:v>
                </c:pt>
                <c:pt idx="177">
                  <c:v>4701.4862598841401</c:v>
                </c:pt>
                <c:pt idx="178">
                  <c:v>4696.9554136466295</c:v>
                </c:pt>
                <c:pt idx="179">
                  <c:v>4721.6749457751803</c:v>
                </c:pt>
                <c:pt idx="180">
                  <c:v>4665.0715428296398</c:v>
                </c:pt>
                <c:pt idx="181">
                  <c:v>4689.4912755782198</c:v>
                </c:pt>
                <c:pt idx="182">
                  <c:v>4681.85733398715</c:v>
                </c:pt>
                <c:pt idx="183">
                  <c:v>4684.1937067727104</c:v>
                </c:pt>
                <c:pt idx="184">
                  <c:v>4619.1943495572305</c:v>
                </c:pt>
                <c:pt idx="185">
                  <c:v>4608.8083749306998</c:v>
                </c:pt>
                <c:pt idx="186">
                  <c:v>4573.72133456746</c:v>
                </c:pt>
                <c:pt idx="187">
                  <c:v>4554.3887523737394</c:v>
                </c:pt>
                <c:pt idx="188">
                  <c:v>4615.5717870877397</c:v>
                </c:pt>
                <c:pt idx="189">
                  <c:v>4617.6835911817698</c:v>
                </c:pt>
                <c:pt idx="190">
                  <c:v>4630.2798646846804</c:v>
                </c:pt>
                <c:pt idx="191">
                  <c:v>4623.5596476439005</c:v>
                </c:pt>
                <c:pt idx="192">
                  <c:v>4620.3837469192504</c:v>
                </c:pt>
                <c:pt idx="193">
                  <c:v>4613.9897071841197</c:v>
                </c:pt>
                <c:pt idx="194">
                  <c:v>4620.78230083785</c:v>
                </c:pt>
                <c:pt idx="195">
                  <c:v>4638.8331423345098</c:v>
                </c:pt>
                <c:pt idx="196">
                  <c:v>4640.5588597738406</c:v>
                </c:pt>
                <c:pt idx="197">
                  <c:v>4639.2612808674294</c:v>
                </c:pt>
                <c:pt idx="198">
                  <c:v>4652.2413545488707</c:v>
                </c:pt>
                <c:pt idx="199">
                  <c:v>4656.5893699977796</c:v>
                </c:pt>
                <c:pt idx="200">
                  <c:v>4666.3503643669301</c:v>
                </c:pt>
                <c:pt idx="201">
                  <c:v>4676.5765418562996</c:v>
                </c:pt>
                <c:pt idx="202">
                  <c:v>4682.7621798473801</c:v>
                </c:pt>
                <c:pt idx="203">
                  <c:v>4647.6038684605792</c:v>
                </c:pt>
                <c:pt idx="204">
                  <c:v>4636.5540655199502</c:v>
                </c:pt>
                <c:pt idx="205">
                  <c:v>4622.0128308963103</c:v>
                </c:pt>
                <c:pt idx="206">
                  <c:v>4605.8817864265593</c:v>
                </c:pt>
                <c:pt idx="207">
                  <c:v>4588.7314290384902</c:v>
                </c:pt>
                <c:pt idx="208">
                  <c:v>4592.6976718346104</c:v>
                </c:pt>
                <c:pt idx="209">
                  <c:v>4600.3905282953792</c:v>
                </c:pt>
                <c:pt idx="210">
                  <c:v>4615.7344657359399</c:v>
                </c:pt>
                <c:pt idx="211">
                  <c:v>4605.1352776645099</c:v>
                </c:pt>
                <c:pt idx="212">
                  <c:v>4621.2211178572907</c:v>
                </c:pt>
                <c:pt idx="213">
                  <c:v>4618.5271842734101</c:v>
                </c:pt>
                <c:pt idx="214">
                  <c:v>4615.9414937576303</c:v>
                </c:pt>
                <c:pt idx="215">
                  <c:v>4626.6609155821807</c:v>
                </c:pt>
                <c:pt idx="216">
                  <c:v>4595.5438682034901</c:v>
                </c:pt>
                <c:pt idx="217">
                  <c:v>4599.5683977770304</c:v>
                </c:pt>
                <c:pt idx="218">
                  <c:v>4615.3373084961304</c:v>
                </c:pt>
                <c:pt idx="219">
                  <c:v>4606.2608933602705</c:v>
                </c:pt>
                <c:pt idx="220">
                  <c:v>4579.6904368363294</c:v>
                </c:pt>
                <c:pt idx="221">
                  <c:v>4589.7936863873501</c:v>
                </c:pt>
                <c:pt idx="222">
                  <c:v>4600.3729095730696</c:v>
                </c:pt>
                <c:pt idx="223">
                  <c:v>4597.4107851887702</c:v>
                </c:pt>
                <c:pt idx="224">
                  <c:v>4577.6853404737594</c:v>
                </c:pt>
                <c:pt idx="225">
                  <c:v>4581.8161012000401</c:v>
                </c:pt>
                <c:pt idx="226">
                  <c:v>4615.0314881746208</c:v>
                </c:pt>
                <c:pt idx="227">
                  <c:v>4582.1371747970197</c:v>
                </c:pt>
                <c:pt idx="228">
                  <c:v>4618.88641171995</c:v>
                </c:pt>
                <c:pt idx="229">
                  <c:v>4580.7208671713997</c:v>
                </c:pt>
                <c:pt idx="230">
                  <c:v>4539.0001322299704</c:v>
                </c:pt>
                <c:pt idx="231">
                  <c:v>4528.8276465273102</c:v>
                </c:pt>
                <c:pt idx="232">
                  <c:v>4512.9884767110498</c:v>
                </c:pt>
                <c:pt idx="233">
                  <c:v>4492.5090302034805</c:v>
                </c:pt>
                <c:pt idx="234">
                  <c:v>4494.0707466951599</c:v>
                </c:pt>
                <c:pt idx="235">
                  <c:v>4519.8324646560204</c:v>
                </c:pt>
                <c:pt idx="236">
                  <c:v>4555.7398072748902</c:v>
                </c:pt>
                <c:pt idx="237">
                  <c:v>4602.01008987963</c:v>
                </c:pt>
                <c:pt idx="238">
                  <c:v>4447.0241622681506</c:v>
                </c:pt>
                <c:pt idx="239">
                  <c:v>4477.0165269069703</c:v>
                </c:pt>
                <c:pt idx="240">
                  <c:v>4510.1061604463803</c:v>
                </c:pt>
                <c:pt idx="241">
                  <c:v>4460.2504618865305</c:v>
                </c:pt>
                <c:pt idx="242">
                  <c:v>4461.3808755091795</c:v>
                </c:pt>
                <c:pt idx="243">
                  <c:v>4478.73936650832</c:v>
                </c:pt>
                <c:pt idx="244">
                  <c:v>4471.4089798827008</c:v>
                </c:pt>
                <c:pt idx="245">
                  <c:v>4490.1835526146897</c:v>
                </c:pt>
                <c:pt idx="246">
                  <c:v>4452.3405986343505</c:v>
                </c:pt>
                <c:pt idx="247">
                  <c:v>4499.1105332172801</c:v>
                </c:pt>
                <c:pt idx="248">
                  <c:v>4459.6691790356508</c:v>
                </c:pt>
                <c:pt idx="249">
                  <c:v>4446.01873900377</c:v>
                </c:pt>
                <c:pt idx="250">
                  <c:v>4386.3258728863893</c:v>
                </c:pt>
                <c:pt idx="251">
                  <c:v>4439.7072844517197</c:v>
                </c:pt>
                <c:pt idx="252">
                  <c:v>4443.5186477522702</c:v>
                </c:pt>
                <c:pt idx="253">
                  <c:v>4408.9955589737201</c:v>
                </c:pt>
                <c:pt idx="254">
                  <c:v>4399.5265175188897</c:v>
                </c:pt>
                <c:pt idx="255">
                  <c:v>4395.4804280663893</c:v>
                </c:pt>
                <c:pt idx="256">
                  <c:v>4397.1301605861199</c:v>
                </c:pt>
                <c:pt idx="257">
                  <c:v>4369.1840283354504</c:v>
                </c:pt>
                <c:pt idx="258">
                  <c:v>4401.4392247522492</c:v>
                </c:pt>
                <c:pt idx="259">
                  <c:v>4393.59945197666</c:v>
                </c:pt>
                <c:pt idx="260">
                  <c:v>4412.4860471867505</c:v>
                </c:pt>
                <c:pt idx="261">
                  <c:v>4374.8508002382796</c:v>
                </c:pt>
                <c:pt idx="262">
                  <c:v>4359.5670511762601</c:v>
                </c:pt>
                <c:pt idx="263">
                  <c:v>4363.0499048744605</c:v>
                </c:pt>
                <c:pt idx="264">
                  <c:v>4351.7797643138802</c:v>
                </c:pt>
                <c:pt idx="265">
                  <c:v>4333.9778364734002</c:v>
                </c:pt>
                <c:pt idx="266">
                  <c:v>4312.4666659936101</c:v>
                </c:pt>
                <c:pt idx="267">
                  <c:v>4337.7463919147003</c:v>
                </c:pt>
                <c:pt idx="268">
                  <c:v>4370.9052923683603</c:v>
                </c:pt>
                <c:pt idx="269">
                  <c:v>4300.5795363430698</c:v>
                </c:pt>
                <c:pt idx="270">
                  <c:v>4308.0524357425293</c:v>
                </c:pt>
                <c:pt idx="271">
                  <c:v>4334.7320788818497</c:v>
                </c:pt>
                <c:pt idx="272">
                  <c:v>4336.9902702458503</c:v>
                </c:pt>
                <c:pt idx="273">
                  <c:v>4316.1955382323804</c:v>
                </c:pt>
                <c:pt idx="274">
                  <c:v>4307.7486517384805</c:v>
                </c:pt>
                <c:pt idx="275">
                  <c:v>4314.4843536190901</c:v>
                </c:pt>
                <c:pt idx="276">
                  <c:v>4320.3779194998606</c:v>
                </c:pt>
                <c:pt idx="277">
                  <c:v>4314.82028236938</c:v>
                </c:pt>
                <c:pt idx="278">
                  <c:v>4223.5449424092003</c:v>
                </c:pt>
                <c:pt idx="279">
                  <c:v>4370.0063227336896</c:v>
                </c:pt>
                <c:pt idx="280">
                  <c:v>4336.8842717951702</c:v>
                </c:pt>
                <c:pt idx="281">
                  <c:v>4396.2822372426999</c:v>
                </c:pt>
                <c:pt idx="282">
                  <c:v>4464.6899503793102</c:v>
                </c:pt>
                <c:pt idx="283">
                  <c:v>4535.8897952799898</c:v>
                </c:pt>
                <c:pt idx="284">
                  <c:v>4330.1330544136599</c:v>
                </c:pt>
                <c:pt idx="285">
                  <c:v>4316.3093808552203</c:v>
                </c:pt>
                <c:pt idx="286">
                  <c:v>4360.4456637281701</c:v>
                </c:pt>
                <c:pt idx="287">
                  <c:v>4396.2132840643399</c:v>
                </c:pt>
                <c:pt idx="288">
                  <c:v>4369.74837481961</c:v>
                </c:pt>
                <c:pt idx="289">
                  <c:v>4360.6689632345297</c:v>
                </c:pt>
                <c:pt idx="290">
                  <c:v>4407.2545698462</c:v>
                </c:pt>
                <c:pt idx="291">
                  <c:v>4428.8780289555598</c:v>
                </c:pt>
                <c:pt idx="292">
                  <c:v>4410.6501042324107</c:v>
                </c:pt>
                <c:pt idx="293">
                  <c:v>4458.2707537863407</c:v>
                </c:pt>
                <c:pt idx="294">
                  <c:v>4406.5406238027499</c:v>
                </c:pt>
                <c:pt idx="295">
                  <c:v>4300.43537374676</c:v>
                </c:pt>
                <c:pt idx="296">
                  <c:v>4310.5202329451195</c:v>
                </c:pt>
                <c:pt idx="297">
                  <c:v>4308.4902153817593</c:v>
                </c:pt>
                <c:pt idx="298">
                  <c:v>4237.5624727305903</c:v>
                </c:pt>
                <c:pt idx="299">
                  <c:v>4067.7708118890096</c:v>
                </c:pt>
                <c:pt idx="300">
                  <c:v>3990.0599146162904</c:v>
                </c:pt>
                <c:pt idx="301">
                  <c:v>3904.2204050160699</c:v>
                </c:pt>
                <c:pt idx="302">
                  <c:v>4116.0119733457695</c:v>
                </c:pt>
                <c:pt idx="303">
                  <c:v>4095.0907073510302</c:v>
                </c:pt>
                <c:pt idx="304">
                  <c:v>4083.5351301174401</c:v>
                </c:pt>
                <c:pt idx="305">
                  <c:v>4155.7991850856797</c:v>
                </c:pt>
                <c:pt idx="306">
                  <c:v>4142.7498687208899</c:v>
                </c:pt>
                <c:pt idx="307">
                  <c:v>4141.39260108487</c:v>
                </c:pt>
                <c:pt idx="308">
                  <c:v>4144.7760077131998</c:v>
                </c:pt>
                <c:pt idx="309">
                  <c:v>4160.6755967203808</c:v>
                </c:pt>
                <c:pt idx="310">
                  <c:v>4151.4974365217704</c:v>
                </c:pt>
                <c:pt idx="311">
                  <c:v>4146.8398742303598</c:v>
                </c:pt>
                <c:pt idx="312">
                  <c:v>4148.69625365707</c:v>
                </c:pt>
                <c:pt idx="313">
                  <c:v>4133.0068932291597</c:v>
                </c:pt>
                <c:pt idx="314">
                  <c:v>4110.1143327270693</c:v>
                </c:pt>
                <c:pt idx="315">
                  <c:v>4098.97168122117</c:v>
                </c:pt>
                <c:pt idx="316">
                  <c:v>4097.7844366312702</c:v>
                </c:pt>
                <c:pt idx="317">
                  <c:v>4113.7905624771402</c:v>
                </c:pt>
                <c:pt idx="318">
                  <c:v>4126.2793711638697</c:v>
                </c:pt>
                <c:pt idx="319">
                  <c:v>4114.9991625192797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8-CA4F-98FB-51254FA9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1-E84D-B567-D58546311FF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'240806B009'!$A$2:$A$321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'240806B009'!$P$2:$P$321</c:f>
              <c:numCache>
                <c:formatCode>General</c:formatCode>
                <c:ptCount val="320"/>
                <c:pt idx="0">
                  <c:v>-8.863927154866035</c:v>
                </c:pt>
                <c:pt idx="1">
                  <c:v>-8.7237725605539751</c:v>
                </c:pt>
                <c:pt idx="2">
                  <c:v>-9.8830532122464305</c:v>
                </c:pt>
                <c:pt idx="3">
                  <c:v>-7.4493144939788536</c:v>
                </c:pt>
                <c:pt idx="4">
                  <c:v>-6.7320639482574345</c:v>
                </c:pt>
                <c:pt idx="5">
                  <c:v>-5.2378543830449864</c:v>
                </c:pt>
                <c:pt idx="6">
                  <c:v>-1.8971228990080091</c:v>
                </c:pt>
                <c:pt idx="7">
                  <c:v>-5.5779372524709885</c:v>
                </c:pt>
                <c:pt idx="8">
                  <c:v>-5.7919109701468026</c:v>
                </c:pt>
                <c:pt idx="9">
                  <c:v>-4.4083116516282592</c:v>
                </c:pt>
                <c:pt idx="10">
                  <c:v>-4.8548781731925583</c:v>
                </c:pt>
                <c:pt idx="11">
                  <c:v>-4.9646427480153541</c:v>
                </c:pt>
                <c:pt idx="12">
                  <c:v>-4.8921582368636969</c:v>
                </c:pt>
                <c:pt idx="13">
                  <c:v>-4.6132876174201938</c:v>
                </c:pt>
                <c:pt idx="14">
                  <c:v>-3.5430028323293823</c:v>
                </c:pt>
                <c:pt idx="15">
                  <c:v>-3.1933404354377202</c:v>
                </c:pt>
                <c:pt idx="16">
                  <c:v>-3.631920277154558</c:v>
                </c:pt>
                <c:pt idx="17">
                  <c:v>-3.6503717826724498</c:v>
                </c:pt>
                <c:pt idx="18">
                  <c:v>-3.9052040013192157</c:v>
                </c:pt>
                <c:pt idx="19">
                  <c:v>-4.0954132999946342</c:v>
                </c:pt>
                <c:pt idx="20">
                  <c:v>-4.1919838632834523</c:v>
                </c:pt>
                <c:pt idx="21">
                  <c:v>-3.8180029102529636</c:v>
                </c:pt>
                <c:pt idx="22">
                  <c:v>-2.9516001004871448</c:v>
                </c:pt>
                <c:pt idx="23">
                  <c:v>-2.2181327289399788</c:v>
                </c:pt>
                <c:pt idx="24">
                  <c:v>-2.9687207605739498</c:v>
                </c:pt>
                <c:pt idx="25">
                  <c:v>-2.5865781266581243</c:v>
                </c:pt>
                <c:pt idx="26">
                  <c:v>-3.1588699671801757</c:v>
                </c:pt>
                <c:pt idx="27">
                  <c:v>-2.652316629445429</c:v>
                </c:pt>
                <c:pt idx="28">
                  <c:v>-3.0221708776324885</c:v>
                </c:pt>
                <c:pt idx="29">
                  <c:v>-3.0092301869021054</c:v>
                </c:pt>
                <c:pt idx="30">
                  <c:v>-3.3585574321181895</c:v>
                </c:pt>
                <c:pt idx="31">
                  <c:v>-3.6060254781271976</c:v>
                </c:pt>
                <c:pt idx="32">
                  <c:v>-3.7293863079374163</c:v>
                </c:pt>
                <c:pt idx="33">
                  <c:v>-3.6463191997309727</c:v>
                </c:pt>
                <c:pt idx="34">
                  <c:v>-3.4303868624605811</c:v>
                </c:pt>
                <c:pt idx="35">
                  <c:v>-3.06264765544441</c:v>
                </c:pt>
                <c:pt idx="36">
                  <c:v>-2.6696679558411289</c:v>
                </c:pt>
                <c:pt idx="37">
                  <c:v>-2.9468652505984636</c:v>
                </c:pt>
                <c:pt idx="38">
                  <c:v>-3.1579167425945047</c:v>
                </c:pt>
                <c:pt idx="39">
                  <c:v>-2.6463216732798585</c:v>
                </c:pt>
                <c:pt idx="40">
                  <c:v>-1.9993747460734037</c:v>
                </c:pt>
                <c:pt idx="41">
                  <c:v>-1.5636323668364303</c:v>
                </c:pt>
                <c:pt idx="42">
                  <c:v>-1.7343346041346523</c:v>
                </c:pt>
                <c:pt idx="43">
                  <c:v>-1.6770629704362179</c:v>
                </c:pt>
                <c:pt idx="44">
                  <c:v>-2.5465261266539887</c:v>
                </c:pt>
                <c:pt idx="45">
                  <c:v>-2.8139794274700027</c:v>
                </c:pt>
                <c:pt idx="46">
                  <c:v>-2.966279055508529</c:v>
                </c:pt>
                <c:pt idx="47">
                  <c:v>-2.7287925445304442</c:v>
                </c:pt>
                <c:pt idx="48">
                  <c:v>-2.769219812405296</c:v>
                </c:pt>
                <c:pt idx="49">
                  <c:v>-2.6507755456868081</c:v>
                </c:pt>
                <c:pt idx="50">
                  <c:v>-2.4665363703761227</c:v>
                </c:pt>
                <c:pt idx="51">
                  <c:v>-2.755829121795454</c:v>
                </c:pt>
                <c:pt idx="52">
                  <c:v>-2.780840642494089</c:v>
                </c:pt>
                <c:pt idx="53">
                  <c:v>-2.3752773260143063</c:v>
                </c:pt>
                <c:pt idx="54">
                  <c:v>-2.0883167052356684</c:v>
                </c:pt>
                <c:pt idx="55">
                  <c:v>-1.5434558077821958</c:v>
                </c:pt>
                <c:pt idx="56">
                  <c:v>-1.5752646007235103</c:v>
                </c:pt>
                <c:pt idx="57">
                  <c:v>-0.68895475368962256</c:v>
                </c:pt>
                <c:pt idx="58">
                  <c:v>-0.51003227945783358</c:v>
                </c:pt>
                <c:pt idx="59">
                  <c:v>-0.21773386968202296</c:v>
                </c:pt>
                <c:pt idx="60">
                  <c:v>-0.47875329565918601</c:v>
                </c:pt>
                <c:pt idx="61">
                  <c:v>-0.29817208943458146</c:v>
                </c:pt>
                <c:pt idx="62">
                  <c:v>-5.4322923077279386E-2</c:v>
                </c:pt>
                <c:pt idx="63">
                  <c:v>1.6964543093409175E-2</c:v>
                </c:pt>
                <c:pt idx="64">
                  <c:v>0.23323609683190732</c:v>
                </c:pt>
                <c:pt idx="65">
                  <c:v>-1.2763901612847996E-2</c:v>
                </c:pt>
                <c:pt idx="66">
                  <c:v>0.2390408284238513</c:v>
                </c:pt>
                <c:pt idx="67">
                  <c:v>0.66042432571696363</c:v>
                </c:pt>
                <c:pt idx="68">
                  <c:v>0.51753993159264633</c:v>
                </c:pt>
                <c:pt idx="69">
                  <c:v>0.56627980602561123</c:v>
                </c:pt>
                <c:pt idx="70">
                  <c:v>0.84172834338811109</c:v>
                </c:pt>
                <c:pt idx="71">
                  <c:v>0.98544655207252541</c:v>
                </c:pt>
                <c:pt idx="72">
                  <c:v>0.51890800831850614</c:v>
                </c:pt>
                <c:pt idx="73">
                  <c:v>0.40329145016113654</c:v>
                </c:pt>
                <c:pt idx="74">
                  <c:v>0.3864853689876504</c:v>
                </c:pt>
                <c:pt idx="75">
                  <c:v>0.13489714678118234</c:v>
                </c:pt>
                <c:pt idx="76">
                  <c:v>-0.75782400561896346</c:v>
                </c:pt>
                <c:pt idx="77">
                  <c:v>-1.1781741859191204</c:v>
                </c:pt>
                <c:pt idx="78">
                  <c:v>-0.90669832104911752</c:v>
                </c:pt>
                <c:pt idx="79">
                  <c:v>-1.8175336790224046</c:v>
                </c:pt>
                <c:pt idx="80">
                  <c:v>-2.3770580576499367</c:v>
                </c:pt>
                <c:pt idx="81">
                  <c:v>-1.7047437986335254</c:v>
                </c:pt>
                <c:pt idx="82">
                  <c:v>-1.910791720987896</c:v>
                </c:pt>
                <c:pt idx="83">
                  <c:v>-1.3445307679850269</c:v>
                </c:pt>
                <c:pt idx="84">
                  <c:v>-1.9753969086439978</c:v>
                </c:pt>
                <c:pt idx="85">
                  <c:v>-2.8385503184262415</c:v>
                </c:pt>
                <c:pt idx="86">
                  <c:v>-3.4828731475436694</c:v>
                </c:pt>
                <c:pt idx="87">
                  <c:v>-2.9835419448671421</c:v>
                </c:pt>
                <c:pt idx="88">
                  <c:v>-4.2048585765347797</c:v>
                </c:pt>
                <c:pt idx="89">
                  <c:v>-4.439284157158319</c:v>
                </c:pt>
                <c:pt idx="90">
                  <c:v>-4.612012008479577</c:v>
                </c:pt>
                <c:pt idx="91">
                  <c:v>-4.8460560232134924</c:v>
                </c:pt>
                <c:pt idx="92">
                  <c:v>-6.5612910852798763</c:v>
                </c:pt>
                <c:pt idx="93">
                  <c:v>-6.8137458481671169</c:v>
                </c:pt>
                <c:pt idx="94">
                  <c:v>-6.9235141716801234</c:v>
                </c:pt>
                <c:pt idx="95">
                  <c:v>-6.7714366354563653</c:v>
                </c:pt>
                <c:pt idx="96">
                  <c:v>-6.6976433080684679</c:v>
                </c:pt>
                <c:pt idx="97">
                  <c:v>-7.2547731859421569</c:v>
                </c:pt>
                <c:pt idx="98">
                  <c:v>-7.3682616313867868</c:v>
                </c:pt>
                <c:pt idx="99">
                  <c:v>-7.7423505586346488</c:v>
                </c:pt>
                <c:pt idx="100">
                  <c:v>-8.1419730772581627</c:v>
                </c:pt>
                <c:pt idx="101">
                  <c:v>-8.4982266326727487</c:v>
                </c:pt>
                <c:pt idx="102">
                  <c:v>-8.5743801080779924</c:v>
                </c:pt>
                <c:pt idx="103">
                  <c:v>-8.7555375116682335</c:v>
                </c:pt>
                <c:pt idx="104">
                  <c:v>-8.7619777089560138</c:v>
                </c:pt>
                <c:pt idx="105">
                  <c:v>-8.9785475937950121</c:v>
                </c:pt>
                <c:pt idx="106">
                  <c:v>-9.2458527185351844</c:v>
                </c:pt>
                <c:pt idx="107">
                  <c:v>-8.7504658086297962</c:v>
                </c:pt>
                <c:pt idx="108">
                  <c:v>-7.6850162612208841</c:v>
                </c:pt>
                <c:pt idx="109">
                  <c:v>-7.4589952894827309</c:v>
                </c:pt>
                <c:pt idx="110">
                  <c:v>-7.7884391428603346</c:v>
                </c:pt>
                <c:pt idx="111">
                  <c:v>-7.983450631949883</c:v>
                </c:pt>
                <c:pt idx="112">
                  <c:v>-7.9540637040597968</c:v>
                </c:pt>
                <c:pt idx="113">
                  <c:v>-8.3615288413581457</c:v>
                </c:pt>
                <c:pt idx="114">
                  <c:v>-8.6349868717642924</c:v>
                </c:pt>
                <c:pt idx="115">
                  <c:v>-8.9656163649793523</c:v>
                </c:pt>
                <c:pt idx="116">
                  <c:v>-9.1392888839258841</c:v>
                </c:pt>
                <c:pt idx="117">
                  <c:v>-9.1699019123253169</c:v>
                </c:pt>
                <c:pt idx="118">
                  <c:v>-9.2694551448881306</c:v>
                </c:pt>
                <c:pt idx="119">
                  <c:v>-8.5599378225950655</c:v>
                </c:pt>
                <c:pt idx="120">
                  <c:v>-8.3151446300886924</c:v>
                </c:pt>
                <c:pt idx="121">
                  <c:v>-9.0362811586849752</c:v>
                </c:pt>
                <c:pt idx="122">
                  <c:v>-8.6729661894474006</c:v>
                </c:pt>
                <c:pt idx="123">
                  <c:v>-8.3518871964193924</c:v>
                </c:pt>
                <c:pt idx="124">
                  <c:v>-7.754060704567947</c:v>
                </c:pt>
                <c:pt idx="125">
                  <c:v>-7.3880389215764186</c:v>
                </c:pt>
                <c:pt idx="126">
                  <c:v>-6.8394470548550244</c:v>
                </c:pt>
                <c:pt idx="127">
                  <c:v>-6.5993037986946348</c:v>
                </c:pt>
                <c:pt idx="128">
                  <c:v>-6.5558031620541604</c:v>
                </c:pt>
                <c:pt idx="129">
                  <c:v>-6.136674347607177</c:v>
                </c:pt>
                <c:pt idx="130">
                  <c:v>-7.4616942333103102</c:v>
                </c:pt>
                <c:pt idx="131">
                  <c:v>-7.3759453985238563</c:v>
                </c:pt>
                <c:pt idx="132">
                  <c:v>-7.2011753595141572</c:v>
                </c:pt>
                <c:pt idx="133">
                  <c:v>-7.1321532018449068</c:v>
                </c:pt>
                <c:pt idx="134">
                  <c:v>-6.9456509756693023</c:v>
                </c:pt>
                <c:pt idx="135">
                  <c:v>-7.27399622638724</c:v>
                </c:pt>
                <c:pt idx="136">
                  <c:v>-7.2790325875578956</c:v>
                </c:pt>
                <c:pt idx="137">
                  <c:v>-7.0053457968166368</c:v>
                </c:pt>
                <c:pt idx="138">
                  <c:v>-6.8873111074861368</c:v>
                </c:pt>
                <c:pt idx="139">
                  <c:v>-7.0072385308029768</c:v>
                </c:pt>
                <c:pt idx="140">
                  <c:v>-6.9237689829233799</c:v>
                </c:pt>
                <c:pt idx="141">
                  <c:v>-6.8539929208883503</c:v>
                </c:pt>
                <c:pt idx="142">
                  <c:v>-6.7038356971088895</c:v>
                </c:pt>
                <c:pt idx="143">
                  <c:v>-7.2042614915983059</c:v>
                </c:pt>
                <c:pt idx="144">
                  <c:v>-6.6176444952432147</c:v>
                </c:pt>
                <c:pt idx="145">
                  <c:v>-6.7406375585636589</c:v>
                </c:pt>
                <c:pt idx="146">
                  <c:v>-6.1888705365934857</c:v>
                </c:pt>
                <c:pt idx="147">
                  <c:v>-5.96367821720784</c:v>
                </c:pt>
                <c:pt idx="148">
                  <c:v>-5.4726077196164553</c:v>
                </c:pt>
                <c:pt idx="149">
                  <c:v>-5.7599148349646354</c:v>
                </c:pt>
                <c:pt idx="150">
                  <c:v>-5.6382702359613699</c:v>
                </c:pt>
                <c:pt idx="151">
                  <c:v>-5.5712988089412736</c:v>
                </c:pt>
                <c:pt idx="152">
                  <c:v>-5.5044095701949489</c:v>
                </c:pt>
                <c:pt idx="153">
                  <c:v>-5.2665570520513034</c:v>
                </c:pt>
                <c:pt idx="154">
                  <c:v>-5.2515211704286138</c:v>
                </c:pt>
                <c:pt idx="155">
                  <c:v>-4.7896750357737288</c:v>
                </c:pt>
                <c:pt idx="156">
                  <c:v>-4.68513164818535</c:v>
                </c:pt>
                <c:pt idx="157">
                  <c:v>-4.659573349675048</c:v>
                </c:pt>
                <c:pt idx="158">
                  <c:v>-4.0928705467698228</c:v>
                </c:pt>
                <c:pt idx="159">
                  <c:v>-4.2155749432124496</c:v>
                </c:pt>
                <c:pt idx="160">
                  <c:v>-3.7231501955154478</c:v>
                </c:pt>
                <c:pt idx="161">
                  <c:v>-3.8636193859293009</c:v>
                </c:pt>
                <c:pt idx="162">
                  <c:v>-3.5419295879834682</c:v>
                </c:pt>
                <c:pt idx="163">
                  <c:v>4.7716671697783344</c:v>
                </c:pt>
                <c:pt idx="164">
                  <c:v>12.607786983546838</c:v>
                </c:pt>
                <c:pt idx="165">
                  <c:v>16.917427408271376</c:v>
                </c:pt>
                <c:pt idx="166">
                  <c:v>20.39729978950697</c:v>
                </c:pt>
                <c:pt idx="167">
                  <c:v>23.087822525668784</c:v>
                </c:pt>
                <c:pt idx="168">
                  <c:v>25.457542126127198</c:v>
                </c:pt>
                <c:pt idx="169">
                  <c:v>26.34404142930974</c:v>
                </c:pt>
                <c:pt idx="170">
                  <c:v>28.368733294653676</c:v>
                </c:pt>
                <c:pt idx="171">
                  <c:v>29.694700247420798</c:v>
                </c:pt>
                <c:pt idx="172">
                  <c:v>31.320711317832174</c:v>
                </c:pt>
                <c:pt idx="173">
                  <c:v>32.026184038790149</c:v>
                </c:pt>
                <c:pt idx="174">
                  <c:v>34.123798548905768</c:v>
                </c:pt>
                <c:pt idx="175">
                  <c:v>36.212274197620474</c:v>
                </c:pt>
                <c:pt idx="176">
                  <c:v>37.610589163033318</c:v>
                </c:pt>
                <c:pt idx="177">
                  <c:v>38.72998881599117</c:v>
                </c:pt>
                <c:pt idx="178">
                  <c:v>40.002020871507966</c:v>
                </c:pt>
                <c:pt idx="179">
                  <c:v>41.278562187310129</c:v>
                </c:pt>
                <c:pt idx="180">
                  <c:v>41.705595985700697</c:v>
                </c:pt>
                <c:pt idx="181">
                  <c:v>42.028808675571995</c:v>
                </c:pt>
                <c:pt idx="182">
                  <c:v>42.213307476660503</c:v>
                </c:pt>
                <c:pt idx="183">
                  <c:v>42.445849907436582</c:v>
                </c:pt>
                <c:pt idx="184">
                  <c:v>42.849259395729398</c:v>
                </c:pt>
                <c:pt idx="185">
                  <c:v>42.904044606208828</c:v>
                </c:pt>
                <c:pt idx="186">
                  <c:v>42.98746513901731</c:v>
                </c:pt>
                <c:pt idx="187">
                  <c:v>43.627648025391601</c:v>
                </c:pt>
                <c:pt idx="188">
                  <c:v>43.104677682070957</c:v>
                </c:pt>
                <c:pt idx="189">
                  <c:v>42.661093892663985</c:v>
                </c:pt>
                <c:pt idx="190">
                  <c:v>43.015919242812707</c:v>
                </c:pt>
                <c:pt idx="191">
                  <c:v>43.047017434085269</c:v>
                </c:pt>
                <c:pt idx="192">
                  <c:v>43.214399058457651</c:v>
                </c:pt>
                <c:pt idx="193">
                  <c:v>42.942843337768629</c:v>
                </c:pt>
                <c:pt idx="194">
                  <c:v>42.59328421714406</c:v>
                </c:pt>
                <c:pt idx="195">
                  <c:v>42.66402089673835</c:v>
                </c:pt>
                <c:pt idx="196">
                  <c:v>43.610788521314021</c:v>
                </c:pt>
                <c:pt idx="197">
                  <c:v>43.890592285801155</c:v>
                </c:pt>
                <c:pt idx="198">
                  <c:v>44.582831834312152</c:v>
                </c:pt>
                <c:pt idx="199">
                  <c:v>45.761015840064267</c:v>
                </c:pt>
                <c:pt idx="200">
                  <c:v>45.686435798939236</c:v>
                </c:pt>
                <c:pt idx="201">
                  <c:v>45.203084785542977</c:v>
                </c:pt>
                <c:pt idx="202">
                  <c:v>45.220909619553723</c:v>
                </c:pt>
                <c:pt idx="203">
                  <c:v>44.672087364515626</c:v>
                </c:pt>
                <c:pt idx="204">
                  <c:v>44.457705874876304</c:v>
                </c:pt>
                <c:pt idx="205">
                  <c:v>44.373580590443368</c:v>
                </c:pt>
                <c:pt idx="206">
                  <c:v>44.08782635129176</c:v>
                </c:pt>
                <c:pt idx="207">
                  <c:v>44.181843472238448</c:v>
                </c:pt>
                <c:pt idx="208">
                  <c:v>44.131753293196446</c:v>
                </c:pt>
                <c:pt idx="209">
                  <c:v>44.372232628091737</c:v>
                </c:pt>
                <c:pt idx="210">
                  <c:v>44.457324552662755</c:v>
                </c:pt>
                <c:pt idx="211">
                  <c:v>44.899115630916221</c:v>
                </c:pt>
                <c:pt idx="212">
                  <c:v>44.333063301463469</c:v>
                </c:pt>
                <c:pt idx="213">
                  <c:v>43.938789917051039</c:v>
                </c:pt>
                <c:pt idx="214">
                  <c:v>44.017791239686154</c:v>
                </c:pt>
                <c:pt idx="215">
                  <c:v>43.762219266609961</c:v>
                </c:pt>
                <c:pt idx="216">
                  <c:v>44.199677916556126</c:v>
                </c:pt>
                <c:pt idx="217">
                  <c:v>44.096450957505276</c:v>
                </c:pt>
                <c:pt idx="218">
                  <c:v>44.107612517562409</c:v>
                </c:pt>
                <c:pt idx="219">
                  <c:v>44.378456065161828</c:v>
                </c:pt>
                <c:pt idx="220">
                  <c:v>44.447167244489933</c:v>
                </c:pt>
                <c:pt idx="221">
                  <c:v>43.774709011449808</c:v>
                </c:pt>
                <c:pt idx="222">
                  <c:v>43.780210793727562</c:v>
                </c:pt>
                <c:pt idx="223">
                  <c:v>42.939751345103325</c:v>
                </c:pt>
                <c:pt idx="224">
                  <c:v>43.243788170987386</c:v>
                </c:pt>
                <c:pt idx="225">
                  <c:v>42.624442944034392</c:v>
                </c:pt>
                <c:pt idx="226">
                  <c:v>41.986363698303862</c:v>
                </c:pt>
                <c:pt idx="227">
                  <c:v>42.417707541254345</c:v>
                </c:pt>
                <c:pt idx="228">
                  <c:v>41.924929748782539</c:v>
                </c:pt>
                <c:pt idx="229">
                  <c:v>42.296745901066934</c:v>
                </c:pt>
                <c:pt idx="230">
                  <c:v>41.986562104881664</c:v>
                </c:pt>
                <c:pt idx="231">
                  <c:v>42.017264670936903</c:v>
                </c:pt>
                <c:pt idx="232">
                  <c:v>42.033989885024312</c:v>
                </c:pt>
                <c:pt idx="233">
                  <c:v>41.027877433394529</c:v>
                </c:pt>
                <c:pt idx="234">
                  <c:v>41.017515704721468</c:v>
                </c:pt>
                <c:pt idx="235">
                  <c:v>40.030518362621109</c:v>
                </c:pt>
                <c:pt idx="236">
                  <c:v>39.257447253103791</c:v>
                </c:pt>
                <c:pt idx="237">
                  <c:v>38.791950177172311</c:v>
                </c:pt>
                <c:pt idx="238">
                  <c:v>37.478647860467611</c:v>
                </c:pt>
                <c:pt idx="239">
                  <c:v>37.453262227918259</c:v>
                </c:pt>
                <c:pt idx="240">
                  <c:v>36.40804934913772</c:v>
                </c:pt>
                <c:pt idx="241">
                  <c:v>36.958691441750773</c:v>
                </c:pt>
                <c:pt idx="242">
                  <c:v>36.903625357829902</c:v>
                </c:pt>
                <c:pt idx="243">
                  <c:v>35.734412933434719</c:v>
                </c:pt>
                <c:pt idx="244">
                  <c:v>35.56438472065355</c:v>
                </c:pt>
                <c:pt idx="245">
                  <c:v>34.41613308168219</c:v>
                </c:pt>
                <c:pt idx="246">
                  <c:v>33.930581096353819</c:v>
                </c:pt>
                <c:pt idx="247">
                  <c:v>32.042081393458822</c:v>
                </c:pt>
                <c:pt idx="248">
                  <c:v>31.238162677221915</c:v>
                </c:pt>
                <c:pt idx="249">
                  <c:v>30.997243889091653</c:v>
                </c:pt>
                <c:pt idx="250">
                  <c:v>30.836119537963846</c:v>
                </c:pt>
                <c:pt idx="251">
                  <c:v>29.791760451819609</c:v>
                </c:pt>
                <c:pt idx="252">
                  <c:v>29.127891107842146</c:v>
                </c:pt>
                <c:pt idx="253">
                  <c:v>28.783703895859038</c:v>
                </c:pt>
                <c:pt idx="254">
                  <c:v>28.390832512567954</c:v>
                </c:pt>
                <c:pt idx="255">
                  <c:v>27.792224591954017</c:v>
                </c:pt>
                <c:pt idx="256">
                  <c:v>27.557626854230051</c:v>
                </c:pt>
                <c:pt idx="257">
                  <c:v>26.940795663301198</c:v>
                </c:pt>
                <c:pt idx="258">
                  <c:v>25.788297896572498</c:v>
                </c:pt>
                <c:pt idx="259">
                  <c:v>25.089583541540854</c:v>
                </c:pt>
                <c:pt idx="260">
                  <c:v>24.276954209372079</c:v>
                </c:pt>
                <c:pt idx="261">
                  <c:v>24.17568486374709</c:v>
                </c:pt>
                <c:pt idx="262">
                  <c:v>23.879423488867204</c:v>
                </c:pt>
                <c:pt idx="263">
                  <c:v>23.224662132810121</c:v>
                </c:pt>
                <c:pt idx="264">
                  <c:v>22.728363337057196</c:v>
                </c:pt>
                <c:pt idx="265">
                  <c:v>22.674614002386924</c:v>
                </c:pt>
                <c:pt idx="266">
                  <c:v>21.986107334356134</c:v>
                </c:pt>
                <c:pt idx="267">
                  <c:v>22.04275425629438</c:v>
                </c:pt>
                <c:pt idx="268">
                  <c:v>22.449911745911617</c:v>
                </c:pt>
                <c:pt idx="269">
                  <c:v>22.283841451895761</c:v>
                </c:pt>
                <c:pt idx="270">
                  <c:v>22.215951181837386</c:v>
                </c:pt>
                <c:pt idx="271">
                  <c:v>22.272374452581509</c:v>
                </c:pt>
                <c:pt idx="272">
                  <c:v>21.916512335561592</c:v>
                </c:pt>
                <c:pt idx="273">
                  <c:v>21.992903257365864</c:v>
                </c:pt>
                <c:pt idx="274">
                  <c:v>21.865757237996082</c:v>
                </c:pt>
                <c:pt idx="275">
                  <c:v>21.888373569944292</c:v>
                </c:pt>
                <c:pt idx="276">
                  <c:v>21.70370491062215</c:v>
                </c:pt>
                <c:pt idx="277">
                  <c:v>21.874617452629224</c:v>
                </c:pt>
                <c:pt idx="278">
                  <c:v>22.892841285950215</c:v>
                </c:pt>
                <c:pt idx="279">
                  <c:v>21.90703602217377</c:v>
                </c:pt>
                <c:pt idx="280">
                  <c:v>22.313080184348877</c:v>
                </c:pt>
                <c:pt idx="281">
                  <c:v>22.387560063491307</c:v>
                </c:pt>
                <c:pt idx="282">
                  <c:v>21.994163023892092</c:v>
                </c:pt>
                <c:pt idx="283">
                  <c:v>21.438816608386258</c:v>
                </c:pt>
                <c:pt idx="284">
                  <c:v>20.80921626192135</c:v>
                </c:pt>
                <c:pt idx="285">
                  <c:v>20.600163710449497</c:v>
                </c:pt>
                <c:pt idx="286">
                  <c:v>20.399918160096227</c:v>
                </c:pt>
                <c:pt idx="287">
                  <c:v>19.851735175460114</c:v>
                </c:pt>
                <c:pt idx="288">
                  <c:v>19.058121955875766</c:v>
                </c:pt>
                <c:pt idx="289">
                  <c:v>19.208599401170677</c:v>
                </c:pt>
                <c:pt idx="290">
                  <c:v>19.205017980779111</c:v>
                </c:pt>
                <c:pt idx="291">
                  <c:v>18.726237484604304</c:v>
                </c:pt>
                <c:pt idx="292">
                  <c:v>18.503003984007879</c:v>
                </c:pt>
                <c:pt idx="293">
                  <c:v>18.381204049549225</c:v>
                </c:pt>
                <c:pt idx="294">
                  <c:v>17.748422803529877</c:v>
                </c:pt>
                <c:pt idx="295">
                  <c:v>17.645509229597785</c:v>
                </c:pt>
                <c:pt idx="296">
                  <c:v>17.427211833883515</c:v>
                </c:pt>
                <c:pt idx="297">
                  <c:v>17.40476148211058</c:v>
                </c:pt>
                <c:pt idx="298">
                  <c:v>17.722215658031175</c:v>
                </c:pt>
                <c:pt idx="299">
                  <c:v>19.274016358668785</c:v>
                </c:pt>
                <c:pt idx="300">
                  <c:v>21.004708557250922</c:v>
                </c:pt>
                <c:pt idx="301">
                  <c:v>21.411176356158805</c:v>
                </c:pt>
                <c:pt idx="302">
                  <c:v>19.659279271601644</c:v>
                </c:pt>
                <c:pt idx="303">
                  <c:v>19.250161408630518</c:v>
                </c:pt>
                <c:pt idx="304">
                  <c:v>18.777642925387209</c:v>
                </c:pt>
                <c:pt idx="305">
                  <c:v>18.020861939918149</c:v>
                </c:pt>
                <c:pt idx="306">
                  <c:v>18.329820515685032</c:v>
                </c:pt>
                <c:pt idx="307">
                  <c:v>18.075851142483923</c:v>
                </c:pt>
                <c:pt idx="308">
                  <c:v>17.648932725136635</c:v>
                </c:pt>
                <c:pt idx="309">
                  <c:v>17.389802090042465</c:v>
                </c:pt>
                <c:pt idx="310">
                  <c:v>17.621889844566144</c:v>
                </c:pt>
                <c:pt idx="311">
                  <c:v>17.805889144273049</c:v>
                </c:pt>
                <c:pt idx="312">
                  <c:v>17.338703317888243</c:v>
                </c:pt>
                <c:pt idx="313">
                  <c:v>17.438329177663245</c:v>
                </c:pt>
                <c:pt idx="314">
                  <c:v>17.543719154493125</c:v>
                </c:pt>
                <c:pt idx="315">
                  <c:v>17.106722577923268</c:v>
                </c:pt>
                <c:pt idx="316">
                  <c:v>17.087552846186661</c:v>
                </c:pt>
                <c:pt idx="317">
                  <c:v>17.112896181964572</c:v>
                </c:pt>
                <c:pt idx="318">
                  <c:v>17.894206373623913</c:v>
                </c:pt>
                <c:pt idx="319">
                  <c:v>16.72535636530673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B1-E84D-B567-D58546311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580A498-F25E-9542-9823-AD137C73A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CCA7A-D1A1-7648-8FC8-37FF9D9EC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109EBCE-0DB9-5546-8618-FDAA7D908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A43179-A760-1D4A-99B7-89145C6CF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AD212F5-9AB3-BC46-867D-3564CAE9C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0C2401-AD4B-AE42-A3E5-7FA3ED3F3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E0D8330-ACCB-6741-869E-ECA22A3AE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47CF2-5AD7-C143-94EB-113294486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0B97DAD-90D7-5848-ABE7-FBB8E3239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6A8A2B-11FB-3743-B249-E1CF98950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7E77FD8-8267-034B-B93F-E1A85D7711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0DB55E-7BA6-CD4F-B34C-93C72EEBA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topLeftCell="F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803.28760529482997</v>
      </c>
      <c r="E2">
        <v>355.32611311673003</v>
      </c>
      <c r="F2">
        <v>126.85559566787001</v>
      </c>
      <c r="G2">
        <v>112.77376654632999</v>
      </c>
      <c r="H2" s="4"/>
      <c r="I2" s="5">
        <f>E2-G2</f>
        <v>242.55234657040003</v>
      </c>
      <c r="J2" s="5">
        <f>D2-F2</f>
        <v>676.43200962695994</v>
      </c>
      <c r="K2" s="9">
        <f>I2*1</f>
        <v>242.55234657040003</v>
      </c>
      <c r="L2" s="6">
        <f t="shared" ref="L2:L65" si="0">K2/J2</f>
        <v>0.35857609208080393</v>
      </c>
      <c r="M2" s="6">
        <f>L2+ABS($N$2)*A2</f>
        <v>0.35857609208080393</v>
      </c>
      <c r="N2" s="4">
        <f>LINEST(V64:V103,U64:U103)</f>
        <v>-3.2653837337844147E-4</v>
      </c>
      <c r="O2" s="7">
        <f>AVERAGE(M62:M81)</f>
        <v>0.19625116979473081</v>
      </c>
      <c r="P2" s="4">
        <f>(M2-$O$2)/$O$2*100</f>
        <v>82.712843167180665</v>
      </c>
    </row>
    <row r="3" spans="1:16" x14ac:dyDescent="0.2">
      <c r="A3" s="8">
        <v>0.5</v>
      </c>
      <c r="B3" s="8">
        <v>1</v>
      </c>
      <c r="D3">
        <v>817.45728038508003</v>
      </c>
      <c r="E3">
        <v>349.42358604091999</v>
      </c>
      <c r="F3">
        <v>126.82069795427</v>
      </c>
      <c r="G3">
        <v>112.37665463297</v>
      </c>
      <c r="I3" s="9">
        <f t="shared" ref="I3:I66" si="1">E3-G3</f>
        <v>237.04693140794998</v>
      </c>
      <c r="J3" s="9">
        <f t="shared" ref="J3:J66" si="2">D3-F3</f>
        <v>690.63658243080999</v>
      </c>
      <c r="K3" s="9">
        <f t="shared" ref="K3:K66" si="3">I3*1</f>
        <v>237.04693140794998</v>
      </c>
      <c r="L3" s="10">
        <f t="shared" si="0"/>
        <v>0.34322961951077657</v>
      </c>
      <c r="M3" s="10">
        <f t="shared" ref="M3:M66" si="4">L3+ABS($N$2)*A3</f>
        <v>0.34339288869746581</v>
      </c>
      <c r="P3" s="8">
        <f t="shared" ref="P3:P66" si="5">(M3-$O$2)/$O$2*100</f>
        <v>74.97622513875362</v>
      </c>
    </row>
    <row r="4" spans="1:16" ht="16" x14ac:dyDescent="0.2">
      <c r="A4" s="8">
        <v>1</v>
      </c>
      <c r="B4" s="8">
        <v>2</v>
      </c>
      <c r="D4">
        <v>803.4825511432</v>
      </c>
      <c r="E4">
        <v>374.70878459686998</v>
      </c>
      <c r="F4">
        <v>127.18652226234001</v>
      </c>
      <c r="G4">
        <v>112.40312876053</v>
      </c>
      <c r="I4" s="9">
        <f t="shared" si="1"/>
        <v>262.30565583633995</v>
      </c>
      <c r="J4" s="9">
        <f t="shared" si="2"/>
        <v>676.29602888086004</v>
      </c>
      <c r="K4" s="9">
        <f t="shared" si="3"/>
        <v>262.30565583633995</v>
      </c>
      <c r="L4" s="10">
        <f t="shared" si="0"/>
        <v>0.38785627097412562</v>
      </c>
      <c r="M4" s="10">
        <f t="shared" si="4"/>
        <v>0.38818280934750404</v>
      </c>
      <c r="N4" s="1" t="s">
        <v>8</v>
      </c>
      <c r="P4" s="8">
        <f t="shared" si="5"/>
        <v>97.798978601515813</v>
      </c>
    </row>
    <row r="5" spans="1:16" x14ac:dyDescent="0.2">
      <c r="A5" s="8">
        <v>1.5</v>
      </c>
      <c r="B5" s="8">
        <v>3</v>
      </c>
      <c r="D5">
        <v>812.60409145608003</v>
      </c>
      <c r="E5">
        <v>362.10469314079</v>
      </c>
      <c r="F5">
        <v>127.49338146811</v>
      </c>
      <c r="G5">
        <v>112.78820697954001</v>
      </c>
      <c r="I5" s="9">
        <f t="shared" si="1"/>
        <v>249.31648616125</v>
      </c>
      <c r="J5" s="9">
        <f t="shared" si="2"/>
        <v>685.11070998797004</v>
      </c>
      <c r="K5" s="9">
        <f t="shared" si="3"/>
        <v>249.31648616125</v>
      </c>
      <c r="L5" s="10">
        <f t="shared" si="0"/>
        <v>0.36390685844865539</v>
      </c>
      <c r="M5" s="10">
        <f t="shared" si="4"/>
        <v>0.36439666600872306</v>
      </c>
      <c r="N5" s="8">
        <f>RSQ(V64:V83,U64:U83)</f>
        <v>0.39975391482799905</v>
      </c>
      <c r="P5" s="8">
        <f t="shared" si="5"/>
        <v>85.678723031238107</v>
      </c>
    </row>
    <row r="6" spans="1:16" x14ac:dyDescent="0.2">
      <c r="A6" s="8">
        <v>2</v>
      </c>
      <c r="B6" s="8">
        <v>4</v>
      </c>
      <c r="D6">
        <v>832.22623345367003</v>
      </c>
      <c r="E6">
        <v>333.90854392298002</v>
      </c>
      <c r="F6">
        <v>127.10950661853001</v>
      </c>
      <c r="G6">
        <v>112.31287605295</v>
      </c>
      <c r="I6" s="9">
        <f t="shared" si="1"/>
        <v>221.59566787003001</v>
      </c>
      <c r="J6" s="9">
        <f t="shared" si="2"/>
        <v>705.11672683514007</v>
      </c>
      <c r="K6" s="9">
        <f t="shared" si="3"/>
        <v>221.59566787003001</v>
      </c>
      <c r="L6" s="10">
        <f t="shared" si="0"/>
        <v>0.31426806291299375</v>
      </c>
      <c r="M6" s="10">
        <f t="shared" si="4"/>
        <v>0.31492113965975066</v>
      </c>
      <c r="P6" s="8">
        <f t="shared" si="5"/>
        <v>60.468414017171398</v>
      </c>
    </row>
    <row r="7" spans="1:16" x14ac:dyDescent="0.2">
      <c r="A7" s="8">
        <v>2.5</v>
      </c>
      <c r="B7" s="8">
        <v>5</v>
      </c>
      <c r="D7">
        <v>777.55836341757004</v>
      </c>
      <c r="E7">
        <v>325.42358604091999</v>
      </c>
      <c r="F7">
        <v>126.93862815884999</v>
      </c>
      <c r="G7">
        <v>112.28640192539</v>
      </c>
      <c r="I7" s="9">
        <f t="shared" si="1"/>
        <v>213.13718411552998</v>
      </c>
      <c r="J7" s="9">
        <f t="shared" si="2"/>
        <v>650.61973525872008</v>
      </c>
      <c r="K7" s="9">
        <f t="shared" si="3"/>
        <v>213.13718411552998</v>
      </c>
      <c r="L7" s="10">
        <f t="shared" si="0"/>
        <v>0.32759102216715819</v>
      </c>
      <c r="M7" s="10">
        <f t="shared" si="4"/>
        <v>0.32840736810060428</v>
      </c>
      <c r="P7" s="8">
        <f t="shared" si="5"/>
        <v>67.340336592185636</v>
      </c>
    </row>
    <row r="8" spans="1:16" x14ac:dyDescent="0.2">
      <c r="A8" s="8">
        <v>3</v>
      </c>
      <c r="B8" s="8">
        <v>6</v>
      </c>
      <c r="D8">
        <v>647.85439229843996</v>
      </c>
      <c r="E8">
        <v>304.72563176895</v>
      </c>
      <c r="F8">
        <v>127.14560770156</v>
      </c>
      <c r="G8">
        <v>112.14801444043</v>
      </c>
      <c r="I8" s="9">
        <f t="shared" si="1"/>
        <v>192.57761732851998</v>
      </c>
      <c r="J8" s="9">
        <f t="shared" si="2"/>
        <v>520.70878459687992</v>
      </c>
      <c r="K8" s="9">
        <f t="shared" si="3"/>
        <v>192.57761732851998</v>
      </c>
      <c r="L8" s="10">
        <f t="shared" si="0"/>
        <v>0.36983746582575688</v>
      </c>
      <c r="M8" s="10">
        <f t="shared" si="4"/>
        <v>0.37081708094589222</v>
      </c>
      <c r="P8" s="8">
        <f t="shared" si="5"/>
        <v>88.950252543079799</v>
      </c>
    </row>
    <row r="9" spans="1:16" x14ac:dyDescent="0.2">
      <c r="A9" s="8">
        <v>3.5</v>
      </c>
      <c r="B9" s="8">
        <v>7</v>
      </c>
      <c r="D9">
        <v>1089.5865384614999</v>
      </c>
      <c r="E9">
        <v>297.86538461538998</v>
      </c>
      <c r="F9">
        <v>127.11432009627001</v>
      </c>
      <c r="G9">
        <v>112.34897713597999</v>
      </c>
      <c r="I9" s="9">
        <f t="shared" si="1"/>
        <v>185.51640747940999</v>
      </c>
      <c r="J9" s="9">
        <f t="shared" si="2"/>
        <v>962.47221836522988</v>
      </c>
      <c r="K9" s="9">
        <f t="shared" si="3"/>
        <v>185.51640747940999</v>
      </c>
      <c r="L9" s="10">
        <f t="shared" si="0"/>
        <v>0.19274988299871318</v>
      </c>
      <c r="M9" s="10">
        <f t="shared" si="4"/>
        <v>0.19389276730553773</v>
      </c>
      <c r="P9" s="8">
        <f t="shared" si="5"/>
        <v>-1.2017265892783511</v>
      </c>
    </row>
    <row r="10" spans="1:16" x14ac:dyDescent="0.2">
      <c r="A10" s="8">
        <v>4</v>
      </c>
      <c r="B10" s="8">
        <v>8</v>
      </c>
      <c r="D10">
        <v>677.78605769231001</v>
      </c>
      <c r="E10">
        <v>244.23918269231001</v>
      </c>
      <c r="F10">
        <v>126.90252707581</v>
      </c>
      <c r="G10">
        <v>112.11672683514</v>
      </c>
      <c r="I10" s="9">
        <f t="shared" si="1"/>
        <v>132.12245585717</v>
      </c>
      <c r="J10" s="9">
        <f t="shared" si="2"/>
        <v>550.88353061650002</v>
      </c>
      <c r="K10" s="9">
        <f t="shared" si="3"/>
        <v>132.12245585717</v>
      </c>
      <c r="L10" s="10">
        <f t="shared" si="0"/>
        <v>0.23983736763615032</v>
      </c>
      <c r="M10" s="10">
        <f t="shared" si="4"/>
        <v>0.24114352112966408</v>
      </c>
      <c r="P10" s="8">
        <f t="shared" si="5"/>
        <v>22.874947131213787</v>
      </c>
    </row>
    <row r="11" spans="1:16" x14ac:dyDescent="0.2">
      <c r="A11" s="8">
        <v>4.5</v>
      </c>
      <c r="B11" s="8">
        <v>9</v>
      </c>
      <c r="D11">
        <v>1537.5344619105001</v>
      </c>
      <c r="E11">
        <v>362.96251511486997</v>
      </c>
      <c r="F11">
        <v>126.73525872443</v>
      </c>
      <c r="G11">
        <v>112.21660649819999</v>
      </c>
      <c r="I11" s="9">
        <f t="shared" si="1"/>
        <v>250.74590861666996</v>
      </c>
      <c r="J11" s="9">
        <f t="shared" si="2"/>
        <v>1410.7992031860701</v>
      </c>
      <c r="K11" s="9">
        <f t="shared" si="3"/>
        <v>250.74590861666996</v>
      </c>
      <c r="L11" s="10">
        <f t="shared" si="0"/>
        <v>0.17773323662956386</v>
      </c>
      <c r="M11" s="10">
        <f t="shared" si="4"/>
        <v>0.17920265930976684</v>
      </c>
      <c r="P11" s="8">
        <f t="shared" si="5"/>
        <v>-8.6870873191715958</v>
      </c>
    </row>
    <row r="12" spans="1:16" x14ac:dyDescent="0.2">
      <c r="A12" s="8">
        <v>5</v>
      </c>
      <c r="B12" s="8">
        <v>10</v>
      </c>
      <c r="D12">
        <v>1495.9455864571</v>
      </c>
      <c r="E12">
        <v>362.80048367593997</v>
      </c>
      <c r="F12">
        <v>127.07581227436999</v>
      </c>
      <c r="G12">
        <v>112.34777376655001</v>
      </c>
      <c r="I12" s="9">
        <f t="shared" si="1"/>
        <v>250.45270990938997</v>
      </c>
      <c r="J12" s="9">
        <f t="shared" si="2"/>
        <v>1368.86977418273</v>
      </c>
      <c r="K12" s="9">
        <f t="shared" si="3"/>
        <v>250.45270990938997</v>
      </c>
      <c r="L12" s="10">
        <f t="shared" si="0"/>
        <v>0.18296313837371436</v>
      </c>
      <c r="M12" s="10">
        <f t="shared" si="4"/>
        <v>0.18459583024060658</v>
      </c>
      <c r="P12" s="8">
        <f t="shared" si="5"/>
        <v>-5.9389911236275195</v>
      </c>
    </row>
    <row r="13" spans="1:16" x14ac:dyDescent="0.2">
      <c r="A13" s="8">
        <v>5.5</v>
      </c>
      <c r="B13" s="8">
        <v>11</v>
      </c>
      <c r="D13">
        <v>1546.0217654172</v>
      </c>
      <c r="E13">
        <v>364.64328899637002</v>
      </c>
      <c r="F13">
        <v>126.91817087846</v>
      </c>
      <c r="G13">
        <v>112.15764139591001</v>
      </c>
      <c r="I13" s="9">
        <f t="shared" si="1"/>
        <v>252.48564760046003</v>
      </c>
      <c r="J13" s="9">
        <f t="shared" si="2"/>
        <v>1419.10359453874</v>
      </c>
      <c r="K13" s="9">
        <f t="shared" si="3"/>
        <v>252.48564760046003</v>
      </c>
      <c r="L13" s="10">
        <f t="shared" si="0"/>
        <v>0.17791910933924945</v>
      </c>
      <c r="M13" s="10">
        <f t="shared" si="4"/>
        <v>0.17971507039283088</v>
      </c>
      <c r="P13" s="8">
        <f t="shared" si="5"/>
        <v>-8.4259876866955157</v>
      </c>
    </row>
    <row r="14" spans="1:16" x14ac:dyDescent="0.2">
      <c r="A14" s="8">
        <v>6</v>
      </c>
      <c r="B14" s="8">
        <v>12</v>
      </c>
      <c r="D14">
        <v>1469.6856106409</v>
      </c>
      <c r="E14">
        <v>350.87545344619002</v>
      </c>
      <c r="F14">
        <v>127.13116726835</v>
      </c>
      <c r="G14">
        <v>112.29001203369</v>
      </c>
      <c r="I14" s="9">
        <f t="shared" si="1"/>
        <v>238.58544141250002</v>
      </c>
      <c r="J14" s="9">
        <f t="shared" si="2"/>
        <v>1342.5544433725499</v>
      </c>
      <c r="K14" s="9">
        <f t="shared" si="3"/>
        <v>238.58544141250002</v>
      </c>
      <c r="L14" s="10">
        <f t="shared" si="0"/>
        <v>0.17771006799036315</v>
      </c>
      <c r="M14" s="10">
        <f t="shared" si="4"/>
        <v>0.17966929823063379</v>
      </c>
      <c r="P14" s="8">
        <f t="shared" si="5"/>
        <v>-8.4493109424218193</v>
      </c>
    </row>
    <row r="15" spans="1:16" x14ac:dyDescent="0.2">
      <c r="A15" s="8">
        <v>6.5</v>
      </c>
      <c r="B15" s="8">
        <v>13</v>
      </c>
      <c r="D15">
        <v>1578.4873341375001</v>
      </c>
      <c r="E15">
        <v>360.96019300362002</v>
      </c>
      <c r="F15">
        <v>126.82791817088</v>
      </c>
      <c r="G15">
        <v>112.64139590854001</v>
      </c>
      <c r="I15" s="9">
        <f t="shared" si="1"/>
        <v>248.31879709508001</v>
      </c>
      <c r="J15" s="9">
        <f t="shared" si="2"/>
        <v>1451.6594159666201</v>
      </c>
      <c r="K15" s="9">
        <f t="shared" si="3"/>
        <v>248.31879709508001</v>
      </c>
      <c r="L15" s="10">
        <f t="shared" si="0"/>
        <v>0.17105857914318789</v>
      </c>
      <c r="M15" s="10">
        <f t="shared" si="4"/>
        <v>0.17318107857014775</v>
      </c>
      <c r="P15" s="8">
        <f t="shared" si="5"/>
        <v>-11.755390425806509</v>
      </c>
    </row>
    <row r="16" spans="1:16" x14ac:dyDescent="0.2">
      <c r="A16" s="8">
        <v>7</v>
      </c>
      <c r="B16" s="8">
        <v>14</v>
      </c>
      <c r="D16">
        <v>1579.4161640530999</v>
      </c>
      <c r="E16">
        <v>353.10253317249999</v>
      </c>
      <c r="F16">
        <v>126.91095066184999</v>
      </c>
      <c r="G16">
        <v>112.33333333333</v>
      </c>
      <c r="I16" s="9">
        <f t="shared" si="1"/>
        <v>240.76919983916997</v>
      </c>
      <c r="J16" s="9">
        <f t="shared" si="2"/>
        <v>1452.50521339125</v>
      </c>
      <c r="K16" s="9">
        <f t="shared" si="3"/>
        <v>240.76919983916997</v>
      </c>
      <c r="L16" s="10">
        <f t="shared" si="0"/>
        <v>0.16576133264061191</v>
      </c>
      <c r="M16" s="10">
        <f t="shared" si="4"/>
        <v>0.16804710125426101</v>
      </c>
      <c r="P16" s="8">
        <f t="shared" si="5"/>
        <v>-14.371414229005561</v>
      </c>
    </row>
    <row r="17" spans="1:16" x14ac:dyDescent="0.2">
      <c r="A17" s="8">
        <v>7.5</v>
      </c>
      <c r="B17" s="8">
        <v>15</v>
      </c>
      <c r="D17">
        <v>1487.6303030303</v>
      </c>
      <c r="E17">
        <v>345.24848484849002</v>
      </c>
      <c r="F17">
        <v>127.52226233454</v>
      </c>
      <c r="G17">
        <v>112.67509025271001</v>
      </c>
      <c r="I17" s="9">
        <f t="shared" si="1"/>
        <v>232.57339459578003</v>
      </c>
      <c r="J17" s="9">
        <f t="shared" si="2"/>
        <v>1360.1080406957599</v>
      </c>
      <c r="K17" s="9">
        <f t="shared" si="3"/>
        <v>232.57339459578003</v>
      </c>
      <c r="L17" s="10">
        <f t="shared" si="0"/>
        <v>0.17099626473556298</v>
      </c>
      <c r="M17" s="10">
        <f t="shared" si="4"/>
        <v>0.17344530253590129</v>
      </c>
      <c r="P17" s="8">
        <f t="shared" si="5"/>
        <v>-11.620754812663462</v>
      </c>
    </row>
    <row r="18" spans="1:16" x14ac:dyDescent="0.2">
      <c r="A18" s="8">
        <v>8</v>
      </c>
      <c r="B18" s="8">
        <v>16</v>
      </c>
      <c r="D18">
        <v>1473.861278649</v>
      </c>
      <c r="E18">
        <v>340.70205066345</v>
      </c>
      <c r="F18">
        <v>127.27918170879001</v>
      </c>
      <c r="G18">
        <v>112.01805054152</v>
      </c>
      <c r="I18" s="9">
        <f t="shared" si="1"/>
        <v>228.68400012193001</v>
      </c>
      <c r="J18" s="9">
        <f t="shared" si="2"/>
        <v>1346.58209694021</v>
      </c>
      <c r="K18" s="9">
        <f t="shared" si="3"/>
        <v>228.68400012193001</v>
      </c>
      <c r="L18" s="10">
        <f t="shared" si="0"/>
        <v>0.16982551649955871</v>
      </c>
      <c r="M18" s="10">
        <f t="shared" si="4"/>
        <v>0.17243782348658623</v>
      </c>
      <c r="P18" s="8">
        <f t="shared" si="5"/>
        <v>-12.134116873317078</v>
      </c>
    </row>
    <row r="19" spans="1:16" x14ac:dyDescent="0.2">
      <c r="A19" s="8">
        <v>8.5</v>
      </c>
      <c r="B19" s="8">
        <v>17</v>
      </c>
      <c r="D19">
        <v>1502.2533172497001</v>
      </c>
      <c r="E19">
        <v>332.05548854041001</v>
      </c>
      <c r="F19">
        <v>127.34897713597999</v>
      </c>
      <c r="G19">
        <v>112.22503008424</v>
      </c>
      <c r="I19" s="9">
        <f t="shared" si="1"/>
        <v>219.83045845616999</v>
      </c>
      <c r="J19" s="9">
        <f t="shared" si="2"/>
        <v>1374.9043401137201</v>
      </c>
      <c r="K19" s="9">
        <f t="shared" si="3"/>
        <v>219.83045845616999</v>
      </c>
      <c r="L19" s="10">
        <f t="shared" si="0"/>
        <v>0.1598878205868399</v>
      </c>
      <c r="M19" s="10">
        <f t="shared" si="4"/>
        <v>0.16266339676055666</v>
      </c>
      <c r="P19" s="8">
        <f t="shared" si="5"/>
        <v>-17.114686791067452</v>
      </c>
    </row>
    <row r="20" spans="1:16" x14ac:dyDescent="0.2">
      <c r="A20" s="8">
        <v>9</v>
      </c>
      <c r="B20" s="8">
        <v>18</v>
      </c>
      <c r="D20">
        <v>1508.2172330097001</v>
      </c>
      <c r="E20">
        <v>334.09830097087001</v>
      </c>
      <c r="F20">
        <v>127.10348977136</v>
      </c>
      <c r="G20">
        <v>112.42960288809</v>
      </c>
      <c r="I20" s="9">
        <f t="shared" si="1"/>
        <v>221.66869808278</v>
      </c>
      <c r="J20" s="9">
        <f t="shared" si="2"/>
        <v>1381.11374323834</v>
      </c>
      <c r="K20" s="9">
        <f t="shared" si="3"/>
        <v>221.66869808278</v>
      </c>
      <c r="L20" s="10">
        <f t="shared" si="0"/>
        <v>0.16049995821707383</v>
      </c>
      <c r="M20" s="10">
        <f t="shared" si="4"/>
        <v>0.16343880357747981</v>
      </c>
      <c r="P20" s="8">
        <f t="shared" si="5"/>
        <v>-16.719577392364666</v>
      </c>
    </row>
    <row r="21" spans="1:16" x14ac:dyDescent="0.2">
      <c r="A21" s="8">
        <v>9.5</v>
      </c>
      <c r="B21" s="8">
        <v>19</v>
      </c>
      <c r="D21">
        <v>1426.1634844869</v>
      </c>
      <c r="E21">
        <v>319.70763723149997</v>
      </c>
      <c r="F21">
        <v>127.81347773767</v>
      </c>
      <c r="G21">
        <v>112.16365824307999</v>
      </c>
      <c r="I21" s="9">
        <f t="shared" si="1"/>
        <v>207.54397898841998</v>
      </c>
      <c r="J21" s="9">
        <f t="shared" si="2"/>
        <v>1298.35000674923</v>
      </c>
      <c r="K21" s="9">
        <f t="shared" si="3"/>
        <v>207.54397898841998</v>
      </c>
      <c r="L21" s="10">
        <f t="shared" si="0"/>
        <v>0.15985210298420408</v>
      </c>
      <c r="M21" s="10">
        <f t="shared" si="4"/>
        <v>0.16295421753129927</v>
      </c>
      <c r="P21" s="8">
        <f t="shared" si="5"/>
        <v>-16.966498746610551</v>
      </c>
    </row>
    <row r="22" spans="1:16" x14ac:dyDescent="0.2">
      <c r="A22" s="8">
        <v>10</v>
      </c>
      <c r="B22" s="8">
        <v>20</v>
      </c>
      <c r="D22">
        <v>1505.6823104693001</v>
      </c>
      <c r="E22">
        <v>331.07821901324002</v>
      </c>
      <c r="F22">
        <v>126.96750902527</v>
      </c>
      <c r="G22">
        <v>112.30204572804</v>
      </c>
      <c r="I22" s="9">
        <f t="shared" si="1"/>
        <v>218.7761732852</v>
      </c>
      <c r="J22" s="9">
        <f t="shared" si="2"/>
        <v>1378.7148014440302</v>
      </c>
      <c r="K22" s="9">
        <f t="shared" si="3"/>
        <v>218.7761732852</v>
      </c>
      <c r="L22" s="10">
        <f t="shared" si="0"/>
        <v>0.15868123926432029</v>
      </c>
      <c r="M22" s="10">
        <f t="shared" si="4"/>
        <v>0.16194662299810469</v>
      </c>
      <c r="P22" s="8">
        <f t="shared" si="5"/>
        <v>-17.47991965220233</v>
      </c>
    </row>
    <row r="23" spans="1:16" x14ac:dyDescent="0.2">
      <c r="A23" s="8">
        <v>10.5</v>
      </c>
      <c r="B23" s="8">
        <v>21</v>
      </c>
      <c r="D23">
        <v>1552.8707729468999</v>
      </c>
      <c r="E23">
        <v>323.91425120772999</v>
      </c>
      <c r="F23">
        <v>126.78459687124</v>
      </c>
      <c r="G23">
        <v>112.29001203369</v>
      </c>
      <c r="I23" s="9">
        <f t="shared" si="1"/>
        <v>211.62423917403999</v>
      </c>
      <c r="J23" s="9">
        <f t="shared" si="2"/>
        <v>1426.08617607566</v>
      </c>
      <c r="K23" s="9">
        <f t="shared" si="3"/>
        <v>211.62423917403999</v>
      </c>
      <c r="L23" s="10">
        <f t="shared" si="0"/>
        <v>0.14839512697359772</v>
      </c>
      <c r="M23" s="10">
        <f t="shared" si="4"/>
        <v>0.15182377989407136</v>
      </c>
      <c r="P23" s="8">
        <f t="shared" si="5"/>
        <v>-22.63802551960752</v>
      </c>
    </row>
    <row r="24" spans="1:16" x14ac:dyDescent="0.2">
      <c r="A24" s="8">
        <v>11</v>
      </c>
      <c r="B24" s="8">
        <v>22</v>
      </c>
      <c r="D24">
        <v>1612.8809234508001</v>
      </c>
      <c r="E24">
        <v>330.13001215066998</v>
      </c>
      <c r="F24">
        <v>126.93261131167</v>
      </c>
      <c r="G24">
        <v>112.33935018051</v>
      </c>
      <c r="I24" s="9">
        <f t="shared" si="1"/>
        <v>217.79066197015999</v>
      </c>
      <c r="J24" s="9">
        <f t="shared" si="2"/>
        <v>1485.9483121391302</v>
      </c>
      <c r="K24" s="9">
        <f t="shared" si="3"/>
        <v>217.79066197015999</v>
      </c>
      <c r="L24" s="10">
        <f t="shared" si="0"/>
        <v>0.14656678175880464</v>
      </c>
      <c r="M24" s="10">
        <f t="shared" si="4"/>
        <v>0.1501587038659675</v>
      </c>
      <c r="P24" s="8">
        <f t="shared" si="5"/>
        <v>-23.4864668460187</v>
      </c>
    </row>
    <row r="25" spans="1:16" x14ac:dyDescent="0.2">
      <c r="A25" s="8">
        <v>11.5</v>
      </c>
      <c r="B25" s="8">
        <v>23</v>
      </c>
      <c r="D25">
        <v>1616.5346294046001</v>
      </c>
      <c r="E25">
        <v>323.97448359660001</v>
      </c>
      <c r="F25">
        <v>127.71239470517</v>
      </c>
      <c r="G25">
        <v>112.48616125149999</v>
      </c>
      <c r="I25" s="9">
        <f t="shared" si="1"/>
        <v>211.48832234510002</v>
      </c>
      <c r="J25" s="9">
        <f t="shared" si="2"/>
        <v>1488.8222346994301</v>
      </c>
      <c r="K25" s="9">
        <f t="shared" si="3"/>
        <v>211.48832234510002</v>
      </c>
      <c r="L25" s="10">
        <f t="shared" si="0"/>
        <v>0.14205075489606467</v>
      </c>
      <c r="M25" s="10">
        <f t="shared" si="4"/>
        <v>0.14580594618991674</v>
      </c>
      <c r="P25" s="8">
        <f t="shared" si="5"/>
        <v>-25.704419320189189</v>
      </c>
    </row>
    <row r="26" spans="1:16" x14ac:dyDescent="0.2">
      <c r="A26" s="8">
        <v>12</v>
      </c>
      <c r="B26" s="8">
        <v>24</v>
      </c>
      <c r="D26">
        <v>1562.728588661</v>
      </c>
      <c r="E26">
        <v>324.63691194210003</v>
      </c>
      <c r="F26">
        <v>127.08664259928</v>
      </c>
      <c r="G26">
        <v>112.56438026474</v>
      </c>
      <c r="I26" s="9">
        <f t="shared" si="1"/>
        <v>212.07253167736002</v>
      </c>
      <c r="J26" s="9">
        <f t="shared" si="2"/>
        <v>1435.6419460617201</v>
      </c>
      <c r="K26" s="9">
        <f t="shared" si="3"/>
        <v>212.07253167736002</v>
      </c>
      <c r="L26" s="10">
        <f t="shared" si="0"/>
        <v>0.14771965409559212</v>
      </c>
      <c r="M26" s="10">
        <f t="shared" si="4"/>
        <v>0.15163811457613341</v>
      </c>
      <c r="P26" s="8">
        <f t="shared" si="5"/>
        <v>-22.732631487119537</v>
      </c>
    </row>
    <row r="27" spans="1:16" x14ac:dyDescent="0.2">
      <c r="A27" s="8">
        <v>12.5</v>
      </c>
      <c r="B27" s="8">
        <v>25</v>
      </c>
      <c r="D27">
        <v>1555.88647343</v>
      </c>
      <c r="E27">
        <v>323.50966183575002</v>
      </c>
      <c r="F27">
        <v>126.65222623344999</v>
      </c>
      <c r="G27">
        <v>112.72803850782</v>
      </c>
      <c r="I27" s="9">
        <f t="shared" si="1"/>
        <v>210.78162332793002</v>
      </c>
      <c r="J27" s="9">
        <f t="shared" si="2"/>
        <v>1429.2342471965501</v>
      </c>
      <c r="K27" s="9">
        <f t="shared" si="3"/>
        <v>210.78162332793002</v>
      </c>
      <c r="L27" s="10">
        <f t="shared" si="0"/>
        <v>0.14747871018440764</v>
      </c>
      <c r="M27" s="10">
        <f t="shared" si="4"/>
        <v>0.15156043985163817</v>
      </c>
      <c r="P27" s="8">
        <f t="shared" si="5"/>
        <v>-22.772210728647874</v>
      </c>
    </row>
    <row r="28" spans="1:16" x14ac:dyDescent="0.2">
      <c r="A28" s="8">
        <v>13</v>
      </c>
      <c r="B28" s="8">
        <v>26</v>
      </c>
      <c r="D28">
        <v>1546.4963768115999</v>
      </c>
      <c r="E28">
        <v>314.30072463767999</v>
      </c>
      <c r="F28">
        <v>127.02888086643</v>
      </c>
      <c r="G28">
        <v>111.93622141998</v>
      </c>
      <c r="I28" s="9">
        <f t="shared" si="1"/>
        <v>202.36450321769999</v>
      </c>
      <c r="J28" s="9">
        <f t="shared" si="2"/>
        <v>1419.46749594517</v>
      </c>
      <c r="K28" s="9">
        <f t="shared" si="3"/>
        <v>202.36450321769999</v>
      </c>
      <c r="L28" s="10">
        <f t="shared" si="0"/>
        <v>0.14256367531892872</v>
      </c>
      <c r="M28" s="10">
        <f t="shared" si="4"/>
        <v>0.14680867417284846</v>
      </c>
      <c r="P28" s="8">
        <f t="shared" si="5"/>
        <v>-25.193478170650806</v>
      </c>
    </row>
    <row r="29" spans="1:16" x14ac:dyDescent="0.2">
      <c r="A29" s="8">
        <v>13.5</v>
      </c>
      <c r="B29" s="8">
        <v>27</v>
      </c>
      <c r="D29">
        <v>1521.9034981906</v>
      </c>
      <c r="E29">
        <v>315.47285886610001</v>
      </c>
      <c r="F29">
        <v>126.70517448856999</v>
      </c>
      <c r="G29">
        <v>112.21540312876</v>
      </c>
      <c r="I29" s="9">
        <f t="shared" si="1"/>
        <v>203.25745573734002</v>
      </c>
      <c r="J29" s="9">
        <f t="shared" si="2"/>
        <v>1395.1983237020299</v>
      </c>
      <c r="K29" s="9">
        <f t="shared" si="3"/>
        <v>203.25745573734002</v>
      </c>
      <c r="L29" s="10">
        <f t="shared" si="0"/>
        <v>0.14568355787442114</v>
      </c>
      <c r="M29" s="10">
        <f t="shared" si="4"/>
        <v>0.15009182591503009</v>
      </c>
      <c r="P29" s="8">
        <f t="shared" si="5"/>
        <v>-23.520544579673665</v>
      </c>
    </row>
    <row r="30" spans="1:16" x14ac:dyDescent="0.2">
      <c r="A30" s="8">
        <v>14</v>
      </c>
      <c r="B30" s="8">
        <v>28</v>
      </c>
      <c r="D30">
        <v>1519.2629674305999</v>
      </c>
      <c r="E30">
        <v>316.89987937273997</v>
      </c>
      <c r="F30">
        <v>127.15523465704</v>
      </c>
      <c r="G30">
        <v>112.68832731649</v>
      </c>
      <c r="I30" s="9">
        <f t="shared" si="1"/>
        <v>204.21155205624996</v>
      </c>
      <c r="J30" s="9">
        <f t="shared" si="2"/>
        <v>1392.10773277356</v>
      </c>
      <c r="K30" s="9">
        <f t="shared" si="3"/>
        <v>204.21155205624996</v>
      </c>
      <c r="L30" s="10">
        <f t="shared" si="0"/>
        <v>0.14669234804794162</v>
      </c>
      <c r="M30" s="10">
        <f t="shared" si="4"/>
        <v>0.15126388527523982</v>
      </c>
      <c r="P30" s="8">
        <f t="shared" si="5"/>
        <v>-22.923320440100056</v>
      </c>
    </row>
    <row r="31" spans="1:16" x14ac:dyDescent="0.2">
      <c r="A31" s="8">
        <v>14.5</v>
      </c>
      <c r="B31" s="8">
        <v>29</v>
      </c>
      <c r="D31">
        <v>1414.2172869148001</v>
      </c>
      <c r="E31">
        <v>304.23289315725998</v>
      </c>
      <c r="F31">
        <v>127.20457280385</v>
      </c>
      <c r="G31">
        <v>112.61853188929</v>
      </c>
      <c r="I31" s="9">
        <f t="shared" si="1"/>
        <v>191.61436126796997</v>
      </c>
      <c r="J31" s="9">
        <f t="shared" si="2"/>
        <v>1287.0127141109501</v>
      </c>
      <c r="K31" s="9">
        <f t="shared" si="3"/>
        <v>191.61436126796997</v>
      </c>
      <c r="L31" s="10">
        <f t="shared" si="0"/>
        <v>0.14888303679294607</v>
      </c>
      <c r="M31" s="10">
        <f t="shared" si="4"/>
        <v>0.15361784320693347</v>
      </c>
      <c r="P31" s="8">
        <f t="shared" si="5"/>
        <v>-21.723858579997117</v>
      </c>
    </row>
    <row r="32" spans="1:16" x14ac:dyDescent="0.2">
      <c r="A32" s="8">
        <v>15</v>
      </c>
      <c r="B32" s="8">
        <v>30</v>
      </c>
      <c r="D32">
        <v>1319.7851140456</v>
      </c>
      <c r="E32">
        <v>299.81632653061001</v>
      </c>
      <c r="F32">
        <v>127.23345367028</v>
      </c>
      <c r="G32">
        <v>112.32851985560001</v>
      </c>
      <c r="I32" s="9">
        <f t="shared" si="1"/>
        <v>187.48780667501001</v>
      </c>
      <c r="J32" s="9">
        <f t="shared" si="2"/>
        <v>1192.5516603753201</v>
      </c>
      <c r="K32" s="9">
        <f t="shared" si="3"/>
        <v>187.48780667501001</v>
      </c>
      <c r="L32" s="10">
        <f t="shared" si="0"/>
        <v>0.15721566864114198</v>
      </c>
      <c r="M32" s="10">
        <f t="shared" si="4"/>
        <v>0.1621137442418186</v>
      </c>
      <c r="P32" s="8">
        <f t="shared" si="5"/>
        <v>-17.394762838162087</v>
      </c>
    </row>
    <row r="33" spans="1:16" x14ac:dyDescent="0.2">
      <c r="A33" s="8">
        <v>15.5</v>
      </c>
      <c r="B33" s="8">
        <v>31</v>
      </c>
      <c r="D33">
        <v>1386.5239808153999</v>
      </c>
      <c r="E33">
        <v>303.28177458034003</v>
      </c>
      <c r="F33">
        <v>127.20818291214999</v>
      </c>
      <c r="G33">
        <v>112.31528279182</v>
      </c>
      <c r="I33" s="9">
        <f t="shared" si="1"/>
        <v>190.96649178852005</v>
      </c>
      <c r="J33" s="9">
        <f t="shared" si="2"/>
        <v>1259.3157979032499</v>
      </c>
      <c r="K33" s="9">
        <f t="shared" si="3"/>
        <v>190.96649178852005</v>
      </c>
      <c r="L33" s="10">
        <f t="shared" si="0"/>
        <v>0.15164305260561142</v>
      </c>
      <c r="M33" s="10">
        <f t="shared" si="4"/>
        <v>0.15670439739297726</v>
      </c>
      <c r="P33" s="8">
        <f t="shared" si="5"/>
        <v>-20.151101490563118</v>
      </c>
    </row>
    <row r="34" spans="1:16" x14ac:dyDescent="0.2">
      <c r="A34" s="8">
        <v>16</v>
      </c>
      <c r="B34" s="8">
        <v>32</v>
      </c>
      <c r="D34">
        <v>1399.6558752998001</v>
      </c>
      <c r="E34">
        <v>321.98561151079002</v>
      </c>
      <c r="F34">
        <v>126.75451263538</v>
      </c>
      <c r="G34">
        <v>112.35379061371999</v>
      </c>
      <c r="I34" s="9">
        <f t="shared" si="1"/>
        <v>209.63182089707004</v>
      </c>
      <c r="J34" s="9">
        <f t="shared" si="2"/>
        <v>1272.90136266442</v>
      </c>
      <c r="K34" s="9">
        <f t="shared" si="3"/>
        <v>209.63182089707004</v>
      </c>
      <c r="L34" s="10">
        <f t="shared" si="0"/>
        <v>0.16468818955325143</v>
      </c>
      <c r="M34" s="10">
        <f t="shared" si="4"/>
        <v>0.16991280352730651</v>
      </c>
      <c r="P34" s="8">
        <f t="shared" si="5"/>
        <v>-13.420743578228327</v>
      </c>
    </row>
    <row r="35" spans="1:16" x14ac:dyDescent="0.2">
      <c r="A35" s="8">
        <v>16.5</v>
      </c>
      <c r="B35" s="8">
        <v>33</v>
      </c>
      <c r="D35">
        <v>1378.5143884892</v>
      </c>
      <c r="E35">
        <v>323.31534772181999</v>
      </c>
      <c r="F35">
        <v>127.42599277978</v>
      </c>
      <c r="G35">
        <v>112.54151624549</v>
      </c>
      <c r="I35" s="9">
        <f t="shared" si="1"/>
        <v>210.77383147632997</v>
      </c>
      <c r="J35" s="9">
        <f t="shared" si="2"/>
        <v>1251.08839570942</v>
      </c>
      <c r="K35" s="9">
        <f t="shared" si="3"/>
        <v>210.77383147632997</v>
      </c>
      <c r="L35" s="10">
        <f t="shared" si="0"/>
        <v>0.16847237349429039</v>
      </c>
      <c r="M35" s="10">
        <f t="shared" si="4"/>
        <v>0.17386025665503468</v>
      </c>
      <c r="P35" s="8">
        <f t="shared" si="5"/>
        <v>-11.40931448363642</v>
      </c>
    </row>
    <row r="36" spans="1:16" x14ac:dyDescent="0.2">
      <c r="A36" s="8">
        <v>17</v>
      </c>
      <c r="B36" s="8">
        <v>34</v>
      </c>
      <c r="D36">
        <v>1346.9038461539001</v>
      </c>
      <c r="E36">
        <v>315.39182692307998</v>
      </c>
      <c r="F36">
        <v>126.50300842359</v>
      </c>
      <c r="G36">
        <v>112.51143200963</v>
      </c>
      <c r="I36" s="9">
        <f t="shared" si="1"/>
        <v>202.88039491344998</v>
      </c>
      <c r="J36" s="9">
        <f t="shared" si="2"/>
        <v>1220.4008377303101</v>
      </c>
      <c r="K36" s="9">
        <f t="shared" si="3"/>
        <v>202.88039491344998</v>
      </c>
      <c r="L36" s="10">
        <f t="shared" si="0"/>
        <v>0.16624078633931866</v>
      </c>
      <c r="M36" s="10">
        <f t="shared" si="4"/>
        <v>0.17179193868675216</v>
      </c>
      <c r="P36" s="8">
        <f t="shared" si="5"/>
        <v>-12.463228185371745</v>
      </c>
    </row>
    <row r="37" spans="1:16" x14ac:dyDescent="0.2">
      <c r="A37" s="8">
        <v>17.5</v>
      </c>
      <c r="B37" s="8">
        <v>35</v>
      </c>
      <c r="D37">
        <v>1349.8713942308</v>
      </c>
      <c r="E37">
        <v>316.10096153846001</v>
      </c>
      <c r="F37">
        <v>126.90734055355</v>
      </c>
      <c r="G37">
        <v>112.35619735259</v>
      </c>
      <c r="I37" s="9">
        <f t="shared" si="1"/>
        <v>203.74476418587</v>
      </c>
      <c r="J37" s="9">
        <f t="shared" si="2"/>
        <v>1222.9640536772499</v>
      </c>
      <c r="K37" s="9">
        <f t="shared" si="3"/>
        <v>203.74476418587</v>
      </c>
      <c r="L37" s="10">
        <f t="shared" si="0"/>
        <v>0.16659914375507875</v>
      </c>
      <c r="M37" s="10">
        <f t="shared" si="4"/>
        <v>0.17231356528920147</v>
      </c>
      <c r="P37" s="8">
        <f t="shared" si="5"/>
        <v>-12.197432774829782</v>
      </c>
    </row>
    <row r="38" spans="1:16" x14ac:dyDescent="0.2">
      <c r="A38" s="8">
        <v>18</v>
      </c>
      <c r="B38" s="8">
        <v>36</v>
      </c>
      <c r="D38">
        <v>1355.2521109771001</v>
      </c>
      <c r="E38">
        <v>330.71531966224001</v>
      </c>
      <c r="F38">
        <v>127.44043321300001</v>
      </c>
      <c r="G38">
        <v>112.25631768952999</v>
      </c>
      <c r="I38" s="9">
        <f t="shared" si="1"/>
        <v>218.45900197271001</v>
      </c>
      <c r="J38" s="9">
        <f t="shared" si="2"/>
        <v>1227.8116777641001</v>
      </c>
      <c r="K38" s="9">
        <f t="shared" si="3"/>
        <v>218.45900197271001</v>
      </c>
      <c r="L38" s="10">
        <f t="shared" si="0"/>
        <v>0.17792549617261633</v>
      </c>
      <c r="M38" s="10">
        <f t="shared" si="4"/>
        <v>0.18380318689342828</v>
      </c>
      <c r="P38" s="8">
        <f t="shared" si="5"/>
        <v>-6.3428834153307285</v>
      </c>
    </row>
    <row r="39" spans="1:16" x14ac:dyDescent="0.2">
      <c r="A39" s="8">
        <v>18.5</v>
      </c>
      <c r="B39" s="8">
        <v>37</v>
      </c>
      <c r="D39">
        <v>1288.9034981906</v>
      </c>
      <c r="E39">
        <v>315.02291917973997</v>
      </c>
      <c r="F39">
        <v>126.70397111913</v>
      </c>
      <c r="G39">
        <v>112.47773766546</v>
      </c>
      <c r="I39" s="9">
        <f t="shared" si="1"/>
        <v>202.54518151427999</v>
      </c>
      <c r="J39" s="9">
        <f t="shared" si="2"/>
        <v>1162.1995270714699</v>
      </c>
      <c r="K39" s="9">
        <f t="shared" si="3"/>
        <v>202.54518151427999</v>
      </c>
      <c r="L39" s="10">
        <f t="shared" si="0"/>
        <v>0.1742774599338005</v>
      </c>
      <c r="M39" s="10">
        <f t="shared" si="4"/>
        <v>0.18031841984130167</v>
      </c>
      <c r="P39" s="8">
        <f t="shared" si="5"/>
        <v>-8.1185503098371434</v>
      </c>
    </row>
    <row r="40" spans="1:16" x14ac:dyDescent="0.2">
      <c r="A40" s="8">
        <v>19</v>
      </c>
      <c r="B40" s="8">
        <v>38</v>
      </c>
      <c r="D40">
        <v>1367.6949152541999</v>
      </c>
      <c r="E40">
        <v>338.58837772396998</v>
      </c>
      <c r="F40">
        <v>127.21058965102</v>
      </c>
      <c r="G40">
        <v>112.02166064982001</v>
      </c>
      <c r="I40" s="9">
        <f t="shared" si="1"/>
        <v>226.56671707414998</v>
      </c>
      <c r="J40" s="9">
        <f t="shared" si="2"/>
        <v>1240.48432560318</v>
      </c>
      <c r="K40" s="9">
        <f t="shared" si="3"/>
        <v>226.56671707414998</v>
      </c>
      <c r="L40" s="10">
        <f t="shared" si="0"/>
        <v>0.18264375647308798</v>
      </c>
      <c r="M40" s="10">
        <f t="shared" si="4"/>
        <v>0.18884798556727836</v>
      </c>
      <c r="P40" s="8">
        <f t="shared" si="5"/>
        <v>-3.7723006875300786</v>
      </c>
    </row>
    <row r="41" spans="1:16" x14ac:dyDescent="0.2">
      <c r="A41" s="8">
        <v>19.5</v>
      </c>
      <c r="B41" s="8">
        <v>39</v>
      </c>
      <c r="D41">
        <v>1331.6610169492001</v>
      </c>
      <c r="E41">
        <v>326.38135593219999</v>
      </c>
      <c r="F41">
        <v>127.08423586041</v>
      </c>
      <c r="G41">
        <v>112.76173285199</v>
      </c>
      <c r="I41" s="9">
        <f t="shared" si="1"/>
        <v>213.61962308020998</v>
      </c>
      <c r="J41" s="9">
        <f t="shared" si="2"/>
        <v>1204.5767810887901</v>
      </c>
      <c r="K41" s="9">
        <f t="shared" si="3"/>
        <v>213.61962308020998</v>
      </c>
      <c r="L41" s="10">
        <f t="shared" si="0"/>
        <v>0.17733998067530735</v>
      </c>
      <c r="M41" s="10">
        <f t="shared" si="4"/>
        <v>0.18370747895618694</v>
      </c>
      <c r="P41" s="8">
        <f t="shared" si="5"/>
        <v>-6.3916515003013537</v>
      </c>
    </row>
    <row r="42" spans="1:16" x14ac:dyDescent="0.2">
      <c r="A42" s="8">
        <v>20</v>
      </c>
      <c r="B42" s="8">
        <v>40</v>
      </c>
      <c r="D42">
        <v>1390.0314769976001</v>
      </c>
      <c r="E42">
        <v>343.26997578692999</v>
      </c>
      <c r="F42">
        <v>126.66907340554</v>
      </c>
      <c r="G42">
        <v>112.15162454874</v>
      </c>
      <c r="I42" s="9">
        <f t="shared" si="1"/>
        <v>231.11835123818997</v>
      </c>
      <c r="J42" s="9">
        <f t="shared" si="2"/>
        <v>1263.36240359206</v>
      </c>
      <c r="K42" s="9">
        <f t="shared" si="3"/>
        <v>231.11835123818997</v>
      </c>
      <c r="L42" s="10">
        <f t="shared" si="0"/>
        <v>0.1829390763735424</v>
      </c>
      <c r="M42" s="10">
        <f t="shared" si="4"/>
        <v>0.18946984384111124</v>
      </c>
      <c r="P42" s="8">
        <f t="shared" si="5"/>
        <v>-3.4554321182964234</v>
      </c>
    </row>
    <row r="43" spans="1:16" x14ac:dyDescent="0.2">
      <c r="A43" s="8">
        <v>20.5</v>
      </c>
      <c r="B43" s="8">
        <v>41</v>
      </c>
      <c r="D43">
        <v>1331.9539951574</v>
      </c>
      <c r="E43">
        <v>325.08353510896001</v>
      </c>
      <c r="F43">
        <v>127.0770156438</v>
      </c>
      <c r="G43">
        <v>112.47412755716</v>
      </c>
      <c r="I43" s="9">
        <f t="shared" si="1"/>
        <v>212.60940755180002</v>
      </c>
      <c r="J43" s="9">
        <f t="shared" si="2"/>
        <v>1204.8769795136</v>
      </c>
      <c r="K43" s="9">
        <f t="shared" si="3"/>
        <v>212.60940755180002</v>
      </c>
      <c r="L43" s="10">
        <f t="shared" si="0"/>
        <v>0.17645735719644082</v>
      </c>
      <c r="M43" s="10">
        <f t="shared" si="4"/>
        <v>0.18315139385069887</v>
      </c>
      <c r="P43" s="8">
        <f t="shared" si="5"/>
        <v>-6.675005279068488</v>
      </c>
    </row>
    <row r="44" spans="1:16" x14ac:dyDescent="0.2">
      <c r="A44" s="8">
        <v>21</v>
      </c>
      <c r="B44" s="8">
        <v>42</v>
      </c>
      <c r="D44">
        <v>1398.0338983050999</v>
      </c>
      <c r="E44">
        <v>341.88256658595998</v>
      </c>
      <c r="F44">
        <v>126.92057761733</v>
      </c>
      <c r="G44">
        <v>112.17448856799</v>
      </c>
      <c r="I44" s="9">
        <f t="shared" si="1"/>
        <v>229.70807801796997</v>
      </c>
      <c r="J44" s="9">
        <f t="shared" si="2"/>
        <v>1271.1133206877698</v>
      </c>
      <c r="K44" s="9">
        <f t="shared" si="3"/>
        <v>229.70807801796997</v>
      </c>
      <c r="L44" s="10">
        <f t="shared" si="0"/>
        <v>0.18071408290621979</v>
      </c>
      <c r="M44" s="10">
        <f t="shared" si="4"/>
        <v>0.18757138874716706</v>
      </c>
      <c r="P44" s="8">
        <f t="shared" si="5"/>
        <v>-4.4227920050832745</v>
      </c>
    </row>
    <row r="45" spans="1:16" x14ac:dyDescent="0.2">
      <c r="A45" s="8">
        <v>21.5</v>
      </c>
      <c r="B45" s="8">
        <v>43</v>
      </c>
      <c r="D45">
        <v>1426.6997578692999</v>
      </c>
      <c r="E45">
        <v>349.70581113802001</v>
      </c>
      <c r="F45">
        <v>127.26714801444</v>
      </c>
      <c r="G45">
        <v>112.78459687124</v>
      </c>
      <c r="I45" s="9">
        <f t="shared" si="1"/>
        <v>236.92121426678</v>
      </c>
      <c r="J45" s="9">
        <f t="shared" si="2"/>
        <v>1299.4326098548599</v>
      </c>
      <c r="K45" s="9">
        <f t="shared" si="3"/>
        <v>236.92121426678</v>
      </c>
      <c r="L45" s="10">
        <f t="shared" si="0"/>
        <v>0.18232666509211501</v>
      </c>
      <c r="M45" s="10">
        <f t="shared" si="4"/>
        <v>0.18934724011975151</v>
      </c>
      <c r="P45" s="8">
        <f t="shared" si="5"/>
        <v>-3.5179049797259672</v>
      </c>
    </row>
    <row r="46" spans="1:16" x14ac:dyDescent="0.2">
      <c r="A46" s="8">
        <v>22</v>
      </c>
      <c r="B46" s="8">
        <v>44</v>
      </c>
      <c r="D46">
        <v>1356.8353510896</v>
      </c>
      <c r="E46">
        <v>326.30992736078002</v>
      </c>
      <c r="F46">
        <v>127.32611311673</v>
      </c>
      <c r="G46">
        <v>112.01203369434</v>
      </c>
      <c r="I46" s="9">
        <f t="shared" si="1"/>
        <v>214.29789366644002</v>
      </c>
      <c r="J46" s="9">
        <f t="shared" si="2"/>
        <v>1229.5092379728699</v>
      </c>
      <c r="K46" s="9">
        <f t="shared" si="3"/>
        <v>214.29789366644002</v>
      </c>
      <c r="L46" s="10">
        <f t="shared" si="0"/>
        <v>0.17429547257388617</v>
      </c>
      <c r="M46" s="10">
        <f t="shared" si="4"/>
        <v>0.18147931678821189</v>
      </c>
      <c r="P46" s="8">
        <f t="shared" si="5"/>
        <v>-7.527013990270512</v>
      </c>
    </row>
    <row r="47" spans="1:16" x14ac:dyDescent="0.2">
      <c r="A47" s="8">
        <v>22.5</v>
      </c>
      <c r="B47" s="8">
        <v>45</v>
      </c>
      <c r="D47">
        <v>1256.2094430993</v>
      </c>
      <c r="E47">
        <v>310.42615012107001</v>
      </c>
      <c r="F47">
        <v>127.38868832732</v>
      </c>
      <c r="G47">
        <v>112.47051744885999</v>
      </c>
      <c r="I47" s="9">
        <f t="shared" si="1"/>
        <v>197.95563267221002</v>
      </c>
      <c r="J47" s="9">
        <f t="shared" si="2"/>
        <v>1128.8207547719799</v>
      </c>
      <c r="K47" s="9">
        <f t="shared" si="3"/>
        <v>197.95563267221002</v>
      </c>
      <c r="L47" s="10">
        <f t="shared" si="0"/>
        <v>0.17536498317857097</v>
      </c>
      <c r="M47" s="10">
        <f t="shared" si="4"/>
        <v>0.1827120965795859</v>
      </c>
      <c r="P47" s="8">
        <f t="shared" si="5"/>
        <v>-6.8988496880330068</v>
      </c>
    </row>
    <row r="48" spans="1:16" x14ac:dyDescent="0.2">
      <c r="A48" s="8">
        <v>23</v>
      </c>
      <c r="B48" s="8">
        <v>46</v>
      </c>
      <c r="D48">
        <v>1331.1970979444</v>
      </c>
      <c r="E48">
        <v>324.80894800483998</v>
      </c>
      <c r="F48">
        <v>127.35860409145999</v>
      </c>
      <c r="G48">
        <v>112.10228640193</v>
      </c>
      <c r="I48" s="9">
        <f t="shared" si="1"/>
        <v>212.70666160290997</v>
      </c>
      <c r="J48" s="9">
        <f t="shared" si="2"/>
        <v>1203.83849385294</v>
      </c>
      <c r="K48" s="9">
        <f t="shared" si="3"/>
        <v>212.70666160290997</v>
      </c>
      <c r="L48" s="10">
        <f t="shared" si="0"/>
        <v>0.17669036393921297</v>
      </c>
      <c r="M48" s="10">
        <f t="shared" si="4"/>
        <v>0.18420074652691712</v>
      </c>
      <c r="P48" s="8">
        <f t="shared" si="5"/>
        <v>-6.1403064656469812</v>
      </c>
    </row>
    <row r="49" spans="1:25" x14ac:dyDescent="0.2">
      <c r="A49" s="8">
        <v>23.5</v>
      </c>
      <c r="B49" s="8">
        <v>47</v>
      </c>
      <c r="D49">
        <v>1343.3119709794</v>
      </c>
      <c r="E49">
        <v>324.78718258766997</v>
      </c>
      <c r="F49">
        <v>127.29843561974</v>
      </c>
      <c r="G49">
        <v>112.52346570397</v>
      </c>
      <c r="I49" s="9">
        <f t="shared" si="1"/>
        <v>212.26371688369997</v>
      </c>
      <c r="J49" s="9">
        <f t="shared" si="2"/>
        <v>1216.01353535966</v>
      </c>
      <c r="K49" s="9">
        <f t="shared" si="3"/>
        <v>212.26371688369997</v>
      </c>
      <c r="L49" s="10">
        <f t="shared" si="0"/>
        <v>0.17455703469691955</v>
      </c>
      <c r="M49" s="10">
        <f t="shared" si="4"/>
        <v>0.18223068647131294</v>
      </c>
      <c r="P49" s="8">
        <f t="shared" si="5"/>
        <v>-7.1441527396155751</v>
      </c>
    </row>
    <row r="50" spans="1:25" x14ac:dyDescent="0.2">
      <c r="A50" s="8">
        <v>24</v>
      </c>
      <c r="B50" s="8">
        <v>48</v>
      </c>
      <c r="D50">
        <v>1319.1644498185999</v>
      </c>
      <c r="E50">
        <v>319.59250302298</v>
      </c>
      <c r="F50">
        <v>127.04452466907</v>
      </c>
      <c r="G50">
        <v>111.7412755716</v>
      </c>
      <c r="I50" s="9">
        <f t="shared" si="1"/>
        <v>207.85122745138</v>
      </c>
      <c r="J50" s="9">
        <f t="shared" si="2"/>
        <v>1192.11992514953</v>
      </c>
      <c r="K50" s="9">
        <f t="shared" si="3"/>
        <v>207.85122745138</v>
      </c>
      <c r="L50" s="10">
        <f t="shared" si="0"/>
        <v>0.17435429361295912</v>
      </c>
      <c r="M50" s="10">
        <f t="shared" si="4"/>
        <v>0.18219121457404172</v>
      </c>
      <c r="P50" s="8">
        <f t="shared" si="5"/>
        <v>-7.164265688400798</v>
      </c>
    </row>
    <row r="51" spans="1:25" x14ac:dyDescent="0.2">
      <c r="A51" s="8">
        <v>24.5</v>
      </c>
      <c r="B51" s="8">
        <v>49</v>
      </c>
      <c r="D51">
        <v>1350.9855072463999</v>
      </c>
      <c r="E51">
        <v>323.55917874395999</v>
      </c>
      <c r="F51">
        <v>127.06016847172</v>
      </c>
      <c r="G51">
        <v>112.2202166065</v>
      </c>
      <c r="I51" s="9">
        <f t="shared" si="1"/>
        <v>211.33896213745999</v>
      </c>
      <c r="J51" s="9">
        <f t="shared" si="2"/>
        <v>1223.9253387746799</v>
      </c>
      <c r="K51" s="9">
        <f t="shared" si="3"/>
        <v>211.33896213745999</v>
      </c>
      <c r="L51" s="10">
        <f t="shared" si="0"/>
        <v>0.17267308343255627</v>
      </c>
      <c r="M51" s="10">
        <f t="shared" si="4"/>
        <v>0.18067327358032809</v>
      </c>
      <c r="P51" s="8">
        <f t="shared" si="5"/>
        <v>-7.9377341957739409</v>
      </c>
    </row>
    <row r="52" spans="1:25" x14ac:dyDescent="0.2">
      <c r="A52" s="8">
        <v>25</v>
      </c>
      <c r="B52" s="8">
        <v>50</v>
      </c>
      <c r="D52">
        <v>1296.4710144927999</v>
      </c>
      <c r="E52">
        <v>315.86352657005</v>
      </c>
      <c r="F52">
        <v>126.60168471721001</v>
      </c>
      <c r="G52">
        <v>112.61010830325</v>
      </c>
      <c r="I52" s="9">
        <f t="shared" si="1"/>
        <v>203.2534182668</v>
      </c>
      <c r="J52" s="9">
        <f t="shared" si="2"/>
        <v>1169.8693297755899</v>
      </c>
      <c r="K52" s="9">
        <f t="shared" si="3"/>
        <v>203.2534182668</v>
      </c>
      <c r="L52" s="10">
        <f t="shared" si="0"/>
        <v>0.17374027431404587</v>
      </c>
      <c r="M52" s="10">
        <f t="shared" si="4"/>
        <v>0.1819037336485069</v>
      </c>
      <c r="P52" s="8">
        <f t="shared" si="5"/>
        <v>-7.3107519110488033</v>
      </c>
    </row>
    <row r="53" spans="1:25" x14ac:dyDescent="0.2">
      <c r="A53" s="8">
        <v>25.5</v>
      </c>
      <c r="B53" s="8">
        <v>51</v>
      </c>
      <c r="D53">
        <v>1375.6702898551</v>
      </c>
      <c r="E53">
        <v>332.00845410628</v>
      </c>
      <c r="F53">
        <v>127.23826714801</v>
      </c>
      <c r="G53">
        <v>112.32129963899</v>
      </c>
      <c r="I53" s="9">
        <f t="shared" si="1"/>
        <v>219.68715446728999</v>
      </c>
      <c r="J53" s="9">
        <f t="shared" si="2"/>
        <v>1248.43202270709</v>
      </c>
      <c r="K53" s="9">
        <f t="shared" si="3"/>
        <v>219.68715446728999</v>
      </c>
      <c r="L53" s="10">
        <f t="shared" si="0"/>
        <v>0.17597045771937356</v>
      </c>
      <c r="M53" s="10">
        <f t="shared" si="4"/>
        <v>0.18429718624052382</v>
      </c>
      <c r="P53" s="8">
        <f t="shared" si="5"/>
        <v>-6.0911655032223617</v>
      </c>
      <c r="S53" s="11"/>
      <c r="U53" s="12"/>
    </row>
    <row r="54" spans="1:25" x14ac:dyDescent="0.2">
      <c r="A54" s="8">
        <v>26</v>
      </c>
      <c r="B54" s="8">
        <v>52</v>
      </c>
      <c r="D54">
        <v>1299.3538647343</v>
      </c>
      <c r="E54">
        <v>311.34057971015</v>
      </c>
      <c r="F54">
        <v>127.15643802647</v>
      </c>
      <c r="G54">
        <v>112.00842358604</v>
      </c>
      <c r="I54" s="9">
        <f t="shared" si="1"/>
        <v>199.33215612410999</v>
      </c>
      <c r="J54" s="9">
        <f t="shared" si="2"/>
        <v>1172.1974267078301</v>
      </c>
      <c r="K54" s="9">
        <f t="shared" si="3"/>
        <v>199.33215612410999</v>
      </c>
      <c r="L54" s="10">
        <f t="shared" si="0"/>
        <v>0.1700499861051081</v>
      </c>
      <c r="M54" s="10">
        <f t="shared" si="4"/>
        <v>0.17853998381294758</v>
      </c>
      <c r="P54" s="8">
        <f t="shared" si="5"/>
        <v>-9.0247543493922961</v>
      </c>
      <c r="S54" s="11"/>
    </row>
    <row r="55" spans="1:25" x14ac:dyDescent="0.2">
      <c r="A55" s="8">
        <v>26.5</v>
      </c>
      <c r="B55" s="8">
        <v>53</v>
      </c>
      <c r="D55">
        <v>1343.3140096617999</v>
      </c>
      <c r="E55">
        <v>313.12681159419998</v>
      </c>
      <c r="F55">
        <v>126.91696750903</v>
      </c>
      <c r="G55">
        <v>112.59205776173</v>
      </c>
      <c r="I55" s="9">
        <f t="shared" si="1"/>
        <v>200.53475383246996</v>
      </c>
      <c r="J55" s="9">
        <f t="shared" si="2"/>
        <v>1216.3970421527699</v>
      </c>
      <c r="K55" s="9">
        <f t="shared" si="3"/>
        <v>200.53475383246996</v>
      </c>
      <c r="L55" s="10">
        <f t="shared" si="0"/>
        <v>0.16485961974847055</v>
      </c>
      <c r="M55" s="10">
        <f t="shared" si="4"/>
        <v>0.17351288664299924</v>
      </c>
      <c r="P55" s="8">
        <f t="shared" si="5"/>
        <v>-11.58631725635812</v>
      </c>
      <c r="S55" s="11"/>
    </row>
    <row r="56" spans="1:25" x14ac:dyDescent="0.2">
      <c r="A56" s="8">
        <v>27</v>
      </c>
      <c r="B56" s="8">
        <v>54</v>
      </c>
      <c r="D56">
        <v>1323.7512077295</v>
      </c>
      <c r="E56">
        <v>312.98550724638</v>
      </c>
      <c r="F56">
        <v>127.31648616125</v>
      </c>
      <c r="G56">
        <v>112.05294825511</v>
      </c>
      <c r="I56" s="9">
        <f t="shared" si="1"/>
        <v>200.93255899127001</v>
      </c>
      <c r="J56" s="9">
        <f t="shared" si="2"/>
        <v>1196.4347215682501</v>
      </c>
      <c r="K56" s="9">
        <f t="shared" si="3"/>
        <v>200.93255899127001</v>
      </c>
      <c r="L56" s="10">
        <f t="shared" si="0"/>
        <v>0.16794276810012146</v>
      </c>
      <c r="M56" s="10">
        <f t="shared" si="4"/>
        <v>0.17675930418133937</v>
      </c>
      <c r="P56" s="8">
        <f t="shared" si="5"/>
        <v>-9.9321016194598943</v>
      </c>
      <c r="S56" s="11"/>
    </row>
    <row r="57" spans="1:25" x14ac:dyDescent="0.2">
      <c r="A57" s="8">
        <v>27.5</v>
      </c>
      <c r="B57" s="8">
        <v>55</v>
      </c>
      <c r="D57">
        <v>1384.8751515152001</v>
      </c>
      <c r="E57">
        <v>325.98060606061</v>
      </c>
      <c r="F57">
        <v>127.28640192539</v>
      </c>
      <c r="G57">
        <v>112.19013237064</v>
      </c>
      <c r="I57" s="9">
        <f t="shared" si="1"/>
        <v>213.79047368996999</v>
      </c>
      <c r="J57" s="9">
        <f t="shared" si="2"/>
        <v>1257.58874958981</v>
      </c>
      <c r="K57" s="9">
        <f t="shared" si="3"/>
        <v>213.79047368996999</v>
      </c>
      <c r="L57" s="10">
        <f t="shared" si="0"/>
        <v>0.17000030714309619</v>
      </c>
      <c r="M57" s="10">
        <f t="shared" si="4"/>
        <v>0.17898011241100334</v>
      </c>
      <c r="P57" s="8">
        <f t="shared" si="5"/>
        <v>-8.8004863368672712</v>
      </c>
      <c r="S57" s="11"/>
    </row>
    <row r="58" spans="1:25" x14ac:dyDescent="0.2">
      <c r="A58" s="8">
        <v>28</v>
      </c>
      <c r="B58" s="8">
        <v>56</v>
      </c>
      <c r="D58">
        <v>1339.4521212121001</v>
      </c>
      <c r="E58">
        <v>321.66303030302998</v>
      </c>
      <c r="F58">
        <v>127.62334536703</v>
      </c>
      <c r="G58">
        <v>112.04091456077001</v>
      </c>
      <c r="I58" s="9">
        <f t="shared" si="1"/>
        <v>209.62211574225998</v>
      </c>
      <c r="J58" s="9">
        <f t="shared" si="2"/>
        <v>1211.8287758450701</v>
      </c>
      <c r="K58" s="9">
        <f t="shared" si="3"/>
        <v>209.62211574225998</v>
      </c>
      <c r="L58" s="10">
        <f t="shared" si="0"/>
        <v>0.17297997862452125</v>
      </c>
      <c r="M58" s="10">
        <f t="shared" si="4"/>
        <v>0.18212305307911761</v>
      </c>
      <c r="P58" s="8">
        <f t="shared" si="5"/>
        <v>-7.198997453309719</v>
      </c>
      <c r="S58" s="11"/>
    </row>
    <row r="59" spans="1:25" x14ac:dyDescent="0.2">
      <c r="A59" s="8">
        <v>28.5</v>
      </c>
      <c r="B59" s="8">
        <v>57</v>
      </c>
      <c r="D59">
        <v>1265.6618181818001</v>
      </c>
      <c r="E59">
        <v>313.18787878787998</v>
      </c>
      <c r="F59">
        <v>127.2587244284</v>
      </c>
      <c r="G59">
        <v>112.45006016847</v>
      </c>
      <c r="I59" s="9">
        <f t="shared" si="1"/>
        <v>200.73781861940998</v>
      </c>
      <c r="J59" s="9">
        <f t="shared" si="2"/>
        <v>1138.4030937534001</v>
      </c>
      <c r="K59" s="9">
        <f t="shared" si="3"/>
        <v>200.73781861940998</v>
      </c>
      <c r="L59" s="10">
        <f t="shared" si="0"/>
        <v>0.17633281191951297</v>
      </c>
      <c r="M59" s="10">
        <f t="shared" si="4"/>
        <v>0.18563915556079855</v>
      </c>
      <c r="P59" s="8">
        <f t="shared" si="5"/>
        <v>-5.4073635561163362</v>
      </c>
      <c r="R59" s="1"/>
      <c r="S59" s="11"/>
    </row>
    <row r="60" spans="1:25" x14ac:dyDescent="0.2">
      <c r="A60" s="8">
        <v>29</v>
      </c>
      <c r="B60" s="8">
        <v>58</v>
      </c>
      <c r="D60">
        <v>1311.9066666666999</v>
      </c>
      <c r="E60">
        <v>318.08848484849</v>
      </c>
      <c r="F60">
        <v>126.72442839951999</v>
      </c>
      <c r="G60">
        <v>111.96630565584</v>
      </c>
      <c r="I60" s="9">
        <f t="shared" si="1"/>
        <v>206.12217919264998</v>
      </c>
      <c r="J60" s="9">
        <f t="shared" si="2"/>
        <v>1185.1822382671799</v>
      </c>
      <c r="K60" s="9">
        <f t="shared" si="3"/>
        <v>206.12217919264998</v>
      </c>
      <c r="L60" s="10">
        <f t="shared" si="0"/>
        <v>0.17391602112938781</v>
      </c>
      <c r="M60" s="10">
        <f t="shared" si="4"/>
        <v>0.18338563395736263</v>
      </c>
      <c r="P60" s="8">
        <f t="shared" si="5"/>
        <v>-6.5556479743916487</v>
      </c>
      <c r="S60" s="11"/>
    </row>
    <row r="61" spans="1:25" x14ac:dyDescent="0.2">
      <c r="A61" s="8">
        <v>29.5</v>
      </c>
      <c r="B61" s="8">
        <v>59</v>
      </c>
      <c r="C61" s="2"/>
      <c r="D61">
        <v>1399.5721212121</v>
      </c>
      <c r="E61">
        <v>338.68363636364001</v>
      </c>
      <c r="F61">
        <v>127.12996389892</v>
      </c>
      <c r="G61">
        <v>112.08423586041</v>
      </c>
      <c r="I61" s="9">
        <f t="shared" si="1"/>
        <v>226.59940050323002</v>
      </c>
      <c r="J61" s="9">
        <f t="shared" si="2"/>
        <v>1272.4421573131799</v>
      </c>
      <c r="K61" s="9">
        <f t="shared" si="3"/>
        <v>226.59940050323002</v>
      </c>
      <c r="L61" s="10">
        <f t="shared" si="0"/>
        <v>0.17808227996917758</v>
      </c>
      <c r="M61" s="10">
        <f t="shared" si="4"/>
        <v>0.18771516198384161</v>
      </c>
      <c r="P61" s="8">
        <f t="shared" si="5"/>
        <v>-4.3495321937787432</v>
      </c>
      <c r="S61" s="11"/>
    </row>
    <row r="62" spans="1:25" x14ac:dyDescent="0.2">
      <c r="A62" s="8">
        <v>30</v>
      </c>
      <c r="B62" s="8">
        <v>60</v>
      </c>
      <c r="D62">
        <v>1380.8425480768999</v>
      </c>
      <c r="E62">
        <v>335.85456730768999</v>
      </c>
      <c r="F62">
        <v>127.27075812274001</v>
      </c>
      <c r="G62">
        <v>112.12876052948</v>
      </c>
      <c r="I62" s="9">
        <f t="shared" si="1"/>
        <v>223.72580677820997</v>
      </c>
      <c r="J62" s="9">
        <f t="shared" si="2"/>
        <v>1253.5717899541598</v>
      </c>
      <c r="K62" s="9">
        <f t="shared" si="3"/>
        <v>223.72580677820997</v>
      </c>
      <c r="L62" s="10">
        <f t="shared" si="0"/>
        <v>0.1784706776038659</v>
      </c>
      <c r="M62" s="10">
        <f t="shared" si="4"/>
        <v>0.18826682880521914</v>
      </c>
      <c r="P62" s="8">
        <f t="shared" si="5"/>
        <v>-4.0684297565527414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1238.4903846154</v>
      </c>
      <c r="E63">
        <v>317.59975961538998</v>
      </c>
      <c r="F63">
        <v>126.82430806258</v>
      </c>
      <c r="G63">
        <v>112.45006016847</v>
      </c>
      <c r="I63" s="9">
        <f t="shared" si="1"/>
        <v>205.14969944691998</v>
      </c>
      <c r="J63" s="9">
        <f t="shared" si="2"/>
        <v>1111.66607655282</v>
      </c>
      <c r="K63" s="9">
        <f t="shared" si="3"/>
        <v>205.14969944691998</v>
      </c>
      <c r="L63" s="10">
        <f t="shared" si="0"/>
        <v>0.1845425562351164</v>
      </c>
      <c r="M63" s="10">
        <f t="shared" si="4"/>
        <v>0.19450197662315885</v>
      </c>
      <c r="P63" s="8">
        <f t="shared" si="5"/>
        <v>-0.89130330963200477</v>
      </c>
    </row>
    <row r="64" spans="1:25" x14ac:dyDescent="0.2">
      <c r="A64" s="8">
        <v>31</v>
      </c>
      <c r="B64" s="8">
        <v>62</v>
      </c>
      <c r="D64">
        <v>1323.1058965102</v>
      </c>
      <c r="E64">
        <v>335.95908543923002</v>
      </c>
      <c r="F64">
        <v>127.04933814681</v>
      </c>
      <c r="G64">
        <v>112.24428399519</v>
      </c>
      <c r="I64" s="9">
        <f t="shared" si="1"/>
        <v>223.71480144404001</v>
      </c>
      <c r="J64" s="9">
        <f t="shared" si="2"/>
        <v>1196.05655836339</v>
      </c>
      <c r="K64" s="9">
        <f t="shared" si="3"/>
        <v>223.71480144404001</v>
      </c>
      <c r="L64" s="10">
        <f t="shared" si="0"/>
        <v>0.18704366434824582</v>
      </c>
      <c r="M64" s="10">
        <f t="shared" si="4"/>
        <v>0.19716635392297752</v>
      </c>
      <c r="P64" s="8">
        <f t="shared" si="5"/>
        <v>0.46633308183790312</v>
      </c>
      <c r="U64" s="8">
        <v>30.5</v>
      </c>
      <c r="V64" s="10">
        <f>L62</f>
        <v>0.1784706776038659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1435.4356197353</v>
      </c>
      <c r="E65">
        <v>375.43682310469001</v>
      </c>
      <c r="F65">
        <v>126.76774969916001</v>
      </c>
      <c r="G65">
        <v>112.46089049338001</v>
      </c>
      <c r="I65" s="9">
        <f t="shared" si="1"/>
        <v>262.97593261130999</v>
      </c>
      <c r="J65" s="9">
        <f t="shared" si="2"/>
        <v>1308.6678700361399</v>
      </c>
      <c r="K65" s="9">
        <f t="shared" si="3"/>
        <v>262.97593261130999</v>
      </c>
      <c r="L65" s="10">
        <f t="shared" si="0"/>
        <v>0.20094933071448273</v>
      </c>
      <c r="M65" s="10">
        <f t="shared" si="4"/>
        <v>0.21123528947590364</v>
      </c>
      <c r="P65" s="8">
        <f t="shared" si="5"/>
        <v>7.6351747084338353</v>
      </c>
      <c r="U65" s="8">
        <v>31</v>
      </c>
      <c r="V65" s="10">
        <f t="shared" ref="V65:V83" si="6">L63</f>
        <v>0.1845425562351164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1396.2889688248999</v>
      </c>
      <c r="E66">
        <v>356.23621103118001</v>
      </c>
      <c r="F66">
        <v>126.96991576414</v>
      </c>
      <c r="G66">
        <v>111.89290012034</v>
      </c>
      <c r="I66" s="9">
        <f t="shared" si="1"/>
        <v>244.34331091083999</v>
      </c>
      <c r="J66" s="9">
        <f t="shared" si="2"/>
        <v>1269.3190530607599</v>
      </c>
      <c r="K66" s="9">
        <f t="shared" si="3"/>
        <v>244.34331091083999</v>
      </c>
      <c r="L66" s="10">
        <f t="shared" ref="L66:L129" si="7">K66/J66</f>
        <v>0.19249952194575917</v>
      </c>
      <c r="M66" s="10">
        <f t="shared" si="4"/>
        <v>0.2029487498938693</v>
      </c>
      <c r="P66" s="8">
        <f t="shared" si="5"/>
        <v>3.4127593257883899</v>
      </c>
      <c r="U66" s="8">
        <v>31.5</v>
      </c>
      <c r="V66" s="10">
        <f t="shared" si="6"/>
        <v>0.18704366434824582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1392.7314148681</v>
      </c>
      <c r="E67">
        <v>359.88489208633001</v>
      </c>
      <c r="F67">
        <v>127.05415162455</v>
      </c>
      <c r="G67">
        <v>111.91215403129</v>
      </c>
      <c r="I67" s="9">
        <f t="shared" ref="I67:I130" si="8">E67-G67</f>
        <v>247.97273805504</v>
      </c>
      <c r="J67" s="9">
        <f t="shared" ref="J67:J130" si="9">D67-F67</f>
        <v>1265.67726324355</v>
      </c>
      <c r="K67" s="9">
        <f t="shared" ref="K67:K130" si="10">I67*1</f>
        <v>247.97273805504</v>
      </c>
      <c r="L67" s="10">
        <f t="shared" si="7"/>
        <v>0.19592098653930187</v>
      </c>
      <c r="M67" s="10">
        <f t="shared" ref="M67:M130" si="11">L67+ABS($N$2)*A67</f>
        <v>0.20653348367410121</v>
      </c>
      <c r="P67" s="8">
        <f t="shared" ref="P67:P130" si="12">(M67-$O$2)/$O$2*100</f>
        <v>5.239364376846873</v>
      </c>
      <c r="U67" s="8">
        <v>32</v>
      </c>
      <c r="V67" s="10">
        <f t="shared" si="6"/>
        <v>0.20094933071448273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1274.0659472422001</v>
      </c>
      <c r="E68">
        <v>329.23021582733998</v>
      </c>
      <c r="F68">
        <v>126.90493381468001</v>
      </c>
      <c r="G68">
        <v>112.16847172081999</v>
      </c>
      <c r="I68" s="9">
        <f t="shared" si="8"/>
        <v>217.06174410652</v>
      </c>
      <c r="J68" s="9">
        <f t="shared" si="9"/>
        <v>1147.1610134275202</v>
      </c>
      <c r="K68" s="9">
        <f t="shared" si="10"/>
        <v>217.06174410652</v>
      </c>
      <c r="L68" s="10">
        <f t="shared" si="7"/>
        <v>0.18921645834003439</v>
      </c>
      <c r="M68" s="10">
        <f t="shared" si="11"/>
        <v>0.19999222466152297</v>
      </c>
      <c r="P68" s="8">
        <f t="shared" si="12"/>
        <v>1.9062586331103766</v>
      </c>
      <c r="U68" s="8">
        <v>32.5</v>
      </c>
      <c r="V68" s="10">
        <f t="shared" si="6"/>
        <v>0.19249952194575917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1327.4760191846999</v>
      </c>
      <c r="E69">
        <v>337.77338129496002</v>
      </c>
      <c r="F69">
        <v>126.90613718412</v>
      </c>
      <c r="G69">
        <v>112.49097472923999</v>
      </c>
      <c r="I69" s="9">
        <f t="shared" si="8"/>
        <v>225.28240656572001</v>
      </c>
      <c r="J69" s="9">
        <f t="shared" si="9"/>
        <v>1200.5698820005798</v>
      </c>
      <c r="K69" s="9">
        <f t="shared" si="10"/>
        <v>225.28240656572001</v>
      </c>
      <c r="L69" s="10">
        <f t="shared" si="7"/>
        <v>0.18764622529953756</v>
      </c>
      <c r="M69" s="10">
        <f t="shared" si="11"/>
        <v>0.19858526080771535</v>
      </c>
      <c r="P69" s="8">
        <f t="shared" si="12"/>
        <v>1.1893386497649345</v>
      </c>
      <c r="U69" s="8">
        <v>33</v>
      </c>
      <c r="V69" s="10">
        <f t="shared" si="6"/>
        <v>0.19592098653930187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1348.4184652278</v>
      </c>
      <c r="E70">
        <v>341.07553956835</v>
      </c>
      <c r="F70">
        <v>127.12876052948</v>
      </c>
      <c r="G70">
        <v>111.64861612515</v>
      </c>
      <c r="I70" s="9">
        <f t="shared" si="8"/>
        <v>229.4269234432</v>
      </c>
      <c r="J70" s="9">
        <f t="shared" si="9"/>
        <v>1221.2897046983201</v>
      </c>
      <c r="K70" s="9">
        <f t="shared" si="10"/>
        <v>229.4269234432</v>
      </c>
      <c r="L70" s="10">
        <f t="shared" si="7"/>
        <v>0.18785626584797296</v>
      </c>
      <c r="M70" s="10">
        <f t="shared" si="11"/>
        <v>0.19895857054283997</v>
      </c>
      <c r="P70" s="8">
        <f t="shared" si="12"/>
        <v>1.3795590369937496</v>
      </c>
      <c r="U70" s="8">
        <v>33.5</v>
      </c>
      <c r="V70" s="10">
        <f t="shared" si="6"/>
        <v>0.18921645834003439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1408.6546762590001</v>
      </c>
      <c r="E71">
        <v>356.68944844125002</v>
      </c>
      <c r="F71">
        <v>127.23465703971</v>
      </c>
      <c r="G71">
        <v>111.91937424789</v>
      </c>
      <c r="I71" s="9">
        <f t="shared" si="8"/>
        <v>244.77007419336002</v>
      </c>
      <c r="J71" s="9">
        <f t="shared" si="9"/>
        <v>1281.42001921929</v>
      </c>
      <c r="K71" s="9">
        <f t="shared" si="10"/>
        <v>244.77007419336002</v>
      </c>
      <c r="L71" s="10">
        <f t="shared" si="7"/>
        <v>0.19101471065083495</v>
      </c>
      <c r="M71" s="10">
        <f t="shared" si="11"/>
        <v>0.20228028453239116</v>
      </c>
      <c r="P71" s="8">
        <f t="shared" si="12"/>
        <v>3.0721420636455377</v>
      </c>
      <c r="U71" s="8">
        <v>34</v>
      </c>
      <c r="V71" s="10">
        <f t="shared" si="6"/>
        <v>0.18764622529953756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1377.1923076922999</v>
      </c>
      <c r="E72">
        <v>341.57211538462002</v>
      </c>
      <c r="F72">
        <v>127.08423586041</v>
      </c>
      <c r="G72">
        <v>111.9651022864</v>
      </c>
      <c r="I72" s="9">
        <f t="shared" si="8"/>
        <v>229.60701309822002</v>
      </c>
      <c r="J72" s="9">
        <f t="shared" si="9"/>
        <v>1250.1080718318899</v>
      </c>
      <c r="K72" s="9">
        <f t="shared" si="10"/>
        <v>229.60701309822002</v>
      </c>
      <c r="L72" s="10">
        <f t="shared" si="7"/>
        <v>0.18366973085915467</v>
      </c>
      <c r="M72" s="10">
        <f t="shared" si="11"/>
        <v>0.19509857392740013</v>
      </c>
      <c r="P72" s="8">
        <f t="shared" si="12"/>
        <v>-0.58730649531222923</v>
      </c>
      <c r="U72" s="8">
        <v>34.5</v>
      </c>
      <c r="V72" s="10">
        <f t="shared" si="6"/>
        <v>0.18785626584797296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1362.2091346154</v>
      </c>
      <c r="E73">
        <v>338.79206730768999</v>
      </c>
      <c r="F73">
        <v>127.64741275572</v>
      </c>
      <c r="G73">
        <v>112.49939831528</v>
      </c>
      <c r="I73" s="9">
        <f t="shared" si="8"/>
        <v>226.29266899240997</v>
      </c>
      <c r="J73" s="9">
        <f t="shared" si="9"/>
        <v>1234.5617218596799</v>
      </c>
      <c r="K73" s="9">
        <f t="shared" si="10"/>
        <v>226.29266899240997</v>
      </c>
      <c r="L73" s="10">
        <f t="shared" si="7"/>
        <v>0.18329797934406586</v>
      </c>
      <c r="M73" s="10">
        <f t="shared" si="11"/>
        <v>0.19489009159900053</v>
      </c>
      <c r="P73" s="8">
        <f t="shared" si="12"/>
        <v>-0.69353889566819016</v>
      </c>
      <c r="U73" s="8">
        <v>35</v>
      </c>
      <c r="V73" s="10">
        <f t="shared" si="6"/>
        <v>0.19101471065083495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1319.9735576922999</v>
      </c>
      <c r="E74">
        <v>331.17908653846001</v>
      </c>
      <c r="F74">
        <v>127.07099879662999</v>
      </c>
      <c r="G74">
        <v>111.96871239471</v>
      </c>
      <c r="I74" s="9">
        <f t="shared" si="8"/>
        <v>219.21037414375002</v>
      </c>
      <c r="J74" s="9">
        <f t="shared" si="9"/>
        <v>1192.9025588956699</v>
      </c>
      <c r="K74" s="9">
        <f t="shared" si="10"/>
        <v>219.21037414375002</v>
      </c>
      <c r="L74" s="10">
        <f t="shared" si="7"/>
        <v>0.18376217949157903</v>
      </c>
      <c r="M74" s="10">
        <f t="shared" si="11"/>
        <v>0.19551756093320291</v>
      </c>
      <c r="P74" s="8">
        <f t="shared" si="12"/>
        <v>-0.37381120443522475</v>
      </c>
      <c r="U74" s="8">
        <v>35.5</v>
      </c>
      <c r="V74" s="10">
        <f t="shared" si="6"/>
        <v>0.18366973085915467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1311.1900726392</v>
      </c>
      <c r="E75">
        <v>328.95641646489003</v>
      </c>
      <c r="F75">
        <v>127.47292418773</v>
      </c>
      <c r="G75">
        <v>112.39831528278999</v>
      </c>
      <c r="I75" s="9">
        <f t="shared" si="8"/>
        <v>216.55810118210002</v>
      </c>
      <c r="J75" s="9">
        <f t="shared" si="9"/>
        <v>1183.7171484514699</v>
      </c>
      <c r="K75" s="9">
        <f t="shared" si="10"/>
        <v>216.55810118210002</v>
      </c>
      <c r="L75" s="10">
        <f t="shared" si="7"/>
        <v>0.18294750689841718</v>
      </c>
      <c r="M75" s="10">
        <f t="shared" si="11"/>
        <v>0.19486615752673031</v>
      </c>
      <c r="P75" s="8">
        <f t="shared" si="12"/>
        <v>-0.70573452858862307</v>
      </c>
      <c r="U75" s="8">
        <v>36</v>
      </c>
      <c r="V75" s="10">
        <f t="shared" si="6"/>
        <v>0.18329797934406586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1277.1138014528001</v>
      </c>
      <c r="E76">
        <v>319.73728813559001</v>
      </c>
      <c r="F76">
        <v>126.52346570397</v>
      </c>
      <c r="G76">
        <v>112.35379061371999</v>
      </c>
      <c r="I76" s="9">
        <f t="shared" si="8"/>
        <v>207.38349752187003</v>
      </c>
      <c r="J76" s="9">
        <f t="shared" si="9"/>
        <v>1150.5903357488301</v>
      </c>
      <c r="K76" s="9">
        <f t="shared" si="10"/>
        <v>207.38349752187003</v>
      </c>
      <c r="L76" s="10">
        <f t="shared" si="7"/>
        <v>0.1802409520386769</v>
      </c>
      <c r="M76" s="10">
        <f t="shared" si="11"/>
        <v>0.19232287185367924</v>
      </c>
      <c r="P76" s="8">
        <f t="shared" si="12"/>
        <v>-2.0016685480959815</v>
      </c>
      <c r="U76" s="8">
        <v>36.5</v>
      </c>
      <c r="V76" s="10">
        <f t="shared" si="6"/>
        <v>0.18376217949157903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1402.0811138014999</v>
      </c>
      <c r="E77">
        <v>342.14164648910003</v>
      </c>
      <c r="F77">
        <v>126.83513838749001</v>
      </c>
      <c r="G77">
        <v>112.24308062575</v>
      </c>
      <c r="I77" s="9">
        <f t="shared" si="8"/>
        <v>229.89856586335003</v>
      </c>
      <c r="J77" s="9">
        <f t="shared" si="9"/>
        <v>1275.24597541401</v>
      </c>
      <c r="K77" s="9">
        <f t="shared" si="10"/>
        <v>229.89856586335003</v>
      </c>
      <c r="L77" s="10">
        <f t="shared" si="7"/>
        <v>0.18027782113855581</v>
      </c>
      <c r="M77" s="10">
        <f t="shared" si="11"/>
        <v>0.19252301014024736</v>
      </c>
      <c r="P77" s="8">
        <f t="shared" si="12"/>
        <v>-1.899687863457284</v>
      </c>
      <c r="U77" s="8">
        <v>37</v>
      </c>
      <c r="V77" s="10">
        <f t="shared" si="6"/>
        <v>0.18294750689841718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1428.6150121065</v>
      </c>
      <c r="E78">
        <v>342.24213075060999</v>
      </c>
      <c r="F78">
        <v>127.16606498195</v>
      </c>
      <c r="G78">
        <v>112.23947051745</v>
      </c>
      <c r="I78" s="9">
        <f t="shared" si="8"/>
        <v>230.00266023315999</v>
      </c>
      <c r="J78" s="9">
        <f t="shared" si="9"/>
        <v>1301.4489471245499</v>
      </c>
      <c r="K78" s="9">
        <f t="shared" si="10"/>
        <v>230.00266023315999</v>
      </c>
      <c r="L78" s="10">
        <f t="shared" si="7"/>
        <v>0.17672814653339491</v>
      </c>
      <c r="M78" s="10">
        <f t="shared" si="11"/>
        <v>0.18913660472177568</v>
      </c>
      <c r="P78" s="8">
        <f t="shared" si="12"/>
        <v>-3.6252344790589635</v>
      </c>
      <c r="U78" s="8">
        <v>37.5</v>
      </c>
      <c r="V78" s="10">
        <f t="shared" si="6"/>
        <v>0.1802409520386769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1361.9191797346</v>
      </c>
      <c r="E79">
        <v>329.06393244872999</v>
      </c>
      <c r="F79">
        <v>126.92057761733</v>
      </c>
      <c r="G79">
        <v>112.15523465704</v>
      </c>
      <c r="I79" s="9">
        <f t="shared" si="8"/>
        <v>216.90869779168997</v>
      </c>
      <c r="J79" s="9">
        <f t="shared" si="9"/>
        <v>1234.9986021172699</v>
      </c>
      <c r="K79" s="9">
        <f t="shared" si="10"/>
        <v>216.90869779168997</v>
      </c>
      <c r="L79" s="10">
        <f t="shared" si="7"/>
        <v>0.17563477190972018</v>
      </c>
      <c r="M79" s="10">
        <f t="shared" si="11"/>
        <v>0.18820649928479019</v>
      </c>
      <c r="P79" s="8">
        <f t="shared" si="12"/>
        <v>-4.0991707302203375</v>
      </c>
      <c r="U79" s="8">
        <v>38</v>
      </c>
      <c r="V79" s="10">
        <f t="shared" si="6"/>
        <v>0.18027782113855581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1199.0482509046999</v>
      </c>
      <c r="E80">
        <v>307.38841978287002</v>
      </c>
      <c r="F80">
        <v>127.29963898917001</v>
      </c>
      <c r="G80">
        <v>112.30806257521</v>
      </c>
      <c r="I80" s="9">
        <f t="shared" si="8"/>
        <v>195.08035720766003</v>
      </c>
      <c r="J80" s="9">
        <f t="shared" si="9"/>
        <v>1071.7486119155299</v>
      </c>
      <c r="K80" s="9">
        <f t="shared" si="10"/>
        <v>195.08035720766003</v>
      </c>
      <c r="L80" s="10">
        <f t="shared" si="7"/>
        <v>0.18202062968758512</v>
      </c>
      <c r="M80" s="10">
        <f t="shared" si="11"/>
        <v>0.19475562624934434</v>
      </c>
      <c r="P80" s="8">
        <f t="shared" si="12"/>
        <v>-0.76205586287752569</v>
      </c>
      <c r="U80" s="8">
        <v>38.5</v>
      </c>
      <c r="V80" s="10">
        <f t="shared" si="6"/>
        <v>0.17672814653339491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1392.0851318944999</v>
      </c>
      <c r="E81">
        <v>332.79736211031002</v>
      </c>
      <c r="F81">
        <v>127.38387484958</v>
      </c>
      <c r="G81">
        <v>112.31046931408</v>
      </c>
      <c r="I81" s="9">
        <f t="shared" si="8"/>
        <v>220.48689279623002</v>
      </c>
      <c r="J81" s="9">
        <f t="shared" si="9"/>
        <v>1264.7012570449199</v>
      </c>
      <c r="K81" s="9">
        <f t="shared" si="10"/>
        <v>220.48689279623002</v>
      </c>
      <c r="L81" s="10">
        <f t="shared" si="7"/>
        <v>0.17433911097029828</v>
      </c>
      <c r="M81" s="10">
        <f t="shared" si="11"/>
        <v>0.18723737671874671</v>
      </c>
      <c r="P81" s="8">
        <f t="shared" si="12"/>
        <v>-4.5929882025223545</v>
      </c>
      <c r="U81" s="8">
        <v>39</v>
      </c>
      <c r="V81" s="10">
        <f t="shared" si="6"/>
        <v>0.17563477190972018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1401.7482014389</v>
      </c>
      <c r="E82">
        <v>314.84412470024</v>
      </c>
      <c r="F82">
        <v>127.03008423586</v>
      </c>
      <c r="G82">
        <v>112.19374247894</v>
      </c>
      <c r="H82" s="13"/>
      <c r="I82" s="14">
        <f t="shared" si="8"/>
        <v>202.65038222129999</v>
      </c>
      <c r="J82" s="14">
        <f t="shared" si="9"/>
        <v>1274.71811720304</v>
      </c>
      <c r="K82" s="9">
        <f t="shared" si="10"/>
        <v>202.65038222129999</v>
      </c>
      <c r="L82" s="15">
        <f t="shared" si="7"/>
        <v>0.158976623526738</v>
      </c>
      <c r="M82" s="15">
        <f t="shared" si="11"/>
        <v>0.17203815846187565</v>
      </c>
      <c r="N82" s="13"/>
      <c r="O82" s="13"/>
      <c r="P82" s="13">
        <f t="shared" si="12"/>
        <v>-12.33776662741975</v>
      </c>
      <c r="U82" s="8">
        <v>39.5</v>
      </c>
      <c r="V82" s="10">
        <f t="shared" si="6"/>
        <v>0.18202062968758512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1400.3216867470001</v>
      </c>
      <c r="E83">
        <v>303.24096385541998</v>
      </c>
      <c r="F83">
        <v>127.33092659447</v>
      </c>
      <c r="G83">
        <v>111.92057761733</v>
      </c>
      <c r="I83" s="9">
        <f t="shared" si="8"/>
        <v>191.32038623808998</v>
      </c>
      <c r="J83" s="9">
        <f t="shared" si="9"/>
        <v>1272.9907601525301</v>
      </c>
      <c r="K83" s="9">
        <f t="shared" si="10"/>
        <v>191.32038623808998</v>
      </c>
      <c r="L83" s="10">
        <f t="shared" si="7"/>
        <v>0.15029204627939791</v>
      </c>
      <c r="M83" s="10">
        <f t="shared" si="11"/>
        <v>0.16351685040122479</v>
      </c>
      <c r="P83" s="8">
        <f t="shared" si="12"/>
        <v>-16.679808547253259</v>
      </c>
      <c r="U83" s="8">
        <v>40</v>
      </c>
      <c r="V83" s="10">
        <f t="shared" si="6"/>
        <v>0.17433911097029828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1391.5253012047999</v>
      </c>
      <c r="E84">
        <v>295.02048192771002</v>
      </c>
      <c r="F84">
        <v>127.02406738869</v>
      </c>
      <c r="G84">
        <v>112.38146811071</v>
      </c>
      <c r="I84" s="9">
        <f t="shared" si="8"/>
        <v>182.63901381700003</v>
      </c>
      <c r="J84" s="9">
        <f t="shared" si="9"/>
        <v>1264.50123381611</v>
      </c>
      <c r="K84" s="9">
        <f t="shared" si="10"/>
        <v>182.63901381700003</v>
      </c>
      <c r="L84" s="10">
        <f t="shared" si="7"/>
        <v>0.14443561534994936</v>
      </c>
      <c r="M84" s="10">
        <f t="shared" si="11"/>
        <v>0.15782368865846547</v>
      </c>
      <c r="P84" s="8">
        <f t="shared" si="12"/>
        <v>-19.580765391848935</v>
      </c>
      <c r="U84" s="8">
        <v>150.5</v>
      </c>
      <c r="V84" s="10">
        <f>L302</f>
        <v>0.14333025128974997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1354.5946924005</v>
      </c>
      <c r="E85">
        <v>285.65741857659998</v>
      </c>
      <c r="F85">
        <v>127.04452466907</v>
      </c>
      <c r="G85">
        <v>112.1853188929</v>
      </c>
      <c r="I85" s="9">
        <f t="shared" si="8"/>
        <v>173.47209968369998</v>
      </c>
      <c r="J85" s="9">
        <f t="shared" si="9"/>
        <v>1227.5501677314301</v>
      </c>
      <c r="K85" s="9">
        <f t="shared" si="10"/>
        <v>173.47209968369998</v>
      </c>
      <c r="L85" s="10">
        <f t="shared" si="7"/>
        <v>0.14131569058744417</v>
      </c>
      <c r="M85" s="10">
        <f t="shared" si="11"/>
        <v>0.15486703308264949</v>
      </c>
      <c r="P85" s="8">
        <f t="shared" si="12"/>
        <v>-21.08733250118566</v>
      </c>
      <c r="U85" s="8">
        <v>151</v>
      </c>
      <c r="V85" s="10">
        <f t="shared" ref="V85:V103" si="13">L303</f>
        <v>0.14223797572276081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1374.4125452352</v>
      </c>
      <c r="E86">
        <v>282.10615199034999</v>
      </c>
      <c r="F86">
        <v>127.19374247894</v>
      </c>
      <c r="G86">
        <v>111.89410348977</v>
      </c>
      <c r="I86" s="9">
        <f t="shared" si="8"/>
        <v>170.21204850057998</v>
      </c>
      <c r="J86" s="9">
        <f t="shared" si="9"/>
        <v>1247.2188027562599</v>
      </c>
      <c r="K86" s="9">
        <f t="shared" si="10"/>
        <v>170.21204850057998</v>
      </c>
      <c r="L86" s="10">
        <f t="shared" si="7"/>
        <v>0.13647328610218523</v>
      </c>
      <c r="M86" s="10">
        <f t="shared" si="11"/>
        <v>0.15018789778407976</v>
      </c>
      <c r="P86" s="8">
        <f t="shared" si="12"/>
        <v>-23.471591052848755</v>
      </c>
      <c r="U86" s="8">
        <v>151.5</v>
      </c>
      <c r="V86" s="10">
        <f t="shared" si="13"/>
        <v>0.14579683711995953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1355.2445783133001</v>
      </c>
      <c r="E87">
        <v>277.96987951807</v>
      </c>
      <c r="F87">
        <v>126.45246690734</v>
      </c>
      <c r="G87">
        <v>112.26113116726999</v>
      </c>
      <c r="I87" s="9">
        <f t="shared" si="8"/>
        <v>165.70874835080002</v>
      </c>
      <c r="J87" s="9">
        <f t="shared" si="9"/>
        <v>1228.79211140596</v>
      </c>
      <c r="K87" s="9">
        <f t="shared" si="10"/>
        <v>165.70874835080002</v>
      </c>
      <c r="L87" s="10">
        <f t="shared" si="7"/>
        <v>0.13485499037033963</v>
      </c>
      <c r="M87" s="10">
        <f t="shared" si="11"/>
        <v>0.1487328712389234</v>
      </c>
      <c r="P87" s="8">
        <f t="shared" si="12"/>
        <v>-24.21300143357578</v>
      </c>
      <c r="U87" s="8">
        <v>152</v>
      </c>
      <c r="V87" s="10">
        <f t="shared" si="13"/>
        <v>0.14933279084384668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1386.9189842804999</v>
      </c>
      <c r="E88">
        <v>278.11124546553998</v>
      </c>
      <c r="F88">
        <v>127.20216606498001</v>
      </c>
      <c r="G88">
        <v>111.95547533093</v>
      </c>
      <c r="I88" s="9">
        <f t="shared" si="8"/>
        <v>166.15577013460998</v>
      </c>
      <c r="J88" s="9">
        <f t="shared" si="9"/>
        <v>1259.7168182155199</v>
      </c>
      <c r="K88" s="9">
        <f t="shared" si="10"/>
        <v>166.15577013460998</v>
      </c>
      <c r="L88" s="10">
        <f t="shared" si="7"/>
        <v>0.13189930286870477</v>
      </c>
      <c r="M88" s="10">
        <f t="shared" si="11"/>
        <v>0.14594045292397775</v>
      </c>
      <c r="P88" s="8">
        <f t="shared" si="12"/>
        <v>-25.635881265510736</v>
      </c>
      <c r="U88" s="8">
        <v>152.5</v>
      </c>
      <c r="V88" s="10">
        <f t="shared" si="13"/>
        <v>0.154465070810412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1398.6432889964001</v>
      </c>
      <c r="E89">
        <v>275.30955259976002</v>
      </c>
      <c r="F89">
        <v>127.15162454874</v>
      </c>
      <c r="G89">
        <v>111.94945848376</v>
      </c>
      <c r="I89" s="9">
        <f t="shared" si="8"/>
        <v>163.36009411600003</v>
      </c>
      <c r="J89" s="9">
        <f t="shared" si="9"/>
        <v>1271.49166444766</v>
      </c>
      <c r="K89" s="9">
        <f t="shared" si="10"/>
        <v>163.36009411600003</v>
      </c>
      <c r="L89" s="10">
        <f t="shared" si="7"/>
        <v>0.12847909167140642</v>
      </c>
      <c r="M89" s="10">
        <f t="shared" si="11"/>
        <v>0.14268351091336862</v>
      </c>
      <c r="P89" s="8">
        <f t="shared" si="12"/>
        <v>-27.29545965886031</v>
      </c>
      <c r="U89" s="8">
        <v>153</v>
      </c>
      <c r="V89" s="10">
        <f t="shared" si="13"/>
        <v>0.15182946837993544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1390.8851269649001</v>
      </c>
      <c r="E90">
        <v>272.15840386940999</v>
      </c>
      <c r="F90">
        <v>126.64139590854001</v>
      </c>
      <c r="G90">
        <v>111.86762936221</v>
      </c>
      <c r="I90" s="9">
        <f t="shared" si="8"/>
        <v>160.29077450720001</v>
      </c>
      <c r="J90" s="9">
        <f t="shared" si="9"/>
        <v>1264.24373105636</v>
      </c>
      <c r="K90" s="9">
        <f t="shared" si="10"/>
        <v>160.29077450720001</v>
      </c>
      <c r="L90" s="10">
        <f t="shared" si="7"/>
        <v>0.12678787370633537</v>
      </c>
      <c r="M90" s="10">
        <f t="shared" si="11"/>
        <v>0.14115556213498681</v>
      </c>
      <c r="P90" s="8">
        <f t="shared" si="12"/>
        <v>-28.074027643947975</v>
      </c>
      <c r="U90" s="8">
        <v>153.5</v>
      </c>
      <c r="V90" s="10">
        <f t="shared" si="13"/>
        <v>0.15068699038499309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1404.4570737606</v>
      </c>
      <c r="E91">
        <v>272.82708585248002</v>
      </c>
      <c r="F91">
        <v>127.50421179302</v>
      </c>
      <c r="G91">
        <v>112.29843561974</v>
      </c>
      <c r="I91" s="9">
        <f t="shared" si="8"/>
        <v>160.52865023274001</v>
      </c>
      <c r="J91" s="9">
        <f t="shared" si="9"/>
        <v>1276.95286196758</v>
      </c>
      <c r="K91" s="9">
        <f t="shared" si="10"/>
        <v>160.52865023274001</v>
      </c>
      <c r="L91" s="10">
        <f t="shared" si="7"/>
        <v>0.12571227569464941</v>
      </c>
      <c r="M91" s="10">
        <f t="shared" si="11"/>
        <v>0.14024323330999006</v>
      </c>
      <c r="P91" s="8">
        <f t="shared" si="12"/>
        <v>-28.538905802865962</v>
      </c>
      <c r="U91" s="8">
        <v>154</v>
      </c>
      <c r="V91" s="10">
        <f t="shared" si="13"/>
        <v>0.14672043121128903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1331.5090470446</v>
      </c>
      <c r="E92">
        <v>263.48733413752001</v>
      </c>
      <c r="F92">
        <v>127.10589651023</v>
      </c>
      <c r="G92">
        <v>111.78580024067</v>
      </c>
      <c r="I92" s="9">
        <f t="shared" si="8"/>
        <v>151.70153389685001</v>
      </c>
      <c r="J92" s="9">
        <f t="shared" si="9"/>
        <v>1204.4031505343701</v>
      </c>
      <c r="K92" s="9">
        <f t="shared" si="10"/>
        <v>151.70153389685001</v>
      </c>
      <c r="L92" s="10">
        <f t="shared" si="7"/>
        <v>0.12595577637732266</v>
      </c>
      <c r="M92" s="10">
        <f t="shared" si="11"/>
        <v>0.14065000317935253</v>
      </c>
      <c r="P92" s="8">
        <f t="shared" si="12"/>
        <v>-28.331635767335499</v>
      </c>
      <c r="U92" s="8">
        <v>154.5</v>
      </c>
      <c r="V92" s="10">
        <f t="shared" si="13"/>
        <v>0.14707565504476117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1362.9613992761999</v>
      </c>
      <c r="E93">
        <v>263.44993968636999</v>
      </c>
      <c r="F93">
        <v>126.71359807461</v>
      </c>
      <c r="G93">
        <v>112.09867629362</v>
      </c>
      <c r="I93" s="9">
        <f t="shared" si="8"/>
        <v>151.35126339274998</v>
      </c>
      <c r="J93" s="9">
        <f t="shared" si="9"/>
        <v>1236.2478012015899</v>
      </c>
      <c r="K93" s="9">
        <f t="shared" si="10"/>
        <v>151.35126339274998</v>
      </c>
      <c r="L93" s="10">
        <f t="shared" si="7"/>
        <v>0.12242793333637626</v>
      </c>
      <c r="M93" s="10">
        <f t="shared" si="11"/>
        <v>0.13728542932509535</v>
      </c>
      <c r="P93" s="8">
        <f t="shared" si="12"/>
        <v>-30.046058085315241</v>
      </c>
      <c r="U93" s="8">
        <v>155</v>
      </c>
      <c r="V93" s="10">
        <f t="shared" si="13"/>
        <v>0.14399522847466556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1386.1652593486001</v>
      </c>
      <c r="E94">
        <v>265.30036188179002</v>
      </c>
      <c r="F94">
        <v>126.49699157641</v>
      </c>
      <c r="G94">
        <v>111.59687123947</v>
      </c>
      <c r="I94" s="9">
        <f t="shared" si="8"/>
        <v>153.70349064232002</v>
      </c>
      <c r="J94" s="9">
        <f t="shared" si="9"/>
        <v>1259.6682677721901</v>
      </c>
      <c r="K94" s="9">
        <f t="shared" si="10"/>
        <v>153.70349064232002</v>
      </c>
      <c r="L94" s="10">
        <f t="shared" si="7"/>
        <v>0.12201902244799355</v>
      </c>
      <c r="M94" s="10">
        <f t="shared" si="11"/>
        <v>0.13703978762340185</v>
      </c>
      <c r="P94" s="8">
        <f t="shared" si="12"/>
        <v>-30.171225085313473</v>
      </c>
      <c r="U94" s="8">
        <v>155.5</v>
      </c>
      <c r="V94" s="10">
        <f t="shared" si="13"/>
        <v>0.14436472102561435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1368.2196878752</v>
      </c>
      <c r="E95">
        <v>262.44537815126</v>
      </c>
      <c r="F95">
        <v>126.85078219013</v>
      </c>
      <c r="G95">
        <v>112.19494584838</v>
      </c>
      <c r="I95" s="9">
        <f t="shared" si="8"/>
        <v>150.25043230288</v>
      </c>
      <c r="J95" s="9">
        <f t="shared" si="9"/>
        <v>1241.3689056850699</v>
      </c>
      <c r="K95" s="9">
        <f t="shared" si="10"/>
        <v>150.25043230288</v>
      </c>
      <c r="L95" s="10">
        <f t="shared" si="7"/>
        <v>0.12103608493396395</v>
      </c>
      <c r="M95" s="10">
        <f t="shared" si="11"/>
        <v>0.13622011929606148</v>
      </c>
      <c r="P95" s="8">
        <f t="shared" si="12"/>
        <v>-30.588887985462147</v>
      </c>
      <c r="U95" s="8">
        <v>156</v>
      </c>
      <c r="V95" s="10">
        <f t="shared" si="13"/>
        <v>0.14170159777603836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1330.8475390156</v>
      </c>
      <c r="E96">
        <v>258.56902761103999</v>
      </c>
      <c r="F96">
        <v>127.19855595668</v>
      </c>
      <c r="G96">
        <v>112.03128760529999</v>
      </c>
      <c r="I96" s="9">
        <f t="shared" si="8"/>
        <v>146.53774000573998</v>
      </c>
      <c r="J96" s="9">
        <f t="shared" si="9"/>
        <v>1203.6489830589201</v>
      </c>
      <c r="K96" s="9">
        <f t="shared" si="10"/>
        <v>146.53774000573998</v>
      </c>
      <c r="L96" s="10">
        <f t="shared" si="7"/>
        <v>0.12174458007959517</v>
      </c>
      <c r="M96" s="10">
        <f t="shared" si="11"/>
        <v>0.13709188362838193</v>
      </c>
      <c r="P96" s="8">
        <f t="shared" si="12"/>
        <v>-30.144679508522991</v>
      </c>
      <c r="U96" s="8">
        <v>156.5</v>
      </c>
      <c r="V96" s="10">
        <f t="shared" si="13"/>
        <v>0.14006626784505949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1365.8547418968001</v>
      </c>
      <c r="E97">
        <v>259.59183673468999</v>
      </c>
      <c r="F97">
        <v>126.79061371841</v>
      </c>
      <c r="G97">
        <v>111.64380264741</v>
      </c>
      <c r="I97" s="9">
        <f t="shared" si="8"/>
        <v>147.94803408728001</v>
      </c>
      <c r="J97" s="9">
        <f t="shared" si="9"/>
        <v>1239.0641281783901</v>
      </c>
      <c r="K97" s="9">
        <f t="shared" si="10"/>
        <v>147.94803408728001</v>
      </c>
      <c r="L97" s="10">
        <f t="shared" si="7"/>
        <v>0.11940304841589255</v>
      </c>
      <c r="M97" s="10">
        <f t="shared" si="11"/>
        <v>0.13491362115136851</v>
      </c>
      <c r="P97" s="8">
        <f t="shared" si="12"/>
        <v>-31.25461555593192</v>
      </c>
      <c r="U97" s="8">
        <v>157</v>
      </c>
      <c r="V97" s="10">
        <f t="shared" si="13"/>
        <v>0.14041240576903216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1401.1355932203001</v>
      </c>
      <c r="E98">
        <v>264.28692493947</v>
      </c>
      <c r="F98">
        <v>126.61131167268</v>
      </c>
      <c r="G98">
        <v>111.72563176895</v>
      </c>
      <c r="I98" s="9">
        <f t="shared" si="8"/>
        <v>152.56129317052</v>
      </c>
      <c r="J98" s="9">
        <f t="shared" si="9"/>
        <v>1274.5242815476201</v>
      </c>
      <c r="K98" s="9">
        <f t="shared" si="10"/>
        <v>152.56129317052</v>
      </c>
      <c r="L98" s="10">
        <f t="shared" si="7"/>
        <v>0.11970057799547686</v>
      </c>
      <c r="M98" s="10">
        <f t="shared" si="11"/>
        <v>0.13537441991764204</v>
      </c>
      <c r="P98" s="8">
        <f t="shared" si="12"/>
        <v>-31.019815036395908</v>
      </c>
      <c r="U98" s="8">
        <v>157.5</v>
      </c>
      <c r="V98" s="10">
        <f t="shared" si="13"/>
        <v>0.14507686423387861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1389.3861985471999</v>
      </c>
      <c r="E99">
        <v>262.95883777239999</v>
      </c>
      <c r="F99">
        <v>127.04332129964</v>
      </c>
      <c r="G99">
        <v>111.84115523465999</v>
      </c>
      <c r="I99" s="9">
        <f t="shared" si="8"/>
        <v>151.11768253774</v>
      </c>
      <c r="J99" s="9">
        <f t="shared" si="9"/>
        <v>1262.34287724756</v>
      </c>
      <c r="K99" s="9">
        <f t="shared" si="10"/>
        <v>151.11768253774</v>
      </c>
      <c r="L99" s="10">
        <f t="shared" si="7"/>
        <v>0.11971207289357096</v>
      </c>
      <c r="M99" s="10">
        <f t="shared" si="11"/>
        <v>0.13554918400242538</v>
      </c>
      <c r="P99" s="8">
        <f t="shared" si="12"/>
        <v>-30.930763804259996</v>
      </c>
      <c r="U99" s="8">
        <v>158</v>
      </c>
      <c r="V99" s="10">
        <f t="shared" si="13"/>
        <v>0.1537860559872421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1410.4564164649</v>
      </c>
      <c r="E100">
        <v>264.56658595642</v>
      </c>
      <c r="F100">
        <v>127.24187725632</v>
      </c>
      <c r="G100">
        <v>111.93020457279999</v>
      </c>
      <c r="I100" s="9">
        <f t="shared" si="8"/>
        <v>152.63638138362001</v>
      </c>
      <c r="J100" s="9">
        <f t="shared" si="9"/>
        <v>1283.2145392085799</v>
      </c>
      <c r="K100" s="9">
        <f t="shared" si="10"/>
        <v>152.63638138362001</v>
      </c>
      <c r="L100" s="10">
        <f t="shared" si="7"/>
        <v>0.11894845072263457</v>
      </c>
      <c r="M100" s="10">
        <f t="shared" si="11"/>
        <v>0.1349488310181782</v>
      </c>
      <c r="P100" s="8">
        <f t="shared" si="12"/>
        <v>-31.236674329468649</v>
      </c>
      <c r="U100" s="8">
        <v>158.5</v>
      </c>
      <c r="V100" s="10">
        <f t="shared" si="13"/>
        <v>0.15047530892997471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1355.6045673077001</v>
      </c>
      <c r="E101">
        <v>259.46153846153999</v>
      </c>
      <c r="F101">
        <v>126.40433212996</v>
      </c>
      <c r="G101">
        <v>111.62214199759001</v>
      </c>
      <c r="I101" s="9">
        <f t="shared" si="8"/>
        <v>147.83939646394998</v>
      </c>
      <c r="J101" s="9">
        <f t="shared" si="9"/>
        <v>1229.2002351777401</v>
      </c>
      <c r="K101" s="9">
        <f t="shared" si="10"/>
        <v>147.83939646394998</v>
      </c>
      <c r="L101" s="10">
        <f t="shared" si="7"/>
        <v>0.12027283450899492</v>
      </c>
      <c r="M101" s="10">
        <f t="shared" si="11"/>
        <v>0.13643648399122776</v>
      </c>
      <c r="P101" s="8">
        <f t="shared" si="12"/>
        <v>-30.478639116427331</v>
      </c>
      <c r="U101" s="8">
        <v>159</v>
      </c>
      <c r="V101" s="10">
        <f t="shared" si="13"/>
        <v>0.14625973070089607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1365.6875</v>
      </c>
      <c r="E102">
        <v>258.76802884615</v>
      </c>
      <c r="F102">
        <v>127.28640192539</v>
      </c>
      <c r="G102">
        <v>111.71961492178001</v>
      </c>
      <c r="I102" s="9">
        <f t="shared" si="8"/>
        <v>147.04841392436998</v>
      </c>
      <c r="J102" s="9">
        <f t="shared" si="9"/>
        <v>1238.40109807461</v>
      </c>
      <c r="K102" s="9">
        <f t="shared" si="10"/>
        <v>147.04841392436998</v>
      </c>
      <c r="L102" s="10">
        <f t="shared" si="7"/>
        <v>0.11874053903294485</v>
      </c>
      <c r="M102" s="10">
        <f t="shared" si="11"/>
        <v>0.13506745770186693</v>
      </c>
      <c r="P102" s="8">
        <f t="shared" si="12"/>
        <v>-31.176227971970345</v>
      </c>
      <c r="U102" s="8">
        <v>159.5</v>
      </c>
      <c r="V102" s="10">
        <f t="shared" si="13"/>
        <v>0.14120691014890502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1369.4830917874001</v>
      </c>
      <c r="E103">
        <v>259.16666666666998</v>
      </c>
      <c r="F103">
        <v>127.22984356197</v>
      </c>
      <c r="G103">
        <v>112.01203369434</v>
      </c>
      <c r="I103" s="9">
        <f t="shared" si="8"/>
        <v>147.15463297232998</v>
      </c>
      <c r="J103" s="9">
        <f t="shared" si="9"/>
        <v>1242.2532482254301</v>
      </c>
      <c r="K103" s="9">
        <f t="shared" si="10"/>
        <v>147.15463297232998</v>
      </c>
      <c r="L103" s="10">
        <f t="shared" si="7"/>
        <v>0.11845783714596174</v>
      </c>
      <c r="M103" s="10">
        <f t="shared" si="11"/>
        <v>0.13494802500157305</v>
      </c>
      <c r="P103" s="8">
        <f t="shared" si="12"/>
        <v>-31.2370850361187</v>
      </c>
      <c r="U103" s="8">
        <v>160</v>
      </c>
      <c r="V103" s="10">
        <f t="shared" si="13"/>
        <v>0.1389078703094079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1338.8561151079</v>
      </c>
      <c r="E104">
        <v>255.64868105516001</v>
      </c>
      <c r="F104">
        <v>127.57641395909</v>
      </c>
      <c r="G104">
        <v>112.02406738869</v>
      </c>
      <c r="I104" s="9">
        <f t="shared" si="8"/>
        <v>143.62461366647</v>
      </c>
      <c r="J104" s="9">
        <f t="shared" si="9"/>
        <v>1211.2797011488101</v>
      </c>
      <c r="K104" s="9">
        <f t="shared" si="10"/>
        <v>143.62461366647</v>
      </c>
      <c r="L104" s="10">
        <f t="shared" si="7"/>
        <v>0.11857262491087119</v>
      </c>
      <c r="M104" s="10">
        <f t="shared" si="11"/>
        <v>0.13522608195317171</v>
      </c>
      <c r="P104" s="8">
        <f t="shared" si="12"/>
        <v>-31.09540080978288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1228.7302158273001</v>
      </c>
      <c r="E105">
        <v>245.63788968825</v>
      </c>
      <c r="F105">
        <v>126.68110709987999</v>
      </c>
      <c r="G105">
        <v>111.85198555957</v>
      </c>
      <c r="I105" s="9">
        <f t="shared" si="8"/>
        <v>133.78590412867999</v>
      </c>
      <c r="J105" s="9">
        <f t="shared" si="9"/>
        <v>1102.0491087274202</v>
      </c>
      <c r="K105" s="9">
        <f t="shared" si="10"/>
        <v>133.78590412867999</v>
      </c>
      <c r="L105" s="10">
        <f t="shared" si="7"/>
        <v>0.12139740694783364</v>
      </c>
      <c r="M105" s="10">
        <f t="shared" si="11"/>
        <v>0.13821413317682338</v>
      </c>
      <c r="P105" s="8">
        <f t="shared" si="12"/>
        <v>-29.572836013467512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1365.0301204819</v>
      </c>
      <c r="E106">
        <v>260.11686746987999</v>
      </c>
      <c r="F106">
        <v>126.75571600481</v>
      </c>
      <c r="G106">
        <v>111.57160048135</v>
      </c>
      <c r="I106" s="9">
        <f t="shared" si="8"/>
        <v>148.54526698852999</v>
      </c>
      <c r="J106" s="9">
        <f t="shared" si="9"/>
        <v>1238.27440447709</v>
      </c>
      <c r="K106" s="9">
        <f t="shared" si="10"/>
        <v>148.54526698852999</v>
      </c>
      <c r="L106" s="10">
        <f t="shared" si="7"/>
        <v>0.11996150970370664</v>
      </c>
      <c r="M106" s="10">
        <f t="shared" si="11"/>
        <v>0.1369415051193856</v>
      </c>
      <c r="P106" s="8">
        <f t="shared" si="12"/>
        <v>-30.221305043623552</v>
      </c>
      <c r="X106" s="8">
        <v>-13</v>
      </c>
    </row>
    <row r="107" spans="1:25" x14ac:dyDescent="0.2">
      <c r="A107" s="8">
        <v>52.5</v>
      </c>
      <c r="B107" s="8">
        <v>105</v>
      </c>
      <c r="D107">
        <v>1357.6</v>
      </c>
      <c r="E107">
        <v>261.21084337348998</v>
      </c>
      <c r="F107">
        <v>126.39951865223</v>
      </c>
      <c r="G107">
        <v>111.80264741276</v>
      </c>
      <c r="I107" s="9">
        <f t="shared" si="8"/>
        <v>149.40819596072998</v>
      </c>
      <c r="J107" s="9">
        <f t="shared" si="9"/>
        <v>1231.2004813477699</v>
      </c>
      <c r="K107" s="9">
        <f t="shared" si="10"/>
        <v>149.40819596072998</v>
      </c>
      <c r="L107" s="10">
        <f t="shared" si="7"/>
        <v>0.12135163868452674</v>
      </c>
      <c r="M107" s="10">
        <f t="shared" si="11"/>
        <v>0.13849490328689493</v>
      </c>
      <c r="P107" s="8">
        <f t="shared" si="12"/>
        <v>-29.429769294239687</v>
      </c>
      <c r="X107" s="8">
        <v>-13</v>
      </c>
    </row>
    <row r="108" spans="1:25" x14ac:dyDescent="0.2">
      <c r="A108" s="8">
        <v>53</v>
      </c>
      <c r="B108" s="8">
        <v>106</v>
      </c>
      <c r="D108">
        <v>1340.1409638554001</v>
      </c>
      <c r="E108">
        <v>257.83734939759</v>
      </c>
      <c r="F108">
        <v>126.67509025271001</v>
      </c>
      <c r="G108">
        <v>111.86883273165</v>
      </c>
      <c r="I108" s="9">
        <f t="shared" si="8"/>
        <v>145.96851666594</v>
      </c>
      <c r="J108" s="9">
        <f t="shared" si="9"/>
        <v>1213.46587360269</v>
      </c>
      <c r="K108" s="9">
        <f t="shared" si="10"/>
        <v>145.96851666594</v>
      </c>
      <c r="L108" s="10">
        <f t="shared" si="7"/>
        <v>0.12029058240638472</v>
      </c>
      <c r="M108" s="10">
        <f t="shared" si="11"/>
        <v>0.13759711619544213</v>
      </c>
      <c r="P108" s="8">
        <f t="shared" si="12"/>
        <v>-29.887237696793338</v>
      </c>
      <c r="X108" s="8">
        <v>-13</v>
      </c>
    </row>
    <row r="109" spans="1:25" x14ac:dyDescent="0.2">
      <c r="A109" s="8">
        <v>53.5</v>
      </c>
      <c r="B109" s="8">
        <v>107</v>
      </c>
      <c r="D109">
        <v>1335.4662650601999</v>
      </c>
      <c r="E109">
        <v>258.64819277108001</v>
      </c>
      <c r="F109">
        <v>126.41034897714</v>
      </c>
      <c r="G109">
        <v>111.92178098676</v>
      </c>
      <c r="I109" s="9">
        <f t="shared" si="8"/>
        <v>146.72641178432002</v>
      </c>
      <c r="J109" s="9">
        <f t="shared" si="9"/>
        <v>1209.0559160830599</v>
      </c>
      <c r="K109" s="9">
        <f t="shared" si="10"/>
        <v>146.72641178432002</v>
      </c>
      <c r="L109" s="10">
        <f t="shared" si="7"/>
        <v>0.12135618364092285</v>
      </c>
      <c r="M109" s="10">
        <f t="shared" si="11"/>
        <v>0.13882598661666948</v>
      </c>
      <c r="P109" s="8">
        <f t="shared" si="12"/>
        <v>-29.261065418425421</v>
      </c>
      <c r="X109" s="8">
        <v>-13</v>
      </c>
    </row>
    <row r="110" spans="1:25" x14ac:dyDescent="0.2">
      <c r="A110" s="8">
        <v>54</v>
      </c>
      <c r="B110" s="8">
        <v>108</v>
      </c>
      <c r="D110">
        <v>1385.2518072288999</v>
      </c>
      <c r="E110">
        <v>265.43253012048001</v>
      </c>
      <c r="F110">
        <v>126.91456077015999</v>
      </c>
      <c r="G110">
        <v>111.74247894104001</v>
      </c>
      <c r="I110" s="9">
        <f t="shared" si="8"/>
        <v>153.69005117943999</v>
      </c>
      <c r="J110" s="9">
        <f t="shared" si="9"/>
        <v>1258.3372464587399</v>
      </c>
      <c r="K110" s="9">
        <f t="shared" si="10"/>
        <v>153.69005117943999</v>
      </c>
      <c r="L110" s="10">
        <f t="shared" si="7"/>
        <v>0.12213740919770144</v>
      </c>
      <c r="M110" s="10">
        <f t="shared" si="11"/>
        <v>0.13977048136013728</v>
      </c>
      <c r="P110" s="8">
        <f t="shared" si="12"/>
        <v>-28.779797080277071</v>
      </c>
      <c r="X110" s="8">
        <v>-13</v>
      </c>
    </row>
    <row r="111" spans="1:25" x14ac:dyDescent="0.2">
      <c r="A111" s="8">
        <v>54.5</v>
      </c>
      <c r="B111" s="8">
        <v>109</v>
      </c>
      <c r="D111">
        <v>1385.8744019139001</v>
      </c>
      <c r="E111">
        <v>267.81937799042998</v>
      </c>
      <c r="F111">
        <v>127.13357400722001</v>
      </c>
      <c r="G111">
        <v>112.21780986763</v>
      </c>
      <c r="I111" s="9">
        <f t="shared" si="8"/>
        <v>155.60156812279999</v>
      </c>
      <c r="J111" s="9">
        <f t="shared" si="9"/>
        <v>1258.7408279066801</v>
      </c>
      <c r="K111" s="9">
        <f t="shared" si="10"/>
        <v>155.60156812279999</v>
      </c>
      <c r="L111" s="10">
        <f t="shared" si="7"/>
        <v>0.12361684365285075</v>
      </c>
      <c r="M111" s="10">
        <f t="shared" si="11"/>
        <v>0.14141318500197581</v>
      </c>
      <c r="P111" s="8">
        <f t="shared" si="12"/>
        <v>-27.94275562796027</v>
      </c>
      <c r="X111" s="8">
        <v>-13</v>
      </c>
    </row>
    <row r="112" spans="1:25" x14ac:dyDescent="0.2">
      <c r="A112" s="8">
        <v>55</v>
      </c>
      <c r="B112" s="8">
        <v>110</v>
      </c>
      <c r="D112">
        <v>1378.0885167464</v>
      </c>
      <c r="E112">
        <v>269.46052631578999</v>
      </c>
      <c r="F112">
        <v>127.00842358604</v>
      </c>
      <c r="G112">
        <v>112.03369434416</v>
      </c>
      <c r="I112" s="9">
        <f t="shared" si="8"/>
        <v>157.42683197163001</v>
      </c>
      <c r="J112" s="9">
        <f t="shared" si="9"/>
        <v>1251.0800931603601</v>
      </c>
      <c r="K112" s="9">
        <f t="shared" si="10"/>
        <v>157.42683197163001</v>
      </c>
      <c r="L112" s="10">
        <f t="shared" si="7"/>
        <v>0.12583273671468406</v>
      </c>
      <c r="M112" s="10">
        <f t="shared" si="11"/>
        <v>0.14379234725049833</v>
      </c>
      <c r="P112" s="8">
        <f t="shared" si="12"/>
        <v>-26.730450880421174</v>
      </c>
      <c r="X112" s="8">
        <v>-13</v>
      </c>
    </row>
    <row r="113" spans="1:24" x14ac:dyDescent="0.2">
      <c r="A113" s="8">
        <v>55.5</v>
      </c>
      <c r="B113" s="8">
        <v>111</v>
      </c>
      <c r="D113">
        <v>1377.4066985646</v>
      </c>
      <c r="E113">
        <v>269.24880382775001</v>
      </c>
      <c r="F113">
        <v>126.47773766546</v>
      </c>
      <c r="G113">
        <v>112.42478941035</v>
      </c>
      <c r="I113" s="9">
        <f t="shared" si="8"/>
        <v>156.82401441740001</v>
      </c>
      <c r="J113" s="9">
        <f t="shared" si="9"/>
        <v>1250.9289608991401</v>
      </c>
      <c r="K113" s="9">
        <f t="shared" si="10"/>
        <v>156.82401441740001</v>
      </c>
      <c r="L113" s="10">
        <f t="shared" si="7"/>
        <v>0.12536604341199228</v>
      </c>
      <c r="M113" s="10">
        <f t="shared" si="11"/>
        <v>0.14348892313449579</v>
      </c>
      <c r="P113" s="8">
        <f t="shared" si="12"/>
        <v>-26.885060973354584</v>
      </c>
      <c r="X113" s="8">
        <v>-13</v>
      </c>
    </row>
    <row r="114" spans="1:24" x14ac:dyDescent="0.2">
      <c r="A114" s="8">
        <v>56</v>
      </c>
      <c r="B114" s="8">
        <v>112</v>
      </c>
      <c r="D114">
        <v>1360.6212303980999</v>
      </c>
      <c r="E114">
        <v>263.49939686368998</v>
      </c>
      <c r="F114">
        <v>126.67990373044999</v>
      </c>
      <c r="G114">
        <v>111.90252707581</v>
      </c>
      <c r="I114" s="9">
        <f t="shared" si="8"/>
        <v>151.59686978788</v>
      </c>
      <c r="J114" s="9">
        <f t="shared" si="9"/>
        <v>1233.9413266676499</v>
      </c>
      <c r="K114" s="9">
        <f t="shared" si="10"/>
        <v>151.59686978788</v>
      </c>
      <c r="L114" s="10">
        <f t="shared" si="7"/>
        <v>0.12285581697573789</v>
      </c>
      <c r="M114" s="10">
        <f t="shared" si="11"/>
        <v>0.14114196588493061</v>
      </c>
      <c r="P114" s="8">
        <f t="shared" si="12"/>
        <v>-28.080955628158421</v>
      </c>
      <c r="X114" s="8">
        <v>-13</v>
      </c>
    </row>
    <row r="115" spans="1:24" x14ac:dyDescent="0.2">
      <c r="A115" s="8">
        <v>56.5</v>
      </c>
      <c r="B115" s="8">
        <v>113</v>
      </c>
      <c r="D115">
        <v>1380.2370012091999</v>
      </c>
      <c r="E115">
        <v>266.26360338572999</v>
      </c>
      <c r="F115">
        <v>126.86522262334999</v>
      </c>
      <c r="G115">
        <v>111.97593261131</v>
      </c>
      <c r="I115" s="9">
        <f t="shared" si="8"/>
        <v>154.28767077442001</v>
      </c>
      <c r="J115" s="9">
        <f t="shared" si="9"/>
        <v>1253.3717785858498</v>
      </c>
      <c r="K115" s="9">
        <f t="shared" si="10"/>
        <v>154.28767077442001</v>
      </c>
      <c r="L115" s="10">
        <f t="shared" si="7"/>
        <v>0.12309808901912503</v>
      </c>
      <c r="M115" s="10">
        <f t="shared" si="11"/>
        <v>0.14154750711500697</v>
      </c>
      <c r="P115" s="8">
        <f t="shared" si="12"/>
        <v>-27.874311647131183</v>
      </c>
      <c r="X115" s="8">
        <v>-13</v>
      </c>
    </row>
    <row r="116" spans="1:24" x14ac:dyDescent="0.2">
      <c r="A116" s="8">
        <v>57</v>
      </c>
      <c r="B116" s="8">
        <v>114</v>
      </c>
      <c r="D116">
        <v>1358.4159613059001</v>
      </c>
      <c r="E116">
        <v>264.55501813785003</v>
      </c>
      <c r="F116">
        <v>126.65342960289</v>
      </c>
      <c r="G116">
        <v>112.14440433212999</v>
      </c>
      <c r="I116" s="9">
        <f t="shared" si="8"/>
        <v>152.41061380572003</v>
      </c>
      <c r="J116" s="9">
        <f t="shared" si="9"/>
        <v>1231.7625317030102</v>
      </c>
      <c r="K116" s="9">
        <f t="shared" si="10"/>
        <v>152.41061380572003</v>
      </c>
      <c r="L116" s="10">
        <f t="shared" si="7"/>
        <v>0.12373376351608957</v>
      </c>
      <c r="M116" s="10">
        <f t="shared" si="11"/>
        <v>0.14234645079866073</v>
      </c>
      <c r="P116" s="8">
        <f t="shared" si="12"/>
        <v>-27.467209012028714</v>
      </c>
      <c r="X116" s="8">
        <v>-13</v>
      </c>
    </row>
    <row r="117" spans="1:24" x14ac:dyDescent="0.2">
      <c r="A117" s="8">
        <v>57.5</v>
      </c>
      <c r="B117" s="8">
        <v>115</v>
      </c>
      <c r="D117">
        <v>1395.4703748489001</v>
      </c>
      <c r="E117">
        <v>269.24667472792999</v>
      </c>
      <c r="F117">
        <v>127.12755716005</v>
      </c>
      <c r="G117">
        <v>112.32009626956</v>
      </c>
      <c r="I117" s="9">
        <f t="shared" si="8"/>
        <v>156.92657845836999</v>
      </c>
      <c r="J117" s="9">
        <f t="shared" si="9"/>
        <v>1268.3428176888501</v>
      </c>
      <c r="K117" s="9">
        <f t="shared" si="10"/>
        <v>156.92657845836999</v>
      </c>
      <c r="L117" s="10">
        <f t="shared" si="7"/>
        <v>0.12372568068333338</v>
      </c>
      <c r="M117" s="10">
        <f t="shared" si="11"/>
        <v>0.14250163715259376</v>
      </c>
      <c r="P117" s="8">
        <f t="shared" si="12"/>
        <v>-27.388133634238436</v>
      </c>
      <c r="X117" s="8">
        <v>-13</v>
      </c>
    </row>
    <row r="118" spans="1:24" x14ac:dyDescent="0.2">
      <c r="A118" s="8">
        <v>58</v>
      </c>
      <c r="B118" s="8">
        <v>116</v>
      </c>
      <c r="D118">
        <v>1396.6924939467001</v>
      </c>
      <c r="E118">
        <v>270.38619854721998</v>
      </c>
      <c r="F118">
        <v>126.89771359808</v>
      </c>
      <c r="G118">
        <v>112.2587244284</v>
      </c>
      <c r="I118" s="9">
        <f t="shared" si="8"/>
        <v>158.12747411881998</v>
      </c>
      <c r="J118" s="9">
        <f t="shared" si="9"/>
        <v>1269.7947803486202</v>
      </c>
      <c r="K118" s="9">
        <f t="shared" si="10"/>
        <v>158.12747411881998</v>
      </c>
      <c r="L118" s="10">
        <f t="shared" si="7"/>
        <v>0.12452994496906526</v>
      </c>
      <c r="M118" s="10">
        <f t="shared" si="11"/>
        <v>0.14346917062501485</v>
      </c>
      <c r="P118" s="8">
        <f t="shared" si="12"/>
        <v>-26.8951258863442</v>
      </c>
      <c r="X118" s="8">
        <v>-13</v>
      </c>
    </row>
    <row r="119" spans="1:24" x14ac:dyDescent="0.2">
      <c r="A119" s="8">
        <v>58.5</v>
      </c>
      <c r="B119" s="8">
        <v>117</v>
      </c>
      <c r="D119">
        <v>1382.4585834334</v>
      </c>
      <c r="E119">
        <v>270.37214885954</v>
      </c>
      <c r="F119">
        <v>126.86161251503999</v>
      </c>
      <c r="G119">
        <v>111.68110709987999</v>
      </c>
      <c r="I119" s="9">
        <f t="shared" si="8"/>
        <v>158.69104175966001</v>
      </c>
      <c r="J119" s="9">
        <f t="shared" si="9"/>
        <v>1255.5969709183601</v>
      </c>
      <c r="K119" s="9">
        <f t="shared" si="10"/>
        <v>158.69104175966001</v>
      </c>
      <c r="L119" s="10">
        <f t="shared" si="7"/>
        <v>0.12638692624719483</v>
      </c>
      <c r="M119" s="10">
        <f t="shared" si="11"/>
        <v>0.14548942108983365</v>
      </c>
      <c r="P119" s="8">
        <f t="shared" si="12"/>
        <v>-25.865705034008961</v>
      </c>
      <c r="X119" s="8">
        <v>-13</v>
      </c>
    </row>
    <row r="120" spans="1:24" x14ac:dyDescent="0.2">
      <c r="A120" s="8">
        <v>59</v>
      </c>
      <c r="B120" s="8">
        <v>118</v>
      </c>
      <c r="D120">
        <v>1385.5942376951</v>
      </c>
      <c r="E120">
        <v>272.79471788716</v>
      </c>
      <c r="F120">
        <v>126.73525872443</v>
      </c>
      <c r="G120">
        <v>112.04813477738</v>
      </c>
      <c r="I120" s="9">
        <f t="shared" si="8"/>
        <v>160.74658310978</v>
      </c>
      <c r="J120" s="9">
        <f t="shared" si="9"/>
        <v>1258.85897897067</v>
      </c>
      <c r="K120" s="9">
        <f t="shared" si="10"/>
        <v>160.74658310978</v>
      </c>
      <c r="L120" s="10">
        <f t="shared" si="7"/>
        <v>0.12769228785357475</v>
      </c>
      <c r="M120" s="10">
        <f t="shared" si="11"/>
        <v>0.14695805188290281</v>
      </c>
      <c r="P120" s="8">
        <f t="shared" si="12"/>
        <v>-25.117362593754834</v>
      </c>
      <c r="X120" s="8">
        <v>-13</v>
      </c>
    </row>
    <row r="121" spans="1:24" x14ac:dyDescent="0.2">
      <c r="A121" s="8">
        <v>59.5</v>
      </c>
      <c r="B121" s="8">
        <v>119</v>
      </c>
      <c r="D121">
        <v>1370.0869565216999</v>
      </c>
      <c r="E121">
        <v>269.28260869565003</v>
      </c>
      <c r="F121">
        <v>126.93140794224</v>
      </c>
      <c r="G121">
        <v>111.60529482551</v>
      </c>
      <c r="I121" s="9">
        <f t="shared" si="8"/>
        <v>157.67731387014004</v>
      </c>
      <c r="J121" s="9">
        <f t="shared" si="9"/>
        <v>1243.1555485794599</v>
      </c>
      <c r="K121" s="9">
        <f t="shared" si="10"/>
        <v>157.67731387014004</v>
      </c>
      <c r="L121" s="10">
        <f t="shared" si="7"/>
        <v>0.12683635129193299</v>
      </c>
      <c r="M121" s="10">
        <f t="shared" si="11"/>
        <v>0.14626538450795026</v>
      </c>
      <c r="P121" s="8">
        <f t="shared" si="12"/>
        <v>-25.47031201855421</v>
      </c>
      <c r="X121" s="8">
        <v>-13</v>
      </c>
    </row>
    <row r="122" spans="1:24" x14ac:dyDescent="0.2">
      <c r="A122" s="8">
        <v>60</v>
      </c>
      <c r="B122" s="8">
        <v>120</v>
      </c>
      <c r="D122">
        <v>1377.3707729468999</v>
      </c>
      <c r="E122">
        <v>270.75241545893999</v>
      </c>
      <c r="F122">
        <v>126.38507821901</v>
      </c>
      <c r="G122">
        <v>111.85078219013</v>
      </c>
      <c r="I122" s="9">
        <f t="shared" si="8"/>
        <v>158.90163326880997</v>
      </c>
      <c r="J122" s="9">
        <f t="shared" si="9"/>
        <v>1250.9856947278899</v>
      </c>
      <c r="K122" s="9">
        <f t="shared" si="10"/>
        <v>158.90163326880997</v>
      </c>
      <c r="L122" s="10">
        <f t="shared" si="7"/>
        <v>0.12702114335797718</v>
      </c>
      <c r="M122" s="10">
        <f t="shared" si="11"/>
        <v>0.14661344576068366</v>
      </c>
      <c r="P122" s="8">
        <f t="shared" si="12"/>
        <v>-25.292957023372548</v>
      </c>
      <c r="X122" s="8">
        <v>-13</v>
      </c>
    </row>
    <row r="123" spans="1:24" x14ac:dyDescent="0.2">
      <c r="A123" s="8">
        <v>60.5</v>
      </c>
      <c r="B123" s="8">
        <v>121</v>
      </c>
      <c r="D123">
        <v>1338.0012077295</v>
      </c>
      <c r="E123">
        <v>265.52898550725001</v>
      </c>
      <c r="F123">
        <v>127.19735258724</v>
      </c>
      <c r="G123">
        <v>111.79061371841</v>
      </c>
      <c r="I123" s="9">
        <f t="shared" si="8"/>
        <v>153.73837178884003</v>
      </c>
      <c r="J123" s="9">
        <f t="shared" si="9"/>
        <v>1210.8038551422601</v>
      </c>
      <c r="K123" s="9">
        <f t="shared" si="10"/>
        <v>153.73837178884003</v>
      </c>
      <c r="L123" s="10">
        <f t="shared" si="7"/>
        <v>0.12697215253809788</v>
      </c>
      <c r="M123" s="10">
        <f t="shared" si="11"/>
        <v>0.14672772412749358</v>
      </c>
      <c r="P123" s="8">
        <f t="shared" si="12"/>
        <v>-25.234726355535287</v>
      </c>
      <c r="X123" s="8">
        <v>-13</v>
      </c>
    </row>
    <row r="124" spans="1:24" x14ac:dyDescent="0.2">
      <c r="A124" s="8">
        <v>61</v>
      </c>
      <c r="B124" s="8">
        <v>122</v>
      </c>
      <c r="D124">
        <v>1360.7739975699001</v>
      </c>
      <c r="E124">
        <v>270.15674362089999</v>
      </c>
      <c r="F124">
        <v>126.56919374248</v>
      </c>
      <c r="G124">
        <v>111.84476534296</v>
      </c>
      <c r="I124" s="9">
        <f t="shared" si="8"/>
        <v>158.31197827794</v>
      </c>
      <c r="J124" s="9">
        <f t="shared" si="9"/>
        <v>1234.2048038274202</v>
      </c>
      <c r="K124" s="9">
        <f t="shared" si="10"/>
        <v>158.31197827794</v>
      </c>
      <c r="L124" s="10">
        <f t="shared" si="7"/>
        <v>0.12827042787955059</v>
      </c>
      <c r="M124" s="10">
        <f t="shared" si="11"/>
        <v>0.14818926865563553</v>
      </c>
      <c r="P124" s="8">
        <f t="shared" si="12"/>
        <v>-24.489994729389739</v>
      </c>
      <c r="X124" s="8">
        <v>-13</v>
      </c>
    </row>
    <row r="125" spans="1:24" x14ac:dyDescent="0.2">
      <c r="A125" s="8">
        <v>61.5</v>
      </c>
      <c r="B125" s="8">
        <v>123</v>
      </c>
      <c r="D125">
        <v>1359.0182260024001</v>
      </c>
      <c r="E125">
        <v>268.78979343864</v>
      </c>
      <c r="F125">
        <v>126.80505415163</v>
      </c>
      <c r="G125">
        <v>111.85439229844</v>
      </c>
      <c r="I125" s="9">
        <f t="shared" si="8"/>
        <v>156.93540114019999</v>
      </c>
      <c r="J125" s="9">
        <f t="shared" si="9"/>
        <v>1232.2131718507701</v>
      </c>
      <c r="K125" s="9">
        <f t="shared" si="10"/>
        <v>156.93540114019999</v>
      </c>
      <c r="L125" s="10">
        <f t="shared" si="7"/>
        <v>0.12736059370675676</v>
      </c>
      <c r="M125" s="10">
        <f t="shared" si="11"/>
        <v>0.14744270366953091</v>
      </c>
      <c r="P125" s="8">
        <f t="shared" si="12"/>
        <v>-24.870407741391393</v>
      </c>
      <c r="X125" s="8">
        <v>-13</v>
      </c>
    </row>
    <row r="126" spans="1:24" x14ac:dyDescent="0.2">
      <c r="A126" s="8">
        <v>62</v>
      </c>
      <c r="B126" s="8">
        <v>124</v>
      </c>
      <c r="D126">
        <v>1387.340218712</v>
      </c>
      <c r="E126">
        <v>273.39611178615002</v>
      </c>
      <c r="F126">
        <v>125.99277978339001</v>
      </c>
      <c r="G126">
        <v>112.29241877256</v>
      </c>
      <c r="I126" s="9">
        <f t="shared" si="8"/>
        <v>161.10369301359003</v>
      </c>
      <c r="J126" s="9">
        <f t="shared" si="9"/>
        <v>1261.34743892861</v>
      </c>
      <c r="K126" s="9">
        <f t="shared" si="10"/>
        <v>161.10369301359003</v>
      </c>
      <c r="L126" s="10">
        <f t="shared" si="7"/>
        <v>0.12772348683756135</v>
      </c>
      <c r="M126" s="10">
        <f t="shared" si="11"/>
        <v>0.14796886598702472</v>
      </c>
      <c r="P126" s="8">
        <f t="shared" si="12"/>
        <v>-24.602301152246397</v>
      </c>
      <c r="X126" s="8">
        <v>-13</v>
      </c>
    </row>
    <row r="127" spans="1:24" x14ac:dyDescent="0.2">
      <c r="A127" s="8">
        <v>62.5</v>
      </c>
      <c r="B127" s="8">
        <v>125</v>
      </c>
      <c r="D127">
        <v>1367.1494532198999</v>
      </c>
      <c r="E127">
        <v>269.18590522479002</v>
      </c>
      <c r="F127">
        <v>126.73886883273001</v>
      </c>
      <c r="G127">
        <v>111.69915764140001</v>
      </c>
      <c r="I127" s="9">
        <f t="shared" si="8"/>
        <v>157.48674758339001</v>
      </c>
      <c r="J127" s="9">
        <f t="shared" si="9"/>
        <v>1240.4105843871698</v>
      </c>
      <c r="K127" s="9">
        <f t="shared" si="10"/>
        <v>157.48674758339001</v>
      </c>
      <c r="L127" s="10">
        <f t="shared" si="7"/>
        <v>0.12696340192969011</v>
      </c>
      <c r="M127" s="10">
        <f t="shared" si="11"/>
        <v>0.14737205026584271</v>
      </c>
      <c r="P127" s="8">
        <f t="shared" si="12"/>
        <v>-24.906409261159197</v>
      </c>
      <c r="X127" s="8">
        <v>-13</v>
      </c>
    </row>
    <row r="128" spans="1:24" x14ac:dyDescent="0.2">
      <c r="A128" s="8">
        <v>63</v>
      </c>
      <c r="B128" s="8">
        <v>126</v>
      </c>
      <c r="D128">
        <v>1360.9319562575999</v>
      </c>
      <c r="E128">
        <v>268.66950182260001</v>
      </c>
      <c r="F128">
        <v>126.6329723225</v>
      </c>
      <c r="G128">
        <v>111.706377858</v>
      </c>
      <c r="I128" s="9">
        <f t="shared" si="8"/>
        <v>156.96312396460002</v>
      </c>
      <c r="J128" s="9">
        <f t="shared" si="9"/>
        <v>1234.2989839350998</v>
      </c>
      <c r="K128" s="9">
        <f t="shared" si="10"/>
        <v>156.96312396460002</v>
      </c>
      <c r="L128" s="10">
        <f t="shared" si="7"/>
        <v>0.12716783049126551</v>
      </c>
      <c r="M128" s="10">
        <f t="shared" si="11"/>
        <v>0.14773974801410733</v>
      </c>
      <c r="P128" s="8">
        <f t="shared" si="12"/>
        <v>-24.719048468023946</v>
      </c>
      <c r="X128" s="8">
        <v>-13</v>
      </c>
    </row>
    <row r="129" spans="1:24" x14ac:dyDescent="0.2">
      <c r="A129" s="8">
        <v>63.5</v>
      </c>
      <c r="B129" s="8">
        <v>127</v>
      </c>
      <c r="D129">
        <v>1386.1287970838</v>
      </c>
      <c r="E129">
        <v>272.11786148238002</v>
      </c>
      <c r="F129">
        <v>127.33092659447</v>
      </c>
      <c r="G129">
        <v>111.41516245487</v>
      </c>
      <c r="I129" s="9">
        <f t="shared" si="8"/>
        <v>160.70269902751002</v>
      </c>
      <c r="J129" s="9">
        <f t="shared" si="9"/>
        <v>1258.7978704893301</v>
      </c>
      <c r="K129" s="9">
        <f t="shared" si="10"/>
        <v>160.70269902751002</v>
      </c>
      <c r="L129" s="10">
        <f t="shared" si="7"/>
        <v>0.12766362479231108</v>
      </c>
      <c r="M129" s="10">
        <f t="shared" si="11"/>
        <v>0.14839881150184212</v>
      </c>
      <c r="P129" s="8">
        <f t="shared" si="12"/>
        <v>-24.383221941015659</v>
      </c>
      <c r="X129" s="8">
        <v>-13</v>
      </c>
    </row>
    <row r="130" spans="1:24" x14ac:dyDescent="0.2">
      <c r="A130" s="8">
        <v>64</v>
      </c>
      <c r="B130" s="8">
        <v>128</v>
      </c>
      <c r="D130">
        <v>1406.1321212120999</v>
      </c>
      <c r="E130">
        <v>274.73575757575998</v>
      </c>
      <c r="F130">
        <v>126.47533092659</v>
      </c>
      <c r="G130">
        <v>111.92057761733</v>
      </c>
      <c r="I130" s="9">
        <f t="shared" si="8"/>
        <v>162.81517995842998</v>
      </c>
      <c r="J130" s="9">
        <f t="shared" si="9"/>
        <v>1279.6567902855099</v>
      </c>
      <c r="K130" s="9">
        <f t="shared" si="10"/>
        <v>162.81517995842998</v>
      </c>
      <c r="L130" s="10">
        <f t="shared" ref="L130:L193" si="14">K130/J130</f>
        <v>0.12723347478358127</v>
      </c>
      <c r="M130" s="10">
        <f t="shared" si="11"/>
        <v>0.14813193067980152</v>
      </c>
      <c r="P130" s="8">
        <f t="shared" si="12"/>
        <v>-24.51921135820983</v>
      </c>
      <c r="X130" s="8">
        <v>-13</v>
      </c>
    </row>
    <row r="131" spans="1:24" x14ac:dyDescent="0.2">
      <c r="A131" s="8">
        <v>64.5</v>
      </c>
      <c r="B131" s="8">
        <v>129</v>
      </c>
      <c r="D131">
        <v>1415.5115151514999</v>
      </c>
      <c r="E131">
        <v>277.77454545454998</v>
      </c>
      <c r="F131">
        <v>126.51624548737</v>
      </c>
      <c r="G131">
        <v>112.20216606498001</v>
      </c>
      <c r="I131" s="9">
        <f t="shared" ref="I131:I194" si="15">E131-G131</f>
        <v>165.57237938956996</v>
      </c>
      <c r="J131" s="9">
        <f t="shared" ref="J131:J194" si="16">D131-F131</f>
        <v>1288.9952696641299</v>
      </c>
      <c r="K131" s="9">
        <f t="shared" ref="K131:K194" si="17">I131*1</f>
        <v>165.57237938956996</v>
      </c>
      <c r="L131" s="10">
        <f t="shared" si="14"/>
        <v>0.12845072692370138</v>
      </c>
      <c r="M131" s="10">
        <f t="shared" ref="M131:M181" si="18">L131+ABS($N$2)*A131</f>
        <v>0.14951245200661084</v>
      </c>
      <c r="P131" s="8">
        <f t="shared" ref="P131:P194" si="19">(M131-$O$2)/$O$2*100</f>
        <v>-23.815765193657903</v>
      </c>
      <c r="X131" s="8">
        <v>-13</v>
      </c>
    </row>
    <row r="132" spans="1:24" x14ac:dyDescent="0.2">
      <c r="A132" s="8">
        <v>65</v>
      </c>
      <c r="B132" s="8">
        <v>130</v>
      </c>
      <c r="D132">
        <v>1423.6909090909</v>
      </c>
      <c r="E132">
        <v>275.81575757576002</v>
      </c>
      <c r="F132">
        <v>126.72081829122</v>
      </c>
      <c r="G132">
        <v>111.54512635379</v>
      </c>
      <c r="I132" s="9">
        <f t="shared" si="15"/>
        <v>164.27063122197001</v>
      </c>
      <c r="J132" s="9">
        <f t="shared" si="16"/>
        <v>1296.9700907996801</v>
      </c>
      <c r="K132" s="9">
        <f t="shared" si="17"/>
        <v>164.27063122197001</v>
      </c>
      <c r="L132" s="10">
        <f t="shared" si="14"/>
        <v>0.12665722393080378</v>
      </c>
      <c r="M132" s="10">
        <f t="shared" si="18"/>
        <v>0.14788221820040248</v>
      </c>
      <c r="P132" s="8">
        <f t="shared" si="19"/>
        <v>-24.646452627477281</v>
      </c>
      <c r="X132" s="8">
        <v>-13</v>
      </c>
    </row>
    <row r="133" spans="1:24" x14ac:dyDescent="0.2">
      <c r="A133" s="8">
        <v>65.5</v>
      </c>
      <c r="B133" s="8">
        <v>131</v>
      </c>
      <c r="D133">
        <v>1391.1707021791999</v>
      </c>
      <c r="E133">
        <v>273.28450363195998</v>
      </c>
      <c r="F133">
        <v>126.64741275572</v>
      </c>
      <c r="G133">
        <v>111.69314079422</v>
      </c>
      <c r="I133" s="9">
        <f t="shared" si="15"/>
        <v>161.59136283773998</v>
      </c>
      <c r="J133" s="9">
        <f t="shared" si="16"/>
        <v>1264.5232894234798</v>
      </c>
      <c r="K133" s="9">
        <f t="shared" si="17"/>
        <v>161.59136283773998</v>
      </c>
      <c r="L133" s="10">
        <f t="shared" si="14"/>
        <v>0.12778836434986701</v>
      </c>
      <c r="M133" s="10">
        <f t="shared" si="18"/>
        <v>0.14917662780615493</v>
      </c>
      <c r="P133" s="8">
        <f t="shared" si="19"/>
        <v>-23.986884785356217</v>
      </c>
      <c r="X133" s="8">
        <v>-13</v>
      </c>
    </row>
    <row r="134" spans="1:24" x14ac:dyDescent="0.2">
      <c r="A134" s="8">
        <v>66</v>
      </c>
      <c r="B134" s="8">
        <v>132</v>
      </c>
      <c r="D134">
        <v>1376.2276029056</v>
      </c>
      <c r="E134">
        <v>272.92615012107001</v>
      </c>
      <c r="F134">
        <v>126.71359807461</v>
      </c>
      <c r="G134">
        <v>111.69554753308999</v>
      </c>
      <c r="I134" s="9">
        <f t="shared" si="15"/>
        <v>161.23060258798</v>
      </c>
      <c r="J134" s="9">
        <f t="shared" si="16"/>
        <v>1249.51400483099</v>
      </c>
      <c r="K134" s="9">
        <f t="shared" si="17"/>
        <v>161.23060258798</v>
      </c>
      <c r="L134" s="10">
        <f t="shared" si="14"/>
        <v>0.12903465024370667</v>
      </c>
      <c r="M134" s="10">
        <f t="shared" si="18"/>
        <v>0.15058618288668379</v>
      </c>
      <c r="P134" s="8">
        <f t="shared" si="19"/>
        <v>-23.26864443957729</v>
      </c>
      <c r="X134" s="8">
        <v>-13</v>
      </c>
    </row>
    <row r="135" spans="1:24" x14ac:dyDescent="0.2">
      <c r="A135" s="8">
        <v>66.5</v>
      </c>
      <c r="B135" s="8">
        <v>133</v>
      </c>
      <c r="D135">
        <v>1336.8874092010001</v>
      </c>
      <c r="E135">
        <v>268.92130750605003</v>
      </c>
      <c r="F135">
        <v>126.75451263538</v>
      </c>
      <c r="G135">
        <v>111.61973525872</v>
      </c>
      <c r="I135" s="9">
        <f t="shared" si="15"/>
        <v>157.30157224733003</v>
      </c>
      <c r="J135" s="9">
        <f t="shared" si="16"/>
        <v>1210.1328965656201</v>
      </c>
      <c r="K135" s="9">
        <f t="shared" si="17"/>
        <v>157.30157224733003</v>
      </c>
      <c r="L135" s="10">
        <f t="shared" si="14"/>
        <v>0.12998702265987055</v>
      </c>
      <c r="M135" s="10">
        <f t="shared" si="18"/>
        <v>0.15170182448953692</v>
      </c>
      <c r="P135" s="8">
        <f t="shared" si="19"/>
        <v>-22.700168030483763</v>
      </c>
      <c r="X135" s="8">
        <v>-13</v>
      </c>
    </row>
    <row r="136" spans="1:24" x14ac:dyDescent="0.2">
      <c r="A136" s="8">
        <v>67</v>
      </c>
      <c r="B136" s="8">
        <v>134</v>
      </c>
      <c r="D136">
        <v>1249.9588377724001</v>
      </c>
      <c r="E136">
        <v>259.27360774817998</v>
      </c>
      <c r="F136">
        <v>126.52587244284</v>
      </c>
      <c r="G136">
        <v>112.05535499398</v>
      </c>
      <c r="I136" s="9">
        <f t="shared" si="15"/>
        <v>147.21825275419997</v>
      </c>
      <c r="J136" s="9">
        <f t="shared" si="16"/>
        <v>1123.4329653295601</v>
      </c>
      <c r="K136" s="9">
        <f t="shared" si="17"/>
        <v>147.21825275419997</v>
      </c>
      <c r="L136" s="10">
        <f t="shared" si="14"/>
        <v>0.13104320177307005</v>
      </c>
      <c r="M136" s="10">
        <f t="shared" si="18"/>
        <v>0.15292127278942563</v>
      </c>
      <c r="P136" s="8">
        <f t="shared" si="19"/>
        <v>-22.078796804434923</v>
      </c>
      <c r="X136" s="8">
        <v>-13</v>
      </c>
    </row>
    <row r="137" spans="1:24" x14ac:dyDescent="0.2">
      <c r="A137" s="8">
        <v>67.5</v>
      </c>
      <c r="B137" s="8">
        <v>135</v>
      </c>
      <c r="D137">
        <v>1384.0750605327</v>
      </c>
      <c r="E137">
        <v>275.30024213075001</v>
      </c>
      <c r="F137">
        <v>126.72202166065</v>
      </c>
      <c r="G137">
        <v>111.64139590854001</v>
      </c>
      <c r="I137" s="9">
        <f t="shared" si="15"/>
        <v>163.65884622221</v>
      </c>
      <c r="J137" s="9">
        <f t="shared" si="16"/>
        <v>1257.3530388720501</v>
      </c>
      <c r="K137" s="9">
        <f t="shared" si="17"/>
        <v>163.65884622221</v>
      </c>
      <c r="L137" s="10">
        <f t="shared" si="14"/>
        <v>0.13016141144338073</v>
      </c>
      <c r="M137" s="10">
        <f t="shared" si="18"/>
        <v>0.15220275164642552</v>
      </c>
      <c r="P137" s="8">
        <f t="shared" si="19"/>
        <v>-22.444920045255166</v>
      </c>
      <c r="X137" s="8">
        <v>-13</v>
      </c>
    </row>
    <row r="138" spans="1:24" x14ac:dyDescent="0.2">
      <c r="A138" s="8">
        <v>68</v>
      </c>
      <c r="B138" s="8">
        <v>136</v>
      </c>
      <c r="D138">
        <v>1402.8716707021999</v>
      </c>
      <c r="E138">
        <v>277.06416464890998</v>
      </c>
      <c r="F138">
        <v>126.93501805053999</v>
      </c>
      <c r="G138">
        <v>111.47533092659</v>
      </c>
      <c r="I138" s="9">
        <f t="shared" si="15"/>
        <v>165.58883372231998</v>
      </c>
      <c r="J138" s="9">
        <f t="shared" si="16"/>
        <v>1275.9366526516599</v>
      </c>
      <c r="K138" s="9">
        <f t="shared" si="17"/>
        <v>165.58883372231998</v>
      </c>
      <c r="L138" s="10">
        <f t="shared" si="14"/>
        <v>0.1297782561369267</v>
      </c>
      <c r="M138" s="10">
        <f t="shared" si="18"/>
        <v>0.15198286552666071</v>
      </c>
      <c r="P138" s="8">
        <f t="shared" si="19"/>
        <v>-22.556963260077683</v>
      </c>
      <c r="X138" s="8">
        <v>-13</v>
      </c>
    </row>
    <row r="139" spans="1:24" x14ac:dyDescent="0.2">
      <c r="A139" s="8">
        <v>68.5</v>
      </c>
      <c r="B139" s="8">
        <v>137</v>
      </c>
      <c r="D139">
        <v>1411.0338983050999</v>
      </c>
      <c r="E139">
        <v>279.14164648910003</v>
      </c>
      <c r="F139">
        <v>126.70758122744</v>
      </c>
      <c r="G139">
        <v>111.41756919373999</v>
      </c>
      <c r="I139" s="9">
        <f t="shared" si="15"/>
        <v>167.72407729536002</v>
      </c>
      <c r="J139" s="9">
        <f t="shared" si="16"/>
        <v>1284.32631707766</v>
      </c>
      <c r="K139" s="9">
        <f t="shared" si="17"/>
        <v>167.72407729536002</v>
      </c>
      <c r="L139" s="10">
        <f t="shared" si="14"/>
        <v>0.13059303937413452</v>
      </c>
      <c r="M139" s="10">
        <f t="shared" si="18"/>
        <v>0.15296091795055777</v>
      </c>
      <c r="P139" s="8">
        <f t="shared" si="19"/>
        <v>-22.058595568858287</v>
      </c>
      <c r="X139" s="8">
        <v>-13</v>
      </c>
    </row>
    <row r="140" spans="1:24" x14ac:dyDescent="0.2">
      <c r="A140" s="8">
        <v>69</v>
      </c>
      <c r="B140" s="8">
        <v>138</v>
      </c>
      <c r="D140">
        <v>1367.4757869248999</v>
      </c>
      <c r="E140">
        <v>275.65254237288002</v>
      </c>
      <c r="F140">
        <v>126.42238267147999</v>
      </c>
      <c r="G140">
        <v>111.76534296029</v>
      </c>
      <c r="I140" s="9">
        <f t="shared" si="15"/>
        <v>163.88719941259001</v>
      </c>
      <c r="J140" s="9">
        <f t="shared" si="16"/>
        <v>1241.05340425342</v>
      </c>
      <c r="K140" s="9">
        <f t="shared" si="17"/>
        <v>163.88719941259001</v>
      </c>
      <c r="L140" s="10">
        <f t="shared" si="14"/>
        <v>0.13205491306893402</v>
      </c>
      <c r="M140" s="10">
        <f t="shared" si="18"/>
        <v>0.15458606083204648</v>
      </c>
      <c r="P140" s="8">
        <f t="shared" si="19"/>
        <v>-21.230502221344214</v>
      </c>
      <c r="X140" s="8">
        <v>-13</v>
      </c>
    </row>
    <row r="141" spans="1:24" x14ac:dyDescent="0.2">
      <c r="A141" s="8">
        <v>69.5</v>
      </c>
      <c r="B141" s="8">
        <v>139</v>
      </c>
      <c r="D141">
        <v>1368.7992744861001</v>
      </c>
      <c r="E141">
        <v>274.53204353082998</v>
      </c>
      <c r="F141">
        <v>126.7412755716</v>
      </c>
      <c r="G141">
        <v>111.89049338146999</v>
      </c>
      <c r="I141" s="9">
        <f t="shared" si="15"/>
        <v>162.64155014936</v>
      </c>
      <c r="J141" s="9">
        <f t="shared" si="16"/>
        <v>1242.0579989145001</v>
      </c>
      <c r="K141" s="9">
        <f t="shared" si="17"/>
        <v>162.64155014936</v>
      </c>
      <c r="L141" s="10">
        <f t="shared" si="14"/>
        <v>0.13094521374323986</v>
      </c>
      <c r="M141" s="10">
        <f t="shared" si="18"/>
        <v>0.15363963069304154</v>
      </c>
      <c r="P141" s="8">
        <f t="shared" si="19"/>
        <v>-21.712756742422922</v>
      </c>
      <c r="X141" s="8">
        <v>-13</v>
      </c>
    </row>
    <row r="142" spans="1:24" x14ac:dyDescent="0.2">
      <c r="A142" s="8">
        <v>70</v>
      </c>
      <c r="B142" s="8">
        <v>140</v>
      </c>
      <c r="D142">
        <v>1388.3107617896001</v>
      </c>
      <c r="E142">
        <v>277.27085852479001</v>
      </c>
      <c r="F142">
        <v>126.61853188929</v>
      </c>
      <c r="G142">
        <v>111.86161251503999</v>
      </c>
      <c r="I142" s="9">
        <f t="shared" si="15"/>
        <v>165.40924600975001</v>
      </c>
      <c r="J142" s="9">
        <f t="shared" si="16"/>
        <v>1261.6922299003102</v>
      </c>
      <c r="K142" s="9">
        <f t="shared" si="17"/>
        <v>165.40924600975001</v>
      </c>
      <c r="L142" s="10">
        <f t="shared" si="14"/>
        <v>0.13110110539621811</v>
      </c>
      <c r="M142" s="10">
        <f t="shared" si="18"/>
        <v>0.15395879153270903</v>
      </c>
      <c r="P142" s="8">
        <f t="shared" si="19"/>
        <v>-21.550127984591153</v>
      </c>
      <c r="X142" s="8">
        <v>-13</v>
      </c>
    </row>
    <row r="143" spans="1:24" x14ac:dyDescent="0.2">
      <c r="A143" s="8">
        <v>70.5</v>
      </c>
      <c r="B143" s="8">
        <v>141</v>
      </c>
      <c r="D143">
        <v>1383.738814994</v>
      </c>
      <c r="E143">
        <v>276.81620314388999</v>
      </c>
      <c r="F143">
        <v>126.62454873646</v>
      </c>
      <c r="G143">
        <v>111.54031287605</v>
      </c>
      <c r="I143" s="9">
        <f t="shared" si="15"/>
        <v>165.27589026784</v>
      </c>
      <c r="J143" s="9">
        <f t="shared" si="16"/>
        <v>1257.1142662575401</v>
      </c>
      <c r="K143" s="9">
        <f t="shared" si="17"/>
        <v>165.27589026784</v>
      </c>
      <c r="L143" s="10">
        <f t="shared" si="14"/>
        <v>0.13147244821258006</v>
      </c>
      <c r="M143" s="10">
        <f t="shared" si="18"/>
        <v>0.15449340353576019</v>
      </c>
      <c r="P143" s="8">
        <f t="shared" si="19"/>
        <v>-21.277715848851866</v>
      </c>
      <c r="X143" s="8">
        <v>-13</v>
      </c>
    </row>
    <row r="144" spans="1:24" x14ac:dyDescent="0.2">
      <c r="A144" s="8">
        <v>71</v>
      </c>
      <c r="B144" s="8">
        <v>142</v>
      </c>
      <c r="D144">
        <v>1394.7581620313999</v>
      </c>
      <c r="E144">
        <v>276.83071342200998</v>
      </c>
      <c r="F144">
        <v>127.09265944645</v>
      </c>
      <c r="G144">
        <v>111.90613718412</v>
      </c>
      <c r="I144" s="9">
        <f t="shared" si="15"/>
        <v>164.92457623788999</v>
      </c>
      <c r="J144" s="9">
        <f t="shared" si="16"/>
        <v>1267.66550258495</v>
      </c>
      <c r="K144" s="9">
        <f t="shared" si="17"/>
        <v>164.92457623788999</v>
      </c>
      <c r="L144" s="10">
        <f t="shared" si="14"/>
        <v>0.13010102105136201</v>
      </c>
      <c r="M144" s="10">
        <f t="shared" si="18"/>
        <v>0.15328524556123135</v>
      </c>
      <c r="P144" s="8">
        <f t="shared" si="19"/>
        <v>-21.893334077162304</v>
      </c>
    </row>
    <row r="145" spans="1:16" x14ac:dyDescent="0.2">
      <c r="A145" s="8">
        <v>71.5</v>
      </c>
      <c r="B145" s="8">
        <v>143</v>
      </c>
      <c r="D145">
        <v>1390.5538089480001</v>
      </c>
      <c r="E145">
        <v>277.66989117291001</v>
      </c>
      <c r="F145">
        <v>126.51504211792999</v>
      </c>
      <c r="G145">
        <v>111.54512635379</v>
      </c>
      <c r="I145" s="9">
        <f t="shared" si="15"/>
        <v>166.12476481912</v>
      </c>
      <c r="J145" s="9">
        <f t="shared" si="16"/>
        <v>1264.03876683007</v>
      </c>
      <c r="K145" s="9">
        <f t="shared" si="17"/>
        <v>166.12476481912</v>
      </c>
      <c r="L145" s="10">
        <f t="shared" si="14"/>
        <v>0.13142378950585845</v>
      </c>
      <c r="M145" s="10">
        <f t="shared" si="18"/>
        <v>0.15477128320241701</v>
      </c>
      <c r="P145" s="8">
        <f t="shared" si="19"/>
        <v>-21.136121958253675</v>
      </c>
    </row>
    <row r="146" spans="1:16" x14ac:dyDescent="0.2">
      <c r="A146" s="8">
        <v>72</v>
      </c>
      <c r="B146" s="8">
        <v>144</v>
      </c>
      <c r="D146">
        <v>1384.4111245465999</v>
      </c>
      <c r="E146">
        <v>274.00967351873999</v>
      </c>
      <c r="F146">
        <v>126.84235860408999</v>
      </c>
      <c r="G146">
        <v>111.73044524669</v>
      </c>
      <c r="I146" s="9">
        <f t="shared" si="15"/>
        <v>162.27922827204998</v>
      </c>
      <c r="J146" s="9">
        <f t="shared" si="16"/>
        <v>1257.56876594251</v>
      </c>
      <c r="K146" s="9">
        <f t="shared" si="17"/>
        <v>162.27922827204998</v>
      </c>
      <c r="L146" s="10">
        <f t="shared" si="14"/>
        <v>0.1290420314712783</v>
      </c>
      <c r="M146" s="10">
        <f t="shared" si="18"/>
        <v>0.15255279435452607</v>
      </c>
      <c r="P146" s="8">
        <f t="shared" si="19"/>
        <v>-22.266555397305972</v>
      </c>
    </row>
    <row r="147" spans="1:16" x14ac:dyDescent="0.2">
      <c r="A147" s="8">
        <v>72.5</v>
      </c>
      <c r="B147" s="8">
        <v>145</v>
      </c>
      <c r="D147">
        <v>1387.665060241</v>
      </c>
      <c r="E147">
        <v>277.41927710842998</v>
      </c>
      <c r="F147">
        <v>126.70397111913</v>
      </c>
      <c r="G147">
        <v>111.40794223827</v>
      </c>
      <c r="I147" s="9">
        <f t="shared" si="15"/>
        <v>166.01133487016</v>
      </c>
      <c r="J147" s="9">
        <f t="shared" si="16"/>
        <v>1260.9610891218699</v>
      </c>
      <c r="K147" s="9">
        <f t="shared" si="17"/>
        <v>166.01133487016</v>
      </c>
      <c r="L147" s="10">
        <f t="shared" si="14"/>
        <v>0.13165460560386513</v>
      </c>
      <c r="M147" s="10">
        <f t="shared" si="18"/>
        <v>0.15532863767380214</v>
      </c>
      <c r="P147" s="8">
        <f t="shared" si="19"/>
        <v>-20.852121372693802</v>
      </c>
    </row>
    <row r="148" spans="1:16" x14ac:dyDescent="0.2">
      <c r="A148" s="8">
        <v>73</v>
      </c>
      <c r="B148" s="8">
        <v>146</v>
      </c>
      <c r="D148">
        <v>1341.0987951807001</v>
      </c>
      <c r="E148">
        <v>270.83975903614999</v>
      </c>
      <c r="F148">
        <v>126.94464500602</v>
      </c>
      <c r="G148">
        <v>111.31167268351</v>
      </c>
      <c r="I148" s="9">
        <f t="shared" si="15"/>
        <v>159.52808635264</v>
      </c>
      <c r="J148" s="9">
        <f t="shared" si="16"/>
        <v>1214.1541501746801</v>
      </c>
      <c r="K148" s="9">
        <f t="shared" si="17"/>
        <v>159.52808635264</v>
      </c>
      <c r="L148" s="10">
        <f t="shared" si="14"/>
        <v>0.13139030684834271</v>
      </c>
      <c r="M148" s="10">
        <f t="shared" si="18"/>
        <v>0.15522760810496894</v>
      </c>
      <c r="P148" s="8">
        <f t="shared" si="19"/>
        <v>-20.903601100910901</v>
      </c>
    </row>
    <row r="149" spans="1:16" x14ac:dyDescent="0.2">
      <c r="A149" s="8">
        <v>73.5</v>
      </c>
      <c r="B149" s="8">
        <v>147</v>
      </c>
      <c r="D149">
        <v>1406.2469879518001</v>
      </c>
      <c r="E149">
        <v>280.59518072289001</v>
      </c>
      <c r="F149">
        <v>126.09867629362</v>
      </c>
      <c r="G149">
        <v>111.60529482551</v>
      </c>
      <c r="I149" s="9">
        <f t="shared" si="15"/>
        <v>168.98988589738002</v>
      </c>
      <c r="J149" s="9">
        <f t="shared" si="16"/>
        <v>1280.1483116581801</v>
      </c>
      <c r="K149" s="9">
        <f t="shared" si="17"/>
        <v>168.98988589738002</v>
      </c>
      <c r="L149" s="10">
        <f t="shared" si="14"/>
        <v>0.13200805278451438</v>
      </c>
      <c r="M149" s="10">
        <f t="shared" si="18"/>
        <v>0.15600862322782982</v>
      </c>
      <c r="P149" s="8">
        <f t="shared" si="19"/>
        <v>-20.505633983732547</v>
      </c>
    </row>
    <row r="150" spans="1:16" x14ac:dyDescent="0.2">
      <c r="A150" s="8">
        <v>74</v>
      </c>
      <c r="B150" s="8">
        <v>148</v>
      </c>
      <c r="D150">
        <v>1365.2460984393999</v>
      </c>
      <c r="E150">
        <v>278.44417767107001</v>
      </c>
      <c r="F150">
        <v>126.95788206979999</v>
      </c>
      <c r="G150">
        <v>111.63176895306999</v>
      </c>
      <c r="I150" s="9">
        <f t="shared" si="15"/>
        <v>166.81240871800003</v>
      </c>
      <c r="J150" s="9">
        <f t="shared" si="16"/>
        <v>1238.2882163695999</v>
      </c>
      <c r="K150" s="9">
        <f t="shared" si="17"/>
        <v>166.81240871800003</v>
      </c>
      <c r="L150" s="10">
        <f t="shared" si="14"/>
        <v>0.13471210216879786</v>
      </c>
      <c r="M150" s="10">
        <f t="shared" si="18"/>
        <v>0.15887594179880254</v>
      </c>
      <c r="P150" s="8">
        <f t="shared" si="19"/>
        <v>-19.044588643736972</v>
      </c>
    </row>
    <row r="151" spans="1:16" x14ac:dyDescent="0.2">
      <c r="A151" s="8">
        <v>74.5</v>
      </c>
      <c r="B151" s="8">
        <v>149</v>
      </c>
      <c r="D151">
        <v>1380.1887019231001</v>
      </c>
      <c r="E151">
        <v>277.45673076922998</v>
      </c>
      <c r="F151">
        <v>126.22864019254</v>
      </c>
      <c r="G151">
        <v>111.68592057762</v>
      </c>
      <c r="I151" s="9">
        <f t="shared" si="15"/>
        <v>165.77081019161</v>
      </c>
      <c r="J151" s="9">
        <f t="shared" si="16"/>
        <v>1253.96006173056</v>
      </c>
      <c r="K151" s="9">
        <f t="shared" si="17"/>
        <v>165.77081019161</v>
      </c>
      <c r="L151" s="10">
        <f t="shared" si="14"/>
        <v>0.13219783887122666</v>
      </c>
      <c r="M151" s="10">
        <f t="shared" si="18"/>
        <v>0.15652494768792055</v>
      </c>
      <c r="P151" s="8">
        <f t="shared" si="19"/>
        <v>-20.242540285676746</v>
      </c>
    </row>
    <row r="152" spans="1:16" x14ac:dyDescent="0.2">
      <c r="A152" s="8">
        <v>75</v>
      </c>
      <c r="B152" s="8">
        <v>150</v>
      </c>
      <c r="D152">
        <v>1401.0554885403999</v>
      </c>
      <c r="E152">
        <v>278.17129071170001</v>
      </c>
      <c r="F152">
        <v>126.87123947052</v>
      </c>
      <c r="G152">
        <v>112.10108303249</v>
      </c>
      <c r="I152" s="9">
        <f t="shared" si="15"/>
        <v>166.07020767921</v>
      </c>
      <c r="J152" s="9">
        <f t="shared" si="16"/>
        <v>1274.1842490698798</v>
      </c>
      <c r="K152" s="9">
        <f t="shared" si="17"/>
        <v>166.07020767921</v>
      </c>
      <c r="L152" s="10">
        <f t="shared" si="14"/>
        <v>0.13033453191752825</v>
      </c>
      <c r="M152" s="10">
        <f t="shared" si="18"/>
        <v>0.15482490992091136</v>
      </c>
      <c r="P152" s="8">
        <f t="shared" si="19"/>
        <v>-21.108796404703885</v>
      </c>
    </row>
    <row r="153" spans="1:16" x14ac:dyDescent="0.2">
      <c r="A153" s="8">
        <v>75.5</v>
      </c>
      <c r="B153" s="8">
        <v>151</v>
      </c>
      <c r="D153">
        <v>1405.5771084337</v>
      </c>
      <c r="E153">
        <v>282.78795180723</v>
      </c>
      <c r="F153">
        <v>126.60649819495001</v>
      </c>
      <c r="G153">
        <v>111.88327316486</v>
      </c>
      <c r="I153" s="9">
        <f t="shared" si="15"/>
        <v>170.90467864237002</v>
      </c>
      <c r="J153" s="9">
        <f t="shared" si="16"/>
        <v>1278.9706102387499</v>
      </c>
      <c r="K153" s="9">
        <f t="shared" si="17"/>
        <v>170.90467864237002</v>
      </c>
      <c r="L153" s="10">
        <f t="shared" si="14"/>
        <v>0.13362674425369839</v>
      </c>
      <c r="M153" s="10">
        <f t="shared" si="18"/>
        <v>0.15828039144377071</v>
      </c>
      <c r="P153" s="8">
        <f t="shared" si="19"/>
        <v>-19.348051983932475</v>
      </c>
    </row>
    <row r="154" spans="1:16" x14ac:dyDescent="0.2">
      <c r="A154" s="8">
        <v>76</v>
      </c>
      <c r="B154" s="8">
        <v>152</v>
      </c>
      <c r="D154">
        <v>1347.1716686674999</v>
      </c>
      <c r="E154">
        <v>271.57863145258</v>
      </c>
      <c r="F154">
        <v>126.07821901324</v>
      </c>
      <c r="G154">
        <v>111.66064981949999</v>
      </c>
      <c r="I154" s="9">
        <f t="shared" si="15"/>
        <v>159.91798163307999</v>
      </c>
      <c r="J154" s="9">
        <f t="shared" si="16"/>
        <v>1221.09344965426</v>
      </c>
      <c r="K154" s="9">
        <f t="shared" si="17"/>
        <v>159.91798163307999</v>
      </c>
      <c r="L154" s="10">
        <f t="shared" si="14"/>
        <v>0.13096293463727868</v>
      </c>
      <c r="M154" s="10">
        <f t="shared" si="18"/>
        <v>0.15577985101404024</v>
      </c>
      <c r="P154" s="8">
        <f t="shared" si="19"/>
        <v>-20.622205117565212</v>
      </c>
    </row>
    <row r="155" spans="1:16" x14ac:dyDescent="0.2">
      <c r="A155" s="8">
        <v>76.5</v>
      </c>
      <c r="B155" s="8">
        <v>153</v>
      </c>
      <c r="D155">
        <v>1319.8680387408999</v>
      </c>
      <c r="E155">
        <v>267.20823244552003</v>
      </c>
      <c r="F155">
        <v>126.69434416366001</v>
      </c>
      <c r="G155">
        <v>111.50300842359</v>
      </c>
      <c r="I155" s="9">
        <f t="shared" si="15"/>
        <v>155.70522402193001</v>
      </c>
      <c r="J155" s="9">
        <f t="shared" si="16"/>
        <v>1193.17369457724</v>
      </c>
      <c r="K155" s="9">
        <f t="shared" si="17"/>
        <v>155.70522402193001</v>
      </c>
      <c r="L155" s="10">
        <f t="shared" si="14"/>
        <v>0.13049669526706989</v>
      </c>
      <c r="M155" s="10">
        <f t="shared" si="18"/>
        <v>0.15547688083052066</v>
      </c>
      <c r="P155" s="8">
        <f t="shared" si="19"/>
        <v>-20.776583908701323</v>
      </c>
    </row>
    <row r="156" spans="1:16" x14ac:dyDescent="0.2">
      <c r="A156" s="8">
        <v>77</v>
      </c>
      <c r="B156" s="8">
        <v>154</v>
      </c>
      <c r="D156">
        <v>1387.423216445</v>
      </c>
      <c r="E156">
        <v>273.87424425634998</v>
      </c>
      <c r="F156">
        <v>126.80625752106</v>
      </c>
      <c r="G156">
        <v>111.74007220217</v>
      </c>
      <c r="I156" s="9">
        <f t="shared" si="15"/>
        <v>162.13417205418</v>
      </c>
      <c r="J156" s="9">
        <f t="shared" si="16"/>
        <v>1260.61695892394</v>
      </c>
      <c r="K156" s="9">
        <f t="shared" si="17"/>
        <v>162.13417205418</v>
      </c>
      <c r="L156" s="10">
        <f t="shared" si="14"/>
        <v>0.12861493803207072</v>
      </c>
      <c r="M156" s="10">
        <f t="shared" si="18"/>
        <v>0.15375839278221071</v>
      </c>
      <c r="P156" s="8">
        <f t="shared" si="19"/>
        <v>-21.652241388912731</v>
      </c>
    </row>
    <row r="157" spans="1:16" x14ac:dyDescent="0.2">
      <c r="A157" s="8">
        <v>77.5</v>
      </c>
      <c r="B157" s="8">
        <v>155</v>
      </c>
      <c r="D157">
        <v>1392.3860911270999</v>
      </c>
      <c r="E157">
        <v>274.60191846523003</v>
      </c>
      <c r="F157">
        <v>126.89651022864</v>
      </c>
      <c r="G157">
        <v>112.08543922984001</v>
      </c>
      <c r="I157" s="9">
        <f t="shared" si="15"/>
        <v>162.51647923539002</v>
      </c>
      <c r="J157" s="9">
        <f t="shared" si="16"/>
        <v>1265.48958089846</v>
      </c>
      <c r="K157" s="9">
        <f t="shared" si="17"/>
        <v>162.51647923539002</v>
      </c>
      <c r="L157" s="10">
        <f t="shared" si="14"/>
        <v>0.12842182321248996</v>
      </c>
      <c r="M157" s="10">
        <f t="shared" si="18"/>
        <v>0.15372854714931916</v>
      </c>
      <c r="P157" s="8">
        <f t="shared" si="19"/>
        <v>-21.667449264067191</v>
      </c>
    </row>
    <row r="158" spans="1:16" x14ac:dyDescent="0.2">
      <c r="A158" s="8">
        <v>78</v>
      </c>
      <c r="B158" s="8">
        <v>156</v>
      </c>
      <c r="D158">
        <v>1405.4388489209</v>
      </c>
      <c r="E158">
        <v>275.16306954436999</v>
      </c>
      <c r="F158">
        <v>126.26594464500999</v>
      </c>
      <c r="G158">
        <v>111.78219013237</v>
      </c>
      <c r="I158" s="9">
        <f t="shared" si="15"/>
        <v>163.38087941199998</v>
      </c>
      <c r="J158" s="9">
        <f t="shared" si="16"/>
        <v>1279.17290427589</v>
      </c>
      <c r="K158" s="9">
        <f t="shared" si="17"/>
        <v>163.38087941199998</v>
      </c>
      <c r="L158" s="10">
        <f t="shared" si="14"/>
        <v>0.12772384316918134</v>
      </c>
      <c r="M158" s="10">
        <f t="shared" si="18"/>
        <v>0.15319383629269978</v>
      </c>
      <c r="P158" s="8">
        <f t="shared" si="19"/>
        <v>-21.939911770751181</v>
      </c>
    </row>
    <row r="159" spans="1:16" x14ac:dyDescent="0.2">
      <c r="A159" s="8">
        <v>78.5</v>
      </c>
      <c r="B159" s="8">
        <v>157</v>
      </c>
      <c r="D159">
        <v>1302.0072463767999</v>
      </c>
      <c r="E159">
        <v>263.01207729469002</v>
      </c>
      <c r="F159">
        <v>126.73886883273001</v>
      </c>
      <c r="G159">
        <v>111.46811070999</v>
      </c>
      <c r="I159" s="9">
        <f t="shared" si="15"/>
        <v>151.5439665847</v>
      </c>
      <c r="J159" s="9">
        <f t="shared" si="16"/>
        <v>1175.2683775440698</v>
      </c>
      <c r="K159" s="9">
        <f t="shared" si="17"/>
        <v>151.5439665847</v>
      </c>
      <c r="L159" s="10">
        <f t="shared" si="14"/>
        <v>0.12894413691396836</v>
      </c>
      <c r="M159" s="10">
        <f t="shared" si="18"/>
        <v>0.15457739922417602</v>
      </c>
      <c r="P159" s="8">
        <f t="shared" si="19"/>
        <v>-21.234915753186865</v>
      </c>
    </row>
    <row r="160" spans="1:16" x14ac:dyDescent="0.2">
      <c r="A160" s="8">
        <v>79</v>
      </c>
      <c r="B160" s="8">
        <v>158</v>
      </c>
      <c r="D160">
        <v>1345.0796139928</v>
      </c>
      <c r="E160">
        <v>270.12062726175998</v>
      </c>
      <c r="F160">
        <v>126.58604091456</v>
      </c>
      <c r="G160">
        <v>112.03369434416</v>
      </c>
      <c r="I160" s="9">
        <f t="shared" si="15"/>
        <v>158.0869329176</v>
      </c>
      <c r="J160" s="9">
        <f t="shared" si="16"/>
        <v>1218.4935730782399</v>
      </c>
      <c r="K160" s="9">
        <f t="shared" si="17"/>
        <v>158.0869329176</v>
      </c>
      <c r="L160" s="10">
        <f t="shared" si="14"/>
        <v>0.1297396526419341</v>
      </c>
      <c r="M160" s="10">
        <f t="shared" si="18"/>
        <v>0.15553618413883097</v>
      </c>
      <c r="P160" s="8">
        <f t="shared" si="19"/>
        <v>-20.746365842550514</v>
      </c>
    </row>
    <row r="161" spans="1:16" x14ac:dyDescent="0.2">
      <c r="A161" s="8">
        <v>79.5</v>
      </c>
      <c r="B161" s="8">
        <v>159</v>
      </c>
      <c r="D161">
        <v>1343.015719468</v>
      </c>
      <c r="E161">
        <v>267.37243047158</v>
      </c>
      <c r="F161">
        <v>126.8146811071</v>
      </c>
      <c r="G161">
        <v>111.44645006016999</v>
      </c>
      <c r="I161" s="9">
        <f t="shared" si="15"/>
        <v>155.92598041141002</v>
      </c>
      <c r="J161" s="9">
        <f t="shared" si="16"/>
        <v>1216.2010383608999</v>
      </c>
      <c r="K161" s="9">
        <f t="shared" si="17"/>
        <v>155.92598041141002</v>
      </c>
      <c r="L161" s="10">
        <f t="shared" si="14"/>
        <v>0.12820740608933764</v>
      </c>
      <c r="M161" s="10">
        <f t="shared" si="18"/>
        <v>0.15416720677292373</v>
      </c>
      <c r="P161" s="8">
        <f t="shared" si="19"/>
        <v>-21.443929769093792</v>
      </c>
    </row>
    <row r="162" spans="1:16" x14ac:dyDescent="0.2">
      <c r="A162" s="8">
        <v>80</v>
      </c>
      <c r="B162" s="4">
        <v>160</v>
      </c>
      <c r="C162" s="4" t="s">
        <v>7</v>
      </c>
      <c r="D162">
        <v>1360.7267230954999</v>
      </c>
      <c r="E162">
        <v>268.49818621524003</v>
      </c>
      <c r="F162">
        <v>126.82791817088</v>
      </c>
      <c r="G162">
        <v>111.40312876053</v>
      </c>
      <c r="H162" s="4"/>
      <c r="I162" s="5">
        <f t="shared" si="15"/>
        <v>157.09505745471003</v>
      </c>
      <c r="J162" s="5">
        <f t="shared" si="16"/>
        <v>1233.89880492462</v>
      </c>
      <c r="K162" s="9">
        <f t="shared" si="17"/>
        <v>157.09505745471003</v>
      </c>
      <c r="L162" s="6">
        <f t="shared" si="14"/>
        <v>0.12731599773638416</v>
      </c>
      <c r="M162" s="6">
        <f t="shared" si="18"/>
        <v>0.15343906760665948</v>
      </c>
      <c r="N162" s="4"/>
      <c r="O162" s="4"/>
      <c r="P162" s="4">
        <f t="shared" si="19"/>
        <v>-21.814953884275294</v>
      </c>
    </row>
    <row r="163" spans="1:16" x14ac:dyDescent="0.2">
      <c r="A163" s="8">
        <v>80.5</v>
      </c>
      <c r="B163" s="8">
        <v>161</v>
      </c>
      <c r="D163">
        <v>1366.4836759371001</v>
      </c>
      <c r="E163">
        <v>327.45344619104998</v>
      </c>
      <c r="F163">
        <v>126.57882069794999</v>
      </c>
      <c r="G163">
        <v>111.50180505415</v>
      </c>
      <c r="I163" s="9">
        <f t="shared" si="15"/>
        <v>215.95164113689998</v>
      </c>
      <c r="J163" s="9">
        <f t="shared" si="16"/>
        <v>1239.90485523915</v>
      </c>
      <c r="K163" s="9">
        <f t="shared" si="17"/>
        <v>215.95164113689998</v>
      </c>
      <c r="L163" s="10">
        <f t="shared" si="14"/>
        <v>0.17416791314624516</v>
      </c>
      <c r="M163" s="10">
        <f t="shared" si="18"/>
        <v>0.2004542522032097</v>
      </c>
      <c r="P163" s="8">
        <f t="shared" si="19"/>
        <v>2.1416852765133103</v>
      </c>
    </row>
    <row r="164" spans="1:16" x14ac:dyDescent="0.2">
      <c r="A164" s="8">
        <v>81</v>
      </c>
      <c r="B164" s="8">
        <v>162</v>
      </c>
      <c r="D164">
        <v>1366.9275362318999</v>
      </c>
      <c r="E164">
        <v>371.68719806762999</v>
      </c>
      <c r="F164">
        <v>126.65583634175999</v>
      </c>
      <c r="G164">
        <v>111.90974729241999</v>
      </c>
      <c r="I164" s="9">
        <f t="shared" si="15"/>
        <v>259.77745077521001</v>
      </c>
      <c r="J164" s="9">
        <f t="shared" si="16"/>
        <v>1240.2716998901399</v>
      </c>
      <c r="K164" s="9">
        <f t="shared" si="17"/>
        <v>259.77745077521001</v>
      </c>
      <c r="L164" s="10">
        <f t="shared" si="14"/>
        <v>0.20945205054523169</v>
      </c>
      <c r="M164" s="10">
        <f t="shared" si="18"/>
        <v>0.23590165878888544</v>
      </c>
      <c r="P164" s="8">
        <f t="shared" si="19"/>
        <v>20.203950394602547</v>
      </c>
    </row>
    <row r="165" spans="1:16" x14ac:dyDescent="0.2">
      <c r="A165" s="8">
        <v>81.5</v>
      </c>
      <c r="B165" s="8">
        <v>163</v>
      </c>
      <c r="D165">
        <v>1353.9673913044001</v>
      </c>
      <c r="E165">
        <v>402.56159420289998</v>
      </c>
      <c r="F165">
        <v>125.95066185319</v>
      </c>
      <c r="G165">
        <v>111.35860409145999</v>
      </c>
      <c r="I165" s="9">
        <f t="shared" si="15"/>
        <v>291.20299011143999</v>
      </c>
      <c r="J165" s="9">
        <f t="shared" si="16"/>
        <v>1228.01672945121</v>
      </c>
      <c r="K165" s="9">
        <f t="shared" si="17"/>
        <v>291.20299011143999</v>
      </c>
      <c r="L165" s="10">
        <f t="shared" si="14"/>
        <v>0.23713275489461455</v>
      </c>
      <c r="M165" s="10">
        <f t="shared" si="18"/>
        <v>0.26374563232495751</v>
      </c>
      <c r="P165" s="8">
        <f t="shared" si="19"/>
        <v>34.391877816994736</v>
      </c>
    </row>
    <row r="166" spans="1:16" x14ac:dyDescent="0.2">
      <c r="A166" s="8">
        <v>82</v>
      </c>
      <c r="B166" s="8">
        <v>164</v>
      </c>
      <c r="D166">
        <v>1399.8883553421001</v>
      </c>
      <c r="E166">
        <v>466.63265306122997</v>
      </c>
      <c r="F166">
        <v>126.74608904934</v>
      </c>
      <c r="G166">
        <v>111.53549939832</v>
      </c>
      <c r="I166" s="9">
        <f t="shared" si="15"/>
        <v>355.09715366290999</v>
      </c>
      <c r="J166" s="9">
        <f t="shared" si="16"/>
        <v>1273.14226629276</v>
      </c>
      <c r="K166" s="9">
        <f t="shared" si="17"/>
        <v>355.09715366290999</v>
      </c>
      <c r="L166" s="10">
        <f t="shared" si="14"/>
        <v>0.27891396198549828</v>
      </c>
      <c r="M166" s="10">
        <f t="shared" si="18"/>
        <v>0.30569010860253049</v>
      </c>
      <c r="P166" s="8">
        <f t="shared" si="19"/>
        <v>55.764731961734284</v>
      </c>
    </row>
    <row r="167" spans="1:16" x14ac:dyDescent="0.2">
      <c r="A167" s="8">
        <v>82.5</v>
      </c>
      <c r="B167" s="8">
        <v>165</v>
      </c>
      <c r="D167">
        <v>1413.1451027810999</v>
      </c>
      <c r="E167">
        <v>507.61789600967001</v>
      </c>
      <c r="F167">
        <v>126.60168471721001</v>
      </c>
      <c r="G167">
        <v>111.93622141998</v>
      </c>
      <c r="I167" s="9">
        <f t="shared" si="15"/>
        <v>395.68167458969003</v>
      </c>
      <c r="J167" s="9">
        <f t="shared" si="16"/>
        <v>1286.5434180638899</v>
      </c>
      <c r="K167" s="9">
        <f t="shared" si="17"/>
        <v>395.68167458969003</v>
      </c>
      <c r="L167" s="10">
        <f t="shared" si="14"/>
        <v>0.30755407787569933</v>
      </c>
      <c r="M167" s="10">
        <f t="shared" si="18"/>
        <v>0.33449349367942077</v>
      </c>
      <c r="P167" s="8">
        <f t="shared" si="19"/>
        <v>70.441528592815374</v>
      </c>
    </row>
    <row r="168" spans="1:16" x14ac:dyDescent="0.2">
      <c r="A168" s="8">
        <v>83</v>
      </c>
      <c r="B168" s="8">
        <v>166</v>
      </c>
      <c r="D168">
        <v>1336.3700120919</v>
      </c>
      <c r="E168">
        <v>492.85610640870999</v>
      </c>
      <c r="F168">
        <v>126.71600481348</v>
      </c>
      <c r="G168">
        <v>111.67870036101</v>
      </c>
      <c r="I168" s="9">
        <f t="shared" si="15"/>
        <v>381.1774060477</v>
      </c>
      <c r="J168" s="9">
        <f t="shared" si="16"/>
        <v>1209.6540072784201</v>
      </c>
      <c r="K168" s="9">
        <f t="shared" si="17"/>
        <v>381.1774060477</v>
      </c>
      <c r="L168" s="10">
        <f t="shared" si="14"/>
        <v>0.31511275435304392</v>
      </c>
      <c r="M168" s="10">
        <f t="shared" si="18"/>
        <v>0.34221543934345455</v>
      </c>
      <c r="P168" s="8">
        <f t="shared" si="19"/>
        <v>74.376254521894197</v>
      </c>
    </row>
    <row r="169" spans="1:16" x14ac:dyDescent="0.2">
      <c r="A169" s="8">
        <v>83.5</v>
      </c>
      <c r="B169" s="8">
        <v>167</v>
      </c>
      <c r="D169">
        <v>1409.8289156627</v>
      </c>
      <c r="E169">
        <v>537.19397590361996</v>
      </c>
      <c r="F169">
        <v>126.14560770156</v>
      </c>
      <c r="G169">
        <v>111.41636582431001</v>
      </c>
      <c r="I169" s="9">
        <f t="shared" si="15"/>
        <v>425.77761007930997</v>
      </c>
      <c r="J169" s="9">
        <f t="shared" si="16"/>
        <v>1283.6833079611399</v>
      </c>
      <c r="K169" s="9">
        <f t="shared" si="17"/>
        <v>425.77761007930997</v>
      </c>
      <c r="L169" s="10">
        <f t="shared" si="14"/>
        <v>0.33168430830152951</v>
      </c>
      <c r="M169" s="10">
        <f t="shared" si="18"/>
        <v>0.35895026247862938</v>
      </c>
      <c r="P169" s="8">
        <f t="shared" si="19"/>
        <v>82.903502106037834</v>
      </c>
    </row>
    <row r="170" spans="1:16" x14ac:dyDescent="0.2">
      <c r="A170" s="8">
        <v>84</v>
      </c>
      <c r="B170" s="8">
        <v>168</v>
      </c>
      <c r="D170">
        <v>1484.0109090909</v>
      </c>
      <c r="E170">
        <v>577.07030303030001</v>
      </c>
      <c r="F170">
        <v>126.7797833935</v>
      </c>
      <c r="G170">
        <v>111.43802647413</v>
      </c>
      <c r="I170" s="9">
        <f t="shared" si="15"/>
        <v>465.63227655617004</v>
      </c>
      <c r="J170" s="9">
        <f t="shared" si="16"/>
        <v>1357.2311256973999</v>
      </c>
      <c r="K170" s="9">
        <f t="shared" si="17"/>
        <v>465.63227655617004</v>
      </c>
      <c r="L170" s="10">
        <f t="shared" si="14"/>
        <v>0.34307515333242117</v>
      </c>
      <c r="M170" s="10">
        <f t="shared" si="18"/>
        <v>0.37050437669621028</v>
      </c>
      <c r="P170" s="8">
        <f t="shared" si="19"/>
        <v>88.79091374779567</v>
      </c>
    </row>
    <row r="171" spans="1:16" x14ac:dyDescent="0.2">
      <c r="A171" s="8">
        <v>84.5</v>
      </c>
      <c r="B171" s="8">
        <v>169</v>
      </c>
      <c r="D171">
        <v>1505.9100719425001</v>
      </c>
      <c r="E171">
        <v>593.04676258993004</v>
      </c>
      <c r="F171">
        <v>126.58122743682</v>
      </c>
      <c r="G171">
        <v>111.48736462094</v>
      </c>
      <c r="I171" s="9">
        <f t="shared" si="15"/>
        <v>481.55939796899003</v>
      </c>
      <c r="J171" s="9">
        <f t="shared" si="16"/>
        <v>1379.3288445056801</v>
      </c>
      <c r="K171" s="9">
        <f t="shared" si="17"/>
        <v>481.55939796899003</v>
      </c>
      <c r="L171" s="10">
        <f t="shared" si="14"/>
        <v>0.34912588095811908</v>
      </c>
      <c r="M171" s="10">
        <f t="shared" si="18"/>
        <v>0.37671837350859738</v>
      </c>
      <c r="P171" s="8">
        <f t="shared" si="19"/>
        <v>91.957262676511178</v>
      </c>
    </row>
    <row r="172" spans="1:16" x14ac:dyDescent="0.2">
      <c r="A172" s="8">
        <v>85</v>
      </c>
      <c r="B172" s="8">
        <v>170</v>
      </c>
      <c r="D172">
        <v>1521.7278177457999</v>
      </c>
      <c r="E172">
        <v>605.36690647481998</v>
      </c>
      <c r="F172">
        <v>126.4476534296</v>
      </c>
      <c r="G172">
        <v>112.30445246691001</v>
      </c>
      <c r="I172" s="9">
        <f t="shared" si="15"/>
        <v>493.06245400790999</v>
      </c>
      <c r="J172" s="9">
        <f t="shared" si="16"/>
        <v>1395.2801643161999</v>
      </c>
      <c r="K172" s="9">
        <f t="shared" si="17"/>
        <v>493.06245400790999</v>
      </c>
      <c r="L172" s="10">
        <f t="shared" si="14"/>
        <v>0.3533788171134436</v>
      </c>
      <c r="M172" s="10">
        <f t="shared" si="18"/>
        <v>0.38113457885061114</v>
      </c>
      <c r="P172" s="8">
        <f t="shared" si="19"/>
        <v>94.207544978844908</v>
      </c>
    </row>
    <row r="173" spans="1:16" x14ac:dyDescent="0.2">
      <c r="A173" s="8">
        <v>85.5</v>
      </c>
      <c r="B173" s="8">
        <v>171</v>
      </c>
      <c r="D173">
        <v>1430.3645083933</v>
      </c>
      <c r="E173">
        <v>570.29496402877999</v>
      </c>
      <c r="F173">
        <v>126.3321299639</v>
      </c>
      <c r="G173">
        <v>111.68471720818</v>
      </c>
      <c r="I173" s="9">
        <f t="shared" si="15"/>
        <v>458.61024682059997</v>
      </c>
      <c r="J173" s="9">
        <f t="shared" si="16"/>
        <v>1304.0323784294001</v>
      </c>
      <c r="K173" s="9">
        <f t="shared" si="17"/>
        <v>458.61024682059997</v>
      </c>
      <c r="L173" s="10">
        <f t="shared" si="14"/>
        <v>0.35168624215677707</v>
      </c>
      <c r="M173" s="10">
        <f t="shared" si="18"/>
        <v>0.3796052730806338</v>
      </c>
      <c r="P173" s="8">
        <f t="shared" si="19"/>
        <v>93.428285537193219</v>
      </c>
    </row>
    <row r="174" spans="1:16" x14ac:dyDescent="0.2">
      <c r="A174" s="8">
        <v>86</v>
      </c>
      <c r="B174" s="8">
        <v>172</v>
      </c>
      <c r="D174">
        <v>1440.7410071941999</v>
      </c>
      <c r="E174">
        <v>562.64028776978</v>
      </c>
      <c r="F174">
        <v>125.55475330927</v>
      </c>
      <c r="G174">
        <v>111.68471720818</v>
      </c>
      <c r="I174" s="9">
        <f t="shared" si="15"/>
        <v>450.95557056159998</v>
      </c>
      <c r="J174" s="9">
        <f t="shared" si="16"/>
        <v>1315.18625388493</v>
      </c>
      <c r="K174" s="9">
        <f t="shared" si="17"/>
        <v>450.95557056159998</v>
      </c>
      <c r="L174" s="10">
        <f t="shared" si="14"/>
        <v>0.34288342752178397</v>
      </c>
      <c r="M174" s="10">
        <f t="shared" si="18"/>
        <v>0.37096572763232993</v>
      </c>
      <c r="P174" s="8">
        <f t="shared" si="19"/>
        <v>89.025995626085731</v>
      </c>
    </row>
    <row r="175" spans="1:16" x14ac:dyDescent="0.2">
      <c r="A175" s="8">
        <v>86.5</v>
      </c>
      <c r="B175" s="8">
        <v>173</v>
      </c>
      <c r="D175">
        <v>1322.2958083832</v>
      </c>
      <c r="E175">
        <v>524.71976047904002</v>
      </c>
      <c r="F175">
        <v>126.32009626956</v>
      </c>
      <c r="G175">
        <v>111.7376654633</v>
      </c>
      <c r="I175" s="9">
        <f t="shared" si="15"/>
        <v>412.98209501574001</v>
      </c>
      <c r="J175" s="9">
        <f t="shared" si="16"/>
        <v>1195.9757121136399</v>
      </c>
      <c r="K175" s="9">
        <f t="shared" si="17"/>
        <v>412.98209501574001</v>
      </c>
      <c r="L175" s="10">
        <f t="shared" si="14"/>
        <v>0.34530976744158082</v>
      </c>
      <c r="M175" s="10">
        <f t="shared" si="18"/>
        <v>0.37355533673881602</v>
      </c>
      <c r="P175" s="8">
        <f t="shared" si="19"/>
        <v>90.345533802186637</v>
      </c>
    </row>
    <row r="176" spans="1:16" x14ac:dyDescent="0.2">
      <c r="A176" s="8">
        <v>87</v>
      </c>
      <c r="B176" s="8">
        <v>174</v>
      </c>
      <c r="D176">
        <v>1232.6348246675</v>
      </c>
      <c r="E176">
        <v>502.91293833131999</v>
      </c>
      <c r="F176">
        <v>126.09747292419</v>
      </c>
      <c r="G176">
        <v>111.79422382672</v>
      </c>
      <c r="I176" s="9">
        <f t="shared" si="15"/>
        <v>391.11871450460001</v>
      </c>
      <c r="J176" s="9">
        <f t="shared" si="16"/>
        <v>1106.53735174331</v>
      </c>
      <c r="K176" s="9">
        <f t="shared" si="17"/>
        <v>391.11871450460001</v>
      </c>
      <c r="L176" s="10">
        <f t="shared" si="14"/>
        <v>0.35346182746421212</v>
      </c>
      <c r="M176" s="10">
        <f t="shared" si="18"/>
        <v>0.38187066594813651</v>
      </c>
      <c r="P176" s="8">
        <f t="shared" si="19"/>
        <v>94.582618971165715</v>
      </c>
    </row>
    <row r="177" spans="1:16" x14ac:dyDescent="0.2">
      <c r="A177" s="8">
        <v>87.5</v>
      </c>
      <c r="B177" s="8">
        <v>175</v>
      </c>
      <c r="D177">
        <v>1335.6376811594</v>
      </c>
      <c r="E177">
        <v>526.04710144928004</v>
      </c>
      <c r="F177">
        <v>126.60409145608</v>
      </c>
      <c r="G177">
        <v>111.73886883273001</v>
      </c>
      <c r="I177" s="9">
        <f t="shared" si="15"/>
        <v>414.30823261655001</v>
      </c>
      <c r="J177" s="9">
        <f t="shared" si="16"/>
        <v>1209.0335897033201</v>
      </c>
      <c r="K177" s="9">
        <f t="shared" si="17"/>
        <v>414.30823261655001</v>
      </c>
      <c r="L177" s="10">
        <f t="shared" si="14"/>
        <v>0.34267718957106513</v>
      </c>
      <c r="M177" s="10">
        <f t="shared" si="18"/>
        <v>0.37124929724167877</v>
      </c>
      <c r="P177" s="8">
        <f t="shared" si="19"/>
        <v>89.17048883325765</v>
      </c>
    </row>
    <row r="178" spans="1:16" x14ac:dyDescent="0.2">
      <c r="A178" s="8">
        <v>88</v>
      </c>
      <c r="B178" s="8">
        <v>176</v>
      </c>
      <c r="D178">
        <v>1363.900243309</v>
      </c>
      <c r="E178">
        <v>504.92214111921999</v>
      </c>
      <c r="F178">
        <v>125.93140794224</v>
      </c>
      <c r="G178">
        <v>111.76774969916001</v>
      </c>
      <c r="I178" s="9">
        <f t="shared" si="15"/>
        <v>393.15439142005999</v>
      </c>
      <c r="J178" s="9">
        <f t="shared" si="16"/>
        <v>1237.96883536676</v>
      </c>
      <c r="K178" s="9">
        <f t="shared" si="17"/>
        <v>393.15439142005999</v>
      </c>
      <c r="L178" s="10">
        <f t="shared" si="14"/>
        <v>0.31758020088089234</v>
      </c>
      <c r="M178" s="10">
        <f t="shared" si="18"/>
        <v>0.34631557773819521</v>
      </c>
      <c r="P178" s="8">
        <f t="shared" si="19"/>
        <v>76.465484562677759</v>
      </c>
    </row>
    <row r="179" spans="1:16" x14ac:dyDescent="0.2">
      <c r="A179" s="8">
        <v>88.5</v>
      </c>
      <c r="B179" s="8">
        <v>177</v>
      </c>
      <c r="D179">
        <v>1404.5445783133</v>
      </c>
      <c r="E179">
        <v>512.27710843373995</v>
      </c>
      <c r="F179">
        <v>126.12394705174999</v>
      </c>
      <c r="G179">
        <v>112.08784596871</v>
      </c>
      <c r="I179" s="9">
        <f t="shared" si="15"/>
        <v>400.18926246502997</v>
      </c>
      <c r="J179" s="9">
        <f t="shared" si="16"/>
        <v>1278.4206312615499</v>
      </c>
      <c r="K179" s="9">
        <f t="shared" si="17"/>
        <v>400.18926246502997</v>
      </c>
      <c r="L179" s="10">
        <f t="shared" si="14"/>
        <v>0.31303410839836165</v>
      </c>
      <c r="M179" s="10">
        <f t="shared" si="18"/>
        <v>0.34193275444235371</v>
      </c>
      <c r="P179" s="8">
        <f t="shared" si="19"/>
        <v>74.232212118785725</v>
      </c>
    </row>
    <row r="180" spans="1:16" x14ac:dyDescent="0.2">
      <c r="A180" s="8">
        <v>89</v>
      </c>
      <c r="B180" s="8">
        <v>178</v>
      </c>
      <c r="D180">
        <v>1485.3301204818999</v>
      </c>
      <c r="E180">
        <v>535.86385542169</v>
      </c>
      <c r="F180">
        <v>126.4476534296</v>
      </c>
      <c r="G180">
        <v>111.48977135981001</v>
      </c>
      <c r="I180" s="9">
        <f t="shared" si="15"/>
        <v>424.37408406188001</v>
      </c>
      <c r="J180" s="9">
        <f t="shared" si="16"/>
        <v>1358.8824670522999</v>
      </c>
      <c r="K180" s="9">
        <f t="shared" si="17"/>
        <v>424.37408406188001</v>
      </c>
      <c r="L180" s="10">
        <f t="shared" si="14"/>
        <v>0.31229638644351349</v>
      </c>
      <c r="M180" s="10">
        <f t="shared" si="18"/>
        <v>0.34135830167419479</v>
      </c>
      <c r="P180" s="8">
        <f t="shared" si="19"/>
        <v>73.9394990772483</v>
      </c>
    </row>
    <row r="181" spans="1:16" x14ac:dyDescent="0.2">
      <c r="A181" s="8">
        <v>89.5</v>
      </c>
      <c r="B181" s="8">
        <v>179</v>
      </c>
      <c r="D181">
        <v>1434.8012048193</v>
      </c>
      <c r="E181">
        <v>497.23253012048002</v>
      </c>
      <c r="F181">
        <v>126.45968712395</v>
      </c>
      <c r="G181">
        <v>111.99398315283</v>
      </c>
      <c r="I181" s="9">
        <f t="shared" si="15"/>
        <v>385.23854696765</v>
      </c>
      <c r="J181" s="9">
        <f t="shared" si="16"/>
        <v>1308.3415176953499</v>
      </c>
      <c r="K181" s="9">
        <f t="shared" si="17"/>
        <v>385.23854696765</v>
      </c>
      <c r="L181" s="10">
        <f t="shared" si="14"/>
        <v>0.29444800287791034</v>
      </c>
      <c r="M181" s="10">
        <f t="shared" si="18"/>
        <v>0.32367318729528083</v>
      </c>
      <c r="P181" s="8">
        <f t="shared" si="19"/>
        <v>64.928029541850506</v>
      </c>
    </row>
    <row r="182" spans="1:16" x14ac:dyDescent="0.2">
      <c r="A182" s="8">
        <v>90</v>
      </c>
      <c r="B182" s="8">
        <v>180</v>
      </c>
      <c r="D182">
        <v>1425.9470517448999</v>
      </c>
      <c r="E182">
        <v>489.76413959084999</v>
      </c>
      <c r="F182">
        <v>126.21419975933</v>
      </c>
      <c r="G182">
        <v>111.70036101082999</v>
      </c>
      <c r="I182" s="9">
        <f t="shared" si="15"/>
        <v>378.06377858001997</v>
      </c>
      <c r="J182" s="9">
        <f t="shared" si="16"/>
        <v>1299.7328519855698</v>
      </c>
      <c r="K182" s="9">
        <f t="shared" si="17"/>
        <v>378.06377858001997</v>
      </c>
      <c r="L182" s="10">
        <f t="shared" si="14"/>
        <v>0.29087806621373097</v>
      </c>
      <c r="M182" s="10">
        <f>L182+ABS($N$2)*A182</f>
        <v>0.3202665198177907</v>
      </c>
      <c r="P182" s="8">
        <f t="shared" si="19"/>
        <v>63.192158371730422</v>
      </c>
    </row>
    <row r="183" spans="1:16" x14ac:dyDescent="0.2">
      <c r="A183" s="8">
        <v>90.5</v>
      </c>
      <c r="B183" s="8">
        <v>181</v>
      </c>
      <c r="D183">
        <v>1484.1837968560999</v>
      </c>
      <c r="E183">
        <v>497.18863361548</v>
      </c>
      <c r="F183">
        <v>126.26474127557</v>
      </c>
      <c r="G183">
        <v>111.67268351384</v>
      </c>
      <c r="I183" s="9">
        <f t="shared" si="15"/>
        <v>385.51595010163999</v>
      </c>
      <c r="J183" s="9">
        <f t="shared" si="16"/>
        <v>1357.9190555805299</v>
      </c>
      <c r="K183" s="9">
        <f t="shared" si="17"/>
        <v>385.51595010163999</v>
      </c>
      <c r="L183" s="10">
        <f t="shared" si="14"/>
        <v>0.28390201059283787</v>
      </c>
      <c r="M183" s="10">
        <f t="shared" ref="M183:M241" si="20">L183+ABS($N$2)*A183</f>
        <v>0.31345373338358684</v>
      </c>
      <c r="P183" s="8">
        <f t="shared" si="19"/>
        <v>59.720695530856815</v>
      </c>
    </row>
    <row r="184" spans="1:16" x14ac:dyDescent="0.2">
      <c r="A184" s="8">
        <v>91</v>
      </c>
      <c r="B184" s="8">
        <v>182</v>
      </c>
      <c r="D184">
        <v>1467.5344619105001</v>
      </c>
      <c r="E184">
        <v>490.47642079807002</v>
      </c>
      <c r="F184">
        <v>125.92178098676</v>
      </c>
      <c r="G184">
        <v>111.68351383875</v>
      </c>
      <c r="I184" s="9">
        <f t="shared" si="15"/>
        <v>378.79290695932002</v>
      </c>
      <c r="J184" s="9">
        <f t="shared" si="16"/>
        <v>1341.6126809237401</v>
      </c>
      <c r="K184" s="9">
        <f t="shared" si="17"/>
        <v>378.79290695932002</v>
      </c>
      <c r="L184" s="10">
        <f t="shared" si="14"/>
        <v>0.28234147779410512</v>
      </c>
      <c r="M184" s="10">
        <f t="shared" si="20"/>
        <v>0.31205646977154328</v>
      </c>
      <c r="P184" s="8">
        <f t="shared" si="19"/>
        <v>59.008718316399943</v>
      </c>
    </row>
    <row r="185" spans="1:16" x14ac:dyDescent="0.2">
      <c r="A185" s="8">
        <v>91.5</v>
      </c>
      <c r="B185" s="8">
        <v>183</v>
      </c>
      <c r="D185">
        <v>1470.8137847641999</v>
      </c>
      <c r="E185">
        <v>482.73518742443002</v>
      </c>
      <c r="F185">
        <v>126.3357400722</v>
      </c>
      <c r="G185">
        <v>111.62214199759001</v>
      </c>
      <c r="I185" s="9">
        <f t="shared" si="15"/>
        <v>371.11304542684002</v>
      </c>
      <c r="J185" s="9">
        <f t="shared" si="16"/>
        <v>1344.4780446919999</v>
      </c>
      <c r="K185" s="9">
        <f t="shared" si="17"/>
        <v>371.11304542684002</v>
      </c>
      <c r="L185" s="10">
        <f t="shared" si="14"/>
        <v>0.27602759813891681</v>
      </c>
      <c r="M185" s="10">
        <f t="shared" si="20"/>
        <v>0.3059058593030442</v>
      </c>
      <c r="P185" s="8">
        <f t="shared" si="19"/>
        <v>55.874667969116757</v>
      </c>
    </row>
    <row r="186" spans="1:16" x14ac:dyDescent="0.2">
      <c r="A186" s="8">
        <v>92</v>
      </c>
      <c r="B186" s="8">
        <v>184</v>
      </c>
      <c r="D186">
        <v>1478.0725513906</v>
      </c>
      <c r="E186">
        <v>492.24304715839997</v>
      </c>
      <c r="F186">
        <v>126.36582430806</v>
      </c>
      <c r="G186">
        <v>111.1853188929</v>
      </c>
      <c r="I186" s="9">
        <f t="shared" si="15"/>
        <v>381.05772826549997</v>
      </c>
      <c r="J186" s="9">
        <f t="shared" si="16"/>
        <v>1351.7067270825401</v>
      </c>
      <c r="K186" s="9">
        <f t="shared" si="17"/>
        <v>381.05772826549997</v>
      </c>
      <c r="L186" s="10">
        <f t="shared" si="14"/>
        <v>0.28190858314950978</v>
      </c>
      <c r="M186" s="10">
        <f t="shared" si="20"/>
        <v>0.31195011350032642</v>
      </c>
      <c r="P186" s="8">
        <f t="shared" si="19"/>
        <v>58.954524361108817</v>
      </c>
    </row>
    <row r="187" spans="1:16" x14ac:dyDescent="0.2">
      <c r="A187" s="8">
        <v>92.5</v>
      </c>
      <c r="B187" s="8">
        <v>185</v>
      </c>
      <c r="D187">
        <v>1432.8996372431</v>
      </c>
      <c r="E187">
        <v>475.43530834340999</v>
      </c>
      <c r="F187">
        <v>126.32009626956</v>
      </c>
      <c r="G187">
        <v>112.00722021660999</v>
      </c>
      <c r="I187" s="9">
        <f t="shared" si="15"/>
        <v>363.42808812679999</v>
      </c>
      <c r="J187" s="9">
        <f t="shared" si="16"/>
        <v>1306.5795409735399</v>
      </c>
      <c r="K187" s="9">
        <f t="shared" si="17"/>
        <v>363.42808812679999</v>
      </c>
      <c r="L187" s="10">
        <f t="shared" si="14"/>
        <v>0.27815228750329862</v>
      </c>
      <c r="M187" s="10">
        <f t="shared" si="20"/>
        <v>0.30835708704080445</v>
      </c>
      <c r="P187" s="8">
        <f t="shared" si="19"/>
        <v>57.123693766172693</v>
      </c>
    </row>
    <row r="188" spans="1:16" x14ac:dyDescent="0.2">
      <c r="A188" s="8">
        <v>93</v>
      </c>
      <c r="B188" s="8">
        <v>186</v>
      </c>
      <c r="D188">
        <v>1558.5825242717999</v>
      </c>
      <c r="E188">
        <v>501.32281553398002</v>
      </c>
      <c r="F188">
        <v>126.87244283995</v>
      </c>
      <c r="G188">
        <v>111.95186522262</v>
      </c>
      <c r="I188" s="9">
        <f t="shared" si="15"/>
        <v>389.37095031136005</v>
      </c>
      <c r="J188" s="9">
        <f t="shared" si="16"/>
        <v>1431.7100814318499</v>
      </c>
      <c r="K188" s="9">
        <f t="shared" si="17"/>
        <v>389.37095031136005</v>
      </c>
      <c r="L188" s="10">
        <f t="shared" si="14"/>
        <v>0.27196214887440834</v>
      </c>
      <c r="M188" s="10">
        <f t="shared" si="20"/>
        <v>0.3023302175986034</v>
      </c>
      <c r="P188" s="8">
        <f t="shared" si="19"/>
        <v>54.052695795304615</v>
      </c>
    </row>
    <row r="189" spans="1:16" x14ac:dyDescent="0.2">
      <c r="A189" s="8">
        <v>93.5</v>
      </c>
      <c r="B189" s="8">
        <v>187</v>
      </c>
      <c r="D189">
        <v>1572.6650485437001</v>
      </c>
      <c r="E189">
        <v>504.17718446601998</v>
      </c>
      <c r="F189">
        <v>126.34296028881</v>
      </c>
      <c r="G189">
        <v>111.57521058965</v>
      </c>
      <c r="I189" s="9">
        <f t="shared" si="15"/>
        <v>392.60197387636998</v>
      </c>
      <c r="J189" s="9">
        <f t="shared" si="16"/>
        <v>1446.3220882548901</v>
      </c>
      <c r="K189" s="9">
        <f t="shared" si="17"/>
        <v>392.60197387636998</v>
      </c>
      <c r="L189" s="10">
        <f t="shared" si="14"/>
        <v>0.271448508644487</v>
      </c>
      <c r="M189" s="10">
        <f t="shared" si="20"/>
        <v>0.30197984655537125</v>
      </c>
      <c r="P189" s="8">
        <f t="shared" si="19"/>
        <v>53.87416384382702</v>
      </c>
    </row>
    <row r="190" spans="1:16" x14ac:dyDescent="0.2">
      <c r="A190" s="8">
        <v>94</v>
      </c>
      <c r="B190" s="8">
        <v>188</v>
      </c>
      <c r="D190">
        <v>1500.0012048193</v>
      </c>
      <c r="E190">
        <v>482.13734939759001</v>
      </c>
      <c r="F190">
        <v>126.15162454874</v>
      </c>
      <c r="G190">
        <v>111.67148014439999</v>
      </c>
      <c r="I190" s="9">
        <f t="shared" si="15"/>
        <v>370.46586925319002</v>
      </c>
      <c r="J190" s="9">
        <f t="shared" si="16"/>
        <v>1373.84958027056</v>
      </c>
      <c r="K190" s="9">
        <f t="shared" si="17"/>
        <v>370.46586925319002</v>
      </c>
      <c r="L190" s="10">
        <f t="shared" si="14"/>
        <v>0.26965533532443348</v>
      </c>
      <c r="M190" s="10">
        <f t="shared" si="20"/>
        <v>0.30034994242200697</v>
      </c>
      <c r="P190" s="8">
        <f t="shared" si="19"/>
        <v>53.043644395168911</v>
      </c>
    </row>
    <row r="191" spans="1:16" x14ac:dyDescent="0.2">
      <c r="A191" s="8">
        <v>94.5</v>
      </c>
      <c r="B191" s="8">
        <v>189</v>
      </c>
      <c r="D191">
        <v>1425.1566265060001</v>
      </c>
      <c r="E191">
        <v>458.60602409639</v>
      </c>
      <c r="F191">
        <v>126.81588447653</v>
      </c>
      <c r="G191">
        <v>111.70397111913</v>
      </c>
      <c r="I191" s="9">
        <f t="shared" si="15"/>
        <v>346.90205297725998</v>
      </c>
      <c r="J191" s="9">
        <f t="shared" si="16"/>
        <v>1298.34074202947</v>
      </c>
      <c r="K191" s="9">
        <f t="shared" si="17"/>
        <v>346.90205297725998</v>
      </c>
      <c r="L191" s="10">
        <f t="shared" si="14"/>
        <v>0.26718876004384523</v>
      </c>
      <c r="M191" s="10">
        <f t="shared" si="20"/>
        <v>0.29804663632810796</v>
      </c>
      <c r="P191" s="8">
        <f t="shared" si="19"/>
        <v>51.869992234874452</v>
      </c>
    </row>
    <row r="192" spans="1:16" x14ac:dyDescent="0.2">
      <c r="A192" s="8">
        <v>95</v>
      </c>
      <c r="B192" s="8">
        <v>190</v>
      </c>
      <c r="D192">
        <v>1496.4626506023999</v>
      </c>
      <c r="E192">
        <v>471.69518072288997</v>
      </c>
      <c r="F192">
        <v>126.66305655836</v>
      </c>
      <c r="G192">
        <v>111.41516245487</v>
      </c>
      <c r="I192" s="9">
        <f t="shared" si="15"/>
        <v>360.28001826801994</v>
      </c>
      <c r="J192" s="9">
        <f t="shared" si="16"/>
        <v>1369.7995940440398</v>
      </c>
      <c r="K192" s="9">
        <f t="shared" si="17"/>
        <v>360.28001826801994</v>
      </c>
      <c r="L192" s="10">
        <f t="shared" si="14"/>
        <v>0.26301659004319777</v>
      </c>
      <c r="M192" s="10">
        <f t="shared" si="20"/>
        <v>0.29403773551414969</v>
      </c>
      <c r="P192" s="8">
        <f t="shared" si="19"/>
        <v>49.827252403997832</v>
      </c>
    </row>
    <row r="193" spans="1:16" x14ac:dyDescent="0.2">
      <c r="A193" s="8">
        <v>95.5</v>
      </c>
      <c r="B193" s="8">
        <v>191</v>
      </c>
      <c r="D193">
        <v>1477.2506024096001</v>
      </c>
      <c r="E193">
        <v>488.92771084336999</v>
      </c>
      <c r="F193">
        <v>126.34175691937</v>
      </c>
      <c r="G193">
        <v>111.62334536703</v>
      </c>
      <c r="I193" s="9">
        <f t="shared" si="15"/>
        <v>377.30436547633997</v>
      </c>
      <c r="J193" s="9">
        <f t="shared" si="16"/>
        <v>1350.9088454902301</v>
      </c>
      <c r="K193" s="9">
        <f t="shared" si="17"/>
        <v>377.30436547633997</v>
      </c>
      <c r="L193" s="10">
        <f t="shared" si="14"/>
        <v>0.27929668736414287</v>
      </c>
      <c r="M193" s="10">
        <f t="shared" si="20"/>
        <v>0.31048110202178403</v>
      </c>
      <c r="P193" s="8">
        <f t="shared" si="19"/>
        <v>58.205987942151971</v>
      </c>
    </row>
    <row r="194" spans="1:16" x14ac:dyDescent="0.2">
      <c r="A194" s="8">
        <v>96</v>
      </c>
      <c r="B194" s="8">
        <v>192</v>
      </c>
      <c r="D194">
        <v>1506.7916167665001</v>
      </c>
      <c r="E194">
        <v>457.84431137724999</v>
      </c>
      <c r="F194">
        <v>125.80505415163</v>
      </c>
      <c r="G194">
        <v>111.69675090253</v>
      </c>
      <c r="I194" s="9">
        <f t="shared" si="15"/>
        <v>346.14756047471997</v>
      </c>
      <c r="J194" s="9">
        <f t="shared" si="16"/>
        <v>1380.9865626148701</v>
      </c>
      <c r="K194" s="9">
        <f t="shared" si="17"/>
        <v>346.14756047471997</v>
      </c>
      <c r="L194" s="10">
        <f t="shared" ref="L194:L257" si="21">K194/J194</f>
        <v>0.25065237406749025</v>
      </c>
      <c r="M194" s="10">
        <f t="shared" si="20"/>
        <v>0.28200005791182065</v>
      </c>
      <c r="P194" s="8">
        <f t="shared" si="19"/>
        <v>43.693440506254817</v>
      </c>
    </row>
    <row r="195" spans="1:16" x14ac:dyDescent="0.2">
      <c r="A195" s="8">
        <v>96.5</v>
      </c>
      <c r="B195" s="8">
        <v>193</v>
      </c>
      <c r="D195">
        <v>1491.3990384614999</v>
      </c>
      <c r="E195">
        <v>448.48197115385</v>
      </c>
      <c r="F195">
        <v>125.98916967509</v>
      </c>
      <c r="G195">
        <v>111.77496991576</v>
      </c>
      <c r="I195" s="9">
        <f t="shared" ref="I195:I241" si="22">E195-G195</f>
        <v>336.70700123809002</v>
      </c>
      <c r="J195" s="9">
        <f t="shared" ref="J195:J241" si="23">D195-F195</f>
        <v>1365.40986878641</v>
      </c>
      <c r="K195" s="9">
        <f t="shared" ref="K195:K258" si="24">I195*1</f>
        <v>336.70700123809002</v>
      </c>
      <c r="L195" s="10">
        <f t="shared" si="21"/>
        <v>0.24659774982976984</v>
      </c>
      <c r="M195" s="10">
        <f t="shared" si="20"/>
        <v>0.27810870286078943</v>
      </c>
      <c r="P195" s="8">
        <f t="shared" ref="P195:P241" si="25">(M195-$O$2)/$O$2*100</f>
        <v>41.710596248510321</v>
      </c>
    </row>
    <row r="196" spans="1:16" x14ac:dyDescent="0.2">
      <c r="A196" s="8">
        <v>97</v>
      </c>
      <c r="B196" s="8">
        <v>194</v>
      </c>
      <c r="D196">
        <v>1539.9891826922999</v>
      </c>
      <c r="E196">
        <v>462.91947115385</v>
      </c>
      <c r="F196">
        <v>126.10228640193</v>
      </c>
      <c r="G196">
        <v>111.80264741276</v>
      </c>
      <c r="I196" s="9">
        <f t="shared" si="22"/>
        <v>351.11682374109</v>
      </c>
      <c r="J196" s="9">
        <f t="shared" si="23"/>
        <v>1413.8868962903698</v>
      </c>
      <c r="K196" s="9">
        <f t="shared" si="24"/>
        <v>351.11682374109</v>
      </c>
      <c r="L196" s="10">
        <f t="shared" si="21"/>
        <v>0.24833444928467685</v>
      </c>
      <c r="M196" s="10">
        <f t="shared" si="20"/>
        <v>0.28000867150238568</v>
      </c>
      <c r="P196" s="8">
        <f t="shared" si="25"/>
        <v>42.67872736517247</v>
      </c>
    </row>
    <row r="197" spans="1:16" x14ac:dyDescent="0.2">
      <c r="A197" s="8">
        <v>97.5</v>
      </c>
      <c r="B197" s="8">
        <v>195</v>
      </c>
      <c r="D197">
        <v>1507.9242788462</v>
      </c>
      <c r="E197">
        <v>450.84975961538998</v>
      </c>
      <c r="F197">
        <v>126.43922984356</v>
      </c>
      <c r="G197">
        <v>112.12394705174999</v>
      </c>
      <c r="I197" s="9">
        <f t="shared" si="22"/>
        <v>338.72581256363998</v>
      </c>
      <c r="J197" s="9">
        <f t="shared" si="23"/>
        <v>1381.4850490026399</v>
      </c>
      <c r="K197" s="9">
        <f t="shared" si="24"/>
        <v>338.72581256363998</v>
      </c>
      <c r="L197" s="10">
        <f t="shared" si="21"/>
        <v>0.24518963329221863</v>
      </c>
      <c r="M197" s="10">
        <f t="shared" si="20"/>
        <v>0.27702712469661667</v>
      </c>
      <c r="P197" s="8">
        <f t="shared" si="25"/>
        <v>41.159476902162453</v>
      </c>
    </row>
    <row r="198" spans="1:16" x14ac:dyDescent="0.2">
      <c r="A198" s="8">
        <v>98</v>
      </c>
      <c r="B198" s="8">
        <v>196</v>
      </c>
      <c r="D198">
        <v>1490.2091346154</v>
      </c>
      <c r="E198">
        <v>442.421875</v>
      </c>
      <c r="F198">
        <v>125.80746089049001</v>
      </c>
      <c r="G198">
        <v>111.19253910950999</v>
      </c>
      <c r="I198" s="9">
        <f t="shared" si="22"/>
        <v>331.22933589049001</v>
      </c>
      <c r="J198" s="9">
        <f t="shared" si="23"/>
        <v>1364.4016737249099</v>
      </c>
      <c r="K198" s="9">
        <f t="shared" si="24"/>
        <v>331.22933589049001</v>
      </c>
      <c r="L198" s="10">
        <f t="shared" si="21"/>
        <v>0.24276526646747015</v>
      </c>
      <c r="M198" s="10">
        <f t="shared" si="20"/>
        <v>0.2747660270585574</v>
      </c>
      <c r="P198" s="8">
        <f t="shared" si="25"/>
        <v>40.007332107089766</v>
      </c>
    </row>
    <row r="199" spans="1:16" x14ac:dyDescent="0.2">
      <c r="A199" s="8">
        <v>98.5</v>
      </c>
      <c r="B199" s="8">
        <v>197</v>
      </c>
      <c r="D199">
        <v>1537.2199519231001</v>
      </c>
      <c r="E199">
        <v>452.02764423077002</v>
      </c>
      <c r="F199">
        <v>126.42839951865</v>
      </c>
      <c r="G199">
        <v>111.44163658242999</v>
      </c>
      <c r="I199" s="9">
        <f t="shared" si="22"/>
        <v>340.58600764834</v>
      </c>
      <c r="J199" s="9">
        <f t="shared" si="23"/>
        <v>1410.7915524044502</v>
      </c>
      <c r="K199" s="9">
        <f t="shared" si="24"/>
        <v>340.58600764834</v>
      </c>
      <c r="L199" s="10">
        <f t="shared" si="21"/>
        <v>0.2414148334442959</v>
      </c>
      <c r="M199" s="10">
        <f t="shared" si="20"/>
        <v>0.27357886322207237</v>
      </c>
      <c r="P199" s="8">
        <f t="shared" si="25"/>
        <v>39.402411464972445</v>
      </c>
    </row>
    <row r="200" spans="1:16" x14ac:dyDescent="0.2">
      <c r="A200" s="8">
        <v>99</v>
      </c>
      <c r="B200" s="8">
        <v>198</v>
      </c>
      <c r="D200">
        <v>1515.0865384614999</v>
      </c>
      <c r="E200">
        <v>436.20072115385</v>
      </c>
      <c r="F200">
        <v>125.97232250301001</v>
      </c>
      <c r="G200">
        <v>111.58604091456</v>
      </c>
      <c r="I200" s="9">
        <f t="shared" si="22"/>
        <v>324.61468023929001</v>
      </c>
      <c r="J200" s="9">
        <f t="shared" si="23"/>
        <v>1389.1142159584899</v>
      </c>
      <c r="K200" s="9">
        <f t="shared" si="24"/>
        <v>324.61468023929001</v>
      </c>
      <c r="L200" s="10">
        <f t="shared" si="21"/>
        <v>0.23368465782729436</v>
      </c>
      <c r="M200" s="10">
        <f t="shared" si="20"/>
        <v>0.26601195679176004</v>
      </c>
      <c r="P200" s="8">
        <f t="shared" si="25"/>
        <v>35.546685948417853</v>
      </c>
    </row>
    <row r="201" spans="1:16" x14ac:dyDescent="0.2">
      <c r="A201" s="8">
        <v>99.5</v>
      </c>
      <c r="B201" s="8">
        <v>199</v>
      </c>
      <c r="D201">
        <v>1548.9663461539001</v>
      </c>
      <c r="E201">
        <v>432.69471153846001</v>
      </c>
      <c r="F201">
        <v>126.22984356197</v>
      </c>
      <c r="G201">
        <v>111.76052948255</v>
      </c>
      <c r="I201" s="9">
        <f t="shared" si="22"/>
        <v>320.93418205591001</v>
      </c>
      <c r="J201" s="9">
        <f t="shared" si="23"/>
        <v>1422.73650259193</v>
      </c>
      <c r="K201" s="9">
        <f t="shared" si="24"/>
        <v>320.93418205591001</v>
      </c>
      <c r="L201" s="10">
        <f t="shared" si="21"/>
        <v>0.22557527797398511</v>
      </c>
      <c r="M201" s="10">
        <f t="shared" si="20"/>
        <v>0.25806584612514005</v>
      </c>
      <c r="P201" s="8">
        <f t="shared" si="25"/>
        <v>31.497736495055999</v>
      </c>
    </row>
    <row r="202" spans="1:16" x14ac:dyDescent="0.2">
      <c r="A202" s="8">
        <v>100</v>
      </c>
      <c r="B202" s="8">
        <v>200</v>
      </c>
      <c r="D202">
        <v>1554.7151442308</v>
      </c>
      <c r="E202">
        <v>433.84375</v>
      </c>
      <c r="F202">
        <v>126.20938628159</v>
      </c>
      <c r="G202">
        <v>111.47533092659</v>
      </c>
      <c r="I202" s="9">
        <f t="shared" si="22"/>
        <v>322.36841907341</v>
      </c>
      <c r="J202" s="9">
        <f t="shared" si="23"/>
        <v>1428.50575794921</v>
      </c>
      <c r="K202" s="9">
        <f t="shared" si="24"/>
        <v>322.36841907341</v>
      </c>
      <c r="L202" s="10">
        <f t="shared" si="21"/>
        <v>0.22566826719425215</v>
      </c>
      <c r="M202" s="10">
        <f t="shared" si="20"/>
        <v>0.25832210453209631</v>
      </c>
      <c r="P202" s="8">
        <f t="shared" si="25"/>
        <v>31.628313248929256</v>
      </c>
    </row>
    <row r="203" spans="1:16" x14ac:dyDescent="0.2">
      <c r="A203" s="8">
        <v>100.5</v>
      </c>
      <c r="B203" s="8">
        <v>201</v>
      </c>
      <c r="D203">
        <v>1545.4182692308</v>
      </c>
      <c r="E203">
        <v>421.53605769231001</v>
      </c>
      <c r="F203">
        <v>126.03249097473</v>
      </c>
      <c r="G203">
        <v>111.57160048135</v>
      </c>
      <c r="I203" s="9">
        <f t="shared" si="22"/>
        <v>309.96445721096001</v>
      </c>
      <c r="J203" s="9">
        <f t="shared" si="23"/>
        <v>1419.3857782560699</v>
      </c>
      <c r="K203" s="9">
        <f t="shared" si="24"/>
        <v>309.96445721096001</v>
      </c>
      <c r="L203" s="10">
        <f t="shared" si="21"/>
        <v>0.21837928909770973</v>
      </c>
      <c r="M203" s="10">
        <f t="shared" si="20"/>
        <v>0.25119639562224311</v>
      </c>
      <c r="P203" s="8">
        <f t="shared" si="25"/>
        <v>27.997400415489153</v>
      </c>
    </row>
    <row r="204" spans="1:16" x14ac:dyDescent="0.2">
      <c r="A204" s="8">
        <v>101</v>
      </c>
      <c r="B204" s="8">
        <v>202</v>
      </c>
      <c r="D204">
        <v>1552.078125</v>
      </c>
      <c r="E204">
        <v>418.81370192307998</v>
      </c>
      <c r="F204">
        <v>126.08543922984001</v>
      </c>
      <c r="G204">
        <v>111.83032490975</v>
      </c>
      <c r="I204" s="9">
        <f t="shared" si="22"/>
        <v>306.98337701332997</v>
      </c>
      <c r="J204" s="9">
        <f t="shared" si="23"/>
        <v>1425.9926857701601</v>
      </c>
      <c r="K204" s="9">
        <f t="shared" si="24"/>
        <v>306.98337701332997</v>
      </c>
      <c r="L204" s="10">
        <f t="shared" si="21"/>
        <v>0.21527696465534973</v>
      </c>
      <c r="M204" s="10">
        <f t="shared" si="20"/>
        <v>0.24825734036657232</v>
      </c>
      <c r="P204" s="8">
        <f t="shared" si="25"/>
        <v>26.499801568692526</v>
      </c>
    </row>
    <row r="205" spans="1:16" x14ac:dyDescent="0.2">
      <c r="A205" s="8">
        <v>101.5</v>
      </c>
      <c r="B205" s="8">
        <v>203</v>
      </c>
      <c r="D205">
        <v>1523.6634382566999</v>
      </c>
      <c r="E205">
        <v>407.98547215496001</v>
      </c>
      <c r="F205">
        <v>126.01805054152</v>
      </c>
      <c r="G205">
        <v>111.58243080626001</v>
      </c>
      <c r="I205" s="9">
        <f t="shared" si="22"/>
        <v>296.40304134870001</v>
      </c>
      <c r="J205" s="9">
        <f t="shared" si="23"/>
        <v>1397.6453877151798</v>
      </c>
      <c r="K205" s="9">
        <f t="shared" si="24"/>
        <v>296.40304134870001</v>
      </c>
      <c r="L205" s="10">
        <f t="shared" si="21"/>
        <v>0.21207313668687378</v>
      </c>
      <c r="M205" s="10">
        <f t="shared" si="20"/>
        <v>0.24521678158478558</v>
      </c>
      <c r="P205" s="8">
        <f t="shared" si="25"/>
        <v>24.950481488222675</v>
      </c>
    </row>
    <row r="206" spans="1:16" x14ac:dyDescent="0.2">
      <c r="A206" s="8">
        <v>102</v>
      </c>
      <c r="B206" s="8">
        <v>204</v>
      </c>
      <c r="D206">
        <v>1485.1461352657</v>
      </c>
      <c r="E206">
        <v>398.94806763284998</v>
      </c>
      <c r="F206">
        <v>125.81107099880001</v>
      </c>
      <c r="G206">
        <v>111.77737665463</v>
      </c>
      <c r="I206" s="9">
        <f t="shared" si="22"/>
        <v>287.17069097821997</v>
      </c>
      <c r="J206" s="9">
        <f t="shared" si="23"/>
        <v>1359.3350642669</v>
      </c>
      <c r="K206" s="9">
        <f t="shared" si="24"/>
        <v>287.17069097821997</v>
      </c>
      <c r="L206" s="10">
        <f t="shared" si="21"/>
        <v>0.21125820890458186</v>
      </c>
      <c r="M206" s="10">
        <f t="shared" si="20"/>
        <v>0.24456512298918287</v>
      </c>
      <c r="P206" s="8">
        <f t="shared" si="25"/>
        <v>24.618428132166603</v>
      </c>
    </row>
    <row r="207" spans="1:16" x14ac:dyDescent="0.2">
      <c r="A207" s="8">
        <v>102.5</v>
      </c>
      <c r="B207" s="8">
        <v>205</v>
      </c>
      <c r="D207">
        <v>1441.5387409201001</v>
      </c>
      <c r="E207">
        <v>409.49152542373002</v>
      </c>
      <c r="F207">
        <v>125.80264741276</v>
      </c>
      <c r="G207">
        <v>111.49939831528</v>
      </c>
      <c r="I207" s="9">
        <f t="shared" si="22"/>
        <v>297.99212710845001</v>
      </c>
      <c r="J207" s="9">
        <f t="shared" si="23"/>
        <v>1315.73609350734</v>
      </c>
      <c r="K207" s="9">
        <f t="shared" si="24"/>
        <v>297.99212710845001</v>
      </c>
      <c r="L207" s="10">
        <f t="shared" si="21"/>
        <v>0.22648320478470452</v>
      </c>
      <c r="M207" s="10">
        <f t="shared" si="20"/>
        <v>0.25995338805599477</v>
      </c>
      <c r="P207" s="8">
        <f t="shared" si="25"/>
        <v>32.459535567555285</v>
      </c>
    </row>
    <row r="208" spans="1:16" x14ac:dyDescent="0.2">
      <c r="A208" s="8">
        <v>103</v>
      </c>
      <c r="B208" s="8">
        <v>206</v>
      </c>
      <c r="D208">
        <v>1477.3728813559001</v>
      </c>
      <c r="E208">
        <v>397.18644067796998</v>
      </c>
      <c r="F208">
        <v>126.34175691937</v>
      </c>
      <c r="G208">
        <v>111.61853188929</v>
      </c>
      <c r="I208" s="9">
        <f t="shared" si="22"/>
        <v>285.56790878867997</v>
      </c>
      <c r="J208" s="9">
        <f t="shared" si="23"/>
        <v>1351.03112443653</v>
      </c>
      <c r="K208" s="9">
        <f t="shared" si="24"/>
        <v>285.56790878867997</v>
      </c>
      <c r="L208" s="10">
        <f t="shared" si="21"/>
        <v>0.21137034049291856</v>
      </c>
      <c r="M208" s="10">
        <f t="shared" si="20"/>
        <v>0.24500379295089803</v>
      </c>
      <c r="P208" s="8">
        <f t="shared" si="25"/>
        <v>24.841952894935652</v>
      </c>
    </row>
    <row r="209" spans="1:16" x14ac:dyDescent="0.2">
      <c r="A209" s="8">
        <v>103.5</v>
      </c>
      <c r="B209" s="8">
        <v>207</v>
      </c>
      <c r="D209">
        <v>1521.7872596154</v>
      </c>
      <c r="E209">
        <v>405.59375</v>
      </c>
      <c r="F209">
        <v>125.27196149218</v>
      </c>
      <c r="G209">
        <v>111.85559566787001</v>
      </c>
      <c r="I209" s="9">
        <f t="shared" si="22"/>
        <v>293.73815433212997</v>
      </c>
      <c r="J209" s="9">
        <f t="shared" si="23"/>
        <v>1396.51529812322</v>
      </c>
      <c r="K209" s="9">
        <f t="shared" si="24"/>
        <v>293.73815433212997</v>
      </c>
      <c r="L209" s="10">
        <f t="shared" si="21"/>
        <v>0.21033651026013486</v>
      </c>
      <c r="M209" s="10">
        <f t="shared" si="20"/>
        <v>0.24413323190480357</v>
      </c>
      <c r="P209" s="8">
        <f t="shared" si="25"/>
        <v>24.39835755381997</v>
      </c>
    </row>
    <row r="210" spans="1:16" x14ac:dyDescent="0.2">
      <c r="A210" s="8">
        <v>104</v>
      </c>
      <c r="B210" s="8">
        <v>208</v>
      </c>
      <c r="D210">
        <v>1492.8137019231001</v>
      </c>
      <c r="E210">
        <v>397.97836538462002</v>
      </c>
      <c r="F210">
        <v>125.85920577617</v>
      </c>
      <c r="G210">
        <v>111.57160048135</v>
      </c>
      <c r="I210" s="9">
        <f t="shared" si="22"/>
        <v>286.40676490327002</v>
      </c>
      <c r="J210" s="9">
        <f t="shared" si="23"/>
        <v>1366.9544961469301</v>
      </c>
      <c r="K210" s="9">
        <f t="shared" si="24"/>
        <v>286.40676490327002</v>
      </c>
      <c r="L210" s="10">
        <f t="shared" si="21"/>
        <v>0.20952179879474567</v>
      </c>
      <c r="M210" s="10">
        <f t="shared" si="20"/>
        <v>0.24348178962610359</v>
      </c>
      <c r="P210" s="8">
        <f t="shared" si="25"/>
        <v>24.066414422280239</v>
      </c>
    </row>
    <row r="211" spans="1:16" x14ac:dyDescent="0.2">
      <c r="A211" s="8">
        <v>104.5</v>
      </c>
      <c r="B211" s="8">
        <v>209</v>
      </c>
      <c r="D211">
        <v>1513.1418269231001</v>
      </c>
      <c r="E211">
        <v>406.65625</v>
      </c>
      <c r="F211">
        <v>125.78098676294</v>
      </c>
      <c r="G211">
        <v>111.6329723225</v>
      </c>
      <c r="I211" s="9">
        <f t="shared" si="22"/>
        <v>295.0232776775</v>
      </c>
      <c r="J211" s="9">
        <f t="shared" si="23"/>
        <v>1387.36084016016</v>
      </c>
      <c r="K211" s="9">
        <f t="shared" si="24"/>
        <v>295.0232776775</v>
      </c>
      <c r="L211" s="10">
        <f t="shared" si="21"/>
        <v>0.21265071720161993</v>
      </c>
      <c r="M211" s="10">
        <f t="shared" si="20"/>
        <v>0.24677397721966707</v>
      </c>
      <c r="P211" s="8">
        <f t="shared" si="25"/>
        <v>25.743952241293975</v>
      </c>
    </row>
    <row r="212" spans="1:16" x14ac:dyDescent="0.2">
      <c r="A212" s="8">
        <v>105</v>
      </c>
      <c r="B212" s="8">
        <v>210</v>
      </c>
      <c r="D212">
        <v>1538.9782082325</v>
      </c>
      <c r="E212">
        <v>404.14406779660999</v>
      </c>
      <c r="F212">
        <v>126.33814681107</v>
      </c>
      <c r="G212">
        <v>111.96750902527</v>
      </c>
      <c r="I212" s="9">
        <f t="shared" si="22"/>
        <v>292.17655877133996</v>
      </c>
      <c r="J212" s="9">
        <f t="shared" si="23"/>
        <v>1412.6400614214301</v>
      </c>
      <c r="K212" s="9">
        <f t="shared" si="24"/>
        <v>292.17655877133996</v>
      </c>
      <c r="L212" s="10">
        <f t="shared" si="21"/>
        <v>0.20683015210353398</v>
      </c>
      <c r="M212" s="10">
        <f t="shared" si="20"/>
        <v>0.24111668130827033</v>
      </c>
      <c r="P212" s="8">
        <f t="shared" si="25"/>
        <v>22.861270870622917</v>
      </c>
    </row>
    <row r="213" spans="1:16" x14ac:dyDescent="0.2">
      <c r="A213" s="8">
        <v>105.5</v>
      </c>
      <c r="B213" s="8">
        <v>211</v>
      </c>
      <c r="D213">
        <v>1514.3305084746</v>
      </c>
      <c r="E213">
        <v>405.15738498789</v>
      </c>
      <c r="F213">
        <v>125.85920577617</v>
      </c>
      <c r="G213">
        <v>111.77858002407</v>
      </c>
      <c r="I213" s="9">
        <f t="shared" si="22"/>
        <v>293.37880496382002</v>
      </c>
      <c r="J213" s="9">
        <f t="shared" si="23"/>
        <v>1388.47130269843</v>
      </c>
      <c r="K213" s="9">
        <f t="shared" si="24"/>
        <v>293.37880496382002</v>
      </c>
      <c r="L213" s="10">
        <f t="shared" si="21"/>
        <v>0.2112962683446549</v>
      </c>
      <c r="M213" s="10">
        <f t="shared" si="20"/>
        <v>0.24574606673608046</v>
      </c>
      <c r="P213" s="8">
        <f t="shared" si="25"/>
        <v>25.220179320774953</v>
      </c>
    </row>
    <row r="214" spans="1:16" x14ac:dyDescent="0.2">
      <c r="A214" s="8">
        <v>106</v>
      </c>
      <c r="B214" s="8">
        <v>212</v>
      </c>
      <c r="D214">
        <v>1536.9866828086999</v>
      </c>
      <c r="E214">
        <v>412.74576271185998</v>
      </c>
      <c r="F214">
        <v>126.16967509025</v>
      </c>
      <c r="G214">
        <v>111.49338146811</v>
      </c>
      <c r="I214" s="9">
        <f t="shared" si="22"/>
        <v>301.25238124374999</v>
      </c>
      <c r="J214" s="9">
        <f t="shared" si="23"/>
        <v>1410.81700771845</v>
      </c>
      <c r="K214" s="9">
        <f t="shared" si="24"/>
        <v>301.25238124374999</v>
      </c>
      <c r="L214" s="10">
        <f t="shared" si="21"/>
        <v>0.21353044342081642</v>
      </c>
      <c r="M214" s="10">
        <f t="shared" si="20"/>
        <v>0.24814351099893123</v>
      </c>
      <c r="P214" s="8">
        <f t="shared" si="25"/>
        <v>26.441799688876905</v>
      </c>
    </row>
    <row r="215" spans="1:16" x14ac:dyDescent="0.2">
      <c r="A215" s="8">
        <v>106.5</v>
      </c>
      <c r="B215" s="8">
        <v>213</v>
      </c>
      <c r="D215">
        <v>1484.0578313253</v>
      </c>
      <c r="E215">
        <v>419.04698795181002</v>
      </c>
      <c r="F215">
        <v>125.97111913357</v>
      </c>
      <c r="G215">
        <v>111.49338146811</v>
      </c>
      <c r="I215" s="9">
        <f t="shared" si="22"/>
        <v>307.55360648370004</v>
      </c>
      <c r="J215" s="9">
        <f t="shared" si="23"/>
        <v>1358.0867121917299</v>
      </c>
      <c r="K215" s="9">
        <f t="shared" si="24"/>
        <v>307.55360648370004</v>
      </c>
      <c r="L215" s="10">
        <f t="shared" si="21"/>
        <v>0.22646094960119209</v>
      </c>
      <c r="M215" s="10">
        <f t="shared" si="20"/>
        <v>0.26123728636599608</v>
      </c>
      <c r="P215" s="8">
        <f t="shared" si="25"/>
        <v>33.113747367334213</v>
      </c>
    </row>
    <row r="216" spans="1:16" x14ac:dyDescent="0.2">
      <c r="A216" s="8">
        <v>107</v>
      </c>
      <c r="B216" s="8">
        <v>214</v>
      </c>
      <c r="D216">
        <v>1460.5893719807</v>
      </c>
      <c r="E216">
        <v>421.22946859902999</v>
      </c>
      <c r="F216">
        <v>125.87364620939</v>
      </c>
      <c r="G216">
        <v>111.20577617329</v>
      </c>
      <c r="I216" s="9">
        <f t="shared" si="22"/>
        <v>310.02369242573997</v>
      </c>
      <c r="J216" s="9">
        <f t="shared" si="23"/>
        <v>1334.71572577131</v>
      </c>
      <c r="K216" s="9">
        <f t="shared" si="24"/>
        <v>310.02369242573997</v>
      </c>
      <c r="L216" s="10">
        <f t="shared" si="21"/>
        <v>0.23227694589915951</v>
      </c>
      <c r="M216" s="10">
        <f t="shared" si="20"/>
        <v>0.26721655185065274</v>
      </c>
      <c r="P216" s="8">
        <f t="shared" si="25"/>
        <v>36.160488689136614</v>
      </c>
    </row>
    <row r="217" spans="1:16" x14ac:dyDescent="0.2">
      <c r="A217" s="8">
        <v>107.5</v>
      </c>
      <c r="B217" s="8">
        <v>215</v>
      </c>
      <c r="D217">
        <v>1400.6111111110999</v>
      </c>
      <c r="E217">
        <v>397.10144927535998</v>
      </c>
      <c r="F217">
        <v>126.15162454874</v>
      </c>
      <c r="G217">
        <v>111.5908543923</v>
      </c>
      <c r="I217" s="9">
        <f t="shared" si="22"/>
        <v>285.51059488305998</v>
      </c>
      <c r="J217" s="9">
        <f t="shared" si="23"/>
        <v>1274.4594865623599</v>
      </c>
      <c r="K217" s="9">
        <f t="shared" si="24"/>
        <v>285.51059488305998</v>
      </c>
      <c r="L217" s="10">
        <f t="shared" si="21"/>
        <v>0.22402484966640784</v>
      </c>
      <c r="M217" s="10">
        <f t="shared" si="20"/>
        <v>0.25912772480459029</v>
      </c>
      <c r="P217" s="8">
        <f t="shared" si="25"/>
        <v>32.038817947238371</v>
      </c>
    </row>
    <row r="218" spans="1:16" x14ac:dyDescent="0.2">
      <c r="A218" s="8">
        <v>108</v>
      </c>
      <c r="B218" s="8">
        <v>216</v>
      </c>
      <c r="D218">
        <v>1398.693236715</v>
      </c>
      <c r="E218">
        <v>395.53623188405999</v>
      </c>
      <c r="F218">
        <v>125.77015643803</v>
      </c>
      <c r="G218">
        <v>112.01684717208001</v>
      </c>
      <c r="I218" s="9">
        <f t="shared" si="22"/>
        <v>283.51938471197997</v>
      </c>
      <c r="J218" s="9">
        <f t="shared" si="23"/>
        <v>1272.92308027697</v>
      </c>
      <c r="K218" s="9">
        <f t="shared" si="24"/>
        <v>283.51938471197997</v>
      </c>
      <c r="L218" s="10">
        <f t="shared" si="21"/>
        <v>0.222730963956039</v>
      </c>
      <c r="M218" s="10">
        <f t="shared" si="20"/>
        <v>0.25799710828091066</v>
      </c>
      <c r="P218" s="8">
        <f t="shared" si="25"/>
        <v>31.462711050722959</v>
      </c>
    </row>
    <row r="219" spans="1:16" x14ac:dyDescent="0.2">
      <c r="A219" s="8">
        <v>108.5</v>
      </c>
      <c r="B219" s="8">
        <v>217</v>
      </c>
      <c r="D219">
        <v>1451.6193939394</v>
      </c>
      <c r="E219">
        <v>397.65212121211999</v>
      </c>
      <c r="F219">
        <v>125.85679903729999</v>
      </c>
      <c r="G219">
        <v>111.81107099880001</v>
      </c>
      <c r="I219" s="9">
        <f t="shared" si="22"/>
        <v>285.84105021331999</v>
      </c>
      <c r="J219" s="9">
        <f t="shared" si="23"/>
        <v>1325.7625949020999</v>
      </c>
      <c r="K219" s="9">
        <f t="shared" si="24"/>
        <v>285.84105021331999</v>
      </c>
      <c r="L219" s="10">
        <f t="shared" si="21"/>
        <v>0.2156050044800274</v>
      </c>
      <c r="M219" s="10">
        <f t="shared" si="20"/>
        <v>0.25103441799158832</v>
      </c>
      <c r="P219" s="8">
        <f t="shared" si="25"/>
        <v>27.914864535155704</v>
      </c>
    </row>
    <row r="220" spans="1:16" x14ac:dyDescent="0.2">
      <c r="A220" s="8">
        <v>109</v>
      </c>
      <c r="B220" s="8">
        <v>218</v>
      </c>
      <c r="D220">
        <v>1420.1636363636001</v>
      </c>
      <c r="E220">
        <v>388.46424242424001</v>
      </c>
      <c r="F220">
        <v>125.89530685921</v>
      </c>
      <c r="G220">
        <v>111.50782190132</v>
      </c>
      <c r="I220" s="9">
        <f t="shared" si="22"/>
        <v>276.95642052291998</v>
      </c>
      <c r="J220" s="9">
        <f t="shared" si="23"/>
        <v>1294.2683295043901</v>
      </c>
      <c r="K220" s="9">
        <f t="shared" si="24"/>
        <v>276.95642052291998</v>
      </c>
      <c r="L220" s="10">
        <f t="shared" si="21"/>
        <v>0.21398686362740096</v>
      </c>
      <c r="M220" s="10">
        <f t="shared" si="20"/>
        <v>0.24957954632565107</v>
      </c>
      <c r="P220" s="8">
        <f t="shared" si="25"/>
        <v>27.173533073305578</v>
      </c>
    </row>
    <row r="221" spans="1:16" x14ac:dyDescent="0.2">
      <c r="A221" s="8">
        <v>109.5</v>
      </c>
      <c r="B221" s="8">
        <v>219</v>
      </c>
      <c r="D221">
        <v>1469.2521212121001</v>
      </c>
      <c r="E221">
        <v>416.74424242423999</v>
      </c>
      <c r="F221">
        <v>126.60048134777</v>
      </c>
      <c r="G221">
        <v>111.62575210590001</v>
      </c>
      <c r="I221" s="9">
        <f t="shared" si="22"/>
        <v>305.11849031833998</v>
      </c>
      <c r="J221" s="9">
        <f t="shared" si="23"/>
        <v>1342.65163986433</v>
      </c>
      <c r="K221" s="9">
        <f t="shared" si="24"/>
        <v>305.11849031833998</v>
      </c>
      <c r="L221" s="10">
        <f t="shared" si="21"/>
        <v>0.22725067415787095</v>
      </c>
      <c r="M221" s="10">
        <f t="shared" si="20"/>
        <v>0.26300662604281028</v>
      </c>
      <c r="P221" s="8">
        <f t="shared" si="25"/>
        <v>34.015316350930505</v>
      </c>
    </row>
    <row r="222" spans="1:16" x14ac:dyDescent="0.2">
      <c r="A222" s="8">
        <v>110</v>
      </c>
      <c r="B222" s="8">
        <v>220</v>
      </c>
      <c r="D222">
        <v>1427.7975757576</v>
      </c>
      <c r="E222">
        <v>398.96484848484999</v>
      </c>
      <c r="F222">
        <v>125.48014440433001</v>
      </c>
      <c r="G222">
        <v>111.30204572804</v>
      </c>
      <c r="I222" s="9">
        <f t="shared" si="22"/>
        <v>287.66280275680998</v>
      </c>
      <c r="J222" s="9">
        <f t="shared" si="23"/>
        <v>1302.31743135327</v>
      </c>
      <c r="K222" s="9">
        <f t="shared" si="24"/>
        <v>287.66280275680998</v>
      </c>
      <c r="L222" s="10">
        <f t="shared" si="21"/>
        <v>0.22088532014648113</v>
      </c>
      <c r="M222" s="10">
        <f t="shared" si="20"/>
        <v>0.25680454121810969</v>
      </c>
      <c r="P222" s="8">
        <f t="shared" si="25"/>
        <v>30.855037188677532</v>
      </c>
    </row>
    <row r="223" spans="1:16" x14ac:dyDescent="0.2">
      <c r="A223" s="8">
        <v>110.5</v>
      </c>
      <c r="B223" s="8">
        <v>221</v>
      </c>
      <c r="D223">
        <v>1431.2630303030001</v>
      </c>
      <c r="E223">
        <v>405.17212121211998</v>
      </c>
      <c r="F223">
        <v>125.57882069794999</v>
      </c>
      <c r="G223">
        <v>112.11552346569999</v>
      </c>
      <c r="I223" s="9">
        <f t="shared" si="22"/>
        <v>293.05659774641998</v>
      </c>
      <c r="J223" s="9">
        <f t="shared" si="23"/>
        <v>1305.68420960505</v>
      </c>
      <c r="K223" s="9">
        <f t="shared" si="24"/>
        <v>293.05659774641998</v>
      </c>
      <c r="L223" s="10">
        <f t="shared" si="21"/>
        <v>0.22444676560426907</v>
      </c>
      <c r="M223" s="10">
        <f t="shared" si="20"/>
        <v>0.26052925586258685</v>
      </c>
      <c r="P223" s="8">
        <f t="shared" si="25"/>
        <v>32.752969643486864</v>
      </c>
    </row>
    <row r="224" spans="1:16" x14ac:dyDescent="0.2">
      <c r="A224" s="8">
        <v>111</v>
      </c>
      <c r="B224" s="8">
        <v>222</v>
      </c>
      <c r="D224">
        <v>1386.8581818181999</v>
      </c>
      <c r="E224">
        <v>385.53333333333001</v>
      </c>
      <c r="F224">
        <v>125.95306859206001</v>
      </c>
      <c r="G224">
        <v>111.9614921781</v>
      </c>
      <c r="I224" s="9">
        <f t="shared" si="22"/>
        <v>273.57184115523</v>
      </c>
      <c r="J224" s="9">
        <f t="shared" si="23"/>
        <v>1260.90511322614</v>
      </c>
      <c r="K224" s="9">
        <f t="shared" si="24"/>
        <v>273.57184115523</v>
      </c>
      <c r="L224" s="10">
        <f t="shared" si="21"/>
        <v>0.21696465363303322</v>
      </c>
      <c r="M224" s="10">
        <f t="shared" si="20"/>
        <v>0.25321041307804021</v>
      </c>
      <c r="P224" s="8">
        <f t="shared" si="25"/>
        <v>29.02364523120346</v>
      </c>
    </row>
    <row r="225" spans="1:16" x14ac:dyDescent="0.2">
      <c r="A225" s="8">
        <v>111.5</v>
      </c>
      <c r="B225" s="8">
        <v>223</v>
      </c>
      <c r="D225">
        <v>1377.623030303</v>
      </c>
      <c r="E225">
        <v>382.55515151514999</v>
      </c>
      <c r="F225">
        <v>125.54031287605</v>
      </c>
      <c r="G225">
        <v>111.58243080626001</v>
      </c>
      <c r="I225" s="9">
        <f t="shared" si="22"/>
        <v>270.97272070888999</v>
      </c>
      <c r="J225" s="9">
        <f t="shared" si="23"/>
        <v>1252.08271742695</v>
      </c>
      <c r="K225" s="9">
        <f t="shared" si="24"/>
        <v>270.97272070888999</v>
      </c>
      <c r="L225" s="10">
        <f t="shared" si="21"/>
        <v>0.21641758722278609</v>
      </c>
      <c r="M225" s="10">
        <f t="shared" si="20"/>
        <v>0.2528266158544823</v>
      </c>
      <c r="P225" s="8">
        <f t="shared" si="25"/>
        <v>28.828080932677576</v>
      </c>
    </row>
    <row r="226" spans="1:16" x14ac:dyDescent="0.2">
      <c r="A226" s="8">
        <v>112</v>
      </c>
      <c r="B226" s="8">
        <v>224</v>
      </c>
      <c r="D226">
        <v>1396.0472727273</v>
      </c>
      <c r="E226">
        <v>387.09454545454997</v>
      </c>
      <c r="F226">
        <v>125.82912154031</v>
      </c>
      <c r="G226">
        <v>111.6293622142</v>
      </c>
      <c r="I226" s="9">
        <f t="shared" si="22"/>
        <v>275.46518324034997</v>
      </c>
      <c r="J226" s="9">
        <f t="shared" si="23"/>
        <v>1270.2181511869899</v>
      </c>
      <c r="K226" s="9">
        <f t="shared" si="24"/>
        <v>275.46518324034997</v>
      </c>
      <c r="L226" s="10">
        <f t="shared" si="21"/>
        <v>0.21686446771598566</v>
      </c>
      <c r="M226" s="10">
        <f t="shared" si="20"/>
        <v>0.25343676553437111</v>
      </c>
      <c r="P226" s="8">
        <f t="shared" si="25"/>
        <v>29.138983374954481</v>
      </c>
    </row>
    <row r="227" spans="1:16" x14ac:dyDescent="0.2">
      <c r="A227" s="8">
        <v>112.5</v>
      </c>
      <c r="B227" s="8">
        <v>225</v>
      </c>
      <c r="D227">
        <v>1405.4254545455001</v>
      </c>
      <c r="E227">
        <v>396.76606060606002</v>
      </c>
      <c r="F227">
        <v>125.82190132370999</v>
      </c>
      <c r="G227">
        <v>111.58002406739</v>
      </c>
      <c r="I227" s="9">
        <f t="shared" si="22"/>
        <v>285.18603653867001</v>
      </c>
      <c r="J227" s="9">
        <f t="shared" si="23"/>
        <v>1279.6035532217902</v>
      </c>
      <c r="K227" s="9">
        <f t="shared" si="24"/>
        <v>285.18603653867001</v>
      </c>
      <c r="L227" s="10">
        <f t="shared" si="21"/>
        <v>0.22287061943570541</v>
      </c>
      <c r="M227" s="10">
        <f t="shared" si="20"/>
        <v>0.2596061864407801</v>
      </c>
      <c r="P227" s="8">
        <f t="shared" si="25"/>
        <v>32.282618601619319</v>
      </c>
    </row>
    <row r="228" spans="1:16" x14ac:dyDescent="0.2">
      <c r="A228" s="8">
        <v>113</v>
      </c>
      <c r="B228" s="8">
        <v>226</v>
      </c>
      <c r="D228">
        <v>1411.3830303029999</v>
      </c>
      <c r="E228">
        <v>400.61333333332999</v>
      </c>
      <c r="F228">
        <v>125.34296028881</v>
      </c>
      <c r="G228">
        <v>111.79181708785001</v>
      </c>
      <c r="I228" s="9">
        <f t="shared" si="22"/>
        <v>288.82151624547998</v>
      </c>
      <c r="J228" s="9">
        <f t="shared" si="23"/>
        <v>1286.04007001419</v>
      </c>
      <c r="K228" s="9">
        <f t="shared" si="24"/>
        <v>288.82151624547998</v>
      </c>
      <c r="L228" s="10">
        <f t="shared" si="21"/>
        <v>0.22458205073057574</v>
      </c>
      <c r="M228" s="10">
        <f t="shared" si="20"/>
        <v>0.26148088692233962</v>
      </c>
      <c r="P228" s="8">
        <f t="shared" si="25"/>
        <v>33.237874299468338</v>
      </c>
    </row>
    <row r="229" spans="1:16" x14ac:dyDescent="0.2">
      <c r="A229" s="8">
        <v>113.5</v>
      </c>
      <c r="B229" s="8">
        <v>227</v>
      </c>
      <c r="D229">
        <v>1376.6014492754</v>
      </c>
      <c r="E229">
        <v>386.41304347826002</v>
      </c>
      <c r="F229">
        <v>125.60529482551</v>
      </c>
      <c r="G229">
        <v>111.33092659447</v>
      </c>
      <c r="I229" s="9">
        <f t="shared" si="22"/>
        <v>275.08211688379004</v>
      </c>
      <c r="J229" s="9">
        <f t="shared" si="23"/>
        <v>1250.9961544498899</v>
      </c>
      <c r="K229" s="9">
        <f t="shared" si="24"/>
        <v>275.08211688379004</v>
      </c>
      <c r="L229" s="10">
        <f t="shared" si="21"/>
        <v>0.21989045762075424</v>
      </c>
      <c r="M229" s="10">
        <f t="shared" si="20"/>
        <v>0.25695256299920732</v>
      </c>
      <c r="P229" s="8">
        <f t="shared" si="25"/>
        <v>30.930461850478252</v>
      </c>
    </row>
    <row r="230" spans="1:16" x14ac:dyDescent="0.2">
      <c r="A230" s="8">
        <v>114</v>
      </c>
      <c r="B230" s="8">
        <v>228</v>
      </c>
      <c r="D230">
        <v>1358.2838164251</v>
      </c>
      <c r="E230">
        <v>384.46618357488001</v>
      </c>
      <c r="F230">
        <v>125.14921780987</v>
      </c>
      <c r="G230">
        <v>111.16004813478</v>
      </c>
      <c r="I230" s="9">
        <f t="shared" si="22"/>
        <v>273.30613544009998</v>
      </c>
      <c r="J230" s="9">
        <f t="shared" si="23"/>
        <v>1233.1345986152301</v>
      </c>
      <c r="K230" s="9">
        <f t="shared" si="24"/>
        <v>273.30613544009998</v>
      </c>
      <c r="L230" s="10">
        <f t="shared" si="21"/>
        <v>0.2216352827558434</v>
      </c>
      <c r="M230" s="10">
        <f t="shared" si="20"/>
        <v>0.25886065732098573</v>
      </c>
      <c r="P230" s="8">
        <f t="shared" si="25"/>
        <v>31.902733416438434</v>
      </c>
    </row>
    <row r="231" spans="1:16" x14ac:dyDescent="0.2">
      <c r="A231" s="8">
        <v>114.5</v>
      </c>
      <c r="B231" s="8">
        <v>229</v>
      </c>
      <c r="D231">
        <v>1401.2958937198</v>
      </c>
      <c r="E231">
        <v>397.40700483092002</v>
      </c>
      <c r="F231">
        <v>125.75932611312</v>
      </c>
      <c r="G231">
        <v>111.2972322503</v>
      </c>
      <c r="I231" s="9">
        <f t="shared" si="22"/>
        <v>286.10977258062002</v>
      </c>
      <c r="J231" s="9">
        <f t="shared" si="23"/>
        <v>1275.5365676066799</v>
      </c>
      <c r="K231" s="9">
        <f t="shared" si="24"/>
        <v>286.10977258062002</v>
      </c>
      <c r="L231" s="10">
        <f t="shared" si="21"/>
        <v>0.22430542553354993</v>
      </c>
      <c r="M231" s="10">
        <f t="shared" si="20"/>
        <v>0.26169406928538147</v>
      </c>
      <c r="P231" s="8">
        <f t="shared" si="25"/>
        <v>33.34650160765959</v>
      </c>
    </row>
    <row r="232" spans="1:16" x14ac:dyDescent="0.2">
      <c r="A232" s="8">
        <v>115</v>
      </c>
      <c r="B232" s="8">
        <v>230</v>
      </c>
      <c r="D232">
        <v>1330.3743961353</v>
      </c>
      <c r="E232">
        <v>374.18840579710002</v>
      </c>
      <c r="F232">
        <v>125.60890493382</v>
      </c>
      <c r="G232">
        <v>111.27677496992</v>
      </c>
      <c r="I232" s="9">
        <f t="shared" si="22"/>
        <v>262.91163082718003</v>
      </c>
      <c r="J232" s="9">
        <f t="shared" si="23"/>
        <v>1204.76549120148</v>
      </c>
      <c r="K232" s="9">
        <f t="shared" si="24"/>
        <v>262.91163082718003</v>
      </c>
      <c r="L232" s="10">
        <f t="shared" si="21"/>
        <v>0.21822639571538971</v>
      </c>
      <c r="M232" s="10">
        <f t="shared" si="20"/>
        <v>0.25577830865391049</v>
      </c>
      <c r="P232" s="8">
        <f t="shared" si="25"/>
        <v>30.332119253832818</v>
      </c>
    </row>
    <row r="233" spans="1:16" x14ac:dyDescent="0.2">
      <c r="A233" s="8">
        <v>115.5</v>
      </c>
      <c r="B233" s="8">
        <v>231</v>
      </c>
      <c r="D233">
        <v>1365.9722222221999</v>
      </c>
      <c r="E233">
        <v>388.32608695651999</v>
      </c>
      <c r="F233">
        <v>125.80505415163</v>
      </c>
      <c r="G233">
        <v>111.61732851986</v>
      </c>
      <c r="I233" s="9">
        <f t="shared" si="22"/>
        <v>276.70875843665999</v>
      </c>
      <c r="J233" s="9">
        <f t="shared" si="23"/>
        <v>1240.1671680705699</v>
      </c>
      <c r="K233" s="9">
        <f t="shared" si="24"/>
        <v>276.70875843665999</v>
      </c>
      <c r="L233" s="10">
        <f t="shared" si="21"/>
        <v>0.22312214478888243</v>
      </c>
      <c r="M233" s="10">
        <f t="shared" si="20"/>
        <v>0.26083732691409239</v>
      </c>
      <c r="P233" s="8">
        <f t="shared" si="25"/>
        <v>32.909947587530588</v>
      </c>
    </row>
    <row r="234" spans="1:16" x14ac:dyDescent="0.2">
      <c r="A234" s="8">
        <v>116</v>
      </c>
      <c r="B234" s="8">
        <v>232</v>
      </c>
      <c r="D234">
        <v>1400.2789855072999</v>
      </c>
      <c r="E234">
        <v>410.51690821256</v>
      </c>
      <c r="F234">
        <v>125.86401925391</v>
      </c>
      <c r="G234">
        <v>111.17448856799</v>
      </c>
      <c r="I234" s="9">
        <f t="shared" si="22"/>
        <v>299.34241964456999</v>
      </c>
      <c r="J234" s="9">
        <f t="shared" si="23"/>
        <v>1274.4149662533898</v>
      </c>
      <c r="K234" s="9">
        <f t="shared" si="24"/>
        <v>299.34241964456999</v>
      </c>
      <c r="L234" s="10">
        <f t="shared" si="21"/>
        <v>0.23488614585608392</v>
      </c>
      <c r="M234" s="10">
        <f t="shared" si="20"/>
        <v>0.27276459716798312</v>
      </c>
      <c r="P234" s="8">
        <f t="shared" si="25"/>
        <v>38.987501299116659</v>
      </c>
    </row>
    <row r="235" spans="1:16" x14ac:dyDescent="0.2">
      <c r="A235" s="8">
        <v>116.5</v>
      </c>
      <c r="B235" s="8">
        <v>233</v>
      </c>
      <c r="D235">
        <v>1356.9601449275001</v>
      </c>
      <c r="E235">
        <v>396.26328502415998</v>
      </c>
      <c r="F235">
        <v>125.80505415163</v>
      </c>
      <c r="G235">
        <v>111.68110709987999</v>
      </c>
      <c r="I235" s="9">
        <f t="shared" si="22"/>
        <v>284.58217792428002</v>
      </c>
      <c r="J235" s="9">
        <f t="shared" si="23"/>
        <v>1231.1550907758701</v>
      </c>
      <c r="K235" s="9">
        <f t="shared" si="24"/>
        <v>284.58217792428002</v>
      </c>
      <c r="L235" s="10">
        <f t="shared" si="21"/>
        <v>0.23115055126396564</v>
      </c>
      <c r="M235" s="10">
        <f t="shared" si="20"/>
        <v>0.26919227176255406</v>
      </c>
      <c r="P235" s="8">
        <f t="shared" si="25"/>
        <v>37.167218949123253</v>
      </c>
    </row>
    <row r="236" spans="1:16" x14ac:dyDescent="0.2">
      <c r="A236" s="8">
        <v>117</v>
      </c>
      <c r="B236" s="8">
        <v>234</v>
      </c>
      <c r="D236">
        <v>1366.8369565216999</v>
      </c>
      <c r="E236">
        <v>398.77536231884</v>
      </c>
      <c r="F236">
        <v>125.52226233454</v>
      </c>
      <c r="G236">
        <v>111.30806257521</v>
      </c>
      <c r="I236" s="9">
        <f t="shared" si="22"/>
        <v>287.46729974363001</v>
      </c>
      <c r="J236" s="9">
        <f t="shared" si="23"/>
        <v>1241.3146941871598</v>
      </c>
      <c r="K236" s="9">
        <f t="shared" si="24"/>
        <v>287.46729974363001</v>
      </c>
      <c r="L236" s="10">
        <f t="shared" si="21"/>
        <v>0.23158293468190186</v>
      </c>
      <c r="M236" s="10">
        <f t="shared" si="20"/>
        <v>0.26978792436717952</v>
      </c>
      <c r="P236" s="8">
        <f t="shared" si="25"/>
        <v>37.470734390711954</v>
      </c>
    </row>
    <row r="237" spans="1:16" x14ac:dyDescent="0.2">
      <c r="A237" s="8">
        <v>117.5</v>
      </c>
      <c r="B237" s="8">
        <v>235</v>
      </c>
      <c r="D237">
        <v>1419.0507246376999</v>
      </c>
      <c r="E237">
        <v>418.95772946860001</v>
      </c>
      <c r="F237">
        <v>125.94103489771</v>
      </c>
      <c r="G237">
        <v>111.83513838749001</v>
      </c>
      <c r="I237" s="9">
        <f t="shared" si="22"/>
        <v>307.12259108110999</v>
      </c>
      <c r="J237" s="9">
        <f t="shared" si="23"/>
        <v>1293.1096897399898</v>
      </c>
      <c r="K237" s="9">
        <f t="shared" si="24"/>
        <v>307.12259108110999</v>
      </c>
      <c r="L237" s="10">
        <f t="shared" si="21"/>
        <v>0.23750699072007125</v>
      </c>
      <c r="M237" s="10">
        <f t="shared" si="20"/>
        <v>0.27587524959203813</v>
      </c>
      <c r="P237" s="8">
        <f t="shared" si="25"/>
        <v>40.572537672305465</v>
      </c>
    </row>
    <row r="238" spans="1:16" x14ac:dyDescent="0.2">
      <c r="A238" s="8">
        <v>118</v>
      </c>
      <c r="B238" s="8">
        <v>236</v>
      </c>
      <c r="D238">
        <v>1356.7173913044001</v>
      </c>
      <c r="E238">
        <v>399.57971014493</v>
      </c>
      <c r="F238">
        <v>125.62334536703</v>
      </c>
      <c r="G238">
        <v>111.25752105897</v>
      </c>
      <c r="I238" s="9">
        <f t="shared" si="22"/>
        <v>288.32218908596002</v>
      </c>
      <c r="J238" s="9">
        <f t="shared" si="23"/>
        <v>1231.0940459373701</v>
      </c>
      <c r="K238" s="9">
        <f t="shared" si="24"/>
        <v>288.32218908596002</v>
      </c>
      <c r="L238" s="10">
        <f t="shared" si="21"/>
        <v>0.2341999703738539</v>
      </c>
      <c r="M238" s="10">
        <f t="shared" si="20"/>
        <v>0.27273149843250999</v>
      </c>
      <c r="P238" s="8">
        <f t="shared" si="25"/>
        <v>38.970635801954138</v>
      </c>
    </row>
    <row r="239" spans="1:16" x14ac:dyDescent="0.2">
      <c r="A239" s="8">
        <v>118.5</v>
      </c>
      <c r="B239" s="8">
        <v>237</v>
      </c>
      <c r="D239">
        <v>1356.5144927536001</v>
      </c>
      <c r="E239">
        <v>392.92028985507</v>
      </c>
      <c r="F239">
        <v>126.15403128761</v>
      </c>
      <c r="G239">
        <v>111.30565583633999</v>
      </c>
      <c r="I239" s="9">
        <f t="shared" si="22"/>
        <v>281.61463401872999</v>
      </c>
      <c r="J239" s="9">
        <f t="shared" si="23"/>
        <v>1230.3604614659901</v>
      </c>
      <c r="K239" s="9">
        <f t="shared" si="24"/>
        <v>281.61463401872999</v>
      </c>
      <c r="L239" s="10">
        <f t="shared" si="21"/>
        <v>0.22888790955065524</v>
      </c>
      <c r="M239" s="10">
        <f t="shared" si="20"/>
        <v>0.26758270679600055</v>
      </c>
      <c r="P239" s="8">
        <f t="shared" si="25"/>
        <v>36.347063345344161</v>
      </c>
    </row>
    <row r="240" spans="1:16" x14ac:dyDescent="0.2">
      <c r="A240" s="8">
        <v>119</v>
      </c>
      <c r="B240" s="8">
        <v>238</v>
      </c>
      <c r="D240">
        <v>1400.0603864734001</v>
      </c>
      <c r="E240">
        <v>410.46135265701002</v>
      </c>
      <c r="F240">
        <v>125.80144404332</v>
      </c>
      <c r="G240">
        <v>111.01564380265</v>
      </c>
      <c r="I240" s="9">
        <f t="shared" si="22"/>
        <v>299.44570885436002</v>
      </c>
      <c r="J240" s="9">
        <f t="shared" si="23"/>
        <v>1274.25894243008</v>
      </c>
      <c r="K240" s="9">
        <f t="shared" si="24"/>
        <v>299.44570885436002</v>
      </c>
      <c r="L240" s="10">
        <f t="shared" si="21"/>
        <v>0.23499596422945326</v>
      </c>
      <c r="M240" s="10">
        <f t="shared" si="20"/>
        <v>0.27385403066148778</v>
      </c>
      <c r="P240" s="8">
        <f t="shared" si="25"/>
        <v>39.542623337188658</v>
      </c>
    </row>
    <row r="241" spans="1:16" x14ac:dyDescent="0.2">
      <c r="A241" s="8">
        <v>119.5</v>
      </c>
      <c r="B241" s="8">
        <v>239</v>
      </c>
      <c r="D241">
        <v>1338.8429951691</v>
      </c>
      <c r="E241">
        <v>396.29227053139999</v>
      </c>
      <c r="F241">
        <v>126.10348977136</v>
      </c>
      <c r="G241">
        <v>111.5210589651</v>
      </c>
      <c r="I241" s="9">
        <f t="shared" si="22"/>
        <v>284.7712115663</v>
      </c>
      <c r="J241" s="9">
        <f t="shared" si="23"/>
        <v>1212.73950539774</v>
      </c>
      <c r="K241" s="9">
        <f t="shared" si="24"/>
        <v>284.7712115663</v>
      </c>
      <c r="L241" s="10">
        <f t="shared" si="21"/>
        <v>0.23481647154959637</v>
      </c>
      <c r="M241" s="10">
        <f t="shared" si="20"/>
        <v>0.27383780716832012</v>
      </c>
      <c r="P241" s="8">
        <f t="shared" si="25"/>
        <v>39.534356638353373</v>
      </c>
    </row>
    <row r="242" spans="1:16" x14ac:dyDescent="0.2">
      <c r="A242" s="8">
        <v>120</v>
      </c>
      <c r="B242" s="8">
        <v>240</v>
      </c>
      <c r="D242">
        <v>1354.0495169082001</v>
      </c>
      <c r="E242">
        <v>399.43599033816002</v>
      </c>
      <c r="F242">
        <v>125.29482551143001</v>
      </c>
      <c r="G242">
        <v>111.16726835138</v>
      </c>
      <c r="I242" s="9">
        <f>E242-G242</f>
        <v>288.26872198678001</v>
      </c>
      <c r="J242" s="9">
        <f>D242-F242</f>
        <v>1228.7546913967701</v>
      </c>
      <c r="K242" s="9">
        <f t="shared" si="24"/>
        <v>288.26872198678001</v>
      </c>
      <c r="L242" s="10">
        <f t="shared" si="21"/>
        <v>0.23460233682533857</v>
      </c>
      <c r="M242" s="10">
        <f>L242+ABS($N$2)*A242</f>
        <v>0.27378694163075157</v>
      </c>
      <c r="O242" s="11"/>
      <c r="P242" s="8">
        <f>(M242-$O$2)/$O$2*100</f>
        <v>39.508438047589429</v>
      </c>
    </row>
    <row r="243" spans="1:16" x14ac:dyDescent="0.2">
      <c r="A243" s="8">
        <v>120.5</v>
      </c>
      <c r="B243" s="8">
        <v>241</v>
      </c>
      <c r="D243">
        <v>1357.5519323671999</v>
      </c>
      <c r="E243">
        <v>403.97342995168998</v>
      </c>
      <c r="F243">
        <v>125.62575210590001</v>
      </c>
      <c r="G243">
        <v>111.45487364621</v>
      </c>
      <c r="I243" s="9">
        <f t="shared" ref="I243:I274" si="26">E243-G243</f>
        <v>292.51855630547999</v>
      </c>
      <c r="J243" s="9">
        <f t="shared" ref="J243:J274" si="27">D243-F243</f>
        <v>1231.9261802613</v>
      </c>
      <c r="K243" s="9">
        <f t="shared" si="24"/>
        <v>292.51855630547999</v>
      </c>
      <c r="L243" s="10">
        <f t="shared" si="21"/>
        <v>0.23744812066858972</v>
      </c>
      <c r="M243" s="10">
        <f t="shared" ref="M243:M274" si="28">L243+ABS($N$2)*A243</f>
        <v>0.27679599466069194</v>
      </c>
      <c r="P243" s="8">
        <f t="shared" ref="P243:P274" si="29">(M243-$O$2)/$O$2*100</f>
        <v>41.041704337460558</v>
      </c>
    </row>
    <row r="244" spans="1:16" x14ac:dyDescent="0.2">
      <c r="A244" s="8">
        <v>121</v>
      </c>
      <c r="B244" s="8">
        <v>242</v>
      </c>
      <c r="D244">
        <v>1398.7536231884001</v>
      </c>
      <c r="E244">
        <v>416.20531400966001</v>
      </c>
      <c r="F244">
        <v>125.85800240674</v>
      </c>
      <c r="G244">
        <v>110.75812274368</v>
      </c>
      <c r="I244" s="9">
        <f t="shared" si="26"/>
        <v>305.44719126598</v>
      </c>
      <c r="J244" s="9">
        <f t="shared" si="27"/>
        <v>1272.89562078166</v>
      </c>
      <c r="K244" s="9">
        <f t="shared" si="24"/>
        <v>305.44719126598</v>
      </c>
      <c r="L244" s="10">
        <f t="shared" si="21"/>
        <v>0.23996248103863452</v>
      </c>
      <c r="M244" s="10">
        <f t="shared" si="28"/>
        <v>0.27947362421742594</v>
      </c>
      <c r="N244" s="1"/>
      <c r="P244" s="8">
        <f t="shared" si="29"/>
        <v>42.406093431056632</v>
      </c>
    </row>
    <row r="245" spans="1:16" x14ac:dyDescent="0.2">
      <c r="A245" s="8">
        <v>121.5</v>
      </c>
      <c r="B245" s="8">
        <v>243</v>
      </c>
      <c r="D245">
        <v>1359.7681159419999</v>
      </c>
      <c r="E245">
        <v>402.05797101449002</v>
      </c>
      <c r="F245">
        <v>126.25992779783</v>
      </c>
      <c r="G245">
        <v>111.16726835138</v>
      </c>
      <c r="I245" s="9">
        <f t="shared" si="26"/>
        <v>290.89070266311001</v>
      </c>
      <c r="J245" s="9">
        <f t="shared" si="27"/>
        <v>1233.5081881441699</v>
      </c>
      <c r="K245" s="9">
        <f t="shared" si="24"/>
        <v>290.89070266311001</v>
      </c>
      <c r="L245" s="10">
        <f t="shared" si="21"/>
        <v>0.23582389274671867</v>
      </c>
      <c r="M245" s="10">
        <f t="shared" si="28"/>
        <v>0.2754983051121993</v>
      </c>
      <c r="P245" s="8">
        <f t="shared" si="29"/>
        <v>40.380465196899031</v>
      </c>
    </row>
    <row r="246" spans="1:16" x14ac:dyDescent="0.2">
      <c r="A246" s="8">
        <v>122</v>
      </c>
      <c r="B246" s="8">
        <v>244</v>
      </c>
      <c r="D246">
        <v>1319.2415458937</v>
      </c>
      <c r="E246">
        <v>389.08695652173998</v>
      </c>
      <c r="F246">
        <v>126.03971119134</v>
      </c>
      <c r="G246">
        <v>111.25150421179001</v>
      </c>
      <c r="I246" s="9">
        <f t="shared" si="26"/>
        <v>277.83545230994997</v>
      </c>
      <c r="J246" s="9">
        <f t="shared" si="27"/>
        <v>1193.20183470236</v>
      </c>
      <c r="K246" s="9">
        <f t="shared" si="24"/>
        <v>277.83545230994997</v>
      </c>
      <c r="L246" s="10">
        <f t="shared" si="21"/>
        <v>0.23284866334391369</v>
      </c>
      <c r="M246" s="10">
        <f t="shared" si="28"/>
        <v>0.27268634489608357</v>
      </c>
      <c r="P246" s="8">
        <f t="shared" si="29"/>
        <v>38.94762776767152</v>
      </c>
    </row>
    <row r="247" spans="1:16" x14ac:dyDescent="0.2">
      <c r="A247" s="8">
        <v>122.5</v>
      </c>
      <c r="B247" s="8">
        <v>245</v>
      </c>
      <c r="D247">
        <v>1290.6606280193</v>
      </c>
      <c r="E247">
        <v>385.01811594203002</v>
      </c>
      <c r="F247">
        <v>125.89891696751</v>
      </c>
      <c r="G247">
        <v>111.30084235859999</v>
      </c>
      <c r="I247" s="9">
        <f t="shared" si="26"/>
        <v>273.71727358343003</v>
      </c>
      <c r="J247" s="9">
        <f t="shared" si="27"/>
        <v>1164.7617110517899</v>
      </c>
      <c r="K247" s="9">
        <f t="shared" si="24"/>
        <v>273.71727358343003</v>
      </c>
      <c r="L247" s="10">
        <f t="shared" si="21"/>
        <v>0.23499851599367991</v>
      </c>
      <c r="M247" s="10">
        <f t="shared" si="28"/>
        <v>0.274999466732539</v>
      </c>
      <c r="P247" s="8">
        <f t="shared" si="29"/>
        <v>40.126281550410667</v>
      </c>
    </row>
    <row r="248" spans="1:16" x14ac:dyDescent="0.2">
      <c r="A248" s="8">
        <v>123</v>
      </c>
      <c r="B248" s="8">
        <v>246</v>
      </c>
      <c r="D248">
        <v>1308.1340579709999</v>
      </c>
      <c r="E248">
        <v>380.11352657005</v>
      </c>
      <c r="F248">
        <v>125.80385078219</v>
      </c>
      <c r="G248">
        <v>111.1504211793</v>
      </c>
      <c r="I248" s="9">
        <f t="shared" si="26"/>
        <v>268.96310539075</v>
      </c>
      <c r="J248" s="9">
        <f t="shared" si="27"/>
        <v>1182.3302071888099</v>
      </c>
      <c r="K248" s="9">
        <f t="shared" si="24"/>
        <v>268.96310539075</v>
      </c>
      <c r="L248" s="10">
        <f t="shared" si="21"/>
        <v>0.22748560745162325</v>
      </c>
      <c r="M248" s="10">
        <f t="shared" si="28"/>
        <v>0.26764982737717152</v>
      </c>
      <c r="P248" s="8">
        <f t="shared" si="29"/>
        <v>36.381264711502226</v>
      </c>
    </row>
    <row r="249" spans="1:16" x14ac:dyDescent="0.2">
      <c r="A249" s="8">
        <v>123.5</v>
      </c>
      <c r="B249" s="8">
        <v>247</v>
      </c>
      <c r="D249">
        <v>1323.7282608696</v>
      </c>
      <c r="E249">
        <v>389.28260869565003</v>
      </c>
      <c r="F249">
        <v>125.99157641396</v>
      </c>
      <c r="G249">
        <v>111.67268351384</v>
      </c>
      <c r="I249" s="9">
        <f t="shared" si="26"/>
        <v>277.60992518181001</v>
      </c>
      <c r="J249" s="9">
        <f t="shared" si="27"/>
        <v>1197.73668445564</v>
      </c>
      <c r="K249" s="9">
        <f t="shared" si="24"/>
        <v>277.60992518181001</v>
      </c>
      <c r="L249" s="10">
        <f t="shared" si="21"/>
        <v>0.23177876137941045</v>
      </c>
      <c r="M249" s="10">
        <f t="shared" si="28"/>
        <v>0.27210625049164794</v>
      </c>
      <c r="P249" s="8">
        <f t="shared" si="29"/>
        <v>38.652040024147553</v>
      </c>
    </row>
    <row r="250" spans="1:16" x14ac:dyDescent="0.2">
      <c r="A250" s="8">
        <v>124</v>
      </c>
      <c r="B250" s="8">
        <v>248</v>
      </c>
      <c r="D250">
        <v>1293.6268115942</v>
      </c>
      <c r="E250">
        <v>381.75483091786998</v>
      </c>
      <c r="F250">
        <v>125.22503008424</v>
      </c>
      <c r="G250">
        <v>111.5944645006</v>
      </c>
      <c r="I250" s="9">
        <f t="shared" si="26"/>
        <v>270.16036641726998</v>
      </c>
      <c r="J250" s="9">
        <f t="shared" si="27"/>
        <v>1168.4017815099601</v>
      </c>
      <c r="K250" s="9">
        <f t="shared" si="24"/>
        <v>270.16036641726998</v>
      </c>
      <c r="L250" s="10">
        <f t="shared" si="21"/>
        <v>0.23122214523512089</v>
      </c>
      <c r="M250" s="10">
        <f t="shared" si="28"/>
        <v>0.27171290353404765</v>
      </c>
      <c r="P250" s="8">
        <f t="shared" si="29"/>
        <v>38.451609648108665</v>
      </c>
    </row>
    <row r="251" spans="1:16" x14ac:dyDescent="0.2">
      <c r="A251" s="8">
        <v>124.5</v>
      </c>
      <c r="B251" s="8">
        <v>249</v>
      </c>
      <c r="D251">
        <v>1273.9782608696</v>
      </c>
      <c r="E251">
        <v>369.74637681158998</v>
      </c>
      <c r="F251">
        <v>125.84115523465999</v>
      </c>
      <c r="G251">
        <v>111.41155234657001</v>
      </c>
      <c r="I251" s="9">
        <f t="shared" si="26"/>
        <v>258.33482446502001</v>
      </c>
      <c r="J251" s="9">
        <f t="shared" si="27"/>
        <v>1148.1371056349401</v>
      </c>
      <c r="K251" s="9">
        <f t="shared" si="24"/>
        <v>258.33482446502001</v>
      </c>
      <c r="L251" s="10">
        <f t="shared" si="21"/>
        <v>0.22500346273728022</v>
      </c>
      <c r="M251" s="10">
        <f t="shared" si="28"/>
        <v>0.2656574902228962</v>
      </c>
      <c r="P251" s="8">
        <f t="shared" si="29"/>
        <v>35.366067117337963</v>
      </c>
    </row>
    <row r="252" spans="1:16" x14ac:dyDescent="0.2">
      <c r="A252" s="8">
        <v>125</v>
      </c>
      <c r="B252" s="8">
        <v>250</v>
      </c>
      <c r="D252">
        <v>1342.4396135265999</v>
      </c>
      <c r="E252">
        <v>388.98550724638</v>
      </c>
      <c r="F252">
        <v>126.00962695548</v>
      </c>
      <c r="G252">
        <v>111.30445246691001</v>
      </c>
      <c r="I252" s="9">
        <f t="shared" si="26"/>
        <v>277.68105477947</v>
      </c>
      <c r="J252" s="9">
        <f t="shared" si="27"/>
        <v>1216.42998657112</v>
      </c>
      <c r="K252" s="9">
        <f t="shared" si="24"/>
        <v>277.68105477947</v>
      </c>
      <c r="L252" s="10">
        <f t="shared" si="21"/>
        <v>0.22827541070587959</v>
      </c>
      <c r="M252" s="10">
        <f t="shared" si="28"/>
        <v>0.2690927073781848</v>
      </c>
      <c r="P252" s="8">
        <f t="shared" si="29"/>
        <v>37.116485807265612</v>
      </c>
    </row>
    <row r="253" spans="1:16" x14ac:dyDescent="0.2">
      <c r="A253" s="8">
        <v>125.5</v>
      </c>
      <c r="B253" s="8">
        <v>251</v>
      </c>
      <c r="D253">
        <v>1345.6400966184001</v>
      </c>
      <c r="E253">
        <v>386.33816425121</v>
      </c>
      <c r="F253">
        <v>125.77256317689999</v>
      </c>
      <c r="G253">
        <v>111.59687123947</v>
      </c>
      <c r="I253" s="9">
        <f t="shared" si="26"/>
        <v>274.74129301174003</v>
      </c>
      <c r="J253" s="9">
        <f t="shared" si="27"/>
        <v>1219.8675334415002</v>
      </c>
      <c r="K253" s="9">
        <f t="shared" si="24"/>
        <v>274.74129301174003</v>
      </c>
      <c r="L253" s="10">
        <f t="shared" si="21"/>
        <v>0.22522223559523522</v>
      </c>
      <c r="M253" s="10">
        <f t="shared" si="28"/>
        <v>0.26620280145422964</v>
      </c>
      <c r="P253" s="8">
        <f t="shared" si="29"/>
        <v>35.643931056647887</v>
      </c>
    </row>
    <row r="254" spans="1:16" x14ac:dyDescent="0.2">
      <c r="A254" s="8">
        <v>126</v>
      </c>
      <c r="B254" s="8">
        <v>252</v>
      </c>
      <c r="D254">
        <v>1334.9371980676001</v>
      </c>
      <c r="E254">
        <v>382.70289855073003</v>
      </c>
      <c r="F254">
        <v>125.58002406739</v>
      </c>
      <c r="G254">
        <v>111.49097472923999</v>
      </c>
      <c r="I254" s="9">
        <f t="shared" si="26"/>
        <v>271.21192382149002</v>
      </c>
      <c r="J254" s="9">
        <f t="shared" si="27"/>
        <v>1209.3571740002101</v>
      </c>
      <c r="K254" s="9">
        <f t="shared" si="24"/>
        <v>271.21192382149002</v>
      </c>
      <c r="L254" s="10">
        <f t="shared" si="21"/>
        <v>0.22426122708182067</v>
      </c>
      <c r="M254" s="10">
        <f t="shared" si="28"/>
        <v>0.26540506212750431</v>
      </c>
      <c r="P254" s="8">
        <f t="shared" si="29"/>
        <v>35.237442102946495</v>
      </c>
    </row>
    <row r="255" spans="1:16" x14ac:dyDescent="0.2">
      <c r="A255" s="8">
        <v>126.5</v>
      </c>
      <c r="B255" s="8">
        <v>253</v>
      </c>
      <c r="D255">
        <v>1340.7862318841001</v>
      </c>
      <c r="E255">
        <v>379.08333333333002</v>
      </c>
      <c r="F255">
        <v>125.96269554753</v>
      </c>
      <c r="G255">
        <v>111.31407942238</v>
      </c>
      <c r="I255" s="9">
        <f t="shared" si="26"/>
        <v>267.76925391095</v>
      </c>
      <c r="J255" s="9">
        <f t="shared" si="27"/>
        <v>1214.82353633657</v>
      </c>
      <c r="K255" s="9">
        <f t="shared" si="24"/>
        <v>267.76925391095</v>
      </c>
      <c r="L255" s="10">
        <f t="shared" si="21"/>
        <v>0.22041823022168039</v>
      </c>
      <c r="M255" s="10">
        <f t="shared" si="28"/>
        <v>0.26172533445405322</v>
      </c>
      <c r="P255" s="8">
        <f t="shared" si="29"/>
        <v>33.362432808836353</v>
      </c>
    </row>
    <row r="256" spans="1:16" x14ac:dyDescent="0.2">
      <c r="A256" s="8">
        <v>127</v>
      </c>
      <c r="B256" s="8">
        <v>254</v>
      </c>
      <c r="D256">
        <v>1372.672705314</v>
      </c>
      <c r="E256">
        <v>389.50603864734001</v>
      </c>
      <c r="F256">
        <v>125.77496991576</v>
      </c>
      <c r="G256">
        <v>111.61492178099</v>
      </c>
      <c r="I256" s="9">
        <f t="shared" si="26"/>
        <v>277.89111686634999</v>
      </c>
      <c r="J256" s="9">
        <f t="shared" si="27"/>
        <v>1246.89773539824</v>
      </c>
      <c r="K256" s="9">
        <f t="shared" si="24"/>
        <v>277.89111686634999</v>
      </c>
      <c r="L256" s="10">
        <f t="shared" si="21"/>
        <v>0.22286600494754755</v>
      </c>
      <c r="M256" s="10">
        <f t="shared" si="28"/>
        <v>0.26433637836660961</v>
      </c>
      <c r="P256" s="8">
        <f t="shared" si="29"/>
        <v>34.692893114009266</v>
      </c>
    </row>
    <row r="257" spans="1:16" x14ac:dyDescent="0.2">
      <c r="A257" s="8">
        <v>127.5</v>
      </c>
      <c r="B257" s="8">
        <v>255</v>
      </c>
      <c r="D257">
        <v>1349.3248792270999</v>
      </c>
      <c r="E257">
        <v>382.09057971015</v>
      </c>
      <c r="F257">
        <v>125.70517448856999</v>
      </c>
      <c r="G257">
        <v>111.35258724428</v>
      </c>
      <c r="I257" s="9">
        <f t="shared" si="26"/>
        <v>270.73799246586998</v>
      </c>
      <c r="J257" s="9">
        <f t="shared" si="27"/>
        <v>1223.6197047385299</v>
      </c>
      <c r="K257" s="9">
        <f t="shared" si="24"/>
        <v>270.73799246586998</v>
      </c>
      <c r="L257" s="10">
        <f t="shared" si="21"/>
        <v>0.22125991549288007</v>
      </c>
      <c r="M257" s="10">
        <f t="shared" si="28"/>
        <v>0.26289355809863135</v>
      </c>
      <c r="P257" s="8">
        <f t="shared" si="29"/>
        <v>33.957702455279751</v>
      </c>
    </row>
    <row r="258" spans="1:16" x14ac:dyDescent="0.2">
      <c r="A258" s="8">
        <v>128</v>
      </c>
      <c r="B258" s="8">
        <v>256</v>
      </c>
      <c r="D258">
        <v>1327.7910628018999</v>
      </c>
      <c r="E258">
        <v>371.63164251208002</v>
      </c>
      <c r="F258">
        <v>125.69795427196</v>
      </c>
      <c r="G258">
        <v>111.28640192539</v>
      </c>
      <c r="I258" s="9">
        <f t="shared" si="26"/>
        <v>260.34524058669001</v>
      </c>
      <c r="J258" s="9">
        <f t="shared" si="27"/>
        <v>1202.0931085299399</v>
      </c>
      <c r="K258" s="9">
        <f t="shared" si="24"/>
        <v>260.34524058669001</v>
      </c>
      <c r="L258" s="10">
        <f t="shared" ref="L258:L321" si="30">K258/J258</f>
        <v>0.21657660187826103</v>
      </c>
      <c r="M258" s="10">
        <f t="shared" si="28"/>
        <v>0.25837351367070155</v>
      </c>
      <c r="P258" s="8">
        <f t="shared" si="29"/>
        <v>31.654508832200946</v>
      </c>
    </row>
    <row r="259" spans="1:16" x14ac:dyDescent="0.2">
      <c r="A259" s="8">
        <v>128.5</v>
      </c>
      <c r="B259" s="8">
        <v>257</v>
      </c>
      <c r="D259">
        <v>1345.2282608696</v>
      </c>
      <c r="E259">
        <v>376.52053140097001</v>
      </c>
      <c r="F259">
        <v>125.75691937425</v>
      </c>
      <c r="G259">
        <v>111.40192539109999</v>
      </c>
      <c r="I259" s="9">
        <f t="shared" si="26"/>
        <v>265.11860600987001</v>
      </c>
      <c r="J259" s="9">
        <f t="shared" si="27"/>
        <v>1219.4713414953501</v>
      </c>
      <c r="K259" s="9">
        <f t="shared" ref="K259:K321" si="31">I259*1</f>
        <v>265.11860600987001</v>
      </c>
      <c r="L259" s="10">
        <f t="shared" si="30"/>
        <v>0.21740453997448936</v>
      </c>
      <c r="M259" s="10">
        <f t="shared" si="28"/>
        <v>0.25936472095361907</v>
      </c>
      <c r="P259" s="8">
        <f t="shared" si="29"/>
        <v>32.15957959634175</v>
      </c>
    </row>
    <row r="260" spans="1:16" x14ac:dyDescent="0.2">
      <c r="A260" s="8">
        <v>129</v>
      </c>
      <c r="B260" s="8">
        <v>258</v>
      </c>
      <c r="D260">
        <v>1320.6702898551</v>
      </c>
      <c r="E260">
        <v>365.17753623188003</v>
      </c>
      <c r="F260">
        <v>125.52948255114001</v>
      </c>
      <c r="G260">
        <v>111.42599277978</v>
      </c>
      <c r="I260" s="9">
        <f t="shared" si="26"/>
        <v>253.75154345210001</v>
      </c>
      <c r="J260" s="9">
        <f t="shared" si="27"/>
        <v>1195.1408073039599</v>
      </c>
      <c r="K260" s="9">
        <f t="shared" si="31"/>
        <v>253.75154345210001</v>
      </c>
      <c r="L260" s="10">
        <f t="shared" si="30"/>
        <v>0.21231937015398339</v>
      </c>
      <c r="M260" s="10">
        <f t="shared" si="28"/>
        <v>0.25444282031980237</v>
      </c>
      <c r="P260" s="8">
        <f t="shared" si="29"/>
        <v>29.651619700375388</v>
      </c>
    </row>
    <row r="261" spans="1:16" x14ac:dyDescent="0.2">
      <c r="A261" s="8">
        <v>129.5</v>
      </c>
      <c r="B261" s="8">
        <v>259</v>
      </c>
      <c r="D261">
        <v>1316.5326086957</v>
      </c>
      <c r="E261">
        <v>360.57004830917998</v>
      </c>
      <c r="F261">
        <v>125.84356197353</v>
      </c>
      <c r="G261">
        <v>111.04693140793999</v>
      </c>
      <c r="I261" s="9">
        <f t="shared" si="26"/>
        <v>249.52311690123997</v>
      </c>
      <c r="J261" s="9">
        <f t="shared" si="27"/>
        <v>1190.6890467221699</v>
      </c>
      <c r="K261" s="9">
        <f t="shared" si="31"/>
        <v>249.52311690123997</v>
      </c>
      <c r="L261" s="10">
        <f t="shared" si="30"/>
        <v>0.20956194867849706</v>
      </c>
      <c r="M261" s="10">
        <f t="shared" si="28"/>
        <v>0.25184866803100525</v>
      </c>
      <c r="P261" s="8">
        <f t="shared" si="29"/>
        <v>28.32976654071755</v>
      </c>
    </row>
    <row r="262" spans="1:16" x14ac:dyDescent="0.2">
      <c r="A262" s="8">
        <v>130</v>
      </c>
      <c r="B262" s="8">
        <v>260</v>
      </c>
      <c r="D262">
        <v>1347.9347826087001</v>
      </c>
      <c r="E262">
        <v>368.07004830917998</v>
      </c>
      <c r="F262">
        <v>125.45246690734</v>
      </c>
      <c r="G262">
        <v>111.00601684717</v>
      </c>
      <c r="I262" s="9">
        <f t="shared" si="26"/>
        <v>257.06403146201001</v>
      </c>
      <c r="J262" s="9">
        <f t="shared" si="27"/>
        <v>1222.48231570136</v>
      </c>
      <c r="K262" s="9">
        <f t="shared" si="31"/>
        <v>257.06403146201001</v>
      </c>
      <c r="L262" s="10">
        <f t="shared" si="30"/>
        <v>0.2102803681986416</v>
      </c>
      <c r="M262" s="10">
        <f t="shared" si="28"/>
        <v>0.252730356737839</v>
      </c>
      <c r="P262" s="8">
        <f t="shared" si="29"/>
        <v>28.779031993634831</v>
      </c>
    </row>
    <row r="263" spans="1:16" x14ac:dyDescent="0.2">
      <c r="A263" s="8">
        <v>130.5</v>
      </c>
      <c r="B263" s="8">
        <v>261</v>
      </c>
      <c r="D263">
        <v>1396.6014492754</v>
      </c>
      <c r="E263">
        <v>388.12560386473001</v>
      </c>
      <c r="F263">
        <v>125.79663056558</v>
      </c>
      <c r="G263">
        <v>111.29241877256</v>
      </c>
      <c r="I263" s="9">
        <f t="shared" si="26"/>
        <v>276.83318509217003</v>
      </c>
      <c r="J263" s="9">
        <f t="shared" si="27"/>
        <v>1270.80481870982</v>
      </c>
      <c r="K263" s="9">
        <f t="shared" si="31"/>
        <v>276.83318509217003</v>
      </c>
      <c r="L263" s="10">
        <f t="shared" si="30"/>
        <v>0.21784083678028851</v>
      </c>
      <c r="M263" s="10">
        <f t="shared" si="28"/>
        <v>0.26045409450617513</v>
      </c>
      <c r="P263" s="8">
        <f t="shared" si="29"/>
        <v>32.714671091437289</v>
      </c>
    </row>
    <row r="264" spans="1:16" x14ac:dyDescent="0.2">
      <c r="A264" s="8">
        <v>131</v>
      </c>
      <c r="B264" s="8">
        <v>262</v>
      </c>
      <c r="D264">
        <v>1373.0253623188</v>
      </c>
      <c r="E264">
        <v>374.99516908213002</v>
      </c>
      <c r="F264">
        <v>125.31889290012001</v>
      </c>
      <c r="G264">
        <v>111.12996389892</v>
      </c>
      <c r="I264" s="9">
        <f t="shared" si="26"/>
        <v>263.86520518321004</v>
      </c>
      <c r="J264" s="9">
        <f t="shared" si="27"/>
        <v>1247.7064694186799</v>
      </c>
      <c r="K264" s="9">
        <f t="shared" si="31"/>
        <v>263.86520518321004</v>
      </c>
      <c r="L264" s="10">
        <f t="shared" si="30"/>
        <v>0.21148019317888744</v>
      </c>
      <c r="M264" s="10">
        <f t="shared" si="28"/>
        <v>0.25425672009146327</v>
      </c>
      <c r="P264" s="8">
        <f t="shared" si="29"/>
        <v>29.556792123788838</v>
      </c>
    </row>
    <row r="265" spans="1:16" x14ac:dyDescent="0.2">
      <c r="A265" s="8">
        <v>131.5</v>
      </c>
      <c r="B265" s="8">
        <v>263</v>
      </c>
      <c r="D265">
        <v>1356.9601449275001</v>
      </c>
      <c r="E265">
        <v>364.41183574879</v>
      </c>
      <c r="F265">
        <v>125.56558363418</v>
      </c>
      <c r="G265">
        <v>111.13718411552</v>
      </c>
      <c r="I265" s="9">
        <f t="shared" si="26"/>
        <v>253.27465163327</v>
      </c>
      <c r="J265" s="9">
        <f t="shared" si="27"/>
        <v>1231.3945612933201</v>
      </c>
      <c r="K265" s="9">
        <f t="shared" si="31"/>
        <v>253.27465163327</v>
      </c>
      <c r="L265" s="10">
        <f t="shared" si="30"/>
        <v>0.20568115175631313</v>
      </c>
      <c r="M265" s="10">
        <f t="shared" si="28"/>
        <v>0.24862094785557817</v>
      </c>
      <c r="P265" s="8">
        <f t="shared" si="29"/>
        <v>26.685078165711623</v>
      </c>
    </row>
    <row r="266" spans="1:16" x14ac:dyDescent="0.2">
      <c r="A266" s="8">
        <v>132</v>
      </c>
      <c r="B266" s="8">
        <v>264</v>
      </c>
      <c r="D266">
        <v>1380.3659420290001</v>
      </c>
      <c r="E266">
        <v>364.51328502415998</v>
      </c>
      <c r="F266">
        <v>125.48977135981001</v>
      </c>
      <c r="G266">
        <v>111.34296028881</v>
      </c>
      <c r="I266" s="9">
        <f t="shared" si="26"/>
        <v>253.17032473534999</v>
      </c>
      <c r="J266" s="9">
        <f t="shared" si="27"/>
        <v>1254.8761706691901</v>
      </c>
      <c r="K266" s="9">
        <f t="shared" si="31"/>
        <v>253.17032473534999</v>
      </c>
      <c r="L266" s="10">
        <f t="shared" si="30"/>
        <v>0.20174924877276249</v>
      </c>
      <c r="M266" s="10">
        <f t="shared" si="28"/>
        <v>0.24485231405871677</v>
      </c>
      <c r="P266" s="8">
        <f t="shared" si="29"/>
        <v>24.764766658369677</v>
      </c>
    </row>
    <row r="267" spans="1:16" x14ac:dyDescent="0.2">
      <c r="A267" s="8">
        <v>132.5</v>
      </c>
      <c r="B267" s="8">
        <v>265</v>
      </c>
      <c r="D267">
        <v>1359.1714975845</v>
      </c>
      <c r="E267">
        <v>357.02415458937003</v>
      </c>
      <c r="F267">
        <v>125.61371841155</v>
      </c>
      <c r="G267">
        <v>111.00842358604</v>
      </c>
      <c r="I267" s="9">
        <f t="shared" si="26"/>
        <v>246.01573100333002</v>
      </c>
      <c r="J267" s="9">
        <f t="shared" si="27"/>
        <v>1233.5577791729499</v>
      </c>
      <c r="K267" s="9">
        <f t="shared" si="31"/>
        <v>246.01573100333002</v>
      </c>
      <c r="L267" s="10">
        <f t="shared" si="30"/>
        <v>0.19943592035735327</v>
      </c>
      <c r="M267" s="10">
        <f t="shared" si="28"/>
        <v>0.24270225482999677</v>
      </c>
      <c r="P267" s="8">
        <f t="shared" si="29"/>
        <v>23.669201607231965</v>
      </c>
    </row>
    <row r="268" spans="1:16" x14ac:dyDescent="0.2">
      <c r="A268" s="8">
        <v>133</v>
      </c>
      <c r="B268" s="8">
        <v>266</v>
      </c>
      <c r="D268">
        <v>1349.5724637681001</v>
      </c>
      <c r="E268">
        <v>346.31642512077002</v>
      </c>
      <c r="F268">
        <v>125.79302045727999</v>
      </c>
      <c r="G268">
        <v>111.28399518652</v>
      </c>
      <c r="I268" s="9">
        <f t="shared" si="26"/>
        <v>235.03242993425002</v>
      </c>
      <c r="J268" s="9">
        <f t="shared" si="27"/>
        <v>1223.7794433108202</v>
      </c>
      <c r="K268" s="9">
        <f t="shared" si="31"/>
        <v>235.03242993425002</v>
      </c>
      <c r="L268" s="10">
        <f t="shared" si="30"/>
        <v>0.19205456605676582</v>
      </c>
      <c r="M268" s="10">
        <f t="shared" si="28"/>
        <v>0.23548416971609853</v>
      </c>
      <c r="P268" s="8">
        <f t="shared" si="29"/>
        <v>19.991218377145746</v>
      </c>
    </row>
    <row r="269" spans="1:16" x14ac:dyDescent="0.2">
      <c r="A269" s="8">
        <v>133.5</v>
      </c>
      <c r="B269" s="8">
        <v>267</v>
      </c>
      <c r="D269">
        <v>1387.2028985507</v>
      </c>
      <c r="E269">
        <v>357.18599033816002</v>
      </c>
      <c r="F269">
        <v>125.54873646209001</v>
      </c>
      <c r="G269">
        <v>111.43561973526</v>
      </c>
      <c r="I269" s="9">
        <f t="shared" si="26"/>
        <v>245.75037060290003</v>
      </c>
      <c r="J269" s="9">
        <f t="shared" si="27"/>
        <v>1261.6541620886101</v>
      </c>
      <c r="K269" s="9">
        <f t="shared" si="31"/>
        <v>245.75037060290003</v>
      </c>
      <c r="L269" s="10">
        <f t="shared" si="30"/>
        <v>0.19478425862446463</v>
      </c>
      <c r="M269" s="10">
        <f t="shared" si="28"/>
        <v>0.23837713147048656</v>
      </c>
      <c r="P269" s="8">
        <f t="shared" si="29"/>
        <v>21.465330229530583</v>
      </c>
    </row>
    <row r="270" spans="1:16" x14ac:dyDescent="0.2">
      <c r="A270" s="8">
        <v>134</v>
      </c>
      <c r="B270" s="8">
        <v>268</v>
      </c>
      <c r="D270">
        <v>1352.3659420290001</v>
      </c>
      <c r="E270">
        <v>341.53743961353001</v>
      </c>
      <c r="F270">
        <v>126.24669073406</v>
      </c>
      <c r="G270">
        <v>111.08423586041</v>
      </c>
      <c r="I270" s="9">
        <f t="shared" si="26"/>
        <v>230.45320375312002</v>
      </c>
      <c r="J270" s="9">
        <f t="shared" si="27"/>
        <v>1226.1192512949401</v>
      </c>
      <c r="K270" s="9">
        <f t="shared" si="31"/>
        <v>230.45320375312002</v>
      </c>
      <c r="L270" s="10">
        <f t="shared" si="30"/>
        <v>0.18795333611288764</v>
      </c>
      <c r="M270" s="10">
        <f t="shared" si="28"/>
        <v>0.23170947814559881</v>
      </c>
      <c r="P270" s="8">
        <f t="shared" si="29"/>
        <v>18.06782012456571</v>
      </c>
    </row>
    <row r="271" spans="1:16" x14ac:dyDescent="0.2">
      <c r="A271" s="8">
        <v>134.5</v>
      </c>
      <c r="B271" s="8">
        <v>269</v>
      </c>
      <c r="D271">
        <v>1360.4867149759</v>
      </c>
      <c r="E271">
        <v>339.62560386473001</v>
      </c>
      <c r="F271">
        <v>125.59205776173</v>
      </c>
      <c r="G271">
        <v>111.36341756919001</v>
      </c>
      <c r="I271" s="9">
        <f t="shared" si="26"/>
        <v>228.26218629554</v>
      </c>
      <c r="J271" s="9">
        <f t="shared" si="27"/>
        <v>1234.8946572141699</v>
      </c>
      <c r="K271" s="9">
        <f t="shared" si="31"/>
        <v>228.26218629554</v>
      </c>
      <c r="L271" s="10">
        <f t="shared" si="30"/>
        <v>0.18484344795084176</v>
      </c>
      <c r="M271" s="10">
        <f t="shared" si="28"/>
        <v>0.22876285917024214</v>
      </c>
      <c r="P271" s="8">
        <f t="shared" si="29"/>
        <v>16.566367176061664</v>
      </c>
    </row>
    <row r="272" spans="1:16" x14ac:dyDescent="0.2">
      <c r="A272" s="8">
        <v>135</v>
      </c>
      <c r="B272" s="8">
        <v>270</v>
      </c>
      <c r="D272">
        <v>1341.5380894801001</v>
      </c>
      <c r="E272">
        <v>327.28053204353</v>
      </c>
      <c r="F272">
        <v>126.19133574007</v>
      </c>
      <c r="G272">
        <v>111.23465703971</v>
      </c>
      <c r="I272" s="9">
        <f t="shared" si="26"/>
        <v>216.04587500382002</v>
      </c>
      <c r="J272" s="9">
        <f t="shared" si="27"/>
        <v>1215.3467537400302</v>
      </c>
      <c r="K272" s="9">
        <f t="shared" si="31"/>
        <v>216.04587500382002</v>
      </c>
      <c r="L272" s="10">
        <f t="shared" si="30"/>
        <v>0.17776480197028074</v>
      </c>
      <c r="M272" s="10">
        <f t="shared" si="28"/>
        <v>0.22184748237637034</v>
      </c>
      <c r="P272" s="8">
        <f t="shared" si="29"/>
        <v>13.04262930427983</v>
      </c>
    </row>
    <row r="273" spans="1:16" x14ac:dyDescent="0.2">
      <c r="A273" s="8">
        <v>135.5</v>
      </c>
      <c r="B273" s="8">
        <v>271</v>
      </c>
      <c r="D273">
        <v>1297.1825876662999</v>
      </c>
      <c r="E273">
        <v>323.64691656590003</v>
      </c>
      <c r="F273">
        <v>125.06738868833</v>
      </c>
      <c r="G273">
        <v>111.29001203369</v>
      </c>
      <c r="I273" s="9">
        <f t="shared" si="26"/>
        <v>212.35690453221002</v>
      </c>
      <c r="J273" s="9">
        <f t="shared" si="27"/>
        <v>1172.1151989779698</v>
      </c>
      <c r="K273" s="9">
        <f t="shared" si="31"/>
        <v>212.35690453221002</v>
      </c>
      <c r="L273" s="10">
        <f t="shared" si="30"/>
        <v>0.1811740899848201</v>
      </c>
      <c r="M273" s="10">
        <f t="shared" si="28"/>
        <v>0.22542003957759893</v>
      </c>
      <c r="P273" s="8">
        <f t="shared" si="29"/>
        <v>14.863029766078508</v>
      </c>
    </row>
    <row r="274" spans="1:16" x14ac:dyDescent="0.2">
      <c r="A274" s="8">
        <v>136</v>
      </c>
      <c r="B274" s="8">
        <v>272</v>
      </c>
      <c r="D274">
        <v>1328.5666266507001</v>
      </c>
      <c r="E274">
        <v>325.73589435773999</v>
      </c>
      <c r="F274">
        <v>125.69193742479</v>
      </c>
      <c r="G274">
        <v>110.8916967509</v>
      </c>
      <c r="I274" s="9">
        <f t="shared" si="26"/>
        <v>214.84419760684</v>
      </c>
      <c r="J274" s="9">
        <f t="shared" si="27"/>
        <v>1202.8746892259101</v>
      </c>
      <c r="K274" s="9">
        <f t="shared" si="31"/>
        <v>214.84419760684</v>
      </c>
      <c r="L274" s="10">
        <f t="shared" si="30"/>
        <v>0.17860896029419274</v>
      </c>
      <c r="M274" s="10">
        <f t="shared" si="28"/>
        <v>0.22301817907366078</v>
      </c>
      <c r="P274" s="8">
        <f t="shared" si="29"/>
        <v>13.639159097460137</v>
      </c>
    </row>
    <row r="275" spans="1:16" x14ac:dyDescent="0.2">
      <c r="A275" s="8">
        <v>136.5</v>
      </c>
      <c r="B275" s="8">
        <v>273</v>
      </c>
      <c r="D275">
        <v>1299.7503001201001</v>
      </c>
      <c r="E275">
        <v>320.16806722689</v>
      </c>
      <c r="F275">
        <v>126.05415162455</v>
      </c>
      <c r="G275">
        <v>110.9651022864</v>
      </c>
      <c r="I275" s="9">
        <f>E275-G275</f>
        <v>209.20296494049001</v>
      </c>
      <c r="J275" s="9">
        <f>D275-F275</f>
        <v>1173.69614849555</v>
      </c>
      <c r="K275" s="9">
        <f t="shared" si="31"/>
        <v>209.20296494049001</v>
      </c>
      <c r="L275" s="10">
        <f t="shared" si="30"/>
        <v>0.17824286567579478</v>
      </c>
      <c r="M275" s="10">
        <f>L275+ABS($N$2)*A275</f>
        <v>0.22281535364195204</v>
      </c>
      <c r="O275" s="11"/>
      <c r="P275" s="8">
        <f>(M275-$O$2)/$O$2*100</f>
        <v>13.535809175051581</v>
      </c>
    </row>
    <row r="276" spans="1:16" x14ac:dyDescent="0.2">
      <c r="A276" s="8">
        <v>137</v>
      </c>
      <c r="B276" s="8">
        <v>274</v>
      </c>
      <c r="D276">
        <v>1296.5618247299001</v>
      </c>
      <c r="E276">
        <v>319.27010804321998</v>
      </c>
      <c r="F276">
        <v>125.27196149218</v>
      </c>
      <c r="G276">
        <v>111.18411552347</v>
      </c>
      <c r="I276" s="9">
        <f t="shared" ref="I276:I291" si="32">E276-G276</f>
        <v>208.08599251974999</v>
      </c>
      <c r="J276" s="9">
        <f t="shared" ref="J276:J291" si="33">D276-F276</f>
        <v>1171.2898632377201</v>
      </c>
      <c r="K276" s="9">
        <f t="shared" si="31"/>
        <v>208.08599251974999</v>
      </c>
      <c r="L276" s="10">
        <f t="shared" si="30"/>
        <v>0.17765541993554992</v>
      </c>
      <c r="M276" s="10">
        <f t="shared" ref="M276:M291" si="34">L276+ABS($N$2)*A276</f>
        <v>0.2223911770883964</v>
      </c>
      <c r="P276" s="8">
        <f t="shared" ref="P276:P291" si="35">(M276-$O$2)/$O$2*100</f>
        <v>13.319669544393934</v>
      </c>
    </row>
    <row r="277" spans="1:16" x14ac:dyDescent="0.2">
      <c r="A277" s="8">
        <v>137.5</v>
      </c>
      <c r="B277" s="8">
        <v>275</v>
      </c>
      <c r="D277">
        <v>1329.7980769231001</v>
      </c>
      <c r="E277">
        <v>327.66947115385</v>
      </c>
      <c r="F277">
        <v>125.69675090253</v>
      </c>
      <c r="G277">
        <v>111.11913357400999</v>
      </c>
      <c r="I277" s="9">
        <f t="shared" si="32"/>
        <v>216.55033757984</v>
      </c>
      <c r="J277" s="9">
        <f t="shared" si="33"/>
        <v>1204.10132602057</v>
      </c>
      <c r="K277" s="9">
        <f t="shared" si="31"/>
        <v>216.55033757984</v>
      </c>
      <c r="L277" s="10">
        <f t="shared" si="30"/>
        <v>0.17984394909315182</v>
      </c>
      <c r="M277" s="10">
        <f t="shared" si="34"/>
        <v>0.22474297543268751</v>
      </c>
      <c r="N277" s="1"/>
      <c r="P277" s="8">
        <f t="shared" si="35"/>
        <v>14.518030984354255</v>
      </c>
    </row>
    <row r="278" spans="1:16" x14ac:dyDescent="0.2">
      <c r="A278" s="8">
        <v>138</v>
      </c>
      <c r="B278" s="8">
        <v>276</v>
      </c>
      <c r="D278">
        <v>1332.0961538462</v>
      </c>
      <c r="E278">
        <v>329.02283653846001</v>
      </c>
      <c r="F278">
        <v>125.08182912154</v>
      </c>
      <c r="G278">
        <v>110.98074608905</v>
      </c>
      <c r="I278" s="9">
        <f t="shared" si="32"/>
        <v>218.04209044941001</v>
      </c>
      <c r="J278" s="9">
        <f t="shared" si="33"/>
        <v>1207.0143247246599</v>
      </c>
      <c r="K278" s="9">
        <f t="shared" si="31"/>
        <v>218.04209044941001</v>
      </c>
      <c r="L278" s="10">
        <f t="shared" si="30"/>
        <v>0.18064581834946247</v>
      </c>
      <c r="M278" s="10">
        <f t="shared" si="34"/>
        <v>0.2257081138756874</v>
      </c>
      <c r="P278" s="8">
        <f t="shared" si="35"/>
        <v>15.009818342365614</v>
      </c>
    </row>
    <row r="279" spans="1:16" x14ac:dyDescent="0.2">
      <c r="A279" s="8">
        <v>138.5</v>
      </c>
      <c r="B279" s="8">
        <v>277</v>
      </c>
      <c r="D279">
        <v>1352.546875</v>
      </c>
      <c r="E279">
        <v>338.26682692307998</v>
      </c>
      <c r="F279">
        <v>125.31287605295</v>
      </c>
      <c r="G279">
        <v>110.94223826715</v>
      </c>
      <c r="I279" s="9">
        <f t="shared" si="32"/>
        <v>227.32458865592997</v>
      </c>
      <c r="J279" s="9">
        <f t="shared" si="33"/>
        <v>1227.2339989470499</v>
      </c>
      <c r="K279" s="9">
        <f t="shared" si="31"/>
        <v>227.32458865592997</v>
      </c>
      <c r="L279" s="10">
        <f t="shared" si="30"/>
        <v>0.18523328790676544</v>
      </c>
      <c r="M279" s="10">
        <f t="shared" si="34"/>
        <v>0.23045885261967958</v>
      </c>
      <c r="P279" s="8">
        <f t="shared" si="35"/>
        <v>17.430562508609931</v>
      </c>
    </row>
    <row r="280" spans="1:16" x14ac:dyDescent="0.2">
      <c r="A280" s="8">
        <v>139</v>
      </c>
      <c r="B280" s="8">
        <v>278</v>
      </c>
      <c r="D280">
        <v>1334.7896634614999</v>
      </c>
      <c r="E280">
        <v>343.68389423077002</v>
      </c>
      <c r="F280">
        <v>125.93140794224</v>
      </c>
      <c r="G280">
        <v>111.33814681107</v>
      </c>
      <c r="I280" s="9">
        <f t="shared" si="32"/>
        <v>232.34574741970002</v>
      </c>
      <c r="J280" s="9">
        <f t="shared" si="33"/>
        <v>1208.85825551926</v>
      </c>
      <c r="K280" s="9">
        <f t="shared" si="31"/>
        <v>232.34574741970002</v>
      </c>
      <c r="L280" s="10">
        <f t="shared" si="30"/>
        <v>0.1922026394400532</v>
      </c>
      <c r="M280" s="10">
        <f t="shared" si="34"/>
        <v>0.23759147333965658</v>
      </c>
      <c r="P280" s="8">
        <f t="shared" si="35"/>
        <v>21.064997262521143</v>
      </c>
    </row>
    <row r="281" spans="1:16" x14ac:dyDescent="0.2">
      <c r="A281" s="8">
        <v>139.5</v>
      </c>
      <c r="B281" s="8">
        <v>279</v>
      </c>
      <c r="D281">
        <v>1341.7780458384</v>
      </c>
      <c r="E281">
        <v>343.40289505428001</v>
      </c>
      <c r="F281">
        <v>125.06618531889001</v>
      </c>
      <c r="G281">
        <v>110.8495788207</v>
      </c>
      <c r="I281" s="9">
        <f t="shared" si="32"/>
        <v>232.55331623358001</v>
      </c>
      <c r="J281" s="9">
        <f t="shared" si="33"/>
        <v>1216.7118605195101</v>
      </c>
      <c r="K281" s="9">
        <f t="shared" si="31"/>
        <v>232.55331623358001</v>
      </c>
      <c r="L281" s="10">
        <f t="shared" si="30"/>
        <v>0.19113261223103775</v>
      </c>
      <c r="M281" s="10">
        <f t="shared" si="34"/>
        <v>0.23668471531733035</v>
      </c>
      <c r="P281" s="8">
        <f t="shared" si="35"/>
        <v>20.602957712247555</v>
      </c>
    </row>
    <row r="282" spans="1:16" x14ac:dyDescent="0.2">
      <c r="A282" s="8">
        <v>140</v>
      </c>
      <c r="B282" s="8">
        <v>280</v>
      </c>
      <c r="D282">
        <v>1370.4656212304001</v>
      </c>
      <c r="E282">
        <v>352.93124246079998</v>
      </c>
      <c r="F282">
        <v>125.60409145608</v>
      </c>
      <c r="G282">
        <v>111.21660649819999</v>
      </c>
      <c r="I282" s="9">
        <f t="shared" si="32"/>
        <v>241.71463596259997</v>
      </c>
      <c r="J282" s="9">
        <f t="shared" si="33"/>
        <v>1244.8615297743202</v>
      </c>
      <c r="K282" s="9">
        <f t="shared" si="31"/>
        <v>241.71463596259997</v>
      </c>
      <c r="L282" s="10">
        <f t="shared" si="30"/>
        <v>0.19416989776077359</v>
      </c>
      <c r="M282" s="10">
        <f t="shared" si="34"/>
        <v>0.2398852700337554</v>
      </c>
      <c r="P282" s="8">
        <f t="shared" si="35"/>
        <v>22.233803897660195</v>
      </c>
    </row>
    <row r="283" spans="1:16" x14ac:dyDescent="0.2">
      <c r="A283" s="8">
        <v>140.5</v>
      </c>
      <c r="B283" s="8">
        <v>281</v>
      </c>
      <c r="D283">
        <v>1286.3112183353001</v>
      </c>
      <c r="E283">
        <v>318.9722557298</v>
      </c>
      <c r="F283">
        <v>125.79903730445</v>
      </c>
      <c r="G283">
        <v>111.14079422383</v>
      </c>
      <c r="I283" s="9">
        <f t="shared" si="32"/>
        <v>207.83146150597</v>
      </c>
      <c r="J283" s="9">
        <f t="shared" si="33"/>
        <v>1160.5121810308501</v>
      </c>
      <c r="K283" s="9">
        <f t="shared" si="31"/>
        <v>207.83146150597</v>
      </c>
      <c r="L283" s="10">
        <f t="shared" si="30"/>
        <v>0.17908598022759156</v>
      </c>
      <c r="M283" s="10">
        <f t="shared" si="34"/>
        <v>0.22496462168726258</v>
      </c>
      <c r="P283" s="8">
        <f t="shared" si="35"/>
        <v>14.630971077810464</v>
      </c>
    </row>
    <row r="284" spans="1:16" x14ac:dyDescent="0.2">
      <c r="A284" s="8">
        <v>141</v>
      </c>
      <c r="B284" s="8">
        <v>282</v>
      </c>
      <c r="D284">
        <v>1267.0012062726</v>
      </c>
      <c r="E284">
        <v>318.43305186971998</v>
      </c>
      <c r="F284">
        <v>125.57521058965</v>
      </c>
      <c r="G284">
        <v>111.32370637786001</v>
      </c>
      <c r="I284" s="9">
        <f t="shared" si="32"/>
        <v>207.10934549185998</v>
      </c>
      <c r="J284" s="9">
        <f t="shared" si="33"/>
        <v>1141.4259956829501</v>
      </c>
      <c r="K284" s="9">
        <f t="shared" si="31"/>
        <v>207.10934549185998</v>
      </c>
      <c r="L284" s="10">
        <f t="shared" si="30"/>
        <v>0.1814478961186968</v>
      </c>
      <c r="M284" s="10">
        <f t="shared" si="34"/>
        <v>0.22748980676505703</v>
      </c>
      <c r="P284" s="8">
        <f t="shared" si="35"/>
        <v>15.917681919042989</v>
      </c>
    </row>
    <row r="285" spans="1:16" x14ac:dyDescent="0.2">
      <c r="A285" s="8">
        <v>141.5</v>
      </c>
      <c r="B285" s="8">
        <v>283</v>
      </c>
      <c r="D285">
        <v>1245.1978287093</v>
      </c>
      <c r="E285">
        <v>319.09891435463999</v>
      </c>
      <c r="F285">
        <v>125.61853188929</v>
      </c>
      <c r="G285">
        <v>111.00361010829999</v>
      </c>
      <c r="I285" s="9">
        <f t="shared" si="32"/>
        <v>208.09530424633999</v>
      </c>
      <c r="J285" s="9">
        <f t="shared" si="33"/>
        <v>1119.5792968200101</v>
      </c>
      <c r="K285" s="9">
        <f t="shared" si="31"/>
        <v>208.09530424633999</v>
      </c>
      <c r="L285" s="10">
        <f t="shared" si="30"/>
        <v>0.18586919643602035</v>
      </c>
      <c r="M285" s="10">
        <f t="shared" si="34"/>
        <v>0.23207437626906982</v>
      </c>
      <c r="P285" s="8">
        <f t="shared" si="35"/>
        <v>18.253754365799878</v>
      </c>
    </row>
    <row r="286" spans="1:16" x14ac:dyDescent="0.2">
      <c r="A286" s="8">
        <v>142</v>
      </c>
      <c r="B286" s="8">
        <v>284</v>
      </c>
      <c r="D286">
        <v>1305.7370325694001</v>
      </c>
      <c r="E286">
        <v>326.36670687575003</v>
      </c>
      <c r="F286">
        <v>125.74247894104001</v>
      </c>
      <c r="G286">
        <v>111.21901323706</v>
      </c>
      <c r="I286" s="9">
        <f t="shared" si="32"/>
        <v>215.14769363869004</v>
      </c>
      <c r="J286" s="9">
        <f t="shared" si="33"/>
        <v>1179.9945536283601</v>
      </c>
      <c r="K286" s="9">
        <f t="shared" si="31"/>
        <v>215.14769363869004</v>
      </c>
      <c r="L286" s="10">
        <f t="shared" si="30"/>
        <v>0.18232939548503282</v>
      </c>
      <c r="M286" s="10">
        <f t="shared" si="34"/>
        <v>0.22869784450477151</v>
      </c>
      <c r="P286" s="8">
        <f t="shared" si="35"/>
        <v>16.533238881571176</v>
      </c>
    </row>
    <row r="287" spans="1:16" x14ac:dyDescent="0.2">
      <c r="A287" s="8">
        <v>142.5</v>
      </c>
      <c r="B287" s="8">
        <v>285</v>
      </c>
      <c r="D287">
        <v>1325.7852834741</v>
      </c>
      <c r="E287">
        <v>327.65259348613</v>
      </c>
      <c r="F287">
        <v>125.11432009627001</v>
      </c>
      <c r="G287">
        <v>110.60770156437999</v>
      </c>
      <c r="I287" s="9">
        <f t="shared" si="32"/>
        <v>217.04489192175001</v>
      </c>
      <c r="J287" s="9">
        <f t="shared" si="33"/>
        <v>1200.67096337783</v>
      </c>
      <c r="K287" s="9">
        <f t="shared" si="31"/>
        <v>217.04489192175001</v>
      </c>
      <c r="L287" s="10">
        <f t="shared" si="30"/>
        <v>0.18076966841201922</v>
      </c>
      <c r="M287" s="10">
        <f t="shared" si="34"/>
        <v>0.22730138661844712</v>
      </c>
      <c r="P287" s="8">
        <f t="shared" si="35"/>
        <v>15.821672225543077</v>
      </c>
    </row>
    <row r="288" spans="1:16" x14ac:dyDescent="0.2">
      <c r="A288" s="8">
        <v>143</v>
      </c>
      <c r="B288" s="8">
        <v>286</v>
      </c>
      <c r="D288">
        <v>1295.7213510253</v>
      </c>
      <c r="E288">
        <v>320.34378769602</v>
      </c>
      <c r="F288">
        <v>125.82551143201</v>
      </c>
      <c r="G288">
        <v>110.9265944645</v>
      </c>
      <c r="I288" s="9">
        <f t="shared" si="32"/>
        <v>209.41719323152</v>
      </c>
      <c r="J288" s="9">
        <f t="shared" si="33"/>
        <v>1169.89583959329</v>
      </c>
      <c r="K288" s="9">
        <f t="shared" si="31"/>
        <v>209.41719323152</v>
      </c>
      <c r="L288" s="10">
        <f t="shared" si="30"/>
        <v>0.17900499014025309</v>
      </c>
      <c r="M288" s="10">
        <f t="shared" si="34"/>
        <v>0.22569997753337023</v>
      </c>
      <c r="P288" s="8">
        <f t="shared" si="35"/>
        <v>15.00567246016492</v>
      </c>
    </row>
    <row r="289" spans="1:16" x14ac:dyDescent="0.2">
      <c r="A289" s="8">
        <v>143.5</v>
      </c>
      <c r="B289" s="8">
        <v>287</v>
      </c>
      <c r="D289">
        <v>1309.7194679565</v>
      </c>
      <c r="E289">
        <v>316.09915356711002</v>
      </c>
      <c r="F289">
        <v>125.69915764140001</v>
      </c>
      <c r="G289">
        <v>111.0348977136</v>
      </c>
      <c r="I289" s="9">
        <f t="shared" si="32"/>
        <v>205.06425585351002</v>
      </c>
      <c r="J289" s="9">
        <f t="shared" si="33"/>
        <v>1184.0203103151</v>
      </c>
      <c r="K289" s="9">
        <f t="shared" si="31"/>
        <v>205.06425585351002</v>
      </c>
      <c r="L289" s="10">
        <f t="shared" si="30"/>
        <v>0.17319319108549486</v>
      </c>
      <c r="M289" s="10">
        <f t="shared" si="34"/>
        <v>0.22005144766530121</v>
      </c>
      <c r="P289" s="8">
        <f t="shared" si="35"/>
        <v>12.12745783653893</v>
      </c>
    </row>
    <row r="290" spans="1:16" x14ac:dyDescent="0.2">
      <c r="A290" s="8">
        <v>144</v>
      </c>
      <c r="B290" s="8">
        <v>288</v>
      </c>
      <c r="D290">
        <v>1292.1882494004999</v>
      </c>
      <c r="E290">
        <v>317.53357314149002</v>
      </c>
      <c r="F290">
        <v>124.64139590854001</v>
      </c>
      <c r="G290">
        <v>110.90493381468001</v>
      </c>
      <c r="I290" s="9">
        <f t="shared" si="32"/>
        <v>206.62863932681</v>
      </c>
      <c r="J290" s="9">
        <f t="shared" si="33"/>
        <v>1167.5468534919598</v>
      </c>
      <c r="K290" s="9">
        <f t="shared" si="31"/>
        <v>206.62863932681</v>
      </c>
      <c r="L290" s="10">
        <f t="shared" si="30"/>
        <v>0.17697674291084278</v>
      </c>
      <c r="M290" s="10">
        <f t="shared" si="34"/>
        <v>0.22399826867733835</v>
      </c>
      <c r="P290" s="8">
        <f t="shared" si="35"/>
        <v>14.138564835883352</v>
      </c>
    </row>
    <row r="291" spans="1:16" x14ac:dyDescent="0.2">
      <c r="A291" s="8">
        <v>144.5</v>
      </c>
      <c r="B291" s="8">
        <v>289</v>
      </c>
      <c r="D291">
        <v>1271.2146282973999</v>
      </c>
      <c r="E291">
        <v>310.06474820144001</v>
      </c>
      <c r="F291">
        <v>125.75210589651</v>
      </c>
      <c r="G291">
        <v>111.14560770156</v>
      </c>
      <c r="I291" s="9">
        <f t="shared" si="32"/>
        <v>198.91914049988003</v>
      </c>
      <c r="J291" s="9">
        <f t="shared" si="33"/>
        <v>1145.4625224008898</v>
      </c>
      <c r="K291" s="9">
        <f t="shared" si="31"/>
        <v>198.91914049988003</v>
      </c>
      <c r="L291" s="10">
        <f t="shared" si="30"/>
        <v>0.17365835774613161</v>
      </c>
      <c r="M291" s="10">
        <f t="shared" si="34"/>
        <v>0.2208431526993164</v>
      </c>
      <c r="P291" s="8">
        <f t="shared" si="35"/>
        <v>12.530872009735077</v>
      </c>
    </row>
    <row r="292" spans="1:16" x14ac:dyDescent="0.2">
      <c r="A292" s="8">
        <v>145</v>
      </c>
      <c r="B292" s="8">
        <v>290</v>
      </c>
      <c r="D292">
        <v>1265.5767386090999</v>
      </c>
      <c r="E292">
        <v>304.41726618705002</v>
      </c>
      <c r="F292">
        <v>125.54031287605</v>
      </c>
      <c r="G292">
        <v>111.06618531889001</v>
      </c>
      <c r="I292" s="9">
        <f>E292-G292</f>
        <v>193.35108086816001</v>
      </c>
      <c r="J292" s="9">
        <f>D292-F292</f>
        <v>1140.03642573305</v>
      </c>
      <c r="K292" s="9">
        <f t="shared" si="31"/>
        <v>193.35108086816001</v>
      </c>
      <c r="L292" s="10">
        <f t="shared" si="30"/>
        <v>0.16960079213594789</v>
      </c>
      <c r="M292" s="10">
        <f>L292+ABS($N$2)*A292</f>
        <v>0.21694885627582189</v>
      </c>
      <c r="O292" s="11"/>
      <c r="P292" s="8">
        <f>(M292-$O$2)/$O$2*100</f>
        <v>10.546528972408089</v>
      </c>
    </row>
    <row r="293" spans="1:16" x14ac:dyDescent="0.2">
      <c r="A293" s="8">
        <v>145.5</v>
      </c>
      <c r="B293" s="8">
        <v>291</v>
      </c>
      <c r="D293">
        <v>1262.6067146283001</v>
      </c>
      <c r="E293">
        <v>302.37529976018999</v>
      </c>
      <c r="F293">
        <v>125.39109506619</v>
      </c>
      <c r="G293">
        <v>111.02045728039</v>
      </c>
      <c r="I293" s="9">
        <f t="shared" ref="I293:I301" si="36">E293-G293</f>
        <v>191.35484247979997</v>
      </c>
      <c r="J293" s="9">
        <f t="shared" ref="J293:J301" si="37">D293-F293</f>
        <v>1137.2156195621101</v>
      </c>
      <c r="K293" s="9">
        <f t="shared" si="31"/>
        <v>191.35484247979997</v>
      </c>
      <c r="L293" s="10">
        <f t="shared" si="30"/>
        <v>0.16826610467545461</v>
      </c>
      <c r="M293" s="10">
        <f t="shared" ref="M293:M301" si="38">L293+ABS($N$2)*A293</f>
        <v>0.21577743800201785</v>
      </c>
      <c r="P293" s="8">
        <f t="shared" ref="P293:P301" si="39">(M293-$O$2)/$O$2*100</f>
        <v>9.9496314991195014</v>
      </c>
    </row>
    <row r="294" spans="1:16" x14ac:dyDescent="0.2">
      <c r="A294" s="8">
        <v>146</v>
      </c>
      <c r="B294" s="8">
        <v>292</v>
      </c>
      <c r="D294">
        <v>1342.1211031175001</v>
      </c>
      <c r="E294">
        <v>314.24940047962002</v>
      </c>
      <c r="F294">
        <v>125.45487364621</v>
      </c>
      <c r="G294">
        <v>111.05294825511</v>
      </c>
      <c r="I294" s="9">
        <f t="shared" si="36"/>
        <v>203.19645222451004</v>
      </c>
      <c r="J294" s="9">
        <f t="shared" si="37"/>
        <v>1216.6662294712901</v>
      </c>
      <c r="K294" s="9">
        <f t="shared" si="31"/>
        <v>203.19645222451004</v>
      </c>
      <c r="L294" s="10">
        <f t="shared" si="30"/>
        <v>0.16701084266373559</v>
      </c>
      <c r="M294" s="10">
        <f t="shared" si="38"/>
        <v>0.21468544517698804</v>
      </c>
      <c r="N294" s="1"/>
      <c r="P294" s="8">
        <f t="shared" si="39"/>
        <v>9.3932053508463582</v>
      </c>
    </row>
    <row r="295" spans="1:16" x14ac:dyDescent="0.2">
      <c r="A295" s="8">
        <v>146.5</v>
      </c>
      <c r="B295" s="8">
        <v>293</v>
      </c>
      <c r="D295">
        <v>1342.5071942446</v>
      </c>
      <c r="E295">
        <v>307.09592326139</v>
      </c>
      <c r="F295">
        <v>125.93381468110999</v>
      </c>
      <c r="G295">
        <v>111.19855595668</v>
      </c>
      <c r="I295" s="9">
        <f t="shared" si="36"/>
        <v>195.89736730471</v>
      </c>
      <c r="J295" s="9">
        <f t="shared" si="37"/>
        <v>1216.5733795634901</v>
      </c>
      <c r="K295" s="9">
        <f t="shared" si="31"/>
        <v>195.89736730471</v>
      </c>
      <c r="L295" s="10">
        <f t="shared" si="30"/>
        <v>0.16102388116941907</v>
      </c>
      <c r="M295" s="10">
        <f t="shared" si="38"/>
        <v>0.20886175286936076</v>
      </c>
      <c r="P295" s="8">
        <f t="shared" si="39"/>
        <v>6.425736512969582</v>
      </c>
    </row>
    <row r="296" spans="1:16" x14ac:dyDescent="0.2">
      <c r="A296" s="8">
        <v>147</v>
      </c>
      <c r="B296" s="8">
        <v>294</v>
      </c>
      <c r="D296">
        <v>1337.4885679904</v>
      </c>
      <c r="E296">
        <v>298.10589651023002</v>
      </c>
      <c r="F296">
        <v>125.84476534296</v>
      </c>
      <c r="G296">
        <v>110.84476534296</v>
      </c>
      <c r="I296" s="9">
        <f t="shared" si="36"/>
        <v>187.26113116727004</v>
      </c>
      <c r="J296" s="9">
        <f t="shared" si="37"/>
        <v>1211.64380264744</v>
      </c>
      <c r="K296" s="9">
        <f t="shared" si="31"/>
        <v>187.26113116727004</v>
      </c>
      <c r="L296" s="10">
        <f t="shared" si="30"/>
        <v>0.15455130522526894</v>
      </c>
      <c r="M296" s="10">
        <f t="shared" si="38"/>
        <v>0.20255244611189985</v>
      </c>
      <c r="P296" s="8">
        <f t="shared" si="39"/>
        <v>3.2108222966313349</v>
      </c>
    </row>
    <row r="297" spans="1:16" x14ac:dyDescent="0.2">
      <c r="A297" s="8">
        <v>147.5</v>
      </c>
      <c r="B297" s="8">
        <v>295</v>
      </c>
      <c r="D297">
        <v>1372.6474127557001</v>
      </c>
      <c r="E297">
        <v>298.15282791816998</v>
      </c>
      <c r="F297">
        <v>125.69073405536</v>
      </c>
      <c r="G297">
        <v>111.33333333333</v>
      </c>
      <c r="I297" s="9">
        <f t="shared" si="36"/>
        <v>186.81949458483996</v>
      </c>
      <c r="J297" s="9">
        <f t="shared" si="37"/>
        <v>1246.95667870034</v>
      </c>
      <c r="K297" s="9">
        <f t="shared" si="31"/>
        <v>186.81949458483996</v>
      </c>
      <c r="L297" s="10">
        <f t="shared" si="30"/>
        <v>0.14982035685438205</v>
      </c>
      <c r="M297" s="10">
        <f t="shared" si="38"/>
        <v>0.19798476692770217</v>
      </c>
      <c r="P297" s="8">
        <f t="shared" si="39"/>
        <v>0.88335633096333532</v>
      </c>
    </row>
    <row r="298" spans="1:16" x14ac:dyDescent="0.2">
      <c r="A298" s="8">
        <v>148</v>
      </c>
      <c r="B298" s="8">
        <v>296</v>
      </c>
      <c r="D298">
        <v>1363.2683513838999</v>
      </c>
      <c r="E298">
        <v>294.90974729241998</v>
      </c>
      <c r="F298">
        <v>125.20938628159</v>
      </c>
      <c r="G298">
        <v>111.07460890493</v>
      </c>
      <c r="I298" s="9">
        <f t="shared" si="36"/>
        <v>183.83513838748996</v>
      </c>
      <c r="J298" s="9">
        <f t="shared" si="37"/>
        <v>1238.0589651023099</v>
      </c>
      <c r="K298" s="9">
        <f t="shared" si="31"/>
        <v>183.83513838748996</v>
      </c>
      <c r="L298" s="10">
        <f t="shared" si="30"/>
        <v>0.14848657743235866</v>
      </c>
      <c r="M298" s="10">
        <f t="shared" si="38"/>
        <v>0.19681425669236799</v>
      </c>
      <c r="P298" s="8">
        <f t="shared" si="39"/>
        <v>0.28692154967847516</v>
      </c>
    </row>
    <row r="299" spans="1:16" x14ac:dyDescent="0.2">
      <c r="A299" s="8">
        <v>148.5</v>
      </c>
      <c r="B299" s="8">
        <v>297</v>
      </c>
      <c r="D299">
        <v>1227.4686746988</v>
      </c>
      <c r="E299">
        <v>272.77469879517997</v>
      </c>
      <c r="F299">
        <v>125.14921780987</v>
      </c>
      <c r="G299">
        <v>111.18291215403001</v>
      </c>
      <c r="I299" s="9">
        <f t="shared" si="36"/>
        <v>161.59178664114995</v>
      </c>
      <c r="J299" s="9">
        <f t="shared" si="37"/>
        <v>1102.3194568889301</v>
      </c>
      <c r="K299" s="9">
        <f t="shared" si="31"/>
        <v>161.59178664114995</v>
      </c>
      <c r="L299" s="10">
        <f t="shared" si="30"/>
        <v>0.1465925196468994</v>
      </c>
      <c r="M299" s="10">
        <f t="shared" si="38"/>
        <v>0.19508346809359794</v>
      </c>
      <c r="P299" s="8">
        <f t="shared" si="39"/>
        <v>-0.59500368958525263</v>
      </c>
    </row>
    <row r="300" spans="1:16" x14ac:dyDescent="0.2">
      <c r="A300" s="8">
        <v>149</v>
      </c>
      <c r="B300" s="8">
        <v>298</v>
      </c>
      <c r="D300">
        <v>1218.9830508475</v>
      </c>
      <c r="E300">
        <v>268.48547215496001</v>
      </c>
      <c r="F300">
        <v>125.78219013237</v>
      </c>
      <c r="G300">
        <v>111.07460890493</v>
      </c>
      <c r="I300" s="9">
        <f t="shared" si="36"/>
        <v>157.41086325002999</v>
      </c>
      <c r="J300" s="9">
        <f t="shared" si="37"/>
        <v>1093.2008607151299</v>
      </c>
      <c r="K300" s="9">
        <f t="shared" si="31"/>
        <v>157.41086325002999</v>
      </c>
      <c r="L300" s="10">
        <f t="shared" si="30"/>
        <v>0.14399079703162496</v>
      </c>
      <c r="M300" s="10">
        <f t="shared" si="38"/>
        <v>0.19264501466501274</v>
      </c>
      <c r="P300" s="8">
        <f t="shared" si="39"/>
        <v>-1.8375203233131971</v>
      </c>
    </row>
    <row r="301" spans="1:16" x14ac:dyDescent="0.2">
      <c r="A301" s="8">
        <v>149.5</v>
      </c>
      <c r="B301" s="8">
        <v>299</v>
      </c>
      <c r="D301">
        <v>1285.0314769976001</v>
      </c>
      <c r="E301">
        <v>275.67917675544999</v>
      </c>
      <c r="F301">
        <v>125.59326113117</v>
      </c>
      <c r="G301">
        <v>111.11432009627001</v>
      </c>
      <c r="I301" s="9">
        <f t="shared" si="36"/>
        <v>164.56485665917998</v>
      </c>
      <c r="J301" s="9">
        <f t="shared" si="37"/>
        <v>1159.43821586643</v>
      </c>
      <c r="K301" s="9">
        <f t="shared" si="31"/>
        <v>164.56485665917998</v>
      </c>
      <c r="L301" s="10">
        <f t="shared" si="30"/>
        <v>0.14193499438536553</v>
      </c>
      <c r="M301" s="10">
        <f t="shared" si="38"/>
        <v>0.19075248120544253</v>
      </c>
      <c r="P301" s="8">
        <f t="shared" si="39"/>
        <v>-2.801862834774258</v>
      </c>
    </row>
    <row r="302" spans="1:16" x14ac:dyDescent="0.2">
      <c r="A302" s="8">
        <v>150</v>
      </c>
      <c r="B302" s="8">
        <v>300</v>
      </c>
      <c r="D302">
        <v>1361.543373494</v>
      </c>
      <c r="E302">
        <v>288.63012048193002</v>
      </c>
      <c r="F302">
        <v>124.70517448856999</v>
      </c>
      <c r="G302">
        <v>111.35379061371999</v>
      </c>
      <c r="I302" s="9">
        <f>E302-G302</f>
        <v>177.27632986821004</v>
      </c>
      <c r="J302" s="9">
        <f>D302-F302</f>
        <v>1236.8381990054299</v>
      </c>
      <c r="K302" s="9">
        <f t="shared" si="31"/>
        <v>177.27632986821004</v>
      </c>
      <c r="L302" s="10">
        <f t="shared" si="30"/>
        <v>0.14333025128974997</v>
      </c>
      <c r="M302" s="10">
        <f>L302+ABS($N$2)*A302</f>
        <v>0.19231100729651618</v>
      </c>
      <c r="O302" s="11"/>
      <c r="P302" s="8">
        <f>(M302-$O$2)/$O$2*100</f>
        <v>-2.007714146282976</v>
      </c>
    </row>
    <row r="303" spans="1:16" x14ac:dyDescent="0.2">
      <c r="A303" s="8">
        <v>150.5</v>
      </c>
      <c r="B303" s="8">
        <v>301</v>
      </c>
      <c r="D303">
        <v>1347.3132530120999</v>
      </c>
      <c r="E303">
        <v>284.69156626505998</v>
      </c>
      <c r="F303">
        <v>125.25752105897</v>
      </c>
      <c r="G303">
        <v>110.86883273165</v>
      </c>
      <c r="I303" s="9">
        <f t="shared" ref="I303:I309" si="40">E303-G303</f>
        <v>173.82273353340997</v>
      </c>
      <c r="J303" s="9">
        <f t="shared" ref="J303:J309" si="41">D303-F303</f>
        <v>1222.0557319531299</v>
      </c>
      <c r="K303" s="9">
        <f t="shared" si="31"/>
        <v>173.82273353340997</v>
      </c>
      <c r="L303" s="10">
        <f t="shared" si="30"/>
        <v>0.14223797572276081</v>
      </c>
      <c r="M303" s="10">
        <f t="shared" ref="M303:M309" si="42">L303+ABS($N$2)*A303</f>
        <v>0.19138200091621627</v>
      </c>
      <c r="P303" s="8">
        <f t="shared" ref="P303:P309" si="43">(M303-$O$2)/$O$2*100</f>
        <v>-2.4810903718981447</v>
      </c>
    </row>
    <row r="304" spans="1:16" x14ac:dyDescent="0.2">
      <c r="A304" s="8">
        <v>151</v>
      </c>
      <c r="B304" s="8">
        <v>302</v>
      </c>
      <c r="D304">
        <v>1327.3578313252999</v>
      </c>
      <c r="E304">
        <v>286.10602409639</v>
      </c>
      <c r="F304">
        <v>124.95186522262</v>
      </c>
      <c r="G304">
        <v>110.79903730445</v>
      </c>
      <c r="I304" s="9">
        <f t="shared" si="40"/>
        <v>175.30698679194001</v>
      </c>
      <c r="J304" s="9">
        <f t="shared" si="41"/>
        <v>1202.4059661026799</v>
      </c>
      <c r="K304" s="9">
        <f t="shared" si="31"/>
        <v>175.30698679194001</v>
      </c>
      <c r="L304" s="10">
        <f t="shared" si="30"/>
        <v>0.14579683711995953</v>
      </c>
      <c r="M304" s="10">
        <f t="shared" si="42"/>
        <v>0.19510413150010419</v>
      </c>
      <c r="N304" s="1"/>
      <c r="P304" s="8">
        <f t="shared" si="43"/>
        <v>-0.58447462801182992</v>
      </c>
    </row>
    <row r="305" spans="1:16" x14ac:dyDescent="0.2">
      <c r="A305" s="8">
        <v>151.5</v>
      </c>
      <c r="B305" s="8">
        <v>303</v>
      </c>
      <c r="D305">
        <v>1325.7843373493999</v>
      </c>
      <c r="E305">
        <v>290.52771084337002</v>
      </c>
      <c r="F305">
        <v>124.79422382672</v>
      </c>
      <c r="G305">
        <v>111.18050541516</v>
      </c>
      <c r="I305" s="9">
        <f t="shared" si="40"/>
        <v>179.34720542821003</v>
      </c>
      <c r="J305" s="9">
        <f t="shared" si="41"/>
        <v>1200.9901135226798</v>
      </c>
      <c r="K305" s="9">
        <f t="shared" si="31"/>
        <v>179.34720542821003</v>
      </c>
      <c r="L305" s="10">
        <f t="shared" si="30"/>
        <v>0.14933279084384668</v>
      </c>
      <c r="M305" s="10">
        <f t="shared" si="42"/>
        <v>0.19880335441068056</v>
      </c>
      <c r="P305" s="8">
        <f t="shared" si="43"/>
        <v>1.300468485675377</v>
      </c>
    </row>
    <row r="306" spans="1:16" x14ac:dyDescent="0.2">
      <c r="A306" s="8">
        <v>152</v>
      </c>
      <c r="B306" s="8">
        <v>304</v>
      </c>
      <c r="D306">
        <v>1332.0192771084</v>
      </c>
      <c r="E306">
        <v>297.51807228915999</v>
      </c>
      <c r="F306">
        <v>125.09386281588</v>
      </c>
      <c r="G306">
        <v>111.09025270758001</v>
      </c>
      <c r="I306" s="9">
        <f t="shared" si="40"/>
        <v>186.42781958157997</v>
      </c>
      <c r="J306" s="9">
        <f t="shared" si="41"/>
        <v>1206.9254142925201</v>
      </c>
      <c r="K306" s="9">
        <f t="shared" si="31"/>
        <v>186.42781958157997</v>
      </c>
      <c r="L306" s="10">
        <f t="shared" si="30"/>
        <v>0.154465070810412</v>
      </c>
      <c r="M306" s="10">
        <f t="shared" si="42"/>
        <v>0.20409890356393509</v>
      </c>
      <c r="P306" s="8">
        <f t="shared" si="43"/>
        <v>3.9988213967909734</v>
      </c>
    </row>
    <row r="307" spans="1:16" x14ac:dyDescent="0.2">
      <c r="A307" s="8">
        <v>152.5</v>
      </c>
      <c r="B307" s="8">
        <v>305</v>
      </c>
      <c r="D307">
        <v>1344.7975903614999</v>
      </c>
      <c r="E307">
        <v>295.80240963854999</v>
      </c>
      <c r="F307">
        <v>125.99398315283</v>
      </c>
      <c r="G307">
        <v>110.75210589651</v>
      </c>
      <c r="I307" s="9">
        <f t="shared" si="40"/>
        <v>185.05030374204</v>
      </c>
      <c r="J307" s="9">
        <f t="shared" si="41"/>
        <v>1218.80360720867</v>
      </c>
      <c r="K307" s="9">
        <f t="shared" si="31"/>
        <v>185.05030374204</v>
      </c>
      <c r="L307" s="10">
        <f t="shared" si="30"/>
        <v>0.15182946837993544</v>
      </c>
      <c r="M307" s="10">
        <f t="shared" si="42"/>
        <v>0.20162657032014775</v>
      </c>
      <c r="P307" s="8">
        <f t="shared" si="43"/>
        <v>2.7390412658632011</v>
      </c>
    </row>
    <row r="308" spans="1:16" x14ac:dyDescent="0.2">
      <c r="A308" s="8">
        <v>153</v>
      </c>
      <c r="B308" s="8">
        <v>306</v>
      </c>
      <c r="D308">
        <v>1331.0423216444999</v>
      </c>
      <c r="E308">
        <v>292.68319226119002</v>
      </c>
      <c r="F308">
        <v>125.01564380265</v>
      </c>
      <c r="G308">
        <v>110.95066185319</v>
      </c>
      <c r="I308" s="9">
        <f t="shared" si="40"/>
        <v>181.732530408</v>
      </c>
      <c r="J308" s="9">
        <f t="shared" si="41"/>
        <v>1206.02667784185</v>
      </c>
      <c r="K308" s="9">
        <f t="shared" si="31"/>
        <v>181.732530408</v>
      </c>
      <c r="L308" s="10">
        <f t="shared" si="30"/>
        <v>0.15068699038499309</v>
      </c>
      <c r="M308" s="10">
        <f t="shared" si="42"/>
        <v>0.20064736151189463</v>
      </c>
      <c r="P308" s="8">
        <f t="shared" si="43"/>
        <v>2.2400843377198845</v>
      </c>
    </row>
    <row r="309" spans="1:16" x14ac:dyDescent="0.2">
      <c r="A309" s="8">
        <v>153.5</v>
      </c>
      <c r="B309" s="8">
        <v>307</v>
      </c>
      <c r="D309">
        <v>1328.6043425814</v>
      </c>
      <c r="E309">
        <v>287.88540410132998</v>
      </c>
      <c r="F309">
        <v>125.18291215403001</v>
      </c>
      <c r="G309">
        <v>111.31889290012001</v>
      </c>
      <c r="I309" s="9">
        <f t="shared" si="40"/>
        <v>176.56651120120998</v>
      </c>
      <c r="J309" s="9">
        <f t="shared" si="41"/>
        <v>1203.4214304273701</v>
      </c>
      <c r="K309" s="9">
        <f t="shared" si="31"/>
        <v>176.56651120120998</v>
      </c>
      <c r="L309" s="10">
        <f t="shared" si="30"/>
        <v>0.14672043121128903</v>
      </c>
      <c r="M309" s="10">
        <f t="shared" si="42"/>
        <v>0.19684407152487979</v>
      </c>
      <c r="P309" s="8">
        <f t="shared" si="43"/>
        <v>0.30211373046546536</v>
      </c>
    </row>
    <row r="310" spans="1:16" x14ac:dyDescent="0.2">
      <c r="A310" s="8">
        <v>154</v>
      </c>
      <c r="B310" s="8">
        <v>308</v>
      </c>
      <c r="D310">
        <v>1297.3353437876999</v>
      </c>
      <c r="E310">
        <v>283.56936067550998</v>
      </c>
      <c r="F310">
        <v>125.31528279182</v>
      </c>
      <c r="G310">
        <v>111.19374247894</v>
      </c>
      <c r="I310" s="9">
        <f>E310-G310</f>
        <v>172.37561819656997</v>
      </c>
      <c r="J310" s="9">
        <f>D310-F310</f>
        <v>1172.0200609958799</v>
      </c>
      <c r="K310" s="9">
        <f t="shared" si="31"/>
        <v>172.37561819656997</v>
      </c>
      <c r="L310" s="10">
        <f t="shared" si="30"/>
        <v>0.14707565504476117</v>
      </c>
      <c r="M310" s="10">
        <f>L310+ABS($N$2)*A310</f>
        <v>0.19736256454504114</v>
      </c>
      <c r="O310" s="11"/>
      <c r="P310" s="8">
        <f>(M310-$O$2)/$O$2*100</f>
        <v>0.5663124206968011</v>
      </c>
    </row>
    <row r="311" spans="1:16" x14ac:dyDescent="0.2">
      <c r="A311" s="8">
        <v>154.5</v>
      </c>
      <c r="B311" s="8">
        <v>309</v>
      </c>
      <c r="D311">
        <v>1355.3715319662001</v>
      </c>
      <c r="E311">
        <v>288.41857659830998</v>
      </c>
      <c r="F311">
        <v>125.18772563176999</v>
      </c>
      <c r="G311">
        <v>111.27797833935</v>
      </c>
      <c r="I311" s="9">
        <f t="shared" ref="I311:I319" si="44">E311-G311</f>
        <v>177.14059825895998</v>
      </c>
      <c r="J311" s="9">
        <f t="shared" ref="J311:J319" si="45">D311-F311</f>
        <v>1230.1838063344301</v>
      </c>
      <c r="K311" s="9">
        <f t="shared" si="31"/>
        <v>177.14059825895998</v>
      </c>
      <c r="L311" s="10">
        <f t="shared" si="30"/>
        <v>0.14399522847466556</v>
      </c>
      <c r="M311" s="10">
        <f t="shared" ref="M311:M319" si="46">L311+ABS($N$2)*A311</f>
        <v>0.19444540716163478</v>
      </c>
      <c r="P311" s="8">
        <f t="shared" ref="P311:P319" si="47">(M311-$O$2)/$O$2*100</f>
        <v>-0.92012834113792863</v>
      </c>
    </row>
    <row r="312" spans="1:16" x14ac:dyDescent="0.2">
      <c r="A312" s="8">
        <v>155</v>
      </c>
      <c r="B312" s="8">
        <v>310</v>
      </c>
      <c r="D312">
        <v>1330.1302774426999</v>
      </c>
      <c r="E312">
        <v>285.29553679131999</v>
      </c>
      <c r="F312">
        <v>125.06979542720001</v>
      </c>
      <c r="G312">
        <v>111.32731648616</v>
      </c>
      <c r="I312" s="9">
        <f t="shared" si="44"/>
        <v>173.96822030516</v>
      </c>
      <c r="J312" s="9">
        <f t="shared" si="45"/>
        <v>1205.0604820154999</v>
      </c>
      <c r="K312" s="9">
        <f t="shared" si="31"/>
        <v>173.96822030516</v>
      </c>
      <c r="L312" s="10">
        <f t="shared" si="30"/>
        <v>0.14436472102561435</v>
      </c>
      <c r="M312" s="10">
        <f t="shared" si="46"/>
        <v>0.19497816889927277</v>
      </c>
      <c r="N312" s="1"/>
      <c r="P312" s="8">
        <f t="shared" si="47"/>
        <v>-0.64865901018044103</v>
      </c>
    </row>
    <row r="313" spans="1:16" x14ac:dyDescent="0.2">
      <c r="A313" s="8">
        <v>155.5</v>
      </c>
      <c r="B313" s="8">
        <v>311</v>
      </c>
      <c r="D313">
        <v>1305.9538274605</v>
      </c>
      <c r="E313">
        <v>278.41555285541</v>
      </c>
      <c r="F313">
        <v>125.41395908544</v>
      </c>
      <c r="G313">
        <v>111.13116726835</v>
      </c>
      <c r="I313" s="9">
        <f t="shared" si="44"/>
        <v>167.28438558706</v>
      </c>
      <c r="J313" s="9">
        <f t="shared" si="45"/>
        <v>1180.53986837506</v>
      </c>
      <c r="K313" s="9">
        <f t="shared" si="31"/>
        <v>167.28438558706</v>
      </c>
      <c r="L313" s="10">
        <f t="shared" si="30"/>
        <v>0.14170159777603836</v>
      </c>
      <c r="M313" s="10">
        <f t="shared" si="46"/>
        <v>0.192478314836386</v>
      </c>
      <c r="P313" s="8">
        <f t="shared" si="47"/>
        <v>-1.9224624048310313</v>
      </c>
    </row>
    <row r="314" spans="1:16" x14ac:dyDescent="0.2">
      <c r="A314" s="8">
        <v>156</v>
      </c>
      <c r="B314" s="8">
        <v>312</v>
      </c>
      <c r="D314">
        <v>1342.6780072904</v>
      </c>
      <c r="E314">
        <v>281.25880923451001</v>
      </c>
      <c r="F314">
        <v>124.72202166065</v>
      </c>
      <c r="G314">
        <v>110.6642599278</v>
      </c>
      <c r="I314" s="9">
        <f t="shared" si="44"/>
        <v>170.59454930671001</v>
      </c>
      <c r="J314" s="9">
        <f t="shared" si="45"/>
        <v>1217.9559856297501</v>
      </c>
      <c r="K314" s="9">
        <f t="shared" si="31"/>
        <v>170.59454930671001</v>
      </c>
      <c r="L314" s="10">
        <f t="shared" si="30"/>
        <v>0.14006626784505949</v>
      </c>
      <c r="M314" s="10">
        <f t="shared" si="46"/>
        <v>0.19100625409209637</v>
      </c>
      <c r="P314" s="8">
        <f t="shared" si="47"/>
        <v>-2.6725525805121908</v>
      </c>
    </row>
    <row r="315" spans="1:16" x14ac:dyDescent="0.2">
      <c r="A315" s="8">
        <v>156.5</v>
      </c>
      <c r="B315" s="8">
        <v>313</v>
      </c>
      <c r="D315">
        <v>1305.9611178615</v>
      </c>
      <c r="E315">
        <v>276.957472661</v>
      </c>
      <c r="F315">
        <v>125.59205776173</v>
      </c>
      <c r="G315">
        <v>111.21901323706</v>
      </c>
      <c r="I315" s="9">
        <f t="shared" si="44"/>
        <v>165.73845942394001</v>
      </c>
      <c r="J315" s="9">
        <f t="shared" si="45"/>
        <v>1180.36906009977</v>
      </c>
      <c r="K315" s="9">
        <f t="shared" si="31"/>
        <v>165.73845942394001</v>
      </c>
      <c r="L315" s="10">
        <f t="shared" si="30"/>
        <v>0.14041240576903216</v>
      </c>
      <c r="M315" s="10">
        <f t="shared" si="46"/>
        <v>0.19151566120275826</v>
      </c>
      <c r="P315" s="8">
        <f t="shared" si="47"/>
        <v>-2.4129836254864956</v>
      </c>
    </row>
    <row r="316" spans="1:16" x14ac:dyDescent="0.2">
      <c r="A316" s="8">
        <v>157</v>
      </c>
      <c r="B316" s="8">
        <v>314</v>
      </c>
      <c r="D316">
        <v>1297.1638554217</v>
      </c>
      <c r="E316">
        <v>280.89036144578</v>
      </c>
      <c r="F316">
        <v>126.24308062575</v>
      </c>
      <c r="G316">
        <v>111.01684717208001</v>
      </c>
      <c r="I316" s="9">
        <f t="shared" si="44"/>
        <v>169.87351427369998</v>
      </c>
      <c r="J316" s="9">
        <f t="shared" si="45"/>
        <v>1170.9207747959499</v>
      </c>
      <c r="K316" s="9">
        <f t="shared" si="31"/>
        <v>169.87351427369998</v>
      </c>
      <c r="L316" s="10">
        <f t="shared" si="30"/>
        <v>0.14507686423387861</v>
      </c>
      <c r="M316" s="10">
        <f t="shared" si="46"/>
        <v>0.19634338885429392</v>
      </c>
      <c r="P316" s="8">
        <f t="shared" si="47"/>
        <v>4.6990323502053823E-2</v>
      </c>
    </row>
    <row r="317" spans="1:16" x14ac:dyDescent="0.2">
      <c r="A317" s="8">
        <v>157.5</v>
      </c>
      <c r="B317" s="8">
        <v>315</v>
      </c>
      <c r="D317">
        <v>1203.5168674699</v>
      </c>
      <c r="E317">
        <v>276.30602409638999</v>
      </c>
      <c r="F317">
        <v>125.24308062575</v>
      </c>
      <c r="G317">
        <v>110.4825511432</v>
      </c>
      <c r="I317" s="9">
        <f t="shared" si="44"/>
        <v>165.82347295318999</v>
      </c>
      <c r="J317" s="9">
        <f t="shared" si="45"/>
        <v>1078.27378684415</v>
      </c>
      <c r="K317" s="9">
        <f t="shared" si="31"/>
        <v>165.82347295318999</v>
      </c>
      <c r="L317" s="10">
        <f t="shared" si="30"/>
        <v>0.1537860559872421</v>
      </c>
      <c r="M317" s="10">
        <f t="shared" si="46"/>
        <v>0.20521584979434662</v>
      </c>
      <c r="P317" s="8">
        <f t="shared" si="47"/>
        <v>4.5679625802956636</v>
      </c>
    </row>
    <row r="318" spans="1:16" x14ac:dyDescent="0.2">
      <c r="A318" s="8">
        <v>158</v>
      </c>
      <c r="B318" s="8">
        <v>316</v>
      </c>
      <c r="D318">
        <v>1298.5023980814999</v>
      </c>
      <c r="E318">
        <v>287.61990407674</v>
      </c>
      <c r="F318">
        <v>125.11552346569999</v>
      </c>
      <c r="G318">
        <v>111.05415162455</v>
      </c>
      <c r="I318" s="9">
        <f t="shared" si="44"/>
        <v>176.56575245219</v>
      </c>
      <c r="J318" s="9">
        <f t="shared" si="45"/>
        <v>1173.3868746158</v>
      </c>
      <c r="K318" s="9">
        <f t="shared" si="31"/>
        <v>176.56575245219</v>
      </c>
      <c r="L318" s="10">
        <f t="shared" si="30"/>
        <v>0.15047530892997471</v>
      </c>
      <c r="M318" s="10">
        <f t="shared" si="46"/>
        <v>0.20206837192376848</v>
      </c>
      <c r="P318" s="8">
        <f t="shared" si="47"/>
        <v>2.9641617602188939</v>
      </c>
    </row>
    <row r="319" spans="1:16" x14ac:dyDescent="0.2">
      <c r="A319" s="8">
        <v>158.5</v>
      </c>
      <c r="B319" s="8">
        <v>317</v>
      </c>
      <c r="D319">
        <v>1304.1654676259</v>
      </c>
      <c r="E319">
        <v>283.41366906475002</v>
      </c>
      <c r="F319">
        <v>125.26474127557</v>
      </c>
      <c r="G319">
        <v>110.98796630566</v>
      </c>
      <c r="I319" s="9">
        <f t="shared" si="44"/>
        <v>172.42570275909003</v>
      </c>
      <c r="J319" s="9">
        <f t="shared" si="45"/>
        <v>1178.9007263503299</v>
      </c>
      <c r="K319" s="9">
        <f t="shared" si="31"/>
        <v>172.42570275909003</v>
      </c>
      <c r="L319" s="10">
        <f t="shared" si="30"/>
        <v>0.14625973070089607</v>
      </c>
      <c r="M319" s="10">
        <f t="shared" si="46"/>
        <v>0.19801606288137905</v>
      </c>
      <c r="P319" s="8">
        <f t="shared" si="47"/>
        <v>0.89930321867341034</v>
      </c>
    </row>
    <row r="320" spans="1:16" x14ac:dyDescent="0.2">
      <c r="A320" s="8">
        <v>159</v>
      </c>
      <c r="B320" s="8">
        <v>318</v>
      </c>
      <c r="D320">
        <v>1360.3932853716999</v>
      </c>
      <c r="E320">
        <v>285.40047961631001</v>
      </c>
      <c r="F320">
        <v>125.08423586041</v>
      </c>
      <c r="G320">
        <v>110.96630565584</v>
      </c>
      <c r="I320" s="9">
        <f>E320-G320</f>
        <v>174.43417396046999</v>
      </c>
      <c r="J320" s="9">
        <f>D320-F320</f>
        <v>1235.3090495112899</v>
      </c>
      <c r="K320" s="9">
        <f t="shared" si="31"/>
        <v>174.43417396046999</v>
      </c>
      <c r="L320" s="10">
        <f t="shared" si="30"/>
        <v>0.14120691014890502</v>
      </c>
      <c r="M320" s="10">
        <f>L320+ABS($N$2)*A320</f>
        <v>0.19312651151607721</v>
      </c>
      <c r="O320" s="11"/>
      <c r="P320" s="8">
        <f>(M320-$O$2)/$O$2*100</f>
        <v>-1.5921730718455553</v>
      </c>
    </row>
    <row r="321" spans="1:16" x14ac:dyDescent="0.2">
      <c r="A321" s="8">
        <v>159.5</v>
      </c>
      <c r="B321" s="8">
        <v>319</v>
      </c>
      <c r="D321">
        <v>1411.5602409639</v>
      </c>
      <c r="E321">
        <v>289.78674698794998</v>
      </c>
      <c r="F321">
        <v>125.08664259928</v>
      </c>
      <c r="G321">
        <v>111.08543922984001</v>
      </c>
      <c r="I321" s="9">
        <f t="shared" ref="I321" si="48">E321-G321</f>
        <v>178.70130775810998</v>
      </c>
      <c r="J321" s="9">
        <f t="shared" ref="J321" si="49">D321-F321</f>
        <v>1286.4735983646201</v>
      </c>
      <c r="K321" s="9">
        <f t="shared" si="31"/>
        <v>178.70130775810998</v>
      </c>
      <c r="L321" s="10">
        <f t="shared" si="30"/>
        <v>0.1389078703094079</v>
      </c>
      <c r="M321" s="10">
        <f t="shared" ref="M321" si="50">L321+ABS($N$2)*A321</f>
        <v>0.19099074086326931</v>
      </c>
      <c r="P321" s="8">
        <f t="shared" ref="P321" si="51">(M321-$O$2)/$O$2*100</f>
        <v>-2.6804573633694289</v>
      </c>
    </row>
    <row r="322" spans="1:16" x14ac:dyDescent="0.2">
      <c r="A322" s="8">
        <v>160</v>
      </c>
      <c r="B322" s="8">
        <v>320</v>
      </c>
      <c r="D322">
        <v>1381.3698795181001</v>
      </c>
      <c r="E322">
        <v>293.10000000000002</v>
      </c>
      <c r="F322">
        <v>125.59205776173</v>
      </c>
      <c r="G322">
        <v>111.06618531889001</v>
      </c>
      <c r="I322" s="9">
        <f>E322-G322</f>
        <v>182.03381468111002</v>
      </c>
      <c r="J322" s="9">
        <f>D322-F322</f>
        <v>1255.77782175637</v>
      </c>
      <c r="K322" s="9">
        <f t="shared" ref="K322" si="52">I322*1</f>
        <v>182.03381468111002</v>
      </c>
      <c r="L322" s="10">
        <f t="shared" ref="L322" si="53">K322/J322</f>
        <v>0.14495702307157476</v>
      </c>
      <c r="M322" s="10">
        <f>L322+ABS($N$2)*A322</f>
        <v>0.19720316281212541</v>
      </c>
      <c r="O322" s="11"/>
      <c r="P322" s="8">
        <f>(M322-$O$2)/$O$2*100</f>
        <v>0.48508909189705024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49E1-A0D5-6540-AA2E-D7F57BE579B8}">
  <dimension ref="A1:Y798"/>
  <sheetViews>
    <sheetView topLeftCell="F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1605.2052715655</v>
      </c>
      <c r="E2">
        <v>456.74600638978001</v>
      </c>
      <c r="F2">
        <v>141.11581469648999</v>
      </c>
      <c r="G2">
        <v>116.78514376997001</v>
      </c>
      <c r="H2" s="4"/>
      <c r="I2" s="5">
        <f>E2-G2</f>
        <v>339.96086261980997</v>
      </c>
      <c r="J2" s="5">
        <f>D2-F2</f>
        <v>1464.0894568690101</v>
      </c>
      <c r="K2" s="9">
        <f>I2*1</f>
        <v>339.96086261980997</v>
      </c>
      <c r="L2" s="6">
        <f t="shared" ref="L2:L65" si="0">K2/J2</f>
        <v>0.23219951555885412</v>
      </c>
      <c r="M2" s="6">
        <f>L2+ABS($N$2)*A2</f>
        <v>0.23219951555885412</v>
      </c>
      <c r="N2" s="4">
        <f>LINEST(V64:V103,U64:U103)</f>
        <v>-6.2609808565683119E-4</v>
      </c>
      <c r="O2" s="7">
        <f>AVERAGE(M62:M81)</f>
        <v>0.3506658485794229</v>
      </c>
      <c r="P2" s="4">
        <f>(M2-$O$2)/$O$2*100</f>
        <v>-33.783253630339523</v>
      </c>
    </row>
    <row r="3" spans="1:16" x14ac:dyDescent="0.2">
      <c r="A3" s="8">
        <v>0.5</v>
      </c>
      <c r="B3" s="8">
        <v>1</v>
      </c>
      <c r="D3">
        <v>1566.9600638978</v>
      </c>
      <c r="E3">
        <v>464.13658146965003</v>
      </c>
      <c r="F3">
        <v>141.23642172524001</v>
      </c>
      <c r="G3">
        <v>117.1445686901</v>
      </c>
      <c r="I3" s="9">
        <f t="shared" ref="I3:I66" si="1">E3-G3</f>
        <v>346.99201277955001</v>
      </c>
      <c r="J3" s="9">
        <f t="shared" ref="J3:J66" si="2">D3-F3</f>
        <v>1425.7236421725599</v>
      </c>
      <c r="K3" s="9">
        <f t="shared" ref="K3:K66" si="3">I3*1</f>
        <v>346.99201277955001</v>
      </c>
      <c r="L3" s="10">
        <f t="shared" si="0"/>
        <v>0.24337957407425279</v>
      </c>
      <c r="M3" s="10">
        <f t="shared" ref="M3:M66" si="4">L3+ABS($N$2)*A3</f>
        <v>0.2436926231170812</v>
      </c>
      <c r="P3" s="8">
        <f t="shared" ref="P3:P66" si="5">(M3-$O$2)/$O$2*100</f>
        <v>-30.505743828690278</v>
      </c>
    </row>
    <row r="4" spans="1:16" ht="16" x14ac:dyDescent="0.2">
      <c r="A4" s="8">
        <v>1</v>
      </c>
      <c r="B4" s="8">
        <v>2</v>
      </c>
      <c r="D4">
        <v>1582.6238019169</v>
      </c>
      <c r="E4">
        <v>491.54952076677</v>
      </c>
      <c r="F4">
        <v>141.24201277955001</v>
      </c>
      <c r="G4">
        <v>117.31309904152999</v>
      </c>
      <c r="I4" s="9">
        <f t="shared" si="1"/>
        <v>374.23642172524001</v>
      </c>
      <c r="J4" s="9">
        <f t="shared" si="2"/>
        <v>1441.3817891373501</v>
      </c>
      <c r="K4" s="9">
        <f t="shared" si="3"/>
        <v>374.23642172524001</v>
      </c>
      <c r="L4" s="10">
        <f t="shared" si="0"/>
        <v>0.25963726234477824</v>
      </c>
      <c r="M4" s="10">
        <f t="shared" si="4"/>
        <v>0.26026336043043508</v>
      </c>
      <c r="N4" s="1" t="s">
        <v>8</v>
      </c>
      <c r="P4" s="8">
        <f t="shared" si="5"/>
        <v>-25.780237372762691</v>
      </c>
    </row>
    <row r="5" spans="1:16" x14ac:dyDescent="0.2">
      <c r="A5" s="8">
        <v>1.5</v>
      </c>
      <c r="B5" s="8">
        <v>3</v>
      </c>
      <c r="D5">
        <v>1573.6837060703001</v>
      </c>
      <c r="E5">
        <v>521.58226837061</v>
      </c>
      <c r="F5">
        <v>141.50479233227</v>
      </c>
      <c r="G5">
        <v>117.59904153354999</v>
      </c>
      <c r="I5" s="9">
        <f t="shared" si="1"/>
        <v>403.98322683705999</v>
      </c>
      <c r="J5" s="9">
        <f t="shared" si="2"/>
        <v>1432.1789137380301</v>
      </c>
      <c r="K5" s="9">
        <f t="shared" si="3"/>
        <v>403.98322683705999</v>
      </c>
      <c r="L5" s="10">
        <f t="shared" si="0"/>
        <v>0.28207594942356162</v>
      </c>
      <c r="M5" s="10">
        <f t="shared" si="4"/>
        <v>0.28301509655204687</v>
      </c>
      <c r="N5" s="8">
        <f>RSQ(V64:V83,U64:U83)</f>
        <v>0.77951742309171312</v>
      </c>
      <c r="P5" s="8">
        <f t="shared" si="5"/>
        <v>-19.292084558971155</v>
      </c>
    </row>
    <row r="6" spans="1:16" x14ac:dyDescent="0.2">
      <c r="A6" s="8">
        <v>2</v>
      </c>
      <c r="B6" s="8">
        <v>4</v>
      </c>
      <c r="D6">
        <v>1598.4528753994</v>
      </c>
      <c r="E6">
        <v>551.18051118210997</v>
      </c>
      <c r="F6">
        <v>141.37779552716</v>
      </c>
      <c r="G6">
        <v>117.21725239617</v>
      </c>
      <c r="I6" s="9">
        <f t="shared" si="1"/>
        <v>433.96325878593996</v>
      </c>
      <c r="J6" s="9">
        <f t="shared" si="2"/>
        <v>1457.0750798722399</v>
      </c>
      <c r="K6" s="9">
        <f t="shared" si="3"/>
        <v>433.96325878593996</v>
      </c>
      <c r="L6" s="10">
        <f t="shared" si="0"/>
        <v>0.29783177598781729</v>
      </c>
      <c r="M6" s="10">
        <f t="shared" si="4"/>
        <v>0.29908397215913096</v>
      </c>
      <c r="P6" s="8">
        <f t="shared" si="5"/>
        <v>-14.709694893088249</v>
      </c>
    </row>
    <row r="7" spans="1:16" x14ac:dyDescent="0.2">
      <c r="A7" s="8">
        <v>2.5</v>
      </c>
      <c r="B7" s="8">
        <v>5</v>
      </c>
      <c r="D7">
        <v>1617.7739616613001</v>
      </c>
      <c r="E7">
        <v>583.98242811501996</v>
      </c>
      <c r="F7">
        <v>141.77396166134</v>
      </c>
      <c r="G7">
        <v>117.06869009585</v>
      </c>
      <c r="I7" s="9">
        <f t="shared" si="1"/>
        <v>466.91373801916995</v>
      </c>
      <c r="J7" s="9">
        <f t="shared" si="2"/>
        <v>1475.99999999996</v>
      </c>
      <c r="K7" s="9">
        <f t="shared" si="3"/>
        <v>466.91373801916995</v>
      </c>
      <c r="L7" s="10">
        <f t="shared" si="0"/>
        <v>0.31633722088020505</v>
      </c>
      <c r="M7" s="10">
        <f t="shared" si="4"/>
        <v>0.31790246609434714</v>
      </c>
      <c r="P7" s="8">
        <f t="shared" si="5"/>
        <v>-9.3431917073769828</v>
      </c>
    </row>
    <row r="8" spans="1:16" x14ac:dyDescent="0.2">
      <c r="A8" s="8">
        <v>3</v>
      </c>
      <c r="B8" s="8">
        <v>6</v>
      </c>
      <c r="D8">
        <v>1644.3642172524001</v>
      </c>
      <c r="E8">
        <v>613.84744408946005</v>
      </c>
      <c r="F8">
        <v>141.68290734824001</v>
      </c>
      <c r="G8">
        <v>117.19888178914</v>
      </c>
      <c r="I8" s="9">
        <f t="shared" si="1"/>
        <v>496.64856230032007</v>
      </c>
      <c r="J8" s="9">
        <f t="shared" si="2"/>
        <v>1502.6813099041601</v>
      </c>
      <c r="K8" s="9">
        <f t="shared" si="3"/>
        <v>496.64856230032007</v>
      </c>
      <c r="L8" s="10">
        <f t="shared" si="0"/>
        <v>0.33050824484667074</v>
      </c>
      <c r="M8" s="10">
        <f t="shared" si="4"/>
        <v>0.33238653910364124</v>
      </c>
      <c r="P8" s="8">
        <f t="shared" si="5"/>
        <v>-5.2127430001617467</v>
      </c>
    </row>
    <row r="9" spans="1:16" x14ac:dyDescent="0.2">
      <c r="A9" s="8">
        <v>3.5</v>
      </c>
      <c r="B9" s="8">
        <v>7</v>
      </c>
      <c r="D9">
        <v>2672.1419457735001</v>
      </c>
      <c r="E9">
        <v>921.53748006379999</v>
      </c>
      <c r="F9">
        <v>141.54552715655001</v>
      </c>
      <c r="G9">
        <v>117.553514377</v>
      </c>
      <c r="I9" s="9">
        <f t="shared" si="1"/>
        <v>803.98396568680005</v>
      </c>
      <c r="J9" s="9">
        <f t="shared" si="2"/>
        <v>2530.5964186169499</v>
      </c>
      <c r="K9" s="9">
        <f t="shared" si="3"/>
        <v>803.98396568680005</v>
      </c>
      <c r="L9" s="10">
        <f t="shared" si="0"/>
        <v>0.31770532818749597</v>
      </c>
      <c r="M9" s="10">
        <f t="shared" si="4"/>
        <v>0.31989667148729489</v>
      </c>
      <c r="P9" s="8">
        <f t="shared" si="5"/>
        <v>-8.7745006298094204</v>
      </c>
    </row>
    <row r="10" spans="1:16" x14ac:dyDescent="0.2">
      <c r="A10" s="8">
        <v>4</v>
      </c>
      <c r="B10" s="8">
        <v>8</v>
      </c>
      <c r="D10">
        <v>2659.8285486443001</v>
      </c>
      <c r="E10">
        <v>925.20414673046002</v>
      </c>
      <c r="F10">
        <v>141.41533546325999</v>
      </c>
      <c r="G10">
        <v>117.36661341852999</v>
      </c>
      <c r="I10" s="9">
        <f t="shared" si="1"/>
        <v>807.83753331192997</v>
      </c>
      <c r="J10" s="9">
        <f t="shared" si="2"/>
        <v>2518.4132131810402</v>
      </c>
      <c r="K10" s="9">
        <f t="shared" si="3"/>
        <v>807.83753331192997</v>
      </c>
      <c r="L10" s="10">
        <f t="shared" si="0"/>
        <v>0.3207724328493099</v>
      </c>
      <c r="M10" s="10">
        <f t="shared" si="4"/>
        <v>0.32327682519193723</v>
      </c>
      <c r="P10" s="8">
        <f t="shared" si="5"/>
        <v>-7.810576221904963</v>
      </c>
    </row>
    <row r="11" spans="1:16" x14ac:dyDescent="0.2">
      <c r="A11" s="8">
        <v>4.5</v>
      </c>
      <c r="B11" s="8">
        <v>9</v>
      </c>
      <c r="D11">
        <v>2924.8923444975999</v>
      </c>
      <c r="E11">
        <v>1038.1291866029001</v>
      </c>
      <c r="F11">
        <v>141.98083067093</v>
      </c>
      <c r="G11">
        <v>117.52715654952</v>
      </c>
      <c r="I11" s="9">
        <f t="shared" si="1"/>
        <v>920.60203005338008</v>
      </c>
      <c r="J11" s="9">
        <f t="shared" si="2"/>
        <v>2782.9115138266698</v>
      </c>
      <c r="K11" s="9">
        <f t="shared" si="3"/>
        <v>920.60203005338008</v>
      </c>
      <c r="L11" s="10">
        <f t="shared" si="0"/>
        <v>0.33080535456461468</v>
      </c>
      <c r="M11" s="10">
        <f t="shared" si="4"/>
        <v>0.33362279595007044</v>
      </c>
      <c r="P11" s="8">
        <f t="shared" si="5"/>
        <v>-4.8601974496220013</v>
      </c>
    </row>
    <row r="12" spans="1:16" x14ac:dyDescent="0.2">
      <c r="A12" s="8">
        <v>5</v>
      </c>
      <c r="B12" s="8">
        <v>10</v>
      </c>
      <c r="D12">
        <v>2975.9473684210998</v>
      </c>
      <c r="E12">
        <v>1059.7775119616999</v>
      </c>
      <c r="F12">
        <v>141.21884984025999</v>
      </c>
      <c r="G12">
        <v>117.08306709265</v>
      </c>
      <c r="I12" s="9">
        <f t="shared" si="1"/>
        <v>942.6944448690499</v>
      </c>
      <c r="J12" s="9">
        <f t="shared" si="2"/>
        <v>2834.7285185808396</v>
      </c>
      <c r="K12" s="9">
        <f t="shared" si="3"/>
        <v>942.6944448690499</v>
      </c>
      <c r="L12" s="10">
        <f t="shared" si="0"/>
        <v>0.33255193175993958</v>
      </c>
      <c r="M12" s="10">
        <f t="shared" si="4"/>
        <v>0.33568242218822375</v>
      </c>
      <c r="P12" s="8">
        <f t="shared" si="5"/>
        <v>-4.2728501939662165</v>
      </c>
    </row>
    <row r="13" spans="1:16" x14ac:dyDescent="0.2">
      <c r="A13" s="8">
        <v>5.5</v>
      </c>
      <c r="B13" s="8">
        <v>11</v>
      </c>
      <c r="D13">
        <v>3240.5353130016001</v>
      </c>
      <c r="E13">
        <v>1148.4510433386999</v>
      </c>
      <c r="F13">
        <v>141.31869009585</v>
      </c>
      <c r="G13">
        <v>116.98961661342</v>
      </c>
      <c r="I13" s="9">
        <f t="shared" si="1"/>
        <v>1031.46142672528</v>
      </c>
      <c r="J13" s="9">
        <f t="shared" si="2"/>
        <v>3099.2166229057502</v>
      </c>
      <c r="K13" s="9">
        <f t="shared" si="3"/>
        <v>1031.46142672528</v>
      </c>
      <c r="L13" s="10">
        <f t="shared" si="0"/>
        <v>0.33281359524917842</v>
      </c>
      <c r="M13" s="10">
        <f t="shared" si="4"/>
        <v>0.33625713472029101</v>
      </c>
      <c r="P13" s="8">
        <f t="shared" si="5"/>
        <v>-4.1089584051320696</v>
      </c>
    </row>
    <row r="14" spans="1:16" x14ac:dyDescent="0.2">
      <c r="A14" s="8">
        <v>6</v>
      </c>
      <c r="B14" s="8">
        <v>12</v>
      </c>
      <c r="D14">
        <v>3278.7560192616002</v>
      </c>
      <c r="E14">
        <v>1171.3643659710999</v>
      </c>
      <c r="F14">
        <v>141.77715654951999</v>
      </c>
      <c r="G14">
        <v>117.26277955272</v>
      </c>
      <c r="I14" s="9">
        <f t="shared" si="1"/>
        <v>1054.1015864183798</v>
      </c>
      <c r="J14" s="9">
        <f t="shared" si="2"/>
        <v>3136.9788627120802</v>
      </c>
      <c r="K14" s="9">
        <f t="shared" si="3"/>
        <v>1054.1015864183798</v>
      </c>
      <c r="L14" s="10">
        <f t="shared" si="0"/>
        <v>0.33602444662539249</v>
      </c>
      <c r="M14" s="10">
        <f t="shared" si="4"/>
        <v>0.3397810351393335</v>
      </c>
      <c r="P14" s="8">
        <f t="shared" si="5"/>
        <v>-3.1040414925447415</v>
      </c>
    </row>
    <row r="15" spans="1:16" x14ac:dyDescent="0.2">
      <c r="A15" s="8">
        <v>6.5</v>
      </c>
      <c r="B15" s="8">
        <v>13</v>
      </c>
      <c r="D15">
        <v>3144.2006420545999</v>
      </c>
      <c r="E15">
        <v>1147.804975923</v>
      </c>
      <c r="F15">
        <v>142.05031948882001</v>
      </c>
      <c r="G15">
        <v>117.26357827475999</v>
      </c>
      <c r="I15" s="9">
        <f t="shared" si="1"/>
        <v>1030.54139764824</v>
      </c>
      <c r="J15" s="9">
        <f t="shared" si="2"/>
        <v>3002.1503225657798</v>
      </c>
      <c r="K15" s="9">
        <f t="shared" si="3"/>
        <v>1030.54139764824</v>
      </c>
      <c r="L15" s="10">
        <f t="shared" si="0"/>
        <v>0.34326775375041535</v>
      </c>
      <c r="M15" s="10">
        <f t="shared" si="4"/>
        <v>0.34733739130718477</v>
      </c>
      <c r="P15" s="8">
        <f t="shared" si="5"/>
        <v>-0.94918204487890401</v>
      </c>
    </row>
    <row r="16" spans="1:16" x14ac:dyDescent="0.2">
      <c r="A16" s="8">
        <v>7</v>
      </c>
      <c r="B16" s="8">
        <v>14</v>
      </c>
      <c r="D16">
        <v>3214.5834670947002</v>
      </c>
      <c r="E16">
        <v>1177.3362760835</v>
      </c>
      <c r="F16">
        <v>142.12939297125001</v>
      </c>
      <c r="G16">
        <v>116.92172523962</v>
      </c>
      <c r="I16" s="9">
        <f t="shared" si="1"/>
        <v>1060.4145508438801</v>
      </c>
      <c r="J16" s="9">
        <f t="shared" si="2"/>
        <v>3072.45407412345</v>
      </c>
      <c r="K16" s="9">
        <f t="shared" si="3"/>
        <v>1060.4145508438801</v>
      </c>
      <c r="L16" s="10">
        <f t="shared" si="0"/>
        <v>0.34513601351271916</v>
      </c>
      <c r="M16" s="10">
        <f t="shared" si="4"/>
        <v>0.349518700112317</v>
      </c>
      <c r="P16" s="8">
        <f t="shared" si="5"/>
        <v>-0.32713435646872713</v>
      </c>
    </row>
    <row r="17" spans="1:16" x14ac:dyDescent="0.2">
      <c r="A17" s="8">
        <v>7.5</v>
      </c>
      <c r="B17" s="8">
        <v>15</v>
      </c>
      <c r="D17">
        <v>3231.2736757624002</v>
      </c>
      <c r="E17">
        <v>1179.5971107544001</v>
      </c>
      <c r="F17">
        <v>141.85543130990001</v>
      </c>
      <c r="G17">
        <v>117.17651757189</v>
      </c>
      <c r="I17" s="9">
        <f t="shared" si="1"/>
        <v>1062.4205931825102</v>
      </c>
      <c r="J17" s="9">
        <f t="shared" si="2"/>
        <v>3089.4182444525004</v>
      </c>
      <c r="K17" s="9">
        <f t="shared" si="3"/>
        <v>1062.4205931825102</v>
      </c>
      <c r="L17" s="10">
        <f t="shared" si="0"/>
        <v>0.34389017902973829</v>
      </c>
      <c r="M17" s="10">
        <f t="shared" si="4"/>
        <v>0.34858591467216454</v>
      </c>
      <c r="P17" s="8">
        <f t="shared" si="5"/>
        <v>-0.59313842955746809</v>
      </c>
    </row>
    <row r="18" spans="1:16" x14ac:dyDescent="0.2">
      <c r="A18" s="8">
        <v>8</v>
      </c>
      <c r="B18" s="8">
        <v>16</v>
      </c>
      <c r="D18">
        <v>3226.5040128411001</v>
      </c>
      <c r="E18">
        <v>1184.8202247191</v>
      </c>
      <c r="F18">
        <v>141.54872204473</v>
      </c>
      <c r="G18">
        <v>116.91453674121</v>
      </c>
      <c r="I18" s="9">
        <f t="shared" si="1"/>
        <v>1067.90568797789</v>
      </c>
      <c r="J18" s="9">
        <f t="shared" si="2"/>
        <v>3084.9552907963703</v>
      </c>
      <c r="K18" s="9">
        <f t="shared" si="3"/>
        <v>1067.90568797789</v>
      </c>
      <c r="L18" s="10">
        <f t="shared" si="0"/>
        <v>0.34616569360465965</v>
      </c>
      <c r="M18" s="10">
        <f t="shared" si="4"/>
        <v>0.35117447828991433</v>
      </c>
      <c r="P18" s="8">
        <f t="shared" si="5"/>
        <v>0.1450468337740696</v>
      </c>
    </row>
    <row r="19" spans="1:16" x14ac:dyDescent="0.2">
      <c r="A19" s="8">
        <v>8.5</v>
      </c>
      <c r="B19" s="8">
        <v>17</v>
      </c>
      <c r="D19">
        <v>3230.1211878009999</v>
      </c>
      <c r="E19">
        <v>1191.8057784912</v>
      </c>
      <c r="F19">
        <v>141.60303514377</v>
      </c>
      <c r="G19">
        <v>117.3554313099</v>
      </c>
      <c r="I19" s="9">
        <f t="shared" si="1"/>
        <v>1074.4503471813</v>
      </c>
      <c r="J19" s="9">
        <f t="shared" si="2"/>
        <v>3088.5181526572301</v>
      </c>
      <c r="K19" s="9">
        <f t="shared" si="3"/>
        <v>1074.4503471813</v>
      </c>
      <c r="L19" s="10">
        <f t="shared" si="0"/>
        <v>0.34788539165841992</v>
      </c>
      <c r="M19" s="10">
        <f t="shared" si="4"/>
        <v>0.35320722538650301</v>
      </c>
      <c r="P19" s="8">
        <f t="shared" si="5"/>
        <v>0.72472891710882081</v>
      </c>
    </row>
    <row r="20" spans="1:16" x14ac:dyDescent="0.2">
      <c r="A20" s="8">
        <v>9</v>
      </c>
      <c r="B20" s="8">
        <v>18</v>
      </c>
      <c r="D20">
        <v>3211.7006420545999</v>
      </c>
      <c r="E20">
        <v>1183.430176565</v>
      </c>
      <c r="F20">
        <v>141.73722044728001</v>
      </c>
      <c r="G20">
        <v>117.3642172524</v>
      </c>
      <c r="I20" s="9">
        <f t="shared" si="1"/>
        <v>1066.0659593125999</v>
      </c>
      <c r="J20" s="9">
        <f t="shared" si="2"/>
        <v>3069.96342160732</v>
      </c>
      <c r="K20" s="9">
        <f t="shared" si="3"/>
        <v>1066.0659593125999</v>
      </c>
      <c r="L20" s="10">
        <f t="shared" si="0"/>
        <v>0.34725689296794521</v>
      </c>
      <c r="M20" s="10">
        <f t="shared" si="4"/>
        <v>0.35289177573885666</v>
      </c>
      <c r="P20" s="8">
        <f t="shared" si="5"/>
        <v>0.63477158338948036</v>
      </c>
    </row>
    <row r="21" spans="1:16" x14ac:dyDescent="0.2">
      <c r="A21" s="8">
        <v>9.5</v>
      </c>
      <c r="B21" s="8">
        <v>19</v>
      </c>
      <c r="D21">
        <v>3237.0818619583001</v>
      </c>
      <c r="E21">
        <v>1198.1677367576001</v>
      </c>
      <c r="F21">
        <v>141.84424920128001</v>
      </c>
      <c r="G21">
        <v>117.33466453673999</v>
      </c>
      <c r="I21" s="9">
        <f t="shared" si="1"/>
        <v>1080.83307222086</v>
      </c>
      <c r="J21" s="9">
        <f t="shared" si="2"/>
        <v>3095.2376127570201</v>
      </c>
      <c r="K21" s="9">
        <f t="shared" si="3"/>
        <v>1080.83307222086</v>
      </c>
      <c r="L21" s="10">
        <f t="shared" si="0"/>
        <v>0.3491922777644621</v>
      </c>
      <c r="M21" s="10">
        <f t="shared" si="4"/>
        <v>0.35514020957820197</v>
      </c>
      <c r="P21" s="8">
        <f t="shared" si="5"/>
        <v>1.2759614364800811</v>
      </c>
    </row>
    <row r="22" spans="1:16" x14ac:dyDescent="0.2">
      <c r="A22" s="8">
        <v>10</v>
      </c>
      <c r="B22" s="8">
        <v>20</v>
      </c>
      <c r="D22">
        <v>3273.3394863562999</v>
      </c>
      <c r="E22">
        <v>1205.7479935795</v>
      </c>
      <c r="F22">
        <v>141.54872204473</v>
      </c>
      <c r="G22">
        <v>117.32667731629</v>
      </c>
      <c r="I22" s="9">
        <f t="shared" si="1"/>
        <v>1088.42131626321</v>
      </c>
      <c r="J22" s="9">
        <f t="shared" si="2"/>
        <v>3131.79076431157</v>
      </c>
      <c r="K22" s="9">
        <f t="shared" si="3"/>
        <v>1088.42131626321</v>
      </c>
      <c r="L22" s="10">
        <f t="shared" si="0"/>
        <v>0.3475396021555312</v>
      </c>
      <c r="M22" s="10">
        <f t="shared" si="4"/>
        <v>0.35380058301209949</v>
      </c>
      <c r="P22" s="8">
        <f t="shared" si="5"/>
        <v>0.89393776022833826</v>
      </c>
    </row>
    <row r="23" spans="1:16" x14ac:dyDescent="0.2">
      <c r="A23" s="8">
        <v>10.5</v>
      </c>
      <c r="B23" s="8">
        <v>21</v>
      </c>
      <c r="D23">
        <v>3331.5764331209998</v>
      </c>
      <c r="E23">
        <v>1228.9984076433</v>
      </c>
      <c r="F23">
        <v>141.73402555910999</v>
      </c>
      <c r="G23">
        <v>117.42731629393001</v>
      </c>
      <c r="I23" s="9">
        <f t="shared" si="1"/>
        <v>1111.5710913493699</v>
      </c>
      <c r="J23" s="9">
        <f t="shared" si="2"/>
        <v>3189.84240756189</v>
      </c>
      <c r="K23" s="9">
        <f t="shared" si="3"/>
        <v>1111.5710913493699</v>
      </c>
      <c r="L23" s="10">
        <f t="shared" si="0"/>
        <v>0.34847210279550556</v>
      </c>
      <c r="M23" s="10">
        <f t="shared" si="4"/>
        <v>0.35504613269490226</v>
      </c>
      <c r="P23" s="8">
        <f t="shared" si="5"/>
        <v>1.2491333653460304</v>
      </c>
    </row>
    <row r="24" spans="1:16" x14ac:dyDescent="0.2">
      <c r="A24" s="8">
        <v>11</v>
      </c>
      <c r="B24" s="8">
        <v>22</v>
      </c>
      <c r="D24">
        <v>3355.4028662420001</v>
      </c>
      <c r="E24">
        <v>1245.7722929936001</v>
      </c>
      <c r="F24">
        <v>141.73162939297001</v>
      </c>
      <c r="G24">
        <v>117.02476038339</v>
      </c>
      <c r="I24" s="9">
        <f t="shared" si="1"/>
        <v>1128.7475326102101</v>
      </c>
      <c r="J24" s="9">
        <f t="shared" si="2"/>
        <v>3213.6712368490303</v>
      </c>
      <c r="K24" s="9">
        <f t="shared" si="3"/>
        <v>1128.7475326102101</v>
      </c>
      <c r="L24" s="10">
        <f t="shared" si="0"/>
        <v>0.35123304452167137</v>
      </c>
      <c r="M24" s="10">
        <f t="shared" si="4"/>
        <v>0.35812012346389649</v>
      </c>
      <c r="P24" s="8">
        <f t="shared" si="5"/>
        <v>2.1257487476101504</v>
      </c>
    </row>
    <row r="25" spans="1:16" x14ac:dyDescent="0.2">
      <c r="A25" s="8">
        <v>11.5</v>
      </c>
      <c r="B25" s="8">
        <v>23</v>
      </c>
      <c r="D25">
        <v>3257.1050955413998</v>
      </c>
      <c r="E25">
        <v>1201.446656051</v>
      </c>
      <c r="F25">
        <v>141.67891373801999</v>
      </c>
      <c r="G25">
        <v>117.38418530350999</v>
      </c>
      <c r="I25" s="9">
        <f t="shared" si="1"/>
        <v>1084.0624707474899</v>
      </c>
      <c r="J25" s="9">
        <f t="shared" si="2"/>
        <v>3115.4261818033797</v>
      </c>
      <c r="K25" s="9">
        <f t="shared" si="3"/>
        <v>1084.0624707474899</v>
      </c>
      <c r="L25" s="10">
        <f t="shared" si="0"/>
        <v>0.34796602695300421</v>
      </c>
      <c r="M25" s="10">
        <f t="shared" si="4"/>
        <v>0.35516615493805775</v>
      </c>
      <c r="P25" s="8">
        <f t="shared" si="5"/>
        <v>1.2833603206203217</v>
      </c>
    </row>
    <row r="26" spans="1:16" x14ac:dyDescent="0.2">
      <c r="A26" s="8">
        <v>12</v>
      </c>
      <c r="B26" s="8">
        <v>24</v>
      </c>
      <c r="D26">
        <v>3191.071656051</v>
      </c>
      <c r="E26">
        <v>1183.2348726114999</v>
      </c>
      <c r="F26">
        <v>141.66853035144001</v>
      </c>
      <c r="G26">
        <v>117.00638977636</v>
      </c>
      <c r="I26" s="9">
        <f t="shared" si="1"/>
        <v>1066.2284828351399</v>
      </c>
      <c r="J26" s="9">
        <f t="shared" si="2"/>
        <v>3049.40312569956</v>
      </c>
      <c r="K26" s="9">
        <f t="shared" si="3"/>
        <v>1066.2284828351399</v>
      </c>
      <c r="L26" s="10">
        <f t="shared" si="0"/>
        <v>0.34965153470502119</v>
      </c>
      <c r="M26" s="10">
        <f t="shared" si="4"/>
        <v>0.35716471173290315</v>
      </c>
      <c r="P26" s="8">
        <f t="shared" si="5"/>
        <v>1.8532922951601063</v>
      </c>
    </row>
    <row r="27" spans="1:16" x14ac:dyDescent="0.2">
      <c r="A27" s="8">
        <v>12.5</v>
      </c>
      <c r="B27" s="8">
        <v>25</v>
      </c>
      <c r="D27">
        <v>3208.1536624204</v>
      </c>
      <c r="E27">
        <v>1182.4578025477999</v>
      </c>
      <c r="F27">
        <v>141.30431309904</v>
      </c>
      <c r="G27">
        <v>117.29313099042</v>
      </c>
      <c r="I27" s="9">
        <f t="shared" si="1"/>
        <v>1065.16467155738</v>
      </c>
      <c r="J27" s="9">
        <f t="shared" si="2"/>
        <v>3066.84934932136</v>
      </c>
      <c r="K27" s="9">
        <f t="shared" si="3"/>
        <v>1065.16467155738</v>
      </c>
      <c r="L27" s="10">
        <f t="shared" si="0"/>
        <v>0.34731561620171603</v>
      </c>
      <c r="M27" s="10">
        <f t="shared" si="4"/>
        <v>0.3551418422724264</v>
      </c>
      <c r="P27" s="8">
        <f t="shared" si="5"/>
        <v>1.2764270347785875</v>
      </c>
    </row>
    <row r="28" spans="1:16" x14ac:dyDescent="0.2">
      <c r="A28" s="8">
        <v>13</v>
      </c>
      <c r="B28" s="8">
        <v>26</v>
      </c>
      <c r="D28">
        <v>3200.3893312102</v>
      </c>
      <c r="E28">
        <v>1175.8662420382</v>
      </c>
      <c r="F28">
        <v>141.58945686901001</v>
      </c>
      <c r="G28">
        <v>117.48402555910999</v>
      </c>
      <c r="I28" s="9">
        <f t="shared" si="1"/>
        <v>1058.3822164790899</v>
      </c>
      <c r="J28" s="9">
        <f t="shared" si="2"/>
        <v>3058.7998743411899</v>
      </c>
      <c r="K28" s="9">
        <f t="shared" si="3"/>
        <v>1058.3822164790899</v>
      </c>
      <c r="L28" s="10">
        <f t="shared" si="0"/>
        <v>0.34601224661912422</v>
      </c>
      <c r="M28" s="10">
        <f t="shared" si="4"/>
        <v>0.35415152173266301</v>
      </c>
      <c r="P28" s="8">
        <f t="shared" si="5"/>
        <v>0.99401557561446807</v>
      </c>
    </row>
    <row r="29" spans="1:16" x14ac:dyDescent="0.2">
      <c r="A29" s="8">
        <v>13.5</v>
      </c>
      <c r="B29" s="8">
        <v>27</v>
      </c>
      <c r="D29">
        <v>3203.3160828025998</v>
      </c>
      <c r="E29">
        <v>1172.8558917198</v>
      </c>
      <c r="F29">
        <v>141.71405750798999</v>
      </c>
      <c r="G29">
        <v>117.33146964856</v>
      </c>
      <c r="I29" s="9">
        <f t="shared" si="1"/>
        <v>1055.52442207124</v>
      </c>
      <c r="J29" s="9">
        <f t="shared" si="2"/>
        <v>3061.60202529461</v>
      </c>
      <c r="K29" s="9">
        <f t="shared" si="3"/>
        <v>1055.52442207124</v>
      </c>
      <c r="L29" s="10">
        <f t="shared" si="0"/>
        <v>0.34476212562920211</v>
      </c>
      <c r="M29" s="10">
        <f t="shared" si="4"/>
        <v>0.35321444978556932</v>
      </c>
      <c r="P29" s="8">
        <f t="shared" si="5"/>
        <v>0.72678911176295513</v>
      </c>
    </row>
    <row r="30" spans="1:16" x14ac:dyDescent="0.2">
      <c r="A30" s="8">
        <v>14</v>
      </c>
      <c r="B30" s="8">
        <v>28</v>
      </c>
      <c r="D30">
        <v>3247.8503184712999</v>
      </c>
      <c r="E30">
        <v>1182.9291401273999</v>
      </c>
      <c r="F30">
        <v>141.59584664536999</v>
      </c>
      <c r="G30">
        <v>117.16773162939</v>
      </c>
      <c r="I30" s="9">
        <f t="shared" si="1"/>
        <v>1065.76140849801</v>
      </c>
      <c r="J30" s="9">
        <f t="shared" si="2"/>
        <v>3106.2544718259301</v>
      </c>
      <c r="K30" s="9">
        <f t="shared" si="3"/>
        <v>1065.76140849801</v>
      </c>
      <c r="L30" s="10">
        <f t="shared" si="0"/>
        <v>0.34310177036832729</v>
      </c>
      <c r="M30" s="10">
        <f t="shared" si="4"/>
        <v>0.35186714356752291</v>
      </c>
      <c r="P30" s="8">
        <f t="shared" si="5"/>
        <v>0.34257541558910226</v>
      </c>
    </row>
    <row r="31" spans="1:16" x14ac:dyDescent="0.2">
      <c r="A31" s="8">
        <v>14.5</v>
      </c>
      <c r="B31" s="8">
        <v>29</v>
      </c>
      <c r="D31">
        <v>3301.9721337579999</v>
      </c>
      <c r="E31">
        <v>1207.0883757961999</v>
      </c>
      <c r="F31">
        <v>141.07987220447001</v>
      </c>
      <c r="G31">
        <v>117.42891373802</v>
      </c>
      <c r="I31" s="9">
        <f t="shared" si="1"/>
        <v>1089.65946205818</v>
      </c>
      <c r="J31" s="9">
        <f t="shared" si="2"/>
        <v>3160.8922615535298</v>
      </c>
      <c r="K31" s="9">
        <f t="shared" si="3"/>
        <v>1089.65946205818</v>
      </c>
      <c r="L31" s="10">
        <f t="shared" si="0"/>
        <v>0.34473160484205467</v>
      </c>
      <c r="M31" s="10">
        <f t="shared" si="4"/>
        <v>0.35381002708407872</v>
      </c>
      <c r="P31" s="8">
        <f t="shared" si="5"/>
        <v>0.89663094293132573</v>
      </c>
    </row>
    <row r="32" spans="1:16" x14ac:dyDescent="0.2">
      <c r="A32" s="8">
        <v>15</v>
      </c>
      <c r="B32" s="8">
        <v>30</v>
      </c>
      <c r="D32">
        <v>3345.8853503185001</v>
      </c>
      <c r="E32">
        <v>1224.2842356688</v>
      </c>
      <c r="F32">
        <v>141.43929712459999</v>
      </c>
      <c r="G32">
        <v>116.97204472844</v>
      </c>
      <c r="I32" s="9">
        <f t="shared" si="1"/>
        <v>1107.3121909403599</v>
      </c>
      <c r="J32" s="9">
        <f t="shared" si="2"/>
        <v>3204.4460531939003</v>
      </c>
      <c r="K32" s="9">
        <f t="shared" si="3"/>
        <v>1107.3121909403599</v>
      </c>
      <c r="L32" s="10">
        <f t="shared" si="0"/>
        <v>0.34555494851807284</v>
      </c>
      <c r="M32" s="10">
        <f t="shared" si="4"/>
        <v>0.35494641980292529</v>
      </c>
      <c r="P32" s="8">
        <f t="shared" si="5"/>
        <v>1.2206980636532903</v>
      </c>
    </row>
    <row r="33" spans="1:16" x14ac:dyDescent="0.2">
      <c r="A33" s="8">
        <v>15.5</v>
      </c>
      <c r="B33" s="8">
        <v>31</v>
      </c>
      <c r="D33">
        <v>3221.7699044586002</v>
      </c>
      <c r="E33">
        <v>1176.5254777069999</v>
      </c>
      <c r="F33">
        <v>141.66134185304</v>
      </c>
      <c r="G33">
        <v>117.10463258786</v>
      </c>
      <c r="I33" s="9">
        <f t="shared" si="1"/>
        <v>1059.42084511914</v>
      </c>
      <c r="J33" s="9">
        <f t="shared" si="2"/>
        <v>3080.1085626055601</v>
      </c>
      <c r="K33" s="9">
        <f t="shared" si="3"/>
        <v>1059.42084511914</v>
      </c>
      <c r="L33" s="10">
        <f t="shared" si="0"/>
        <v>0.34395568324479536</v>
      </c>
      <c r="M33" s="10">
        <f t="shared" si="4"/>
        <v>0.35366020357247624</v>
      </c>
      <c r="P33" s="8">
        <f t="shared" si="5"/>
        <v>0.85390550724677772</v>
      </c>
    </row>
    <row r="34" spans="1:16" x14ac:dyDescent="0.2">
      <c r="A34" s="8">
        <v>16</v>
      </c>
      <c r="B34" s="8">
        <v>32</v>
      </c>
      <c r="D34">
        <v>3224.2436305732999</v>
      </c>
      <c r="E34">
        <v>1184.1600318471001</v>
      </c>
      <c r="F34">
        <v>141.09984025559001</v>
      </c>
      <c r="G34">
        <v>117.18051118211</v>
      </c>
      <c r="I34" s="9">
        <f t="shared" si="1"/>
        <v>1066.9795206649901</v>
      </c>
      <c r="J34" s="9">
        <f t="shared" si="2"/>
        <v>3083.1437903177098</v>
      </c>
      <c r="K34" s="9">
        <f t="shared" si="3"/>
        <v>1066.9795206649901</v>
      </c>
      <c r="L34" s="10">
        <f t="shared" si="0"/>
        <v>0.3460686861299585</v>
      </c>
      <c r="M34" s="10">
        <f t="shared" si="4"/>
        <v>0.3560862555004678</v>
      </c>
      <c r="P34" s="8">
        <f t="shared" si="5"/>
        <v>1.545747024696994</v>
      </c>
    </row>
    <row r="35" spans="1:16" x14ac:dyDescent="0.2">
      <c r="A35" s="8">
        <v>16.5</v>
      </c>
      <c r="B35" s="8">
        <v>33</v>
      </c>
      <c r="D35">
        <v>3191.5366242037999</v>
      </c>
      <c r="E35">
        <v>1169.3590764331</v>
      </c>
      <c r="F35">
        <v>141.42891373801999</v>
      </c>
      <c r="G35">
        <v>117.21086261981</v>
      </c>
      <c r="I35" s="9">
        <f t="shared" si="1"/>
        <v>1052.1482138132899</v>
      </c>
      <c r="J35" s="9">
        <f t="shared" si="2"/>
        <v>3050.1077104657797</v>
      </c>
      <c r="K35" s="9">
        <f t="shared" si="3"/>
        <v>1052.1482138132899</v>
      </c>
      <c r="L35" s="10">
        <f t="shared" si="0"/>
        <v>0.3449544454456715</v>
      </c>
      <c r="M35" s="10">
        <f t="shared" si="4"/>
        <v>0.35528506385900921</v>
      </c>
      <c r="P35" s="8">
        <f t="shared" si="5"/>
        <v>1.3172697878333866</v>
      </c>
    </row>
    <row r="36" spans="1:16" x14ac:dyDescent="0.2">
      <c r="A36" s="8">
        <v>17</v>
      </c>
      <c r="B36" s="8">
        <v>34</v>
      </c>
      <c r="D36">
        <v>3251.2229299362998</v>
      </c>
      <c r="E36">
        <v>1194.6234076433</v>
      </c>
      <c r="F36">
        <v>141.67571884984</v>
      </c>
      <c r="G36">
        <v>117.1589456869</v>
      </c>
      <c r="I36" s="9">
        <f t="shared" si="1"/>
        <v>1077.4644619563999</v>
      </c>
      <c r="J36" s="9">
        <f t="shared" si="2"/>
        <v>3109.5472110864598</v>
      </c>
      <c r="K36" s="9">
        <f t="shared" si="3"/>
        <v>1077.4644619563999</v>
      </c>
      <c r="L36" s="10">
        <f t="shared" si="0"/>
        <v>0.34650204316400757</v>
      </c>
      <c r="M36" s="10">
        <f t="shared" si="4"/>
        <v>0.3571457106201737</v>
      </c>
      <c r="P36" s="8">
        <f t="shared" si="5"/>
        <v>1.8478737142499806</v>
      </c>
    </row>
    <row r="37" spans="1:16" x14ac:dyDescent="0.2">
      <c r="A37" s="8">
        <v>17.5</v>
      </c>
      <c r="B37" s="8">
        <v>35</v>
      </c>
      <c r="D37">
        <v>3261.9522292994002</v>
      </c>
      <c r="E37">
        <v>1195.2324840763999</v>
      </c>
      <c r="F37">
        <v>141.59185303513999</v>
      </c>
      <c r="G37">
        <v>117.28274760383</v>
      </c>
      <c r="I37" s="9">
        <f t="shared" si="1"/>
        <v>1077.9497364725698</v>
      </c>
      <c r="J37" s="9">
        <f t="shared" si="2"/>
        <v>3120.3603762642601</v>
      </c>
      <c r="K37" s="9">
        <f t="shared" si="3"/>
        <v>1077.9497364725698</v>
      </c>
      <c r="L37" s="10">
        <f t="shared" si="0"/>
        <v>0.34545680834567788</v>
      </c>
      <c r="M37" s="10">
        <f t="shared" si="4"/>
        <v>0.35641352484467242</v>
      </c>
      <c r="P37" s="8">
        <f t="shared" si="5"/>
        <v>1.6390750021805227</v>
      </c>
    </row>
    <row r="38" spans="1:16" x14ac:dyDescent="0.2">
      <c r="A38" s="8">
        <v>18</v>
      </c>
      <c r="B38" s="8">
        <v>36</v>
      </c>
      <c r="D38">
        <v>3302.4426751592</v>
      </c>
      <c r="E38">
        <v>1216.2794585987001</v>
      </c>
      <c r="F38">
        <v>141.74520766773</v>
      </c>
      <c r="G38">
        <v>116.97284345048</v>
      </c>
      <c r="I38" s="9">
        <f t="shared" si="1"/>
        <v>1099.3066151482201</v>
      </c>
      <c r="J38" s="9">
        <f t="shared" si="2"/>
        <v>3160.69746749147</v>
      </c>
      <c r="K38" s="9">
        <f t="shared" si="3"/>
        <v>1099.3066151482201</v>
      </c>
      <c r="L38" s="10">
        <f t="shared" si="0"/>
        <v>0.34780507354938323</v>
      </c>
      <c r="M38" s="10">
        <f t="shared" si="4"/>
        <v>0.35907483909120619</v>
      </c>
      <c r="P38" s="8">
        <f t="shared" si="5"/>
        <v>2.3980066909420525</v>
      </c>
    </row>
    <row r="39" spans="1:16" x14ac:dyDescent="0.2">
      <c r="A39" s="8">
        <v>18.5</v>
      </c>
      <c r="B39" s="8">
        <v>37</v>
      </c>
      <c r="D39">
        <v>3390.1257961782999</v>
      </c>
      <c r="E39">
        <v>1261.9323248408</v>
      </c>
      <c r="F39">
        <v>141.84504792332001</v>
      </c>
      <c r="G39">
        <v>117.11102236422001</v>
      </c>
      <c r="I39" s="9">
        <f t="shared" si="1"/>
        <v>1144.8213024765801</v>
      </c>
      <c r="J39" s="9">
        <f t="shared" si="2"/>
        <v>3248.2807482549797</v>
      </c>
      <c r="K39" s="9">
        <f t="shared" si="3"/>
        <v>1144.8213024765801</v>
      </c>
      <c r="L39" s="10">
        <f t="shared" si="0"/>
        <v>0.35243914895336359</v>
      </c>
      <c r="M39" s="10">
        <f t="shared" si="4"/>
        <v>0.36402196353801497</v>
      </c>
      <c r="P39" s="8">
        <f t="shared" si="5"/>
        <v>3.8087869157201428</v>
      </c>
    </row>
    <row r="40" spans="1:16" x14ac:dyDescent="0.2">
      <c r="A40" s="8">
        <v>19</v>
      </c>
      <c r="B40" s="8">
        <v>38</v>
      </c>
      <c r="D40">
        <v>3382.8837579617998</v>
      </c>
      <c r="E40">
        <v>1260.2229299363</v>
      </c>
      <c r="F40">
        <v>141.60623003194999</v>
      </c>
      <c r="G40">
        <v>116.89696485623</v>
      </c>
      <c r="I40" s="9">
        <f t="shared" si="1"/>
        <v>1143.3259650800701</v>
      </c>
      <c r="J40" s="9">
        <f t="shared" si="2"/>
        <v>3241.2775279298498</v>
      </c>
      <c r="K40" s="9">
        <f t="shared" si="3"/>
        <v>1143.3259650800701</v>
      </c>
      <c r="L40" s="10">
        <f t="shared" si="0"/>
        <v>0.35273929962124945</v>
      </c>
      <c r="M40" s="10">
        <f t="shared" si="4"/>
        <v>0.36463516324872924</v>
      </c>
      <c r="P40" s="8">
        <f t="shared" si="5"/>
        <v>3.9836541613325687</v>
      </c>
    </row>
    <row r="41" spans="1:16" x14ac:dyDescent="0.2">
      <c r="A41" s="8">
        <v>19.5</v>
      </c>
      <c r="B41" s="8">
        <v>39</v>
      </c>
      <c r="D41">
        <v>3243.3304140127002</v>
      </c>
      <c r="E41">
        <v>1211.2746815287001</v>
      </c>
      <c r="F41">
        <v>140.98881789136999</v>
      </c>
      <c r="G41">
        <v>117.303514377</v>
      </c>
      <c r="I41" s="9">
        <f t="shared" si="1"/>
        <v>1093.9711671517</v>
      </c>
      <c r="J41" s="9">
        <f t="shared" si="2"/>
        <v>3102.3415961213304</v>
      </c>
      <c r="K41" s="9">
        <f t="shared" si="3"/>
        <v>1093.9711671517</v>
      </c>
      <c r="L41" s="10">
        <f t="shared" si="0"/>
        <v>0.35262756639031168</v>
      </c>
      <c r="M41" s="10">
        <f t="shared" si="4"/>
        <v>0.36483647906061989</v>
      </c>
      <c r="P41" s="8">
        <f t="shared" si="5"/>
        <v>4.0410637473262412</v>
      </c>
    </row>
    <row r="42" spans="1:16" x14ac:dyDescent="0.2">
      <c r="A42" s="8">
        <v>20</v>
      </c>
      <c r="B42" s="8">
        <v>40</v>
      </c>
      <c r="D42">
        <v>3299.7587579617998</v>
      </c>
      <c r="E42">
        <v>1230.2683121018999</v>
      </c>
      <c r="F42">
        <v>141.43530351438</v>
      </c>
      <c r="G42">
        <v>117.03594249200999</v>
      </c>
      <c r="I42" s="9">
        <f t="shared" si="1"/>
        <v>1113.2323696098899</v>
      </c>
      <c r="J42" s="9">
        <f t="shared" si="2"/>
        <v>3158.3234544474199</v>
      </c>
      <c r="K42" s="9">
        <f t="shared" si="3"/>
        <v>1113.2323696098899</v>
      </c>
      <c r="L42" s="10">
        <f t="shared" si="0"/>
        <v>0.35247573140182409</v>
      </c>
      <c r="M42" s="10">
        <f t="shared" si="4"/>
        <v>0.36499769311496072</v>
      </c>
      <c r="P42" s="8">
        <f t="shared" si="5"/>
        <v>4.0870374442214255</v>
      </c>
    </row>
    <row r="43" spans="1:16" x14ac:dyDescent="0.2">
      <c r="A43" s="8">
        <v>20.5</v>
      </c>
      <c r="B43" s="8">
        <v>41</v>
      </c>
      <c r="D43">
        <v>3266.1552547770998</v>
      </c>
      <c r="E43">
        <v>1211.0358280255</v>
      </c>
      <c r="F43">
        <v>141.71805111821001</v>
      </c>
      <c r="G43">
        <v>117.07028753994</v>
      </c>
      <c r="I43" s="9">
        <f t="shared" si="1"/>
        <v>1093.96554048556</v>
      </c>
      <c r="J43" s="9">
        <f t="shared" si="2"/>
        <v>3124.4372036588898</v>
      </c>
      <c r="K43" s="9">
        <f t="shared" si="3"/>
        <v>1093.96554048556</v>
      </c>
      <c r="L43" s="10">
        <f t="shared" si="0"/>
        <v>0.35013202992349007</v>
      </c>
      <c r="M43" s="10">
        <f t="shared" si="4"/>
        <v>0.36296704067945512</v>
      </c>
      <c r="P43" s="8">
        <f t="shared" si="5"/>
        <v>3.5079526990909993</v>
      </c>
    </row>
    <row r="44" spans="1:16" x14ac:dyDescent="0.2">
      <c r="A44" s="8">
        <v>21</v>
      </c>
      <c r="B44" s="8">
        <v>42</v>
      </c>
      <c r="D44">
        <v>3146.7651273884999</v>
      </c>
      <c r="E44">
        <v>1170.6894904459</v>
      </c>
      <c r="F44">
        <v>141.41214057508</v>
      </c>
      <c r="G44">
        <v>117.07587859425</v>
      </c>
      <c r="I44" s="9">
        <f t="shared" si="1"/>
        <v>1053.6136118516499</v>
      </c>
      <c r="J44" s="9">
        <f t="shared" si="2"/>
        <v>3005.3529868134201</v>
      </c>
      <c r="K44" s="9">
        <f t="shared" si="3"/>
        <v>1053.6136118516499</v>
      </c>
      <c r="L44" s="10">
        <f t="shared" si="0"/>
        <v>0.35057898904873663</v>
      </c>
      <c r="M44" s="10">
        <f t="shared" si="4"/>
        <v>0.3637270488475301</v>
      </c>
      <c r="P44" s="8">
        <f t="shared" si="5"/>
        <v>3.7246855720393728</v>
      </c>
    </row>
    <row r="45" spans="1:16" x14ac:dyDescent="0.2">
      <c r="A45" s="8">
        <v>21.5</v>
      </c>
      <c r="B45" s="8">
        <v>43</v>
      </c>
      <c r="D45">
        <v>3140.4164012739002</v>
      </c>
      <c r="E45">
        <v>1172.3399681528999</v>
      </c>
      <c r="F45">
        <v>142.20846645367001</v>
      </c>
      <c r="G45">
        <v>116.85623003195001</v>
      </c>
      <c r="I45" s="9">
        <f t="shared" si="1"/>
        <v>1055.48373812095</v>
      </c>
      <c r="J45" s="9">
        <f t="shared" si="2"/>
        <v>2998.2079348202301</v>
      </c>
      <c r="K45" s="9">
        <f t="shared" si="3"/>
        <v>1055.48373812095</v>
      </c>
      <c r="L45" s="10">
        <f t="shared" si="0"/>
        <v>0.3520382045097335</v>
      </c>
      <c r="M45" s="10">
        <f t="shared" si="4"/>
        <v>0.36549931335135538</v>
      </c>
      <c r="P45" s="8">
        <f t="shared" si="5"/>
        <v>4.2300853738749025</v>
      </c>
    </row>
    <row r="46" spans="1:16" x14ac:dyDescent="0.2">
      <c r="A46" s="8">
        <v>22</v>
      </c>
      <c r="B46" s="8">
        <v>44</v>
      </c>
      <c r="D46">
        <v>2913.5358280255</v>
      </c>
      <c r="E46">
        <v>1081.0557324841</v>
      </c>
      <c r="F46">
        <v>141.66533546325999</v>
      </c>
      <c r="G46">
        <v>116.78833865815</v>
      </c>
      <c r="I46" s="9">
        <f t="shared" si="1"/>
        <v>964.26739382594997</v>
      </c>
      <c r="J46" s="9">
        <f t="shared" si="2"/>
        <v>2771.8704925622401</v>
      </c>
      <c r="K46" s="9">
        <f t="shared" si="3"/>
        <v>964.26739382594997</v>
      </c>
      <c r="L46" s="10">
        <f t="shared" si="0"/>
        <v>0.3478760629017007</v>
      </c>
      <c r="M46" s="10">
        <f t="shared" si="4"/>
        <v>0.361650220786151</v>
      </c>
      <c r="P46" s="8">
        <f t="shared" si="5"/>
        <v>3.1324328420422813</v>
      </c>
    </row>
    <row r="47" spans="1:16" x14ac:dyDescent="0.2">
      <c r="A47" s="8">
        <v>22.5</v>
      </c>
      <c r="B47" s="8">
        <v>45</v>
      </c>
      <c r="D47">
        <v>3022.0488782051002</v>
      </c>
      <c r="E47">
        <v>1122.1314102563999</v>
      </c>
      <c r="F47">
        <v>141.94009584665</v>
      </c>
      <c r="G47">
        <v>117.3338658147</v>
      </c>
      <c r="I47" s="9">
        <f t="shared" si="1"/>
        <v>1004.7975444417</v>
      </c>
      <c r="J47" s="9">
        <f t="shared" si="2"/>
        <v>2880.1087823584503</v>
      </c>
      <c r="K47" s="9">
        <f t="shared" si="3"/>
        <v>1004.7975444417</v>
      </c>
      <c r="L47" s="10">
        <f t="shared" si="0"/>
        <v>0.34887485868464174</v>
      </c>
      <c r="M47" s="10">
        <f t="shared" si="4"/>
        <v>0.36296206561192046</v>
      </c>
      <c r="P47" s="8">
        <f t="shared" si="5"/>
        <v>3.5065339502864559</v>
      </c>
    </row>
    <row r="48" spans="1:16" x14ac:dyDescent="0.2">
      <c r="A48" s="8">
        <v>23</v>
      </c>
      <c r="B48" s="8">
        <v>46</v>
      </c>
      <c r="D48">
        <v>3095.3533653845998</v>
      </c>
      <c r="E48">
        <v>1148.1418269231001</v>
      </c>
      <c r="F48">
        <v>141.57428115016</v>
      </c>
      <c r="G48">
        <v>117.28274760383</v>
      </c>
      <c r="I48" s="9">
        <f t="shared" si="1"/>
        <v>1030.85907931927</v>
      </c>
      <c r="J48" s="9">
        <f t="shared" si="2"/>
        <v>2953.7790842344398</v>
      </c>
      <c r="K48" s="9">
        <f t="shared" si="3"/>
        <v>1030.85907931927</v>
      </c>
      <c r="L48" s="10">
        <f t="shared" si="0"/>
        <v>0.34899667508020421</v>
      </c>
      <c r="M48" s="10">
        <f t="shared" si="4"/>
        <v>0.36339693105031134</v>
      </c>
      <c r="P48" s="8">
        <f t="shared" si="5"/>
        <v>3.6305452961738762</v>
      </c>
    </row>
    <row r="49" spans="1:25" x14ac:dyDescent="0.2">
      <c r="A49" s="8">
        <v>23.5</v>
      </c>
      <c r="B49" s="8">
        <v>47</v>
      </c>
      <c r="D49">
        <v>3212.6049679487001</v>
      </c>
      <c r="E49">
        <v>1198.3365384614999</v>
      </c>
      <c r="F49">
        <v>141.27396166134</v>
      </c>
      <c r="G49">
        <v>117.11741214058</v>
      </c>
      <c r="I49" s="9">
        <f t="shared" si="1"/>
        <v>1081.2191263209199</v>
      </c>
      <c r="J49" s="9">
        <f t="shared" si="2"/>
        <v>3071.3310062873602</v>
      </c>
      <c r="K49" s="9">
        <f t="shared" si="3"/>
        <v>1081.2191263209199</v>
      </c>
      <c r="L49" s="10">
        <f t="shared" si="0"/>
        <v>0.35203601438840121</v>
      </c>
      <c r="M49" s="10">
        <f t="shared" si="4"/>
        <v>0.36674931940133676</v>
      </c>
      <c r="P49" s="8">
        <f t="shared" si="5"/>
        <v>4.5865518090995643</v>
      </c>
    </row>
    <row r="50" spans="1:25" x14ac:dyDescent="0.2">
      <c r="A50" s="8">
        <v>24</v>
      </c>
      <c r="B50" s="8">
        <v>48</v>
      </c>
      <c r="D50">
        <v>3224.0761217948998</v>
      </c>
      <c r="E50">
        <v>1213.1538461539001</v>
      </c>
      <c r="F50">
        <v>141.74041533546</v>
      </c>
      <c r="G50">
        <v>116.99920127796</v>
      </c>
      <c r="I50" s="9">
        <f t="shared" si="1"/>
        <v>1096.15464487594</v>
      </c>
      <c r="J50" s="9">
        <f t="shared" si="2"/>
        <v>3082.3357064594397</v>
      </c>
      <c r="K50" s="9">
        <f t="shared" si="3"/>
        <v>1096.15464487594</v>
      </c>
      <c r="L50" s="10">
        <f t="shared" si="0"/>
        <v>0.35562467857696478</v>
      </c>
      <c r="M50" s="10">
        <f t="shared" si="4"/>
        <v>0.37065103263272875</v>
      </c>
      <c r="P50" s="8">
        <f t="shared" si="5"/>
        <v>5.6992102693397504</v>
      </c>
    </row>
    <row r="51" spans="1:25" x14ac:dyDescent="0.2">
      <c r="A51" s="8">
        <v>24.5</v>
      </c>
      <c r="B51" s="8">
        <v>49</v>
      </c>
      <c r="D51">
        <v>3306.2489927478</v>
      </c>
      <c r="E51">
        <v>1238.7099113618001</v>
      </c>
      <c r="F51">
        <v>141.89936102236001</v>
      </c>
      <c r="G51">
        <v>117.18530351438</v>
      </c>
      <c r="I51" s="9">
        <f t="shared" si="1"/>
        <v>1121.5246078474202</v>
      </c>
      <c r="J51" s="9">
        <f t="shared" si="2"/>
        <v>3164.3496317254398</v>
      </c>
      <c r="K51" s="9">
        <f t="shared" si="3"/>
        <v>1121.5246078474202</v>
      </c>
      <c r="L51" s="10">
        <f t="shared" si="0"/>
        <v>0.35442499672069461</v>
      </c>
      <c r="M51" s="10">
        <f t="shared" si="4"/>
        <v>0.36976439981928699</v>
      </c>
      <c r="P51" s="8">
        <f t="shared" si="5"/>
        <v>5.4463676224057584</v>
      </c>
    </row>
    <row r="52" spans="1:25" x14ac:dyDescent="0.2">
      <c r="A52" s="8">
        <v>25</v>
      </c>
      <c r="B52" s="8">
        <v>50</v>
      </c>
      <c r="D52">
        <v>3299.4093473006001</v>
      </c>
      <c r="E52">
        <v>1227.8952457695</v>
      </c>
      <c r="F52">
        <v>141.70686900959001</v>
      </c>
      <c r="G52">
        <v>117.21086261981</v>
      </c>
      <c r="I52" s="9">
        <f t="shared" si="1"/>
        <v>1110.6843831496899</v>
      </c>
      <c r="J52" s="9">
        <f t="shared" si="2"/>
        <v>3157.7024782910103</v>
      </c>
      <c r="K52" s="9">
        <f t="shared" si="3"/>
        <v>1110.6843831496899</v>
      </c>
      <c r="L52" s="10">
        <f t="shared" si="0"/>
        <v>0.35173813580778096</v>
      </c>
      <c r="M52" s="10">
        <f t="shared" si="4"/>
        <v>0.36739058794920176</v>
      </c>
      <c r="P52" s="8">
        <f t="shared" si="5"/>
        <v>4.7694234946266363</v>
      </c>
    </row>
    <row r="53" spans="1:25" x14ac:dyDescent="0.2">
      <c r="A53" s="8">
        <v>25.5</v>
      </c>
      <c r="B53" s="8">
        <v>51</v>
      </c>
      <c r="D53">
        <v>3258.1232876712002</v>
      </c>
      <c r="E53">
        <v>1214.8718775181001</v>
      </c>
      <c r="F53">
        <v>141.86421725240001</v>
      </c>
      <c r="G53">
        <v>117.23881789137</v>
      </c>
      <c r="I53" s="9">
        <f t="shared" si="1"/>
        <v>1097.6330596267301</v>
      </c>
      <c r="J53" s="9">
        <f t="shared" si="2"/>
        <v>3116.2590704188001</v>
      </c>
      <c r="K53" s="9">
        <f t="shared" si="3"/>
        <v>1097.6330596267301</v>
      </c>
      <c r="L53" s="10">
        <f t="shared" si="0"/>
        <v>0.35222779455214454</v>
      </c>
      <c r="M53" s="10">
        <f t="shared" si="4"/>
        <v>0.36819329573639376</v>
      </c>
      <c r="P53" s="8">
        <f t="shared" si="5"/>
        <v>4.9983330934495136</v>
      </c>
      <c r="S53" s="11"/>
      <c r="U53" s="12"/>
    </row>
    <row r="54" spans="1:25" x14ac:dyDescent="0.2">
      <c r="A54" s="8">
        <v>26</v>
      </c>
      <c r="B54" s="8">
        <v>52</v>
      </c>
      <c r="D54">
        <v>3293.9363416599999</v>
      </c>
      <c r="E54">
        <v>1229.7639000806</v>
      </c>
      <c r="F54">
        <v>141.35303514377</v>
      </c>
      <c r="G54">
        <v>117.23482428115</v>
      </c>
      <c r="I54" s="9">
        <f t="shared" si="1"/>
        <v>1112.5290757994501</v>
      </c>
      <c r="J54" s="9">
        <f t="shared" si="2"/>
        <v>3152.5833065162301</v>
      </c>
      <c r="K54" s="9">
        <f t="shared" si="3"/>
        <v>1112.5290757994501</v>
      </c>
      <c r="L54" s="10">
        <f t="shared" si="0"/>
        <v>0.35289442581894942</v>
      </c>
      <c r="M54" s="10">
        <f t="shared" si="4"/>
        <v>0.36917297604602706</v>
      </c>
      <c r="P54" s="8">
        <f t="shared" si="5"/>
        <v>5.2777102593760121</v>
      </c>
      <c r="S54" s="11"/>
    </row>
    <row r="55" spans="1:25" x14ac:dyDescent="0.2">
      <c r="A55" s="8">
        <v>26.5</v>
      </c>
      <c r="B55" s="8">
        <v>53</v>
      </c>
      <c r="D55">
        <v>3314.8428686543002</v>
      </c>
      <c r="E55">
        <v>1235.7937147462001</v>
      </c>
      <c r="F55">
        <v>141.01996805112</v>
      </c>
      <c r="G55">
        <v>117.22683706070001</v>
      </c>
      <c r="I55" s="9">
        <f t="shared" si="1"/>
        <v>1118.5668776855</v>
      </c>
      <c r="J55" s="9">
        <f t="shared" si="2"/>
        <v>3173.8229006031802</v>
      </c>
      <c r="K55" s="9">
        <f t="shared" si="3"/>
        <v>1118.5668776855</v>
      </c>
      <c r="L55" s="10">
        <f t="shared" si="0"/>
        <v>0.35243519021584918</v>
      </c>
      <c r="M55" s="10">
        <f t="shared" si="4"/>
        <v>0.36902678948575518</v>
      </c>
      <c r="P55" s="8">
        <f t="shared" si="5"/>
        <v>5.236021979532369</v>
      </c>
      <c r="S55" s="11"/>
    </row>
    <row r="56" spans="1:25" x14ac:dyDescent="0.2">
      <c r="A56" s="8">
        <v>27</v>
      </c>
      <c r="B56" s="8">
        <v>54</v>
      </c>
      <c r="D56">
        <v>3264.3650282030999</v>
      </c>
      <c r="E56">
        <v>1198.0692989525</v>
      </c>
      <c r="F56">
        <v>141.04153354632999</v>
      </c>
      <c r="G56">
        <v>117.01837060702999</v>
      </c>
      <c r="I56" s="9">
        <f t="shared" si="1"/>
        <v>1081.0509283454701</v>
      </c>
      <c r="J56" s="9">
        <f t="shared" si="2"/>
        <v>3123.32349465677</v>
      </c>
      <c r="K56" s="9">
        <f t="shared" si="3"/>
        <v>1081.0509283454701</v>
      </c>
      <c r="L56" s="10">
        <f t="shared" si="0"/>
        <v>0.34612198518497345</v>
      </c>
      <c r="M56" s="10">
        <f t="shared" si="4"/>
        <v>0.36302663349770792</v>
      </c>
      <c r="P56" s="8">
        <f t="shared" si="5"/>
        <v>3.5249468884294282</v>
      </c>
      <c r="S56" s="11"/>
    </row>
    <row r="57" spans="1:25" x14ac:dyDescent="0.2">
      <c r="A57" s="8">
        <v>27.5</v>
      </c>
      <c r="B57" s="8">
        <v>55</v>
      </c>
      <c r="D57">
        <v>3248.2271268057998</v>
      </c>
      <c r="E57">
        <v>1213.4149277689</v>
      </c>
      <c r="F57">
        <v>141.99520766773</v>
      </c>
      <c r="G57">
        <v>117.19728434504999</v>
      </c>
      <c r="I57" s="9">
        <f t="shared" si="1"/>
        <v>1096.2176434238499</v>
      </c>
      <c r="J57" s="9">
        <f t="shared" si="2"/>
        <v>3106.2319191380698</v>
      </c>
      <c r="K57" s="9">
        <f t="shared" si="3"/>
        <v>1096.2176434238499</v>
      </c>
      <c r="L57" s="10">
        <f t="shared" si="0"/>
        <v>0.35290914263994588</v>
      </c>
      <c r="M57" s="10">
        <f t="shared" si="4"/>
        <v>0.37012683999550872</v>
      </c>
      <c r="P57" s="8">
        <f t="shared" si="5"/>
        <v>5.5497253282359669</v>
      </c>
      <c r="S57" s="11"/>
    </row>
    <row r="58" spans="1:25" x14ac:dyDescent="0.2">
      <c r="A58" s="8">
        <v>28</v>
      </c>
      <c r="B58" s="8">
        <v>56</v>
      </c>
      <c r="D58">
        <v>3143.4333868378999</v>
      </c>
      <c r="E58">
        <v>1180.7608346710001</v>
      </c>
      <c r="F58">
        <v>141.45686900959001</v>
      </c>
      <c r="G58">
        <v>116.75</v>
      </c>
      <c r="I58" s="9">
        <f t="shared" si="1"/>
        <v>1064.0108346710001</v>
      </c>
      <c r="J58" s="9">
        <f t="shared" si="2"/>
        <v>3001.9765178283101</v>
      </c>
      <c r="K58" s="9">
        <f t="shared" si="3"/>
        <v>1064.0108346710001</v>
      </c>
      <c r="L58" s="10">
        <f t="shared" si="0"/>
        <v>0.35443676136438496</v>
      </c>
      <c r="M58" s="10">
        <f t="shared" si="4"/>
        <v>0.37196750776277621</v>
      </c>
      <c r="P58" s="8">
        <f t="shared" si="5"/>
        <v>6.0746318096410397</v>
      </c>
      <c r="S58" s="11"/>
    </row>
    <row r="59" spans="1:25" x14ac:dyDescent="0.2">
      <c r="A59" s="8">
        <v>28.5</v>
      </c>
      <c r="B59" s="8">
        <v>57</v>
      </c>
      <c r="D59">
        <v>3200.6789727127002</v>
      </c>
      <c r="E59">
        <v>1202.8218298555</v>
      </c>
      <c r="F59">
        <v>142.053514377</v>
      </c>
      <c r="G59">
        <v>117.30191693291</v>
      </c>
      <c r="I59" s="9">
        <f t="shared" si="1"/>
        <v>1085.51991292259</v>
      </c>
      <c r="J59" s="9">
        <f t="shared" si="2"/>
        <v>3058.6254583357004</v>
      </c>
      <c r="K59" s="9">
        <f t="shared" si="3"/>
        <v>1085.51991292259</v>
      </c>
      <c r="L59" s="10">
        <f t="shared" si="0"/>
        <v>0.35490449148136544</v>
      </c>
      <c r="M59" s="10">
        <f t="shared" si="4"/>
        <v>0.3727482869225851</v>
      </c>
      <c r="P59" s="8">
        <f t="shared" si="5"/>
        <v>6.2972879830243054</v>
      </c>
      <c r="R59" s="1"/>
      <c r="S59" s="11"/>
    </row>
    <row r="60" spans="1:25" x14ac:dyDescent="0.2">
      <c r="A60" s="8">
        <v>29</v>
      </c>
      <c r="B60" s="8">
        <v>58</v>
      </c>
      <c r="D60">
        <v>3188.0995184591002</v>
      </c>
      <c r="E60">
        <v>1191.4630818620001</v>
      </c>
      <c r="F60">
        <v>141.64376996805001</v>
      </c>
      <c r="G60">
        <v>116.93130990415</v>
      </c>
      <c r="I60" s="9">
        <f t="shared" si="1"/>
        <v>1074.5317719578502</v>
      </c>
      <c r="J60" s="9">
        <f t="shared" si="2"/>
        <v>3046.4557484910501</v>
      </c>
      <c r="K60" s="9">
        <f t="shared" si="3"/>
        <v>1074.5317719578502</v>
      </c>
      <c r="L60" s="10">
        <f t="shared" si="0"/>
        <v>0.35271537178574808</v>
      </c>
      <c r="M60" s="10">
        <f t="shared" si="4"/>
        <v>0.37087221626979616</v>
      </c>
      <c r="P60" s="8">
        <f t="shared" si="5"/>
        <v>5.7622855981644552</v>
      </c>
      <c r="S60" s="11"/>
    </row>
    <row r="61" spans="1:25" x14ac:dyDescent="0.2">
      <c r="A61" s="8">
        <v>29.5</v>
      </c>
      <c r="B61" s="8">
        <v>59</v>
      </c>
      <c r="C61" s="2"/>
      <c r="D61">
        <v>3197.2054574639001</v>
      </c>
      <c r="E61">
        <v>1179.7865168538999</v>
      </c>
      <c r="F61">
        <v>141.67172523962</v>
      </c>
      <c r="G61">
        <v>117.15734824281</v>
      </c>
      <c r="I61" s="9">
        <f t="shared" si="1"/>
        <v>1062.6291686110899</v>
      </c>
      <c r="J61" s="9">
        <f t="shared" si="2"/>
        <v>3055.5337322242799</v>
      </c>
      <c r="K61" s="9">
        <f t="shared" si="3"/>
        <v>1062.6291686110899</v>
      </c>
      <c r="L61" s="10">
        <f t="shared" si="0"/>
        <v>0.34777202994173706</v>
      </c>
      <c r="M61" s="10">
        <f t="shared" si="4"/>
        <v>0.36624192346861356</v>
      </c>
      <c r="P61" s="8">
        <f t="shared" si="5"/>
        <v>4.4418568139129206</v>
      </c>
      <c r="S61" s="11"/>
    </row>
    <row r="62" spans="1:25" x14ac:dyDescent="0.2">
      <c r="A62" s="8">
        <v>30</v>
      </c>
      <c r="B62" s="8">
        <v>60</v>
      </c>
      <c r="D62">
        <v>3282.7135961384001</v>
      </c>
      <c r="E62">
        <v>1201.9179404665999</v>
      </c>
      <c r="F62">
        <v>141.64376996805001</v>
      </c>
      <c r="G62">
        <v>116.95846645367</v>
      </c>
      <c r="I62" s="9">
        <f t="shared" si="1"/>
        <v>1084.9594740129298</v>
      </c>
      <c r="J62" s="9">
        <f t="shared" si="2"/>
        <v>3141.0698261703501</v>
      </c>
      <c r="K62" s="9">
        <f t="shared" si="3"/>
        <v>1084.9594740129298</v>
      </c>
      <c r="L62" s="10">
        <f t="shared" si="0"/>
        <v>0.34541081034665577</v>
      </c>
      <c r="M62" s="10">
        <f t="shared" si="4"/>
        <v>0.36419375291636069</v>
      </c>
      <c r="P62" s="8">
        <f t="shared" si="5"/>
        <v>3.8577763964584739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3352.3893805309999</v>
      </c>
      <c r="E63">
        <v>1219.2864038616001</v>
      </c>
      <c r="F63">
        <v>142.21884984025999</v>
      </c>
      <c r="G63">
        <v>117.17092651757</v>
      </c>
      <c r="I63" s="9">
        <f t="shared" si="1"/>
        <v>1102.1154773440301</v>
      </c>
      <c r="J63" s="9">
        <f t="shared" si="2"/>
        <v>3210.1705306907397</v>
      </c>
      <c r="K63" s="9">
        <f t="shared" si="3"/>
        <v>1102.1154773440301</v>
      </c>
      <c r="L63" s="10">
        <f t="shared" si="0"/>
        <v>0.34331991612510548</v>
      </c>
      <c r="M63" s="10">
        <f t="shared" si="4"/>
        <v>0.36241590773763882</v>
      </c>
      <c r="P63" s="8">
        <f t="shared" si="5"/>
        <v>3.3507851436963159</v>
      </c>
    </row>
    <row r="64" spans="1:25" x14ac:dyDescent="0.2">
      <c r="A64" s="8">
        <v>31</v>
      </c>
      <c r="B64" s="8">
        <v>62</v>
      </c>
      <c r="D64">
        <v>3448.0072289157001</v>
      </c>
      <c r="E64">
        <v>1237.7389558233001</v>
      </c>
      <c r="F64">
        <v>141.79153354632999</v>
      </c>
      <c r="G64">
        <v>117.20607028754</v>
      </c>
      <c r="I64" s="9">
        <f t="shared" si="1"/>
        <v>1120.5328855357602</v>
      </c>
      <c r="J64" s="9">
        <f t="shared" si="2"/>
        <v>3306.2156953693702</v>
      </c>
      <c r="K64" s="9">
        <f t="shared" si="3"/>
        <v>1120.5328855357602</v>
      </c>
      <c r="L64" s="10">
        <f t="shared" si="0"/>
        <v>0.33891705465712946</v>
      </c>
      <c r="M64" s="10">
        <f t="shared" si="4"/>
        <v>0.35832609531249121</v>
      </c>
      <c r="P64" s="8">
        <f t="shared" si="5"/>
        <v>2.1844861038223766</v>
      </c>
      <c r="U64" s="8">
        <v>30.5</v>
      </c>
      <c r="V64" s="10">
        <f>L62</f>
        <v>0.34541081034665577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3455.6738437002</v>
      </c>
      <c r="E65">
        <v>1221.6594896332001</v>
      </c>
      <c r="F65">
        <v>141.66214057508</v>
      </c>
      <c r="G65">
        <v>117.12939297125</v>
      </c>
      <c r="I65" s="9">
        <f t="shared" si="1"/>
        <v>1104.5300966619502</v>
      </c>
      <c r="J65" s="9">
        <f t="shared" si="2"/>
        <v>3314.0117031251202</v>
      </c>
      <c r="K65" s="9">
        <f t="shared" si="3"/>
        <v>1104.5300966619502</v>
      </c>
      <c r="L65" s="10">
        <f t="shared" si="0"/>
        <v>0.33329094632356787</v>
      </c>
      <c r="M65" s="10">
        <f t="shared" si="4"/>
        <v>0.35301303602175804</v>
      </c>
      <c r="P65" s="8">
        <f t="shared" si="5"/>
        <v>0.66935159264690214</v>
      </c>
      <c r="U65" s="8">
        <v>31</v>
      </c>
      <c r="V65" s="10">
        <f t="shared" ref="V65:V83" si="6">L63</f>
        <v>0.34331991612510548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3449.1818181817998</v>
      </c>
      <c r="E66">
        <v>1206.6985645933</v>
      </c>
      <c r="F66">
        <v>141.27955271566</v>
      </c>
      <c r="G66">
        <v>117.07348242812</v>
      </c>
      <c r="I66" s="9">
        <f t="shared" si="1"/>
        <v>1089.6250821651799</v>
      </c>
      <c r="J66" s="9">
        <f t="shared" si="2"/>
        <v>3307.9022654661399</v>
      </c>
      <c r="K66" s="9">
        <f t="shared" si="3"/>
        <v>1089.6250821651799</v>
      </c>
      <c r="L66" s="10">
        <f t="shared" ref="L66:L129" si="7">K66/J66</f>
        <v>0.32940062756407745</v>
      </c>
      <c r="M66" s="10">
        <f t="shared" si="4"/>
        <v>0.34943576630509604</v>
      </c>
      <c r="P66" s="8">
        <f t="shared" si="5"/>
        <v>-0.35078473689697126</v>
      </c>
      <c r="U66" s="8">
        <v>31.5</v>
      </c>
      <c r="V66" s="10">
        <f t="shared" si="6"/>
        <v>0.33891705465712946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3541.4199203187</v>
      </c>
      <c r="E67">
        <v>1240.6996015935999</v>
      </c>
      <c r="F67">
        <v>141.9552715655</v>
      </c>
      <c r="G67">
        <v>117.5159744409</v>
      </c>
      <c r="I67" s="9">
        <f t="shared" ref="I67:I130" si="8">E67-G67</f>
        <v>1123.1836271527</v>
      </c>
      <c r="J67" s="9">
        <f t="shared" ref="J67:J130" si="9">D67-F67</f>
        <v>3399.4646487532</v>
      </c>
      <c r="K67" s="9">
        <f t="shared" ref="K67:K130" si="10">I67*1</f>
        <v>1123.1836271527</v>
      </c>
      <c r="L67" s="10">
        <f t="shared" si="7"/>
        <v>0.33040014920132876</v>
      </c>
      <c r="M67" s="10">
        <f t="shared" ref="M67:M130" si="11">L67+ABS($N$2)*A67</f>
        <v>0.35074833698517577</v>
      </c>
      <c r="P67" s="8">
        <f t="shared" ref="P67:P130" si="12">(M67-$O$2)/$O$2*100</f>
        <v>2.3523364504138326E-2</v>
      </c>
      <c r="U67" s="8">
        <v>32</v>
      </c>
      <c r="V67" s="10">
        <f t="shared" si="6"/>
        <v>0.33329094632356787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3394.0446215139</v>
      </c>
      <c r="E68">
        <v>1191.5633466136001</v>
      </c>
      <c r="F68">
        <v>141.71725239617001</v>
      </c>
      <c r="G68">
        <v>116.82667731629</v>
      </c>
      <c r="I68" s="9">
        <f t="shared" si="8"/>
        <v>1074.7366692973101</v>
      </c>
      <c r="J68" s="9">
        <f t="shared" si="9"/>
        <v>3252.3273691177301</v>
      </c>
      <c r="K68" s="9">
        <f t="shared" si="10"/>
        <v>1074.7366692973101</v>
      </c>
      <c r="L68" s="10">
        <f t="shared" si="7"/>
        <v>0.33045156508609941</v>
      </c>
      <c r="M68" s="10">
        <f t="shared" si="11"/>
        <v>0.35111280191277483</v>
      </c>
      <c r="P68" s="8">
        <f t="shared" si="12"/>
        <v>0.12745847226428669</v>
      </c>
      <c r="U68" s="8">
        <v>32.5</v>
      </c>
      <c r="V68" s="10">
        <f t="shared" si="6"/>
        <v>0.32940062756407745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3252.7283653845998</v>
      </c>
      <c r="E69">
        <v>1139.8629807692</v>
      </c>
      <c r="F69">
        <v>142.01757188497999</v>
      </c>
      <c r="G69">
        <v>117.11341853035</v>
      </c>
      <c r="I69" s="9">
        <f t="shared" si="8"/>
        <v>1022.74956223885</v>
      </c>
      <c r="J69" s="9">
        <f t="shared" si="9"/>
        <v>3110.7107934996197</v>
      </c>
      <c r="K69" s="9">
        <f t="shared" si="10"/>
        <v>1022.74956223885</v>
      </c>
      <c r="L69" s="10">
        <f t="shared" si="7"/>
        <v>0.32878323641531254</v>
      </c>
      <c r="M69" s="10">
        <f t="shared" si="11"/>
        <v>0.34975752228481638</v>
      </c>
      <c r="P69" s="8">
        <f t="shared" si="12"/>
        <v>-0.25902901531079447</v>
      </c>
      <c r="U69" s="8">
        <v>33</v>
      </c>
      <c r="V69" s="10">
        <f t="shared" si="6"/>
        <v>0.33040014920132876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3233.5472</v>
      </c>
      <c r="E70">
        <v>1124.5952</v>
      </c>
      <c r="F70">
        <v>142.58546325879001</v>
      </c>
      <c r="G70">
        <v>117.28913738019</v>
      </c>
      <c r="I70" s="9">
        <f t="shared" si="8"/>
        <v>1007.3060626198099</v>
      </c>
      <c r="J70" s="9">
        <f t="shared" si="9"/>
        <v>3090.9617367412102</v>
      </c>
      <c r="K70" s="9">
        <f t="shared" si="10"/>
        <v>1007.3060626198099</v>
      </c>
      <c r="L70" s="10">
        <f t="shared" si="7"/>
        <v>0.32588758723419498</v>
      </c>
      <c r="M70" s="10">
        <f t="shared" si="11"/>
        <v>0.34717492214652723</v>
      </c>
      <c r="P70" s="8">
        <f t="shared" si="12"/>
        <v>-0.99551366266139363</v>
      </c>
      <c r="U70" s="8">
        <v>33.5</v>
      </c>
      <c r="V70" s="10">
        <f t="shared" si="6"/>
        <v>0.33045156508609941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3208.2271999999998</v>
      </c>
      <c r="E71">
        <v>1123.3535999999999</v>
      </c>
      <c r="F71">
        <v>142.196485623</v>
      </c>
      <c r="G71">
        <v>117.30990415335999</v>
      </c>
      <c r="I71" s="9">
        <f t="shared" si="8"/>
        <v>1006.0436958466399</v>
      </c>
      <c r="J71" s="9">
        <f t="shared" si="9"/>
        <v>3066.0307143769996</v>
      </c>
      <c r="K71" s="9">
        <f t="shared" si="10"/>
        <v>1006.0436958466399</v>
      </c>
      <c r="L71" s="10">
        <f t="shared" si="7"/>
        <v>0.32812577223351869</v>
      </c>
      <c r="M71" s="10">
        <f t="shared" si="11"/>
        <v>0.34972615618867936</v>
      </c>
      <c r="P71" s="8">
        <f t="shared" si="12"/>
        <v>-0.2679737403999603</v>
      </c>
      <c r="U71" s="8">
        <v>34</v>
      </c>
      <c r="V71" s="10">
        <f t="shared" si="6"/>
        <v>0.32878323641531254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3196.7384000000002</v>
      </c>
      <c r="E72">
        <v>1127.0719999999999</v>
      </c>
      <c r="F72">
        <v>141.86501597444001</v>
      </c>
      <c r="G72">
        <v>117.17012779552999</v>
      </c>
      <c r="I72" s="9">
        <f t="shared" si="8"/>
        <v>1009.9018722044699</v>
      </c>
      <c r="J72" s="9">
        <f t="shared" si="9"/>
        <v>3054.87338402556</v>
      </c>
      <c r="K72" s="9">
        <f t="shared" si="10"/>
        <v>1009.9018722044699</v>
      </c>
      <c r="L72" s="10">
        <f t="shared" si="7"/>
        <v>0.33058714560328895</v>
      </c>
      <c r="M72" s="10">
        <f t="shared" si="11"/>
        <v>0.35250057860127804</v>
      </c>
      <c r="P72" s="8">
        <f t="shared" si="12"/>
        <v>0.52321320404817928</v>
      </c>
      <c r="U72" s="8">
        <v>34.5</v>
      </c>
      <c r="V72" s="10">
        <f t="shared" si="6"/>
        <v>0.32588758723419498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3170.02</v>
      </c>
      <c r="E73">
        <v>1111.2328</v>
      </c>
      <c r="F73">
        <v>142.50559105431</v>
      </c>
      <c r="G73">
        <v>117.17332268371</v>
      </c>
      <c r="I73" s="9">
        <f t="shared" si="8"/>
        <v>994.05947731628999</v>
      </c>
      <c r="J73" s="9">
        <f t="shared" si="9"/>
        <v>3027.5144089456899</v>
      </c>
      <c r="K73" s="9">
        <f t="shared" si="10"/>
        <v>994.05947731628999</v>
      </c>
      <c r="L73" s="10">
        <f t="shared" si="7"/>
        <v>0.32834178241366785</v>
      </c>
      <c r="M73" s="10">
        <f t="shared" si="11"/>
        <v>0.35056826445448536</v>
      </c>
      <c r="P73" s="8">
        <f t="shared" si="12"/>
        <v>-2.7828237432548898E-2</v>
      </c>
      <c r="U73" s="8">
        <v>35</v>
      </c>
      <c r="V73" s="10">
        <f t="shared" si="6"/>
        <v>0.32812577223351869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3241.3285486443001</v>
      </c>
      <c r="E74">
        <v>1123.5326953747999</v>
      </c>
      <c r="F74">
        <v>141.53035143770001</v>
      </c>
      <c r="G74">
        <v>117.47923322683999</v>
      </c>
      <c r="I74" s="9">
        <f t="shared" si="8"/>
        <v>1006.0534621479599</v>
      </c>
      <c r="J74" s="9">
        <f t="shared" si="9"/>
        <v>3099.7981972066</v>
      </c>
      <c r="K74" s="9">
        <f t="shared" si="10"/>
        <v>1006.0534621479599</v>
      </c>
      <c r="L74" s="10">
        <f t="shared" si="7"/>
        <v>0.32455450263006491</v>
      </c>
      <c r="M74" s="10">
        <f t="shared" si="11"/>
        <v>0.34709403371371084</v>
      </c>
      <c r="P74" s="8">
        <f t="shared" si="12"/>
        <v>-1.0185807600545616</v>
      </c>
      <c r="U74" s="8">
        <v>35.5</v>
      </c>
      <c r="V74" s="10">
        <f t="shared" si="6"/>
        <v>0.33058714560328895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3252.2177033492999</v>
      </c>
      <c r="E75">
        <v>1130.2719298246</v>
      </c>
      <c r="F75">
        <v>142.62539936101999</v>
      </c>
      <c r="G75">
        <v>117.4089456869</v>
      </c>
      <c r="I75" s="9">
        <f t="shared" si="8"/>
        <v>1012.8629841377</v>
      </c>
      <c r="J75" s="9">
        <f t="shared" si="9"/>
        <v>3109.59230398828</v>
      </c>
      <c r="K75" s="9">
        <f t="shared" si="10"/>
        <v>1012.8629841377</v>
      </c>
      <c r="L75" s="10">
        <f t="shared" si="7"/>
        <v>0.32572211567369425</v>
      </c>
      <c r="M75" s="10">
        <f t="shared" si="11"/>
        <v>0.34857469580016859</v>
      </c>
      <c r="P75" s="8">
        <f t="shared" si="12"/>
        <v>-0.59633773511898869</v>
      </c>
      <c r="U75" s="8">
        <v>36</v>
      </c>
      <c r="V75" s="10">
        <f t="shared" si="6"/>
        <v>0.32834178241366785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3245.4074960128</v>
      </c>
      <c r="E76">
        <v>1123.7232854864001</v>
      </c>
      <c r="F76">
        <v>141.53274760382999</v>
      </c>
      <c r="G76">
        <v>117.27076677316001</v>
      </c>
      <c r="I76" s="9">
        <f t="shared" si="8"/>
        <v>1006.4525187132401</v>
      </c>
      <c r="J76" s="9">
        <f t="shared" si="9"/>
        <v>3103.8747484089699</v>
      </c>
      <c r="K76" s="9">
        <f t="shared" si="10"/>
        <v>1006.4525187132401</v>
      </c>
      <c r="L76" s="10">
        <f t="shared" si="7"/>
        <v>0.3242568081167394</v>
      </c>
      <c r="M76" s="10">
        <f t="shared" si="11"/>
        <v>0.34742243728604216</v>
      </c>
      <c r="P76" s="8">
        <f t="shared" si="12"/>
        <v>-0.92492933273088107</v>
      </c>
      <c r="U76" s="8">
        <v>36.5</v>
      </c>
      <c r="V76" s="10">
        <f t="shared" si="6"/>
        <v>0.32455450263006491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3200.7623604465998</v>
      </c>
      <c r="E77">
        <v>1104.4896331738</v>
      </c>
      <c r="F77">
        <v>142.39297124601001</v>
      </c>
      <c r="G77">
        <v>117.36341853035</v>
      </c>
      <c r="I77" s="9">
        <f t="shared" si="8"/>
        <v>987.12621464345</v>
      </c>
      <c r="J77" s="9">
        <f t="shared" si="9"/>
        <v>3058.3693892005899</v>
      </c>
      <c r="K77" s="9">
        <f t="shared" si="10"/>
        <v>987.12621464345</v>
      </c>
      <c r="L77" s="10">
        <f t="shared" si="7"/>
        <v>0.32276225956520882</v>
      </c>
      <c r="M77" s="10">
        <f t="shared" si="11"/>
        <v>0.34624093777734</v>
      </c>
      <c r="P77" s="8">
        <f t="shared" si="12"/>
        <v>-1.2618596364626307</v>
      </c>
      <c r="U77" s="8">
        <v>37</v>
      </c>
      <c r="V77" s="10">
        <f t="shared" si="6"/>
        <v>0.32572211567369425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3285.4274322168999</v>
      </c>
      <c r="E78">
        <v>1123.3588516745999</v>
      </c>
      <c r="F78">
        <v>141.89776357828001</v>
      </c>
      <c r="G78">
        <v>117.16932907348</v>
      </c>
      <c r="I78" s="9">
        <f t="shared" si="8"/>
        <v>1006.18952260112</v>
      </c>
      <c r="J78" s="9">
        <f t="shared" si="9"/>
        <v>3143.52966863862</v>
      </c>
      <c r="K78" s="9">
        <f t="shared" si="10"/>
        <v>1006.18952260112</v>
      </c>
      <c r="L78" s="10">
        <f t="shared" si="7"/>
        <v>0.32008271868382721</v>
      </c>
      <c r="M78" s="10">
        <f t="shared" si="11"/>
        <v>0.3438744459387868</v>
      </c>
      <c r="P78" s="8">
        <f t="shared" si="12"/>
        <v>-1.9367162979082937</v>
      </c>
      <c r="U78" s="8">
        <v>37.5</v>
      </c>
      <c r="V78" s="10">
        <f t="shared" si="6"/>
        <v>0.3242568081167394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3284.7838915471002</v>
      </c>
      <c r="E79">
        <v>1127.7336523126</v>
      </c>
      <c r="F79">
        <v>142.12460063898001</v>
      </c>
      <c r="G79">
        <v>117.5375399361</v>
      </c>
      <c r="I79" s="9">
        <f t="shared" si="8"/>
        <v>1010.1961123765001</v>
      </c>
      <c r="J79" s="9">
        <f t="shared" si="9"/>
        <v>3142.6592909081201</v>
      </c>
      <c r="K79" s="9">
        <f t="shared" si="10"/>
        <v>1010.1961123765001</v>
      </c>
      <c r="L79" s="10">
        <f t="shared" si="7"/>
        <v>0.32144627172886703</v>
      </c>
      <c r="M79" s="10">
        <f t="shared" si="11"/>
        <v>0.34555104802665504</v>
      </c>
      <c r="P79" s="8">
        <f t="shared" si="12"/>
        <v>-1.4585967163578526</v>
      </c>
      <c r="U79" s="8">
        <v>38</v>
      </c>
      <c r="V79" s="10">
        <f t="shared" si="6"/>
        <v>0.32276225956520882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3286.4728867623999</v>
      </c>
      <c r="E80">
        <v>1132.5933014354</v>
      </c>
      <c r="F80">
        <v>142.15335463259001</v>
      </c>
      <c r="G80">
        <v>117.27875399361</v>
      </c>
      <c r="I80" s="9">
        <f t="shared" si="8"/>
        <v>1015.31454744179</v>
      </c>
      <c r="J80" s="9">
        <f t="shared" si="9"/>
        <v>3144.3195321298099</v>
      </c>
      <c r="K80" s="9">
        <f t="shared" si="10"/>
        <v>1015.31454744179</v>
      </c>
      <c r="L80" s="10">
        <f t="shared" si="7"/>
        <v>0.32290437949035827</v>
      </c>
      <c r="M80" s="10">
        <f t="shared" si="11"/>
        <v>0.3473222048309747</v>
      </c>
      <c r="P80" s="8">
        <f t="shared" si="12"/>
        <v>-0.95351279914870057</v>
      </c>
      <c r="U80" s="8">
        <v>38.5</v>
      </c>
      <c r="V80" s="10">
        <f t="shared" si="6"/>
        <v>0.32008271868382721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3266.6586921849998</v>
      </c>
      <c r="E81">
        <v>1127.9848484849001</v>
      </c>
      <c r="F81">
        <v>142.61022364217001</v>
      </c>
      <c r="G81">
        <v>117.25159744409</v>
      </c>
      <c r="I81" s="9">
        <f t="shared" si="8"/>
        <v>1010.7332510408102</v>
      </c>
      <c r="J81" s="9">
        <f t="shared" si="9"/>
        <v>3124.0484685428301</v>
      </c>
      <c r="K81" s="9">
        <f t="shared" si="10"/>
        <v>1010.7332510408102</v>
      </c>
      <c r="L81" s="10">
        <f t="shared" si="7"/>
        <v>0.32353315296425378</v>
      </c>
      <c r="M81" s="10">
        <f t="shared" si="11"/>
        <v>0.34826402734769862</v>
      </c>
      <c r="P81" s="8">
        <f t="shared" si="12"/>
        <v>-0.6849316069569531</v>
      </c>
      <c r="U81" s="8">
        <v>39</v>
      </c>
      <c r="V81" s="10">
        <f t="shared" si="6"/>
        <v>0.32144627172886703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3142.663476874</v>
      </c>
      <c r="E82">
        <v>1083.2216905901</v>
      </c>
      <c r="F82">
        <v>142.30591054313001</v>
      </c>
      <c r="G82">
        <v>117.03354632588</v>
      </c>
      <c r="H82" s="13"/>
      <c r="I82" s="14">
        <f t="shared" si="8"/>
        <v>966.18814426422</v>
      </c>
      <c r="J82" s="14">
        <f t="shared" si="9"/>
        <v>3000.3575663308702</v>
      </c>
      <c r="K82" s="9">
        <f t="shared" si="10"/>
        <v>966.18814426422</v>
      </c>
      <c r="L82" s="15">
        <f t="shared" si="7"/>
        <v>0.32202433306833128</v>
      </c>
      <c r="M82" s="15">
        <f t="shared" si="11"/>
        <v>0.34706825649460454</v>
      </c>
      <c r="N82" s="13"/>
      <c r="O82" s="13"/>
      <c r="P82" s="13">
        <f t="shared" si="12"/>
        <v>-1.0259316952000055</v>
      </c>
      <c r="U82" s="8">
        <v>39.5</v>
      </c>
      <c r="V82" s="10">
        <f t="shared" si="6"/>
        <v>0.32290437949035827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3131.4298245614</v>
      </c>
      <c r="E83">
        <v>1082.6387559809</v>
      </c>
      <c r="F83">
        <v>142.12460063898001</v>
      </c>
      <c r="G83">
        <v>116.95047923323</v>
      </c>
      <c r="I83" s="9">
        <f t="shared" si="8"/>
        <v>965.68827674766999</v>
      </c>
      <c r="J83" s="9">
        <f t="shared" si="9"/>
        <v>2989.3052239224198</v>
      </c>
      <c r="K83" s="9">
        <f t="shared" si="10"/>
        <v>965.68827674766999</v>
      </c>
      <c r="L83" s="10">
        <f t="shared" si="7"/>
        <v>0.32304773330591552</v>
      </c>
      <c r="M83" s="10">
        <f t="shared" si="11"/>
        <v>0.3484047057750172</v>
      </c>
      <c r="P83" s="8">
        <f t="shared" si="12"/>
        <v>-0.64481409112572097</v>
      </c>
      <c r="U83" s="8">
        <v>40</v>
      </c>
      <c r="V83" s="10">
        <f t="shared" si="6"/>
        <v>0.32353315296425378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3216.2691377921001</v>
      </c>
      <c r="E84">
        <v>1111.3859790491999</v>
      </c>
      <c r="F84">
        <v>142.63099041533999</v>
      </c>
      <c r="G84">
        <v>117.30511182108999</v>
      </c>
      <c r="I84" s="9">
        <f t="shared" si="8"/>
        <v>994.08086722810992</v>
      </c>
      <c r="J84" s="9">
        <f t="shared" si="9"/>
        <v>3073.6381473767601</v>
      </c>
      <c r="K84" s="9">
        <f t="shared" si="10"/>
        <v>994.08086722810992</v>
      </c>
      <c r="L84" s="10">
        <f t="shared" si="7"/>
        <v>0.32342156739449707</v>
      </c>
      <c r="M84" s="10">
        <f t="shared" si="11"/>
        <v>0.34909158890642716</v>
      </c>
      <c r="P84" s="8">
        <f t="shared" si="12"/>
        <v>-0.44893441416470881</v>
      </c>
      <c r="U84" s="8">
        <v>150.5</v>
      </c>
      <c r="V84" s="10">
        <f>L302</f>
        <v>0.26093896145744844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3266.6349717969001</v>
      </c>
      <c r="E85">
        <v>1121.2747784045</v>
      </c>
      <c r="F85">
        <v>142.47444089456999</v>
      </c>
      <c r="G85">
        <v>117.30431309904</v>
      </c>
      <c r="I85" s="9">
        <f t="shared" si="8"/>
        <v>1003.97046530546</v>
      </c>
      <c r="J85" s="9">
        <f t="shared" si="9"/>
        <v>3124.1605309023303</v>
      </c>
      <c r="K85" s="9">
        <f t="shared" si="10"/>
        <v>1003.97046530546</v>
      </c>
      <c r="L85" s="10">
        <f t="shared" si="7"/>
        <v>0.3213568750308391</v>
      </c>
      <c r="M85" s="10">
        <f t="shared" si="11"/>
        <v>0.34733994558559761</v>
      </c>
      <c r="P85" s="8">
        <f t="shared" si="12"/>
        <v>-0.94845363678807237</v>
      </c>
      <c r="U85" s="8">
        <v>151</v>
      </c>
      <c r="V85" s="10">
        <f t="shared" ref="V85:V103" si="13">L303</f>
        <v>0.25520175672831447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3310.7493956487001</v>
      </c>
      <c r="E86">
        <v>1117.1055600321999</v>
      </c>
      <c r="F86">
        <v>142.55111821086001</v>
      </c>
      <c r="G86">
        <v>117.59345047923</v>
      </c>
      <c r="I86" s="9">
        <f t="shared" si="8"/>
        <v>999.51210955296995</v>
      </c>
      <c r="J86" s="9">
        <f t="shared" si="9"/>
        <v>3168.1982774378403</v>
      </c>
      <c r="K86" s="9">
        <f t="shared" si="10"/>
        <v>999.51210955296995</v>
      </c>
      <c r="L86" s="10">
        <f t="shared" si="7"/>
        <v>0.31548281452929999</v>
      </c>
      <c r="M86" s="10">
        <f t="shared" si="11"/>
        <v>0.34177893412688692</v>
      </c>
      <c r="P86" s="8">
        <f t="shared" si="12"/>
        <v>-2.5342971060733803</v>
      </c>
      <c r="U86" s="8">
        <v>151.5</v>
      </c>
      <c r="V86" s="10">
        <f t="shared" si="13"/>
        <v>0.25388994730533188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3316.2726537217</v>
      </c>
      <c r="E87">
        <v>1103.3333333333001</v>
      </c>
      <c r="F87">
        <v>142.46725239617001</v>
      </c>
      <c r="G87">
        <v>117.56230031949001</v>
      </c>
      <c r="I87" s="9">
        <f t="shared" si="8"/>
        <v>985.7710330138101</v>
      </c>
      <c r="J87" s="9">
        <f t="shared" si="9"/>
        <v>3173.8054013255301</v>
      </c>
      <c r="K87" s="9">
        <f t="shared" si="10"/>
        <v>985.7710330138101</v>
      </c>
      <c r="L87" s="10">
        <f t="shared" si="7"/>
        <v>0.31059592771570238</v>
      </c>
      <c r="M87" s="10">
        <f t="shared" si="11"/>
        <v>0.33720509635611773</v>
      </c>
      <c r="P87" s="8">
        <f t="shared" si="12"/>
        <v>-3.8386265094921055</v>
      </c>
      <c r="U87" s="8">
        <v>152</v>
      </c>
      <c r="V87" s="10">
        <f t="shared" si="13"/>
        <v>0.25485324671861115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3223.0032025620999</v>
      </c>
      <c r="E88">
        <v>1052.0872698159001</v>
      </c>
      <c r="F88">
        <v>142.68530351438</v>
      </c>
      <c r="G88">
        <v>117.20207667731999</v>
      </c>
      <c r="I88" s="9">
        <f t="shared" si="8"/>
        <v>934.88519313858012</v>
      </c>
      <c r="J88" s="9">
        <f t="shared" si="9"/>
        <v>3080.3178990477199</v>
      </c>
      <c r="K88" s="9">
        <f t="shared" si="10"/>
        <v>934.88519313858012</v>
      </c>
      <c r="L88" s="10">
        <f t="shared" si="7"/>
        <v>0.30350282788266753</v>
      </c>
      <c r="M88" s="10">
        <f t="shared" si="11"/>
        <v>0.33042504556591129</v>
      </c>
      <c r="P88" s="8">
        <f t="shared" si="12"/>
        <v>-5.7721055801438386</v>
      </c>
      <c r="U88" s="8">
        <v>152.5</v>
      </c>
      <c r="V88" s="10">
        <f t="shared" si="13"/>
        <v>0.25376779018557494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3048.2153722978001</v>
      </c>
      <c r="E89">
        <v>974.16253002402004</v>
      </c>
      <c r="F89">
        <v>141.76916932907</v>
      </c>
      <c r="G89">
        <v>117.21805111821</v>
      </c>
      <c r="I89" s="9">
        <f t="shared" si="8"/>
        <v>856.94447890581</v>
      </c>
      <c r="J89" s="9">
        <f t="shared" si="9"/>
        <v>2906.4462029687302</v>
      </c>
      <c r="K89" s="9">
        <f t="shared" si="10"/>
        <v>856.94447890581</v>
      </c>
      <c r="L89" s="10">
        <f t="shared" si="7"/>
        <v>0.29484271136018331</v>
      </c>
      <c r="M89" s="10">
        <f t="shared" si="11"/>
        <v>0.32207797808625549</v>
      </c>
      <c r="P89" s="8">
        <f t="shared" si="12"/>
        <v>-8.1524535705371068</v>
      </c>
      <c r="U89" s="8">
        <v>153</v>
      </c>
      <c r="V89" s="10">
        <f t="shared" si="13"/>
        <v>0.25322281876585667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2988.6301040833</v>
      </c>
      <c r="E90">
        <v>934.03682946357003</v>
      </c>
      <c r="F90">
        <v>142.44249201278001</v>
      </c>
      <c r="G90">
        <v>117.93690095847001</v>
      </c>
      <c r="I90" s="9">
        <f t="shared" si="8"/>
        <v>816.09992850510002</v>
      </c>
      <c r="J90" s="9">
        <f t="shared" si="9"/>
        <v>2846.1876120705201</v>
      </c>
      <c r="K90" s="9">
        <f t="shared" si="10"/>
        <v>816.09992850510002</v>
      </c>
      <c r="L90" s="10">
        <f t="shared" si="7"/>
        <v>0.2867344109868466</v>
      </c>
      <c r="M90" s="10">
        <f t="shared" si="11"/>
        <v>0.3142827267557472</v>
      </c>
      <c r="P90" s="8">
        <f t="shared" si="12"/>
        <v>-10.375439174093176</v>
      </c>
      <c r="U90" s="8">
        <v>153.5</v>
      </c>
      <c r="V90" s="10">
        <f t="shared" si="13"/>
        <v>0.25447380437428735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3013.4115292234001</v>
      </c>
      <c r="E91">
        <v>913.42674139311998</v>
      </c>
      <c r="F91">
        <v>142.60862619808</v>
      </c>
      <c r="G91">
        <v>117.42971246006</v>
      </c>
      <c r="I91" s="9">
        <f t="shared" si="8"/>
        <v>795.99702893305994</v>
      </c>
      <c r="J91" s="9">
        <f t="shared" si="9"/>
        <v>2870.8029030253201</v>
      </c>
      <c r="K91" s="9">
        <f t="shared" si="10"/>
        <v>795.99702893305994</v>
      </c>
      <c r="L91" s="10">
        <f t="shared" si="7"/>
        <v>0.27727331196935162</v>
      </c>
      <c r="M91" s="10">
        <f t="shared" si="11"/>
        <v>0.30513467678108064</v>
      </c>
      <c r="P91" s="8">
        <f t="shared" si="12"/>
        <v>-12.984204758687765</v>
      </c>
      <c r="U91" s="8">
        <v>154</v>
      </c>
      <c r="V91" s="10">
        <f t="shared" si="13"/>
        <v>0.2524239228452258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3098.6733386709002</v>
      </c>
      <c r="E92">
        <v>915.72698158526998</v>
      </c>
      <c r="F92">
        <v>142.84025559105001</v>
      </c>
      <c r="G92">
        <v>117.49840255591</v>
      </c>
      <c r="I92" s="9">
        <f t="shared" si="8"/>
        <v>798.22857902935993</v>
      </c>
      <c r="J92" s="9">
        <f t="shared" si="9"/>
        <v>2955.83308307985</v>
      </c>
      <c r="K92" s="9">
        <f t="shared" si="10"/>
        <v>798.22857902935993</v>
      </c>
      <c r="L92" s="10">
        <f t="shared" si="7"/>
        <v>0.27005198080997195</v>
      </c>
      <c r="M92" s="10">
        <f t="shared" si="11"/>
        <v>0.29822639466452933</v>
      </c>
      <c r="P92" s="8">
        <f t="shared" si="12"/>
        <v>-14.954251783380176</v>
      </c>
      <c r="U92" s="8">
        <v>154.5</v>
      </c>
      <c r="V92" s="10">
        <f t="shared" si="13"/>
        <v>0.25170490770499809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3127.7157726180999</v>
      </c>
      <c r="E93">
        <v>903.34827862290001</v>
      </c>
      <c r="F93">
        <v>142.73722044728001</v>
      </c>
      <c r="G93">
        <v>117.68290734823999</v>
      </c>
      <c r="I93" s="9">
        <f t="shared" si="8"/>
        <v>785.66537127466006</v>
      </c>
      <c r="J93" s="9">
        <f t="shared" si="9"/>
        <v>2984.97855217082</v>
      </c>
      <c r="K93" s="9">
        <f t="shared" si="10"/>
        <v>785.66537127466006</v>
      </c>
      <c r="L93" s="10">
        <f t="shared" si="7"/>
        <v>0.26320637068004604</v>
      </c>
      <c r="M93" s="10">
        <f t="shared" si="11"/>
        <v>0.29169383357743184</v>
      </c>
      <c r="P93" s="8">
        <f t="shared" si="12"/>
        <v>-16.817153777846261</v>
      </c>
      <c r="U93" s="8">
        <v>155</v>
      </c>
      <c r="V93" s="10">
        <f t="shared" si="13"/>
        <v>0.25153151545975982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3174.1444622793001</v>
      </c>
      <c r="E94">
        <v>906.83306581059003</v>
      </c>
      <c r="F94">
        <v>142.49121405751001</v>
      </c>
      <c r="G94">
        <v>117.196485623</v>
      </c>
      <c r="I94" s="9">
        <f t="shared" si="8"/>
        <v>789.63658018758997</v>
      </c>
      <c r="J94" s="9">
        <f t="shared" si="9"/>
        <v>3031.6532482217899</v>
      </c>
      <c r="K94" s="9">
        <f t="shared" si="10"/>
        <v>789.63658018758997</v>
      </c>
      <c r="L94" s="10">
        <f t="shared" si="7"/>
        <v>0.26046401601197289</v>
      </c>
      <c r="M94" s="10">
        <f t="shared" si="11"/>
        <v>0.2892645279521871</v>
      </c>
      <c r="P94" s="8">
        <f t="shared" si="12"/>
        <v>-17.509923157894548</v>
      </c>
      <c r="U94" s="8">
        <v>155.5</v>
      </c>
      <c r="V94" s="10">
        <f t="shared" si="13"/>
        <v>0.25090871419040955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3160.8675762439998</v>
      </c>
      <c r="E95">
        <v>884.94863563402998</v>
      </c>
      <c r="F95">
        <v>142.68769968051001</v>
      </c>
      <c r="G95">
        <v>117.30511182108999</v>
      </c>
      <c r="I95" s="9">
        <f t="shared" si="8"/>
        <v>767.64352381293997</v>
      </c>
      <c r="J95" s="9">
        <f t="shared" si="9"/>
        <v>3018.1798765634899</v>
      </c>
      <c r="K95" s="9">
        <f t="shared" si="10"/>
        <v>767.64352381293997</v>
      </c>
      <c r="L95" s="10">
        <f t="shared" si="7"/>
        <v>0.25433988536395041</v>
      </c>
      <c r="M95" s="10">
        <f t="shared" si="11"/>
        <v>0.28345344634699304</v>
      </c>
      <c r="P95" s="8">
        <f t="shared" si="12"/>
        <v>-19.167079572964692</v>
      </c>
      <c r="U95" s="8">
        <v>156</v>
      </c>
      <c r="V95" s="10">
        <f t="shared" si="13"/>
        <v>0.25248186945173268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3186.9379532634998</v>
      </c>
      <c r="E96">
        <v>892.10636583401003</v>
      </c>
      <c r="F96">
        <v>142.82268370606999</v>
      </c>
      <c r="G96">
        <v>117.17811501596999</v>
      </c>
      <c r="I96" s="9">
        <f t="shared" si="8"/>
        <v>774.92825081804006</v>
      </c>
      <c r="J96" s="9">
        <f t="shared" si="9"/>
        <v>3044.1152695574297</v>
      </c>
      <c r="K96" s="9">
        <f t="shared" si="10"/>
        <v>774.92825081804006</v>
      </c>
      <c r="L96" s="10">
        <f t="shared" si="7"/>
        <v>0.25456600102094801</v>
      </c>
      <c r="M96" s="10">
        <f t="shared" si="11"/>
        <v>0.28399261104681905</v>
      </c>
      <c r="P96" s="8">
        <f t="shared" si="12"/>
        <v>-19.013325022297661</v>
      </c>
      <c r="U96" s="8">
        <v>156.5</v>
      </c>
      <c r="V96" s="10">
        <f t="shared" si="13"/>
        <v>0.25228184274532084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3092.7977437549998</v>
      </c>
      <c r="E97">
        <v>860.16518936342004</v>
      </c>
      <c r="F97">
        <v>143.00638977636001</v>
      </c>
      <c r="G97">
        <v>117.49440894569</v>
      </c>
      <c r="I97" s="9">
        <f t="shared" si="8"/>
        <v>742.67078041773004</v>
      </c>
      <c r="J97" s="9">
        <f t="shared" si="9"/>
        <v>2949.79135397864</v>
      </c>
      <c r="K97" s="9">
        <f t="shared" si="10"/>
        <v>742.67078041773004</v>
      </c>
      <c r="L97" s="10">
        <f t="shared" si="7"/>
        <v>0.25177061401852213</v>
      </c>
      <c r="M97" s="10">
        <f t="shared" si="11"/>
        <v>0.2815102730872216</v>
      </c>
      <c r="P97" s="8">
        <f t="shared" si="12"/>
        <v>-19.721217726891972</v>
      </c>
      <c r="U97" s="8">
        <v>157</v>
      </c>
      <c r="V97" s="10">
        <f t="shared" si="13"/>
        <v>0.25472078799430914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3048.5930701048001</v>
      </c>
      <c r="E98">
        <v>842.49637389201996</v>
      </c>
      <c r="F98">
        <v>142.73961661342</v>
      </c>
      <c r="G98">
        <v>117.31389776358</v>
      </c>
      <c r="I98" s="9">
        <f t="shared" si="8"/>
        <v>725.18247612843993</v>
      </c>
      <c r="J98" s="9">
        <f t="shared" si="9"/>
        <v>2905.8534534913802</v>
      </c>
      <c r="K98" s="9">
        <f t="shared" si="10"/>
        <v>725.18247612843993</v>
      </c>
      <c r="L98" s="10">
        <f t="shared" si="7"/>
        <v>0.2495592044592386</v>
      </c>
      <c r="M98" s="10">
        <f t="shared" si="11"/>
        <v>0.27961191257076651</v>
      </c>
      <c r="P98" s="8">
        <f t="shared" si="12"/>
        <v>-20.262576551580917</v>
      </c>
      <c r="U98" s="8">
        <v>157.5</v>
      </c>
      <c r="V98" s="10">
        <f t="shared" si="13"/>
        <v>0.25396057963055912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3030.7300564061002</v>
      </c>
      <c r="E99">
        <v>819.62449637389</v>
      </c>
      <c r="F99">
        <v>143.29073482428001</v>
      </c>
      <c r="G99">
        <v>117.09265175719</v>
      </c>
      <c r="I99" s="9">
        <f t="shared" si="8"/>
        <v>702.53184461670003</v>
      </c>
      <c r="J99" s="9">
        <f t="shared" si="9"/>
        <v>2887.43932158182</v>
      </c>
      <c r="K99" s="9">
        <f t="shared" si="10"/>
        <v>702.53184461670003</v>
      </c>
      <c r="L99" s="10">
        <f t="shared" si="7"/>
        <v>0.24330618460644687</v>
      </c>
      <c r="M99" s="10">
        <f t="shared" si="11"/>
        <v>0.27367194176080317</v>
      </c>
      <c r="P99" s="8">
        <f t="shared" si="12"/>
        <v>-21.956488529045124</v>
      </c>
      <c r="U99" s="8">
        <v>158</v>
      </c>
      <c r="V99" s="10">
        <f t="shared" si="13"/>
        <v>0.25580094744722481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3002.9443996776999</v>
      </c>
      <c r="E100">
        <v>805.57534246575005</v>
      </c>
      <c r="F100">
        <v>143.10702875398999</v>
      </c>
      <c r="G100">
        <v>117.28274760383</v>
      </c>
      <c r="I100" s="9">
        <f t="shared" si="8"/>
        <v>688.29259486192007</v>
      </c>
      <c r="J100" s="9">
        <f t="shared" si="9"/>
        <v>2859.8373709237098</v>
      </c>
      <c r="K100" s="9">
        <f t="shared" si="10"/>
        <v>688.29259486192007</v>
      </c>
      <c r="L100" s="10">
        <f t="shared" si="7"/>
        <v>0.24067543205773473</v>
      </c>
      <c r="M100" s="10">
        <f t="shared" si="11"/>
        <v>0.27135423825491944</v>
      </c>
      <c r="P100" s="8">
        <f t="shared" si="12"/>
        <v>-22.617432135407974</v>
      </c>
      <c r="U100" s="8">
        <v>158.5</v>
      </c>
      <c r="V100" s="10">
        <f t="shared" si="13"/>
        <v>0.25504828008976671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2977.4544721998</v>
      </c>
      <c r="E101">
        <v>791.89524576954</v>
      </c>
      <c r="F101">
        <v>143.17332268371001</v>
      </c>
      <c r="G101">
        <v>117.39536741214</v>
      </c>
      <c r="I101" s="9">
        <f t="shared" si="8"/>
        <v>674.49987835740001</v>
      </c>
      <c r="J101" s="9">
        <f t="shared" si="9"/>
        <v>2834.28114951609</v>
      </c>
      <c r="K101" s="9">
        <f t="shared" si="10"/>
        <v>674.49987835740001</v>
      </c>
      <c r="L101" s="10">
        <f t="shared" si="7"/>
        <v>0.23797917100516316</v>
      </c>
      <c r="M101" s="10">
        <f t="shared" si="11"/>
        <v>0.26897102624517633</v>
      </c>
      <c r="P101" s="8">
        <f t="shared" si="12"/>
        <v>-23.297056917632336</v>
      </c>
      <c r="U101" s="8">
        <v>159</v>
      </c>
      <c r="V101" s="10">
        <f t="shared" si="13"/>
        <v>0.25473704294811289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2937.8466453674</v>
      </c>
      <c r="E102">
        <v>764.28833865815</v>
      </c>
      <c r="F102">
        <v>142.76837060702999</v>
      </c>
      <c r="G102">
        <v>117.50559105431</v>
      </c>
      <c r="I102" s="9">
        <f t="shared" si="8"/>
        <v>646.78274760383999</v>
      </c>
      <c r="J102" s="9">
        <f t="shared" si="9"/>
        <v>2795.0782747603698</v>
      </c>
      <c r="K102" s="9">
        <f t="shared" si="10"/>
        <v>646.78274760383999</v>
      </c>
      <c r="L102" s="10">
        <f t="shared" si="7"/>
        <v>0.23140058489392057</v>
      </c>
      <c r="M102" s="10">
        <f t="shared" si="11"/>
        <v>0.26270548917676212</v>
      </c>
      <c r="P102" s="8">
        <f t="shared" si="12"/>
        <v>-25.083811200604693</v>
      </c>
      <c r="U102" s="8">
        <v>159.5</v>
      </c>
      <c r="V102" s="10">
        <f t="shared" si="13"/>
        <v>0.25285445099717024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2925.7579872205001</v>
      </c>
      <c r="E103">
        <v>751.39696485623006</v>
      </c>
      <c r="F103">
        <v>142.95127795527</v>
      </c>
      <c r="G103">
        <v>117.53833865815</v>
      </c>
      <c r="I103" s="9">
        <f t="shared" si="8"/>
        <v>633.85862619808006</v>
      </c>
      <c r="J103" s="9">
        <f t="shared" si="9"/>
        <v>2782.80670926523</v>
      </c>
      <c r="K103" s="9">
        <f t="shared" si="10"/>
        <v>633.85862619808006</v>
      </c>
      <c r="L103" s="10">
        <f t="shared" si="7"/>
        <v>0.22777673493731213</v>
      </c>
      <c r="M103" s="10">
        <f t="shared" si="11"/>
        <v>0.25939468826298212</v>
      </c>
      <c r="P103" s="8">
        <f t="shared" si="12"/>
        <v>-26.027958150526487</v>
      </c>
      <c r="U103" s="8">
        <v>160</v>
      </c>
      <c r="V103" s="10">
        <f t="shared" si="13"/>
        <v>0.25353265464070118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3016.5982428114999</v>
      </c>
      <c r="E104">
        <v>755.62380191693001</v>
      </c>
      <c r="F104">
        <v>143.18849840255999</v>
      </c>
      <c r="G104">
        <v>117.87060702875</v>
      </c>
      <c r="I104" s="9">
        <f t="shared" si="8"/>
        <v>637.75319488818002</v>
      </c>
      <c r="J104" s="9">
        <f t="shared" si="9"/>
        <v>2873.4097444089398</v>
      </c>
      <c r="K104" s="9">
        <f t="shared" si="10"/>
        <v>637.75319488818002</v>
      </c>
      <c r="L104" s="10">
        <f t="shared" si="7"/>
        <v>0.22194996593476293</v>
      </c>
      <c r="M104" s="10">
        <f t="shared" si="11"/>
        <v>0.25388096830326135</v>
      </c>
      <c r="P104" s="8">
        <f t="shared" si="12"/>
        <v>-27.600315419435717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2989.8809904152999</v>
      </c>
      <c r="E105">
        <v>741.11821086262</v>
      </c>
      <c r="F105">
        <v>143.01118210863001</v>
      </c>
      <c r="G105">
        <v>117.59584664537</v>
      </c>
      <c r="I105" s="9">
        <f t="shared" si="8"/>
        <v>623.52236421725001</v>
      </c>
      <c r="J105" s="9">
        <f t="shared" si="9"/>
        <v>2846.8698083066702</v>
      </c>
      <c r="K105" s="9">
        <f t="shared" si="10"/>
        <v>623.52236421725001</v>
      </c>
      <c r="L105" s="10">
        <f t="shared" si="7"/>
        <v>0.2190203297663702</v>
      </c>
      <c r="M105" s="10">
        <f t="shared" si="11"/>
        <v>0.251264381177697</v>
      </c>
      <c r="P105" s="8">
        <f t="shared" si="12"/>
        <v>-28.346492196034962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3118.3958333332998</v>
      </c>
      <c r="E106">
        <v>772.50801282050998</v>
      </c>
      <c r="F106">
        <v>143.22284345048001</v>
      </c>
      <c r="G106">
        <v>117.54472843451001</v>
      </c>
      <c r="I106" s="9">
        <f t="shared" si="8"/>
        <v>654.96328438599994</v>
      </c>
      <c r="J106" s="9">
        <f t="shared" si="9"/>
        <v>2975.1729898828198</v>
      </c>
      <c r="K106" s="9">
        <f t="shared" si="10"/>
        <v>654.96328438599994</v>
      </c>
      <c r="L106" s="10">
        <f t="shared" si="7"/>
        <v>0.22014292500410079</v>
      </c>
      <c r="M106" s="10">
        <f t="shared" si="11"/>
        <v>0.25270002545825598</v>
      </c>
      <c r="P106" s="8">
        <f t="shared" si="12"/>
        <v>-27.937086978396891</v>
      </c>
      <c r="X106" s="8">
        <v>-13</v>
      </c>
    </row>
    <row r="107" spans="1:25" x14ac:dyDescent="0.2">
      <c r="A107" s="8">
        <v>52.5</v>
      </c>
      <c r="B107" s="8">
        <v>105</v>
      </c>
      <c r="D107">
        <v>3083.2956730769001</v>
      </c>
      <c r="E107">
        <v>748.70913461538998</v>
      </c>
      <c r="F107">
        <v>143.00079872205001</v>
      </c>
      <c r="G107">
        <v>117.46964856229999</v>
      </c>
      <c r="I107" s="9">
        <f t="shared" si="8"/>
        <v>631.23948605308999</v>
      </c>
      <c r="J107" s="9">
        <f t="shared" si="9"/>
        <v>2940.29487435485</v>
      </c>
      <c r="K107" s="9">
        <f t="shared" si="10"/>
        <v>631.23948605308999</v>
      </c>
      <c r="L107" s="10">
        <f t="shared" si="7"/>
        <v>0.21468577575628175</v>
      </c>
      <c r="M107" s="10">
        <f t="shared" si="11"/>
        <v>0.24755592525326539</v>
      </c>
      <c r="P107" s="8">
        <f t="shared" si="12"/>
        <v>-29.404039128379502</v>
      </c>
      <c r="X107" s="8">
        <v>-13</v>
      </c>
    </row>
    <row r="108" spans="1:25" x14ac:dyDescent="0.2">
      <c r="A108" s="8">
        <v>53</v>
      </c>
      <c r="B108" s="8">
        <v>106</v>
      </c>
      <c r="D108">
        <v>3007.8189102564002</v>
      </c>
      <c r="E108">
        <v>715.72435897436003</v>
      </c>
      <c r="F108">
        <v>143.09345047923</v>
      </c>
      <c r="G108">
        <v>117.61341853035</v>
      </c>
      <c r="I108" s="9">
        <f t="shared" si="8"/>
        <v>598.11094044401</v>
      </c>
      <c r="J108" s="9">
        <f t="shared" si="9"/>
        <v>2864.7254597771703</v>
      </c>
      <c r="K108" s="9">
        <f t="shared" si="10"/>
        <v>598.11094044401</v>
      </c>
      <c r="L108" s="10">
        <f t="shared" si="7"/>
        <v>0.20878473307195497</v>
      </c>
      <c r="M108" s="10">
        <f t="shared" si="11"/>
        <v>0.24196793161176702</v>
      </c>
      <c r="P108" s="8">
        <f t="shared" si="12"/>
        <v>-30.997577154433593</v>
      </c>
      <c r="X108" s="8">
        <v>-13</v>
      </c>
    </row>
    <row r="109" spans="1:25" x14ac:dyDescent="0.2">
      <c r="A109" s="8">
        <v>53.5</v>
      </c>
      <c r="B109" s="8">
        <v>107</v>
      </c>
      <c r="D109">
        <v>3196.1907422187001</v>
      </c>
      <c r="E109">
        <v>760.95849960095995</v>
      </c>
      <c r="F109">
        <v>142.93610223642</v>
      </c>
      <c r="G109">
        <v>117.83146964856</v>
      </c>
      <c r="I109" s="9">
        <f t="shared" si="8"/>
        <v>643.12702995239999</v>
      </c>
      <c r="J109" s="9">
        <f t="shared" si="9"/>
        <v>3053.25463998228</v>
      </c>
      <c r="K109" s="9">
        <f t="shared" si="10"/>
        <v>643.12702995239999</v>
      </c>
      <c r="L109" s="10">
        <f t="shared" si="7"/>
        <v>0.21063655206829801</v>
      </c>
      <c r="M109" s="10">
        <f t="shared" si="11"/>
        <v>0.24413279965093848</v>
      </c>
      <c r="P109" s="8">
        <f t="shared" si="12"/>
        <v>-30.38021790831894</v>
      </c>
      <c r="X109" s="8">
        <v>-13</v>
      </c>
    </row>
    <row r="110" spans="1:25" x14ac:dyDescent="0.2">
      <c r="A110" s="8">
        <v>54</v>
      </c>
      <c r="B110" s="8">
        <v>108</v>
      </c>
      <c r="D110">
        <v>3160.5674381484</v>
      </c>
      <c r="E110">
        <v>747.60255387071004</v>
      </c>
      <c r="F110">
        <v>143.71166134185</v>
      </c>
      <c r="G110">
        <v>117.45846645367</v>
      </c>
      <c r="I110" s="9">
        <f t="shared" si="8"/>
        <v>630.14408741704005</v>
      </c>
      <c r="J110" s="9">
        <f t="shared" si="9"/>
        <v>3016.8557768065502</v>
      </c>
      <c r="K110" s="9">
        <f t="shared" si="10"/>
        <v>630.14408741704005</v>
      </c>
      <c r="L110" s="10">
        <f t="shared" si="7"/>
        <v>0.20887444877596043</v>
      </c>
      <c r="M110" s="10">
        <f t="shared" si="11"/>
        <v>0.24268374540142931</v>
      </c>
      <c r="P110" s="8">
        <f t="shared" si="12"/>
        <v>-30.793447270510725</v>
      </c>
      <c r="X110" s="8">
        <v>-13</v>
      </c>
    </row>
    <row r="111" spans="1:25" x14ac:dyDescent="0.2">
      <c r="A111" s="8">
        <v>54.5</v>
      </c>
      <c r="B111" s="8">
        <v>109</v>
      </c>
      <c r="D111">
        <v>2795.1005586592</v>
      </c>
      <c r="E111">
        <v>686.29529130087997</v>
      </c>
      <c r="F111">
        <v>144.17092651757</v>
      </c>
      <c r="G111">
        <v>117.86821086262</v>
      </c>
      <c r="I111" s="9">
        <f t="shared" si="8"/>
        <v>568.42708043825996</v>
      </c>
      <c r="J111" s="9">
        <f t="shared" si="9"/>
        <v>2650.92963214163</v>
      </c>
      <c r="K111" s="9">
        <f t="shared" si="10"/>
        <v>568.42708043825996</v>
      </c>
      <c r="L111" s="10">
        <f t="shared" si="7"/>
        <v>0.21442556360088658</v>
      </c>
      <c r="M111" s="10">
        <f t="shared" si="11"/>
        <v>0.24854790926918388</v>
      </c>
      <c r="P111" s="8">
        <f t="shared" si="12"/>
        <v>-29.121153292779283</v>
      </c>
      <c r="X111" s="8">
        <v>-13</v>
      </c>
    </row>
    <row r="112" spans="1:25" x14ac:dyDescent="0.2">
      <c r="A112" s="8">
        <v>55</v>
      </c>
      <c r="B112" s="8">
        <v>110</v>
      </c>
      <c r="D112">
        <v>2882.2295345103998</v>
      </c>
      <c r="E112">
        <v>678.51524879614999</v>
      </c>
      <c r="F112">
        <v>143.12380191693001</v>
      </c>
      <c r="G112">
        <v>117.85303514377</v>
      </c>
      <c r="I112" s="9">
        <f t="shared" si="8"/>
        <v>560.66221365237993</v>
      </c>
      <c r="J112" s="9">
        <f t="shared" si="9"/>
        <v>2739.1057325934698</v>
      </c>
      <c r="K112" s="9">
        <f t="shared" si="10"/>
        <v>560.66221365237993</v>
      </c>
      <c r="L112" s="10">
        <f t="shared" si="7"/>
        <v>0.20468805091416739</v>
      </c>
      <c r="M112" s="10">
        <f t="shared" si="11"/>
        <v>0.23912344562529311</v>
      </c>
      <c r="P112" s="8">
        <f t="shared" si="12"/>
        <v>-31.80874425211281</v>
      </c>
      <c r="X112" s="8">
        <v>-13</v>
      </c>
    </row>
    <row r="113" spans="1:24" x14ac:dyDescent="0.2">
      <c r="A113" s="8">
        <v>55.5</v>
      </c>
      <c r="B113" s="8">
        <v>111</v>
      </c>
      <c r="D113">
        <v>2875.0240770465998</v>
      </c>
      <c r="E113">
        <v>675.03852327447999</v>
      </c>
      <c r="F113">
        <v>143.80511182109001</v>
      </c>
      <c r="G113">
        <v>117.76118210863</v>
      </c>
      <c r="I113" s="9">
        <f t="shared" si="8"/>
        <v>557.27734116584998</v>
      </c>
      <c r="J113" s="9">
        <f t="shared" si="9"/>
        <v>2731.2189652255097</v>
      </c>
      <c r="K113" s="9">
        <f t="shared" si="10"/>
        <v>557.27734116584998</v>
      </c>
      <c r="L113" s="10">
        <f t="shared" si="7"/>
        <v>0.20403978892253957</v>
      </c>
      <c r="M113" s="10">
        <f t="shared" si="11"/>
        <v>0.23878823267649371</v>
      </c>
      <c r="P113" s="8">
        <f t="shared" si="12"/>
        <v>-31.904337521362546</v>
      </c>
      <c r="X113" s="8">
        <v>-13</v>
      </c>
    </row>
    <row r="114" spans="1:24" x14ac:dyDescent="0.2">
      <c r="A114" s="8">
        <v>56</v>
      </c>
      <c r="B114" s="8">
        <v>112</v>
      </c>
      <c r="D114">
        <v>2890.7552166934001</v>
      </c>
      <c r="E114">
        <v>669.27046548957003</v>
      </c>
      <c r="F114">
        <v>143.72364217251999</v>
      </c>
      <c r="G114">
        <v>117.82907348243</v>
      </c>
      <c r="I114" s="9">
        <f t="shared" si="8"/>
        <v>551.44139200714005</v>
      </c>
      <c r="J114" s="9">
        <f t="shared" si="9"/>
        <v>2747.03157452088</v>
      </c>
      <c r="K114" s="9">
        <f t="shared" si="10"/>
        <v>551.44139200714005</v>
      </c>
      <c r="L114" s="10">
        <f t="shared" si="7"/>
        <v>0.20074082770720209</v>
      </c>
      <c r="M114" s="10">
        <f t="shared" si="11"/>
        <v>0.23580232050398464</v>
      </c>
      <c r="P114" s="8">
        <f t="shared" si="12"/>
        <v>-32.755835374548212</v>
      </c>
      <c r="X114" s="8">
        <v>-13</v>
      </c>
    </row>
    <row r="115" spans="1:24" x14ac:dyDescent="0.2">
      <c r="A115" s="8">
        <v>56.5</v>
      </c>
      <c r="B115" s="8">
        <v>113</v>
      </c>
      <c r="D115">
        <v>2915.9101123596001</v>
      </c>
      <c r="E115">
        <v>666.58988764045</v>
      </c>
      <c r="F115">
        <v>143.71325878594001</v>
      </c>
      <c r="G115">
        <v>117.48162939297001</v>
      </c>
      <c r="I115" s="9">
        <f t="shared" si="8"/>
        <v>549.10825824747997</v>
      </c>
      <c r="J115" s="9">
        <f t="shared" si="9"/>
        <v>2772.1968535736601</v>
      </c>
      <c r="K115" s="9">
        <f t="shared" si="10"/>
        <v>549.10825824747997</v>
      </c>
      <c r="L115" s="10">
        <f t="shared" si="7"/>
        <v>0.19807693582063637</v>
      </c>
      <c r="M115" s="10">
        <f t="shared" si="11"/>
        <v>0.23345147766024732</v>
      </c>
      <c r="P115" s="8">
        <f t="shared" si="12"/>
        <v>-33.426229384475548</v>
      </c>
      <c r="X115" s="8">
        <v>-13</v>
      </c>
    </row>
    <row r="116" spans="1:24" x14ac:dyDescent="0.2">
      <c r="A116" s="8">
        <v>57</v>
      </c>
      <c r="B116" s="8">
        <v>114</v>
      </c>
      <c r="D116">
        <v>2901.8876404493999</v>
      </c>
      <c r="E116">
        <v>658.87881219904</v>
      </c>
      <c r="F116">
        <v>143.49760383386999</v>
      </c>
      <c r="G116">
        <v>118.15814696485999</v>
      </c>
      <c r="I116" s="9">
        <f t="shared" si="8"/>
        <v>540.72066523418005</v>
      </c>
      <c r="J116" s="9">
        <f t="shared" si="9"/>
        <v>2758.3900366155299</v>
      </c>
      <c r="K116" s="9">
        <f t="shared" si="10"/>
        <v>540.72066523418005</v>
      </c>
      <c r="L116" s="10">
        <f t="shared" si="7"/>
        <v>0.19602763135616227</v>
      </c>
      <c r="M116" s="10">
        <f t="shared" si="11"/>
        <v>0.23171522223860164</v>
      </c>
      <c r="P116" s="8">
        <f t="shared" si="12"/>
        <v>-33.921360412683569</v>
      </c>
      <c r="X116" s="8">
        <v>-13</v>
      </c>
    </row>
    <row r="117" spans="1:24" x14ac:dyDescent="0.2">
      <c r="A117" s="8">
        <v>57.5</v>
      </c>
      <c r="B117" s="8">
        <v>115</v>
      </c>
      <c r="D117">
        <v>2833.7632423755999</v>
      </c>
      <c r="E117">
        <v>642.21589085072003</v>
      </c>
      <c r="F117">
        <v>143.42412140574999</v>
      </c>
      <c r="G117">
        <v>117.42412140575</v>
      </c>
      <c r="I117" s="9">
        <f t="shared" si="8"/>
        <v>524.79176944496999</v>
      </c>
      <c r="J117" s="9">
        <f t="shared" si="9"/>
        <v>2690.3391209698498</v>
      </c>
      <c r="K117" s="9">
        <f t="shared" si="10"/>
        <v>524.79176944496999</v>
      </c>
      <c r="L117" s="10">
        <f t="shared" si="7"/>
        <v>0.19506528576805809</v>
      </c>
      <c r="M117" s="10">
        <f t="shared" si="11"/>
        <v>0.2310659256933259</v>
      </c>
      <c r="P117" s="8">
        <f t="shared" si="12"/>
        <v>-34.106521456425376</v>
      </c>
      <c r="X117" s="8">
        <v>-13</v>
      </c>
    </row>
    <row r="118" spans="1:24" x14ac:dyDescent="0.2">
      <c r="A118" s="8">
        <v>58</v>
      </c>
      <c r="B118" s="8">
        <v>116</v>
      </c>
      <c r="D118">
        <v>2857.2881219904002</v>
      </c>
      <c r="E118">
        <v>642.41733547351998</v>
      </c>
      <c r="F118">
        <v>144.07428115016</v>
      </c>
      <c r="G118">
        <v>117.77476038339</v>
      </c>
      <c r="I118" s="9">
        <f t="shared" si="8"/>
        <v>524.64257509012998</v>
      </c>
      <c r="J118" s="9">
        <f t="shared" si="9"/>
        <v>2713.2138408402402</v>
      </c>
      <c r="K118" s="9">
        <f t="shared" si="10"/>
        <v>524.64257509012998</v>
      </c>
      <c r="L118" s="10">
        <f t="shared" si="7"/>
        <v>0.19336573004052504</v>
      </c>
      <c r="M118" s="10">
        <f t="shared" si="11"/>
        <v>0.22967941900862127</v>
      </c>
      <c r="P118" s="8">
        <f t="shared" si="12"/>
        <v>-34.501914018980727</v>
      </c>
      <c r="X118" s="8">
        <v>-13</v>
      </c>
    </row>
    <row r="119" spans="1:24" x14ac:dyDescent="0.2">
      <c r="A119" s="8">
        <v>58.5</v>
      </c>
      <c r="B119" s="8">
        <v>117</v>
      </c>
      <c r="D119">
        <v>2974.4550561798001</v>
      </c>
      <c r="E119">
        <v>654.81380417336004</v>
      </c>
      <c r="F119">
        <v>144.35303514377</v>
      </c>
      <c r="G119">
        <v>117.98162939297001</v>
      </c>
      <c r="I119" s="9">
        <f t="shared" si="8"/>
        <v>536.83217478039001</v>
      </c>
      <c r="J119" s="9">
        <f t="shared" si="9"/>
        <v>2830.1020210360302</v>
      </c>
      <c r="K119" s="9">
        <f t="shared" si="10"/>
        <v>536.83217478039001</v>
      </c>
      <c r="L119" s="10">
        <f t="shared" si="7"/>
        <v>0.18968650981135621</v>
      </c>
      <c r="M119" s="10">
        <f t="shared" si="11"/>
        <v>0.22631324782228082</v>
      </c>
      <c r="P119" s="8">
        <f t="shared" si="12"/>
        <v>-35.461851007420606</v>
      </c>
      <c r="X119" s="8">
        <v>-13</v>
      </c>
    </row>
    <row r="120" spans="1:24" x14ac:dyDescent="0.2">
      <c r="A120" s="8">
        <v>59</v>
      </c>
      <c r="B120" s="8">
        <v>118</v>
      </c>
      <c r="D120">
        <v>3023.5668534828001</v>
      </c>
      <c r="E120">
        <v>663.81585268214997</v>
      </c>
      <c r="F120">
        <v>143.44169329074001</v>
      </c>
      <c r="G120">
        <v>117.60143769968001</v>
      </c>
      <c r="I120" s="9">
        <f t="shared" si="8"/>
        <v>546.21441498246998</v>
      </c>
      <c r="J120" s="9">
        <f t="shared" si="9"/>
        <v>2880.1251601920599</v>
      </c>
      <c r="K120" s="9">
        <f t="shared" si="10"/>
        <v>546.21441498246998</v>
      </c>
      <c r="L120" s="10">
        <f t="shared" si="7"/>
        <v>0.1896495411144028</v>
      </c>
      <c r="M120" s="10">
        <f t="shared" si="11"/>
        <v>0.22658932816815583</v>
      </c>
      <c r="P120" s="8">
        <f t="shared" si="12"/>
        <v>-35.383120687090454</v>
      </c>
      <c r="X120" s="8">
        <v>-13</v>
      </c>
    </row>
    <row r="121" spans="1:24" x14ac:dyDescent="0.2">
      <c r="A121" s="8">
        <v>59.5</v>
      </c>
      <c r="B121" s="8">
        <v>119</v>
      </c>
      <c r="D121">
        <v>2995.6773418735002</v>
      </c>
      <c r="E121">
        <v>654.17534027221996</v>
      </c>
      <c r="F121">
        <v>144.11661341852999</v>
      </c>
      <c r="G121">
        <v>118.15654952077</v>
      </c>
      <c r="I121" s="9">
        <f t="shared" si="8"/>
        <v>536.01879075144996</v>
      </c>
      <c r="J121" s="9">
        <f t="shared" si="9"/>
        <v>2851.5607284549701</v>
      </c>
      <c r="K121" s="9">
        <f t="shared" si="10"/>
        <v>536.01879075144996</v>
      </c>
      <c r="L121" s="10">
        <f t="shared" si="7"/>
        <v>0.18797382970057774</v>
      </c>
      <c r="M121" s="10">
        <f t="shared" si="11"/>
        <v>0.22522666579715919</v>
      </c>
      <c r="P121" s="8">
        <f t="shared" si="12"/>
        <v>-35.771713524550073</v>
      </c>
      <c r="X121" s="8">
        <v>-13</v>
      </c>
    </row>
    <row r="122" spans="1:24" x14ac:dyDescent="0.2">
      <c r="A122" s="8">
        <v>60</v>
      </c>
      <c r="B122" s="8">
        <v>120</v>
      </c>
      <c r="D122">
        <v>3031.1816733067999</v>
      </c>
      <c r="E122">
        <v>659.60637450198999</v>
      </c>
      <c r="F122">
        <v>143.63817891374001</v>
      </c>
      <c r="G122">
        <v>117.94968051118001</v>
      </c>
      <c r="I122" s="9">
        <f t="shared" si="8"/>
        <v>541.65669399081003</v>
      </c>
      <c r="J122" s="9">
        <f t="shared" si="9"/>
        <v>2887.54349439306</v>
      </c>
      <c r="K122" s="9">
        <f t="shared" si="10"/>
        <v>541.65669399081003</v>
      </c>
      <c r="L122" s="10">
        <f t="shared" si="7"/>
        <v>0.18758390827448373</v>
      </c>
      <c r="M122" s="10">
        <f t="shared" si="11"/>
        <v>0.2251497934138936</v>
      </c>
      <c r="P122" s="8">
        <f t="shared" si="12"/>
        <v>-35.793635357992656</v>
      </c>
      <c r="X122" s="8">
        <v>-13</v>
      </c>
    </row>
    <row r="123" spans="1:24" x14ac:dyDescent="0.2">
      <c r="A123" s="8">
        <v>60.5</v>
      </c>
      <c r="B123" s="8">
        <v>121</v>
      </c>
      <c r="D123">
        <v>2971.7139442231</v>
      </c>
      <c r="E123">
        <v>640.78884462150995</v>
      </c>
      <c r="F123">
        <v>144.06629392971001</v>
      </c>
      <c r="G123">
        <v>117.9928115016</v>
      </c>
      <c r="I123" s="9">
        <f t="shared" si="8"/>
        <v>522.79603311990991</v>
      </c>
      <c r="J123" s="9">
        <f t="shared" si="9"/>
        <v>2827.6476502933901</v>
      </c>
      <c r="K123" s="9">
        <f t="shared" si="10"/>
        <v>522.79603311990991</v>
      </c>
      <c r="L123" s="10">
        <f t="shared" si="7"/>
        <v>0.18488726240897299</v>
      </c>
      <c r="M123" s="10">
        <f t="shared" si="11"/>
        <v>0.22276619659121127</v>
      </c>
      <c r="P123" s="8">
        <f t="shared" si="12"/>
        <v>-36.473369878003226</v>
      </c>
      <c r="X123" s="8">
        <v>-13</v>
      </c>
    </row>
    <row r="124" spans="1:24" x14ac:dyDescent="0.2">
      <c r="A124" s="8">
        <v>61</v>
      </c>
      <c r="B124" s="8">
        <v>122</v>
      </c>
      <c r="D124">
        <v>2986.6907051282001</v>
      </c>
      <c r="E124">
        <v>643.55288461538998</v>
      </c>
      <c r="F124">
        <v>143.48722044728001</v>
      </c>
      <c r="G124">
        <v>117.69009584665</v>
      </c>
      <c r="I124" s="9">
        <f t="shared" si="8"/>
        <v>525.86278876873996</v>
      </c>
      <c r="J124" s="9">
        <f t="shared" si="9"/>
        <v>2843.2034846809202</v>
      </c>
      <c r="K124" s="9">
        <f t="shared" si="10"/>
        <v>525.86278876873996</v>
      </c>
      <c r="L124" s="10">
        <f t="shared" si="7"/>
        <v>0.184954327610412</v>
      </c>
      <c r="M124" s="10">
        <f t="shared" si="11"/>
        <v>0.2231463108354787</v>
      </c>
      <c r="P124" s="8">
        <f t="shared" si="12"/>
        <v>-36.364972026941508</v>
      </c>
      <c r="X124" s="8">
        <v>-13</v>
      </c>
    </row>
    <row r="125" spans="1:24" x14ac:dyDescent="0.2">
      <c r="A125" s="8">
        <v>61.5</v>
      </c>
      <c r="B125" s="8">
        <v>123</v>
      </c>
      <c r="D125">
        <v>3054.5953525640998</v>
      </c>
      <c r="E125">
        <v>648.83814102563997</v>
      </c>
      <c r="F125">
        <v>144.18051118211</v>
      </c>
      <c r="G125">
        <v>117.81469648562</v>
      </c>
      <c r="I125" s="9">
        <f t="shared" si="8"/>
        <v>531.02344454001991</v>
      </c>
      <c r="J125" s="9">
        <f t="shared" si="9"/>
        <v>2910.4148413819898</v>
      </c>
      <c r="K125" s="9">
        <f t="shared" si="10"/>
        <v>531.02344454001991</v>
      </c>
      <c r="L125" s="10">
        <f t="shared" si="7"/>
        <v>0.18245627289608898</v>
      </c>
      <c r="M125" s="10">
        <f t="shared" si="11"/>
        <v>0.2209613051639841</v>
      </c>
      <c r="P125" s="8">
        <f t="shared" si="12"/>
        <v>-36.988073957268128</v>
      </c>
      <c r="X125" s="8">
        <v>-13</v>
      </c>
    </row>
    <row r="126" spans="1:24" x14ac:dyDescent="0.2">
      <c r="A126" s="8">
        <v>62</v>
      </c>
      <c r="B126" s="8">
        <v>124</v>
      </c>
      <c r="D126">
        <v>3083.0921474359002</v>
      </c>
      <c r="E126">
        <v>648.33253205128005</v>
      </c>
      <c r="F126">
        <v>143.89936102236001</v>
      </c>
      <c r="G126">
        <v>118.06709265176001</v>
      </c>
      <c r="I126" s="9">
        <f t="shared" si="8"/>
        <v>530.26543939952001</v>
      </c>
      <c r="J126" s="9">
        <f t="shared" si="9"/>
        <v>2939.19278641354</v>
      </c>
      <c r="K126" s="9">
        <f t="shared" si="10"/>
        <v>530.26543939952001</v>
      </c>
      <c r="L126" s="10">
        <f t="shared" si="7"/>
        <v>0.18041192869371464</v>
      </c>
      <c r="M126" s="10">
        <f t="shared" si="11"/>
        <v>0.21923001000443817</v>
      </c>
      <c r="P126" s="8">
        <f t="shared" si="12"/>
        <v>-37.481790458763655</v>
      </c>
      <c r="X126" s="8">
        <v>-13</v>
      </c>
    </row>
    <row r="127" spans="1:24" x14ac:dyDescent="0.2">
      <c r="A127" s="8">
        <v>62.5</v>
      </c>
      <c r="B127" s="8">
        <v>125</v>
      </c>
      <c r="D127">
        <v>3159.8630470016001</v>
      </c>
      <c r="E127">
        <v>660.27633711506996</v>
      </c>
      <c r="F127">
        <v>144.42092651757</v>
      </c>
      <c r="G127">
        <v>117.92891373802</v>
      </c>
      <c r="I127" s="9">
        <f t="shared" si="8"/>
        <v>542.34742337704995</v>
      </c>
      <c r="J127" s="9">
        <f t="shared" si="9"/>
        <v>3015.4421204840301</v>
      </c>
      <c r="K127" s="9">
        <f t="shared" si="10"/>
        <v>542.34742337704995</v>
      </c>
      <c r="L127" s="10">
        <f t="shared" si="7"/>
        <v>0.17985668492618717</v>
      </c>
      <c r="M127" s="10">
        <f t="shared" si="11"/>
        <v>0.21898781527973912</v>
      </c>
      <c r="P127" s="8">
        <f t="shared" si="12"/>
        <v>-37.550857556594877</v>
      </c>
      <c r="X127" s="8">
        <v>-13</v>
      </c>
    </row>
    <row r="128" spans="1:24" x14ac:dyDescent="0.2">
      <c r="A128" s="8">
        <v>63</v>
      </c>
      <c r="B128" s="8">
        <v>126</v>
      </c>
      <c r="D128">
        <v>2864.6623376623002</v>
      </c>
      <c r="E128">
        <v>601.26948051948</v>
      </c>
      <c r="F128">
        <v>143.58945686901001</v>
      </c>
      <c r="G128">
        <v>117.82667731629</v>
      </c>
      <c r="I128" s="9">
        <f t="shared" si="8"/>
        <v>483.44280320319001</v>
      </c>
      <c r="J128" s="9">
        <f t="shared" si="9"/>
        <v>2721.0728807932901</v>
      </c>
      <c r="K128" s="9">
        <f t="shared" si="10"/>
        <v>483.44280320319001</v>
      </c>
      <c r="L128" s="10">
        <f t="shared" si="7"/>
        <v>0.17766624577223714</v>
      </c>
      <c r="M128" s="10">
        <f t="shared" si="11"/>
        <v>0.2171104251686175</v>
      </c>
      <c r="P128" s="8">
        <f t="shared" si="12"/>
        <v>-38.086236213720198</v>
      </c>
      <c r="X128" s="8">
        <v>-13</v>
      </c>
    </row>
    <row r="129" spans="1:24" x14ac:dyDescent="0.2">
      <c r="A129" s="8">
        <v>63.5</v>
      </c>
      <c r="B129" s="8">
        <v>127</v>
      </c>
      <c r="D129">
        <v>2835.4003228410002</v>
      </c>
      <c r="E129">
        <v>598.33817594835</v>
      </c>
      <c r="F129">
        <v>144.19808306709001</v>
      </c>
      <c r="G129">
        <v>117.73003194888</v>
      </c>
      <c r="I129" s="9">
        <f t="shared" si="8"/>
        <v>480.60814399947003</v>
      </c>
      <c r="J129" s="9">
        <f t="shared" si="9"/>
        <v>2691.2022397739102</v>
      </c>
      <c r="K129" s="9">
        <f t="shared" si="10"/>
        <v>480.60814399947003</v>
      </c>
      <c r="L129" s="10">
        <f t="shared" si="7"/>
        <v>0.17858492271463264</v>
      </c>
      <c r="M129" s="10">
        <f t="shared" si="11"/>
        <v>0.21834215115384142</v>
      </c>
      <c r="P129" s="8">
        <f t="shared" si="12"/>
        <v>-37.73498273688071</v>
      </c>
      <c r="X129" s="8">
        <v>-13</v>
      </c>
    </row>
    <row r="130" spans="1:24" x14ac:dyDescent="0.2">
      <c r="A130" s="8">
        <v>64</v>
      </c>
      <c r="B130" s="8">
        <v>128</v>
      </c>
      <c r="D130">
        <v>2816.3769168683998</v>
      </c>
      <c r="E130">
        <v>590.43260694108005</v>
      </c>
      <c r="F130">
        <v>144.39936102236001</v>
      </c>
      <c r="G130">
        <v>117.95766773163</v>
      </c>
      <c r="I130" s="9">
        <f t="shared" si="8"/>
        <v>472.47493920945004</v>
      </c>
      <c r="J130" s="9">
        <f t="shared" si="9"/>
        <v>2671.9775558460396</v>
      </c>
      <c r="K130" s="9">
        <f t="shared" si="10"/>
        <v>472.47493920945004</v>
      </c>
      <c r="L130" s="10">
        <f t="shared" ref="L130:L193" si="14">K130/J130</f>
        <v>0.17682593859208084</v>
      </c>
      <c r="M130" s="10">
        <f t="shared" si="11"/>
        <v>0.21689621607411805</v>
      </c>
      <c r="P130" s="8">
        <f t="shared" si="12"/>
        <v>-38.14732259991014</v>
      </c>
      <c r="X130" s="8">
        <v>-13</v>
      </c>
    </row>
    <row r="131" spans="1:24" x14ac:dyDescent="0.2">
      <c r="A131" s="8">
        <v>64.5</v>
      </c>
      <c r="B131" s="8">
        <v>129</v>
      </c>
      <c r="D131">
        <v>2810.1783696530001</v>
      </c>
      <c r="E131">
        <v>583.93623890234005</v>
      </c>
      <c r="F131">
        <v>144.69249201278001</v>
      </c>
      <c r="G131">
        <v>118.21485623002999</v>
      </c>
      <c r="I131" s="9">
        <f t="shared" ref="I131:I194" si="15">E131-G131</f>
        <v>465.72138267231003</v>
      </c>
      <c r="J131" s="9">
        <f t="shared" ref="J131:J194" si="16">D131-F131</f>
        <v>2665.4858776402202</v>
      </c>
      <c r="K131" s="9">
        <f t="shared" ref="K131:K194" si="17">I131*1</f>
        <v>465.72138267231003</v>
      </c>
      <c r="L131" s="10">
        <f t="shared" si="14"/>
        <v>0.17472288507662909</v>
      </c>
      <c r="M131" s="10">
        <f t="shared" ref="M131:M181" si="18">L131+ABS($N$2)*A131</f>
        <v>0.21510621160149471</v>
      </c>
      <c r="P131" s="8">
        <f t="shared" ref="P131:P194" si="19">(M131-$O$2)/$O$2*100</f>
        <v>-38.657781340011233</v>
      </c>
      <c r="X131" s="8">
        <v>-13</v>
      </c>
    </row>
    <row r="132" spans="1:24" x14ac:dyDescent="0.2">
      <c r="A132" s="8">
        <v>65</v>
      </c>
      <c r="B132" s="8">
        <v>130</v>
      </c>
      <c r="D132">
        <v>2791.215496368</v>
      </c>
      <c r="E132">
        <v>575.63680387408999</v>
      </c>
      <c r="F132">
        <v>144.27715654951999</v>
      </c>
      <c r="G132">
        <v>118.31309904152999</v>
      </c>
      <c r="I132" s="9">
        <f t="shared" si="15"/>
        <v>457.32370483256</v>
      </c>
      <c r="J132" s="9">
        <f t="shared" si="16"/>
        <v>2646.93833981848</v>
      </c>
      <c r="K132" s="9">
        <f t="shared" si="17"/>
        <v>457.32370483256</v>
      </c>
      <c r="L132" s="10">
        <f t="shared" si="14"/>
        <v>0.17277459695714786</v>
      </c>
      <c r="M132" s="10">
        <f t="shared" si="18"/>
        <v>0.2134709725248419</v>
      </c>
      <c r="P132" s="8">
        <f t="shared" si="19"/>
        <v>-39.124105358525526</v>
      </c>
      <c r="X132" s="8">
        <v>-13</v>
      </c>
    </row>
    <row r="133" spans="1:24" x14ac:dyDescent="0.2">
      <c r="A133" s="8">
        <v>65.5</v>
      </c>
      <c r="B133" s="8">
        <v>131</v>
      </c>
      <c r="D133">
        <v>2789.0968523002002</v>
      </c>
      <c r="E133">
        <v>572.73284907182995</v>
      </c>
      <c r="F133">
        <v>144.81469648562</v>
      </c>
      <c r="G133">
        <v>117.96805111821</v>
      </c>
      <c r="I133" s="9">
        <f t="shared" si="15"/>
        <v>454.76479795361996</v>
      </c>
      <c r="J133" s="9">
        <f t="shared" si="16"/>
        <v>2644.2821558145802</v>
      </c>
      <c r="K133" s="9">
        <f t="shared" si="17"/>
        <v>454.76479795361996</v>
      </c>
      <c r="L133" s="10">
        <f t="shared" si="14"/>
        <v>0.17198043595825277</v>
      </c>
      <c r="M133" s="10">
        <f t="shared" si="18"/>
        <v>0.21298986056877522</v>
      </c>
      <c r="P133" s="8">
        <f t="shared" si="19"/>
        <v>-39.2613049056202</v>
      </c>
      <c r="X133" s="8">
        <v>-13</v>
      </c>
    </row>
    <row r="134" spans="1:24" x14ac:dyDescent="0.2">
      <c r="A134" s="8">
        <v>66</v>
      </c>
      <c r="B134" s="8">
        <v>132</v>
      </c>
      <c r="D134">
        <v>2797.0782889427001</v>
      </c>
      <c r="E134">
        <v>572.77239709442995</v>
      </c>
      <c r="F134">
        <v>144.70766773163001</v>
      </c>
      <c r="G134">
        <v>117.83785942492</v>
      </c>
      <c r="I134" s="9">
        <f t="shared" si="15"/>
        <v>454.93453766950995</v>
      </c>
      <c r="J134" s="9">
        <f t="shared" si="16"/>
        <v>2652.3706212110701</v>
      </c>
      <c r="K134" s="9">
        <f t="shared" si="17"/>
        <v>454.93453766950995</v>
      </c>
      <c r="L134" s="10">
        <f t="shared" si="14"/>
        <v>0.17151997312569661</v>
      </c>
      <c r="M134" s="10">
        <f t="shared" si="18"/>
        <v>0.21284244677904746</v>
      </c>
      <c r="P134" s="8">
        <f t="shared" si="19"/>
        <v>-39.303343156657469</v>
      </c>
      <c r="X134" s="8">
        <v>-13</v>
      </c>
    </row>
    <row r="135" spans="1:24" x14ac:dyDescent="0.2">
      <c r="A135" s="8">
        <v>66.5</v>
      </c>
      <c r="B135" s="8">
        <v>133</v>
      </c>
      <c r="D135">
        <v>2856.1587810746</v>
      </c>
      <c r="E135">
        <v>583.94386527665995</v>
      </c>
      <c r="F135">
        <v>144.03354632588</v>
      </c>
      <c r="G135">
        <v>118.01357827475999</v>
      </c>
      <c r="I135" s="9">
        <f t="shared" si="15"/>
        <v>465.93028700189996</v>
      </c>
      <c r="J135" s="9">
        <f t="shared" si="16"/>
        <v>2712.1252347487202</v>
      </c>
      <c r="K135" s="9">
        <f t="shared" si="17"/>
        <v>465.93028700189996</v>
      </c>
      <c r="L135" s="10">
        <f t="shared" si="14"/>
        <v>0.17179527000900777</v>
      </c>
      <c r="M135" s="10">
        <f t="shared" si="18"/>
        <v>0.21343079270518706</v>
      </c>
      <c r="P135" s="8">
        <f t="shared" si="19"/>
        <v>-39.13556350873251</v>
      </c>
      <c r="X135" s="8">
        <v>-13</v>
      </c>
    </row>
    <row r="136" spans="1:24" x14ac:dyDescent="0.2">
      <c r="A136" s="8">
        <v>67</v>
      </c>
      <c r="B136" s="8">
        <v>134</v>
      </c>
      <c r="D136">
        <v>2835.5998396150999</v>
      </c>
      <c r="E136">
        <v>575.13231756214998</v>
      </c>
      <c r="F136">
        <v>144.49121405751001</v>
      </c>
      <c r="G136">
        <v>118.36661341852999</v>
      </c>
      <c r="I136" s="9">
        <f t="shared" si="15"/>
        <v>456.76570414361998</v>
      </c>
      <c r="J136" s="9">
        <f t="shared" si="16"/>
        <v>2691.1086255575897</v>
      </c>
      <c r="K136" s="9">
        <f t="shared" si="17"/>
        <v>456.76570414361998</v>
      </c>
      <c r="L136" s="10">
        <f t="shared" si="14"/>
        <v>0.16973142585390044</v>
      </c>
      <c r="M136" s="10">
        <f t="shared" si="18"/>
        <v>0.21167999759290812</v>
      </c>
      <c r="P136" s="8">
        <f t="shared" si="19"/>
        <v>-39.634840846223909</v>
      </c>
      <c r="X136" s="8">
        <v>-13</v>
      </c>
    </row>
    <row r="137" spans="1:24" x14ac:dyDescent="0.2">
      <c r="A137" s="8">
        <v>67.5</v>
      </c>
      <c r="B137" s="8">
        <v>135</v>
      </c>
      <c r="D137">
        <v>2833.4963913391998</v>
      </c>
      <c r="E137">
        <v>573.52686447474002</v>
      </c>
      <c r="F137">
        <v>144.99201277955001</v>
      </c>
      <c r="G137">
        <v>118.21086261981</v>
      </c>
      <c r="I137" s="9">
        <f t="shared" si="15"/>
        <v>455.31600185493005</v>
      </c>
      <c r="J137" s="9">
        <f t="shared" si="16"/>
        <v>2688.5043785596499</v>
      </c>
      <c r="K137" s="9">
        <f t="shared" si="17"/>
        <v>455.31600185493005</v>
      </c>
      <c r="L137" s="10">
        <f t="shared" si="14"/>
        <v>0.16935661533081187</v>
      </c>
      <c r="M137" s="10">
        <f t="shared" si="18"/>
        <v>0.21161823611264796</v>
      </c>
      <c r="P137" s="8">
        <f t="shared" si="19"/>
        <v>-39.652453476741066</v>
      </c>
      <c r="X137" s="8">
        <v>-13</v>
      </c>
    </row>
    <row r="138" spans="1:24" x14ac:dyDescent="0.2">
      <c r="A138" s="8">
        <v>68</v>
      </c>
      <c r="B138" s="8">
        <v>136</v>
      </c>
      <c r="D138">
        <v>2810.6479550921999</v>
      </c>
      <c r="E138">
        <v>564.46511627907</v>
      </c>
      <c r="F138">
        <v>144.57667731628999</v>
      </c>
      <c r="G138">
        <v>118.19249201277999</v>
      </c>
      <c r="I138" s="9">
        <f t="shared" si="15"/>
        <v>446.27262426628999</v>
      </c>
      <c r="J138" s="9">
        <f t="shared" si="16"/>
        <v>2666.0712777759099</v>
      </c>
      <c r="K138" s="9">
        <f t="shared" si="17"/>
        <v>446.27262426628999</v>
      </c>
      <c r="L138" s="10">
        <f t="shared" si="14"/>
        <v>0.16738960731709301</v>
      </c>
      <c r="M138" s="10">
        <f t="shared" si="18"/>
        <v>0.20996427714175753</v>
      </c>
      <c r="P138" s="8">
        <f t="shared" si="19"/>
        <v>-40.124115880590985</v>
      </c>
      <c r="X138" s="8">
        <v>-13</v>
      </c>
    </row>
    <row r="139" spans="1:24" x14ac:dyDescent="0.2">
      <c r="A139" s="8">
        <v>68.5</v>
      </c>
      <c r="B139" s="8">
        <v>137</v>
      </c>
      <c r="D139">
        <v>2830.1916599840001</v>
      </c>
      <c r="E139">
        <v>563.44667201283005</v>
      </c>
      <c r="F139">
        <v>145.51517571885</v>
      </c>
      <c r="G139">
        <v>118.07268370606999</v>
      </c>
      <c r="I139" s="9">
        <f t="shared" si="15"/>
        <v>445.37398830676005</v>
      </c>
      <c r="J139" s="9">
        <f t="shared" si="16"/>
        <v>2684.6764842651501</v>
      </c>
      <c r="K139" s="9">
        <f t="shared" si="17"/>
        <v>445.37398830676005</v>
      </c>
      <c r="L139" s="10">
        <f t="shared" si="14"/>
        <v>0.16589484465524637</v>
      </c>
      <c r="M139" s="10">
        <f t="shared" si="18"/>
        <v>0.2087825635227393</v>
      </c>
      <c r="P139" s="8">
        <f t="shared" si="19"/>
        <v>-40.461107242540109</v>
      </c>
      <c r="X139" s="8">
        <v>-13</v>
      </c>
    </row>
    <row r="140" spans="1:24" x14ac:dyDescent="0.2">
      <c r="A140" s="8">
        <v>69</v>
      </c>
      <c r="B140" s="8">
        <v>138</v>
      </c>
      <c r="D140">
        <v>2951.7774193547998</v>
      </c>
      <c r="E140">
        <v>583.98629032257998</v>
      </c>
      <c r="F140">
        <v>145.37699680511</v>
      </c>
      <c r="G140">
        <v>118.55830670927</v>
      </c>
      <c r="I140" s="9">
        <f t="shared" si="15"/>
        <v>465.42798361330995</v>
      </c>
      <c r="J140" s="9">
        <f t="shared" si="16"/>
        <v>2806.4004225496897</v>
      </c>
      <c r="K140" s="9">
        <f t="shared" si="17"/>
        <v>465.42798361330995</v>
      </c>
      <c r="L140" s="10">
        <f t="shared" si="14"/>
        <v>0.16584518013664501</v>
      </c>
      <c r="M140" s="10">
        <f t="shared" si="18"/>
        <v>0.20904594804696636</v>
      </c>
      <c r="P140" s="8">
        <f t="shared" si="19"/>
        <v>-40.385997412114918</v>
      </c>
      <c r="X140" s="8">
        <v>-13</v>
      </c>
    </row>
    <row r="141" spans="1:24" x14ac:dyDescent="0.2">
      <c r="A141" s="8">
        <v>69.5</v>
      </c>
      <c r="B141" s="8">
        <v>139</v>
      </c>
      <c r="D141">
        <v>2889.464516129</v>
      </c>
      <c r="E141">
        <v>574.96290322581001</v>
      </c>
      <c r="F141">
        <v>145.39217252396</v>
      </c>
      <c r="G141">
        <v>118.53833865815</v>
      </c>
      <c r="I141" s="9">
        <f t="shared" si="15"/>
        <v>456.42456456766001</v>
      </c>
      <c r="J141" s="9">
        <f t="shared" si="16"/>
        <v>2744.0723436050398</v>
      </c>
      <c r="K141" s="9">
        <f t="shared" si="17"/>
        <v>456.42456456766001</v>
      </c>
      <c r="L141" s="10">
        <f t="shared" si="14"/>
        <v>0.16633109751327832</v>
      </c>
      <c r="M141" s="10">
        <f t="shared" si="18"/>
        <v>0.20984491446642808</v>
      </c>
      <c r="P141" s="8">
        <f t="shared" si="19"/>
        <v>-40.158154745742245</v>
      </c>
      <c r="X141" s="8">
        <v>-13</v>
      </c>
    </row>
    <row r="142" spans="1:24" x14ac:dyDescent="0.2">
      <c r="A142" s="8">
        <v>70</v>
      </c>
      <c r="B142" s="8">
        <v>140</v>
      </c>
      <c r="D142">
        <v>2927.9482071713001</v>
      </c>
      <c r="E142">
        <v>583.88924302788996</v>
      </c>
      <c r="F142">
        <v>144.81389776358</v>
      </c>
      <c r="G142">
        <v>118.67492012779999</v>
      </c>
      <c r="I142" s="9">
        <f t="shared" si="15"/>
        <v>465.21432290009</v>
      </c>
      <c r="J142" s="9">
        <f t="shared" si="16"/>
        <v>2783.1343094077201</v>
      </c>
      <c r="K142" s="9">
        <f t="shared" si="17"/>
        <v>465.21432290009</v>
      </c>
      <c r="L142" s="10">
        <f t="shared" si="14"/>
        <v>0.16715482300927562</v>
      </c>
      <c r="M142" s="10">
        <f t="shared" si="18"/>
        <v>0.2109816890052538</v>
      </c>
      <c r="P142" s="8">
        <f t="shared" si="19"/>
        <v>-39.833978740741784</v>
      </c>
      <c r="X142" s="8">
        <v>-13</v>
      </c>
    </row>
    <row r="143" spans="1:24" x14ac:dyDescent="0.2">
      <c r="A143" s="8">
        <v>70.5</v>
      </c>
      <c r="B143" s="8">
        <v>141</v>
      </c>
      <c r="D143">
        <v>2857.4517928287</v>
      </c>
      <c r="E143">
        <v>572.53386454182998</v>
      </c>
      <c r="F143">
        <v>145.28753993609999</v>
      </c>
      <c r="G143">
        <v>118.22444089456999</v>
      </c>
      <c r="I143" s="9">
        <f t="shared" si="15"/>
        <v>454.30942364726002</v>
      </c>
      <c r="J143" s="9">
        <f t="shared" si="16"/>
        <v>2712.1642528926</v>
      </c>
      <c r="K143" s="9">
        <f t="shared" si="17"/>
        <v>454.30942364726002</v>
      </c>
      <c r="L143" s="10">
        <f t="shared" si="14"/>
        <v>0.16750807889408842</v>
      </c>
      <c r="M143" s="10">
        <f t="shared" si="18"/>
        <v>0.21164799393289502</v>
      </c>
      <c r="P143" s="8">
        <f t="shared" si="19"/>
        <v>-39.643967386530797</v>
      </c>
      <c r="X143" s="8">
        <v>-13</v>
      </c>
    </row>
    <row r="144" spans="1:24" x14ac:dyDescent="0.2">
      <c r="A144" s="8">
        <v>71</v>
      </c>
      <c r="B144" s="8">
        <v>142</v>
      </c>
      <c r="D144">
        <v>2787.6623481780998</v>
      </c>
      <c r="E144">
        <v>560.85506072875</v>
      </c>
      <c r="F144">
        <v>145.17811501597001</v>
      </c>
      <c r="G144">
        <v>118.25479233227</v>
      </c>
      <c r="I144" s="9">
        <f t="shared" si="15"/>
        <v>442.60026839648003</v>
      </c>
      <c r="J144" s="9">
        <f t="shared" si="16"/>
        <v>2642.4842331621298</v>
      </c>
      <c r="K144" s="9">
        <f t="shared" si="17"/>
        <v>442.60026839648003</v>
      </c>
      <c r="L144" s="10">
        <f t="shared" si="14"/>
        <v>0.16749400539160161</v>
      </c>
      <c r="M144" s="10">
        <f t="shared" si="18"/>
        <v>0.21194696947323663</v>
      </c>
      <c r="P144" s="8">
        <f t="shared" si="19"/>
        <v>-39.55870800311699</v>
      </c>
    </row>
    <row r="145" spans="1:16" x14ac:dyDescent="0.2">
      <c r="A145" s="8">
        <v>71.5</v>
      </c>
      <c r="B145" s="8">
        <v>143</v>
      </c>
      <c r="D145">
        <v>2808.5846153846001</v>
      </c>
      <c r="E145">
        <v>562.18623481781003</v>
      </c>
      <c r="F145">
        <v>145.54233226836999</v>
      </c>
      <c r="G145">
        <v>118.02875399361</v>
      </c>
      <c r="I145" s="9">
        <f t="shared" si="15"/>
        <v>444.15748082420004</v>
      </c>
      <c r="J145" s="9">
        <f t="shared" si="16"/>
        <v>2663.04228311623</v>
      </c>
      <c r="K145" s="9">
        <f t="shared" si="17"/>
        <v>444.15748082420004</v>
      </c>
      <c r="L145" s="10">
        <f t="shared" si="14"/>
        <v>0.16678574112028641</v>
      </c>
      <c r="M145" s="10">
        <f t="shared" si="18"/>
        <v>0.21155175424474984</v>
      </c>
      <c r="P145" s="8">
        <f t="shared" si="19"/>
        <v>-39.671412228546366</v>
      </c>
    </row>
    <row r="146" spans="1:16" x14ac:dyDescent="0.2">
      <c r="A146" s="8">
        <v>72</v>
      </c>
      <c r="B146" s="8">
        <v>144</v>
      </c>
      <c r="D146">
        <v>2894.0477732794002</v>
      </c>
      <c r="E146">
        <v>571.81214574899002</v>
      </c>
      <c r="F146">
        <v>144.88817891374001</v>
      </c>
      <c r="G146">
        <v>118.42571884984</v>
      </c>
      <c r="I146" s="9">
        <f t="shared" si="15"/>
        <v>453.38642689915002</v>
      </c>
      <c r="J146" s="9">
        <f t="shared" si="16"/>
        <v>2749.1595943656603</v>
      </c>
      <c r="K146" s="9">
        <f t="shared" si="17"/>
        <v>453.38642689915002</v>
      </c>
      <c r="L146" s="10">
        <f t="shared" si="14"/>
        <v>0.16491819093673396</v>
      </c>
      <c r="M146" s="10">
        <f t="shared" si="18"/>
        <v>0.20999725310402581</v>
      </c>
      <c r="P146" s="8">
        <f t="shared" si="19"/>
        <v>-40.114712067131002</v>
      </c>
    </row>
    <row r="147" spans="1:16" x14ac:dyDescent="0.2">
      <c r="A147" s="8">
        <v>72.5</v>
      </c>
      <c r="B147" s="8">
        <v>145</v>
      </c>
      <c r="D147">
        <v>2945.1773279352001</v>
      </c>
      <c r="E147">
        <v>579.09392712551005</v>
      </c>
      <c r="F147">
        <v>145.08546325879001</v>
      </c>
      <c r="G147">
        <v>118.76837060702999</v>
      </c>
      <c r="I147" s="9">
        <f t="shared" si="15"/>
        <v>460.32555651848008</v>
      </c>
      <c r="J147" s="9">
        <f t="shared" si="16"/>
        <v>2800.0918646764103</v>
      </c>
      <c r="K147" s="9">
        <f t="shared" si="17"/>
        <v>460.32555651848008</v>
      </c>
      <c r="L147" s="10">
        <f t="shared" si="14"/>
        <v>0.16439659081387928</v>
      </c>
      <c r="M147" s="10">
        <f t="shared" si="18"/>
        <v>0.20978870202399955</v>
      </c>
      <c r="P147" s="8">
        <f t="shared" si="19"/>
        <v>-40.174184947330524</v>
      </c>
    </row>
    <row r="148" spans="1:16" x14ac:dyDescent="0.2">
      <c r="A148" s="8">
        <v>73</v>
      </c>
      <c r="B148" s="8">
        <v>146</v>
      </c>
      <c r="D148">
        <v>2913.2761133602999</v>
      </c>
      <c r="E148">
        <v>566.39676113359997</v>
      </c>
      <c r="F148">
        <v>145.11022364217001</v>
      </c>
      <c r="G148">
        <v>118.49201277955</v>
      </c>
      <c r="I148" s="9">
        <f t="shared" si="15"/>
        <v>447.90474835404996</v>
      </c>
      <c r="J148" s="9">
        <f t="shared" si="16"/>
        <v>2768.1658897181296</v>
      </c>
      <c r="K148" s="9">
        <f t="shared" si="17"/>
        <v>447.90474835404996</v>
      </c>
      <c r="L148" s="10">
        <f t="shared" si="14"/>
        <v>0.16180560204780869</v>
      </c>
      <c r="M148" s="10">
        <f t="shared" si="18"/>
        <v>0.20751076230075738</v>
      </c>
      <c r="P148" s="8">
        <f t="shared" si="19"/>
        <v>-40.823789045496994</v>
      </c>
    </row>
    <row r="149" spans="1:16" x14ac:dyDescent="0.2">
      <c r="A149" s="8">
        <v>73.5</v>
      </c>
      <c r="B149" s="8">
        <v>147</v>
      </c>
      <c r="D149">
        <v>2803.5425101215001</v>
      </c>
      <c r="E149">
        <v>542.01619433198005</v>
      </c>
      <c r="F149">
        <v>145.73322683705999</v>
      </c>
      <c r="G149">
        <v>118.71405750799001</v>
      </c>
      <c r="I149" s="9">
        <f t="shared" si="15"/>
        <v>423.30213682399005</v>
      </c>
      <c r="J149" s="9">
        <f t="shared" si="16"/>
        <v>2657.80928328444</v>
      </c>
      <c r="K149" s="9">
        <f t="shared" si="17"/>
        <v>423.30213682399005</v>
      </c>
      <c r="L149" s="10">
        <f t="shared" si="14"/>
        <v>0.15926731067057082</v>
      </c>
      <c r="M149" s="10">
        <f t="shared" si="18"/>
        <v>0.20528551996634792</v>
      </c>
      <c r="P149" s="8">
        <f t="shared" si="19"/>
        <v>-41.458365336123556</v>
      </c>
    </row>
    <row r="150" spans="1:16" x14ac:dyDescent="0.2">
      <c r="A150" s="8">
        <v>74</v>
      </c>
      <c r="B150" s="8">
        <v>148</v>
      </c>
      <c r="D150">
        <v>2754.2582995951002</v>
      </c>
      <c r="E150">
        <v>531.11174089069004</v>
      </c>
      <c r="F150">
        <v>146.01357827475999</v>
      </c>
      <c r="G150">
        <v>118.73961661342</v>
      </c>
      <c r="I150" s="9">
        <f t="shared" si="15"/>
        <v>412.37212427727002</v>
      </c>
      <c r="J150" s="9">
        <f t="shared" si="16"/>
        <v>2608.2447213203404</v>
      </c>
      <c r="K150" s="9">
        <f t="shared" si="17"/>
        <v>412.37212427727002</v>
      </c>
      <c r="L150" s="10">
        <f t="shared" si="14"/>
        <v>0.15810331020952659</v>
      </c>
      <c r="M150" s="10">
        <f t="shared" si="18"/>
        <v>0.20443456854813208</v>
      </c>
      <c r="P150" s="8">
        <f t="shared" si="19"/>
        <v>-41.701032656497958</v>
      </c>
    </row>
    <row r="151" spans="1:16" x14ac:dyDescent="0.2">
      <c r="A151" s="8">
        <v>74.5</v>
      </c>
      <c r="B151" s="8">
        <v>149</v>
      </c>
      <c r="D151">
        <v>2947.1304347825999</v>
      </c>
      <c r="E151">
        <v>573.82850241545998</v>
      </c>
      <c r="F151">
        <v>145.68370607028999</v>
      </c>
      <c r="G151">
        <v>118.58226837061</v>
      </c>
      <c r="I151" s="9">
        <f t="shared" si="15"/>
        <v>455.24623404484998</v>
      </c>
      <c r="J151" s="9">
        <f t="shared" si="16"/>
        <v>2801.4467287123098</v>
      </c>
      <c r="K151" s="9">
        <f t="shared" si="17"/>
        <v>455.24623404484998</v>
      </c>
      <c r="L151" s="10">
        <f t="shared" si="14"/>
        <v>0.16250397674136918</v>
      </c>
      <c r="M151" s="10">
        <f t="shared" si="18"/>
        <v>0.20914828412280312</v>
      </c>
      <c r="P151" s="8">
        <f t="shared" si="19"/>
        <v>-40.356814052443212</v>
      </c>
    </row>
    <row r="152" spans="1:16" x14ac:dyDescent="0.2">
      <c r="A152" s="8">
        <v>75</v>
      </c>
      <c r="B152" s="8">
        <v>150</v>
      </c>
      <c r="D152">
        <v>2878.2399355878001</v>
      </c>
      <c r="E152">
        <v>564.09017713365995</v>
      </c>
      <c r="F152">
        <v>145.31070287540001</v>
      </c>
      <c r="G152">
        <v>118.92252396166</v>
      </c>
      <c r="I152" s="9">
        <f t="shared" si="15"/>
        <v>445.16765317199997</v>
      </c>
      <c r="J152" s="9">
        <f t="shared" si="16"/>
        <v>2732.9292327124003</v>
      </c>
      <c r="K152" s="9">
        <f t="shared" si="17"/>
        <v>445.16765317199997</v>
      </c>
      <c r="L152" s="10">
        <f t="shared" si="14"/>
        <v>0.16289029655194412</v>
      </c>
      <c r="M152" s="10">
        <f t="shared" si="18"/>
        <v>0.20984765297620644</v>
      </c>
      <c r="P152" s="8">
        <f t="shared" si="19"/>
        <v>-40.157373800067191</v>
      </c>
    </row>
    <row r="153" spans="1:16" x14ac:dyDescent="0.2">
      <c r="A153" s="8">
        <v>75.5</v>
      </c>
      <c r="B153" s="8">
        <v>151</v>
      </c>
      <c r="D153">
        <v>2814.3904000000002</v>
      </c>
      <c r="E153">
        <v>554.06880000000001</v>
      </c>
      <c r="F153">
        <v>145.45766773163001</v>
      </c>
      <c r="G153">
        <v>118.80511182108999</v>
      </c>
      <c r="I153" s="9">
        <f t="shared" si="15"/>
        <v>435.26368817891</v>
      </c>
      <c r="J153" s="9">
        <f t="shared" si="16"/>
        <v>2668.9327322683703</v>
      </c>
      <c r="K153" s="9">
        <f t="shared" si="17"/>
        <v>435.26368817891</v>
      </c>
      <c r="L153" s="10">
        <f t="shared" si="14"/>
        <v>0.16308529732368796</v>
      </c>
      <c r="M153" s="10">
        <f t="shared" si="18"/>
        <v>0.2103557027907787</v>
      </c>
      <c r="P153" s="8">
        <f t="shared" si="19"/>
        <v>-40.012492336237621</v>
      </c>
    </row>
    <row r="154" spans="1:16" x14ac:dyDescent="0.2">
      <c r="A154" s="8">
        <v>76</v>
      </c>
      <c r="B154" s="8">
        <v>152</v>
      </c>
      <c r="D154">
        <v>2799.6234076433002</v>
      </c>
      <c r="E154">
        <v>547.77945859873</v>
      </c>
      <c r="F154">
        <v>145.76597444090001</v>
      </c>
      <c r="G154">
        <v>118.12140575079999</v>
      </c>
      <c r="I154" s="9">
        <f t="shared" si="15"/>
        <v>429.65805284792998</v>
      </c>
      <c r="J154" s="9">
        <f t="shared" si="16"/>
        <v>2653.8574332024</v>
      </c>
      <c r="K154" s="9">
        <f t="shared" si="17"/>
        <v>429.65805284792998</v>
      </c>
      <c r="L154" s="10">
        <f t="shared" si="14"/>
        <v>0.16189944775197029</v>
      </c>
      <c r="M154" s="10">
        <f t="shared" si="18"/>
        <v>0.20948290226188948</v>
      </c>
      <c r="P154" s="8">
        <f t="shared" si="19"/>
        <v>-40.261390406130943</v>
      </c>
    </row>
    <row r="155" spans="1:16" x14ac:dyDescent="0.2">
      <c r="A155" s="8">
        <v>76.5</v>
      </c>
      <c r="B155" s="8">
        <v>153</v>
      </c>
      <c r="D155">
        <v>2842.6393312102</v>
      </c>
      <c r="E155">
        <v>549.76114649681995</v>
      </c>
      <c r="F155">
        <v>145.96725239617001</v>
      </c>
      <c r="G155">
        <v>118.32587859425</v>
      </c>
      <c r="I155" s="9">
        <f t="shared" si="15"/>
        <v>431.43526790256993</v>
      </c>
      <c r="J155" s="9">
        <f t="shared" si="16"/>
        <v>2696.6720788140301</v>
      </c>
      <c r="K155" s="9">
        <f t="shared" si="17"/>
        <v>431.43526790256993</v>
      </c>
      <c r="L155" s="10">
        <f t="shared" si="14"/>
        <v>0.15998803536109252</v>
      </c>
      <c r="M155" s="10">
        <f t="shared" si="18"/>
        <v>0.20788453891384009</v>
      </c>
      <c r="P155" s="8">
        <f t="shared" si="19"/>
        <v>-40.717198507924849</v>
      </c>
    </row>
    <row r="156" spans="1:16" x14ac:dyDescent="0.2">
      <c r="A156" s="8">
        <v>77</v>
      </c>
      <c r="B156" s="8">
        <v>154</v>
      </c>
      <c r="D156">
        <v>2853.4171974522001</v>
      </c>
      <c r="E156">
        <v>549.03582802547999</v>
      </c>
      <c r="F156">
        <v>146.20127795527</v>
      </c>
      <c r="G156">
        <v>118.8642172524</v>
      </c>
      <c r="I156" s="9">
        <f t="shared" si="15"/>
        <v>430.17161077307998</v>
      </c>
      <c r="J156" s="9">
        <f t="shared" si="16"/>
        <v>2707.2159194969299</v>
      </c>
      <c r="K156" s="9">
        <f t="shared" si="17"/>
        <v>430.17161077307998</v>
      </c>
      <c r="L156" s="10">
        <f t="shared" si="14"/>
        <v>0.15889815351448469</v>
      </c>
      <c r="M156" s="10">
        <f t="shared" si="18"/>
        <v>0.20710770611006069</v>
      </c>
      <c r="P156" s="8">
        <f t="shared" si="19"/>
        <v>-40.93872929198222</v>
      </c>
    </row>
    <row r="157" spans="1:16" x14ac:dyDescent="0.2">
      <c r="A157" s="8">
        <v>77.5</v>
      </c>
      <c r="B157" s="8">
        <v>155</v>
      </c>
      <c r="D157">
        <v>2825.2468152865999</v>
      </c>
      <c r="E157">
        <v>548.61385350318994</v>
      </c>
      <c r="F157">
        <v>146.09424920128001</v>
      </c>
      <c r="G157">
        <v>118.62779552716</v>
      </c>
      <c r="I157" s="9">
        <f t="shared" si="15"/>
        <v>429.98605797602994</v>
      </c>
      <c r="J157" s="9">
        <f t="shared" si="16"/>
        <v>2679.1525660853199</v>
      </c>
      <c r="K157" s="9">
        <f t="shared" si="17"/>
        <v>429.98605797602994</v>
      </c>
      <c r="L157" s="10">
        <f t="shared" si="14"/>
        <v>0.1604933080031011</v>
      </c>
      <c r="M157" s="10">
        <f t="shared" si="18"/>
        <v>0.20901590964150552</v>
      </c>
      <c r="P157" s="8">
        <f t="shared" si="19"/>
        <v>-40.394563517306665</v>
      </c>
    </row>
    <row r="158" spans="1:16" x14ac:dyDescent="0.2">
      <c r="A158" s="8">
        <v>78</v>
      </c>
      <c r="B158" s="8">
        <v>156</v>
      </c>
      <c r="D158">
        <v>2779.0955414013001</v>
      </c>
      <c r="E158">
        <v>541.17117834395003</v>
      </c>
      <c r="F158">
        <v>146.49281150159999</v>
      </c>
      <c r="G158">
        <v>118.45846645367</v>
      </c>
      <c r="I158" s="9">
        <f t="shared" si="15"/>
        <v>422.71271189028005</v>
      </c>
      <c r="J158" s="9">
        <f t="shared" si="16"/>
        <v>2632.6027298997001</v>
      </c>
      <c r="K158" s="9">
        <f t="shared" si="17"/>
        <v>422.71271189028005</v>
      </c>
      <c r="L158" s="10">
        <f t="shared" si="14"/>
        <v>0.16056836342579689</v>
      </c>
      <c r="M158" s="10">
        <f t="shared" si="18"/>
        <v>0.20940401410702972</v>
      </c>
      <c r="P158" s="8">
        <f t="shared" si="19"/>
        <v>-40.28388708072282</v>
      </c>
    </row>
    <row r="159" spans="1:16" x14ac:dyDescent="0.2">
      <c r="A159" s="8">
        <v>78.5</v>
      </c>
      <c r="B159" s="8">
        <v>157</v>
      </c>
      <c r="D159">
        <v>2727.6823248408</v>
      </c>
      <c r="E159">
        <v>533.91480891720005</v>
      </c>
      <c r="F159">
        <v>145.96086261981</v>
      </c>
      <c r="G159">
        <v>118.58306709265</v>
      </c>
      <c r="I159" s="9">
        <f t="shared" si="15"/>
        <v>415.33174182455002</v>
      </c>
      <c r="J159" s="9">
        <f t="shared" si="16"/>
        <v>2581.7214622209899</v>
      </c>
      <c r="K159" s="9">
        <f t="shared" si="17"/>
        <v>415.33174182455002</v>
      </c>
      <c r="L159" s="10">
        <f t="shared" si="14"/>
        <v>0.16087395480194466</v>
      </c>
      <c r="M159" s="10">
        <f t="shared" si="18"/>
        <v>0.21002265452600591</v>
      </c>
      <c r="P159" s="8">
        <f t="shared" si="19"/>
        <v>-40.107468298716427</v>
      </c>
    </row>
    <row r="160" spans="1:16" x14ac:dyDescent="0.2">
      <c r="A160" s="8">
        <v>79</v>
      </c>
      <c r="B160" s="8">
        <v>158</v>
      </c>
      <c r="D160">
        <v>2700.6751592357</v>
      </c>
      <c r="E160">
        <v>528.34156050955005</v>
      </c>
      <c r="F160">
        <v>146.16134185304</v>
      </c>
      <c r="G160">
        <v>119.18290734823999</v>
      </c>
      <c r="I160" s="9">
        <f t="shared" si="15"/>
        <v>409.15865316131004</v>
      </c>
      <c r="J160" s="9">
        <f t="shared" si="16"/>
        <v>2554.5138173826599</v>
      </c>
      <c r="K160" s="9">
        <f t="shared" si="17"/>
        <v>409.15865316131004</v>
      </c>
      <c r="L160" s="10">
        <f t="shared" si="14"/>
        <v>0.16017085144621829</v>
      </c>
      <c r="M160" s="10">
        <f t="shared" si="18"/>
        <v>0.20963260021310795</v>
      </c>
      <c r="P160" s="8">
        <f t="shared" si="19"/>
        <v>-40.218700776723082</v>
      </c>
    </row>
    <row r="161" spans="1:16" x14ac:dyDescent="0.2">
      <c r="A161" s="8">
        <v>79.5</v>
      </c>
      <c r="B161" s="8">
        <v>159</v>
      </c>
      <c r="D161">
        <v>2726.1552547770998</v>
      </c>
      <c r="E161">
        <v>529.27547770701005</v>
      </c>
      <c r="F161">
        <v>146.14936102236001</v>
      </c>
      <c r="G161">
        <v>118.84664536741001</v>
      </c>
      <c r="I161" s="9">
        <f t="shared" si="15"/>
        <v>410.42883233960004</v>
      </c>
      <c r="J161" s="9">
        <f t="shared" si="16"/>
        <v>2580.0058937547396</v>
      </c>
      <c r="K161" s="9">
        <f t="shared" si="17"/>
        <v>410.42883233960004</v>
      </c>
      <c r="L161" s="10">
        <f t="shared" si="14"/>
        <v>0.15908057936344241</v>
      </c>
      <c r="M161" s="10">
        <f t="shared" si="18"/>
        <v>0.20885537717316049</v>
      </c>
      <c r="P161" s="8">
        <f t="shared" si="19"/>
        <v>-40.440342845118408</v>
      </c>
    </row>
    <row r="162" spans="1:16" x14ac:dyDescent="0.2">
      <c r="A162" s="8">
        <v>80</v>
      </c>
      <c r="B162" s="4">
        <v>160</v>
      </c>
      <c r="C162" s="4" t="s">
        <v>7</v>
      </c>
      <c r="D162">
        <v>2761.1926751592</v>
      </c>
      <c r="E162">
        <v>536.78662420382</v>
      </c>
      <c r="F162">
        <v>146.20367412140999</v>
      </c>
      <c r="G162">
        <v>118.44329073482</v>
      </c>
      <c r="H162" s="4"/>
      <c r="I162" s="5">
        <f t="shared" si="15"/>
        <v>418.34333346900002</v>
      </c>
      <c r="J162" s="5">
        <f t="shared" si="16"/>
        <v>2614.9890010377899</v>
      </c>
      <c r="K162" s="9">
        <f t="shared" si="17"/>
        <v>418.34333346900002</v>
      </c>
      <c r="L162" s="6">
        <f t="shared" si="14"/>
        <v>0.15997900308681048</v>
      </c>
      <c r="M162" s="6">
        <f t="shared" si="18"/>
        <v>0.21006684993935698</v>
      </c>
      <c r="N162" s="4"/>
      <c r="O162" s="4"/>
      <c r="P162" s="4">
        <f t="shared" si="19"/>
        <v>-40.094865014555708</v>
      </c>
    </row>
    <row r="163" spans="1:16" x14ac:dyDescent="0.2">
      <c r="A163" s="8">
        <v>80.5</v>
      </c>
      <c r="B163" s="8">
        <v>161</v>
      </c>
      <c r="D163">
        <v>2794.7245222930001</v>
      </c>
      <c r="E163">
        <v>540.16640127388996</v>
      </c>
      <c r="F163">
        <v>146.12300319489</v>
      </c>
      <c r="G163">
        <v>119.01677316294</v>
      </c>
      <c r="I163" s="9">
        <f t="shared" si="15"/>
        <v>421.14962811094995</v>
      </c>
      <c r="J163" s="9">
        <f t="shared" si="16"/>
        <v>2648.6015190981102</v>
      </c>
      <c r="K163" s="9">
        <f t="shared" si="17"/>
        <v>421.14962811094995</v>
      </c>
      <c r="L163" s="10">
        <f t="shared" si="14"/>
        <v>0.15900830120129128</v>
      </c>
      <c r="M163" s="10">
        <f t="shared" si="18"/>
        <v>0.20940919709666619</v>
      </c>
      <c r="P163" s="8">
        <f t="shared" si="19"/>
        <v>-40.282409038404907</v>
      </c>
    </row>
    <row r="164" spans="1:16" x14ac:dyDescent="0.2">
      <c r="A164" s="8">
        <v>81</v>
      </c>
      <c r="B164" s="8">
        <v>162</v>
      </c>
      <c r="D164">
        <v>2874.4156050954998</v>
      </c>
      <c r="E164">
        <v>546.13773885349997</v>
      </c>
      <c r="F164">
        <v>146.44249201278001</v>
      </c>
      <c r="G164">
        <v>118.97523961661</v>
      </c>
      <c r="I164" s="9">
        <f t="shared" si="15"/>
        <v>427.16249923688997</v>
      </c>
      <c r="J164" s="9">
        <f t="shared" si="16"/>
        <v>2727.9731130827199</v>
      </c>
      <c r="K164" s="9">
        <f t="shared" si="17"/>
        <v>427.16249923688997</v>
      </c>
      <c r="L164" s="10">
        <f t="shared" si="14"/>
        <v>0.1565860371527559</v>
      </c>
      <c r="M164" s="10">
        <f t="shared" si="18"/>
        <v>0.20729998209095923</v>
      </c>
      <c r="P164" s="8">
        <f t="shared" si="19"/>
        <v>-40.883897610574557</v>
      </c>
    </row>
    <row r="165" spans="1:16" x14ac:dyDescent="0.2">
      <c r="A165" s="8">
        <v>81.5</v>
      </c>
      <c r="B165" s="8">
        <v>163</v>
      </c>
      <c r="D165">
        <v>3040.7961783440001</v>
      </c>
      <c r="E165">
        <v>668.83598726114997</v>
      </c>
      <c r="F165">
        <v>146.22044728435</v>
      </c>
      <c r="G165">
        <v>119.2052715655</v>
      </c>
      <c r="I165" s="9">
        <f t="shared" si="15"/>
        <v>549.63071569565</v>
      </c>
      <c r="J165" s="9">
        <f t="shared" si="16"/>
        <v>2894.57573105965</v>
      </c>
      <c r="K165" s="9">
        <f t="shared" si="17"/>
        <v>549.63071569565</v>
      </c>
      <c r="L165" s="10">
        <f t="shared" si="14"/>
        <v>0.18988299728970659</v>
      </c>
      <c r="M165" s="10">
        <f t="shared" si="18"/>
        <v>0.24090999127073834</v>
      </c>
      <c r="P165" s="8">
        <f t="shared" si="19"/>
        <v>-31.299271871873135</v>
      </c>
    </row>
    <row r="166" spans="1:16" x14ac:dyDescent="0.2">
      <c r="A166" s="8">
        <v>82</v>
      </c>
      <c r="B166" s="8">
        <v>164</v>
      </c>
      <c r="D166">
        <v>3062.4275477707001</v>
      </c>
      <c r="E166">
        <v>766.45621019108</v>
      </c>
      <c r="F166">
        <v>146.74041533546</v>
      </c>
      <c r="G166">
        <v>118.93051118211</v>
      </c>
      <c r="I166" s="9">
        <f t="shared" si="15"/>
        <v>647.52569900897004</v>
      </c>
      <c r="J166" s="9">
        <f t="shared" si="16"/>
        <v>2915.6871324352401</v>
      </c>
      <c r="K166" s="9">
        <f t="shared" si="17"/>
        <v>647.52569900897004</v>
      </c>
      <c r="L166" s="10">
        <f t="shared" si="14"/>
        <v>0.22208339564476648</v>
      </c>
      <c r="M166" s="10">
        <f t="shared" si="18"/>
        <v>0.27342343866862662</v>
      </c>
      <c r="P166" s="8">
        <f t="shared" si="19"/>
        <v>-22.027354595182803</v>
      </c>
    </row>
    <row r="167" spans="1:16" x14ac:dyDescent="0.2">
      <c r="A167" s="8">
        <v>82.5</v>
      </c>
      <c r="B167" s="8">
        <v>165</v>
      </c>
      <c r="D167">
        <v>3139.0257648953002</v>
      </c>
      <c r="E167">
        <v>881.73590982286998</v>
      </c>
      <c r="F167">
        <v>147.01277955271999</v>
      </c>
      <c r="G167">
        <v>119.04392971246</v>
      </c>
      <c r="I167" s="9">
        <f t="shared" si="15"/>
        <v>762.69198011040999</v>
      </c>
      <c r="J167" s="9">
        <f t="shared" si="16"/>
        <v>2992.0129853425801</v>
      </c>
      <c r="K167" s="9">
        <f t="shared" si="17"/>
        <v>762.69198011040999</v>
      </c>
      <c r="L167" s="10">
        <f t="shared" si="14"/>
        <v>0.25490931484813834</v>
      </c>
      <c r="M167" s="10">
        <f t="shared" si="18"/>
        <v>0.30656240691482689</v>
      </c>
      <c r="P167" s="8">
        <f t="shared" si="19"/>
        <v>-12.577056432288114</v>
      </c>
    </row>
    <row r="168" spans="1:16" x14ac:dyDescent="0.2">
      <c r="A168" s="8">
        <v>83</v>
      </c>
      <c r="B168" s="8">
        <v>166</v>
      </c>
      <c r="D168">
        <v>3158.2657004830999</v>
      </c>
      <c r="E168">
        <v>944.95249597424004</v>
      </c>
      <c r="F168">
        <v>146.69808306709001</v>
      </c>
      <c r="G168">
        <v>119.42891373802</v>
      </c>
      <c r="I168" s="9">
        <f t="shared" si="15"/>
        <v>825.52358223622002</v>
      </c>
      <c r="J168" s="9">
        <f t="shared" si="16"/>
        <v>3011.5676174160099</v>
      </c>
      <c r="K168" s="9">
        <f t="shared" si="17"/>
        <v>825.52358223622002</v>
      </c>
      <c r="L168" s="10">
        <f t="shared" si="14"/>
        <v>0.27411756503894708</v>
      </c>
      <c r="M168" s="10">
        <f t="shared" si="18"/>
        <v>0.32608370614846405</v>
      </c>
      <c r="P168" s="8">
        <f t="shared" si="19"/>
        <v>-7.0101330170996681</v>
      </c>
    </row>
    <row r="169" spans="1:16" x14ac:dyDescent="0.2">
      <c r="A169" s="8">
        <v>83.5</v>
      </c>
      <c r="B169" s="8">
        <v>167</v>
      </c>
      <c r="D169">
        <v>3191.1996779388001</v>
      </c>
      <c r="E169">
        <v>1002.1867954911</v>
      </c>
      <c r="F169">
        <v>146.99041533546</v>
      </c>
      <c r="G169">
        <v>119.24041533546</v>
      </c>
      <c r="I169" s="9">
        <f t="shared" si="15"/>
        <v>882.9463801556401</v>
      </c>
      <c r="J169" s="9">
        <f t="shared" si="16"/>
        <v>3044.20926260334</v>
      </c>
      <c r="K169" s="9">
        <f t="shared" si="17"/>
        <v>882.9463801556401</v>
      </c>
      <c r="L169" s="10">
        <f t="shared" si="14"/>
        <v>0.29004128954018227</v>
      </c>
      <c r="M169" s="10">
        <f t="shared" si="18"/>
        <v>0.34232047969252766</v>
      </c>
      <c r="P169" s="8">
        <f t="shared" si="19"/>
        <v>-2.3798635996927104</v>
      </c>
    </row>
    <row r="170" spans="1:16" x14ac:dyDescent="0.2">
      <c r="A170" s="8">
        <v>84</v>
      </c>
      <c r="B170" s="8">
        <v>168</v>
      </c>
      <c r="D170">
        <v>3208.0885668277001</v>
      </c>
      <c r="E170">
        <v>1039.9637681158999</v>
      </c>
      <c r="F170">
        <v>147.23402555910999</v>
      </c>
      <c r="G170">
        <v>119.5159744409</v>
      </c>
      <c r="I170" s="9">
        <f t="shared" si="15"/>
        <v>920.44779367499996</v>
      </c>
      <c r="J170" s="9">
        <f t="shared" si="16"/>
        <v>3060.8545412685903</v>
      </c>
      <c r="K170" s="9">
        <f t="shared" si="17"/>
        <v>920.44779367499996</v>
      </c>
      <c r="L170" s="10">
        <f t="shared" si="14"/>
        <v>0.30071595407912283</v>
      </c>
      <c r="M170" s="10">
        <f t="shared" si="18"/>
        <v>0.35330819327429663</v>
      </c>
      <c r="P170" s="8">
        <f t="shared" si="19"/>
        <v>0.75352210817737042</v>
      </c>
    </row>
    <row r="171" spans="1:16" x14ac:dyDescent="0.2">
      <c r="A171" s="8">
        <v>84.5</v>
      </c>
      <c r="B171" s="8">
        <v>169</v>
      </c>
      <c r="D171">
        <v>3211.6030595812999</v>
      </c>
      <c r="E171">
        <v>1069.1320450886001</v>
      </c>
      <c r="F171">
        <v>147.47523961661</v>
      </c>
      <c r="G171">
        <v>119.1357827476</v>
      </c>
      <c r="I171" s="9">
        <f t="shared" si="15"/>
        <v>949.99626234100003</v>
      </c>
      <c r="J171" s="9">
        <f t="shared" si="16"/>
        <v>3064.1278199646899</v>
      </c>
      <c r="K171" s="9">
        <f t="shared" si="17"/>
        <v>949.99626234100003</v>
      </c>
      <c r="L171" s="10">
        <f t="shared" si="14"/>
        <v>0.31003806569399167</v>
      </c>
      <c r="M171" s="10">
        <f t="shared" si="18"/>
        <v>0.3629433539319939</v>
      </c>
      <c r="P171" s="8">
        <f t="shared" si="19"/>
        <v>3.5011979074404334</v>
      </c>
    </row>
    <row r="172" spans="1:16" x14ac:dyDescent="0.2">
      <c r="A172" s="8">
        <v>85</v>
      </c>
      <c r="B172" s="8">
        <v>170</v>
      </c>
      <c r="D172">
        <v>3207.7576489532998</v>
      </c>
      <c r="E172">
        <v>1085.4098228662999</v>
      </c>
      <c r="F172">
        <v>147.00079872205001</v>
      </c>
      <c r="G172">
        <v>119.03035143770001</v>
      </c>
      <c r="I172" s="9">
        <f t="shared" si="15"/>
        <v>966.37947142859991</v>
      </c>
      <c r="J172" s="9">
        <f t="shared" si="16"/>
        <v>3060.7568502312497</v>
      </c>
      <c r="K172" s="9">
        <f t="shared" si="17"/>
        <v>966.37947142859991</v>
      </c>
      <c r="L172" s="10">
        <f t="shared" si="14"/>
        <v>0.31573219262927954</v>
      </c>
      <c r="M172" s="10">
        <f t="shared" si="18"/>
        <v>0.36895052991011018</v>
      </c>
      <c r="P172" s="8">
        <f t="shared" si="19"/>
        <v>5.2142749015223675</v>
      </c>
    </row>
    <row r="173" spans="1:16" x14ac:dyDescent="0.2">
      <c r="A173" s="8">
        <v>85.5</v>
      </c>
      <c r="B173" s="8">
        <v>171</v>
      </c>
      <c r="D173">
        <v>3200.9350441059</v>
      </c>
      <c r="E173">
        <v>1114.0408981556</v>
      </c>
      <c r="F173">
        <v>147.08546325879001</v>
      </c>
      <c r="G173">
        <v>119.34345047923</v>
      </c>
      <c r="I173" s="9">
        <f t="shared" si="15"/>
        <v>994.69744767636996</v>
      </c>
      <c r="J173" s="9">
        <f t="shared" si="16"/>
        <v>3053.8495808471098</v>
      </c>
      <c r="K173" s="9">
        <f t="shared" si="17"/>
        <v>994.69744767636996</v>
      </c>
      <c r="L173" s="10">
        <f t="shared" si="14"/>
        <v>0.32571920172978858</v>
      </c>
      <c r="M173" s="10">
        <f t="shared" si="18"/>
        <v>0.37925058805344763</v>
      </c>
      <c r="P173" s="8">
        <f t="shared" si="19"/>
        <v>8.151560692272696</v>
      </c>
    </row>
    <row r="174" spans="1:16" x14ac:dyDescent="0.2">
      <c r="A174" s="8">
        <v>86</v>
      </c>
      <c r="B174" s="8">
        <v>172</v>
      </c>
      <c r="D174">
        <v>3146.4338412188999</v>
      </c>
      <c r="E174">
        <v>1108.3592622294</v>
      </c>
      <c r="F174">
        <v>147.12619808306999</v>
      </c>
      <c r="G174">
        <v>119.24520766773</v>
      </c>
      <c r="I174" s="9">
        <f t="shared" si="15"/>
        <v>989.11405456166995</v>
      </c>
      <c r="J174" s="9">
        <f t="shared" si="16"/>
        <v>2999.3076431358299</v>
      </c>
      <c r="K174" s="9">
        <f t="shared" si="17"/>
        <v>989.11405456166995</v>
      </c>
      <c r="L174" s="10">
        <f t="shared" si="14"/>
        <v>0.32978079351924483</v>
      </c>
      <c r="M174" s="10">
        <f t="shared" si="18"/>
        <v>0.38362522888573231</v>
      </c>
      <c r="P174" s="8">
        <f t="shared" si="19"/>
        <v>9.3990847525730405</v>
      </c>
    </row>
    <row r="175" spans="1:16" x14ac:dyDescent="0.2">
      <c r="A175" s="8">
        <v>86.5</v>
      </c>
      <c r="B175" s="8">
        <v>173</v>
      </c>
      <c r="D175">
        <v>3104.8829190055999</v>
      </c>
      <c r="E175">
        <v>1112.5525260626</v>
      </c>
      <c r="F175">
        <v>147.24760383386999</v>
      </c>
      <c r="G175">
        <v>119.71485623002999</v>
      </c>
      <c r="I175" s="9">
        <f t="shared" si="15"/>
        <v>992.83766983256999</v>
      </c>
      <c r="J175" s="9">
        <f t="shared" si="16"/>
        <v>2957.6353151717299</v>
      </c>
      <c r="K175" s="9">
        <f t="shared" si="17"/>
        <v>992.83766983256999</v>
      </c>
      <c r="L175" s="10">
        <f t="shared" si="14"/>
        <v>0.3356863047785601</v>
      </c>
      <c r="M175" s="10">
        <f t="shared" si="18"/>
        <v>0.38984378918787599</v>
      </c>
      <c r="P175" s="8">
        <f t="shared" si="19"/>
        <v>11.172442588055338</v>
      </c>
    </row>
    <row r="176" spans="1:16" x14ac:dyDescent="0.2">
      <c r="A176" s="8">
        <v>87</v>
      </c>
      <c r="B176" s="8">
        <v>174</v>
      </c>
      <c r="D176">
        <v>3123.2927024860001</v>
      </c>
      <c r="E176">
        <v>1139.0248596632</v>
      </c>
      <c r="F176">
        <v>147.09504792332001</v>
      </c>
      <c r="G176">
        <v>120.05670926518</v>
      </c>
      <c r="I176" s="9">
        <f t="shared" si="15"/>
        <v>1018.96815039802</v>
      </c>
      <c r="J176" s="9">
        <f t="shared" si="16"/>
        <v>2976.1976545626799</v>
      </c>
      <c r="K176" s="9">
        <f t="shared" si="17"/>
        <v>1018.96815039802</v>
      </c>
      <c r="L176" s="10">
        <f t="shared" si="14"/>
        <v>0.3423724727542487</v>
      </c>
      <c r="M176" s="10">
        <f t="shared" si="18"/>
        <v>0.39684300620639301</v>
      </c>
      <c r="P176" s="8">
        <f t="shared" si="19"/>
        <v>13.168421679509908</v>
      </c>
    </row>
    <row r="177" spans="1:16" x14ac:dyDescent="0.2">
      <c r="A177" s="8">
        <v>87.5</v>
      </c>
      <c r="B177" s="8">
        <v>175</v>
      </c>
      <c r="D177">
        <v>3234.5878107458002</v>
      </c>
      <c r="E177">
        <v>1207.1146752205</v>
      </c>
      <c r="F177">
        <v>147.53753993609999</v>
      </c>
      <c r="G177">
        <v>119.51837060702999</v>
      </c>
      <c r="I177" s="9">
        <f t="shared" si="15"/>
        <v>1087.59630461347</v>
      </c>
      <c r="J177" s="9">
        <f t="shared" si="16"/>
        <v>3087.0502708097001</v>
      </c>
      <c r="K177" s="9">
        <f t="shared" si="17"/>
        <v>1087.59630461347</v>
      </c>
      <c r="L177" s="10">
        <f t="shared" si="14"/>
        <v>0.35230923023751254</v>
      </c>
      <c r="M177" s="10">
        <f t="shared" si="18"/>
        <v>0.40709281273248527</v>
      </c>
      <c r="P177" s="8">
        <f t="shared" si="19"/>
        <v>16.091377127727945</v>
      </c>
    </row>
    <row r="178" spans="1:16" x14ac:dyDescent="0.2">
      <c r="A178" s="8">
        <v>88</v>
      </c>
      <c r="B178" s="8">
        <v>176</v>
      </c>
      <c r="D178">
        <v>3206.5533279872002</v>
      </c>
      <c r="E178">
        <v>1213.0601443464</v>
      </c>
      <c r="F178">
        <v>147.40015974440999</v>
      </c>
      <c r="G178">
        <v>119.75159744409</v>
      </c>
      <c r="I178" s="9">
        <f t="shared" si="15"/>
        <v>1093.3085469023099</v>
      </c>
      <c r="J178" s="9">
        <f t="shared" si="16"/>
        <v>3059.1531682427903</v>
      </c>
      <c r="K178" s="9">
        <f t="shared" si="17"/>
        <v>1093.3085469023099</v>
      </c>
      <c r="L178" s="10">
        <f t="shared" si="14"/>
        <v>0.35738927957318262</v>
      </c>
      <c r="M178" s="10">
        <f t="shared" si="18"/>
        <v>0.41248591111098376</v>
      </c>
      <c r="P178" s="8">
        <f t="shared" si="19"/>
        <v>17.629336527066773</v>
      </c>
    </row>
    <row r="179" spans="1:16" x14ac:dyDescent="0.2">
      <c r="A179" s="8">
        <v>88.5</v>
      </c>
      <c r="B179" s="8">
        <v>177</v>
      </c>
      <c r="D179">
        <v>3218.9302325581002</v>
      </c>
      <c r="E179">
        <v>1233.5661587811001</v>
      </c>
      <c r="F179">
        <v>147.52236421724999</v>
      </c>
      <c r="G179">
        <v>119.61741214058</v>
      </c>
      <c r="I179" s="9">
        <f t="shared" si="15"/>
        <v>1113.9487466405201</v>
      </c>
      <c r="J179" s="9">
        <f t="shared" si="16"/>
        <v>3071.4078683408502</v>
      </c>
      <c r="K179" s="9">
        <f t="shared" si="17"/>
        <v>1113.9487466405201</v>
      </c>
      <c r="L179" s="10">
        <f t="shared" si="14"/>
        <v>0.36268343196055763</v>
      </c>
      <c r="M179" s="10">
        <f t="shared" si="18"/>
        <v>0.4180931125411872</v>
      </c>
      <c r="P179" s="8">
        <f t="shared" si="19"/>
        <v>19.22835207218435</v>
      </c>
    </row>
    <row r="180" spans="1:16" x14ac:dyDescent="0.2">
      <c r="A180" s="8">
        <v>89</v>
      </c>
      <c r="B180" s="8">
        <v>178</v>
      </c>
      <c r="D180">
        <v>3138.1873990306999</v>
      </c>
      <c r="E180">
        <v>1184.3820678514001</v>
      </c>
      <c r="F180">
        <v>147.93290734824001</v>
      </c>
      <c r="G180">
        <v>120.01357827475999</v>
      </c>
      <c r="I180" s="9">
        <f t="shared" si="15"/>
        <v>1064.3684895766401</v>
      </c>
      <c r="J180" s="9">
        <f t="shared" si="16"/>
        <v>2990.25449168246</v>
      </c>
      <c r="K180" s="9">
        <f t="shared" si="17"/>
        <v>1064.3684895766401</v>
      </c>
      <c r="L180" s="10">
        <f t="shared" si="14"/>
        <v>0.35594578740278909</v>
      </c>
      <c r="M180" s="10">
        <f t="shared" si="18"/>
        <v>0.41166851702624707</v>
      </c>
      <c r="P180" s="8">
        <f t="shared" si="19"/>
        <v>17.396238810808395</v>
      </c>
    </row>
    <row r="181" spans="1:16" x14ac:dyDescent="0.2">
      <c r="A181" s="8">
        <v>89.5</v>
      </c>
      <c r="B181" s="8">
        <v>179</v>
      </c>
      <c r="D181">
        <v>3189.5815831987002</v>
      </c>
      <c r="E181">
        <v>1205.9386106623999</v>
      </c>
      <c r="F181">
        <v>147.94808306709001</v>
      </c>
      <c r="G181">
        <v>119.97204472844</v>
      </c>
      <c r="I181" s="9">
        <f t="shared" si="15"/>
        <v>1085.9665659339598</v>
      </c>
      <c r="J181" s="9">
        <f t="shared" si="16"/>
        <v>3041.6335001316102</v>
      </c>
      <c r="K181" s="9">
        <f t="shared" si="17"/>
        <v>1085.9665659339598</v>
      </c>
      <c r="L181" s="10">
        <f t="shared" si="14"/>
        <v>0.35703399699108079</v>
      </c>
      <c r="M181" s="10">
        <f t="shared" si="18"/>
        <v>0.41306977565736719</v>
      </c>
      <c r="P181" s="8">
        <f t="shared" si="19"/>
        <v>17.79583821200379</v>
      </c>
    </row>
    <row r="182" spans="1:16" x14ac:dyDescent="0.2">
      <c r="A182" s="8">
        <v>90</v>
      </c>
      <c r="B182" s="8">
        <v>180</v>
      </c>
      <c r="D182">
        <v>3235.9054927302</v>
      </c>
      <c r="E182">
        <v>1240.1211631664</v>
      </c>
      <c r="F182">
        <v>147.90894568690001</v>
      </c>
      <c r="G182">
        <v>119.97044728435</v>
      </c>
      <c r="I182" s="9">
        <f t="shared" si="15"/>
        <v>1120.15071588205</v>
      </c>
      <c r="J182" s="9">
        <f t="shared" si="16"/>
        <v>3087.9965470432999</v>
      </c>
      <c r="K182" s="9">
        <f t="shared" si="17"/>
        <v>1120.15071588205</v>
      </c>
      <c r="L182" s="10">
        <f t="shared" si="14"/>
        <v>0.36274351308927916</v>
      </c>
      <c r="M182" s="10">
        <f>L182+ABS($N$2)*A182</f>
        <v>0.41909234079839397</v>
      </c>
      <c r="P182" s="8">
        <f t="shared" si="19"/>
        <v>19.51330376088022</v>
      </c>
    </row>
    <row r="183" spans="1:16" x14ac:dyDescent="0.2">
      <c r="A183" s="8">
        <v>90.5</v>
      </c>
      <c r="B183" s="8">
        <v>181</v>
      </c>
      <c r="D183">
        <v>3273.3511146496999</v>
      </c>
      <c r="E183">
        <v>1275.3590764331</v>
      </c>
      <c r="F183">
        <v>147.98961661342</v>
      </c>
      <c r="G183">
        <v>119.93610223642</v>
      </c>
      <c r="I183" s="9">
        <f t="shared" si="15"/>
        <v>1155.4229741966799</v>
      </c>
      <c r="J183" s="9">
        <f t="shared" si="16"/>
        <v>3125.36149803628</v>
      </c>
      <c r="K183" s="9">
        <f t="shared" si="17"/>
        <v>1155.4229741966799</v>
      </c>
      <c r="L183" s="10">
        <f t="shared" si="14"/>
        <v>0.36969258593690768</v>
      </c>
      <c r="M183" s="10">
        <f t="shared" ref="M183:M241" si="20">L183+ABS($N$2)*A183</f>
        <v>0.42635446268885091</v>
      </c>
      <c r="P183" s="8">
        <f t="shared" si="19"/>
        <v>21.584255899469255</v>
      </c>
    </row>
    <row r="184" spans="1:16" x14ac:dyDescent="0.2">
      <c r="A184" s="8">
        <v>91</v>
      </c>
      <c r="B184" s="8">
        <v>182</v>
      </c>
      <c r="D184">
        <v>3199.9036624204</v>
      </c>
      <c r="E184">
        <v>1254.1242038216999</v>
      </c>
      <c r="F184">
        <v>147.76437699681</v>
      </c>
      <c r="G184">
        <v>120.06469648562</v>
      </c>
      <c r="I184" s="9">
        <f t="shared" si="15"/>
        <v>1134.0595073360798</v>
      </c>
      <c r="J184" s="9">
        <f t="shared" si="16"/>
        <v>3052.1392854235901</v>
      </c>
      <c r="K184" s="9">
        <f t="shared" si="17"/>
        <v>1134.0595073360798</v>
      </c>
      <c r="L184" s="10">
        <f t="shared" si="14"/>
        <v>0.37156217370292449</v>
      </c>
      <c r="M184" s="10">
        <f t="shared" si="20"/>
        <v>0.42853709949769614</v>
      </c>
      <c r="P184" s="8">
        <f t="shared" si="19"/>
        <v>22.206682297046115</v>
      </c>
    </row>
    <row r="185" spans="1:16" x14ac:dyDescent="0.2">
      <c r="A185" s="8">
        <v>91.5</v>
      </c>
      <c r="B185" s="8">
        <v>183</v>
      </c>
      <c r="D185">
        <v>3185.0676751592</v>
      </c>
      <c r="E185">
        <v>1246.8630573247999</v>
      </c>
      <c r="F185">
        <v>147.70207667732001</v>
      </c>
      <c r="G185">
        <v>119.93210862620001</v>
      </c>
      <c r="I185" s="9">
        <f t="shared" si="15"/>
        <v>1126.9309486985999</v>
      </c>
      <c r="J185" s="9">
        <f t="shared" si="16"/>
        <v>3037.3655984818802</v>
      </c>
      <c r="K185" s="9">
        <f t="shared" si="17"/>
        <v>1126.9309486985999</v>
      </c>
      <c r="L185" s="10">
        <f t="shared" si="14"/>
        <v>0.37102249043113428</v>
      </c>
      <c r="M185" s="10">
        <f t="shared" si="20"/>
        <v>0.42831046526873434</v>
      </c>
      <c r="P185" s="8">
        <f t="shared" si="19"/>
        <v>22.142052613294499</v>
      </c>
    </row>
    <row r="186" spans="1:16" x14ac:dyDescent="0.2">
      <c r="A186" s="8">
        <v>92</v>
      </c>
      <c r="B186" s="8">
        <v>184</v>
      </c>
      <c r="D186">
        <v>3250.0080710249999</v>
      </c>
      <c r="E186">
        <v>1270.0589184826999</v>
      </c>
      <c r="F186">
        <v>147.66214057508</v>
      </c>
      <c r="G186">
        <v>120.1357827476</v>
      </c>
      <c r="I186" s="9">
        <f t="shared" si="15"/>
        <v>1149.9231357351</v>
      </c>
      <c r="J186" s="9">
        <f t="shared" si="16"/>
        <v>3102.3459304499202</v>
      </c>
      <c r="K186" s="9">
        <f t="shared" si="17"/>
        <v>1149.9231357351</v>
      </c>
      <c r="L186" s="10">
        <f t="shared" si="14"/>
        <v>0.37066244755249828</v>
      </c>
      <c r="M186" s="10">
        <f t="shared" si="20"/>
        <v>0.42826347143292676</v>
      </c>
      <c r="P186" s="8">
        <f t="shared" si="19"/>
        <v>22.128651298054375</v>
      </c>
    </row>
    <row r="187" spans="1:16" x14ac:dyDescent="0.2">
      <c r="A187" s="8">
        <v>92.5</v>
      </c>
      <c r="B187" s="8">
        <v>185</v>
      </c>
      <c r="D187">
        <v>3273.2179176754998</v>
      </c>
      <c r="E187">
        <v>1275.6222760291</v>
      </c>
      <c r="F187">
        <v>148.65814696486001</v>
      </c>
      <c r="G187">
        <v>120.03993610224001</v>
      </c>
      <c r="I187" s="9">
        <f t="shared" si="15"/>
        <v>1155.58233992686</v>
      </c>
      <c r="J187" s="9">
        <f t="shared" si="16"/>
        <v>3124.5597707106399</v>
      </c>
      <c r="K187" s="9">
        <f t="shared" si="17"/>
        <v>1155.58233992686</v>
      </c>
      <c r="L187" s="10">
        <f t="shared" si="14"/>
        <v>0.36983844916624464</v>
      </c>
      <c r="M187" s="10">
        <f t="shared" si="20"/>
        <v>0.42775252208950154</v>
      </c>
      <c r="P187" s="8">
        <f t="shared" si="19"/>
        <v>21.982942970455575</v>
      </c>
    </row>
    <row r="188" spans="1:16" x14ac:dyDescent="0.2">
      <c r="A188" s="8">
        <v>93</v>
      </c>
      <c r="B188" s="8">
        <v>186</v>
      </c>
      <c r="D188">
        <v>3261.3478611783999</v>
      </c>
      <c r="E188">
        <v>1268.6973365617</v>
      </c>
      <c r="F188">
        <v>147.79552715655001</v>
      </c>
      <c r="G188">
        <v>119.75239616613</v>
      </c>
      <c r="I188" s="9">
        <f t="shared" si="15"/>
        <v>1148.94494039557</v>
      </c>
      <c r="J188" s="9">
        <f t="shared" si="16"/>
        <v>3113.5523340218497</v>
      </c>
      <c r="K188" s="9">
        <f t="shared" si="17"/>
        <v>1148.94494039557</v>
      </c>
      <c r="L188" s="10">
        <f t="shared" si="14"/>
        <v>0.36901417324546798</v>
      </c>
      <c r="M188" s="10">
        <f t="shared" si="20"/>
        <v>0.4272412952115533</v>
      </c>
      <c r="P188" s="8">
        <f t="shared" si="19"/>
        <v>21.837155497846176</v>
      </c>
    </row>
    <row r="189" spans="1:16" x14ac:dyDescent="0.2">
      <c r="A189" s="8">
        <v>93.5</v>
      </c>
      <c r="B189" s="8">
        <v>187</v>
      </c>
      <c r="D189">
        <v>3284.5456012914001</v>
      </c>
      <c r="E189">
        <v>1277.1355932203001</v>
      </c>
      <c r="F189">
        <v>148.34185303513999</v>
      </c>
      <c r="G189">
        <v>119.94488817891001</v>
      </c>
      <c r="I189" s="9">
        <f t="shared" si="15"/>
        <v>1157.1907050413899</v>
      </c>
      <c r="J189" s="9">
        <f t="shared" si="16"/>
        <v>3136.20374825626</v>
      </c>
      <c r="K189" s="9">
        <f t="shared" si="17"/>
        <v>1157.1907050413899</v>
      </c>
      <c r="L189" s="10">
        <f t="shared" si="14"/>
        <v>0.36897816530089667</v>
      </c>
      <c r="M189" s="10">
        <f t="shared" si="20"/>
        <v>0.4275183363098104</v>
      </c>
      <c r="P189" s="8">
        <f t="shared" si="19"/>
        <v>21.916159797631689</v>
      </c>
    </row>
    <row r="190" spans="1:16" x14ac:dyDescent="0.2">
      <c r="A190" s="8">
        <v>94</v>
      </c>
      <c r="B190" s="8">
        <v>188</v>
      </c>
      <c r="D190">
        <v>3261.5431799838998</v>
      </c>
      <c r="E190">
        <v>1270.5609362389</v>
      </c>
      <c r="F190">
        <v>148.32108626198001</v>
      </c>
      <c r="G190">
        <v>120.21884984026001</v>
      </c>
      <c r="I190" s="9">
        <f t="shared" si="15"/>
        <v>1150.34208639864</v>
      </c>
      <c r="J190" s="9">
        <f t="shared" si="16"/>
        <v>3113.2220937219199</v>
      </c>
      <c r="K190" s="9">
        <f t="shared" si="17"/>
        <v>1150.34208639864</v>
      </c>
      <c r="L190" s="10">
        <f t="shared" si="14"/>
        <v>0.36950209518248112</v>
      </c>
      <c r="M190" s="10">
        <f t="shared" si="20"/>
        <v>0.42835531523422327</v>
      </c>
      <c r="P190" s="8">
        <f t="shared" si="19"/>
        <v>22.15484255724559</v>
      </c>
    </row>
    <row r="191" spans="1:16" x14ac:dyDescent="0.2">
      <c r="A191" s="8">
        <v>94.5</v>
      </c>
      <c r="B191" s="8">
        <v>189</v>
      </c>
      <c r="D191">
        <v>3254.7401129944001</v>
      </c>
      <c r="E191">
        <v>1273.2461662630999</v>
      </c>
      <c r="F191">
        <v>148.12220447284</v>
      </c>
      <c r="G191">
        <v>120.48961661342</v>
      </c>
      <c r="I191" s="9">
        <f t="shared" si="15"/>
        <v>1152.75654964968</v>
      </c>
      <c r="J191" s="9">
        <f t="shared" si="16"/>
        <v>3106.6179085215599</v>
      </c>
      <c r="K191" s="9">
        <f t="shared" si="17"/>
        <v>1152.75654964968</v>
      </c>
      <c r="L191" s="10">
        <f t="shared" si="14"/>
        <v>0.37106479895310879</v>
      </c>
      <c r="M191" s="10">
        <f t="shared" si="20"/>
        <v>0.43023106804767935</v>
      </c>
      <c r="P191" s="8">
        <f t="shared" si="19"/>
        <v>22.689754303300965</v>
      </c>
    </row>
    <row r="192" spans="1:16" x14ac:dyDescent="0.2">
      <c r="A192" s="8">
        <v>95</v>
      </c>
      <c r="B192" s="8">
        <v>190</v>
      </c>
      <c r="D192">
        <v>3280.5754640839</v>
      </c>
      <c r="E192">
        <v>1283.4205004036</v>
      </c>
      <c r="F192">
        <v>148.77875399361</v>
      </c>
      <c r="G192">
        <v>120.45926517572001</v>
      </c>
      <c r="I192" s="9">
        <f t="shared" si="15"/>
        <v>1162.96123522788</v>
      </c>
      <c r="J192" s="9">
        <f t="shared" si="16"/>
        <v>3131.7967100902902</v>
      </c>
      <c r="K192" s="9">
        <f t="shared" si="17"/>
        <v>1162.96123522788</v>
      </c>
      <c r="L192" s="10">
        <f t="shared" si="14"/>
        <v>0.37133995047665519</v>
      </c>
      <c r="M192" s="10">
        <f t="shared" si="20"/>
        <v>0.43081926861405417</v>
      </c>
      <c r="P192" s="8">
        <f t="shared" si="19"/>
        <v>22.857492498724806</v>
      </c>
    </row>
    <row r="193" spans="1:16" x14ac:dyDescent="0.2">
      <c r="A193" s="8">
        <v>95.5</v>
      </c>
      <c r="B193" s="8">
        <v>191</v>
      </c>
      <c r="D193">
        <v>3290.2518159806</v>
      </c>
      <c r="E193">
        <v>1298.4600484262</v>
      </c>
      <c r="F193">
        <v>148.93370607028999</v>
      </c>
      <c r="G193">
        <v>120.45607028754</v>
      </c>
      <c r="I193" s="9">
        <f t="shared" si="15"/>
        <v>1178.0039781386599</v>
      </c>
      <c r="J193" s="9">
        <f t="shared" si="16"/>
        <v>3141.3181099103099</v>
      </c>
      <c r="K193" s="9">
        <f t="shared" si="17"/>
        <v>1178.0039781386599</v>
      </c>
      <c r="L193" s="10">
        <f t="shared" si="14"/>
        <v>0.37500308371261831</v>
      </c>
      <c r="M193" s="10">
        <f t="shared" si="20"/>
        <v>0.43479545089284571</v>
      </c>
      <c r="P193" s="8">
        <f t="shared" si="19"/>
        <v>23.991387428869668</v>
      </c>
    </row>
    <row r="194" spans="1:16" x14ac:dyDescent="0.2">
      <c r="A194" s="8">
        <v>96</v>
      </c>
      <c r="B194" s="8">
        <v>192</v>
      </c>
      <c r="D194">
        <v>3344.5358581789001</v>
      </c>
      <c r="E194">
        <v>1322.7107171636001</v>
      </c>
      <c r="F194">
        <v>149.17092651757</v>
      </c>
      <c r="G194">
        <v>120.47763578275</v>
      </c>
      <c r="I194" s="9">
        <f t="shared" si="15"/>
        <v>1202.2330813808501</v>
      </c>
      <c r="J194" s="9">
        <f t="shared" si="16"/>
        <v>3195.36493166133</v>
      </c>
      <c r="K194" s="9">
        <f t="shared" si="17"/>
        <v>1202.2330813808501</v>
      </c>
      <c r="L194" s="10">
        <f t="shared" ref="L194:L257" si="21">K194/J194</f>
        <v>0.37624281016183858</v>
      </c>
      <c r="M194" s="10">
        <f t="shared" si="20"/>
        <v>0.43634822638489434</v>
      </c>
      <c r="P194" s="8">
        <f t="shared" si="19"/>
        <v>24.434195161170678</v>
      </c>
    </row>
    <row r="195" spans="1:16" x14ac:dyDescent="0.2">
      <c r="A195" s="8">
        <v>96.5</v>
      </c>
      <c r="B195" s="8">
        <v>193</v>
      </c>
      <c r="D195">
        <v>3195.5632554392</v>
      </c>
      <c r="E195">
        <v>1272.3875906527001</v>
      </c>
      <c r="F195">
        <v>148.74041533546</v>
      </c>
      <c r="G195">
        <v>120.31150159744</v>
      </c>
      <c r="I195" s="9">
        <f t="shared" ref="I195:I241" si="22">E195-G195</f>
        <v>1152.0760890552601</v>
      </c>
      <c r="J195" s="9">
        <f t="shared" ref="J195:J241" si="23">D195-F195</f>
        <v>3046.82284010374</v>
      </c>
      <c r="K195" s="9">
        <f t="shared" ref="K195:K258" si="24">I195*1</f>
        <v>1152.0760890552601</v>
      </c>
      <c r="L195" s="10">
        <f t="shared" si="21"/>
        <v>0.37812375366597739</v>
      </c>
      <c r="M195" s="10">
        <f t="shared" si="20"/>
        <v>0.43854221893186163</v>
      </c>
      <c r="P195" s="8">
        <f t="shared" ref="P195:P241" si="25">(M195-$O$2)/$O$2*100</f>
        <v>25.059859894664211</v>
      </c>
    </row>
    <row r="196" spans="1:16" x14ac:dyDescent="0.2">
      <c r="A196" s="8">
        <v>97</v>
      </c>
      <c r="B196" s="8">
        <v>194</v>
      </c>
      <c r="D196">
        <v>3220.0016116035999</v>
      </c>
      <c r="E196">
        <v>1279.2264302982001</v>
      </c>
      <c r="F196">
        <v>149.12539936101999</v>
      </c>
      <c r="G196">
        <v>120.42252396166</v>
      </c>
      <c r="I196" s="9">
        <f t="shared" si="22"/>
        <v>1158.80390633654</v>
      </c>
      <c r="J196" s="9">
        <f t="shared" si="23"/>
        <v>3070.8762122425801</v>
      </c>
      <c r="K196" s="9">
        <f t="shared" si="24"/>
        <v>1158.80390633654</v>
      </c>
      <c r="L196" s="10">
        <f t="shared" si="21"/>
        <v>0.37735285509613425</v>
      </c>
      <c r="M196" s="10">
        <f t="shared" si="20"/>
        <v>0.43808436940484685</v>
      </c>
      <c r="P196" s="8">
        <f t="shared" si="25"/>
        <v>24.929294135589135</v>
      </c>
    </row>
    <row r="197" spans="1:16" x14ac:dyDescent="0.2">
      <c r="A197" s="8">
        <v>97.5</v>
      </c>
      <c r="B197" s="8">
        <v>195</v>
      </c>
      <c r="D197">
        <v>3257.7558420628998</v>
      </c>
      <c r="E197">
        <v>1286.6704270749001</v>
      </c>
      <c r="F197">
        <v>148.66773162939</v>
      </c>
      <c r="G197">
        <v>120.22843450479</v>
      </c>
      <c r="I197" s="9">
        <f t="shared" si="22"/>
        <v>1166.4419925701102</v>
      </c>
      <c r="J197" s="9">
        <f t="shared" si="23"/>
        <v>3109.0881104335099</v>
      </c>
      <c r="K197" s="9">
        <f t="shared" si="24"/>
        <v>1166.4419925701102</v>
      </c>
      <c r="L197" s="10">
        <f t="shared" si="21"/>
        <v>0.37517173883099425</v>
      </c>
      <c r="M197" s="10">
        <f t="shared" si="20"/>
        <v>0.43621630218253526</v>
      </c>
      <c r="P197" s="8">
        <f t="shared" si="25"/>
        <v>24.3965741031482</v>
      </c>
    </row>
    <row r="198" spans="1:16" x14ac:dyDescent="0.2">
      <c r="A198" s="8">
        <v>98</v>
      </c>
      <c r="B198" s="8">
        <v>196</v>
      </c>
      <c r="D198">
        <v>3144.1769415531999</v>
      </c>
      <c r="E198">
        <v>1232.0192153723001</v>
      </c>
      <c r="F198">
        <v>148.45846645367001</v>
      </c>
      <c r="G198">
        <v>120.44728434504999</v>
      </c>
      <c r="I198" s="9">
        <f t="shared" si="22"/>
        <v>1111.57193102725</v>
      </c>
      <c r="J198" s="9">
        <f t="shared" si="23"/>
        <v>2995.7184750995298</v>
      </c>
      <c r="K198" s="9">
        <f t="shared" si="24"/>
        <v>1111.57193102725</v>
      </c>
      <c r="L198" s="10">
        <f t="shared" si="21"/>
        <v>0.37105353532605201</v>
      </c>
      <c r="M198" s="10">
        <f t="shared" si="20"/>
        <v>0.43241114772042144</v>
      </c>
      <c r="P198" s="8">
        <f t="shared" si="25"/>
        <v>23.311451477854398</v>
      </c>
    </row>
    <row r="199" spans="1:16" x14ac:dyDescent="0.2">
      <c r="A199" s="8">
        <v>98.5</v>
      </c>
      <c r="B199" s="8">
        <v>197</v>
      </c>
      <c r="D199">
        <v>3122.9015212170002</v>
      </c>
      <c r="E199">
        <v>1222.5020016013</v>
      </c>
      <c r="F199">
        <v>149.27555910543001</v>
      </c>
      <c r="G199">
        <v>120.54392971246</v>
      </c>
      <c r="I199" s="9">
        <f t="shared" si="22"/>
        <v>1101.9580718888401</v>
      </c>
      <c r="J199" s="9">
        <f t="shared" si="23"/>
        <v>2973.6259621115701</v>
      </c>
      <c r="K199" s="9">
        <f t="shared" si="24"/>
        <v>1101.9580718888401</v>
      </c>
      <c r="L199" s="10">
        <f t="shared" si="21"/>
        <v>0.37057722993053921</v>
      </c>
      <c r="M199" s="10">
        <f t="shared" si="20"/>
        <v>0.43224789136773706</v>
      </c>
      <c r="P199" s="8">
        <f t="shared" si="25"/>
        <v>23.264895375129896</v>
      </c>
    </row>
    <row r="200" spans="1:16" x14ac:dyDescent="0.2">
      <c r="A200" s="8">
        <v>99</v>
      </c>
      <c r="B200" s="8">
        <v>198</v>
      </c>
      <c r="D200">
        <v>3156.6677341874001</v>
      </c>
      <c r="E200">
        <v>1227.4547638111001</v>
      </c>
      <c r="F200">
        <v>149.35383386582001</v>
      </c>
      <c r="G200">
        <v>120.16134185304</v>
      </c>
      <c r="I200" s="9">
        <f t="shared" si="22"/>
        <v>1107.29342195806</v>
      </c>
      <c r="J200" s="9">
        <f t="shared" si="23"/>
        <v>3007.3139003215801</v>
      </c>
      <c r="K200" s="9">
        <f t="shared" si="24"/>
        <v>1107.29342195806</v>
      </c>
      <c r="L200" s="10">
        <f t="shared" si="21"/>
        <v>0.36820014759339026</v>
      </c>
      <c r="M200" s="10">
        <f t="shared" si="20"/>
        <v>0.43018385807341653</v>
      </c>
      <c r="P200" s="8">
        <f t="shared" si="25"/>
        <v>22.676291351475435</v>
      </c>
    </row>
    <row r="201" spans="1:16" x14ac:dyDescent="0.2">
      <c r="A201" s="8">
        <v>99.5</v>
      </c>
      <c r="B201" s="8">
        <v>199</v>
      </c>
      <c r="D201">
        <v>3186.8454763811001</v>
      </c>
      <c r="E201">
        <v>1231.2401921537</v>
      </c>
      <c r="F201">
        <v>148.62460063898001</v>
      </c>
      <c r="G201">
        <v>120.57108626198</v>
      </c>
      <c r="I201" s="9">
        <f t="shared" si="22"/>
        <v>1110.6691058917199</v>
      </c>
      <c r="J201" s="9">
        <f t="shared" si="23"/>
        <v>3038.2208757421199</v>
      </c>
      <c r="K201" s="9">
        <f t="shared" si="24"/>
        <v>1110.6691058917199</v>
      </c>
      <c r="L201" s="10">
        <f t="shared" si="21"/>
        <v>0.36556562255218733</v>
      </c>
      <c r="M201" s="10">
        <f t="shared" si="20"/>
        <v>0.42786238207504201</v>
      </c>
      <c r="P201" s="8">
        <f t="shared" si="25"/>
        <v>22.014271936759403</v>
      </c>
    </row>
    <row r="202" spans="1:16" x14ac:dyDescent="0.2">
      <c r="A202" s="8">
        <v>100</v>
      </c>
      <c r="B202" s="8">
        <v>200</v>
      </c>
      <c r="D202">
        <v>3126.4267413931002</v>
      </c>
      <c r="E202">
        <v>1205.2666132905999</v>
      </c>
      <c r="F202">
        <v>149.06549520767001</v>
      </c>
      <c r="G202">
        <v>120.61501597444</v>
      </c>
      <c r="I202" s="9">
        <f t="shared" si="22"/>
        <v>1084.65159731616</v>
      </c>
      <c r="J202" s="9">
        <f t="shared" si="23"/>
        <v>2977.36124618543</v>
      </c>
      <c r="K202" s="9">
        <f t="shared" si="24"/>
        <v>1084.65159731616</v>
      </c>
      <c r="L202" s="10">
        <f t="shared" si="21"/>
        <v>0.36429962897710394</v>
      </c>
      <c r="M202" s="10">
        <f t="shared" si="20"/>
        <v>0.42690943754278704</v>
      </c>
      <c r="P202" s="8">
        <f t="shared" si="25"/>
        <v>21.742519059735468</v>
      </c>
    </row>
    <row r="203" spans="1:16" x14ac:dyDescent="0.2">
      <c r="A203" s="8">
        <v>100.5</v>
      </c>
      <c r="B203" s="8">
        <v>201</v>
      </c>
      <c r="D203">
        <v>3143.8374699760002</v>
      </c>
      <c r="E203">
        <v>1203.9799839872001</v>
      </c>
      <c r="F203">
        <v>148.76357827475999</v>
      </c>
      <c r="G203">
        <v>120.62220447284</v>
      </c>
      <c r="I203" s="9">
        <f t="shared" si="22"/>
        <v>1083.3577795143601</v>
      </c>
      <c r="J203" s="9">
        <f t="shared" si="23"/>
        <v>2995.0738917012404</v>
      </c>
      <c r="K203" s="9">
        <f t="shared" si="24"/>
        <v>1083.3577795143601</v>
      </c>
      <c r="L203" s="10">
        <f t="shared" si="21"/>
        <v>0.36171320598003642</v>
      </c>
      <c r="M203" s="10">
        <f t="shared" si="20"/>
        <v>0.42463606358854794</v>
      </c>
      <c r="P203" s="8">
        <f t="shared" si="25"/>
        <v>21.094216989987665</v>
      </c>
    </row>
    <row r="204" spans="1:16" x14ac:dyDescent="0.2">
      <c r="A204" s="8">
        <v>101</v>
      </c>
      <c r="B204" s="8">
        <v>202</v>
      </c>
      <c r="D204">
        <v>3184.3771016813998</v>
      </c>
      <c r="E204">
        <v>1208.5676541232999</v>
      </c>
      <c r="F204">
        <v>149.23801916932999</v>
      </c>
      <c r="G204">
        <v>120.79153354633</v>
      </c>
      <c r="I204" s="9">
        <f t="shared" si="22"/>
        <v>1087.77612057697</v>
      </c>
      <c r="J204" s="9">
        <f t="shared" si="23"/>
        <v>3035.1390825120698</v>
      </c>
      <c r="K204" s="9">
        <f t="shared" si="24"/>
        <v>1087.77612057697</v>
      </c>
      <c r="L204" s="10">
        <f t="shared" si="21"/>
        <v>0.35839415954429965</v>
      </c>
      <c r="M204" s="10">
        <f t="shared" si="20"/>
        <v>0.42163006619563959</v>
      </c>
      <c r="P204" s="8">
        <f t="shared" si="25"/>
        <v>20.23699139899102</v>
      </c>
    </row>
    <row r="205" spans="1:16" x14ac:dyDescent="0.2">
      <c r="A205" s="8">
        <v>101.5</v>
      </c>
      <c r="B205" s="8">
        <v>203</v>
      </c>
      <c r="D205">
        <v>3190.0848678942998</v>
      </c>
      <c r="E205">
        <v>1206.7838270617001</v>
      </c>
      <c r="F205">
        <v>149.51677316294001</v>
      </c>
      <c r="G205">
        <v>120.51517571885</v>
      </c>
      <c r="I205" s="9">
        <f t="shared" si="22"/>
        <v>1086.26865134285</v>
      </c>
      <c r="J205" s="9">
        <f t="shared" si="23"/>
        <v>3040.5680947313599</v>
      </c>
      <c r="K205" s="9">
        <f t="shared" si="24"/>
        <v>1086.26865134285</v>
      </c>
      <c r="L205" s="10">
        <f t="shared" si="21"/>
        <v>0.35725845220342745</v>
      </c>
      <c r="M205" s="10">
        <f t="shared" si="20"/>
        <v>0.4208074078975958</v>
      </c>
      <c r="P205" s="8">
        <f t="shared" si="25"/>
        <v>20.002392477716981</v>
      </c>
    </row>
    <row r="206" spans="1:16" x14ac:dyDescent="0.2">
      <c r="A206" s="8">
        <v>102</v>
      </c>
      <c r="B206" s="8">
        <v>204</v>
      </c>
      <c r="D206">
        <v>3150.4027221777001</v>
      </c>
      <c r="E206">
        <v>1200.6557245797001</v>
      </c>
      <c r="F206">
        <v>148.90415335463001</v>
      </c>
      <c r="G206">
        <v>120.52795527156999</v>
      </c>
      <c r="I206" s="9">
        <f t="shared" si="22"/>
        <v>1080.1277693081302</v>
      </c>
      <c r="J206" s="9">
        <f t="shared" si="23"/>
        <v>3001.4985688230699</v>
      </c>
      <c r="K206" s="9">
        <f t="shared" si="24"/>
        <v>1080.1277693081302</v>
      </c>
      <c r="L206" s="10">
        <f t="shared" si="21"/>
        <v>0.35986283003015507</v>
      </c>
      <c r="M206" s="10">
        <f t="shared" si="20"/>
        <v>0.42372483476715184</v>
      </c>
      <c r="P206" s="8">
        <f t="shared" si="25"/>
        <v>20.834360255980755</v>
      </c>
    </row>
    <row r="207" spans="1:16" x14ac:dyDescent="0.2">
      <c r="A207" s="8">
        <v>102.5</v>
      </c>
      <c r="B207" s="8">
        <v>205</v>
      </c>
      <c r="D207">
        <v>3189.00645682</v>
      </c>
      <c r="E207">
        <v>1209.6182405166001</v>
      </c>
      <c r="F207">
        <v>149.19728434505001</v>
      </c>
      <c r="G207">
        <v>121.02955271566</v>
      </c>
      <c r="I207" s="9">
        <f t="shared" si="22"/>
        <v>1088.5886878009401</v>
      </c>
      <c r="J207" s="9">
        <f t="shared" si="23"/>
        <v>3039.8091724749502</v>
      </c>
      <c r="K207" s="9">
        <f t="shared" si="24"/>
        <v>1088.5886878009401</v>
      </c>
      <c r="L207" s="10">
        <f t="shared" si="21"/>
        <v>0.35811086355615984</v>
      </c>
      <c r="M207" s="10">
        <f t="shared" si="20"/>
        <v>0.42228591733598503</v>
      </c>
      <c r="P207" s="8">
        <f t="shared" si="25"/>
        <v>20.424021628197071</v>
      </c>
    </row>
    <row r="208" spans="1:16" x14ac:dyDescent="0.2">
      <c r="A208" s="8">
        <v>103</v>
      </c>
      <c r="B208" s="8">
        <v>206</v>
      </c>
      <c r="D208">
        <v>3193.6892655367001</v>
      </c>
      <c r="E208">
        <v>1206.3075060532999</v>
      </c>
      <c r="F208">
        <v>149.27875399361</v>
      </c>
      <c r="G208">
        <v>120.87939297125</v>
      </c>
      <c r="I208" s="9">
        <f t="shared" si="22"/>
        <v>1085.42811308205</v>
      </c>
      <c r="J208" s="9">
        <f t="shared" si="23"/>
        <v>3044.4105115430903</v>
      </c>
      <c r="K208" s="9">
        <f t="shared" si="24"/>
        <v>1085.42811308205</v>
      </c>
      <c r="L208" s="10">
        <f t="shared" si="21"/>
        <v>0.35653145624303134</v>
      </c>
      <c r="M208" s="10">
        <f t="shared" si="20"/>
        <v>0.42101955906568495</v>
      </c>
      <c r="P208" s="8">
        <f t="shared" si="25"/>
        <v>20.062892001394175</v>
      </c>
    </row>
    <row r="209" spans="1:16" x14ac:dyDescent="0.2">
      <c r="A209" s="8">
        <v>103.5</v>
      </c>
      <c r="B209" s="8">
        <v>207</v>
      </c>
      <c r="D209">
        <v>3171.7522195319002</v>
      </c>
      <c r="E209">
        <v>1189.5916061339999</v>
      </c>
      <c r="F209">
        <v>149.69009584665</v>
      </c>
      <c r="G209">
        <v>120.89057507987</v>
      </c>
      <c r="I209" s="9">
        <f t="shared" si="22"/>
        <v>1068.70103105413</v>
      </c>
      <c r="J209" s="9">
        <f t="shared" si="23"/>
        <v>3022.0621236852503</v>
      </c>
      <c r="K209" s="9">
        <f t="shared" si="24"/>
        <v>1068.70103105413</v>
      </c>
      <c r="L209" s="10">
        <f t="shared" si="21"/>
        <v>0.35363304502519749</v>
      </c>
      <c r="M209" s="10">
        <f t="shared" si="20"/>
        <v>0.41843419689067951</v>
      </c>
      <c r="P209" s="8">
        <f t="shared" si="25"/>
        <v>19.325619699150042</v>
      </c>
    </row>
    <row r="210" spans="1:16" x14ac:dyDescent="0.2">
      <c r="A210" s="8">
        <v>104</v>
      </c>
      <c r="B210" s="8">
        <v>208</v>
      </c>
      <c r="D210">
        <v>3132.7021791768002</v>
      </c>
      <c r="E210">
        <v>1166.3502824858999</v>
      </c>
      <c r="F210">
        <v>150.07827476038</v>
      </c>
      <c r="G210">
        <v>120.73322683706</v>
      </c>
      <c r="I210" s="9">
        <f t="shared" si="22"/>
        <v>1045.6170556488398</v>
      </c>
      <c r="J210" s="9">
        <f t="shared" si="23"/>
        <v>2982.6239044164204</v>
      </c>
      <c r="K210" s="9">
        <f t="shared" si="24"/>
        <v>1045.6170556488398</v>
      </c>
      <c r="L210" s="10">
        <f t="shared" si="21"/>
        <v>0.35056952842783073</v>
      </c>
      <c r="M210" s="10">
        <f t="shared" si="20"/>
        <v>0.41568372933614117</v>
      </c>
      <c r="P210" s="8">
        <f t="shared" si="25"/>
        <v>18.541264003926024</v>
      </c>
    </row>
    <row r="211" spans="1:16" x14ac:dyDescent="0.2">
      <c r="A211" s="8">
        <v>104.5</v>
      </c>
      <c r="B211" s="8">
        <v>209</v>
      </c>
      <c r="D211">
        <v>3167.4584342212002</v>
      </c>
      <c r="E211">
        <v>1165.2058111379999</v>
      </c>
      <c r="F211">
        <v>149.84265175719</v>
      </c>
      <c r="G211">
        <v>120.92092651757</v>
      </c>
      <c r="I211" s="9">
        <f t="shared" si="22"/>
        <v>1044.2848846204299</v>
      </c>
      <c r="J211" s="9">
        <f t="shared" si="23"/>
        <v>3017.61578246401</v>
      </c>
      <c r="K211" s="9">
        <f t="shared" si="24"/>
        <v>1044.2848846204299</v>
      </c>
      <c r="L211" s="10">
        <f t="shared" si="21"/>
        <v>0.34606290525420286</v>
      </c>
      <c r="M211" s="10">
        <f t="shared" si="20"/>
        <v>0.41149015520534171</v>
      </c>
      <c r="P211" s="8">
        <f t="shared" si="25"/>
        <v>17.345375055005565</v>
      </c>
    </row>
    <row r="212" spans="1:16" x14ac:dyDescent="0.2">
      <c r="A212" s="8">
        <v>105</v>
      </c>
      <c r="B212" s="8">
        <v>210</v>
      </c>
      <c r="D212">
        <v>3205.4514563107</v>
      </c>
      <c r="E212">
        <v>1185.1925566343</v>
      </c>
      <c r="F212">
        <v>149.50319488817999</v>
      </c>
      <c r="G212">
        <v>120.62619808306999</v>
      </c>
      <c r="I212" s="9">
        <f t="shared" si="22"/>
        <v>1064.56635855123</v>
      </c>
      <c r="J212" s="9">
        <f t="shared" si="23"/>
        <v>3055.9482614225199</v>
      </c>
      <c r="K212" s="9">
        <f t="shared" si="24"/>
        <v>1064.56635855123</v>
      </c>
      <c r="L212" s="10">
        <f t="shared" si="21"/>
        <v>0.34835876378865221</v>
      </c>
      <c r="M212" s="10">
        <f t="shared" si="20"/>
        <v>0.41409906278261949</v>
      </c>
      <c r="P212" s="8">
        <f t="shared" si="25"/>
        <v>18.089361841242855</v>
      </c>
    </row>
    <row r="213" spans="1:16" x14ac:dyDescent="0.2">
      <c r="A213" s="8">
        <v>105.5</v>
      </c>
      <c r="B213" s="8">
        <v>211</v>
      </c>
      <c r="D213">
        <v>3233.0922330097001</v>
      </c>
      <c r="E213">
        <v>1190.8017799352999</v>
      </c>
      <c r="F213">
        <v>149.68929712459999</v>
      </c>
      <c r="G213">
        <v>121</v>
      </c>
      <c r="I213" s="9">
        <f t="shared" si="22"/>
        <v>1069.8017799352999</v>
      </c>
      <c r="J213" s="9">
        <f t="shared" si="23"/>
        <v>3083.4029358851003</v>
      </c>
      <c r="K213" s="9">
        <f t="shared" si="24"/>
        <v>1069.8017799352999</v>
      </c>
      <c r="L213" s="10">
        <f t="shared" si="21"/>
        <v>0.34695490734758933</v>
      </c>
      <c r="M213" s="10">
        <f t="shared" si="20"/>
        <v>0.41300825538438501</v>
      </c>
      <c r="P213" s="8">
        <f t="shared" si="25"/>
        <v>17.778294366992533</v>
      </c>
    </row>
    <row r="214" spans="1:16" x14ac:dyDescent="0.2">
      <c r="A214" s="8">
        <v>106</v>
      </c>
      <c r="B214" s="8">
        <v>212</v>
      </c>
      <c r="D214">
        <v>3231.0396440129002</v>
      </c>
      <c r="E214">
        <v>1187.0881877023</v>
      </c>
      <c r="F214">
        <v>149.74680511182001</v>
      </c>
      <c r="G214">
        <v>120.89057507987</v>
      </c>
      <c r="I214" s="9">
        <f t="shared" si="22"/>
        <v>1066.1976126224301</v>
      </c>
      <c r="J214" s="9">
        <f t="shared" si="23"/>
        <v>3081.2928389010804</v>
      </c>
      <c r="K214" s="9">
        <f t="shared" si="24"/>
        <v>1066.1976126224301</v>
      </c>
      <c r="L214" s="10">
        <f t="shared" si="21"/>
        <v>0.34602281197092627</v>
      </c>
      <c r="M214" s="10">
        <f t="shared" si="20"/>
        <v>0.41238920905055038</v>
      </c>
      <c r="P214" s="8">
        <f t="shared" si="25"/>
        <v>17.601759829528323</v>
      </c>
    </row>
    <row r="215" spans="1:16" x14ac:dyDescent="0.2">
      <c r="A215" s="8">
        <v>106.5</v>
      </c>
      <c r="B215" s="8">
        <v>213</v>
      </c>
      <c r="D215">
        <v>3214.2734627832001</v>
      </c>
      <c r="E215">
        <v>1180.0436893204001</v>
      </c>
      <c r="F215">
        <v>149.79792332267999</v>
      </c>
      <c r="G215">
        <v>121.09265175719</v>
      </c>
      <c r="I215" s="9">
        <f t="shared" si="22"/>
        <v>1058.9510375632101</v>
      </c>
      <c r="J215" s="9">
        <f t="shared" si="23"/>
        <v>3064.4755394605199</v>
      </c>
      <c r="K215" s="9">
        <f t="shared" si="24"/>
        <v>1058.9510375632101</v>
      </c>
      <c r="L215" s="10">
        <f t="shared" si="21"/>
        <v>0.34555702074542621</v>
      </c>
      <c r="M215" s="10">
        <f t="shared" si="20"/>
        <v>0.41223646686787874</v>
      </c>
      <c r="P215" s="8">
        <f t="shared" si="25"/>
        <v>17.558202071254907</v>
      </c>
    </row>
    <row r="216" spans="1:16" x14ac:dyDescent="0.2">
      <c r="A216" s="8">
        <v>107</v>
      </c>
      <c r="B216" s="8">
        <v>214</v>
      </c>
      <c r="D216">
        <v>3207.2305825243002</v>
      </c>
      <c r="E216">
        <v>1166.5072815533999</v>
      </c>
      <c r="F216">
        <v>150.03274760382999</v>
      </c>
      <c r="G216">
        <v>121.11102236422001</v>
      </c>
      <c r="I216" s="9">
        <f t="shared" si="22"/>
        <v>1045.39625918918</v>
      </c>
      <c r="J216" s="9">
        <f t="shared" si="23"/>
        <v>3057.1978349204701</v>
      </c>
      <c r="K216" s="9">
        <f t="shared" si="24"/>
        <v>1045.39625918918</v>
      </c>
      <c r="L216" s="10">
        <f t="shared" si="21"/>
        <v>0.34194589805352749</v>
      </c>
      <c r="M216" s="10">
        <f t="shared" si="20"/>
        <v>0.40893839321880843</v>
      </c>
      <c r="P216" s="8">
        <f t="shared" si="25"/>
        <v>16.617684577911579</v>
      </c>
    </row>
    <row r="217" spans="1:16" x14ac:dyDescent="0.2">
      <c r="A217" s="8">
        <v>107.5</v>
      </c>
      <c r="B217" s="8">
        <v>215</v>
      </c>
      <c r="D217">
        <v>3130.0614886731</v>
      </c>
      <c r="E217">
        <v>1132.4603559871</v>
      </c>
      <c r="F217">
        <v>149.47763578275001</v>
      </c>
      <c r="G217">
        <v>121.11341853035</v>
      </c>
      <c r="I217" s="9">
        <f t="shared" si="22"/>
        <v>1011.34693745675</v>
      </c>
      <c r="J217" s="9">
        <f t="shared" si="23"/>
        <v>2980.58385289035</v>
      </c>
      <c r="K217" s="9">
        <f t="shared" si="24"/>
        <v>1011.34693745675</v>
      </c>
      <c r="L217" s="10">
        <f t="shared" si="21"/>
        <v>0.33931168770038811</v>
      </c>
      <c r="M217" s="10">
        <f t="shared" si="20"/>
        <v>0.40661723190849747</v>
      </c>
      <c r="P217" s="8">
        <f t="shared" si="25"/>
        <v>15.95575490334698</v>
      </c>
    </row>
    <row r="218" spans="1:16" x14ac:dyDescent="0.2">
      <c r="A218" s="8">
        <v>108</v>
      </c>
      <c r="B218" s="8">
        <v>216</v>
      </c>
      <c r="D218">
        <v>3171.6645264847998</v>
      </c>
      <c r="E218">
        <v>1142.2520064206001</v>
      </c>
      <c r="F218">
        <v>149.76437699681</v>
      </c>
      <c r="G218">
        <v>121.23402555910999</v>
      </c>
      <c r="I218" s="9">
        <f t="shared" si="22"/>
        <v>1021.0179808614901</v>
      </c>
      <c r="J218" s="9">
        <f t="shared" si="23"/>
        <v>3021.9001494879899</v>
      </c>
      <c r="K218" s="9">
        <f t="shared" si="24"/>
        <v>1021.0179808614901</v>
      </c>
      <c r="L218" s="10">
        <f t="shared" si="21"/>
        <v>0.33787283839755072</v>
      </c>
      <c r="M218" s="10">
        <f t="shared" si="20"/>
        <v>0.4054914316484885</v>
      </c>
      <c r="P218" s="8">
        <f t="shared" si="25"/>
        <v>15.634708452838703</v>
      </c>
    </row>
    <row r="219" spans="1:16" x14ac:dyDescent="0.2">
      <c r="A219" s="8">
        <v>108.5</v>
      </c>
      <c r="B219" s="8">
        <v>217</v>
      </c>
      <c r="D219">
        <v>3182.9165329052998</v>
      </c>
      <c r="E219">
        <v>1141.7086677368</v>
      </c>
      <c r="F219">
        <v>149.87460063898001</v>
      </c>
      <c r="G219">
        <v>121.23961661342</v>
      </c>
      <c r="I219" s="9">
        <f t="shared" si="22"/>
        <v>1020.4690511233799</v>
      </c>
      <c r="J219" s="9">
        <f t="shared" si="23"/>
        <v>3033.0419322663197</v>
      </c>
      <c r="K219" s="9">
        <f t="shared" si="24"/>
        <v>1020.4690511233799</v>
      </c>
      <c r="L219" s="10">
        <f t="shared" si="21"/>
        <v>0.3364506900703727</v>
      </c>
      <c r="M219" s="10">
        <f t="shared" si="20"/>
        <v>0.4043823323641389</v>
      </c>
      <c r="P219" s="8">
        <f t="shared" si="25"/>
        <v>15.31842464908574</v>
      </c>
    </row>
    <row r="220" spans="1:16" x14ac:dyDescent="0.2">
      <c r="A220" s="8">
        <v>109</v>
      </c>
      <c r="B220" s="8">
        <v>218</v>
      </c>
      <c r="D220">
        <v>3190.3699839485998</v>
      </c>
      <c r="E220">
        <v>1150.2993579454001</v>
      </c>
      <c r="F220">
        <v>149.97923322683999</v>
      </c>
      <c r="G220">
        <v>121.06549520767</v>
      </c>
      <c r="I220" s="9">
        <f t="shared" si="22"/>
        <v>1029.2338627377301</v>
      </c>
      <c r="J220" s="9">
        <f t="shared" si="23"/>
        <v>3040.39075072176</v>
      </c>
      <c r="K220" s="9">
        <f t="shared" si="24"/>
        <v>1029.2338627377301</v>
      </c>
      <c r="L220" s="10">
        <f t="shared" si="21"/>
        <v>0.33852025845473965</v>
      </c>
      <c r="M220" s="10">
        <f t="shared" si="20"/>
        <v>0.40676494979133426</v>
      </c>
      <c r="P220" s="8">
        <f t="shared" si="25"/>
        <v>15.997879873153767</v>
      </c>
    </row>
    <row r="221" spans="1:16" x14ac:dyDescent="0.2">
      <c r="A221" s="8">
        <v>109.5</v>
      </c>
      <c r="B221" s="8">
        <v>219</v>
      </c>
      <c r="D221">
        <v>3171.6910112360001</v>
      </c>
      <c r="E221">
        <v>1144.0987158908999</v>
      </c>
      <c r="F221">
        <v>149.54313099042</v>
      </c>
      <c r="G221">
        <v>121.21645367412</v>
      </c>
      <c r="I221" s="9">
        <f t="shared" si="22"/>
        <v>1022.88226221678</v>
      </c>
      <c r="J221" s="9">
        <f t="shared" si="23"/>
        <v>3022.1478802455799</v>
      </c>
      <c r="K221" s="9">
        <f t="shared" si="24"/>
        <v>1022.88226221678</v>
      </c>
      <c r="L221" s="10">
        <f t="shared" si="21"/>
        <v>0.33846201534441805</v>
      </c>
      <c r="M221" s="10">
        <f t="shared" si="20"/>
        <v>0.40701975572384108</v>
      </c>
      <c r="P221" s="8">
        <f t="shared" si="25"/>
        <v>16.070543331411553</v>
      </c>
    </row>
    <row r="222" spans="1:16" x14ac:dyDescent="0.2">
      <c r="A222" s="8">
        <v>110</v>
      </c>
      <c r="B222" s="8">
        <v>220</v>
      </c>
      <c r="D222">
        <v>3183.8914790997001</v>
      </c>
      <c r="E222">
        <v>1138.4911575563001</v>
      </c>
      <c r="F222">
        <v>150.03434504792</v>
      </c>
      <c r="G222">
        <v>120.96086261981</v>
      </c>
      <c r="I222" s="9">
        <f t="shared" si="22"/>
        <v>1017.5302949364901</v>
      </c>
      <c r="J222" s="9">
        <f t="shared" si="23"/>
        <v>3033.8571340517801</v>
      </c>
      <c r="K222" s="9">
        <f t="shared" si="24"/>
        <v>1017.5302949364901</v>
      </c>
      <c r="L222" s="10">
        <f t="shared" si="21"/>
        <v>0.33539163183256326</v>
      </c>
      <c r="M222" s="10">
        <f t="shared" si="20"/>
        <v>0.40426242125481471</v>
      </c>
      <c r="P222" s="8">
        <f t="shared" si="25"/>
        <v>15.284229386042602</v>
      </c>
    </row>
    <row r="223" spans="1:16" x14ac:dyDescent="0.2">
      <c r="A223" s="8">
        <v>110.5</v>
      </c>
      <c r="B223" s="8">
        <v>221</v>
      </c>
      <c r="D223">
        <v>3173.0627009646</v>
      </c>
      <c r="E223">
        <v>1125.7395498392</v>
      </c>
      <c r="F223">
        <v>150.07827476038</v>
      </c>
      <c r="G223">
        <v>121.18450479233</v>
      </c>
      <c r="I223" s="9">
        <f t="shared" si="22"/>
        <v>1004.55504504687</v>
      </c>
      <c r="J223" s="9">
        <f t="shared" si="23"/>
        <v>3022.9844262042202</v>
      </c>
      <c r="K223" s="9">
        <f t="shared" si="24"/>
        <v>1004.55504504687</v>
      </c>
      <c r="L223" s="10">
        <f t="shared" si="21"/>
        <v>0.33230572950990334</v>
      </c>
      <c r="M223" s="10">
        <f t="shared" si="20"/>
        <v>0.4014895679749832</v>
      </c>
      <c r="P223" s="8">
        <f t="shared" si="25"/>
        <v>14.493489913959825</v>
      </c>
    </row>
    <row r="224" spans="1:16" x14ac:dyDescent="0.2">
      <c r="A224" s="8">
        <v>111</v>
      </c>
      <c r="B224" s="8">
        <v>222</v>
      </c>
      <c r="D224">
        <v>3166.6165594855001</v>
      </c>
      <c r="E224">
        <v>1112.7009646301999</v>
      </c>
      <c r="F224">
        <v>149.78674121405999</v>
      </c>
      <c r="G224">
        <v>121.08146964856</v>
      </c>
      <c r="I224" s="9">
        <f t="shared" si="22"/>
        <v>991.61949498163995</v>
      </c>
      <c r="J224" s="9">
        <f t="shared" si="23"/>
        <v>3016.8298182714402</v>
      </c>
      <c r="K224" s="9">
        <f t="shared" si="24"/>
        <v>991.61949498163995</v>
      </c>
      <c r="L224" s="10">
        <f t="shared" si="21"/>
        <v>0.32869586775359122</v>
      </c>
      <c r="M224" s="10">
        <f t="shared" si="20"/>
        <v>0.3981927552614995</v>
      </c>
      <c r="P224" s="8">
        <f t="shared" si="25"/>
        <v>13.553332003847004</v>
      </c>
    </row>
    <row r="225" spans="1:16" x14ac:dyDescent="0.2">
      <c r="A225" s="8">
        <v>111.5</v>
      </c>
      <c r="B225" s="8">
        <v>223</v>
      </c>
      <c r="D225">
        <v>3199.3488745980999</v>
      </c>
      <c r="E225">
        <v>1120.5273311896999</v>
      </c>
      <c r="F225">
        <v>150.56549520767001</v>
      </c>
      <c r="G225">
        <v>120.99041533546</v>
      </c>
      <c r="I225" s="9">
        <f t="shared" si="22"/>
        <v>999.53691585423985</v>
      </c>
      <c r="J225" s="9">
        <f t="shared" si="23"/>
        <v>3048.7833793904297</v>
      </c>
      <c r="K225" s="9">
        <f t="shared" si="24"/>
        <v>999.53691585423985</v>
      </c>
      <c r="L225" s="10">
        <f t="shared" si="21"/>
        <v>0.32784779745620568</v>
      </c>
      <c r="M225" s="10">
        <f t="shared" si="20"/>
        <v>0.39765773400694238</v>
      </c>
      <c r="P225" s="8">
        <f t="shared" si="25"/>
        <v>13.400759046792722</v>
      </c>
    </row>
    <row r="226" spans="1:16" x14ac:dyDescent="0.2">
      <c r="A226" s="8">
        <v>112</v>
      </c>
      <c r="B226" s="8">
        <v>224</v>
      </c>
      <c r="D226">
        <v>3166.4316720257002</v>
      </c>
      <c r="E226">
        <v>1099.4284565916</v>
      </c>
      <c r="F226">
        <v>149.84984025559001</v>
      </c>
      <c r="G226">
        <v>120.77076677316001</v>
      </c>
      <c r="I226" s="9">
        <f t="shared" si="22"/>
        <v>978.65768981844008</v>
      </c>
      <c r="J226" s="9">
        <f t="shared" si="23"/>
        <v>3016.5818317701101</v>
      </c>
      <c r="K226" s="9">
        <f t="shared" si="24"/>
        <v>978.65768981844008</v>
      </c>
      <c r="L226" s="10">
        <f t="shared" si="21"/>
        <v>0.3244260372821281</v>
      </c>
      <c r="M226" s="10">
        <f t="shared" si="20"/>
        <v>0.39454902287569321</v>
      </c>
      <c r="P226" s="8">
        <f t="shared" si="25"/>
        <v>12.514242397440404</v>
      </c>
    </row>
    <row r="227" spans="1:16" x14ac:dyDescent="0.2">
      <c r="A227" s="8">
        <v>112.5</v>
      </c>
      <c r="B227" s="8">
        <v>225</v>
      </c>
      <c r="D227">
        <v>3146.3582802547999</v>
      </c>
      <c r="E227">
        <v>1084.2046178344001</v>
      </c>
      <c r="F227">
        <v>150.53115015974001</v>
      </c>
      <c r="G227">
        <v>121.13019169329</v>
      </c>
      <c r="I227" s="9">
        <f t="shared" si="22"/>
        <v>963.07442614111005</v>
      </c>
      <c r="J227" s="9">
        <f t="shared" si="23"/>
        <v>2995.8271300950601</v>
      </c>
      <c r="K227" s="9">
        <f t="shared" si="24"/>
        <v>963.07442614111005</v>
      </c>
      <c r="L227" s="10">
        <f t="shared" si="21"/>
        <v>0.32147196227258645</v>
      </c>
      <c r="M227" s="10">
        <f t="shared" si="20"/>
        <v>0.39190799690897998</v>
      </c>
      <c r="P227" s="8">
        <f t="shared" si="25"/>
        <v>11.761096353304014</v>
      </c>
    </row>
    <row r="228" spans="1:16" x14ac:dyDescent="0.2">
      <c r="A228" s="8">
        <v>113</v>
      </c>
      <c r="B228" s="8">
        <v>226</v>
      </c>
      <c r="D228">
        <v>3159.5700636943002</v>
      </c>
      <c r="E228">
        <v>1085.4140127389001</v>
      </c>
      <c r="F228">
        <v>150.22044728435</v>
      </c>
      <c r="G228">
        <v>121.18370607029</v>
      </c>
      <c r="I228" s="9">
        <f t="shared" si="22"/>
        <v>964.23030666861007</v>
      </c>
      <c r="J228" s="9">
        <f t="shared" si="23"/>
        <v>3009.3496164099502</v>
      </c>
      <c r="K228" s="9">
        <f t="shared" si="24"/>
        <v>964.23030666861007</v>
      </c>
      <c r="L228" s="10">
        <f t="shared" si="21"/>
        <v>0.32041152726511829</v>
      </c>
      <c r="M228" s="10">
        <f t="shared" si="20"/>
        <v>0.39116061094434018</v>
      </c>
      <c r="P228" s="8">
        <f t="shared" si="25"/>
        <v>11.547962976424706</v>
      </c>
    </row>
    <row r="229" spans="1:16" x14ac:dyDescent="0.2">
      <c r="A229" s="8">
        <v>113.5</v>
      </c>
      <c r="B229" s="8">
        <v>227</v>
      </c>
      <c r="D229">
        <v>3159.9426751592</v>
      </c>
      <c r="E229">
        <v>1073.2054140127</v>
      </c>
      <c r="F229">
        <v>150.03514376997001</v>
      </c>
      <c r="G229">
        <v>121.24201277955</v>
      </c>
      <c r="I229" s="9">
        <f t="shared" si="22"/>
        <v>951.96340123314997</v>
      </c>
      <c r="J229" s="9">
        <f t="shared" si="23"/>
        <v>3009.9075313892299</v>
      </c>
      <c r="K229" s="9">
        <f t="shared" si="24"/>
        <v>951.96340123314997</v>
      </c>
      <c r="L229" s="10">
        <f t="shared" si="21"/>
        <v>0.31627662687490238</v>
      </c>
      <c r="M229" s="10">
        <f t="shared" si="20"/>
        <v>0.38733875959695274</v>
      </c>
      <c r="P229" s="8">
        <f t="shared" si="25"/>
        <v>10.458078870838126</v>
      </c>
    </row>
    <row r="230" spans="1:16" x14ac:dyDescent="0.2">
      <c r="A230" s="8">
        <v>114</v>
      </c>
      <c r="B230" s="8">
        <v>228</v>
      </c>
      <c r="D230">
        <v>3159.8089171974998</v>
      </c>
      <c r="E230">
        <v>1081.2062101910999</v>
      </c>
      <c r="F230">
        <v>149.86980830671001</v>
      </c>
      <c r="G230">
        <v>121.22204472844</v>
      </c>
      <c r="I230" s="9">
        <f t="shared" si="22"/>
        <v>959.98416546265992</v>
      </c>
      <c r="J230" s="9">
        <f t="shared" si="23"/>
        <v>3009.9391088907896</v>
      </c>
      <c r="K230" s="9">
        <f t="shared" si="24"/>
        <v>959.98416546265992</v>
      </c>
      <c r="L230" s="10">
        <f t="shared" si="21"/>
        <v>0.31893806842372613</v>
      </c>
      <c r="M230" s="10">
        <f t="shared" si="20"/>
        <v>0.39031325018860485</v>
      </c>
      <c r="P230" s="8">
        <f t="shared" si="25"/>
        <v>11.306319611617994</v>
      </c>
    </row>
    <row r="231" spans="1:16" x14ac:dyDescent="0.2">
      <c r="A231" s="8">
        <v>114.5</v>
      </c>
      <c r="B231" s="8">
        <v>229</v>
      </c>
      <c r="D231">
        <v>3125.4426751592</v>
      </c>
      <c r="E231">
        <v>1061.8415605096</v>
      </c>
      <c r="F231">
        <v>149.95447284344999</v>
      </c>
      <c r="G231">
        <v>121.02715654952</v>
      </c>
      <c r="I231" s="9">
        <f t="shared" si="22"/>
        <v>940.81440396007997</v>
      </c>
      <c r="J231" s="9">
        <f t="shared" si="23"/>
        <v>2975.4882023157502</v>
      </c>
      <c r="K231" s="9">
        <f t="shared" si="24"/>
        <v>940.81440396007997</v>
      </c>
      <c r="L231" s="10">
        <f t="shared" si="21"/>
        <v>0.31618824878144935</v>
      </c>
      <c r="M231" s="10">
        <f t="shared" si="20"/>
        <v>0.3878764795891565</v>
      </c>
      <c r="P231" s="8">
        <f t="shared" si="25"/>
        <v>10.611421431678341</v>
      </c>
    </row>
    <row r="232" spans="1:16" x14ac:dyDescent="0.2">
      <c r="A232" s="8">
        <v>115</v>
      </c>
      <c r="B232" s="8">
        <v>230</v>
      </c>
      <c r="D232">
        <v>3118.4546178343999</v>
      </c>
      <c r="E232">
        <v>1058.2937898089001</v>
      </c>
      <c r="F232">
        <v>150.36182108625999</v>
      </c>
      <c r="G232">
        <v>121.053514377</v>
      </c>
      <c r="I232" s="9">
        <f t="shared" si="22"/>
        <v>937.24027543190005</v>
      </c>
      <c r="J232" s="9">
        <f t="shared" si="23"/>
        <v>2968.0927967481398</v>
      </c>
      <c r="K232" s="9">
        <f t="shared" si="24"/>
        <v>937.24027543190005</v>
      </c>
      <c r="L232" s="10">
        <f t="shared" si="21"/>
        <v>0.31577189111430282</v>
      </c>
      <c r="M232" s="10">
        <f t="shared" si="20"/>
        <v>0.38777317096483843</v>
      </c>
      <c r="P232" s="8">
        <f t="shared" si="25"/>
        <v>10.581960728636803</v>
      </c>
    </row>
    <row r="233" spans="1:16" x14ac:dyDescent="0.2">
      <c r="A233" s="8">
        <v>115.5</v>
      </c>
      <c r="B233" s="8">
        <v>231</v>
      </c>
      <c r="D233">
        <v>3127.6297770700999</v>
      </c>
      <c r="E233">
        <v>1066.4140127389001</v>
      </c>
      <c r="F233">
        <v>150.54073482428001</v>
      </c>
      <c r="G233">
        <v>121.17891373802</v>
      </c>
      <c r="I233" s="9">
        <f t="shared" si="22"/>
        <v>945.23509900088004</v>
      </c>
      <c r="J233" s="9">
        <f t="shared" si="23"/>
        <v>2977.0890422458197</v>
      </c>
      <c r="K233" s="9">
        <f t="shared" si="24"/>
        <v>945.23509900088004</v>
      </c>
      <c r="L233" s="10">
        <f t="shared" si="21"/>
        <v>0.31750313329151392</v>
      </c>
      <c r="M233" s="10">
        <f t="shared" si="20"/>
        <v>0.38981746218487789</v>
      </c>
      <c r="P233" s="8">
        <f t="shared" si="25"/>
        <v>11.164934870065476</v>
      </c>
    </row>
    <row r="234" spans="1:16" x14ac:dyDescent="0.2">
      <c r="A234" s="8">
        <v>116</v>
      </c>
      <c r="B234" s="8">
        <v>232</v>
      </c>
      <c r="D234">
        <v>3155</v>
      </c>
      <c r="E234">
        <v>1080.7300955414</v>
      </c>
      <c r="F234">
        <v>150.41373801917001</v>
      </c>
      <c r="G234">
        <v>121.01996805112</v>
      </c>
      <c r="I234" s="9">
        <f t="shared" si="22"/>
        <v>959.71012749028</v>
      </c>
      <c r="J234" s="9">
        <f t="shared" si="23"/>
        <v>3004.5862619808299</v>
      </c>
      <c r="K234" s="9">
        <f t="shared" si="24"/>
        <v>959.71012749028</v>
      </c>
      <c r="L234" s="10">
        <f t="shared" si="21"/>
        <v>0.31941506876809489</v>
      </c>
      <c r="M234" s="10">
        <f t="shared" si="20"/>
        <v>0.39204244670428734</v>
      </c>
      <c r="P234" s="8">
        <f t="shared" si="25"/>
        <v>11.79943763913268</v>
      </c>
    </row>
    <row r="235" spans="1:16" x14ac:dyDescent="0.2">
      <c r="A235" s="8">
        <v>116.5</v>
      </c>
      <c r="B235" s="8">
        <v>233</v>
      </c>
      <c r="D235">
        <v>3167.0828025477999</v>
      </c>
      <c r="E235">
        <v>1096.9259554140001</v>
      </c>
      <c r="F235">
        <v>150.36022364217001</v>
      </c>
      <c r="G235">
        <v>121.16932907348</v>
      </c>
      <c r="I235" s="9">
        <f t="shared" si="22"/>
        <v>975.75662634052014</v>
      </c>
      <c r="J235" s="9">
        <f t="shared" si="23"/>
        <v>3016.7225789056301</v>
      </c>
      <c r="K235" s="9">
        <f t="shared" si="24"/>
        <v>975.75662634052014</v>
      </c>
      <c r="L235" s="10">
        <f t="shared" si="21"/>
        <v>0.32344924029921679</v>
      </c>
      <c r="M235" s="10">
        <f t="shared" si="20"/>
        <v>0.39638966727823766</v>
      </c>
      <c r="P235" s="8">
        <f t="shared" si="25"/>
        <v>13.039142215886098</v>
      </c>
    </row>
    <row r="236" spans="1:16" x14ac:dyDescent="0.2">
      <c r="A236" s="8">
        <v>117</v>
      </c>
      <c r="B236" s="8">
        <v>234</v>
      </c>
      <c r="D236">
        <v>3153.6600318471001</v>
      </c>
      <c r="E236">
        <v>1090.7858280255</v>
      </c>
      <c r="F236">
        <v>150.09185303513999</v>
      </c>
      <c r="G236">
        <v>121.60143769968001</v>
      </c>
      <c r="I236" s="9">
        <f t="shared" si="22"/>
        <v>969.18439032582</v>
      </c>
      <c r="J236" s="9">
        <f t="shared" si="23"/>
        <v>3003.56817881196</v>
      </c>
      <c r="K236" s="9">
        <f t="shared" si="24"/>
        <v>969.18439032582</v>
      </c>
      <c r="L236" s="10">
        <f t="shared" si="21"/>
        <v>0.32267767289676574</v>
      </c>
      <c r="M236" s="10">
        <f t="shared" si="20"/>
        <v>0.39593114891861497</v>
      </c>
      <c r="P236" s="8">
        <f t="shared" si="25"/>
        <v>12.908385724633762</v>
      </c>
    </row>
    <row r="237" spans="1:16" x14ac:dyDescent="0.2">
      <c r="A237" s="8">
        <v>117.5</v>
      </c>
      <c r="B237" s="8">
        <v>235</v>
      </c>
      <c r="D237">
        <v>3148.9442675158998</v>
      </c>
      <c r="E237">
        <v>1092.1863057324999</v>
      </c>
      <c r="F237">
        <v>150.70127795527</v>
      </c>
      <c r="G237">
        <v>121.05191693291</v>
      </c>
      <c r="I237" s="9">
        <f t="shared" si="22"/>
        <v>971.13438879958994</v>
      </c>
      <c r="J237" s="9">
        <f t="shared" si="23"/>
        <v>2998.2429895606297</v>
      </c>
      <c r="K237" s="9">
        <f t="shared" si="24"/>
        <v>971.13438879958994</v>
      </c>
      <c r="L237" s="10">
        <f t="shared" si="21"/>
        <v>0.32390116217428477</v>
      </c>
      <c r="M237" s="10">
        <f t="shared" si="20"/>
        <v>0.39746768723896242</v>
      </c>
      <c r="P237" s="8">
        <f t="shared" si="25"/>
        <v>13.346563073974194</v>
      </c>
    </row>
    <row r="238" spans="1:16" x14ac:dyDescent="0.2">
      <c r="A238" s="8">
        <v>118</v>
      </c>
      <c r="B238" s="8">
        <v>236</v>
      </c>
      <c r="D238">
        <v>3119.8105095541</v>
      </c>
      <c r="E238">
        <v>1071.3399681528999</v>
      </c>
      <c r="F238">
        <v>150.16693290735</v>
      </c>
      <c r="G238">
        <v>121.24920127796</v>
      </c>
      <c r="I238" s="9">
        <f t="shared" si="22"/>
        <v>950.09076687493996</v>
      </c>
      <c r="J238" s="9">
        <f t="shared" si="23"/>
        <v>2969.6435766467498</v>
      </c>
      <c r="K238" s="9">
        <f t="shared" si="24"/>
        <v>950.09076687493996</v>
      </c>
      <c r="L238" s="10">
        <f t="shared" si="21"/>
        <v>0.31993427573141947</v>
      </c>
      <c r="M238" s="10">
        <f t="shared" si="20"/>
        <v>0.39381384983892553</v>
      </c>
      <c r="P238" s="8">
        <f t="shared" si="25"/>
        <v>12.304591802794269</v>
      </c>
    </row>
    <row r="239" spans="1:16" x14ac:dyDescent="0.2">
      <c r="A239" s="8">
        <v>118.5</v>
      </c>
      <c r="B239" s="8">
        <v>237</v>
      </c>
      <c r="D239">
        <v>3115.1568471338001</v>
      </c>
      <c r="E239">
        <v>1074.053343949</v>
      </c>
      <c r="F239">
        <v>150.33146964855999</v>
      </c>
      <c r="G239">
        <v>121.18530351438</v>
      </c>
      <c r="I239" s="9">
        <f t="shared" si="22"/>
        <v>952.86804043462007</v>
      </c>
      <c r="J239" s="9">
        <f t="shared" si="23"/>
        <v>2964.8253774852401</v>
      </c>
      <c r="K239" s="9">
        <f t="shared" si="24"/>
        <v>952.86804043462007</v>
      </c>
      <c r="L239" s="10">
        <f t="shared" si="21"/>
        <v>0.32139094857682349</v>
      </c>
      <c r="M239" s="10">
        <f t="shared" si="20"/>
        <v>0.39558357172715797</v>
      </c>
      <c r="P239" s="8">
        <f t="shared" si="25"/>
        <v>12.809266522445961</v>
      </c>
    </row>
    <row r="240" spans="1:16" x14ac:dyDescent="0.2">
      <c r="A240" s="8">
        <v>119</v>
      </c>
      <c r="B240" s="8">
        <v>238</v>
      </c>
      <c r="D240">
        <v>3113.4442675158998</v>
      </c>
      <c r="E240">
        <v>1061.1281847134001</v>
      </c>
      <c r="F240">
        <v>149.84265175719</v>
      </c>
      <c r="G240">
        <v>121.17012779552999</v>
      </c>
      <c r="I240" s="9">
        <f t="shared" si="22"/>
        <v>939.95805691787007</v>
      </c>
      <c r="J240" s="9">
        <f t="shared" si="23"/>
        <v>2963.6016157587096</v>
      </c>
      <c r="K240" s="9">
        <f t="shared" si="24"/>
        <v>939.95805691787007</v>
      </c>
      <c r="L240" s="10">
        <f t="shared" si="21"/>
        <v>0.3171674802442136</v>
      </c>
      <c r="M240" s="10">
        <f t="shared" si="20"/>
        <v>0.39167315243737649</v>
      </c>
      <c r="P240" s="8">
        <f t="shared" si="25"/>
        <v>11.694125340142948</v>
      </c>
    </row>
    <row r="241" spans="1:16" x14ac:dyDescent="0.2">
      <c r="A241" s="8">
        <v>119.5</v>
      </c>
      <c r="B241" s="8">
        <v>239</v>
      </c>
      <c r="D241">
        <v>3125.7699044586002</v>
      </c>
      <c r="E241">
        <v>1064.5987261147</v>
      </c>
      <c r="F241">
        <v>150.52396166134</v>
      </c>
      <c r="G241">
        <v>121.49760383387</v>
      </c>
      <c r="I241" s="9">
        <f t="shared" si="22"/>
        <v>943.10112228082994</v>
      </c>
      <c r="J241" s="9">
        <f t="shared" si="23"/>
        <v>2975.2459427972603</v>
      </c>
      <c r="K241" s="9">
        <f t="shared" si="24"/>
        <v>943.10112228082994</v>
      </c>
      <c r="L241" s="10">
        <f t="shared" si="21"/>
        <v>0.31698257569730426</v>
      </c>
      <c r="M241" s="10">
        <f t="shared" si="20"/>
        <v>0.39180129693329557</v>
      </c>
      <c r="P241" s="8">
        <f t="shared" si="25"/>
        <v>11.730668532597589</v>
      </c>
    </row>
    <row r="242" spans="1:16" x14ac:dyDescent="0.2">
      <c r="A242" s="8">
        <v>120</v>
      </c>
      <c r="B242" s="8">
        <v>240</v>
      </c>
      <c r="D242">
        <v>3099.4530254777001</v>
      </c>
      <c r="E242">
        <v>1051.0915605096</v>
      </c>
      <c r="F242">
        <v>150.17012779552999</v>
      </c>
      <c r="G242">
        <v>121.73162939297001</v>
      </c>
      <c r="I242" s="9">
        <f>E242-G242</f>
        <v>929.35993111662992</v>
      </c>
      <c r="J242" s="9">
        <f>D242-F242</f>
        <v>2949.2828976821702</v>
      </c>
      <c r="K242" s="9">
        <f t="shared" si="24"/>
        <v>929.35993111662992</v>
      </c>
      <c r="L242" s="10">
        <f t="shared" si="21"/>
        <v>0.31511386440650041</v>
      </c>
      <c r="M242" s="10">
        <f>L242+ABS($N$2)*A242</f>
        <v>0.39024563468532014</v>
      </c>
      <c r="O242" s="11"/>
      <c r="P242" s="8">
        <f>(M242-$O$2)/$O$2*100</f>
        <v>11.287037579005288</v>
      </c>
    </row>
    <row r="243" spans="1:16" x14ac:dyDescent="0.2">
      <c r="A243" s="8">
        <v>120.5</v>
      </c>
      <c r="B243" s="8">
        <v>241</v>
      </c>
      <c r="D243">
        <v>3128.4617834394999</v>
      </c>
      <c r="E243">
        <v>1053.9570063694</v>
      </c>
      <c r="F243">
        <v>149.77156549521001</v>
      </c>
      <c r="G243">
        <v>121.42012779552999</v>
      </c>
      <c r="I243" s="9">
        <f t="shared" ref="I243:I274" si="26">E243-G243</f>
        <v>932.53687857387001</v>
      </c>
      <c r="J243" s="9">
        <f t="shared" ref="J243:J274" si="27">D243-F243</f>
        <v>2978.69021794429</v>
      </c>
      <c r="K243" s="9">
        <f t="shared" si="24"/>
        <v>932.53687857387001</v>
      </c>
      <c r="L243" s="10">
        <f t="shared" si="21"/>
        <v>0.31306944003644999</v>
      </c>
      <c r="M243" s="10">
        <f t="shared" ref="M243:M274" si="28">L243+ABS($N$2)*A243</f>
        <v>0.38851425935809814</v>
      </c>
      <c r="P243" s="8">
        <f t="shared" ref="P243:P274" si="29">(M243-$O$2)/$O$2*100</f>
        <v>10.793298215951841</v>
      </c>
    </row>
    <row r="244" spans="1:16" x14ac:dyDescent="0.2">
      <c r="A244" s="8">
        <v>121</v>
      </c>
      <c r="B244" s="8">
        <v>242</v>
      </c>
      <c r="D244">
        <v>3128.8049363056998</v>
      </c>
      <c r="E244">
        <v>1054.3121019108</v>
      </c>
      <c r="F244">
        <v>150.97204472843001</v>
      </c>
      <c r="G244">
        <v>121.32507987220001</v>
      </c>
      <c r="I244" s="9">
        <f t="shared" si="26"/>
        <v>932.9870220386</v>
      </c>
      <c r="J244" s="9">
        <f t="shared" si="27"/>
        <v>2977.8328915772699</v>
      </c>
      <c r="K244" s="9">
        <f t="shared" si="24"/>
        <v>932.9870220386</v>
      </c>
      <c r="L244" s="10">
        <f t="shared" si="21"/>
        <v>0.31331073838210727</v>
      </c>
      <c r="M244" s="10">
        <f t="shared" si="28"/>
        <v>0.38906860674658383</v>
      </c>
      <c r="N244" s="1"/>
      <c r="P244" s="8">
        <f t="shared" si="29"/>
        <v>10.951382440786226</v>
      </c>
    </row>
    <row r="245" spans="1:16" x14ac:dyDescent="0.2">
      <c r="A245" s="8">
        <v>121.5</v>
      </c>
      <c r="B245" s="8">
        <v>243</v>
      </c>
      <c r="D245">
        <v>3122.7149681528999</v>
      </c>
      <c r="E245">
        <v>1051.9402866242001</v>
      </c>
      <c r="F245">
        <v>150.63338658147001</v>
      </c>
      <c r="G245">
        <v>120.92252396166</v>
      </c>
      <c r="I245" s="9">
        <f t="shared" si="26"/>
        <v>931.01776266254012</v>
      </c>
      <c r="J245" s="9">
        <f t="shared" si="27"/>
        <v>2972.08158157143</v>
      </c>
      <c r="K245" s="9">
        <f t="shared" si="24"/>
        <v>931.01776266254012</v>
      </c>
      <c r="L245" s="10">
        <f t="shared" si="21"/>
        <v>0.31325444376607009</v>
      </c>
      <c r="M245" s="10">
        <f t="shared" si="28"/>
        <v>0.38932536117337507</v>
      </c>
      <c r="P245" s="8">
        <f t="shared" si="29"/>
        <v>11.024601554603946</v>
      </c>
    </row>
    <row r="246" spans="1:16" x14ac:dyDescent="0.2">
      <c r="A246" s="8">
        <v>122</v>
      </c>
      <c r="B246" s="8">
        <v>244</v>
      </c>
      <c r="D246">
        <v>3095.9490445860001</v>
      </c>
      <c r="E246">
        <v>1041.0222929936001</v>
      </c>
      <c r="F246">
        <v>149.97044728435</v>
      </c>
      <c r="G246">
        <v>121.38099041533999</v>
      </c>
      <c r="I246" s="9">
        <f t="shared" si="26"/>
        <v>919.64130257826014</v>
      </c>
      <c r="J246" s="9">
        <f t="shared" si="27"/>
        <v>2945.9785973016501</v>
      </c>
      <c r="K246" s="9">
        <f t="shared" si="24"/>
        <v>919.64130257826014</v>
      </c>
      <c r="L246" s="10">
        <f t="shared" si="21"/>
        <v>0.31216835839221629</v>
      </c>
      <c r="M246" s="10">
        <f t="shared" si="28"/>
        <v>0.38855232484234969</v>
      </c>
      <c r="P246" s="8">
        <f t="shared" si="29"/>
        <v>10.804153417393831</v>
      </c>
    </row>
    <row r="247" spans="1:16" x14ac:dyDescent="0.2">
      <c r="A247" s="8">
        <v>122.5</v>
      </c>
      <c r="B247" s="8">
        <v>245</v>
      </c>
      <c r="D247">
        <v>3071.4012738853999</v>
      </c>
      <c r="E247">
        <v>1032.5509554140001</v>
      </c>
      <c r="F247">
        <v>150.68290734824001</v>
      </c>
      <c r="G247">
        <v>121.4624600639</v>
      </c>
      <c r="I247" s="9">
        <f t="shared" si="26"/>
        <v>911.08849535010006</v>
      </c>
      <c r="J247" s="9">
        <f t="shared" si="27"/>
        <v>2920.7183665371599</v>
      </c>
      <c r="K247" s="9">
        <f t="shared" si="24"/>
        <v>911.08849535010006</v>
      </c>
      <c r="L247" s="10">
        <f t="shared" si="21"/>
        <v>0.31193986581811306</v>
      </c>
      <c r="M247" s="10">
        <f t="shared" si="28"/>
        <v>0.38863688131107488</v>
      </c>
      <c r="P247" s="8">
        <f t="shared" si="29"/>
        <v>10.828266535072022</v>
      </c>
    </row>
    <row r="248" spans="1:16" x14ac:dyDescent="0.2">
      <c r="A248" s="8">
        <v>123</v>
      </c>
      <c r="B248" s="8">
        <v>246</v>
      </c>
      <c r="D248">
        <v>3086.928343949</v>
      </c>
      <c r="E248">
        <v>1035.6082802548001</v>
      </c>
      <c r="F248">
        <v>150.18210862620001</v>
      </c>
      <c r="G248">
        <v>121.29552715654999</v>
      </c>
      <c r="I248" s="9">
        <f t="shared" si="26"/>
        <v>914.31275309825014</v>
      </c>
      <c r="J248" s="9">
        <f t="shared" si="27"/>
        <v>2936.7462353228002</v>
      </c>
      <c r="K248" s="9">
        <f t="shared" si="24"/>
        <v>914.31275309825014</v>
      </c>
      <c r="L248" s="10">
        <f t="shared" si="21"/>
        <v>0.31133529417728223</v>
      </c>
      <c r="M248" s="10">
        <f t="shared" si="28"/>
        <v>0.38834535871307246</v>
      </c>
      <c r="P248" s="8">
        <f t="shared" si="29"/>
        <v>10.745132520401532</v>
      </c>
    </row>
    <row r="249" spans="1:16" x14ac:dyDescent="0.2">
      <c r="A249" s="8">
        <v>123.5</v>
      </c>
      <c r="B249" s="8">
        <v>247</v>
      </c>
      <c r="D249">
        <v>3057.9848726115001</v>
      </c>
      <c r="E249">
        <v>1023.3391719745</v>
      </c>
      <c r="F249">
        <v>151.18130990415</v>
      </c>
      <c r="G249">
        <v>121.04233226837</v>
      </c>
      <c r="I249" s="9">
        <f t="shared" si="26"/>
        <v>902.29683970612996</v>
      </c>
      <c r="J249" s="9">
        <f t="shared" si="27"/>
        <v>2906.80356270735</v>
      </c>
      <c r="K249" s="9">
        <f t="shared" si="24"/>
        <v>902.29683970612996</v>
      </c>
      <c r="L249" s="10">
        <f t="shared" si="21"/>
        <v>0.31040860527422265</v>
      </c>
      <c r="M249" s="10">
        <f t="shared" si="28"/>
        <v>0.3877317188528413</v>
      </c>
      <c r="P249" s="8">
        <f t="shared" si="29"/>
        <v>10.570139756573212</v>
      </c>
    </row>
    <row r="250" spans="1:16" x14ac:dyDescent="0.2">
      <c r="A250" s="8">
        <v>124</v>
      </c>
      <c r="B250" s="8">
        <v>248</v>
      </c>
      <c r="D250">
        <v>3080.3742038217001</v>
      </c>
      <c r="E250">
        <v>1019.9442675159</v>
      </c>
      <c r="F250">
        <v>150.85223642173</v>
      </c>
      <c r="G250">
        <v>121.04073482427999</v>
      </c>
      <c r="I250" s="9">
        <f t="shared" si="26"/>
        <v>898.90353269162006</v>
      </c>
      <c r="J250" s="9">
        <f t="shared" si="27"/>
        <v>2929.52196739997</v>
      </c>
      <c r="K250" s="9">
        <f t="shared" si="24"/>
        <v>898.90353269162006</v>
      </c>
      <c r="L250" s="10">
        <f t="shared" si="21"/>
        <v>0.30684307634307356</v>
      </c>
      <c r="M250" s="10">
        <f t="shared" si="28"/>
        <v>0.38447923896452063</v>
      </c>
      <c r="P250" s="8">
        <f t="shared" si="29"/>
        <v>9.6426243165904637</v>
      </c>
    </row>
    <row r="251" spans="1:16" x14ac:dyDescent="0.2">
      <c r="A251" s="8">
        <v>124.5</v>
      </c>
      <c r="B251" s="8">
        <v>249</v>
      </c>
      <c r="D251">
        <v>3110.7858280255</v>
      </c>
      <c r="E251">
        <v>1026.173566879</v>
      </c>
      <c r="F251">
        <v>150.09504792332001</v>
      </c>
      <c r="G251">
        <v>121.40974440895</v>
      </c>
      <c r="I251" s="9">
        <f t="shared" si="26"/>
        <v>904.76382247004994</v>
      </c>
      <c r="J251" s="9">
        <f t="shared" si="27"/>
        <v>2960.6907801021798</v>
      </c>
      <c r="K251" s="9">
        <f t="shared" si="24"/>
        <v>904.76382247004994</v>
      </c>
      <c r="L251" s="10">
        <f t="shared" si="21"/>
        <v>0.30559213699406479</v>
      </c>
      <c r="M251" s="10">
        <f t="shared" si="28"/>
        <v>0.38354134865834028</v>
      </c>
      <c r="P251" s="8">
        <f t="shared" si="29"/>
        <v>9.3751644798313887</v>
      </c>
    </row>
    <row r="252" spans="1:16" x14ac:dyDescent="0.2">
      <c r="A252" s="8">
        <v>125</v>
      </c>
      <c r="B252" s="8">
        <v>250</v>
      </c>
      <c r="D252">
        <v>3106.3996815287001</v>
      </c>
      <c r="E252">
        <v>1021.0541401274</v>
      </c>
      <c r="F252">
        <v>150.53434504792</v>
      </c>
      <c r="G252">
        <v>121.38338658147001</v>
      </c>
      <c r="I252" s="9">
        <f t="shared" si="26"/>
        <v>899.67075354592998</v>
      </c>
      <c r="J252" s="9">
        <f t="shared" si="27"/>
        <v>2955.8653364807801</v>
      </c>
      <c r="K252" s="9">
        <f t="shared" si="24"/>
        <v>899.67075354592998</v>
      </c>
      <c r="L252" s="10">
        <f t="shared" si="21"/>
        <v>0.30436797726958287</v>
      </c>
      <c r="M252" s="10">
        <f t="shared" si="28"/>
        <v>0.38263023797668677</v>
      </c>
      <c r="P252" s="8">
        <f t="shared" si="29"/>
        <v>9.1153414359437406</v>
      </c>
    </row>
    <row r="253" spans="1:16" x14ac:dyDescent="0.2">
      <c r="A253" s="8">
        <v>125.5</v>
      </c>
      <c r="B253" s="8">
        <v>251</v>
      </c>
      <c r="D253">
        <v>3090.6871019107998</v>
      </c>
      <c r="E253">
        <v>1007.8996815286999</v>
      </c>
      <c r="F253">
        <v>150.47603833866</v>
      </c>
      <c r="G253">
        <v>121.40015974441</v>
      </c>
      <c r="I253" s="9">
        <f t="shared" si="26"/>
        <v>886.49952178428998</v>
      </c>
      <c r="J253" s="9">
        <f t="shared" si="27"/>
        <v>2940.2110635721397</v>
      </c>
      <c r="K253" s="9">
        <f t="shared" si="24"/>
        <v>886.49952178428998</v>
      </c>
      <c r="L253" s="10">
        <f t="shared" si="21"/>
        <v>0.30150880416974501</v>
      </c>
      <c r="M253" s="10">
        <f t="shared" si="28"/>
        <v>0.38008411391967734</v>
      </c>
      <c r="P253" s="8">
        <f t="shared" si="29"/>
        <v>8.3892587371796612</v>
      </c>
    </row>
    <row r="254" spans="1:16" x14ac:dyDescent="0.2">
      <c r="A254" s="8">
        <v>126</v>
      </c>
      <c r="B254" s="8">
        <v>252</v>
      </c>
      <c r="D254">
        <v>3058.9474522292999</v>
      </c>
      <c r="E254">
        <v>987.05573248407995</v>
      </c>
      <c r="F254">
        <v>150.45686900959001</v>
      </c>
      <c r="G254">
        <v>121.22124600639</v>
      </c>
      <c r="I254" s="9">
        <f t="shared" si="26"/>
        <v>865.83448647769001</v>
      </c>
      <c r="J254" s="9">
        <f t="shared" si="27"/>
        <v>2908.4905832197101</v>
      </c>
      <c r="K254" s="9">
        <f t="shared" si="24"/>
        <v>865.83448647769001</v>
      </c>
      <c r="L254" s="10">
        <f t="shared" si="21"/>
        <v>0.29769203705628228</v>
      </c>
      <c r="M254" s="10">
        <f t="shared" si="28"/>
        <v>0.37658039584904301</v>
      </c>
      <c r="P254" s="8">
        <f t="shared" si="29"/>
        <v>7.3900972605693269</v>
      </c>
    </row>
    <row r="255" spans="1:16" x14ac:dyDescent="0.2">
      <c r="A255" s="8">
        <v>126.5</v>
      </c>
      <c r="B255" s="8">
        <v>253</v>
      </c>
      <c r="D255">
        <v>3052.9307324841002</v>
      </c>
      <c r="E255">
        <v>983.33678343948998</v>
      </c>
      <c r="F255">
        <v>150.48961661342</v>
      </c>
      <c r="G255">
        <v>121.32987220447001</v>
      </c>
      <c r="I255" s="9">
        <f t="shared" si="26"/>
        <v>862.00691123501997</v>
      </c>
      <c r="J255" s="9">
        <f t="shared" si="27"/>
        <v>2902.4411158706803</v>
      </c>
      <c r="K255" s="9">
        <f t="shared" si="24"/>
        <v>862.00691123501997</v>
      </c>
      <c r="L255" s="10">
        <f t="shared" si="21"/>
        <v>0.29699376380851517</v>
      </c>
      <c r="M255" s="10">
        <f t="shared" si="28"/>
        <v>0.37619517164410432</v>
      </c>
      <c r="P255" s="8">
        <f t="shared" si="29"/>
        <v>7.2802421929888155</v>
      </c>
    </row>
    <row r="256" spans="1:16" x14ac:dyDescent="0.2">
      <c r="A256" s="8">
        <v>127</v>
      </c>
      <c r="B256" s="8">
        <v>254</v>
      </c>
      <c r="D256">
        <v>3093.5063694268001</v>
      </c>
      <c r="E256">
        <v>988.00955414013004</v>
      </c>
      <c r="F256">
        <v>150.53115015974001</v>
      </c>
      <c r="G256">
        <v>121.40015974441</v>
      </c>
      <c r="I256" s="9">
        <f t="shared" si="26"/>
        <v>866.60939439572007</v>
      </c>
      <c r="J256" s="9">
        <f t="shared" si="27"/>
        <v>2942.9752192670603</v>
      </c>
      <c r="K256" s="9">
        <f t="shared" si="24"/>
        <v>866.60939439572007</v>
      </c>
      <c r="L256" s="10">
        <f t="shared" si="21"/>
        <v>0.29446710550676902</v>
      </c>
      <c r="M256" s="10">
        <f t="shared" si="28"/>
        <v>0.37398156238518659</v>
      </c>
      <c r="P256" s="8">
        <f t="shared" si="29"/>
        <v>6.6489833270669578</v>
      </c>
    </row>
    <row r="257" spans="1:16" x14ac:dyDescent="0.2">
      <c r="A257" s="8">
        <v>127.5</v>
      </c>
      <c r="B257" s="8">
        <v>255</v>
      </c>
      <c r="D257">
        <v>3095.7929936306</v>
      </c>
      <c r="E257">
        <v>981.37738853503004</v>
      </c>
      <c r="F257">
        <v>150.36581469648999</v>
      </c>
      <c r="G257">
        <v>121.32108626198</v>
      </c>
      <c r="I257" s="9">
        <f t="shared" si="26"/>
        <v>860.05630227305005</v>
      </c>
      <c r="J257" s="9">
        <f t="shared" si="27"/>
        <v>2945.4271789341101</v>
      </c>
      <c r="K257" s="9">
        <f t="shared" si="24"/>
        <v>860.05630227305005</v>
      </c>
      <c r="L257" s="10">
        <f t="shared" si="21"/>
        <v>0.29199713658658055</v>
      </c>
      <c r="M257" s="10">
        <f t="shared" si="28"/>
        <v>0.37182464250782654</v>
      </c>
      <c r="P257" s="8">
        <f t="shared" si="29"/>
        <v>6.0338906723080417</v>
      </c>
    </row>
    <row r="258" spans="1:16" x14ac:dyDescent="0.2">
      <c r="A258" s="8">
        <v>128</v>
      </c>
      <c r="B258" s="8">
        <v>256</v>
      </c>
      <c r="D258">
        <v>3061.9076433120999</v>
      </c>
      <c r="E258">
        <v>966.80652866241996</v>
      </c>
      <c r="F258">
        <v>150.50159744409001</v>
      </c>
      <c r="G258">
        <v>121.16932907348</v>
      </c>
      <c r="I258" s="9">
        <f t="shared" si="26"/>
        <v>845.63719958894001</v>
      </c>
      <c r="J258" s="9">
        <f t="shared" si="27"/>
        <v>2911.4060458680101</v>
      </c>
      <c r="K258" s="9">
        <f t="shared" si="24"/>
        <v>845.63719958894001</v>
      </c>
      <c r="L258" s="10">
        <f t="shared" ref="L258:L321" si="30">K258/J258</f>
        <v>0.29045663375917757</v>
      </c>
      <c r="M258" s="10">
        <f t="shared" si="28"/>
        <v>0.37059718872325198</v>
      </c>
      <c r="P258" s="8">
        <f t="shared" si="29"/>
        <v>5.6838555064807794</v>
      </c>
    </row>
    <row r="259" spans="1:16" x14ac:dyDescent="0.2">
      <c r="A259" s="8">
        <v>128.5</v>
      </c>
      <c r="B259" s="8">
        <v>257</v>
      </c>
      <c r="D259">
        <v>3043.7030254777001</v>
      </c>
      <c r="E259">
        <v>960.03582802547999</v>
      </c>
      <c r="F259">
        <v>150.57747603834</v>
      </c>
      <c r="G259">
        <v>120.91533546326001</v>
      </c>
      <c r="I259" s="9">
        <f t="shared" si="26"/>
        <v>839.12049256221997</v>
      </c>
      <c r="J259" s="9">
        <f t="shared" si="27"/>
        <v>2893.1255494393599</v>
      </c>
      <c r="K259" s="9">
        <f t="shared" ref="K259:K322" si="31">I259*1</f>
        <v>839.12049256221997</v>
      </c>
      <c r="L259" s="10">
        <f t="shared" si="30"/>
        <v>0.29003943251782754</v>
      </c>
      <c r="M259" s="10">
        <f t="shared" si="28"/>
        <v>0.37049303652473037</v>
      </c>
      <c r="P259" s="8">
        <f t="shared" si="29"/>
        <v>5.6541542398922191</v>
      </c>
    </row>
    <row r="260" spans="1:16" x14ac:dyDescent="0.2">
      <c r="A260" s="8">
        <v>129</v>
      </c>
      <c r="B260" s="8">
        <v>258</v>
      </c>
      <c r="D260">
        <v>3075.4132165605001</v>
      </c>
      <c r="E260">
        <v>964.42356687897995</v>
      </c>
      <c r="F260">
        <v>150.56948881789</v>
      </c>
      <c r="G260">
        <v>120.9552715655</v>
      </c>
      <c r="I260" s="9">
        <f t="shared" si="26"/>
        <v>843.46829531347998</v>
      </c>
      <c r="J260" s="9">
        <f t="shared" si="27"/>
        <v>2924.8437277426101</v>
      </c>
      <c r="K260" s="9">
        <f t="shared" si="31"/>
        <v>843.46829531347998</v>
      </c>
      <c r="L260" s="10">
        <f t="shared" si="30"/>
        <v>0.28838063630991578</v>
      </c>
      <c r="M260" s="10">
        <f t="shared" si="28"/>
        <v>0.36914728935964702</v>
      </c>
      <c r="P260" s="8">
        <f t="shared" si="29"/>
        <v>5.2703851416081742</v>
      </c>
    </row>
    <row r="261" spans="1:16" x14ac:dyDescent="0.2">
      <c r="A261" s="8">
        <v>129.5</v>
      </c>
      <c r="B261" s="8">
        <v>259</v>
      </c>
      <c r="D261">
        <v>3078.3542993630999</v>
      </c>
      <c r="E261">
        <v>968.88296178344001</v>
      </c>
      <c r="F261">
        <v>150.56869009585</v>
      </c>
      <c r="G261">
        <v>121.54552715654999</v>
      </c>
      <c r="I261" s="9">
        <f t="shared" si="26"/>
        <v>847.33743462689006</v>
      </c>
      <c r="J261" s="9">
        <f t="shared" si="27"/>
        <v>2927.78560926725</v>
      </c>
      <c r="K261" s="9">
        <f t="shared" si="31"/>
        <v>847.33743462689006</v>
      </c>
      <c r="L261" s="10">
        <f t="shared" si="30"/>
        <v>0.28941239138030911</v>
      </c>
      <c r="M261" s="10">
        <f t="shared" si="28"/>
        <v>0.37049209347286877</v>
      </c>
      <c r="P261" s="8">
        <f t="shared" si="29"/>
        <v>5.6538853081255747</v>
      </c>
    </row>
    <row r="262" spans="1:16" x14ac:dyDescent="0.2">
      <c r="A262" s="8">
        <v>130</v>
      </c>
      <c r="B262" s="8">
        <v>260</v>
      </c>
      <c r="D262">
        <v>3049.7977707005998</v>
      </c>
      <c r="E262">
        <v>963.70461783439998</v>
      </c>
      <c r="F262">
        <v>150.38178913738</v>
      </c>
      <c r="G262">
        <v>121.30990415335999</v>
      </c>
      <c r="I262" s="9">
        <f t="shared" si="26"/>
        <v>842.39471368104</v>
      </c>
      <c r="J262" s="9">
        <f t="shared" si="27"/>
        <v>2899.4159815632197</v>
      </c>
      <c r="K262" s="9">
        <f t="shared" si="31"/>
        <v>842.39471368104</v>
      </c>
      <c r="L262" s="10">
        <f t="shared" si="30"/>
        <v>0.29053944623250061</v>
      </c>
      <c r="M262" s="10">
        <f t="shared" si="28"/>
        <v>0.37193219736788868</v>
      </c>
      <c r="P262" s="8">
        <f t="shared" si="29"/>
        <v>6.0645622819038598</v>
      </c>
    </row>
    <row r="263" spans="1:16" x14ac:dyDescent="0.2">
      <c r="A263" s="8">
        <v>130.5</v>
      </c>
      <c r="B263" s="8">
        <v>261</v>
      </c>
      <c r="D263">
        <v>3007.8821656051</v>
      </c>
      <c r="E263">
        <v>956.96417197452001</v>
      </c>
      <c r="F263">
        <v>150.40015974440999</v>
      </c>
      <c r="G263">
        <v>121.24201277955</v>
      </c>
      <c r="I263" s="9">
        <f t="shared" si="26"/>
        <v>835.72215919497</v>
      </c>
      <c r="J263" s="9">
        <f t="shared" si="27"/>
        <v>2857.4820058606902</v>
      </c>
      <c r="K263" s="9">
        <f t="shared" si="31"/>
        <v>835.72215919497</v>
      </c>
      <c r="L263" s="10">
        <f t="shared" si="30"/>
        <v>0.29246803916206837</v>
      </c>
      <c r="M263" s="10">
        <f t="shared" si="28"/>
        <v>0.37417383934028481</v>
      </c>
      <c r="P263" s="8">
        <f t="shared" si="29"/>
        <v>6.7038152862888625</v>
      </c>
    </row>
    <row r="264" spans="1:16" x14ac:dyDescent="0.2">
      <c r="A264" s="8">
        <v>131</v>
      </c>
      <c r="B264" s="8">
        <v>262</v>
      </c>
      <c r="D264">
        <v>3025.2231075697</v>
      </c>
      <c r="E264">
        <v>957.78406374502003</v>
      </c>
      <c r="F264">
        <v>150.57747603834</v>
      </c>
      <c r="G264">
        <v>121.56469648562</v>
      </c>
      <c r="I264" s="9">
        <f t="shared" si="26"/>
        <v>836.21936725940009</v>
      </c>
      <c r="J264" s="9">
        <f t="shared" si="27"/>
        <v>2874.6456315313599</v>
      </c>
      <c r="K264" s="9">
        <f t="shared" si="31"/>
        <v>836.21936725940009</v>
      </c>
      <c r="L264" s="10">
        <f t="shared" si="30"/>
        <v>0.29089476563201133</v>
      </c>
      <c r="M264" s="10">
        <f t="shared" si="28"/>
        <v>0.37291361485305619</v>
      </c>
      <c r="P264" s="8">
        <f t="shared" si="29"/>
        <v>6.3444348412486917</v>
      </c>
    </row>
    <row r="265" spans="1:16" x14ac:dyDescent="0.2">
      <c r="A265" s="8">
        <v>131.5</v>
      </c>
      <c r="B265" s="8">
        <v>263</v>
      </c>
      <c r="D265">
        <v>2996.4143426295</v>
      </c>
      <c r="E265">
        <v>928.88924302788996</v>
      </c>
      <c r="F265">
        <v>151.19808306709001</v>
      </c>
      <c r="G265">
        <v>121.88258785943</v>
      </c>
      <c r="I265" s="9">
        <f t="shared" si="26"/>
        <v>807.00665516845993</v>
      </c>
      <c r="J265" s="9">
        <f t="shared" si="27"/>
        <v>2845.21625956241</v>
      </c>
      <c r="K265" s="9">
        <f t="shared" si="31"/>
        <v>807.00665516845993</v>
      </c>
      <c r="L265" s="10">
        <f t="shared" si="30"/>
        <v>0.28363631497472758</v>
      </c>
      <c r="M265" s="10">
        <f t="shared" si="28"/>
        <v>0.36596821323860085</v>
      </c>
      <c r="P265" s="8">
        <f t="shared" si="29"/>
        <v>4.3638023837134767</v>
      </c>
    </row>
    <row r="266" spans="1:16" x14ac:dyDescent="0.2">
      <c r="A266" s="8">
        <v>132</v>
      </c>
      <c r="B266" s="8">
        <v>264</v>
      </c>
      <c r="D266">
        <v>2956.5458167330999</v>
      </c>
      <c r="E266">
        <v>922.13386454183001</v>
      </c>
      <c r="F266">
        <v>151.03913738019</v>
      </c>
      <c r="G266">
        <v>121.34744408946</v>
      </c>
      <c r="I266" s="9">
        <f t="shared" si="26"/>
        <v>800.78642045237007</v>
      </c>
      <c r="J266" s="9">
        <f t="shared" si="27"/>
        <v>2805.5066793529099</v>
      </c>
      <c r="K266" s="9">
        <f t="shared" si="31"/>
        <v>800.78642045237007</v>
      </c>
      <c r="L266" s="10">
        <f t="shared" si="30"/>
        <v>0.28543379573670147</v>
      </c>
      <c r="M266" s="10">
        <f t="shared" si="28"/>
        <v>0.36807874304340316</v>
      </c>
      <c r="P266" s="8">
        <f t="shared" si="29"/>
        <v>4.96566589946565</v>
      </c>
    </row>
    <row r="267" spans="1:16" x14ac:dyDescent="0.2">
      <c r="A267" s="8">
        <v>132.5</v>
      </c>
      <c r="B267" s="8">
        <v>265</v>
      </c>
      <c r="D267">
        <v>2996.8900398405999</v>
      </c>
      <c r="E267">
        <v>941.37051792829004</v>
      </c>
      <c r="F267">
        <v>150.99680511182001</v>
      </c>
      <c r="G267">
        <v>121.44568690096</v>
      </c>
      <c r="I267" s="9">
        <f t="shared" si="26"/>
        <v>819.92483102733001</v>
      </c>
      <c r="J267" s="9">
        <f t="shared" si="27"/>
        <v>2845.89323472878</v>
      </c>
      <c r="K267" s="9">
        <f t="shared" si="31"/>
        <v>819.92483102733001</v>
      </c>
      <c r="L267" s="10">
        <f t="shared" si="30"/>
        <v>0.28810807834309732</v>
      </c>
      <c r="M267" s="10">
        <f t="shared" si="28"/>
        <v>0.37106607469262742</v>
      </c>
      <c r="P267" s="8">
        <f t="shared" si="29"/>
        <v>5.8175685473357523</v>
      </c>
    </row>
    <row r="268" spans="1:16" x14ac:dyDescent="0.2">
      <c r="A268" s="8">
        <v>133</v>
      </c>
      <c r="B268" s="8">
        <v>266</v>
      </c>
      <c r="D268">
        <v>3064.7442231076002</v>
      </c>
      <c r="E268">
        <v>962.15617529881001</v>
      </c>
      <c r="F268">
        <v>150.13019169328999</v>
      </c>
      <c r="G268">
        <v>121.62539936102</v>
      </c>
      <c r="I268" s="9">
        <f t="shared" si="26"/>
        <v>840.53077593779005</v>
      </c>
      <c r="J268" s="9">
        <f t="shared" si="27"/>
        <v>2914.6140314143104</v>
      </c>
      <c r="K268" s="9">
        <f t="shared" si="31"/>
        <v>840.53077593779005</v>
      </c>
      <c r="L268" s="10">
        <f t="shared" si="30"/>
        <v>0.2883849342926289</v>
      </c>
      <c r="M268" s="10">
        <f t="shared" si="28"/>
        <v>0.37165597968498743</v>
      </c>
      <c r="P268" s="8">
        <f t="shared" si="29"/>
        <v>5.9857927969311318</v>
      </c>
    </row>
    <row r="269" spans="1:16" x14ac:dyDescent="0.2">
      <c r="A269" s="8">
        <v>133.5</v>
      </c>
      <c r="B269" s="8">
        <v>267</v>
      </c>
      <c r="D269">
        <v>3071.6733067729001</v>
      </c>
      <c r="E269">
        <v>961.92270916334996</v>
      </c>
      <c r="F269">
        <v>150.77955271566</v>
      </c>
      <c r="G269">
        <v>121.93130990415</v>
      </c>
      <c r="I269" s="9">
        <f t="shared" si="26"/>
        <v>839.99139925919997</v>
      </c>
      <c r="J269" s="9">
        <f t="shared" si="27"/>
        <v>2920.8937540572401</v>
      </c>
      <c r="K269" s="9">
        <f t="shared" si="31"/>
        <v>839.99139925919997</v>
      </c>
      <c r="L269" s="10">
        <f t="shared" si="30"/>
        <v>0.28758026480505078</v>
      </c>
      <c r="M269" s="10">
        <f t="shared" si="28"/>
        <v>0.37116435924023772</v>
      </c>
      <c r="P269" s="8">
        <f t="shared" si="29"/>
        <v>5.8455965255402038</v>
      </c>
    </row>
    <row r="270" spans="1:16" x14ac:dyDescent="0.2">
      <c r="A270" s="8">
        <v>134</v>
      </c>
      <c r="B270" s="8">
        <v>268</v>
      </c>
      <c r="D270">
        <v>2983.3888446215001</v>
      </c>
      <c r="E270">
        <v>926.95059760955996</v>
      </c>
      <c r="F270">
        <v>150.41054313098999</v>
      </c>
      <c r="G270">
        <v>121.44089456869</v>
      </c>
      <c r="I270" s="9">
        <f t="shared" si="26"/>
        <v>805.50970304086991</v>
      </c>
      <c r="J270" s="9">
        <f t="shared" si="27"/>
        <v>2832.9783014905101</v>
      </c>
      <c r="K270" s="9">
        <f t="shared" si="31"/>
        <v>805.50970304086991</v>
      </c>
      <c r="L270" s="10">
        <f t="shared" si="30"/>
        <v>0.28433317071898095</v>
      </c>
      <c r="M270" s="10">
        <f t="shared" si="28"/>
        <v>0.36823031419699637</v>
      </c>
      <c r="P270" s="8">
        <f t="shared" si="29"/>
        <v>5.0088897133064441</v>
      </c>
    </row>
    <row r="271" spans="1:16" x14ac:dyDescent="0.2">
      <c r="A271" s="8">
        <v>134.5</v>
      </c>
      <c r="B271" s="8">
        <v>269</v>
      </c>
      <c r="D271">
        <v>3010.5786924939998</v>
      </c>
      <c r="E271">
        <v>922.51089588377999</v>
      </c>
      <c r="F271">
        <v>150.57428115016</v>
      </c>
      <c r="G271">
        <v>121.55031948881999</v>
      </c>
      <c r="I271" s="9">
        <f t="shared" si="26"/>
        <v>800.96057639495996</v>
      </c>
      <c r="J271" s="9">
        <f t="shared" si="27"/>
        <v>2860.0044113438398</v>
      </c>
      <c r="K271" s="9">
        <f t="shared" si="31"/>
        <v>800.96057639495996</v>
      </c>
      <c r="L271" s="10">
        <f t="shared" si="30"/>
        <v>0.28005571362689258</v>
      </c>
      <c r="M271" s="10">
        <f t="shared" si="28"/>
        <v>0.36426590614773635</v>
      </c>
      <c r="P271" s="8">
        <f t="shared" si="29"/>
        <v>3.8783524610133657</v>
      </c>
    </row>
    <row r="272" spans="1:16" x14ac:dyDescent="0.2">
      <c r="A272" s="8">
        <v>135</v>
      </c>
      <c r="B272" s="8">
        <v>270</v>
      </c>
      <c r="D272">
        <v>3014.1807909605</v>
      </c>
      <c r="E272">
        <v>922.21226795803</v>
      </c>
      <c r="F272">
        <v>150.72763578275001</v>
      </c>
      <c r="G272">
        <v>121.29712460064</v>
      </c>
      <c r="I272" s="9">
        <f t="shared" si="26"/>
        <v>800.91514335738998</v>
      </c>
      <c r="J272" s="9">
        <f t="shared" si="27"/>
        <v>2863.45315517775</v>
      </c>
      <c r="K272" s="9">
        <f t="shared" si="31"/>
        <v>800.91514335738998</v>
      </c>
      <c r="L272" s="10">
        <f t="shared" si="30"/>
        <v>0.27970254792160998</v>
      </c>
      <c r="M272" s="10">
        <f t="shared" si="28"/>
        <v>0.36422578948528217</v>
      </c>
      <c r="P272" s="8">
        <f t="shared" si="29"/>
        <v>3.8669123214569479</v>
      </c>
    </row>
    <row r="273" spans="1:16" x14ac:dyDescent="0.2">
      <c r="A273" s="8">
        <v>135.5</v>
      </c>
      <c r="B273" s="8">
        <v>271</v>
      </c>
      <c r="D273">
        <v>3040.1218724778</v>
      </c>
      <c r="E273">
        <v>926.25181598063</v>
      </c>
      <c r="F273">
        <v>150.00399361021999</v>
      </c>
      <c r="G273">
        <v>121.64616613419</v>
      </c>
      <c r="I273" s="9">
        <f t="shared" si="26"/>
        <v>804.60564984643997</v>
      </c>
      <c r="J273" s="9">
        <f t="shared" si="27"/>
        <v>2890.1178788675802</v>
      </c>
      <c r="K273" s="9">
        <f t="shared" si="31"/>
        <v>804.60564984643997</v>
      </c>
      <c r="L273" s="10">
        <f t="shared" si="30"/>
        <v>0.2783989039788593</v>
      </c>
      <c r="M273" s="10">
        <f t="shared" si="28"/>
        <v>0.36323519458535991</v>
      </c>
      <c r="P273" s="8">
        <f t="shared" si="29"/>
        <v>3.5844226225212683</v>
      </c>
    </row>
    <row r="274" spans="1:16" x14ac:dyDescent="0.2">
      <c r="A274" s="8">
        <v>136</v>
      </c>
      <c r="B274" s="8">
        <v>272</v>
      </c>
      <c r="D274">
        <v>3069.3462469734</v>
      </c>
      <c r="E274">
        <v>937.58676351896997</v>
      </c>
      <c r="F274">
        <v>150.58706070288</v>
      </c>
      <c r="G274">
        <v>121.47204472844</v>
      </c>
      <c r="I274" s="9">
        <f t="shared" si="26"/>
        <v>816.11471879052999</v>
      </c>
      <c r="J274" s="9">
        <f t="shared" si="27"/>
        <v>2918.7591862705199</v>
      </c>
      <c r="K274" s="9">
        <f t="shared" si="31"/>
        <v>816.11471879052999</v>
      </c>
      <c r="L274" s="10">
        <f t="shared" si="30"/>
        <v>0.27961015853223936</v>
      </c>
      <c r="M274" s="10">
        <f t="shared" si="28"/>
        <v>0.36475949818156839</v>
      </c>
      <c r="P274" s="8">
        <f t="shared" si="29"/>
        <v>4.0191109739485764</v>
      </c>
    </row>
    <row r="275" spans="1:16" x14ac:dyDescent="0.2">
      <c r="A275" s="8">
        <v>136.5</v>
      </c>
      <c r="B275" s="8">
        <v>273</v>
      </c>
      <c r="D275">
        <v>3100.8498789345999</v>
      </c>
      <c r="E275">
        <v>953.22033898305006</v>
      </c>
      <c r="F275">
        <v>150.98242811502001</v>
      </c>
      <c r="G275">
        <v>121.41054313099001</v>
      </c>
      <c r="I275" s="9">
        <f>E275-G275</f>
        <v>831.80979585206001</v>
      </c>
      <c r="J275" s="9">
        <f>D275-F275</f>
        <v>2949.86745081958</v>
      </c>
      <c r="K275" s="9">
        <f t="shared" si="31"/>
        <v>831.80979585206001</v>
      </c>
      <c r="L275" s="10">
        <f t="shared" si="30"/>
        <v>0.28198209232111537</v>
      </c>
      <c r="M275" s="10">
        <f>L275+ABS($N$2)*A275</f>
        <v>0.36744448101327282</v>
      </c>
      <c r="O275" s="11"/>
      <c r="P275" s="8">
        <f>(M275-$O$2)/$O$2*100</f>
        <v>4.7847922749881633</v>
      </c>
    </row>
    <row r="276" spans="1:16" x14ac:dyDescent="0.2">
      <c r="A276" s="8">
        <v>137</v>
      </c>
      <c r="B276" s="8">
        <v>274</v>
      </c>
      <c r="D276">
        <v>3101.6464891041001</v>
      </c>
      <c r="E276">
        <v>958.02986279258005</v>
      </c>
      <c r="F276">
        <v>150.20846645367001</v>
      </c>
      <c r="G276">
        <v>121.05591054313</v>
      </c>
      <c r="I276" s="9">
        <f t="shared" ref="I276:I291" si="32">E276-G276</f>
        <v>836.97395224945001</v>
      </c>
      <c r="J276" s="9">
        <f t="shared" ref="J276:J291" si="33">D276-F276</f>
        <v>2951.43802265043</v>
      </c>
      <c r="K276" s="9">
        <f t="shared" si="31"/>
        <v>836.97395224945001</v>
      </c>
      <c r="L276" s="10">
        <f t="shared" si="30"/>
        <v>0.28358174755024551</v>
      </c>
      <c r="M276" s="10">
        <f t="shared" ref="M276:M291" si="34">L276+ABS($N$2)*A276</f>
        <v>0.36935718528523137</v>
      </c>
      <c r="P276" s="8">
        <f t="shared" ref="P276:P291" si="35">(M276-$O$2)/$O$2*100</f>
        <v>5.3302415337931137</v>
      </c>
    </row>
    <row r="277" spans="1:16" x14ac:dyDescent="0.2">
      <c r="A277" s="8">
        <v>137.5</v>
      </c>
      <c r="B277" s="8">
        <v>275</v>
      </c>
      <c r="D277">
        <v>3067.0807102501999</v>
      </c>
      <c r="E277">
        <v>937.49475383373999</v>
      </c>
      <c r="F277">
        <v>150.31469648562</v>
      </c>
      <c r="G277">
        <v>121.37060702875</v>
      </c>
      <c r="I277" s="9">
        <f t="shared" si="32"/>
        <v>816.12414680499</v>
      </c>
      <c r="J277" s="9">
        <f t="shared" si="33"/>
        <v>2916.7660137645798</v>
      </c>
      <c r="K277" s="9">
        <f t="shared" si="31"/>
        <v>816.12414680499</v>
      </c>
      <c r="L277" s="10">
        <f t="shared" si="30"/>
        <v>0.27980446252925301</v>
      </c>
      <c r="M277" s="10">
        <f t="shared" si="34"/>
        <v>0.36589294930706728</v>
      </c>
      <c r="N277" s="1"/>
      <c r="P277" s="8">
        <f t="shared" si="35"/>
        <v>4.3423392352949852</v>
      </c>
    </row>
    <row r="278" spans="1:16" x14ac:dyDescent="0.2">
      <c r="A278" s="8">
        <v>138</v>
      </c>
      <c r="B278" s="8">
        <v>276</v>
      </c>
      <c r="D278">
        <v>3060.9217110572999</v>
      </c>
      <c r="E278">
        <v>929.48587570621999</v>
      </c>
      <c r="F278">
        <v>150.54472843451001</v>
      </c>
      <c r="G278">
        <v>120.99600638978001</v>
      </c>
      <c r="I278" s="9">
        <f t="shared" si="32"/>
        <v>808.48986931644004</v>
      </c>
      <c r="J278" s="9">
        <f t="shared" si="33"/>
        <v>2910.3769826227899</v>
      </c>
      <c r="K278" s="9">
        <f t="shared" si="31"/>
        <v>808.48986931644004</v>
      </c>
      <c r="L278" s="10">
        <f t="shared" si="30"/>
        <v>0.2777955825460936</v>
      </c>
      <c r="M278" s="10">
        <f t="shared" si="34"/>
        <v>0.36419711836673629</v>
      </c>
      <c r="P278" s="8">
        <f t="shared" si="35"/>
        <v>3.8587361278920413</v>
      </c>
    </row>
    <row r="279" spans="1:16" x14ac:dyDescent="0.2">
      <c r="A279" s="8">
        <v>138.5</v>
      </c>
      <c r="B279" s="8">
        <v>277</v>
      </c>
      <c r="D279">
        <v>3059.7998385794999</v>
      </c>
      <c r="E279">
        <v>922.25907990315</v>
      </c>
      <c r="F279">
        <v>150.88338658147001</v>
      </c>
      <c r="G279">
        <v>121.30910543131</v>
      </c>
      <c r="I279" s="9">
        <f t="shared" si="32"/>
        <v>800.94997447184005</v>
      </c>
      <c r="J279" s="9">
        <f t="shared" si="33"/>
        <v>2908.91645199803</v>
      </c>
      <c r="K279" s="9">
        <f t="shared" si="31"/>
        <v>800.94997447184005</v>
      </c>
      <c r="L279" s="10">
        <f t="shared" si="30"/>
        <v>0.27534306594529256</v>
      </c>
      <c r="M279" s="10">
        <f t="shared" si="34"/>
        <v>0.36205765080876368</v>
      </c>
      <c r="P279" s="8">
        <f t="shared" si="35"/>
        <v>3.2486203819077146</v>
      </c>
    </row>
    <row r="280" spans="1:16" x14ac:dyDescent="0.2">
      <c r="A280" s="8">
        <v>139</v>
      </c>
      <c r="B280" s="8">
        <v>278</v>
      </c>
      <c r="D280">
        <v>3080.8571428570999</v>
      </c>
      <c r="E280">
        <v>920.09362389022999</v>
      </c>
      <c r="F280">
        <v>150.50399361021999</v>
      </c>
      <c r="G280">
        <v>121.46086261981</v>
      </c>
      <c r="I280" s="9">
        <f t="shared" si="32"/>
        <v>798.63276127042002</v>
      </c>
      <c r="J280" s="9">
        <f t="shared" si="33"/>
        <v>2930.3531492468801</v>
      </c>
      <c r="K280" s="9">
        <f t="shared" si="31"/>
        <v>798.63276127042002</v>
      </c>
      <c r="L280" s="10">
        <f t="shared" si="30"/>
        <v>0.27253805961089494</v>
      </c>
      <c r="M280" s="10">
        <f t="shared" si="34"/>
        <v>0.35956569351719447</v>
      </c>
      <c r="P280" s="8">
        <f t="shared" si="35"/>
        <v>2.5379845154085006</v>
      </c>
    </row>
    <row r="281" spans="1:16" x14ac:dyDescent="0.2">
      <c r="A281" s="8">
        <v>139.5</v>
      </c>
      <c r="B281" s="8">
        <v>279</v>
      </c>
      <c r="D281">
        <v>3099.3083131558001</v>
      </c>
      <c r="E281">
        <v>920.96368038741002</v>
      </c>
      <c r="F281">
        <v>150.30990415336001</v>
      </c>
      <c r="G281">
        <v>121.38977635783</v>
      </c>
      <c r="I281" s="9">
        <f t="shared" si="32"/>
        <v>799.57390402958004</v>
      </c>
      <c r="J281" s="9">
        <f t="shared" si="33"/>
        <v>2948.99840900244</v>
      </c>
      <c r="K281" s="9">
        <f t="shared" si="31"/>
        <v>799.57390402958004</v>
      </c>
      <c r="L281" s="10">
        <f t="shared" si="30"/>
        <v>0.27113405744428754</v>
      </c>
      <c r="M281" s="10">
        <f t="shared" si="34"/>
        <v>0.35847474039341548</v>
      </c>
      <c r="P281" s="8">
        <f t="shared" si="35"/>
        <v>2.2268754843470111</v>
      </c>
    </row>
    <row r="282" spans="1:16" x14ac:dyDescent="0.2">
      <c r="A282" s="8">
        <v>140</v>
      </c>
      <c r="B282" s="8">
        <v>280</v>
      </c>
      <c r="D282">
        <v>3048.1218724778</v>
      </c>
      <c r="E282">
        <v>906.44471347860997</v>
      </c>
      <c r="F282">
        <v>150.62140575079999</v>
      </c>
      <c r="G282">
        <v>121.09025559105</v>
      </c>
      <c r="I282" s="9">
        <f t="shared" si="32"/>
        <v>785.35445788755999</v>
      </c>
      <c r="J282" s="9">
        <f t="shared" si="33"/>
        <v>2897.500466727</v>
      </c>
      <c r="K282" s="9">
        <f t="shared" si="31"/>
        <v>785.35445788755999</v>
      </c>
      <c r="L282" s="10">
        <f t="shared" si="30"/>
        <v>0.27104549832038227</v>
      </c>
      <c r="M282" s="10">
        <f t="shared" si="34"/>
        <v>0.35869923031233863</v>
      </c>
      <c r="P282" s="8">
        <f t="shared" si="35"/>
        <v>2.2908936714138672</v>
      </c>
    </row>
    <row r="283" spans="1:16" x14ac:dyDescent="0.2">
      <c r="A283" s="8">
        <v>140.5</v>
      </c>
      <c r="B283" s="8">
        <v>281</v>
      </c>
      <c r="D283">
        <v>3061.1775625504001</v>
      </c>
      <c r="E283">
        <v>904.83373688458005</v>
      </c>
      <c r="F283">
        <v>150.97364217251999</v>
      </c>
      <c r="G283">
        <v>120.61821086262</v>
      </c>
      <c r="I283" s="9">
        <f t="shared" si="32"/>
        <v>784.21552602196005</v>
      </c>
      <c r="J283" s="9">
        <f t="shared" si="33"/>
        <v>2910.20392037788</v>
      </c>
      <c r="K283" s="9">
        <f t="shared" si="31"/>
        <v>784.21552602196005</v>
      </c>
      <c r="L283" s="10">
        <f t="shared" si="30"/>
        <v>0.26947098810867259</v>
      </c>
      <c r="M283" s="10">
        <f t="shared" si="34"/>
        <v>0.35743776914345737</v>
      </c>
      <c r="P283" s="8">
        <f t="shared" si="35"/>
        <v>1.9311605596804184</v>
      </c>
    </row>
    <row r="284" spans="1:16" x14ac:dyDescent="0.2">
      <c r="A284" s="8">
        <v>141</v>
      </c>
      <c r="B284" s="8">
        <v>282</v>
      </c>
      <c r="D284">
        <v>3028.5351089587998</v>
      </c>
      <c r="E284">
        <v>890.47619047619003</v>
      </c>
      <c r="F284">
        <v>150.67811501597001</v>
      </c>
      <c r="G284">
        <v>120.89057507987</v>
      </c>
      <c r="I284" s="9">
        <f t="shared" si="32"/>
        <v>769.58561539632001</v>
      </c>
      <c r="J284" s="9">
        <f t="shared" si="33"/>
        <v>2877.8569939428298</v>
      </c>
      <c r="K284" s="9">
        <f t="shared" si="31"/>
        <v>769.58561539632001</v>
      </c>
      <c r="L284" s="10">
        <f t="shared" si="30"/>
        <v>0.26741621179096303</v>
      </c>
      <c r="M284" s="10">
        <f t="shared" si="34"/>
        <v>0.35569604186857623</v>
      </c>
      <c r="P284" s="8">
        <f t="shared" si="35"/>
        <v>1.4344691134112626</v>
      </c>
    </row>
    <row r="285" spans="1:16" x14ac:dyDescent="0.2">
      <c r="A285" s="8">
        <v>141.5</v>
      </c>
      <c r="B285" s="8">
        <v>283</v>
      </c>
      <c r="D285">
        <v>2924.5092816788001</v>
      </c>
      <c r="E285">
        <v>855.10815173526998</v>
      </c>
      <c r="F285">
        <v>150.14776357828001</v>
      </c>
      <c r="G285">
        <v>121.44808306709</v>
      </c>
      <c r="I285" s="9">
        <f t="shared" si="32"/>
        <v>733.66006866817997</v>
      </c>
      <c r="J285" s="9">
        <f t="shared" si="33"/>
        <v>2774.3615181005202</v>
      </c>
      <c r="K285" s="9">
        <f t="shared" si="31"/>
        <v>733.66006866817997</v>
      </c>
      <c r="L285" s="10">
        <f t="shared" si="30"/>
        <v>0.26444285068172507</v>
      </c>
      <c r="M285" s="10">
        <f t="shared" si="34"/>
        <v>0.35303572980216669</v>
      </c>
      <c r="P285" s="8">
        <f t="shared" si="35"/>
        <v>0.67582321812756385</v>
      </c>
    </row>
    <row r="286" spans="1:16" x14ac:dyDescent="0.2">
      <c r="A286" s="8">
        <v>142</v>
      </c>
      <c r="B286" s="8">
        <v>284</v>
      </c>
      <c r="D286">
        <v>2909.2203389831002</v>
      </c>
      <c r="E286">
        <v>842.02824858757003</v>
      </c>
      <c r="F286">
        <v>151.09664536740999</v>
      </c>
      <c r="G286">
        <v>120.87699680511</v>
      </c>
      <c r="I286" s="9">
        <f t="shared" si="32"/>
        <v>721.15125178246001</v>
      </c>
      <c r="J286" s="9">
        <f t="shared" si="33"/>
        <v>2758.1236936156902</v>
      </c>
      <c r="K286" s="9">
        <f t="shared" si="31"/>
        <v>721.15125178246001</v>
      </c>
      <c r="L286" s="10">
        <f t="shared" si="30"/>
        <v>0.26146443448193785</v>
      </c>
      <c r="M286" s="10">
        <f t="shared" si="34"/>
        <v>0.35037036264520788</v>
      </c>
      <c r="P286" s="8">
        <f t="shared" si="35"/>
        <v>-8.4264246265229839E-2</v>
      </c>
    </row>
    <row r="287" spans="1:16" x14ac:dyDescent="0.2">
      <c r="A287" s="8">
        <v>142.5</v>
      </c>
      <c r="B287" s="8">
        <v>285</v>
      </c>
      <c r="D287">
        <v>2987.2211460856001</v>
      </c>
      <c r="E287">
        <v>860.73527037934002</v>
      </c>
      <c r="F287">
        <v>151.25638977636001</v>
      </c>
      <c r="G287">
        <v>121.63897763577999</v>
      </c>
      <c r="I287" s="9">
        <f t="shared" si="32"/>
        <v>739.09629274356007</v>
      </c>
      <c r="J287" s="9">
        <f t="shared" si="33"/>
        <v>2835.9647563092403</v>
      </c>
      <c r="K287" s="9">
        <f t="shared" si="31"/>
        <v>739.09629274356007</v>
      </c>
      <c r="L287" s="10">
        <f t="shared" si="30"/>
        <v>0.26061547171884786</v>
      </c>
      <c r="M287" s="10">
        <f t="shared" si="34"/>
        <v>0.34983444892494631</v>
      </c>
      <c r="P287" s="8">
        <f t="shared" si="35"/>
        <v>-0.23709170934228838</v>
      </c>
    </row>
    <row r="288" spans="1:16" x14ac:dyDescent="0.2">
      <c r="A288" s="8">
        <v>143</v>
      </c>
      <c r="B288" s="8">
        <v>286</v>
      </c>
      <c r="D288">
        <v>3000.6029055690001</v>
      </c>
      <c r="E288">
        <v>859.5988700565</v>
      </c>
      <c r="F288">
        <v>150.40575079871999</v>
      </c>
      <c r="G288">
        <v>121.32108626198</v>
      </c>
      <c r="I288" s="9">
        <f t="shared" si="32"/>
        <v>738.27778379452002</v>
      </c>
      <c r="J288" s="9">
        <f t="shared" si="33"/>
        <v>2850.1971547702801</v>
      </c>
      <c r="K288" s="9">
        <f t="shared" si="31"/>
        <v>738.27778379452002</v>
      </c>
      <c r="L288" s="10">
        <f t="shared" si="30"/>
        <v>0.25902691768493596</v>
      </c>
      <c r="M288" s="10">
        <f t="shared" si="34"/>
        <v>0.34855894393386283</v>
      </c>
      <c r="P288" s="8">
        <f t="shared" si="35"/>
        <v>-0.60082972268195489</v>
      </c>
    </row>
    <row r="289" spans="1:16" x14ac:dyDescent="0.2">
      <c r="A289" s="8">
        <v>143.5</v>
      </c>
      <c r="B289" s="8">
        <v>287</v>
      </c>
      <c r="D289">
        <v>3032.4358353511002</v>
      </c>
      <c r="E289">
        <v>869.58837772396998</v>
      </c>
      <c r="F289">
        <v>150.69488817890999</v>
      </c>
      <c r="G289">
        <v>121.29712460064</v>
      </c>
      <c r="I289" s="9">
        <f t="shared" si="32"/>
        <v>748.29125312332997</v>
      </c>
      <c r="J289" s="9">
        <f t="shared" si="33"/>
        <v>2881.7409471721903</v>
      </c>
      <c r="K289" s="9">
        <f t="shared" si="31"/>
        <v>748.29125312332997</v>
      </c>
      <c r="L289" s="10">
        <f t="shared" si="30"/>
        <v>0.25966638460601987</v>
      </c>
      <c r="M289" s="10">
        <f t="shared" si="34"/>
        <v>0.34951145989777516</v>
      </c>
      <c r="P289" s="8">
        <f t="shared" si="35"/>
        <v>-0.32919906124998222</v>
      </c>
    </row>
    <row r="290" spans="1:16" x14ac:dyDescent="0.2">
      <c r="A290" s="8">
        <v>144</v>
      </c>
      <c r="B290" s="8">
        <v>288</v>
      </c>
      <c r="D290">
        <v>3011.6553672315999</v>
      </c>
      <c r="E290">
        <v>864.01372074253004</v>
      </c>
      <c r="F290">
        <v>150.61581469648999</v>
      </c>
      <c r="G290">
        <v>120.96485623002999</v>
      </c>
      <c r="I290" s="9">
        <f t="shared" si="32"/>
        <v>743.04886451250002</v>
      </c>
      <c r="J290" s="9">
        <f t="shared" si="33"/>
        <v>2861.03955253511</v>
      </c>
      <c r="K290" s="9">
        <f t="shared" si="31"/>
        <v>743.04886451250002</v>
      </c>
      <c r="L290" s="10">
        <f t="shared" si="30"/>
        <v>0.25971289486511967</v>
      </c>
      <c r="M290" s="10">
        <f t="shared" si="34"/>
        <v>0.34987101919970337</v>
      </c>
      <c r="P290" s="8">
        <f t="shared" si="35"/>
        <v>-0.22666289943530338</v>
      </c>
    </row>
    <row r="291" spans="1:16" x14ac:dyDescent="0.2">
      <c r="A291" s="8">
        <v>144.5</v>
      </c>
      <c r="B291" s="8">
        <v>289</v>
      </c>
      <c r="D291">
        <v>3009.0912025827001</v>
      </c>
      <c r="E291">
        <v>856.38014527844996</v>
      </c>
      <c r="F291">
        <v>150.48242811502001</v>
      </c>
      <c r="G291">
        <v>121.46964856229999</v>
      </c>
      <c r="I291" s="9">
        <f t="shared" si="32"/>
        <v>734.91049671614996</v>
      </c>
      <c r="J291" s="9">
        <f t="shared" si="33"/>
        <v>2858.6087744676802</v>
      </c>
      <c r="K291" s="9">
        <f t="shared" si="31"/>
        <v>734.91049671614996</v>
      </c>
      <c r="L291" s="10">
        <f t="shared" si="30"/>
        <v>0.25708677006807351</v>
      </c>
      <c r="M291" s="10">
        <f t="shared" si="34"/>
        <v>0.34755794344548563</v>
      </c>
      <c r="P291" s="8">
        <f t="shared" si="35"/>
        <v>-0.88628680167391827</v>
      </c>
    </row>
    <row r="292" spans="1:16" x14ac:dyDescent="0.2">
      <c r="A292" s="8">
        <v>145</v>
      </c>
      <c r="B292" s="8">
        <v>290</v>
      </c>
      <c r="D292">
        <v>2975.5310734463001</v>
      </c>
      <c r="E292">
        <v>840.89911218725001</v>
      </c>
      <c r="F292">
        <v>150.58067092652001</v>
      </c>
      <c r="G292">
        <v>120.99600638978001</v>
      </c>
      <c r="I292" s="9">
        <f>E292-G292</f>
        <v>719.90310579747006</v>
      </c>
      <c r="J292" s="9">
        <f>D292-F292</f>
        <v>2824.9504025197803</v>
      </c>
      <c r="K292" s="9">
        <f t="shared" si="31"/>
        <v>719.90310579747006</v>
      </c>
      <c r="L292" s="10">
        <f t="shared" si="30"/>
        <v>0.25483743189095842</v>
      </c>
      <c r="M292" s="10">
        <f>L292+ABS($N$2)*A292</f>
        <v>0.34562165431119896</v>
      </c>
      <c r="O292" s="11"/>
      <c r="P292" s="8">
        <f>(M292-$O$2)/$O$2*100</f>
        <v>-1.438461797365898</v>
      </c>
    </row>
    <row r="293" spans="1:16" x14ac:dyDescent="0.2">
      <c r="A293" s="8">
        <v>145.5</v>
      </c>
      <c r="B293" s="8">
        <v>291</v>
      </c>
      <c r="D293">
        <v>3011.5875706215002</v>
      </c>
      <c r="E293">
        <v>849.21388216304001</v>
      </c>
      <c r="F293">
        <v>150.44089456869</v>
      </c>
      <c r="G293">
        <v>121.13178913738</v>
      </c>
      <c r="I293" s="9">
        <f t="shared" ref="I293:I301" si="36">E293-G293</f>
        <v>728.08209302566001</v>
      </c>
      <c r="J293" s="9">
        <f t="shared" ref="J293:J301" si="37">D293-F293</f>
        <v>2861.1466760528101</v>
      </c>
      <c r="K293" s="9">
        <f t="shared" si="31"/>
        <v>728.08209302566001</v>
      </c>
      <c r="L293" s="10">
        <f t="shared" si="30"/>
        <v>0.25447213144280667</v>
      </c>
      <c r="M293" s="10">
        <f t="shared" ref="M293:M301" si="38">L293+ABS($N$2)*A293</f>
        <v>0.34556940290587562</v>
      </c>
      <c r="P293" s="8">
        <f t="shared" ref="P293:P301" si="39">(M293-$O$2)/$O$2*100</f>
        <v>-1.453362422999962</v>
      </c>
    </row>
    <row r="294" spans="1:16" x14ac:dyDescent="0.2">
      <c r="A294" s="8">
        <v>146</v>
      </c>
      <c r="B294" s="8">
        <v>292</v>
      </c>
      <c r="D294">
        <v>2996.0040160642998</v>
      </c>
      <c r="E294">
        <v>846.22088353413994</v>
      </c>
      <c r="F294">
        <v>151.31789137379999</v>
      </c>
      <c r="G294">
        <v>121.06549520767</v>
      </c>
      <c r="I294" s="9">
        <f t="shared" si="36"/>
        <v>725.15538832646996</v>
      </c>
      <c r="J294" s="9">
        <f t="shared" si="37"/>
        <v>2844.6861246904996</v>
      </c>
      <c r="K294" s="9">
        <f t="shared" si="31"/>
        <v>725.15538832646996</v>
      </c>
      <c r="L294" s="10">
        <f t="shared" si="30"/>
        <v>0.25491578210772425</v>
      </c>
      <c r="M294" s="10">
        <f t="shared" si="38"/>
        <v>0.34632610261362162</v>
      </c>
      <c r="N294" s="1"/>
      <c r="P294" s="8">
        <f t="shared" si="39"/>
        <v>-1.2375730295328038</v>
      </c>
    </row>
    <row r="295" spans="1:16" x14ac:dyDescent="0.2">
      <c r="A295" s="8">
        <v>146.5</v>
      </c>
      <c r="B295" s="8">
        <v>293</v>
      </c>
      <c r="D295">
        <v>2976.9566265059998</v>
      </c>
      <c r="E295">
        <v>844.09638554216997</v>
      </c>
      <c r="F295">
        <v>151.35223642173</v>
      </c>
      <c r="G295">
        <v>121.16054313099001</v>
      </c>
      <c r="I295" s="9">
        <f t="shared" si="36"/>
        <v>722.93584241117992</v>
      </c>
      <c r="J295" s="9">
        <f t="shared" si="37"/>
        <v>2825.6043900842697</v>
      </c>
      <c r="K295" s="9">
        <f t="shared" si="31"/>
        <v>722.93584241117992</v>
      </c>
      <c r="L295" s="10">
        <f t="shared" si="30"/>
        <v>0.25585175509640945</v>
      </c>
      <c r="M295" s="10">
        <f t="shared" si="38"/>
        <v>0.34757512464513524</v>
      </c>
      <c r="P295" s="8">
        <f t="shared" si="39"/>
        <v>-0.88138720859429265</v>
      </c>
    </row>
    <row r="296" spans="1:16" x14ac:dyDescent="0.2">
      <c r="A296" s="8">
        <v>147</v>
      </c>
      <c r="B296" s="8">
        <v>294</v>
      </c>
      <c r="D296">
        <v>2968.6530120481998</v>
      </c>
      <c r="E296">
        <v>845.21365461846995</v>
      </c>
      <c r="F296">
        <v>150.63817891374001</v>
      </c>
      <c r="G296">
        <v>121.30750798722001</v>
      </c>
      <c r="I296" s="9">
        <f t="shared" si="36"/>
        <v>723.90614663124995</v>
      </c>
      <c r="J296" s="9">
        <f t="shared" si="37"/>
        <v>2818.0148331344599</v>
      </c>
      <c r="K296" s="9">
        <f t="shared" si="31"/>
        <v>723.90614663124995</v>
      </c>
      <c r="L296" s="10">
        <f t="shared" si="30"/>
        <v>0.25688514415165581</v>
      </c>
      <c r="M296" s="10">
        <f t="shared" si="38"/>
        <v>0.34892156274321001</v>
      </c>
      <c r="P296" s="8">
        <f t="shared" si="39"/>
        <v>-0.49742107572754479</v>
      </c>
    </row>
    <row r="297" spans="1:16" x14ac:dyDescent="0.2">
      <c r="A297" s="8">
        <v>147.5</v>
      </c>
      <c r="B297" s="8">
        <v>295</v>
      </c>
      <c r="D297">
        <v>2974.4032128514</v>
      </c>
      <c r="E297">
        <v>852.76867469880006</v>
      </c>
      <c r="F297">
        <v>150.5982428115</v>
      </c>
      <c r="G297">
        <v>121.05271565495001</v>
      </c>
      <c r="I297" s="9">
        <f t="shared" si="36"/>
        <v>731.71595904385003</v>
      </c>
      <c r="J297" s="9">
        <f t="shared" si="37"/>
        <v>2823.8049700399001</v>
      </c>
      <c r="K297" s="9">
        <f t="shared" si="31"/>
        <v>731.71595904385003</v>
      </c>
      <c r="L297" s="10">
        <f t="shared" si="30"/>
        <v>0.25912411331775187</v>
      </c>
      <c r="M297" s="10">
        <f t="shared" si="38"/>
        <v>0.35147358095213449</v>
      </c>
      <c r="P297" s="8">
        <f t="shared" si="39"/>
        <v>0.23034246875872902</v>
      </c>
    </row>
    <row r="298" spans="1:16" x14ac:dyDescent="0.2">
      <c r="A298" s="8">
        <v>148</v>
      </c>
      <c r="B298" s="8">
        <v>296</v>
      </c>
      <c r="D298">
        <v>2923.4144578312998</v>
      </c>
      <c r="E298">
        <v>832.05542168675004</v>
      </c>
      <c r="F298">
        <v>150.25638977636001</v>
      </c>
      <c r="G298">
        <v>121.05990415335999</v>
      </c>
      <c r="I298" s="9">
        <f t="shared" si="36"/>
        <v>710.99551753339006</v>
      </c>
      <c r="J298" s="9">
        <f t="shared" si="37"/>
        <v>2773.15806805494</v>
      </c>
      <c r="K298" s="9">
        <f t="shared" si="31"/>
        <v>710.99551753339006</v>
      </c>
      <c r="L298" s="10">
        <f t="shared" si="30"/>
        <v>0.25638477868377474</v>
      </c>
      <c r="M298" s="10">
        <f t="shared" si="38"/>
        <v>0.34904729536098578</v>
      </c>
      <c r="P298" s="8">
        <f t="shared" si="39"/>
        <v>-0.46156568282711896</v>
      </c>
    </row>
    <row r="299" spans="1:16" x14ac:dyDescent="0.2">
      <c r="A299" s="8">
        <v>148.5</v>
      </c>
      <c r="B299" s="8">
        <v>297</v>
      </c>
      <c r="D299">
        <v>2871.9799196786998</v>
      </c>
      <c r="E299">
        <v>822.14297188754995</v>
      </c>
      <c r="F299">
        <v>150.57028753994001</v>
      </c>
      <c r="G299">
        <v>121.19888178914</v>
      </c>
      <c r="I299" s="9">
        <f t="shared" si="36"/>
        <v>700.9440900984099</v>
      </c>
      <c r="J299" s="9">
        <f t="shared" si="37"/>
        <v>2721.4096321387597</v>
      </c>
      <c r="K299" s="9">
        <f t="shared" si="31"/>
        <v>700.9440900984099</v>
      </c>
      <c r="L299" s="10">
        <f t="shared" si="30"/>
        <v>0.25756655000428469</v>
      </c>
      <c r="M299" s="10">
        <f t="shared" si="38"/>
        <v>0.35054211572432414</v>
      </c>
      <c r="P299" s="8">
        <f t="shared" si="39"/>
        <v>-3.5285117042337992E-2</v>
      </c>
    </row>
    <row r="300" spans="1:16" x14ac:dyDescent="0.2">
      <c r="A300" s="8">
        <v>149</v>
      </c>
      <c r="B300" s="8">
        <v>298</v>
      </c>
      <c r="D300">
        <v>2889.0690763051998</v>
      </c>
      <c r="E300">
        <v>827.89076305220999</v>
      </c>
      <c r="F300">
        <v>150.78674121405999</v>
      </c>
      <c r="G300">
        <v>121.02076677316001</v>
      </c>
      <c r="I300" s="9">
        <f t="shared" si="36"/>
        <v>706.86999627904993</v>
      </c>
      <c r="J300" s="9">
        <f t="shared" si="37"/>
        <v>2738.2823350911399</v>
      </c>
      <c r="K300" s="9">
        <f t="shared" si="31"/>
        <v>706.86999627904993</v>
      </c>
      <c r="L300" s="10">
        <f t="shared" si="30"/>
        <v>0.25814357680378591</v>
      </c>
      <c r="M300" s="10">
        <f t="shared" si="38"/>
        <v>0.35143219156665373</v>
      </c>
      <c r="P300" s="8">
        <f t="shared" si="39"/>
        <v>0.21853938452670785</v>
      </c>
    </row>
    <row r="301" spans="1:16" x14ac:dyDescent="0.2">
      <c r="A301" s="8">
        <v>149.5</v>
      </c>
      <c r="B301" s="8">
        <v>299</v>
      </c>
      <c r="D301">
        <v>2919.5534136545998</v>
      </c>
      <c r="E301">
        <v>839.88433734939997</v>
      </c>
      <c r="F301">
        <v>150.41453674120999</v>
      </c>
      <c r="G301">
        <v>121.24840255591</v>
      </c>
      <c r="I301" s="9">
        <f t="shared" si="36"/>
        <v>718.63593479348992</v>
      </c>
      <c r="J301" s="9">
        <f t="shared" si="37"/>
        <v>2769.13887691339</v>
      </c>
      <c r="K301" s="9">
        <f t="shared" si="31"/>
        <v>718.63593479348992</v>
      </c>
      <c r="L301" s="10">
        <f t="shared" si="30"/>
        <v>0.25951603250556893</v>
      </c>
      <c r="M301" s="10">
        <f t="shared" si="38"/>
        <v>0.35311769631126522</v>
      </c>
      <c r="P301" s="8">
        <f t="shared" si="39"/>
        <v>0.69919775244009619</v>
      </c>
    </row>
    <row r="302" spans="1:16" x14ac:dyDescent="0.2">
      <c r="A302" s="8">
        <v>150</v>
      </c>
      <c r="B302" s="8">
        <v>300</v>
      </c>
      <c r="D302">
        <v>2751.3887550200998</v>
      </c>
      <c r="E302">
        <v>799.95020080321001</v>
      </c>
      <c r="F302">
        <v>149.89456869009999</v>
      </c>
      <c r="G302">
        <v>121.11900958467</v>
      </c>
      <c r="I302" s="9">
        <f>E302-G302</f>
        <v>678.83119121853997</v>
      </c>
      <c r="J302" s="9">
        <f>D302-F302</f>
        <v>2601.4941863299996</v>
      </c>
      <c r="K302" s="9">
        <f t="shared" si="31"/>
        <v>678.83119121853997</v>
      </c>
      <c r="L302" s="10">
        <f t="shared" si="30"/>
        <v>0.26093896145744844</v>
      </c>
      <c r="M302" s="10">
        <f>L302+ABS($N$2)*A302</f>
        <v>0.35485367430597314</v>
      </c>
      <c r="O302" s="11"/>
      <c r="P302" s="8">
        <f>(M302-$O$2)/$O$2*100</f>
        <v>1.1942496663178008</v>
      </c>
    </row>
    <row r="303" spans="1:16" x14ac:dyDescent="0.2">
      <c r="A303" s="8">
        <v>150.5</v>
      </c>
      <c r="B303" s="8">
        <v>301</v>
      </c>
      <c r="D303">
        <v>2958.2185483870999</v>
      </c>
      <c r="E303">
        <v>837.20403225807001</v>
      </c>
      <c r="F303">
        <v>151.34504792332001</v>
      </c>
      <c r="G303">
        <v>120.88498402556</v>
      </c>
      <c r="I303" s="9">
        <f t="shared" ref="I303:I309" si="40">E303-G303</f>
        <v>716.31904823251</v>
      </c>
      <c r="J303" s="9">
        <f t="shared" ref="J303:J309" si="41">D303-F303</f>
        <v>2806.8735004637797</v>
      </c>
      <c r="K303" s="9">
        <f t="shared" si="31"/>
        <v>716.31904823251</v>
      </c>
      <c r="L303" s="10">
        <f t="shared" si="30"/>
        <v>0.25520175672831447</v>
      </c>
      <c r="M303" s="10">
        <f t="shared" ref="M303:M309" si="42">L303+ABS($N$2)*A303</f>
        <v>0.34942951861966753</v>
      </c>
      <c r="P303" s="8">
        <f t="shared" ref="P303:P309" si="43">(M303-$O$2)/$O$2*100</f>
        <v>-0.35256640039623027</v>
      </c>
    </row>
    <row r="304" spans="1:16" x14ac:dyDescent="0.2">
      <c r="A304" s="8">
        <v>151</v>
      </c>
      <c r="B304" s="8">
        <v>302</v>
      </c>
      <c r="D304">
        <v>2960.9290322581001</v>
      </c>
      <c r="E304">
        <v>834.96532258064997</v>
      </c>
      <c r="F304">
        <v>150.67332268371001</v>
      </c>
      <c r="G304">
        <v>121.46964856229999</v>
      </c>
      <c r="I304" s="9">
        <f t="shared" si="40"/>
        <v>713.49567401834997</v>
      </c>
      <c r="J304" s="9">
        <f t="shared" si="41"/>
        <v>2810.25570957439</v>
      </c>
      <c r="K304" s="9">
        <f t="shared" si="31"/>
        <v>713.49567401834997</v>
      </c>
      <c r="L304" s="10">
        <f t="shared" si="30"/>
        <v>0.25388994730533188</v>
      </c>
      <c r="M304" s="10">
        <f t="shared" si="42"/>
        <v>0.34843075823951342</v>
      </c>
      <c r="N304" s="1"/>
      <c r="P304" s="8">
        <f t="shared" si="43"/>
        <v>-0.63738466376581149</v>
      </c>
    </row>
    <row r="305" spans="1:16" x14ac:dyDescent="0.2">
      <c r="A305" s="8">
        <v>151.5</v>
      </c>
      <c r="B305" s="8">
        <v>303</v>
      </c>
      <c r="D305">
        <v>2962.1919354839001</v>
      </c>
      <c r="E305">
        <v>837.59112903226003</v>
      </c>
      <c r="F305">
        <v>151.00479233227</v>
      </c>
      <c r="G305">
        <v>121.15095846645001</v>
      </c>
      <c r="I305" s="9">
        <f t="shared" si="40"/>
        <v>716.44017056581004</v>
      </c>
      <c r="J305" s="9">
        <f t="shared" si="41"/>
        <v>2811.1871431516302</v>
      </c>
      <c r="K305" s="9">
        <f t="shared" si="31"/>
        <v>716.44017056581004</v>
      </c>
      <c r="L305" s="10">
        <f t="shared" si="30"/>
        <v>0.25485324671861115</v>
      </c>
      <c r="M305" s="10">
        <f t="shared" si="42"/>
        <v>0.34970710669562111</v>
      </c>
      <c r="P305" s="8">
        <f t="shared" si="43"/>
        <v>-0.27340611801398379</v>
      </c>
    </row>
    <row r="306" spans="1:16" x14ac:dyDescent="0.2">
      <c r="A306" s="8">
        <v>152</v>
      </c>
      <c r="B306" s="8">
        <v>304</v>
      </c>
      <c r="D306">
        <v>3008.0048387096999</v>
      </c>
      <c r="E306">
        <v>846.51854838710005</v>
      </c>
      <c r="F306">
        <v>149.63578274759999</v>
      </c>
      <c r="G306">
        <v>121.15654952077</v>
      </c>
      <c r="I306" s="9">
        <f t="shared" si="40"/>
        <v>725.36199886633005</v>
      </c>
      <c r="J306" s="9">
        <f t="shared" si="41"/>
        <v>2858.3690559621</v>
      </c>
      <c r="K306" s="9">
        <f t="shared" si="31"/>
        <v>725.36199886633005</v>
      </c>
      <c r="L306" s="10">
        <f t="shared" si="30"/>
        <v>0.25376779018557494</v>
      </c>
      <c r="M306" s="10">
        <f t="shared" si="42"/>
        <v>0.34893469920541331</v>
      </c>
      <c r="P306" s="8">
        <f t="shared" si="43"/>
        <v>-0.49367492757638692</v>
      </c>
    </row>
    <row r="307" spans="1:16" x14ac:dyDescent="0.2">
      <c r="A307" s="8">
        <v>152.5</v>
      </c>
      <c r="B307" s="8">
        <v>305</v>
      </c>
      <c r="D307">
        <v>3033.2016129031999</v>
      </c>
      <c r="E307">
        <v>850.86612903226001</v>
      </c>
      <c r="F307">
        <v>150.33226837061</v>
      </c>
      <c r="G307">
        <v>120.85782747604</v>
      </c>
      <c r="I307" s="9">
        <f t="shared" si="40"/>
        <v>730.00830155621998</v>
      </c>
      <c r="J307" s="9">
        <f t="shared" si="41"/>
        <v>2882.8693445325898</v>
      </c>
      <c r="K307" s="9">
        <f t="shared" si="31"/>
        <v>730.00830155621998</v>
      </c>
      <c r="L307" s="10">
        <f t="shared" si="30"/>
        <v>0.25322281876585667</v>
      </c>
      <c r="M307" s="10">
        <f t="shared" si="42"/>
        <v>0.34870277682852341</v>
      </c>
      <c r="P307" s="8">
        <f t="shared" si="43"/>
        <v>-0.55981264182185475</v>
      </c>
    </row>
    <row r="308" spans="1:16" x14ac:dyDescent="0.2">
      <c r="A308" s="8">
        <v>153</v>
      </c>
      <c r="B308" s="8">
        <v>306</v>
      </c>
      <c r="D308">
        <v>3030.8459677419</v>
      </c>
      <c r="E308">
        <v>854.30241935484003</v>
      </c>
      <c r="F308">
        <v>150.42172523962</v>
      </c>
      <c r="G308">
        <v>121.30990415335999</v>
      </c>
      <c r="I308" s="9">
        <f t="shared" si="40"/>
        <v>732.99251520148005</v>
      </c>
      <c r="J308" s="9">
        <f t="shared" si="41"/>
        <v>2880.4242425022799</v>
      </c>
      <c r="K308" s="9">
        <f t="shared" si="31"/>
        <v>732.99251520148005</v>
      </c>
      <c r="L308" s="10">
        <f t="shared" si="30"/>
        <v>0.25447380437428735</v>
      </c>
      <c r="M308" s="10">
        <f t="shared" si="42"/>
        <v>0.3502668114797825</v>
      </c>
      <c r="P308" s="8">
        <f t="shared" si="43"/>
        <v>-0.11379411518313835</v>
      </c>
    </row>
    <row r="309" spans="1:16" x14ac:dyDescent="0.2">
      <c r="A309" s="8">
        <v>153.5</v>
      </c>
      <c r="B309" s="8">
        <v>307</v>
      </c>
      <c r="D309">
        <v>3038.7790322581</v>
      </c>
      <c r="E309">
        <v>850.16290322581006</v>
      </c>
      <c r="F309">
        <v>150.77715654951999</v>
      </c>
      <c r="G309">
        <v>121.16214057508</v>
      </c>
      <c r="I309" s="9">
        <f t="shared" si="40"/>
        <v>729.00076265073005</v>
      </c>
      <c r="J309" s="9">
        <f t="shared" si="41"/>
        <v>2888.00187570858</v>
      </c>
      <c r="K309" s="9">
        <f t="shared" si="31"/>
        <v>729.00076265073005</v>
      </c>
      <c r="L309" s="10">
        <f t="shared" si="30"/>
        <v>0.2524239228452258</v>
      </c>
      <c r="M309" s="10">
        <f t="shared" si="42"/>
        <v>0.34852997899354937</v>
      </c>
      <c r="P309" s="8">
        <f t="shared" si="43"/>
        <v>-0.60908970591978595</v>
      </c>
    </row>
    <row r="310" spans="1:16" x14ac:dyDescent="0.2">
      <c r="A310" s="8">
        <v>154</v>
      </c>
      <c r="B310" s="8">
        <v>308</v>
      </c>
      <c r="D310">
        <v>3026.7370967741999</v>
      </c>
      <c r="E310">
        <v>845.28467741936004</v>
      </c>
      <c r="F310">
        <v>150.38338658147001</v>
      </c>
      <c r="G310">
        <v>121.29233226837</v>
      </c>
      <c r="I310" s="9">
        <f>E310-G310</f>
        <v>723.99234515098999</v>
      </c>
      <c r="J310" s="9">
        <f>D310-F310</f>
        <v>2876.35371019273</v>
      </c>
      <c r="K310" s="9">
        <f t="shared" si="31"/>
        <v>723.99234515098999</v>
      </c>
      <c r="L310" s="10">
        <f t="shared" si="30"/>
        <v>0.25170490770499809</v>
      </c>
      <c r="M310" s="10">
        <f>L310+ABS($N$2)*A310</f>
        <v>0.34812401289615008</v>
      </c>
      <c r="O310" s="11"/>
      <c r="P310" s="8">
        <f>(M310-$O$2)/$O$2*100</f>
        <v>-0.72485977564396742</v>
      </c>
    </row>
    <row r="311" spans="1:16" x14ac:dyDescent="0.2">
      <c r="A311" s="8">
        <v>154.5</v>
      </c>
      <c r="B311" s="8">
        <v>309</v>
      </c>
      <c r="D311">
        <v>2991.6862903226001</v>
      </c>
      <c r="E311">
        <v>835.64596774194001</v>
      </c>
      <c r="F311">
        <v>150.5838658147</v>
      </c>
      <c r="G311">
        <v>121.01916932907</v>
      </c>
      <c r="I311" s="9">
        <f t="shared" ref="I311:I319" si="44">E311-G311</f>
        <v>714.62679841287002</v>
      </c>
      <c r="J311" s="9">
        <f t="shared" ref="J311:J319" si="45">D311-F311</f>
        <v>2841.1024245079002</v>
      </c>
      <c r="K311" s="9">
        <f t="shared" si="31"/>
        <v>714.62679841287002</v>
      </c>
      <c r="L311" s="10">
        <f t="shared" si="30"/>
        <v>0.25153151545975982</v>
      </c>
      <c r="M311" s="10">
        <f t="shared" ref="M311:M319" si="46">L311+ABS($N$2)*A311</f>
        <v>0.34826366969374023</v>
      </c>
      <c r="P311" s="8">
        <f t="shared" ref="P311:P319" si="47">(M311-$O$2)/$O$2*100</f>
        <v>-0.68503359976858347</v>
      </c>
    </row>
    <row r="312" spans="1:16" x14ac:dyDescent="0.2">
      <c r="A312" s="8">
        <v>155</v>
      </c>
      <c r="B312" s="8">
        <v>310</v>
      </c>
      <c r="D312">
        <v>2985.1480289622</v>
      </c>
      <c r="E312">
        <v>832.51729686243004</v>
      </c>
      <c r="F312">
        <v>150.88258785943</v>
      </c>
      <c r="G312">
        <v>121.37539936102</v>
      </c>
      <c r="I312" s="9">
        <f t="shared" si="44"/>
        <v>711.14189750141009</v>
      </c>
      <c r="J312" s="9">
        <f t="shared" si="45"/>
        <v>2834.2654411027702</v>
      </c>
      <c r="K312" s="9">
        <f t="shared" si="31"/>
        <v>711.14189750141009</v>
      </c>
      <c r="L312" s="10">
        <f t="shared" si="30"/>
        <v>0.25090871419040955</v>
      </c>
      <c r="M312" s="10">
        <f t="shared" si="46"/>
        <v>0.34795391746721838</v>
      </c>
      <c r="N312" s="1"/>
      <c r="P312" s="8">
        <f t="shared" si="47"/>
        <v>-0.77336618983308103</v>
      </c>
    </row>
    <row r="313" spans="1:16" x14ac:dyDescent="0.2">
      <c r="A313" s="8">
        <v>155.5</v>
      </c>
      <c r="B313" s="8">
        <v>311</v>
      </c>
      <c r="D313">
        <v>3006.6371681415999</v>
      </c>
      <c r="E313">
        <v>842.46178600160999</v>
      </c>
      <c r="F313">
        <v>149.98642172524001</v>
      </c>
      <c r="G313">
        <v>121.20926517572001</v>
      </c>
      <c r="I313" s="9">
        <f t="shared" si="44"/>
        <v>721.25252082588997</v>
      </c>
      <c r="J313" s="9">
        <f t="shared" si="45"/>
        <v>2856.6507464163597</v>
      </c>
      <c r="K313" s="9">
        <f t="shared" si="31"/>
        <v>721.25252082588997</v>
      </c>
      <c r="L313" s="10">
        <f t="shared" si="30"/>
        <v>0.25248186945173268</v>
      </c>
      <c r="M313" s="10">
        <f t="shared" si="46"/>
        <v>0.34984012177136992</v>
      </c>
      <c r="P313" s="8">
        <f t="shared" si="47"/>
        <v>-0.23547397369834386</v>
      </c>
    </row>
    <row r="314" spans="1:16" x14ac:dyDescent="0.2">
      <c r="A314" s="8">
        <v>156</v>
      </c>
      <c r="B314" s="8">
        <v>312</v>
      </c>
      <c r="D314">
        <v>2962.7433628319</v>
      </c>
      <c r="E314">
        <v>830.48913917941002</v>
      </c>
      <c r="F314">
        <v>150.57907348243</v>
      </c>
      <c r="G314">
        <v>121.03115015973999</v>
      </c>
      <c r="I314" s="9">
        <f t="shared" si="44"/>
        <v>709.45798901966998</v>
      </c>
      <c r="J314" s="9">
        <f t="shared" si="45"/>
        <v>2812.16428934947</v>
      </c>
      <c r="K314" s="9">
        <f t="shared" si="31"/>
        <v>709.45798901966998</v>
      </c>
      <c r="L314" s="10">
        <f t="shared" si="30"/>
        <v>0.25228184274532084</v>
      </c>
      <c r="M314" s="10">
        <f t="shared" si="46"/>
        <v>0.3499531441077865</v>
      </c>
      <c r="P314" s="8">
        <f t="shared" si="47"/>
        <v>-0.20324319420429202</v>
      </c>
    </row>
    <row r="315" spans="1:16" x14ac:dyDescent="0.2">
      <c r="A315" s="8">
        <v>156.5</v>
      </c>
      <c r="B315" s="8">
        <v>313</v>
      </c>
      <c r="D315">
        <v>2946.0659694288001</v>
      </c>
      <c r="E315">
        <v>833.52051488334996</v>
      </c>
      <c r="F315">
        <v>150.15335463259001</v>
      </c>
      <c r="G315">
        <v>121.34345047923</v>
      </c>
      <c r="I315" s="9">
        <f t="shared" si="44"/>
        <v>712.17706440411996</v>
      </c>
      <c r="J315" s="9">
        <f t="shared" si="45"/>
        <v>2795.9126147962102</v>
      </c>
      <c r="K315" s="9">
        <f t="shared" si="31"/>
        <v>712.17706440411996</v>
      </c>
      <c r="L315" s="10">
        <f t="shared" si="30"/>
        <v>0.25472078799430914</v>
      </c>
      <c r="M315" s="10">
        <f t="shared" si="46"/>
        <v>0.35270513839960321</v>
      </c>
      <c r="P315" s="8">
        <f t="shared" si="47"/>
        <v>0.58154788338860142</v>
      </c>
    </row>
    <row r="316" spans="1:16" x14ac:dyDescent="0.2">
      <c r="A316" s="8">
        <v>157</v>
      </c>
      <c r="B316" s="8">
        <v>314</v>
      </c>
      <c r="D316">
        <v>3053.7767068273001</v>
      </c>
      <c r="E316">
        <v>857.8</v>
      </c>
      <c r="F316">
        <v>150.86900958467001</v>
      </c>
      <c r="G316">
        <v>120.57587859425</v>
      </c>
      <c r="I316" s="9">
        <f t="shared" si="44"/>
        <v>737.22412140575</v>
      </c>
      <c r="J316" s="9">
        <f t="shared" si="45"/>
        <v>2902.9076972426301</v>
      </c>
      <c r="K316" s="9">
        <f t="shared" si="31"/>
        <v>737.22412140575</v>
      </c>
      <c r="L316" s="10">
        <f t="shared" si="30"/>
        <v>0.25396057963055912</v>
      </c>
      <c r="M316" s="10">
        <f t="shared" si="46"/>
        <v>0.35225797907868162</v>
      </c>
      <c r="P316" s="8">
        <f t="shared" si="47"/>
        <v>0.45403066928489633</v>
      </c>
    </row>
    <row r="317" spans="1:16" x14ac:dyDescent="0.2">
      <c r="A317" s="8">
        <v>157.5</v>
      </c>
      <c r="B317" s="8">
        <v>315</v>
      </c>
      <c r="D317">
        <v>3044.2554216868002</v>
      </c>
      <c r="E317">
        <v>861.78554216867997</v>
      </c>
      <c r="F317">
        <v>150.4552715655</v>
      </c>
      <c r="G317">
        <v>121.54872204473</v>
      </c>
      <c r="I317" s="9">
        <f t="shared" si="44"/>
        <v>740.23682012395</v>
      </c>
      <c r="J317" s="9">
        <f t="shared" si="45"/>
        <v>2893.8001501213002</v>
      </c>
      <c r="K317" s="9">
        <f t="shared" si="31"/>
        <v>740.23682012395</v>
      </c>
      <c r="L317" s="10">
        <f t="shared" si="30"/>
        <v>0.25580094744722481</v>
      </c>
      <c r="M317" s="10">
        <f t="shared" si="46"/>
        <v>0.35441139593817572</v>
      </c>
      <c r="P317" s="8">
        <f t="shared" si="47"/>
        <v>1.0681243622458105</v>
      </c>
    </row>
    <row r="318" spans="1:16" x14ac:dyDescent="0.2">
      <c r="A318" s="8">
        <v>158</v>
      </c>
      <c r="B318" s="8">
        <v>316</v>
      </c>
      <c r="D318">
        <v>2936.1164658634998</v>
      </c>
      <c r="E318">
        <v>831.34297188754999</v>
      </c>
      <c r="F318">
        <v>149.81070287540001</v>
      </c>
      <c r="G318">
        <v>120.70047923323</v>
      </c>
      <c r="I318" s="9">
        <f t="shared" si="44"/>
        <v>710.64249265431999</v>
      </c>
      <c r="J318" s="9">
        <f t="shared" si="45"/>
        <v>2786.3057629880996</v>
      </c>
      <c r="K318" s="9">
        <f t="shared" si="31"/>
        <v>710.64249265431999</v>
      </c>
      <c r="L318" s="10">
        <f t="shared" si="30"/>
        <v>0.25504828008976671</v>
      </c>
      <c r="M318" s="10">
        <f t="shared" si="46"/>
        <v>0.35397177762354604</v>
      </c>
      <c r="P318" s="8">
        <f t="shared" si="47"/>
        <v>0.94275763023851167</v>
      </c>
    </row>
    <row r="319" spans="1:16" x14ac:dyDescent="0.2">
      <c r="A319" s="8">
        <v>158.5</v>
      </c>
      <c r="B319" s="8">
        <v>317</v>
      </c>
      <c r="D319">
        <v>2907.4947538337001</v>
      </c>
      <c r="E319">
        <v>823.12429378530999</v>
      </c>
      <c r="F319">
        <v>150.77236421724999</v>
      </c>
      <c r="G319">
        <v>120.88498402556</v>
      </c>
      <c r="I319" s="9">
        <f t="shared" si="44"/>
        <v>702.23930975974997</v>
      </c>
      <c r="J319" s="9">
        <f t="shared" si="45"/>
        <v>2756.7223896164501</v>
      </c>
      <c r="K319" s="9">
        <f t="shared" si="31"/>
        <v>702.23930975974997</v>
      </c>
      <c r="L319" s="10">
        <f t="shared" si="30"/>
        <v>0.25473704294811289</v>
      </c>
      <c r="M319" s="10">
        <f t="shared" si="46"/>
        <v>0.35397358952472063</v>
      </c>
      <c r="P319" s="8">
        <f t="shared" si="47"/>
        <v>0.94327433329982702</v>
      </c>
    </row>
    <row r="320" spans="1:16" x14ac:dyDescent="0.2">
      <c r="A320" s="8">
        <v>159</v>
      </c>
      <c r="B320" s="8">
        <v>318</v>
      </c>
      <c r="D320">
        <v>2942.2970137206999</v>
      </c>
      <c r="E320">
        <v>827.05811138014997</v>
      </c>
      <c r="F320">
        <v>150.3482428115</v>
      </c>
      <c r="G320">
        <v>121.10143769968001</v>
      </c>
      <c r="I320" s="9">
        <f>E320-G320</f>
        <v>705.95667368046998</v>
      </c>
      <c r="J320" s="9">
        <f>D320-F320</f>
        <v>2791.9487709092</v>
      </c>
      <c r="K320" s="9">
        <f t="shared" si="31"/>
        <v>705.95667368046998</v>
      </c>
      <c r="L320" s="10">
        <f t="shared" si="30"/>
        <v>0.25285445099717024</v>
      </c>
      <c r="M320" s="10">
        <f>L320+ABS($N$2)*A320</f>
        <v>0.3524040466166064</v>
      </c>
      <c r="O320" s="11"/>
      <c r="P320" s="8">
        <f>(M320-$O$2)/$O$2*100</f>
        <v>0.4956850073153945</v>
      </c>
    </row>
    <row r="321" spans="1:16" x14ac:dyDescent="0.2">
      <c r="A321" s="8">
        <v>159.5</v>
      </c>
      <c r="B321" s="8">
        <v>319</v>
      </c>
      <c r="D321">
        <v>2987.1694915254002</v>
      </c>
      <c r="E321">
        <v>840.60855528651996</v>
      </c>
      <c r="F321">
        <v>150.30750798721999</v>
      </c>
      <c r="G321">
        <v>121.37140575079999</v>
      </c>
      <c r="I321" s="9">
        <f t="shared" ref="I321" si="48">E321-G321</f>
        <v>719.23714953571994</v>
      </c>
      <c r="J321" s="9">
        <f t="shared" ref="J321" si="49">D321-F321</f>
        <v>2836.8619835381801</v>
      </c>
      <c r="K321" s="9">
        <f t="shared" si="31"/>
        <v>719.23714953571994</v>
      </c>
      <c r="L321" s="10">
        <f t="shared" si="30"/>
        <v>0.25353265464070118</v>
      </c>
      <c r="M321" s="10">
        <f t="shared" ref="M321" si="50">L321+ABS($N$2)*A321</f>
        <v>0.35339529930296576</v>
      </c>
      <c r="P321" s="8">
        <f t="shared" ref="P321" si="51">(M321-$O$2)/$O$2*100</f>
        <v>0.77836228837227672</v>
      </c>
    </row>
    <row r="322" spans="1:16" x14ac:dyDescent="0.2">
      <c r="A322" s="8">
        <v>160</v>
      </c>
      <c r="B322" s="8">
        <v>320</v>
      </c>
      <c r="D322">
        <v>2952.4665052462001</v>
      </c>
      <c r="E322">
        <v>826.33010492333005</v>
      </c>
      <c r="F322">
        <v>150.53913738019</v>
      </c>
      <c r="G322">
        <v>120.8945686901</v>
      </c>
      <c r="I322" s="9">
        <f>E322-G322</f>
        <v>705.4355362332301</v>
      </c>
      <c r="J322" s="9">
        <f>D322-F322</f>
        <v>2801.9273678660102</v>
      </c>
      <c r="K322" s="9">
        <f t="shared" si="31"/>
        <v>705.4355362332301</v>
      </c>
      <c r="L322" s="10">
        <f t="shared" ref="L322" si="52">K322/J322</f>
        <v>0.25176795955653208</v>
      </c>
      <c r="M322" s="10">
        <f>L322+ABS($N$2)*A322</f>
        <v>0.35194365326162508</v>
      </c>
      <c r="O322" s="11"/>
      <c r="P322" s="8">
        <f>(M322-$O$2)/$O$2*100</f>
        <v>0.36439382032173145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4980-0BD0-894C-BE16-E7FFF92039C8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1364.2210451977001</v>
      </c>
      <c r="E2">
        <v>373.06991525424002</v>
      </c>
      <c r="F2">
        <v>137.91396332862999</v>
      </c>
      <c r="G2">
        <v>116.62764456982001</v>
      </c>
      <c r="H2" s="4"/>
      <c r="I2" s="5">
        <f>E2-G2</f>
        <v>256.44227068442001</v>
      </c>
      <c r="J2" s="5">
        <f>D2-F2</f>
        <v>1226.3070818690701</v>
      </c>
      <c r="K2" s="9">
        <f>I2*1</f>
        <v>256.44227068442001</v>
      </c>
      <c r="L2" s="6">
        <f t="shared" ref="L2:L65" si="0">K2/J2</f>
        <v>0.20911749958547474</v>
      </c>
      <c r="M2" s="6">
        <f>L2+ABS($N$2)*A2</f>
        <v>0.20911749958547474</v>
      </c>
      <c r="N2" s="4">
        <f>LINEST(V64:V103,U64:U103)</f>
        <v>-1.3569458027114925E-4</v>
      </c>
      <c r="O2" s="7">
        <f>AVERAGE(M62:M81)</f>
        <v>0.16787325629604161</v>
      </c>
      <c r="P2" s="4">
        <f>(M2-$O$2)/$O$2*100</f>
        <v>24.568680086064223</v>
      </c>
    </row>
    <row r="3" spans="1:16" x14ac:dyDescent="0.2">
      <c r="A3" s="8">
        <v>0.5</v>
      </c>
      <c r="B3" s="8">
        <v>1</v>
      </c>
      <c r="D3">
        <v>1349.6370056497001</v>
      </c>
      <c r="E3">
        <v>373.88276836158002</v>
      </c>
      <c r="F3">
        <v>138.34132581099999</v>
      </c>
      <c r="G3">
        <v>116.54160789845</v>
      </c>
      <c r="I3" s="9">
        <f t="shared" ref="I3:I66" si="1">E3-G3</f>
        <v>257.34116046313</v>
      </c>
      <c r="J3" s="9">
        <f t="shared" ref="J3:J66" si="2">D3-F3</f>
        <v>1211.2956798387002</v>
      </c>
      <c r="K3" s="9">
        <f t="shared" ref="K3:K66" si="3">I3*1</f>
        <v>257.34116046313</v>
      </c>
      <c r="L3" s="10">
        <f t="shared" si="0"/>
        <v>0.21245115024054104</v>
      </c>
      <c r="M3" s="10">
        <f t="shared" ref="M3:M66" si="4">L3+ABS($N$2)*A3</f>
        <v>0.2125189975306766</v>
      </c>
      <c r="P3" s="8">
        <f t="shared" ref="P3:P66" si="5">(M3-$O$2)/$O$2*100</f>
        <v>26.594909886005308</v>
      </c>
    </row>
    <row r="4" spans="1:16" ht="16" x14ac:dyDescent="0.2">
      <c r="A4" s="8">
        <v>1</v>
      </c>
      <c r="B4" s="8">
        <v>2</v>
      </c>
      <c r="D4">
        <v>1360.0600282486</v>
      </c>
      <c r="E4">
        <v>376.66313559321998</v>
      </c>
      <c r="F4">
        <v>138.00070521862</v>
      </c>
      <c r="G4">
        <v>116.73977433004001</v>
      </c>
      <c r="I4" s="9">
        <f t="shared" si="1"/>
        <v>259.92336126317997</v>
      </c>
      <c r="J4" s="9">
        <f t="shared" si="2"/>
        <v>1222.0593230299801</v>
      </c>
      <c r="K4" s="9">
        <f t="shared" si="3"/>
        <v>259.92336126317997</v>
      </c>
      <c r="L4" s="10">
        <f t="shared" si="0"/>
        <v>0.21269291626426504</v>
      </c>
      <c r="M4" s="10">
        <f t="shared" si="4"/>
        <v>0.21282861084453619</v>
      </c>
      <c r="N4" s="1" t="s">
        <v>8</v>
      </c>
      <c r="P4" s="8">
        <f t="shared" si="5"/>
        <v>26.779342666241362</v>
      </c>
    </row>
    <row r="5" spans="1:16" x14ac:dyDescent="0.2">
      <c r="A5" s="8">
        <v>1.5</v>
      </c>
      <c r="B5" s="8">
        <v>3</v>
      </c>
      <c r="D5">
        <v>1327.7627118644</v>
      </c>
      <c r="E5">
        <v>368.18290960451998</v>
      </c>
      <c r="F5">
        <v>138</v>
      </c>
      <c r="G5">
        <v>116.63187588152</v>
      </c>
      <c r="I5" s="9">
        <f t="shared" si="1"/>
        <v>251.55103372299999</v>
      </c>
      <c r="J5" s="9">
        <f t="shared" si="2"/>
        <v>1189.7627118644</v>
      </c>
      <c r="K5" s="9">
        <f t="shared" si="3"/>
        <v>251.55103372299999</v>
      </c>
      <c r="L5" s="10">
        <f t="shared" si="0"/>
        <v>0.21142958273487214</v>
      </c>
      <c r="M5" s="10">
        <f t="shared" si="4"/>
        <v>0.21163312460527886</v>
      </c>
      <c r="N5" s="8">
        <f>RSQ(V64:V83,U64:U83)</f>
        <v>6.7252251832536293E-4</v>
      </c>
      <c r="P5" s="8">
        <f t="shared" si="5"/>
        <v>26.067206459656372</v>
      </c>
    </row>
    <row r="6" spans="1:16" x14ac:dyDescent="0.2">
      <c r="A6" s="8">
        <v>2</v>
      </c>
      <c r="B6" s="8">
        <v>4</v>
      </c>
      <c r="D6">
        <v>1342.6447740112999</v>
      </c>
      <c r="E6">
        <v>369.65466101695</v>
      </c>
      <c r="F6">
        <v>137.68194640338999</v>
      </c>
      <c r="G6">
        <v>116.44217207334</v>
      </c>
      <c r="I6" s="9">
        <f t="shared" si="1"/>
        <v>253.21248894361</v>
      </c>
      <c r="J6" s="9">
        <f t="shared" si="2"/>
        <v>1204.96282760791</v>
      </c>
      <c r="K6" s="9">
        <f t="shared" si="3"/>
        <v>253.21248894361</v>
      </c>
      <c r="L6" s="10">
        <f t="shared" si="0"/>
        <v>0.21014132813232669</v>
      </c>
      <c r="M6" s="10">
        <f t="shared" si="4"/>
        <v>0.21041271729286898</v>
      </c>
      <c r="P6" s="8">
        <f t="shared" si="5"/>
        <v>25.34022508136124</v>
      </c>
    </row>
    <row r="7" spans="1:16" x14ac:dyDescent="0.2">
      <c r="A7" s="8">
        <v>2.5</v>
      </c>
      <c r="B7" s="8">
        <v>5</v>
      </c>
      <c r="D7">
        <v>1521.7160056657001</v>
      </c>
      <c r="E7">
        <v>411.07082152974999</v>
      </c>
      <c r="F7">
        <v>137.87940761636</v>
      </c>
      <c r="G7">
        <v>116.84485190409001</v>
      </c>
      <c r="I7" s="9">
        <f t="shared" si="1"/>
        <v>294.22596962566001</v>
      </c>
      <c r="J7" s="9">
        <f t="shared" si="2"/>
        <v>1383.8365980493402</v>
      </c>
      <c r="K7" s="9">
        <f t="shared" si="3"/>
        <v>294.22596962566001</v>
      </c>
      <c r="L7" s="10">
        <f t="shared" si="0"/>
        <v>0.21261612103654559</v>
      </c>
      <c r="M7" s="10">
        <f t="shared" si="4"/>
        <v>0.21295535748722347</v>
      </c>
      <c r="P7" s="8">
        <f t="shared" si="5"/>
        <v>26.854844056685451</v>
      </c>
    </row>
    <row r="8" spans="1:16" x14ac:dyDescent="0.2">
      <c r="A8" s="8">
        <v>3</v>
      </c>
      <c r="B8" s="8">
        <v>6</v>
      </c>
      <c r="D8">
        <v>1487.8781869688</v>
      </c>
      <c r="E8">
        <v>386.44121813031001</v>
      </c>
      <c r="F8">
        <v>137.53949224260001</v>
      </c>
      <c r="G8">
        <v>116.54090267983</v>
      </c>
      <c r="I8" s="9">
        <f t="shared" si="1"/>
        <v>269.90031545047998</v>
      </c>
      <c r="J8" s="9">
        <f t="shared" si="2"/>
        <v>1350.3386947261999</v>
      </c>
      <c r="K8" s="9">
        <f t="shared" si="3"/>
        <v>269.90031545047998</v>
      </c>
      <c r="L8" s="10">
        <f t="shared" si="0"/>
        <v>0.19987601370277405</v>
      </c>
      <c r="M8" s="10">
        <f t="shared" si="4"/>
        <v>0.20028309744358749</v>
      </c>
      <c r="P8" s="8">
        <f t="shared" si="5"/>
        <v>19.306137179105935</v>
      </c>
    </row>
    <row r="9" spans="1:16" x14ac:dyDescent="0.2">
      <c r="A9" s="8">
        <v>3.5</v>
      </c>
      <c r="B9" s="8">
        <v>7</v>
      </c>
      <c r="D9">
        <v>1554.6678470254999</v>
      </c>
      <c r="E9">
        <v>413.72096317281</v>
      </c>
      <c r="F9">
        <v>137.47954866008999</v>
      </c>
      <c r="G9">
        <v>116.40691114245</v>
      </c>
      <c r="I9" s="9">
        <f t="shared" si="1"/>
        <v>297.31405203036002</v>
      </c>
      <c r="J9" s="9">
        <f t="shared" si="2"/>
        <v>1417.18829836541</v>
      </c>
      <c r="K9" s="9">
        <f t="shared" si="3"/>
        <v>297.31405203036002</v>
      </c>
      <c r="L9" s="10">
        <f t="shared" si="0"/>
        <v>0.20979149515507792</v>
      </c>
      <c r="M9" s="10">
        <f t="shared" si="4"/>
        <v>0.21026642618602695</v>
      </c>
      <c r="P9" s="8">
        <f t="shared" si="5"/>
        <v>25.253081297967867</v>
      </c>
    </row>
    <row r="10" spans="1:16" x14ac:dyDescent="0.2">
      <c r="A10" s="8">
        <v>4</v>
      </c>
      <c r="B10" s="8">
        <v>8</v>
      </c>
      <c r="D10">
        <v>1943.8045325779001</v>
      </c>
      <c r="E10">
        <v>479.71104815863998</v>
      </c>
      <c r="F10">
        <v>137.94710860366999</v>
      </c>
      <c r="G10">
        <v>116.75740479549</v>
      </c>
      <c r="I10" s="9">
        <f t="shared" si="1"/>
        <v>362.95364336314998</v>
      </c>
      <c r="J10" s="9">
        <f t="shared" si="2"/>
        <v>1805.8574239742302</v>
      </c>
      <c r="K10" s="9">
        <f t="shared" si="3"/>
        <v>362.95364336314998</v>
      </c>
      <c r="L10" s="10">
        <f t="shared" si="0"/>
        <v>0.20098687667400778</v>
      </c>
      <c r="M10" s="10">
        <f t="shared" si="4"/>
        <v>0.20152965499509237</v>
      </c>
      <c r="P10" s="8">
        <f t="shared" si="5"/>
        <v>20.048695927895917</v>
      </c>
    </row>
    <row r="11" spans="1:16" x14ac:dyDescent="0.2">
      <c r="A11" s="8">
        <v>4.5</v>
      </c>
      <c r="B11" s="8">
        <v>9</v>
      </c>
      <c r="D11">
        <v>1895.3038243625999</v>
      </c>
      <c r="E11">
        <v>466.76203966006</v>
      </c>
      <c r="F11">
        <v>137.41325811000999</v>
      </c>
      <c r="G11">
        <v>116.43935119887</v>
      </c>
      <c r="I11" s="9">
        <f t="shared" si="1"/>
        <v>350.32268846119001</v>
      </c>
      <c r="J11" s="9">
        <f t="shared" si="2"/>
        <v>1757.8905662525899</v>
      </c>
      <c r="K11" s="9">
        <f t="shared" si="3"/>
        <v>350.32268846119001</v>
      </c>
      <c r="L11" s="10">
        <f t="shared" si="0"/>
        <v>0.19928583450333645</v>
      </c>
      <c r="M11" s="10">
        <f t="shared" si="4"/>
        <v>0.19989646011455661</v>
      </c>
      <c r="P11" s="8">
        <f t="shared" si="5"/>
        <v>19.075822155997638</v>
      </c>
    </row>
    <row r="12" spans="1:16" x14ac:dyDescent="0.2">
      <c r="A12" s="8">
        <v>5</v>
      </c>
      <c r="B12" s="8">
        <v>10</v>
      </c>
      <c r="D12">
        <v>1802.1267705381999</v>
      </c>
      <c r="E12">
        <v>449.91572237960003</v>
      </c>
      <c r="F12">
        <v>137.84273624823999</v>
      </c>
      <c r="G12">
        <v>116.60014104372</v>
      </c>
      <c r="I12" s="9">
        <f t="shared" si="1"/>
        <v>333.31558133588004</v>
      </c>
      <c r="J12" s="9">
        <f t="shared" si="2"/>
        <v>1664.2840342899599</v>
      </c>
      <c r="K12" s="9">
        <f t="shared" si="3"/>
        <v>333.31558133588004</v>
      </c>
      <c r="L12" s="10">
        <f t="shared" si="0"/>
        <v>0.20027565876282877</v>
      </c>
      <c r="M12" s="10">
        <f t="shared" si="4"/>
        <v>0.20095413166418452</v>
      </c>
      <c r="P12" s="8">
        <f t="shared" si="5"/>
        <v>19.705863874949419</v>
      </c>
    </row>
    <row r="13" spans="1:16" x14ac:dyDescent="0.2">
      <c r="A13" s="8">
        <v>5.5</v>
      </c>
      <c r="B13" s="8">
        <v>11</v>
      </c>
      <c r="D13">
        <v>1737.6935028249</v>
      </c>
      <c r="E13">
        <v>441.24435028249002</v>
      </c>
      <c r="F13">
        <v>137.57757404796001</v>
      </c>
      <c r="G13">
        <v>116.59802538787</v>
      </c>
      <c r="I13" s="9">
        <f t="shared" si="1"/>
        <v>324.64632489462002</v>
      </c>
      <c r="J13" s="9">
        <f t="shared" si="2"/>
        <v>1600.1159287769399</v>
      </c>
      <c r="K13" s="9">
        <f t="shared" si="3"/>
        <v>324.64632489462002</v>
      </c>
      <c r="L13" s="10">
        <f t="shared" si="0"/>
        <v>0.20288925261981847</v>
      </c>
      <c r="M13" s="10">
        <f t="shared" si="4"/>
        <v>0.20363557281130978</v>
      </c>
      <c r="P13" s="8">
        <f t="shared" si="5"/>
        <v>21.303164842529739</v>
      </c>
    </row>
    <row r="14" spans="1:16" x14ac:dyDescent="0.2">
      <c r="A14" s="8">
        <v>6</v>
      </c>
      <c r="B14" s="8">
        <v>12</v>
      </c>
      <c r="D14">
        <v>1689.0663841808</v>
      </c>
      <c r="E14">
        <v>429.95480225989002</v>
      </c>
      <c r="F14">
        <v>137.36953455571</v>
      </c>
      <c r="G14">
        <v>116.54231311706999</v>
      </c>
      <c r="I14" s="9">
        <f t="shared" si="1"/>
        <v>313.41248914282005</v>
      </c>
      <c r="J14" s="9">
        <f t="shared" si="2"/>
        <v>1551.69684962509</v>
      </c>
      <c r="K14" s="9">
        <f t="shared" si="3"/>
        <v>313.41248914282005</v>
      </c>
      <c r="L14" s="10">
        <f t="shared" si="0"/>
        <v>0.2019804894355135</v>
      </c>
      <c r="M14" s="10">
        <f t="shared" si="4"/>
        <v>0.20279465691714038</v>
      </c>
      <c r="P14" s="8">
        <f t="shared" si="5"/>
        <v>20.802241757624266</v>
      </c>
    </row>
    <row r="15" spans="1:16" x14ac:dyDescent="0.2">
      <c r="A15" s="8">
        <v>6.5</v>
      </c>
      <c r="B15" s="8">
        <v>13</v>
      </c>
      <c r="D15">
        <v>1733.5478873239001</v>
      </c>
      <c r="E15">
        <v>435.81971830985998</v>
      </c>
      <c r="F15">
        <v>137.37235543017999</v>
      </c>
      <c r="G15">
        <v>117.0317348378</v>
      </c>
      <c r="I15" s="9">
        <f t="shared" si="1"/>
        <v>318.78798347205998</v>
      </c>
      <c r="J15" s="9">
        <f t="shared" si="2"/>
        <v>1596.1755318937201</v>
      </c>
      <c r="K15" s="9">
        <f t="shared" si="3"/>
        <v>318.78798347205998</v>
      </c>
      <c r="L15" s="10">
        <f t="shared" si="0"/>
        <v>0.19971987861124926</v>
      </c>
      <c r="M15" s="10">
        <f t="shared" si="4"/>
        <v>0.20060189338301174</v>
      </c>
      <c r="P15" s="8">
        <f t="shared" si="5"/>
        <v>19.496039934588357</v>
      </c>
    </row>
    <row r="16" spans="1:16" x14ac:dyDescent="0.2">
      <c r="A16" s="8">
        <v>7</v>
      </c>
      <c r="B16" s="8">
        <v>14</v>
      </c>
      <c r="D16">
        <v>1726.7429577465</v>
      </c>
      <c r="E16">
        <v>431.41690140844997</v>
      </c>
      <c r="F16">
        <v>137.85119887165001</v>
      </c>
      <c r="G16">
        <v>116.79125528914</v>
      </c>
      <c r="I16" s="9">
        <f t="shared" si="1"/>
        <v>314.62564611930998</v>
      </c>
      <c r="J16" s="9">
        <f t="shared" si="2"/>
        <v>1588.89175887485</v>
      </c>
      <c r="K16" s="9">
        <f t="shared" si="3"/>
        <v>314.62564611930998</v>
      </c>
      <c r="L16" s="10">
        <f t="shared" si="0"/>
        <v>0.19801578324133762</v>
      </c>
      <c r="M16" s="10">
        <f t="shared" si="4"/>
        <v>0.19896564530323566</v>
      </c>
      <c r="P16" s="8">
        <f t="shared" si="5"/>
        <v>18.521347410074153</v>
      </c>
    </row>
    <row r="17" spans="1:16" x14ac:dyDescent="0.2">
      <c r="A17" s="8">
        <v>7.5</v>
      </c>
      <c r="B17" s="8">
        <v>15</v>
      </c>
      <c r="D17">
        <v>1701.4887323943999</v>
      </c>
      <c r="E17">
        <v>430.58098591548998</v>
      </c>
      <c r="F17">
        <v>137.60084626234001</v>
      </c>
      <c r="G17">
        <v>116.87588152327</v>
      </c>
      <c r="I17" s="9">
        <f t="shared" si="1"/>
        <v>313.70510439221999</v>
      </c>
      <c r="J17" s="9">
        <f t="shared" si="2"/>
        <v>1563.88788613206</v>
      </c>
      <c r="K17" s="9">
        <f t="shared" si="3"/>
        <v>313.70510439221999</v>
      </c>
      <c r="L17" s="10">
        <f t="shared" si="0"/>
        <v>0.2005930905751192</v>
      </c>
      <c r="M17" s="10">
        <f t="shared" si="4"/>
        <v>0.20161079992715283</v>
      </c>
      <c r="P17" s="8">
        <f t="shared" si="5"/>
        <v>20.097032949438741</v>
      </c>
    </row>
    <row r="18" spans="1:16" x14ac:dyDescent="0.2">
      <c r="A18" s="8">
        <v>8</v>
      </c>
      <c r="B18" s="8">
        <v>16</v>
      </c>
      <c r="D18">
        <v>1602.3161971831</v>
      </c>
      <c r="E18">
        <v>412.69647887323998</v>
      </c>
      <c r="F18">
        <v>137.31311706629</v>
      </c>
      <c r="G18">
        <v>116.16854724965</v>
      </c>
      <c r="I18" s="9">
        <f t="shared" si="1"/>
        <v>296.52793162359001</v>
      </c>
      <c r="J18" s="9">
        <f t="shared" si="2"/>
        <v>1465.00308011681</v>
      </c>
      <c r="K18" s="9">
        <f t="shared" si="3"/>
        <v>296.52793162359001</v>
      </c>
      <c r="L18" s="10">
        <f t="shared" si="0"/>
        <v>0.20240771889704612</v>
      </c>
      <c r="M18" s="10">
        <f t="shared" si="4"/>
        <v>0.20349327553921531</v>
      </c>
      <c r="P18" s="8">
        <f t="shared" si="5"/>
        <v>21.218400136563989</v>
      </c>
    </row>
    <row r="19" spans="1:16" x14ac:dyDescent="0.2">
      <c r="A19" s="8">
        <v>8.5</v>
      </c>
      <c r="B19" s="8">
        <v>17</v>
      </c>
      <c r="D19">
        <v>1485.6302816901</v>
      </c>
      <c r="E19">
        <v>393.58873239437003</v>
      </c>
      <c r="F19">
        <v>136.81523272214</v>
      </c>
      <c r="G19">
        <v>116.66502115656</v>
      </c>
      <c r="I19" s="9">
        <f t="shared" si="1"/>
        <v>276.92371123781004</v>
      </c>
      <c r="J19" s="9">
        <f t="shared" si="2"/>
        <v>1348.8150489679599</v>
      </c>
      <c r="K19" s="9">
        <f t="shared" si="3"/>
        <v>276.92371123781004</v>
      </c>
      <c r="L19" s="10">
        <f t="shared" si="0"/>
        <v>0.20530888311907333</v>
      </c>
      <c r="M19" s="10">
        <f t="shared" si="4"/>
        <v>0.20646228705137809</v>
      </c>
      <c r="P19" s="8">
        <f t="shared" si="5"/>
        <v>22.987003175351166</v>
      </c>
    </row>
    <row r="20" spans="1:16" x14ac:dyDescent="0.2">
      <c r="A20" s="8">
        <v>9</v>
      </c>
      <c r="B20" s="8">
        <v>18</v>
      </c>
      <c r="D20">
        <v>1601.3819985826001</v>
      </c>
      <c r="E20">
        <v>399.39192062366999</v>
      </c>
      <c r="F20">
        <v>136.93018335683999</v>
      </c>
      <c r="G20">
        <v>116.62905500705</v>
      </c>
      <c r="I20" s="9">
        <f t="shared" si="1"/>
        <v>282.76286561661999</v>
      </c>
      <c r="J20" s="9">
        <f t="shared" si="2"/>
        <v>1464.4518152257601</v>
      </c>
      <c r="K20" s="9">
        <f t="shared" si="3"/>
        <v>282.76286561661999</v>
      </c>
      <c r="L20" s="10">
        <f t="shared" si="0"/>
        <v>0.19308444475725492</v>
      </c>
      <c r="M20" s="10">
        <f t="shared" si="4"/>
        <v>0.19430569597969527</v>
      </c>
      <c r="P20" s="8">
        <f t="shared" si="5"/>
        <v>15.745473857396625</v>
      </c>
    </row>
    <row r="21" spans="1:16" x14ac:dyDescent="0.2">
      <c r="A21" s="8">
        <v>9.5</v>
      </c>
      <c r="B21" s="8">
        <v>19</v>
      </c>
      <c r="D21">
        <v>1659.2919914954</v>
      </c>
      <c r="E21">
        <v>405.91495393337999</v>
      </c>
      <c r="F21">
        <v>137.30888575457999</v>
      </c>
      <c r="G21">
        <v>116.57898448519001</v>
      </c>
      <c r="I21" s="9">
        <f t="shared" si="1"/>
        <v>289.33596944818999</v>
      </c>
      <c r="J21" s="9">
        <f t="shared" si="2"/>
        <v>1521.9831057408201</v>
      </c>
      <c r="K21" s="9">
        <f t="shared" si="3"/>
        <v>289.33596944818999</v>
      </c>
      <c r="L21" s="10">
        <f t="shared" si="0"/>
        <v>0.19010458680969175</v>
      </c>
      <c r="M21" s="10">
        <f t="shared" si="4"/>
        <v>0.19139368532226766</v>
      </c>
      <c r="P21" s="8">
        <f t="shared" si="5"/>
        <v>14.010825515142319</v>
      </c>
    </row>
    <row r="22" spans="1:16" x14ac:dyDescent="0.2">
      <c r="A22" s="8">
        <v>10</v>
      </c>
      <c r="B22" s="8">
        <v>20</v>
      </c>
      <c r="D22">
        <v>1790.5113314447999</v>
      </c>
      <c r="E22">
        <v>420.58144475921</v>
      </c>
      <c r="F22">
        <v>137.56276445698001</v>
      </c>
      <c r="G22">
        <v>116.57334273625</v>
      </c>
      <c r="I22" s="9">
        <f t="shared" si="1"/>
        <v>304.00810202295997</v>
      </c>
      <c r="J22" s="9">
        <f t="shared" si="2"/>
        <v>1652.94856698782</v>
      </c>
      <c r="K22" s="9">
        <f t="shared" si="3"/>
        <v>304.00810202295997</v>
      </c>
      <c r="L22" s="10">
        <f t="shared" si="0"/>
        <v>0.18391867000251322</v>
      </c>
      <c r="M22" s="10">
        <f t="shared" si="4"/>
        <v>0.1852756158052247</v>
      </c>
      <c r="P22" s="8">
        <f t="shared" si="5"/>
        <v>10.366367992823305</v>
      </c>
    </row>
    <row r="23" spans="1:16" x14ac:dyDescent="0.2">
      <c r="A23" s="8">
        <v>10.5</v>
      </c>
      <c r="B23" s="8">
        <v>21</v>
      </c>
      <c r="D23">
        <v>1778.3243626062001</v>
      </c>
      <c r="E23">
        <v>413.29603399433</v>
      </c>
      <c r="F23">
        <v>137.35472496474</v>
      </c>
      <c r="G23">
        <v>116.31382228491</v>
      </c>
      <c r="I23" s="9">
        <f t="shared" si="1"/>
        <v>296.98221170941997</v>
      </c>
      <c r="J23" s="9">
        <f t="shared" si="2"/>
        <v>1640.9696376414602</v>
      </c>
      <c r="K23" s="9">
        <f t="shared" si="3"/>
        <v>296.98221170941997</v>
      </c>
      <c r="L23" s="10">
        <f t="shared" si="0"/>
        <v>0.18097971156630774</v>
      </c>
      <c r="M23" s="10">
        <f t="shared" si="4"/>
        <v>0.18240450465915481</v>
      </c>
      <c r="P23" s="8">
        <f t="shared" si="5"/>
        <v>8.6560829781532309</v>
      </c>
    </row>
    <row r="24" spans="1:16" x14ac:dyDescent="0.2">
      <c r="A24" s="8">
        <v>11</v>
      </c>
      <c r="B24" s="8">
        <v>22</v>
      </c>
      <c r="D24">
        <v>1831.1079745942</v>
      </c>
      <c r="E24">
        <v>423.01411432603999</v>
      </c>
      <c r="F24">
        <v>137.63117066290999</v>
      </c>
      <c r="G24">
        <v>116.42524682652</v>
      </c>
      <c r="I24" s="9">
        <f t="shared" si="1"/>
        <v>306.58886749952001</v>
      </c>
      <c r="J24" s="9">
        <f t="shared" si="2"/>
        <v>1693.4768039312899</v>
      </c>
      <c r="K24" s="9">
        <f t="shared" si="3"/>
        <v>306.58886749952001</v>
      </c>
      <c r="L24" s="10">
        <f t="shared" si="0"/>
        <v>0.18104107879588019</v>
      </c>
      <c r="M24" s="10">
        <f t="shared" si="4"/>
        <v>0.18253371917886282</v>
      </c>
      <c r="P24" s="8">
        <f t="shared" si="5"/>
        <v>8.7330544520848186</v>
      </c>
    </row>
    <row r="25" spans="1:16" x14ac:dyDescent="0.2">
      <c r="A25" s="8">
        <v>11.5</v>
      </c>
      <c r="B25" s="8">
        <v>23</v>
      </c>
      <c r="D25">
        <v>1726.3789696542001</v>
      </c>
      <c r="E25">
        <v>400.20536344390001</v>
      </c>
      <c r="F25">
        <v>137.05359661495001</v>
      </c>
      <c r="G25">
        <v>116.5</v>
      </c>
      <c r="I25" s="9">
        <f t="shared" si="1"/>
        <v>283.70536344390001</v>
      </c>
      <c r="J25" s="9">
        <f t="shared" si="2"/>
        <v>1589.3253730392501</v>
      </c>
      <c r="K25" s="9">
        <f t="shared" si="3"/>
        <v>283.70536344390001</v>
      </c>
      <c r="L25" s="10">
        <f t="shared" si="0"/>
        <v>0.1785067854931261</v>
      </c>
      <c r="M25" s="10">
        <f t="shared" si="4"/>
        <v>0.18006727316624432</v>
      </c>
      <c r="P25" s="8">
        <f t="shared" si="5"/>
        <v>7.2638233982301372</v>
      </c>
    </row>
    <row r="26" spans="1:16" x14ac:dyDescent="0.2">
      <c r="A26" s="8">
        <v>12</v>
      </c>
      <c r="B26" s="8">
        <v>24</v>
      </c>
      <c r="D26">
        <v>1764.7258522727</v>
      </c>
      <c r="E26">
        <v>409.57457386364001</v>
      </c>
      <c r="F26">
        <v>137.72637517631</v>
      </c>
      <c r="G26">
        <v>116.81523272214</v>
      </c>
      <c r="I26" s="9">
        <f t="shared" si="1"/>
        <v>292.75934114150004</v>
      </c>
      <c r="J26" s="9">
        <f t="shared" si="2"/>
        <v>1626.9994770963899</v>
      </c>
      <c r="K26" s="9">
        <f t="shared" si="3"/>
        <v>292.75934114150004</v>
      </c>
      <c r="L26" s="10">
        <f t="shared" si="0"/>
        <v>0.1799381900625871</v>
      </c>
      <c r="M26" s="10">
        <f t="shared" si="4"/>
        <v>0.18156652502584089</v>
      </c>
      <c r="P26" s="8">
        <f t="shared" si="5"/>
        <v>8.1569089871298139</v>
      </c>
    </row>
    <row r="27" spans="1:16" x14ac:dyDescent="0.2">
      <c r="A27" s="8">
        <v>12.5</v>
      </c>
      <c r="B27" s="8">
        <v>25</v>
      </c>
      <c r="D27">
        <v>1761.4410511363999</v>
      </c>
      <c r="E27">
        <v>416.2578125</v>
      </c>
      <c r="F27">
        <v>137.71932299013</v>
      </c>
      <c r="G27">
        <v>116.35260930889</v>
      </c>
      <c r="I27" s="9">
        <f t="shared" si="1"/>
        <v>299.90520319110999</v>
      </c>
      <c r="J27" s="9">
        <f t="shared" si="2"/>
        <v>1623.7217281462699</v>
      </c>
      <c r="K27" s="9">
        <f t="shared" si="3"/>
        <v>299.90520319110999</v>
      </c>
      <c r="L27" s="10">
        <f t="shared" si="0"/>
        <v>0.18470234030402383</v>
      </c>
      <c r="M27" s="10">
        <f t="shared" si="4"/>
        <v>0.18639852255741318</v>
      </c>
      <c r="P27" s="8">
        <f t="shared" si="5"/>
        <v>11.035269506360553</v>
      </c>
    </row>
    <row r="28" spans="1:16" x14ac:dyDescent="0.2">
      <c r="A28" s="8">
        <v>13</v>
      </c>
      <c r="B28" s="8">
        <v>26</v>
      </c>
      <c r="D28">
        <v>1794.4275568181999</v>
      </c>
      <c r="E28">
        <v>414.73366477272998</v>
      </c>
      <c r="F28">
        <v>137.37799717913001</v>
      </c>
      <c r="G28">
        <v>116.62764456982001</v>
      </c>
      <c r="I28" s="9">
        <f t="shared" si="1"/>
        <v>298.10602020290997</v>
      </c>
      <c r="J28" s="9">
        <f t="shared" si="2"/>
        <v>1657.0495596390699</v>
      </c>
      <c r="K28" s="9">
        <f t="shared" si="3"/>
        <v>298.10602020290997</v>
      </c>
      <c r="L28" s="10">
        <f t="shared" si="0"/>
        <v>0.17990169242001544</v>
      </c>
      <c r="M28" s="10">
        <f t="shared" si="4"/>
        <v>0.18166572196354039</v>
      </c>
      <c r="P28" s="8">
        <f t="shared" si="5"/>
        <v>8.2159993627430481</v>
      </c>
    </row>
    <row r="29" spans="1:16" x14ac:dyDescent="0.2">
      <c r="A29" s="8">
        <v>13.5</v>
      </c>
      <c r="B29" s="8">
        <v>27</v>
      </c>
      <c r="D29">
        <v>1672.1640625</v>
      </c>
      <c r="E29">
        <v>399.21448863635999</v>
      </c>
      <c r="F29">
        <v>137.74894217207</v>
      </c>
      <c r="G29">
        <v>116.75669957687001</v>
      </c>
      <c r="I29" s="9">
        <f t="shared" si="1"/>
        <v>282.45778905948998</v>
      </c>
      <c r="J29" s="9">
        <f t="shared" si="2"/>
        <v>1534.41512032793</v>
      </c>
      <c r="K29" s="9">
        <f t="shared" si="3"/>
        <v>282.45778905948998</v>
      </c>
      <c r="L29" s="10">
        <f t="shared" si="0"/>
        <v>0.18408172945996781</v>
      </c>
      <c r="M29" s="10">
        <f t="shared" si="4"/>
        <v>0.18591360629362833</v>
      </c>
      <c r="P29" s="8">
        <f t="shared" si="5"/>
        <v>10.746410950516664</v>
      </c>
    </row>
    <row r="30" spans="1:16" x14ac:dyDescent="0.2">
      <c r="A30" s="8">
        <v>14</v>
      </c>
      <c r="B30" s="8">
        <v>28</v>
      </c>
      <c r="D30">
        <v>1664.6595593461</v>
      </c>
      <c r="E30">
        <v>396.90547263681998</v>
      </c>
      <c r="F30">
        <v>137.65373765867</v>
      </c>
      <c r="G30">
        <v>116.70380818053999</v>
      </c>
      <c r="I30" s="9">
        <f t="shared" si="1"/>
        <v>280.20166445628001</v>
      </c>
      <c r="J30" s="9">
        <f t="shared" si="2"/>
        <v>1527.0058216874299</v>
      </c>
      <c r="K30" s="9">
        <f t="shared" si="3"/>
        <v>280.20166445628001</v>
      </c>
      <c r="L30" s="10">
        <f t="shared" si="0"/>
        <v>0.18349744347840202</v>
      </c>
      <c r="M30" s="10">
        <f t="shared" si="4"/>
        <v>0.1853971676021981</v>
      </c>
      <c r="P30" s="8">
        <f t="shared" si="5"/>
        <v>10.438774878622343</v>
      </c>
    </row>
    <row r="31" spans="1:16" x14ac:dyDescent="0.2">
      <c r="A31" s="8">
        <v>14.5</v>
      </c>
      <c r="B31" s="8">
        <v>29</v>
      </c>
      <c r="D31">
        <v>1693.6751954512999</v>
      </c>
      <c r="E31">
        <v>401.19545131485</v>
      </c>
      <c r="F31">
        <v>137.37729196051001</v>
      </c>
      <c r="G31">
        <v>116.6904090268</v>
      </c>
      <c r="I31" s="9">
        <f t="shared" si="1"/>
        <v>284.50504228804999</v>
      </c>
      <c r="J31" s="9">
        <f t="shared" si="2"/>
        <v>1556.2979034907898</v>
      </c>
      <c r="K31" s="9">
        <f t="shared" si="3"/>
        <v>284.50504228804999</v>
      </c>
      <c r="L31" s="10">
        <f t="shared" si="0"/>
        <v>0.18280885789918672</v>
      </c>
      <c r="M31" s="10">
        <f t="shared" si="4"/>
        <v>0.18477642931311838</v>
      </c>
      <c r="P31" s="8">
        <f t="shared" si="5"/>
        <v>10.069008840376767</v>
      </c>
    </row>
    <row r="32" spans="1:16" x14ac:dyDescent="0.2">
      <c r="A32" s="8">
        <v>15</v>
      </c>
      <c r="B32" s="8">
        <v>30</v>
      </c>
      <c r="D32">
        <v>1663.5195451315001</v>
      </c>
      <c r="E32">
        <v>392.27078891257997</v>
      </c>
      <c r="F32">
        <v>137.31805359661999</v>
      </c>
      <c r="G32">
        <v>116.85895627645</v>
      </c>
      <c r="I32" s="9">
        <f t="shared" si="1"/>
        <v>275.41183263612999</v>
      </c>
      <c r="J32" s="9">
        <f t="shared" si="2"/>
        <v>1526.20149153488</v>
      </c>
      <c r="K32" s="9">
        <f t="shared" si="3"/>
        <v>275.41183263612999</v>
      </c>
      <c r="L32" s="10">
        <f t="shared" si="0"/>
        <v>0.1804557485782248</v>
      </c>
      <c r="M32" s="10">
        <f t="shared" si="4"/>
        <v>0.18249116728229203</v>
      </c>
      <c r="P32" s="8">
        <f t="shared" si="5"/>
        <v>8.707706819287516</v>
      </c>
    </row>
    <row r="33" spans="1:16" x14ac:dyDescent="0.2">
      <c r="A33" s="8">
        <v>15.5</v>
      </c>
      <c r="B33" s="8">
        <v>31</v>
      </c>
      <c r="D33">
        <v>1689.0092002831</v>
      </c>
      <c r="E33">
        <v>388.79122434535998</v>
      </c>
      <c r="F33">
        <v>137.54654442877001</v>
      </c>
      <c r="G33">
        <v>116.45839210155</v>
      </c>
      <c r="I33" s="9">
        <f t="shared" si="1"/>
        <v>272.33283224381</v>
      </c>
      <c r="J33" s="9">
        <f t="shared" si="2"/>
        <v>1551.46265585433</v>
      </c>
      <c r="K33" s="9">
        <f t="shared" si="3"/>
        <v>272.33283224381</v>
      </c>
      <c r="L33" s="10">
        <f t="shared" si="0"/>
        <v>0.17553295995632387</v>
      </c>
      <c r="M33" s="10">
        <f t="shared" si="4"/>
        <v>0.17763622595052669</v>
      </c>
      <c r="P33" s="8">
        <f t="shared" si="5"/>
        <v>5.8156789651284644</v>
      </c>
    </row>
    <row r="34" spans="1:16" x14ac:dyDescent="0.2">
      <c r="A34" s="8">
        <v>16</v>
      </c>
      <c r="B34" s="8">
        <v>32</v>
      </c>
      <c r="D34">
        <v>1630.9136588818001</v>
      </c>
      <c r="E34">
        <v>378.63977353148999</v>
      </c>
      <c r="F34">
        <v>137.44569816642999</v>
      </c>
      <c r="G34">
        <v>116.64880112835</v>
      </c>
      <c r="I34" s="9">
        <f t="shared" si="1"/>
        <v>261.99097240314001</v>
      </c>
      <c r="J34" s="9">
        <f t="shared" si="2"/>
        <v>1493.4679607153701</v>
      </c>
      <c r="K34" s="9">
        <f t="shared" si="3"/>
        <v>261.99097240314001</v>
      </c>
      <c r="L34" s="10">
        <f t="shared" si="0"/>
        <v>0.17542456838354037</v>
      </c>
      <c r="M34" s="10">
        <f t="shared" si="4"/>
        <v>0.17759568166787876</v>
      </c>
      <c r="P34" s="8">
        <f t="shared" si="5"/>
        <v>5.7915272428455316</v>
      </c>
    </row>
    <row r="35" spans="1:16" x14ac:dyDescent="0.2">
      <c r="A35" s="8">
        <v>16.5</v>
      </c>
      <c r="B35" s="8">
        <v>33</v>
      </c>
      <c r="D35">
        <v>1646.4033970276</v>
      </c>
      <c r="E35">
        <v>382.44727530078001</v>
      </c>
      <c r="F35">
        <v>137.60366713681</v>
      </c>
      <c r="G35">
        <v>116.70733427363</v>
      </c>
      <c r="I35" s="9">
        <f t="shared" si="1"/>
        <v>265.73994102715</v>
      </c>
      <c r="J35" s="9">
        <f t="shared" si="2"/>
        <v>1508.7997298907901</v>
      </c>
      <c r="K35" s="9">
        <f t="shared" si="3"/>
        <v>265.73994102715</v>
      </c>
      <c r="L35" s="10">
        <f t="shared" si="0"/>
        <v>0.17612671566847693</v>
      </c>
      <c r="M35" s="10">
        <f t="shared" si="4"/>
        <v>0.17836567624295088</v>
      </c>
      <c r="P35" s="8">
        <f t="shared" si="5"/>
        <v>6.2502033846332701</v>
      </c>
    </row>
    <row r="36" spans="1:16" x14ac:dyDescent="0.2">
      <c r="A36" s="8">
        <v>17</v>
      </c>
      <c r="B36" s="8">
        <v>34</v>
      </c>
      <c r="D36">
        <v>1594.0438782732001</v>
      </c>
      <c r="E36">
        <v>367.61358811039997</v>
      </c>
      <c r="F36">
        <v>137.31946403385001</v>
      </c>
      <c r="G36">
        <v>116.55218617772</v>
      </c>
      <c r="I36" s="9">
        <f t="shared" si="1"/>
        <v>251.06140193267998</v>
      </c>
      <c r="J36" s="9">
        <f t="shared" si="2"/>
        <v>1456.7244142393502</v>
      </c>
      <c r="K36" s="9">
        <f t="shared" si="3"/>
        <v>251.06140193267998</v>
      </c>
      <c r="L36" s="10">
        <f t="shared" si="0"/>
        <v>0.17234653272683381</v>
      </c>
      <c r="M36" s="10">
        <f t="shared" si="4"/>
        <v>0.17465334059144336</v>
      </c>
      <c r="P36" s="8">
        <f t="shared" si="5"/>
        <v>4.0388114491835365</v>
      </c>
    </row>
    <row r="37" spans="1:16" x14ac:dyDescent="0.2">
      <c r="A37" s="8">
        <v>17.5</v>
      </c>
      <c r="B37" s="8">
        <v>35</v>
      </c>
      <c r="D37">
        <v>1622.2646850671999</v>
      </c>
      <c r="E37">
        <v>369.74593064402001</v>
      </c>
      <c r="F37">
        <v>137.59661495064</v>
      </c>
      <c r="G37">
        <v>116.24118476728</v>
      </c>
      <c r="I37" s="9">
        <f t="shared" si="1"/>
        <v>253.50474587674</v>
      </c>
      <c r="J37" s="9">
        <f t="shared" si="2"/>
        <v>1484.6680701165599</v>
      </c>
      <c r="K37" s="9">
        <f t="shared" si="3"/>
        <v>253.50474587674</v>
      </c>
      <c r="L37" s="10">
        <f t="shared" si="0"/>
        <v>0.17074843258186159</v>
      </c>
      <c r="M37" s="10">
        <f t="shared" si="4"/>
        <v>0.1731230877366067</v>
      </c>
      <c r="P37" s="8">
        <f t="shared" si="5"/>
        <v>3.1272589549982319</v>
      </c>
    </row>
    <row r="38" spans="1:16" x14ac:dyDescent="0.2">
      <c r="A38" s="8">
        <v>18</v>
      </c>
      <c r="B38" s="8">
        <v>36</v>
      </c>
      <c r="D38">
        <v>1699.0767605634001</v>
      </c>
      <c r="E38">
        <v>387.64225352112999</v>
      </c>
      <c r="F38">
        <v>137.69887165021001</v>
      </c>
      <c r="G38">
        <v>116.35825105783</v>
      </c>
      <c r="I38" s="9">
        <f t="shared" si="1"/>
        <v>271.2840024633</v>
      </c>
      <c r="J38" s="9">
        <f t="shared" si="2"/>
        <v>1561.37788891319</v>
      </c>
      <c r="K38" s="9">
        <f t="shared" si="3"/>
        <v>271.2840024633</v>
      </c>
      <c r="L38" s="10">
        <f t="shared" si="0"/>
        <v>0.17374653784301344</v>
      </c>
      <c r="M38" s="10">
        <f t="shared" si="4"/>
        <v>0.17618904028789412</v>
      </c>
      <c r="P38" s="8">
        <f t="shared" si="5"/>
        <v>4.9536085588211671</v>
      </c>
    </row>
    <row r="39" spans="1:16" x14ac:dyDescent="0.2">
      <c r="A39" s="8">
        <v>18.5</v>
      </c>
      <c r="B39" s="8">
        <v>37</v>
      </c>
      <c r="D39">
        <v>1773.5605633803</v>
      </c>
      <c r="E39">
        <v>392.66971830986</v>
      </c>
      <c r="F39">
        <v>137.40267983075</v>
      </c>
      <c r="G39">
        <v>116.2538787024</v>
      </c>
      <c r="I39" s="9">
        <f t="shared" si="1"/>
        <v>276.41583960745999</v>
      </c>
      <c r="J39" s="9">
        <f t="shared" si="2"/>
        <v>1636.15788354955</v>
      </c>
      <c r="K39" s="9">
        <f t="shared" si="3"/>
        <v>276.41583960745999</v>
      </c>
      <c r="L39" s="10">
        <f t="shared" si="0"/>
        <v>0.16894203327602578</v>
      </c>
      <c r="M39" s="10">
        <f t="shared" si="4"/>
        <v>0.17145238301104204</v>
      </c>
      <c r="P39" s="8">
        <f t="shared" si="5"/>
        <v>2.1320410373697087</v>
      </c>
    </row>
    <row r="40" spans="1:16" x14ac:dyDescent="0.2">
      <c r="A40" s="8">
        <v>19</v>
      </c>
      <c r="B40" s="8">
        <v>38</v>
      </c>
      <c r="D40">
        <v>1789.9852112676001</v>
      </c>
      <c r="E40">
        <v>394.33169014085001</v>
      </c>
      <c r="F40">
        <v>137.39703808181</v>
      </c>
      <c r="G40">
        <v>116.42101551480999</v>
      </c>
      <c r="I40" s="9">
        <f t="shared" si="1"/>
        <v>277.91067462604002</v>
      </c>
      <c r="J40" s="9">
        <f t="shared" si="2"/>
        <v>1652.5881731857901</v>
      </c>
      <c r="K40" s="9">
        <f t="shared" si="3"/>
        <v>277.91067462604002</v>
      </c>
      <c r="L40" s="10">
        <f t="shared" si="0"/>
        <v>0.16816692696662319</v>
      </c>
      <c r="M40" s="10">
        <f t="shared" si="4"/>
        <v>0.17074512399177502</v>
      </c>
      <c r="P40" s="8">
        <f t="shared" si="5"/>
        <v>1.7107356818461459</v>
      </c>
    </row>
    <row r="41" spans="1:16" x14ac:dyDescent="0.2">
      <c r="A41" s="8">
        <v>19.5</v>
      </c>
      <c r="B41" s="8">
        <v>39</v>
      </c>
      <c r="D41">
        <v>1828.8347457627001</v>
      </c>
      <c r="E41">
        <v>401.17937853106997</v>
      </c>
      <c r="F41">
        <v>137.45557122707999</v>
      </c>
      <c r="G41">
        <v>116.62129760226</v>
      </c>
      <c r="I41" s="9">
        <f t="shared" si="1"/>
        <v>284.55808092881</v>
      </c>
      <c r="J41" s="9">
        <f t="shared" si="2"/>
        <v>1691.3791745356202</v>
      </c>
      <c r="K41" s="9">
        <f t="shared" si="3"/>
        <v>284.55808092881</v>
      </c>
      <c r="L41" s="10">
        <f t="shared" si="0"/>
        <v>0.16824026523025942</v>
      </c>
      <c r="M41" s="10">
        <f t="shared" si="4"/>
        <v>0.17088630954554684</v>
      </c>
      <c r="P41" s="8">
        <f t="shared" si="5"/>
        <v>1.794838151105957</v>
      </c>
    </row>
    <row r="42" spans="1:16" x14ac:dyDescent="0.2">
      <c r="A42" s="8">
        <v>20</v>
      </c>
      <c r="B42" s="8">
        <v>40</v>
      </c>
      <c r="D42">
        <v>1774.8170903954999</v>
      </c>
      <c r="E42">
        <v>397.66384180790999</v>
      </c>
      <c r="F42">
        <v>137.56558533145</v>
      </c>
      <c r="G42">
        <v>116.23272214387001</v>
      </c>
      <c r="I42" s="9">
        <f t="shared" si="1"/>
        <v>281.43111966404001</v>
      </c>
      <c r="J42" s="9">
        <f t="shared" si="2"/>
        <v>1637.25150506405</v>
      </c>
      <c r="K42" s="9">
        <f t="shared" si="3"/>
        <v>281.43111966404001</v>
      </c>
      <c r="L42" s="10">
        <f t="shared" si="0"/>
        <v>0.17189241774618513</v>
      </c>
      <c r="M42" s="10">
        <f t="shared" si="4"/>
        <v>0.17460630935160812</v>
      </c>
      <c r="P42" s="8">
        <f t="shared" si="5"/>
        <v>4.0107955276049978</v>
      </c>
    </row>
    <row r="43" spans="1:16" x14ac:dyDescent="0.2">
      <c r="A43" s="8">
        <v>20.5</v>
      </c>
      <c r="B43" s="8">
        <v>41</v>
      </c>
      <c r="D43">
        <v>1770.7252824858999</v>
      </c>
      <c r="E43">
        <v>396.25564971750998</v>
      </c>
      <c r="F43">
        <v>137.72002820874999</v>
      </c>
      <c r="G43">
        <v>116.71368124119</v>
      </c>
      <c r="I43" s="9">
        <f t="shared" si="1"/>
        <v>279.54196847631999</v>
      </c>
      <c r="J43" s="9">
        <f t="shared" si="2"/>
        <v>1633.00525427715</v>
      </c>
      <c r="K43" s="9">
        <f t="shared" si="3"/>
        <v>279.54196847631999</v>
      </c>
      <c r="L43" s="10">
        <f t="shared" si="0"/>
        <v>0.17118252849716598</v>
      </c>
      <c r="M43" s="10">
        <f t="shared" si="4"/>
        <v>0.17396426739272453</v>
      </c>
      <c r="P43" s="8">
        <f t="shared" si="5"/>
        <v>3.6283391595987902</v>
      </c>
    </row>
    <row r="44" spans="1:16" x14ac:dyDescent="0.2">
      <c r="A44" s="8">
        <v>21</v>
      </c>
      <c r="B44" s="8">
        <v>42</v>
      </c>
      <c r="D44">
        <v>1719.0593220338999</v>
      </c>
      <c r="E44">
        <v>387.34957627119002</v>
      </c>
      <c r="F44">
        <v>137.24894217207</v>
      </c>
      <c r="G44">
        <v>116.48730606488</v>
      </c>
      <c r="I44" s="9">
        <f t="shared" si="1"/>
        <v>270.86227020631003</v>
      </c>
      <c r="J44" s="9">
        <f t="shared" si="2"/>
        <v>1581.8103798618299</v>
      </c>
      <c r="K44" s="9">
        <f t="shared" si="3"/>
        <v>270.86227020631003</v>
      </c>
      <c r="L44" s="10">
        <f t="shared" si="0"/>
        <v>0.17123561310172314</v>
      </c>
      <c r="M44" s="10">
        <f t="shared" si="4"/>
        <v>0.17408519928741728</v>
      </c>
      <c r="P44" s="8">
        <f t="shared" si="5"/>
        <v>3.7003767773593541</v>
      </c>
    </row>
    <row r="45" spans="1:16" x14ac:dyDescent="0.2">
      <c r="A45" s="8">
        <v>21.5</v>
      </c>
      <c r="B45" s="8">
        <v>43</v>
      </c>
      <c r="D45">
        <v>1616.3669724771</v>
      </c>
      <c r="E45">
        <v>371.51023288637998</v>
      </c>
      <c r="F45">
        <v>137.56558533145</v>
      </c>
      <c r="G45">
        <v>116.4365303244</v>
      </c>
      <c r="I45" s="9">
        <f t="shared" si="1"/>
        <v>255.07370256197999</v>
      </c>
      <c r="J45" s="9">
        <f t="shared" si="2"/>
        <v>1478.8013871456501</v>
      </c>
      <c r="K45" s="9">
        <f t="shared" si="3"/>
        <v>255.07370256197999</v>
      </c>
      <c r="L45" s="10">
        <f t="shared" si="0"/>
        <v>0.17248678881368756</v>
      </c>
      <c r="M45" s="10">
        <f t="shared" si="4"/>
        <v>0.17540422228951727</v>
      </c>
      <c r="P45" s="8">
        <f t="shared" si="5"/>
        <v>4.4861022890953723</v>
      </c>
    </row>
    <row r="46" spans="1:16" x14ac:dyDescent="0.2">
      <c r="A46" s="8">
        <v>22</v>
      </c>
      <c r="B46" s="8">
        <v>44</v>
      </c>
      <c r="D46">
        <v>1646.6577464789</v>
      </c>
      <c r="E46">
        <v>377.51126760563</v>
      </c>
      <c r="F46">
        <v>137.50493653032001</v>
      </c>
      <c r="G46">
        <v>116.8293370945</v>
      </c>
      <c r="I46" s="9">
        <f t="shared" si="1"/>
        <v>260.68193051112996</v>
      </c>
      <c r="J46" s="9">
        <f t="shared" si="2"/>
        <v>1509.1528099485799</v>
      </c>
      <c r="K46" s="9">
        <f t="shared" si="3"/>
        <v>260.68193051112996</v>
      </c>
      <c r="L46" s="10">
        <f t="shared" si="0"/>
        <v>0.17273395297856681</v>
      </c>
      <c r="M46" s="10">
        <f t="shared" si="4"/>
        <v>0.17571923374453208</v>
      </c>
      <c r="P46" s="8">
        <f t="shared" si="5"/>
        <v>4.6737506745292556</v>
      </c>
    </row>
    <row r="47" spans="1:16" x14ac:dyDescent="0.2">
      <c r="A47" s="8">
        <v>22.5</v>
      </c>
      <c r="B47" s="8">
        <v>45</v>
      </c>
      <c r="D47">
        <v>1712.7295774648001</v>
      </c>
      <c r="E47">
        <v>382.52746478873001</v>
      </c>
      <c r="F47">
        <v>137.46473906911001</v>
      </c>
      <c r="G47">
        <v>116.55007052185999</v>
      </c>
      <c r="I47" s="9">
        <f t="shared" si="1"/>
        <v>265.97739426687002</v>
      </c>
      <c r="J47" s="9">
        <f t="shared" si="2"/>
        <v>1575.26483839569</v>
      </c>
      <c r="K47" s="9">
        <f t="shared" si="3"/>
        <v>265.97739426687002</v>
      </c>
      <c r="L47" s="10">
        <f t="shared" si="0"/>
        <v>0.16884614433326117</v>
      </c>
      <c r="M47" s="10">
        <f t="shared" si="4"/>
        <v>0.17189927238936203</v>
      </c>
      <c r="P47" s="8">
        <f t="shared" si="5"/>
        <v>2.3982474529597604</v>
      </c>
    </row>
    <row r="48" spans="1:16" x14ac:dyDescent="0.2">
      <c r="A48" s="8">
        <v>23</v>
      </c>
      <c r="B48" s="8">
        <v>46</v>
      </c>
      <c r="D48">
        <v>1733.9866197183001</v>
      </c>
      <c r="E48">
        <v>389.13521126760998</v>
      </c>
      <c r="F48">
        <v>137.65021156559001</v>
      </c>
      <c r="G48">
        <v>116.76304654443</v>
      </c>
      <c r="I48" s="9">
        <f t="shared" si="1"/>
        <v>272.37216472317999</v>
      </c>
      <c r="J48" s="9">
        <f t="shared" si="2"/>
        <v>1596.33640815271</v>
      </c>
      <c r="K48" s="9">
        <f t="shared" si="3"/>
        <v>272.37216472317999</v>
      </c>
      <c r="L48" s="10">
        <f t="shared" si="0"/>
        <v>0.1706232867534298</v>
      </c>
      <c r="M48" s="10">
        <f t="shared" si="4"/>
        <v>0.17374426209966623</v>
      </c>
      <c r="P48" s="8">
        <f t="shared" si="5"/>
        <v>3.4972847570617236</v>
      </c>
    </row>
    <row r="49" spans="1:25" x14ac:dyDescent="0.2">
      <c r="A49" s="8">
        <v>23.5</v>
      </c>
      <c r="B49" s="8">
        <v>47</v>
      </c>
      <c r="D49">
        <v>1732.1950704225001</v>
      </c>
      <c r="E49">
        <v>391.50492957747002</v>
      </c>
      <c r="F49">
        <v>137.36036671368001</v>
      </c>
      <c r="G49">
        <v>116.44005641749</v>
      </c>
      <c r="I49" s="9">
        <f t="shared" si="1"/>
        <v>275.06487315998004</v>
      </c>
      <c r="J49" s="9">
        <f t="shared" si="2"/>
        <v>1594.8347037088201</v>
      </c>
      <c r="K49" s="9">
        <f t="shared" si="3"/>
        <v>275.06487315998004</v>
      </c>
      <c r="L49" s="10">
        <f t="shared" si="0"/>
        <v>0.17247233993611447</v>
      </c>
      <c r="M49" s="10">
        <f t="shared" si="4"/>
        <v>0.17566116257248648</v>
      </c>
      <c r="P49" s="8">
        <f t="shared" si="5"/>
        <v>4.6391584033558271</v>
      </c>
    </row>
    <row r="50" spans="1:25" x14ac:dyDescent="0.2">
      <c r="A50" s="8">
        <v>24</v>
      </c>
      <c r="B50" s="8">
        <v>48</v>
      </c>
      <c r="D50">
        <v>1712.0599435825</v>
      </c>
      <c r="E50">
        <v>385.25669957687001</v>
      </c>
      <c r="F50">
        <v>137.62270803948999</v>
      </c>
      <c r="G50">
        <v>116.36036671367999</v>
      </c>
      <c r="I50" s="9">
        <f t="shared" si="1"/>
        <v>268.89633286319003</v>
      </c>
      <c r="J50" s="9">
        <f t="shared" si="2"/>
        <v>1574.43723554301</v>
      </c>
      <c r="K50" s="9">
        <f t="shared" si="3"/>
        <v>268.89633286319003</v>
      </c>
      <c r="L50" s="10">
        <f t="shared" si="0"/>
        <v>0.1707888550860206</v>
      </c>
      <c r="M50" s="10">
        <f t="shared" si="4"/>
        <v>0.17404552501252818</v>
      </c>
      <c r="P50" s="8">
        <f t="shared" si="5"/>
        <v>3.6767433078213978</v>
      </c>
    </row>
    <row r="51" spans="1:25" x14ac:dyDescent="0.2">
      <c r="A51" s="8">
        <v>24.5</v>
      </c>
      <c r="B51" s="8">
        <v>49</v>
      </c>
      <c r="D51">
        <v>1695.1911142454001</v>
      </c>
      <c r="E51">
        <v>376.55359661494998</v>
      </c>
      <c r="F51">
        <v>137.40620592383999</v>
      </c>
      <c r="G51">
        <v>116.50211565585001</v>
      </c>
      <c r="I51" s="9">
        <f t="shared" si="1"/>
        <v>260.05148095909999</v>
      </c>
      <c r="J51" s="9">
        <f t="shared" si="2"/>
        <v>1557.7849083215601</v>
      </c>
      <c r="K51" s="9">
        <f t="shared" si="3"/>
        <v>260.05148095909999</v>
      </c>
      <c r="L51" s="10">
        <f t="shared" si="0"/>
        <v>0.16693670581216069</v>
      </c>
      <c r="M51" s="10">
        <f t="shared" si="4"/>
        <v>0.17026122302880384</v>
      </c>
      <c r="P51" s="8">
        <f t="shared" si="5"/>
        <v>1.4224819280035248</v>
      </c>
    </row>
    <row r="52" spans="1:25" x14ac:dyDescent="0.2">
      <c r="A52" s="8">
        <v>25</v>
      </c>
      <c r="B52" s="8">
        <v>50</v>
      </c>
      <c r="D52">
        <v>1564.3420310296001</v>
      </c>
      <c r="E52">
        <v>353.93370944993001</v>
      </c>
      <c r="F52">
        <v>137.46050775741</v>
      </c>
      <c r="G52">
        <v>116.73695345557</v>
      </c>
      <c r="I52" s="9">
        <f t="shared" si="1"/>
        <v>237.19675599435999</v>
      </c>
      <c r="J52" s="9">
        <f t="shared" si="2"/>
        <v>1426.8815232721902</v>
      </c>
      <c r="K52" s="9">
        <f t="shared" si="3"/>
        <v>237.19675599435999</v>
      </c>
      <c r="L52" s="10">
        <f t="shared" si="0"/>
        <v>0.16623437344006636</v>
      </c>
      <c r="M52" s="10">
        <f t="shared" si="4"/>
        <v>0.1696267379468451</v>
      </c>
      <c r="P52" s="8">
        <f t="shared" si="5"/>
        <v>1.0445270971042946</v>
      </c>
    </row>
    <row r="53" spans="1:25" x14ac:dyDescent="0.2">
      <c r="A53" s="8">
        <v>25.5</v>
      </c>
      <c r="B53" s="8">
        <v>51</v>
      </c>
      <c r="D53">
        <v>1582.2096317281</v>
      </c>
      <c r="E53">
        <v>355.67776203966002</v>
      </c>
      <c r="F53">
        <v>137.54160789845</v>
      </c>
      <c r="G53">
        <v>116.59238363893</v>
      </c>
      <c r="I53" s="9">
        <f t="shared" si="1"/>
        <v>239.08537840073001</v>
      </c>
      <c r="J53" s="9">
        <f t="shared" si="2"/>
        <v>1444.6680238296501</v>
      </c>
      <c r="K53" s="9">
        <f t="shared" si="3"/>
        <v>239.08537840073001</v>
      </c>
      <c r="L53" s="10">
        <f t="shared" si="0"/>
        <v>0.16549503031633658</v>
      </c>
      <c r="M53" s="10">
        <f t="shared" si="4"/>
        <v>0.16895524211325089</v>
      </c>
      <c r="P53" s="8">
        <f t="shared" si="5"/>
        <v>0.64452542416953928</v>
      </c>
      <c r="S53" s="11"/>
      <c r="U53" s="12"/>
    </row>
    <row r="54" spans="1:25" x14ac:dyDescent="0.2">
      <c r="A54" s="8">
        <v>26</v>
      </c>
      <c r="B54" s="8">
        <v>52</v>
      </c>
      <c r="D54">
        <v>1572.2344192635001</v>
      </c>
      <c r="E54">
        <v>359.20892351275</v>
      </c>
      <c r="F54">
        <v>137.63046544429</v>
      </c>
      <c r="G54">
        <v>116.50282087447</v>
      </c>
      <c r="I54" s="9">
        <f t="shared" si="1"/>
        <v>242.70610263828002</v>
      </c>
      <c r="J54" s="9">
        <f t="shared" si="2"/>
        <v>1434.6039538192101</v>
      </c>
      <c r="K54" s="9">
        <f t="shared" si="3"/>
        <v>242.70610263828002</v>
      </c>
      <c r="L54" s="10">
        <f t="shared" si="0"/>
        <v>0.1691798645836341</v>
      </c>
      <c r="M54" s="10">
        <f t="shared" si="4"/>
        <v>0.17270792367068397</v>
      </c>
      <c r="P54" s="8">
        <f t="shared" si="5"/>
        <v>2.8799509113688169</v>
      </c>
      <c r="S54" s="11"/>
    </row>
    <row r="55" spans="1:25" x14ac:dyDescent="0.2">
      <c r="A55" s="8">
        <v>26.5</v>
      </c>
      <c r="B55" s="8">
        <v>53</v>
      </c>
      <c r="D55">
        <v>1693.3272084805999</v>
      </c>
      <c r="E55">
        <v>370.35971731449001</v>
      </c>
      <c r="F55">
        <v>137.95345557122999</v>
      </c>
      <c r="G55">
        <v>116.68124118477</v>
      </c>
      <c r="I55" s="9">
        <f t="shared" si="1"/>
        <v>253.67847612972002</v>
      </c>
      <c r="J55" s="9">
        <f t="shared" si="2"/>
        <v>1555.3737529093698</v>
      </c>
      <c r="K55" s="9">
        <f t="shared" si="3"/>
        <v>253.67847612972002</v>
      </c>
      <c r="L55" s="10">
        <f t="shared" si="0"/>
        <v>0.16309808215241345</v>
      </c>
      <c r="M55" s="10">
        <f t="shared" si="4"/>
        <v>0.16669398852959891</v>
      </c>
      <c r="P55" s="8">
        <f t="shared" si="5"/>
        <v>-0.70247506509499069</v>
      </c>
      <c r="S55" s="11"/>
    </row>
    <row r="56" spans="1:25" x14ac:dyDescent="0.2">
      <c r="A56" s="8">
        <v>27</v>
      </c>
      <c r="B56" s="8">
        <v>54</v>
      </c>
      <c r="D56">
        <v>1608.3491166077999</v>
      </c>
      <c r="E56">
        <v>347.34134275617998</v>
      </c>
      <c r="F56">
        <v>137.40126939351001</v>
      </c>
      <c r="G56">
        <v>116.62059238364</v>
      </c>
      <c r="I56" s="9">
        <f t="shared" si="1"/>
        <v>230.72075037253998</v>
      </c>
      <c r="J56" s="9">
        <f t="shared" si="2"/>
        <v>1470.9478472142901</v>
      </c>
      <c r="K56" s="9">
        <f t="shared" si="3"/>
        <v>230.72075037253998</v>
      </c>
      <c r="L56" s="10">
        <f t="shared" si="0"/>
        <v>0.1568517543361469</v>
      </c>
      <c r="M56" s="10">
        <f t="shared" si="4"/>
        <v>0.16051550800346792</v>
      </c>
      <c r="P56" s="8">
        <f t="shared" si="5"/>
        <v>-4.3829186702606293</v>
      </c>
      <c r="S56" s="11"/>
    </row>
    <row r="57" spans="1:25" x14ac:dyDescent="0.2">
      <c r="A57" s="8">
        <v>27.5</v>
      </c>
      <c r="B57" s="8">
        <v>55</v>
      </c>
      <c r="D57">
        <v>1740.7672107878</v>
      </c>
      <c r="E57">
        <v>374.82611781405001</v>
      </c>
      <c r="F57">
        <v>137.27715091677999</v>
      </c>
      <c r="G57">
        <v>116.63681241185</v>
      </c>
      <c r="I57" s="9">
        <f t="shared" si="1"/>
        <v>258.18930540220003</v>
      </c>
      <c r="J57" s="9">
        <f t="shared" si="2"/>
        <v>1603.4900598710201</v>
      </c>
      <c r="K57" s="9">
        <f t="shared" si="3"/>
        <v>258.18930540220003</v>
      </c>
      <c r="L57" s="10">
        <f t="shared" si="0"/>
        <v>0.16101709132077063</v>
      </c>
      <c r="M57" s="10">
        <f t="shared" si="4"/>
        <v>0.16474869227822725</v>
      </c>
      <c r="P57" s="8">
        <f t="shared" si="5"/>
        <v>-1.8612637216640644</v>
      </c>
      <c r="S57" s="11"/>
    </row>
    <row r="58" spans="1:25" x14ac:dyDescent="0.2">
      <c r="A58" s="8">
        <v>28</v>
      </c>
      <c r="B58" s="8">
        <v>56</v>
      </c>
      <c r="D58">
        <v>1699.0170333569999</v>
      </c>
      <c r="E58">
        <v>377.07097232080002</v>
      </c>
      <c r="F58">
        <v>137.62341325810999</v>
      </c>
      <c r="G58">
        <v>116.63469675599001</v>
      </c>
      <c r="I58" s="9">
        <f t="shared" si="1"/>
        <v>260.43627556480999</v>
      </c>
      <c r="J58" s="9">
        <f t="shared" si="2"/>
        <v>1561.3936200988899</v>
      </c>
      <c r="K58" s="9">
        <f t="shared" si="3"/>
        <v>260.43627556480999</v>
      </c>
      <c r="L58" s="10">
        <f t="shared" si="0"/>
        <v>0.16679732273295406</v>
      </c>
      <c r="M58" s="10">
        <f t="shared" si="4"/>
        <v>0.17059677098054624</v>
      </c>
      <c r="P58" s="8">
        <f t="shared" si="5"/>
        <v>1.6223636477878038</v>
      </c>
      <c r="S58" s="11"/>
    </row>
    <row r="59" spans="1:25" x14ac:dyDescent="0.2">
      <c r="A59" s="8">
        <v>28.5</v>
      </c>
      <c r="B59" s="8">
        <v>57</v>
      </c>
      <c r="D59">
        <v>1769.0049295775</v>
      </c>
      <c r="E59">
        <v>377.45985915492997</v>
      </c>
      <c r="F59">
        <v>137.64880112834999</v>
      </c>
      <c r="G59">
        <v>116.56064880113</v>
      </c>
      <c r="I59" s="9">
        <f t="shared" si="1"/>
        <v>260.89921035379996</v>
      </c>
      <c r="J59" s="9">
        <f t="shared" si="2"/>
        <v>1631.35612844915</v>
      </c>
      <c r="K59" s="9">
        <f t="shared" si="3"/>
        <v>260.89921035379996</v>
      </c>
      <c r="L59" s="10">
        <f t="shared" si="0"/>
        <v>0.15992780840675419</v>
      </c>
      <c r="M59" s="10">
        <f t="shared" si="4"/>
        <v>0.16379510394448193</v>
      </c>
      <c r="P59" s="8">
        <f t="shared" si="5"/>
        <v>-2.429304370177892</v>
      </c>
      <c r="R59" s="1"/>
      <c r="S59" s="11"/>
    </row>
    <row r="60" spans="1:25" x14ac:dyDescent="0.2">
      <c r="A60" s="8">
        <v>29</v>
      </c>
      <c r="B60" s="8">
        <v>58</v>
      </c>
      <c r="D60">
        <v>1753.4225352113001</v>
      </c>
      <c r="E60">
        <v>375.1176056338</v>
      </c>
      <c r="F60">
        <v>137.76022566995999</v>
      </c>
      <c r="G60">
        <v>116.62341325811001</v>
      </c>
      <c r="I60" s="9">
        <f t="shared" si="1"/>
        <v>258.49419237568998</v>
      </c>
      <c r="J60" s="9">
        <f t="shared" si="2"/>
        <v>1615.6623095413402</v>
      </c>
      <c r="K60" s="9">
        <f t="shared" si="3"/>
        <v>258.49419237568998</v>
      </c>
      <c r="L60" s="10">
        <f t="shared" si="0"/>
        <v>0.1599927106358458</v>
      </c>
      <c r="M60" s="10">
        <f t="shared" si="4"/>
        <v>0.16392785346370914</v>
      </c>
      <c r="P60" s="8">
        <f t="shared" si="5"/>
        <v>-2.3502271412277946</v>
      </c>
      <c r="S60" s="11"/>
    </row>
    <row r="61" spans="1:25" x14ac:dyDescent="0.2">
      <c r="A61" s="8">
        <v>29.5</v>
      </c>
      <c r="B61" s="8">
        <v>59</v>
      </c>
      <c r="C61" s="2"/>
      <c r="D61">
        <v>1701.3640845069999</v>
      </c>
      <c r="E61">
        <v>364.81197183098999</v>
      </c>
      <c r="F61">
        <v>137.27150916784001</v>
      </c>
      <c r="G61">
        <v>116.4802538787</v>
      </c>
      <c r="I61" s="9">
        <f t="shared" si="1"/>
        <v>248.33171795228998</v>
      </c>
      <c r="J61" s="9">
        <f t="shared" si="2"/>
        <v>1564.0925753391598</v>
      </c>
      <c r="K61" s="9">
        <f t="shared" si="3"/>
        <v>248.33171795228998</v>
      </c>
      <c r="L61" s="10">
        <f t="shared" si="0"/>
        <v>0.15877047296797084</v>
      </c>
      <c r="M61" s="10">
        <f t="shared" si="4"/>
        <v>0.16277346308596974</v>
      </c>
      <c r="P61" s="8">
        <f t="shared" si="5"/>
        <v>-3.0378830568929156</v>
      </c>
      <c r="S61" s="11"/>
    </row>
    <row r="62" spans="1:25" x14ac:dyDescent="0.2">
      <c r="A62" s="8">
        <v>30</v>
      </c>
      <c r="B62" s="8">
        <v>60</v>
      </c>
      <c r="D62">
        <v>1663.042462845</v>
      </c>
      <c r="E62">
        <v>356.90375088463998</v>
      </c>
      <c r="F62">
        <v>137.62411847672999</v>
      </c>
      <c r="G62">
        <v>116.46755994358</v>
      </c>
      <c r="I62" s="9">
        <f t="shared" si="1"/>
        <v>240.43619094105998</v>
      </c>
      <c r="J62" s="9">
        <f t="shared" si="2"/>
        <v>1525.41834436827</v>
      </c>
      <c r="K62" s="9">
        <f t="shared" si="3"/>
        <v>240.43619094105998</v>
      </c>
      <c r="L62" s="10">
        <f t="shared" si="0"/>
        <v>0.15761983709500565</v>
      </c>
      <c r="M62" s="10">
        <f t="shared" si="4"/>
        <v>0.16169067450314012</v>
      </c>
      <c r="P62" s="8">
        <f t="shared" si="5"/>
        <v>-3.6828866785062004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1600.9384288747001</v>
      </c>
      <c r="E63">
        <v>356.71337579618</v>
      </c>
      <c r="F63">
        <v>137.57968970381</v>
      </c>
      <c r="G63">
        <v>116.72002820874999</v>
      </c>
      <c r="I63" s="9">
        <f t="shared" si="1"/>
        <v>239.99334758743001</v>
      </c>
      <c r="J63" s="9">
        <f t="shared" si="2"/>
        <v>1463.3587391708902</v>
      </c>
      <c r="K63" s="9">
        <f t="shared" si="3"/>
        <v>239.99334758743001</v>
      </c>
      <c r="L63" s="10">
        <f t="shared" si="0"/>
        <v>0.1640017182139531</v>
      </c>
      <c r="M63" s="10">
        <f t="shared" si="4"/>
        <v>0.16814040291222315</v>
      </c>
      <c r="P63" s="8">
        <f t="shared" si="5"/>
        <v>0.15913589935399694</v>
      </c>
    </row>
    <row r="64" spans="1:25" x14ac:dyDescent="0.2">
      <c r="A64" s="8">
        <v>31</v>
      </c>
      <c r="B64" s="8">
        <v>62</v>
      </c>
      <c r="D64">
        <v>1496.3354564756</v>
      </c>
      <c r="E64">
        <v>336.60721868364999</v>
      </c>
      <c r="F64">
        <v>137.49647390691001</v>
      </c>
      <c r="G64">
        <v>116.38998589563001</v>
      </c>
      <c r="I64" s="9">
        <f t="shared" si="1"/>
        <v>220.21723278802</v>
      </c>
      <c r="J64" s="9">
        <f t="shared" si="2"/>
        <v>1358.83898256869</v>
      </c>
      <c r="K64" s="9">
        <f t="shared" si="3"/>
        <v>220.21723278802</v>
      </c>
      <c r="L64" s="10">
        <f t="shared" si="0"/>
        <v>0.16206278713886391</v>
      </c>
      <c r="M64" s="10">
        <f t="shared" si="4"/>
        <v>0.16626931912726953</v>
      </c>
      <c r="P64" s="8">
        <f t="shared" si="5"/>
        <v>-0.95544531878476446</v>
      </c>
      <c r="U64" s="8">
        <v>30.5</v>
      </c>
      <c r="V64" s="10">
        <f>L62</f>
        <v>0.15761983709500565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1453.4854918613</v>
      </c>
      <c r="E65">
        <v>333.95187544231999</v>
      </c>
      <c r="F65">
        <v>137.64739069110999</v>
      </c>
      <c r="G65">
        <v>116.62411847673</v>
      </c>
      <c r="I65" s="9">
        <f t="shared" si="1"/>
        <v>217.32775696558997</v>
      </c>
      <c r="J65" s="9">
        <f t="shared" si="2"/>
        <v>1315.8381011701899</v>
      </c>
      <c r="K65" s="9">
        <f t="shared" si="3"/>
        <v>217.32775696558997</v>
      </c>
      <c r="L65" s="10">
        <f t="shared" si="0"/>
        <v>0.16516299138345203</v>
      </c>
      <c r="M65" s="10">
        <f t="shared" si="4"/>
        <v>0.16943737066199324</v>
      </c>
      <c r="P65" s="8">
        <f t="shared" si="5"/>
        <v>0.93172337301502439</v>
      </c>
      <c r="U65" s="8">
        <v>31</v>
      </c>
      <c r="V65" s="10">
        <f t="shared" ref="V65:V83" si="6">L63</f>
        <v>0.1640017182139531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1374.8839348903</v>
      </c>
      <c r="E66">
        <v>325.47346072187003</v>
      </c>
      <c r="F66">
        <v>137.61142454161001</v>
      </c>
      <c r="G66">
        <v>116.5119887165</v>
      </c>
      <c r="I66" s="9">
        <f t="shared" si="1"/>
        <v>208.96147200537001</v>
      </c>
      <c r="J66" s="9">
        <f t="shared" si="2"/>
        <v>1237.27251034869</v>
      </c>
      <c r="K66" s="9">
        <f t="shared" si="3"/>
        <v>208.96147200537001</v>
      </c>
      <c r="L66" s="10">
        <f t="shared" ref="L66:L129" si="7">K66/J66</f>
        <v>0.16888880198791467</v>
      </c>
      <c r="M66" s="10">
        <f t="shared" si="4"/>
        <v>0.17323102855659145</v>
      </c>
      <c r="P66" s="8">
        <f t="shared" si="5"/>
        <v>3.191557951971518</v>
      </c>
      <c r="U66" s="8">
        <v>31.5</v>
      </c>
      <c r="V66" s="10">
        <f t="shared" si="6"/>
        <v>0.16206278713886391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1496.7865168538999</v>
      </c>
      <c r="E67">
        <v>335.45646067415998</v>
      </c>
      <c r="F67">
        <v>137.14527503526</v>
      </c>
      <c r="G67">
        <v>116.36600846262</v>
      </c>
      <c r="I67" s="9">
        <f t="shared" ref="I67:I130" si="8">E67-G67</f>
        <v>219.09045221153997</v>
      </c>
      <c r="J67" s="9">
        <f t="shared" ref="J67:J130" si="9">D67-F67</f>
        <v>1359.6412418186399</v>
      </c>
      <c r="K67" s="9">
        <f t="shared" ref="K67:K130" si="10">I67*1</f>
        <v>219.09045221153997</v>
      </c>
      <c r="L67" s="10">
        <f t="shared" si="7"/>
        <v>0.16113842789770572</v>
      </c>
      <c r="M67" s="10">
        <f t="shared" ref="M67:M130" si="11">L67+ABS($N$2)*A67</f>
        <v>0.16554850175651806</v>
      </c>
      <c r="P67" s="8">
        <f t="shared" ref="P67:P130" si="12">(M67-$O$2)/$O$2*100</f>
        <v>-1.3848272147791572</v>
      </c>
      <c r="U67" s="8">
        <v>32</v>
      </c>
      <c r="V67" s="10">
        <f t="shared" si="6"/>
        <v>0.16516299138345203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1430.0323033708</v>
      </c>
      <c r="E68">
        <v>325.75</v>
      </c>
      <c r="F68">
        <v>137.20733427363001</v>
      </c>
      <c r="G68">
        <v>116.42172073343001</v>
      </c>
      <c r="I68" s="9">
        <f t="shared" si="8"/>
        <v>209.32827926657001</v>
      </c>
      <c r="J68" s="9">
        <f t="shared" si="9"/>
        <v>1292.82496909717</v>
      </c>
      <c r="K68" s="9">
        <f t="shared" si="10"/>
        <v>209.32827926657001</v>
      </c>
      <c r="L68" s="10">
        <f t="shared" si="7"/>
        <v>0.16191540561964246</v>
      </c>
      <c r="M68" s="10">
        <f t="shared" si="11"/>
        <v>0.16639332676859039</v>
      </c>
      <c r="P68" s="8">
        <f t="shared" si="12"/>
        <v>-0.88157551721125982</v>
      </c>
      <c r="U68" s="8">
        <v>32.5</v>
      </c>
      <c r="V68" s="10">
        <f t="shared" si="6"/>
        <v>0.16888880198791467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1449.860252809</v>
      </c>
      <c r="E69">
        <v>334.47823033707999</v>
      </c>
      <c r="F69">
        <v>137.93229901269001</v>
      </c>
      <c r="G69">
        <v>116.45416078984999</v>
      </c>
      <c r="I69" s="9">
        <f t="shared" si="8"/>
        <v>218.02406954723</v>
      </c>
      <c r="J69" s="9">
        <f t="shared" si="9"/>
        <v>1311.92795379631</v>
      </c>
      <c r="K69" s="9">
        <f t="shared" si="10"/>
        <v>218.02406954723</v>
      </c>
      <c r="L69" s="10">
        <f t="shared" si="7"/>
        <v>0.16618600809315512</v>
      </c>
      <c r="M69" s="10">
        <f t="shared" si="11"/>
        <v>0.17073177653223862</v>
      </c>
      <c r="P69" s="8">
        <f t="shared" si="12"/>
        <v>1.7027847670721643</v>
      </c>
      <c r="U69" s="8">
        <v>33</v>
      </c>
      <c r="V69" s="10">
        <f t="shared" si="6"/>
        <v>0.16113842789770572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1394.5028089888001</v>
      </c>
      <c r="E70">
        <v>334.83146067415998</v>
      </c>
      <c r="F70">
        <v>137.58674188999001</v>
      </c>
      <c r="G70">
        <v>116.60084626234</v>
      </c>
      <c r="I70" s="9">
        <f t="shared" si="8"/>
        <v>218.23061441182</v>
      </c>
      <c r="J70" s="9">
        <f t="shared" si="9"/>
        <v>1256.9160670988101</v>
      </c>
      <c r="K70" s="9">
        <f t="shared" si="10"/>
        <v>218.23061441182</v>
      </c>
      <c r="L70" s="10">
        <f t="shared" si="7"/>
        <v>0.17362385613825096</v>
      </c>
      <c r="M70" s="10">
        <f t="shared" si="11"/>
        <v>0.17823747186747002</v>
      </c>
      <c r="P70" s="8">
        <f t="shared" si="12"/>
        <v>6.1738336409888293</v>
      </c>
      <c r="U70" s="8">
        <v>33.5</v>
      </c>
      <c r="V70" s="10">
        <f t="shared" si="6"/>
        <v>0.16191540561964246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1431.1010600707</v>
      </c>
      <c r="E71">
        <v>334.43957597172999</v>
      </c>
      <c r="F71">
        <v>137.76022566995999</v>
      </c>
      <c r="G71">
        <v>116.50493653031999</v>
      </c>
      <c r="I71" s="9">
        <f t="shared" si="8"/>
        <v>217.93463944141001</v>
      </c>
      <c r="J71" s="9">
        <f t="shared" si="9"/>
        <v>1293.3408344007401</v>
      </c>
      <c r="K71" s="9">
        <f t="shared" si="10"/>
        <v>217.93463944141001</v>
      </c>
      <c r="L71" s="10">
        <f t="shared" si="7"/>
        <v>0.16850518722111518</v>
      </c>
      <c r="M71" s="10">
        <f t="shared" si="11"/>
        <v>0.17318665024046984</v>
      </c>
      <c r="P71" s="8">
        <f t="shared" si="12"/>
        <v>3.1651223438819529</v>
      </c>
      <c r="U71" s="8">
        <v>34</v>
      </c>
      <c r="V71" s="10">
        <f t="shared" si="6"/>
        <v>0.16618600809315512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1651.8272214387</v>
      </c>
      <c r="E72">
        <v>358.99153737658997</v>
      </c>
      <c r="F72">
        <v>138.01128349787999</v>
      </c>
      <c r="G72">
        <v>116.77503526093</v>
      </c>
      <c r="I72" s="9">
        <f t="shared" si="8"/>
        <v>242.21650211565998</v>
      </c>
      <c r="J72" s="9">
        <f t="shared" si="9"/>
        <v>1513.81593794082</v>
      </c>
      <c r="K72" s="9">
        <f t="shared" si="10"/>
        <v>242.21650211565998</v>
      </c>
      <c r="L72" s="10">
        <f t="shared" si="7"/>
        <v>0.16000393181560557</v>
      </c>
      <c r="M72" s="10">
        <f t="shared" si="11"/>
        <v>0.16475324212509579</v>
      </c>
      <c r="P72" s="8">
        <f t="shared" si="12"/>
        <v>-1.8585534347673138</v>
      </c>
      <c r="U72" s="8">
        <v>34.5</v>
      </c>
      <c r="V72" s="10">
        <f t="shared" si="6"/>
        <v>0.17362385613825096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1496.2919605078</v>
      </c>
      <c r="E73">
        <v>328.03032440056</v>
      </c>
      <c r="F73">
        <v>136.91114245416</v>
      </c>
      <c r="G73">
        <v>116.47954866009</v>
      </c>
      <c r="I73" s="9">
        <f t="shared" si="8"/>
        <v>211.55077574046999</v>
      </c>
      <c r="J73" s="9">
        <f t="shared" si="9"/>
        <v>1359.38081805364</v>
      </c>
      <c r="K73" s="9">
        <f t="shared" si="10"/>
        <v>211.55077574046999</v>
      </c>
      <c r="L73" s="10">
        <f t="shared" si="7"/>
        <v>0.15562289310759009</v>
      </c>
      <c r="M73" s="10">
        <f t="shared" si="11"/>
        <v>0.1604400507072159</v>
      </c>
      <c r="P73" s="8">
        <f t="shared" si="12"/>
        <v>-4.4278676382600084</v>
      </c>
      <c r="U73" s="8">
        <v>35</v>
      </c>
      <c r="V73" s="10">
        <f t="shared" si="6"/>
        <v>0.16850518722111518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1583.0719322990001</v>
      </c>
      <c r="E74">
        <v>342.93864598024999</v>
      </c>
      <c r="F74">
        <v>137.29901269394</v>
      </c>
      <c r="G74">
        <v>116.53102961918</v>
      </c>
      <c r="I74" s="9">
        <f t="shared" si="8"/>
        <v>226.40761636106998</v>
      </c>
      <c r="J74" s="9">
        <f t="shared" si="9"/>
        <v>1445.77291960506</v>
      </c>
      <c r="K74" s="9">
        <f t="shared" si="10"/>
        <v>226.40761636106998</v>
      </c>
      <c r="L74" s="10">
        <f t="shared" si="7"/>
        <v>0.15659970752731867</v>
      </c>
      <c r="M74" s="10">
        <f t="shared" si="11"/>
        <v>0.16148471241708004</v>
      </c>
      <c r="P74" s="8">
        <f t="shared" si="12"/>
        <v>-3.8055757182046195</v>
      </c>
      <c r="U74" s="8">
        <v>35.5</v>
      </c>
      <c r="V74" s="10">
        <f t="shared" si="6"/>
        <v>0.16000393181560557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1585.8695345557001</v>
      </c>
      <c r="E75">
        <v>347.90973201692998</v>
      </c>
      <c r="F75">
        <v>137.59873060648999</v>
      </c>
      <c r="G75">
        <v>116.69675599436</v>
      </c>
      <c r="I75" s="9">
        <f t="shared" si="8"/>
        <v>231.21297602256999</v>
      </c>
      <c r="J75" s="9">
        <f t="shared" si="9"/>
        <v>1448.2708039492099</v>
      </c>
      <c r="K75" s="9">
        <f t="shared" si="10"/>
        <v>231.21297602256999</v>
      </c>
      <c r="L75" s="10">
        <f t="shared" si="7"/>
        <v>0.15964761244381095</v>
      </c>
      <c r="M75" s="10">
        <f t="shared" si="11"/>
        <v>0.16460046462370789</v>
      </c>
      <c r="P75" s="8">
        <f t="shared" si="12"/>
        <v>-1.9495610822978269</v>
      </c>
      <c r="U75" s="8">
        <v>36</v>
      </c>
      <c r="V75" s="10">
        <f t="shared" si="6"/>
        <v>0.15562289310759009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1587.8702397743</v>
      </c>
      <c r="E76">
        <v>354.10437235542997</v>
      </c>
      <c r="F76">
        <v>137.65091678420001</v>
      </c>
      <c r="G76">
        <v>116.63822284907999</v>
      </c>
      <c r="I76" s="9">
        <f t="shared" si="8"/>
        <v>237.46614950634998</v>
      </c>
      <c r="J76" s="9">
        <f t="shared" si="9"/>
        <v>1450.2193229901</v>
      </c>
      <c r="K76" s="9">
        <f t="shared" si="10"/>
        <v>237.46614950634998</v>
      </c>
      <c r="L76" s="10">
        <f t="shared" si="7"/>
        <v>0.16374499066578158</v>
      </c>
      <c r="M76" s="10">
        <f t="shared" si="11"/>
        <v>0.16876569013581411</v>
      </c>
      <c r="P76" s="8">
        <f t="shared" si="12"/>
        <v>0.53161168101648526</v>
      </c>
      <c r="U76" s="8">
        <v>36.5</v>
      </c>
      <c r="V76" s="10">
        <f t="shared" si="6"/>
        <v>0.15659970752731867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1533.6127208481</v>
      </c>
      <c r="E77">
        <v>346.33003533569001</v>
      </c>
      <c r="F77">
        <v>137.8533145275</v>
      </c>
      <c r="G77">
        <v>116.85472496474</v>
      </c>
      <c r="I77" s="9">
        <f t="shared" si="8"/>
        <v>229.47531037095001</v>
      </c>
      <c r="J77" s="9">
        <f t="shared" si="9"/>
        <v>1395.7594063206</v>
      </c>
      <c r="K77" s="9">
        <f t="shared" si="10"/>
        <v>229.47531037095001</v>
      </c>
      <c r="L77" s="10">
        <f t="shared" si="7"/>
        <v>0.1644089298856142</v>
      </c>
      <c r="M77" s="10">
        <f t="shared" si="11"/>
        <v>0.1694974766457823</v>
      </c>
      <c r="P77" s="8">
        <f t="shared" si="12"/>
        <v>0.96752775610452546</v>
      </c>
      <c r="U77" s="8">
        <v>37</v>
      </c>
      <c r="V77" s="10">
        <f t="shared" si="6"/>
        <v>0.15964761244381095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1618.6226148410001</v>
      </c>
      <c r="E78">
        <v>354.85371024735002</v>
      </c>
      <c r="F78">
        <v>137.70451339914999</v>
      </c>
      <c r="G78">
        <v>116.52538787024</v>
      </c>
      <c r="I78" s="9">
        <f t="shared" si="8"/>
        <v>238.32832237711003</v>
      </c>
      <c r="J78" s="9">
        <f t="shared" si="9"/>
        <v>1480.91810144185</v>
      </c>
      <c r="K78" s="9">
        <f t="shared" si="10"/>
        <v>238.32832237711003</v>
      </c>
      <c r="L78" s="10">
        <f t="shared" si="7"/>
        <v>0.1609328173820477</v>
      </c>
      <c r="M78" s="10">
        <f t="shared" si="11"/>
        <v>0.16608921143235136</v>
      </c>
      <c r="P78" s="8">
        <f t="shared" si="12"/>
        <v>-1.0627332209152542</v>
      </c>
      <c r="U78" s="8">
        <v>37.5</v>
      </c>
      <c r="V78" s="10">
        <f t="shared" si="6"/>
        <v>0.16374499066578158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1646.0805084746</v>
      </c>
      <c r="E79">
        <v>356.25423728814002</v>
      </c>
      <c r="F79">
        <v>138.03032440056</v>
      </c>
      <c r="G79">
        <v>116.79478138223</v>
      </c>
      <c r="I79" s="9">
        <f t="shared" si="8"/>
        <v>239.45945590591003</v>
      </c>
      <c r="J79" s="9">
        <f t="shared" si="9"/>
        <v>1508.0501840740401</v>
      </c>
      <c r="K79" s="9">
        <f t="shared" si="10"/>
        <v>239.45945590591003</v>
      </c>
      <c r="L79" s="10">
        <f t="shared" si="7"/>
        <v>0.15878745842462852</v>
      </c>
      <c r="M79" s="10">
        <f t="shared" si="11"/>
        <v>0.16401169976506777</v>
      </c>
      <c r="P79" s="8">
        <f t="shared" si="12"/>
        <v>-2.3002809477669555</v>
      </c>
      <c r="U79" s="8">
        <v>38</v>
      </c>
      <c r="V79" s="10">
        <f t="shared" si="6"/>
        <v>0.1644089298856142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1534.3947740112999</v>
      </c>
      <c r="E80">
        <v>354.05508474575998</v>
      </c>
      <c r="F80">
        <v>137.89633286319</v>
      </c>
      <c r="G80">
        <v>116.58110014104</v>
      </c>
      <c r="I80" s="9">
        <f t="shared" si="8"/>
        <v>237.47398460471999</v>
      </c>
      <c r="J80" s="9">
        <f t="shared" si="9"/>
        <v>1396.4984411481098</v>
      </c>
      <c r="K80" s="9">
        <f t="shared" si="10"/>
        <v>237.47398460471999</v>
      </c>
      <c r="L80" s="10">
        <f t="shared" si="7"/>
        <v>0.17004958803211007</v>
      </c>
      <c r="M80" s="10">
        <f t="shared" si="11"/>
        <v>0.17534167666268488</v>
      </c>
      <c r="P80" s="8">
        <f t="shared" si="12"/>
        <v>4.4488446411457243</v>
      </c>
      <c r="U80" s="8">
        <v>38.5</v>
      </c>
      <c r="V80" s="10">
        <f t="shared" si="6"/>
        <v>0.1609328173820477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1610.0183615819001</v>
      </c>
      <c r="E81">
        <v>358.51483050847997</v>
      </c>
      <c r="F81">
        <v>137.78913963329001</v>
      </c>
      <c r="G81">
        <v>116.69464033851</v>
      </c>
      <c r="I81" s="9">
        <f t="shared" si="8"/>
        <v>241.82019016996998</v>
      </c>
      <c r="J81" s="9">
        <f t="shared" si="9"/>
        <v>1472.2292219486101</v>
      </c>
      <c r="K81" s="9">
        <f t="shared" si="10"/>
        <v>241.82019016996998</v>
      </c>
      <c r="L81" s="10">
        <f t="shared" si="7"/>
        <v>0.1642544425588171</v>
      </c>
      <c r="M81" s="10">
        <f t="shared" si="11"/>
        <v>0.16961437847952751</v>
      </c>
      <c r="P81" s="8">
        <f t="shared" si="12"/>
        <v>1.0371647169430405</v>
      </c>
      <c r="U81" s="8">
        <v>39</v>
      </c>
      <c r="V81" s="10">
        <f t="shared" si="6"/>
        <v>0.15878745842462852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1656.8426252646</v>
      </c>
      <c r="E82">
        <v>359.86803105152001</v>
      </c>
      <c r="F82">
        <v>137.65796897038001</v>
      </c>
      <c r="G82">
        <v>116.77997179126</v>
      </c>
      <c r="H82" s="13"/>
      <c r="I82" s="14">
        <f t="shared" si="8"/>
        <v>243.08805926026002</v>
      </c>
      <c r="J82" s="14">
        <f t="shared" si="9"/>
        <v>1519.1846562942201</v>
      </c>
      <c r="K82" s="9">
        <f t="shared" si="10"/>
        <v>243.08805926026002</v>
      </c>
      <c r="L82" s="15">
        <f t="shared" si="7"/>
        <v>0.16001218696694183</v>
      </c>
      <c r="M82" s="15">
        <f t="shared" si="11"/>
        <v>0.1654399701777878</v>
      </c>
      <c r="N82" s="13"/>
      <c r="O82" s="13"/>
      <c r="P82" s="13">
        <f t="shared" si="12"/>
        <v>-1.4494781193513897</v>
      </c>
      <c r="U82" s="8">
        <v>39.5</v>
      </c>
      <c r="V82" s="10">
        <f t="shared" si="6"/>
        <v>0.17004958803211007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1614.0423429780999</v>
      </c>
      <c r="E83">
        <v>361.52293577981999</v>
      </c>
      <c r="F83">
        <v>137.72496473907</v>
      </c>
      <c r="G83">
        <v>116.79619181946001</v>
      </c>
      <c r="I83" s="9">
        <f t="shared" si="8"/>
        <v>244.72674396035998</v>
      </c>
      <c r="J83" s="9">
        <f t="shared" si="9"/>
        <v>1476.3173782390299</v>
      </c>
      <c r="K83" s="9">
        <f t="shared" si="10"/>
        <v>244.72674396035998</v>
      </c>
      <c r="L83" s="10">
        <f t="shared" si="7"/>
        <v>0.1657683825765657</v>
      </c>
      <c r="M83" s="10">
        <f t="shared" si="11"/>
        <v>0.17126401307754724</v>
      </c>
      <c r="P83" s="8">
        <f t="shared" si="12"/>
        <v>2.019831423014808</v>
      </c>
      <c r="U83" s="8">
        <v>40</v>
      </c>
      <c r="V83" s="10">
        <f t="shared" si="6"/>
        <v>0.1642544425588171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1715.352858151</v>
      </c>
      <c r="E84">
        <v>373.99082568807</v>
      </c>
      <c r="F84">
        <v>137.62976022567</v>
      </c>
      <c r="G84">
        <v>116.5634696756</v>
      </c>
      <c r="I84" s="9">
        <f t="shared" si="8"/>
        <v>257.42735601247</v>
      </c>
      <c r="J84" s="9">
        <f t="shared" si="9"/>
        <v>1577.72309792533</v>
      </c>
      <c r="K84" s="9">
        <f t="shared" si="10"/>
        <v>257.42735601247</v>
      </c>
      <c r="L84" s="10">
        <f t="shared" si="7"/>
        <v>0.16316383803405118</v>
      </c>
      <c r="M84" s="10">
        <f t="shared" si="11"/>
        <v>0.16872731582516831</v>
      </c>
      <c r="P84" s="8">
        <f t="shared" si="12"/>
        <v>0.50875258392592659</v>
      </c>
      <c r="U84" s="8">
        <v>150.5</v>
      </c>
      <c r="V84" s="10">
        <f>L302</f>
        <v>0.15099258701158921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1601.8409570725</v>
      </c>
      <c r="E85">
        <v>361.85573539760998</v>
      </c>
      <c r="F85">
        <v>137.94922425952001</v>
      </c>
      <c r="G85">
        <v>116.75105782793</v>
      </c>
      <c r="I85" s="9">
        <f t="shared" si="8"/>
        <v>245.10467756967998</v>
      </c>
      <c r="J85" s="9">
        <f t="shared" si="9"/>
        <v>1463.8917328129801</v>
      </c>
      <c r="K85" s="9">
        <f t="shared" si="10"/>
        <v>245.10467756967998</v>
      </c>
      <c r="L85" s="10">
        <f t="shared" si="7"/>
        <v>0.16743361006533766</v>
      </c>
      <c r="M85" s="10">
        <f t="shared" si="11"/>
        <v>0.17306493514659035</v>
      </c>
      <c r="P85" s="8">
        <f t="shared" si="12"/>
        <v>3.0926181841575238</v>
      </c>
      <c r="U85" s="8">
        <v>151</v>
      </c>
      <c r="V85" s="10">
        <f t="shared" ref="V85:V103" si="13">L303</f>
        <v>0.15046700922467818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1532.1014084507001</v>
      </c>
      <c r="E86">
        <v>349.41408450704</v>
      </c>
      <c r="F86">
        <v>138.33286318758999</v>
      </c>
      <c r="G86">
        <v>116.85543018336</v>
      </c>
      <c r="I86" s="9">
        <f t="shared" si="8"/>
        <v>232.55865432368</v>
      </c>
      <c r="J86" s="9">
        <f t="shared" si="9"/>
        <v>1393.7685452631101</v>
      </c>
      <c r="K86" s="9">
        <f t="shared" si="10"/>
        <v>232.55865432368</v>
      </c>
      <c r="L86" s="10">
        <f t="shared" si="7"/>
        <v>0.16685600712834175</v>
      </c>
      <c r="M86" s="10">
        <f t="shared" si="11"/>
        <v>0.17255517949973001</v>
      </c>
      <c r="P86" s="8">
        <f t="shared" si="12"/>
        <v>2.7889631183611003</v>
      </c>
      <c r="U86" s="8">
        <v>151.5</v>
      </c>
      <c r="V86" s="10">
        <f t="shared" si="13"/>
        <v>0.16041787335486585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1449.5405214939999</v>
      </c>
      <c r="E87">
        <v>335.90556730091998</v>
      </c>
      <c r="F87">
        <v>137.98166431594001</v>
      </c>
      <c r="G87">
        <v>116.92736248237</v>
      </c>
      <c r="I87" s="9">
        <f t="shared" si="8"/>
        <v>218.97820481854998</v>
      </c>
      <c r="J87" s="9">
        <f t="shared" si="9"/>
        <v>1311.55885717806</v>
      </c>
      <c r="K87" s="9">
        <f t="shared" si="10"/>
        <v>218.97820481854998</v>
      </c>
      <c r="L87" s="10">
        <f t="shared" si="7"/>
        <v>0.16696025772697828</v>
      </c>
      <c r="M87" s="10">
        <f t="shared" si="11"/>
        <v>0.17272727738850213</v>
      </c>
      <c r="P87" s="8">
        <f t="shared" si="12"/>
        <v>2.8914796791101391</v>
      </c>
      <c r="U87" s="8">
        <v>152</v>
      </c>
      <c r="V87" s="10">
        <f t="shared" si="13"/>
        <v>0.15096822446212338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1425.2917547569</v>
      </c>
      <c r="E88">
        <v>334.86892177589999</v>
      </c>
      <c r="F88">
        <v>138.23624823694999</v>
      </c>
      <c r="G88">
        <v>116.55218617772</v>
      </c>
      <c r="I88" s="9">
        <f t="shared" si="8"/>
        <v>218.31673559818</v>
      </c>
      <c r="J88" s="9">
        <f t="shared" si="9"/>
        <v>1287.0555065199501</v>
      </c>
      <c r="K88" s="9">
        <f t="shared" si="10"/>
        <v>218.31673559818</v>
      </c>
      <c r="L88" s="10">
        <f t="shared" si="7"/>
        <v>0.16962495750356821</v>
      </c>
      <c r="M88" s="10">
        <f t="shared" si="11"/>
        <v>0.17545982445522762</v>
      </c>
      <c r="P88" s="8">
        <f t="shared" si="12"/>
        <v>4.5192238040627695</v>
      </c>
      <c r="U88" s="8">
        <v>152.5</v>
      </c>
      <c r="V88" s="10">
        <f t="shared" si="13"/>
        <v>0.14998643225103037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1511.3516560958001</v>
      </c>
      <c r="E89">
        <v>348.61874559549</v>
      </c>
      <c r="F89">
        <v>138.05218617771999</v>
      </c>
      <c r="G89">
        <v>116.64174894217</v>
      </c>
      <c r="I89" s="9">
        <f t="shared" si="8"/>
        <v>231.97699665331999</v>
      </c>
      <c r="J89" s="9">
        <f t="shared" si="9"/>
        <v>1373.2994699180801</v>
      </c>
      <c r="K89" s="9">
        <f t="shared" si="10"/>
        <v>231.97699665331999</v>
      </c>
      <c r="L89" s="10">
        <f t="shared" si="7"/>
        <v>0.16891945401184627</v>
      </c>
      <c r="M89" s="10">
        <f t="shared" si="11"/>
        <v>0.17482216825364127</v>
      </c>
      <c r="P89" s="8">
        <f t="shared" si="12"/>
        <v>4.139379976847164</v>
      </c>
      <c r="U89" s="8">
        <v>153</v>
      </c>
      <c r="V89" s="10">
        <f t="shared" si="13"/>
        <v>0.14842192642965676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1588.5701198027</v>
      </c>
      <c r="E90">
        <v>356.47991543339998</v>
      </c>
      <c r="F90">
        <v>137.93794076163999</v>
      </c>
      <c r="G90">
        <v>116.54019746121</v>
      </c>
      <c r="I90" s="9">
        <f t="shared" si="8"/>
        <v>239.93971797218998</v>
      </c>
      <c r="J90" s="9">
        <f t="shared" si="9"/>
        <v>1450.63217904106</v>
      </c>
      <c r="K90" s="9">
        <f t="shared" si="10"/>
        <v>239.93971797218998</v>
      </c>
      <c r="L90" s="10">
        <f t="shared" si="7"/>
        <v>0.16540355400829593</v>
      </c>
      <c r="M90" s="10">
        <f t="shared" si="11"/>
        <v>0.1713741155402265</v>
      </c>
      <c r="P90" s="8">
        <f t="shared" si="12"/>
        <v>2.085418083516045</v>
      </c>
      <c r="U90" s="8">
        <v>153.5</v>
      </c>
      <c r="V90" s="10">
        <f t="shared" si="13"/>
        <v>0.14787579804559392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1590.8019732206001</v>
      </c>
      <c r="E91">
        <v>352.80056377731</v>
      </c>
      <c r="F91">
        <v>138.51763046543999</v>
      </c>
      <c r="G91">
        <v>117.01269393512</v>
      </c>
      <c r="I91" s="9">
        <f t="shared" si="8"/>
        <v>235.78786984218999</v>
      </c>
      <c r="J91" s="9">
        <f t="shared" si="9"/>
        <v>1452.2843427551602</v>
      </c>
      <c r="K91" s="9">
        <f t="shared" si="10"/>
        <v>235.78786984218999</v>
      </c>
      <c r="L91" s="10">
        <f t="shared" si="7"/>
        <v>0.16235654609817779</v>
      </c>
      <c r="M91" s="10">
        <f t="shared" si="11"/>
        <v>0.16839495492024392</v>
      </c>
      <c r="P91" s="8">
        <f t="shared" si="12"/>
        <v>0.31076934808621887</v>
      </c>
      <c r="U91" s="8">
        <v>154</v>
      </c>
      <c r="V91" s="10">
        <f t="shared" si="13"/>
        <v>0.14609380123284513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1607.3981677238</v>
      </c>
      <c r="E92">
        <v>359.69062720225998</v>
      </c>
      <c r="F92">
        <v>138.35825105782999</v>
      </c>
      <c r="G92">
        <v>116.85754583921</v>
      </c>
      <c r="I92" s="9">
        <f t="shared" si="8"/>
        <v>242.83308136304998</v>
      </c>
      <c r="J92" s="9">
        <f t="shared" si="9"/>
        <v>1469.0399166659699</v>
      </c>
      <c r="K92" s="9">
        <f t="shared" si="10"/>
        <v>242.83308136304998</v>
      </c>
      <c r="L92" s="10">
        <f t="shared" si="7"/>
        <v>0.16530053309522516</v>
      </c>
      <c r="M92" s="10">
        <f t="shared" si="11"/>
        <v>0.17140678920742689</v>
      </c>
      <c r="P92" s="8">
        <f t="shared" si="12"/>
        <v>2.1048813785764389</v>
      </c>
      <c r="U92" s="8">
        <v>154.5</v>
      </c>
      <c r="V92" s="10">
        <f t="shared" si="13"/>
        <v>0.14502637313408215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1597.6455250176</v>
      </c>
      <c r="E93">
        <v>361.40310077519001</v>
      </c>
      <c r="F93">
        <v>138.59661495064</v>
      </c>
      <c r="G93">
        <v>116.75528913962999</v>
      </c>
      <c r="I93" s="9">
        <f t="shared" si="8"/>
        <v>244.64781163556</v>
      </c>
      <c r="J93" s="9">
        <f t="shared" si="9"/>
        <v>1459.0489100669599</v>
      </c>
      <c r="K93" s="9">
        <f t="shared" si="10"/>
        <v>244.64781163556</v>
      </c>
      <c r="L93" s="10">
        <f t="shared" si="7"/>
        <v>0.16767622383839922</v>
      </c>
      <c r="M93" s="10">
        <f t="shared" si="11"/>
        <v>0.17385032724073651</v>
      </c>
      <c r="P93" s="8">
        <f t="shared" si="12"/>
        <v>3.5604664355556697</v>
      </c>
      <c r="U93" s="8">
        <v>155</v>
      </c>
      <c r="V93" s="10">
        <f t="shared" si="13"/>
        <v>0.14340858445158489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1563.9676284307</v>
      </c>
      <c r="E94">
        <v>352.39831104856</v>
      </c>
      <c r="F94">
        <v>138.40267983075</v>
      </c>
      <c r="G94">
        <v>116.90267983075</v>
      </c>
      <c r="I94" s="9">
        <f t="shared" si="8"/>
        <v>235.49563121781</v>
      </c>
      <c r="J94" s="9">
        <f t="shared" si="9"/>
        <v>1425.56494859995</v>
      </c>
      <c r="K94" s="9">
        <f t="shared" si="10"/>
        <v>235.49563121781</v>
      </c>
      <c r="L94" s="10">
        <f t="shared" si="7"/>
        <v>0.16519459983151993</v>
      </c>
      <c r="M94" s="10">
        <f t="shared" si="11"/>
        <v>0.17143655052399279</v>
      </c>
      <c r="P94" s="8">
        <f t="shared" si="12"/>
        <v>2.1226098227744936</v>
      </c>
      <c r="U94" s="8">
        <v>155.5</v>
      </c>
      <c r="V94" s="10">
        <f t="shared" si="13"/>
        <v>0.14413052926068004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1580.6115411681999</v>
      </c>
      <c r="E95">
        <v>351.29627023222997</v>
      </c>
      <c r="F95">
        <v>137.92665726375</v>
      </c>
      <c r="G95">
        <v>116.41114245416</v>
      </c>
      <c r="I95" s="9">
        <f t="shared" si="8"/>
        <v>234.88512777806997</v>
      </c>
      <c r="J95" s="9">
        <f t="shared" si="9"/>
        <v>1442.6848839044499</v>
      </c>
      <c r="K95" s="9">
        <f t="shared" si="10"/>
        <v>234.88512777806997</v>
      </c>
      <c r="L95" s="10">
        <f t="shared" si="7"/>
        <v>0.16281111031147852</v>
      </c>
      <c r="M95" s="10">
        <f t="shared" si="11"/>
        <v>0.16912090829408696</v>
      </c>
      <c r="P95" s="8">
        <f t="shared" si="12"/>
        <v>0.74321069691121278</v>
      </c>
      <c r="U95" s="8">
        <v>156</v>
      </c>
      <c r="V95" s="10">
        <f t="shared" si="13"/>
        <v>0.14534692436091712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1564.5742434905001</v>
      </c>
      <c r="E96">
        <v>353.08726249120002</v>
      </c>
      <c r="F96">
        <v>138.17700987306</v>
      </c>
      <c r="G96">
        <v>116.658674189</v>
      </c>
      <c r="I96" s="9">
        <f t="shared" si="8"/>
        <v>236.42858830220001</v>
      </c>
      <c r="J96" s="9">
        <f t="shared" si="9"/>
        <v>1426.3972336174402</v>
      </c>
      <c r="K96" s="9">
        <f t="shared" si="10"/>
        <v>236.42858830220001</v>
      </c>
      <c r="L96" s="10">
        <f t="shared" si="7"/>
        <v>0.16575227624537736</v>
      </c>
      <c r="M96" s="10">
        <f t="shared" si="11"/>
        <v>0.17212992151812137</v>
      </c>
      <c r="P96" s="8">
        <f t="shared" si="12"/>
        <v>2.5356422553531743</v>
      </c>
      <c r="U96" s="8">
        <v>156.5</v>
      </c>
      <c r="V96" s="10">
        <f t="shared" si="13"/>
        <v>0.1452857184963447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1556.6572438163</v>
      </c>
      <c r="E97">
        <v>360.28339222615</v>
      </c>
      <c r="F97">
        <v>138.19957686883001</v>
      </c>
      <c r="G97">
        <v>116.65514809590999</v>
      </c>
      <c r="I97" s="9">
        <f t="shared" si="8"/>
        <v>243.62824413024001</v>
      </c>
      <c r="J97" s="9">
        <f t="shared" si="9"/>
        <v>1418.45766694747</v>
      </c>
      <c r="K97" s="9">
        <f t="shared" si="10"/>
        <v>243.62824413024001</v>
      </c>
      <c r="L97" s="10">
        <f t="shared" si="7"/>
        <v>0.17175573850894651</v>
      </c>
      <c r="M97" s="10">
        <f t="shared" si="11"/>
        <v>0.17820123107182612</v>
      </c>
      <c r="P97" s="8">
        <f t="shared" si="12"/>
        <v>6.1522454521113854</v>
      </c>
      <c r="U97" s="8">
        <v>157</v>
      </c>
      <c r="V97" s="10">
        <f t="shared" si="13"/>
        <v>0.14369982533597231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1595.1795053004</v>
      </c>
      <c r="E98">
        <v>369.06431095405998</v>
      </c>
      <c r="F98">
        <v>138.26022566995999</v>
      </c>
      <c r="G98">
        <v>116.76234132581</v>
      </c>
      <c r="I98" s="9">
        <f t="shared" si="8"/>
        <v>252.30196962824999</v>
      </c>
      <c r="J98" s="9">
        <f t="shared" si="9"/>
        <v>1456.9192796304401</v>
      </c>
      <c r="K98" s="9">
        <f t="shared" si="10"/>
        <v>252.30196962824999</v>
      </c>
      <c r="L98" s="10">
        <f t="shared" si="7"/>
        <v>0.17317498172736689</v>
      </c>
      <c r="M98" s="10">
        <f t="shared" si="11"/>
        <v>0.17968832158038206</v>
      </c>
      <c r="P98" s="8">
        <f t="shared" si="12"/>
        <v>7.0380866762391197</v>
      </c>
      <c r="U98" s="8">
        <v>157.5</v>
      </c>
      <c r="V98" s="10">
        <f t="shared" si="13"/>
        <v>0.14506904569038895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1554.8016937191001</v>
      </c>
      <c r="E99">
        <v>358.28722653493003</v>
      </c>
      <c r="F99">
        <v>138.48589562765</v>
      </c>
      <c r="G99">
        <v>116.95416078984999</v>
      </c>
      <c r="I99" s="9">
        <f t="shared" si="8"/>
        <v>241.33306574508003</v>
      </c>
      <c r="J99" s="9">
        <f t="shared" si="9"/>
        <v>1416.31579809145</v>
      </c>
      <c r="K99" s="9">
        <f t="shared" si="10"/>
        <v>241.33306574508003</v>
      </c>
      <c r="L99" s="10">
        <f t="shared" si="7"/>
        <v>0.17039495433877622</v>
      </c>
      <c r="M99" s="10">
        <f t="shared" si="11"/>
        <v>0.17697614148192695</v>
      </c>
      <c r="P99" s="8">
        <f t="shared" si="12"/>
        <v>5.4224748996543903</v>
      </c>
      <c r="U99" s="8">
        <v>158</v>
      </c>
      <c r="V99" s="10">
        <f t="shared" si="13"/>
        <v>0.15066975948338551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1557.0508115738</v>
      </c>
      <c r="E100">
        <v>358.58715596330001</v>
      </c>
      <c r="F100">
        <v>138.40761636107001</v>
      </c>
      <c r="G100">
        <v>116.65726375176</v>
      </c>
      <c r="I100" s="9">
        <f t="shared" si="8"/>
        <v>241.92989221153999</v>
      </c>
      <c r="J100" s="9">
        <f t="shared" si="9"/>
        <v>1418.64319521273</v>
      </c>
      <c r="K100" s="9">
        <f t="shared" si="10"/>
        <v>241.92989221153999</v>
      </c>
      <c r="L100" s="10">
        <f t="shared" si="7"/>
        <v>0.17053611015648079</v>
      </c>
      <c r="M100" s="10">
        <f t="shared" si="11"/>
        <v>0.17718514458976711</v>
      </c>
      <c r="P100" s="8">
        <f t="shared" si="12"/>
        <v>5.5469754380079168</v>
      </c>
      <c r="U100" s="8">
        <v>158.5</v>
      </c>
      <c r="V100" s="10">
        <f t="shared" si="13"/>
        <v>0.1456883973205505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1472.3944954128001</v>
      </c>
      <c r="E101">
        <v>346.12138320395002</v>
      </c>
      <c r="F101">
        <v>138.64809590972999</v>
      </c>
      <c r="G101">
        <v>116.84062059238001</v>
      </c>
      <c r="I101" s="9">
        <f t="shared" si="8"/>
        <v>229.28076261157003</v>
      </c>
      <c r="J101" s="9">
        <f t="shared" si="9"/>
        <v>1333.7463995030701</v>
      </c>
      <c r="K101" s="9">
        <f t="shared" si="10"/>
        <v>229.28076261157003</v>
      </c>
      <c r="L101" s="10">
        <f t="shared" si="7"/>
        <v>0.17190731513651764</v>
      </c>
      <c r="M101" s="10">
        <f t="shared" si="11"/>
        <v>0.17862419685993952</v>
      </c>
      <c r="P101" s="8">
        <f t="shared" si="12"/>
        <v>6.4042008841115328</v>
      </c>
      <c r="U101" s="8">
        <v>159</v>
      </c>
      <c r="V101" s="10">
        <f t="shared" si="13"/>
        <v>0.14342090079575021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1471.8834269663</v>
      </c>
      <c r="E102">
        <v>348.44592696629002</v>
      </c>
      <c r="F102">
        <v>138.69675599435999</v>
      </c>
      <c r="G102">
        <v>116.91678420309999</v>
      </c>
      <c r="I102" s="9">
        <f t="shared" si="8"/>
        <v>231.52914276319001</v>
      </c>
      <c r="J102" s="9">
        <f t="shared" si="9"/>
        <v>1333.18667097194</v>
      </c>
      <c r="K102" s="9">
        <f t="shared" si="10"/>
        <v>231.52914276319001</v>
      </c>
      <c r="L102" s="10">
        <f t="shared" si="7"/>
        <v>0.17366595976720733</v>
      </c>
      <c r="M102" s="10">
        <f t="shared" si="11"/>
        <v>0.18045068878076478</v>
      </c>
      <c r="P102" s="8">
        <f t="shared" si="12"/>
        <v>7.4922192862829151</v>
      </c>
      <c r="U102" s="8">
        <v>159.5</v>
      </c>
      <c r="V102" s="10">
        <f t="shared" si="13"/>
        <v>0.1429219688558731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1459.1755617977999</v>
      </c>
      <c r="E103">
        <v>347.17134831460999</v>
      </c>
      <c r="F103">
        <v>138.55359661495001</v>
      </c>
      <c r="G103">
        <v>116.66361071932</v>
      </c>
      <c r="I103" s="9">
        <f t="shared" si="8"/>
        <v>230.50773759529</v>
      </c>
      <c r="J103" s="9">
        <f t="shared" si="9"/>
        <v>1320.6219651828499</v>
      </c>
      <c r="K103" s="9">
        <f t="shared" si="10"/>
        <v>230.50773759529</v>
      </c>
      <c r="L103" s="10">
        <f t="shared" si="7"/>
        <v>0.17454483089971512</v>
      </c>
      <c r="M103" s="10">
        <f t="shared" si="11"/>
        <v>0.18139740720340816</v>
      </c>
      <c r="P103" s="8">
        <f t="shared" si="12"/>
        <v>8.0561676146419341</v>
      </c>
      <c r="U103" s="8">
        <v>160</v>
      </c>
      <c r="V103" s="10">
        <f t="shared" si="13"/>
        <v>0.13994426624743661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1635.2176056338001</v>
      </c>
      <c r="E104">
        <v>378.34929577464999</v>
      </c>
      <c r="F104">
        <v>139.16431593793999</v>
      </c>
      <c r="G104">
        <v>117.0437235543</v>
      </c>
      <c r="I104" s="9">
        <f t="shared" si="8"/>
        <v>261.30557222034997</v>
      </c>
      <c r="J104" s="9">
        <f t="shared" si="9"/>
        <v>1496.05328969586</v>
      </c>
      <c r="K104" s="9">
        <f t="shared" si="10"/>
        <v>261.30557222034997</v>
      </c>
      <c r="L104" s="10">
        <f t="shared" si="7"/>
        <v>0.17466327838727727</v>
      </c>
      <c r="M104" s="10">
        <f t="shared" si="11"/>
        <v>0.18158370198110588</v>
      </c>
      <c r="P104" s="8">
        <f t="shared" si="12"/>
        <v>8.1671410846324051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1572.7929577465</v>
      </c>
      <c r="E105">
        <v>368.69154929578002</v>
      </c>
      <c r="F105">
        <v>138.2898448519</v>
      </c>
      <c r="G105">
        <v>116.82651622003</v>
      </c>
      <c r="I105" s="9">
        <f t="shared" si="8"/>
        <v>251.86503307575003</v>
      </c>
      <c r="J105" s="9">
        <f t="shared" si="9"/>
        <v>1434.5031128946</v>
      </c>
      <c r="K105" s="9">
        <f t="shared" si="10"/>
        <v>251.86503307575003</v>
      </c>
      <c r="L105" s="10">
        <f t="shared" si="7"/>
        <v>0.17557649810011655</v>
      </c>
      <c r="M105" s="10">
        <f t="shared" si="11"/>
        <v>0.18256476898408075</v>
      </c>
      <c r="P105" s="8">
        <f t="shared" si="12"/>
        <v>8.751550432864013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1600.7330985916001</v>
      </c>
      <c r="E106">
        <v>377.60281690140999</v>
      </c>
      <c r="F106">
        <v>138.44640338504999</v>
      </c>
      <c r="G106">
        <v>117.0119887165</v>
      </c>
      <c r="I106" s="9">
        <f t="shared" si="8"/>
        <v>260.59082818490998</v>
      </c>
      <c r="J106" s="9">
        <f t="shared" si="9"/>
        <v>1462.2866952065501</v>
      </c>
      <c r="K106" s="9">
        <f t="shared" si="10"/>
        <v>260.59082818490998</v>
      </c>
      <c r="L106" s="10">
        <f t="shared" si="7"/>
        <v>0.17820775436112488</v>
      </c>
      <c r="M106" s="10">
        <f t="shared" si="11"/>
        <v>0.18526387253522464</v>
      </c>
      <c r="P106" s="8">
        <f t="shared" si="12"/>
        <v>10.359372673700317</v>
      </c>
      <c r="X106" s="8">
        <v>-13</v>
      </c>
    </row>
    <row r="107" spans="1:25" x14ac:dyDescent="0.2">
      <c r="A107" s="8">
        <v>52.5</v>
      </c>
      <c r="B107" s="8">
        <v>105</v>
      </c>
      <c r="D107">
        <v>1619.1718309859</v>
      </c>
      <c r="E107">
        <v>382.59154929578</v>
      </c>
      <c r="F107">
        <v>138.52045133991999</v>
      </c>
      <c r="G107">
        <v>116.98448519041</v>
      </c>
      <c r="I107" s="9">
        <f t="shared" si="8"/>
        <v>265.60706410537</v>
      </c>
      <c r="J107" s="9">
        <f t="shared" si="9"/>
        <v>1480.6513796459799</v>
      </c>
      <c r="K107" s="9">
        <f t="shared" si="10"/>
        <v>265.60706410537</v>
      </c>
      <c r="L107" s="10">
        <f t="shared" si="7"/>
        <v>0.17938528120567854</v>
      </c>
      <c r="M107" s="10">
        <f t="shared" si="11"/>
        <v>0.18650924666991386</v>
      </c>
      <c r="P107" s="8">
        <f t="shared" si="12"/>
        <v>11.101226475888458</v>
      </c>
      <c r="X107" s="8">
        <v>-13</v>
      </c>
    </row>
    <row r="108" spans="1:25" x14ac:dyDescent="0.2">
      <c r="A108" s="8">
        <v>53</v>
      </c>
      <c r="B108" s="8">
        <v>106</v>
      </c>
      <c r="D108">
        <v>1638.1845070423001</v>
      </c>
      <c r="E108">
        <v>398.64225352112999</v>
      </c>
      <c r="F108">
        <v>138.80183356840999</v>
      </c>
      <c r="G108">
        <v>116.87447108604</v>
      </c>
      <c r="I108" s="9">
        <f t="shared" si="8"/>
        <v>281.76778243509</v>
      </c>
      <c r="J108" s="9">
        <f t="shared" si="9"/>
        <v>1499.38267347389</v>
      </c>
      <c r="K108" s="9">
        <f t="shared" si="10"/>
        <v>281.76778243509</v>
      </c>
      <c r="L108" s="10">
        <f t="shared" si="7"/>
        <v>0.18792252799765105</v>
      </c>
      <c r="M108" s="10">
        <f t="shared" si="11"/>
        <v>0.19511434075202197</v>
      </c>
      <c r="P108" s="8">
        <f t="shared" si="12"/>
        <v>16.227173438478598</v>
      </c>
      <c r="X108" s="8">
        <v>-13</v>
      </c>
    </row>
    <row r="109" spans="1:25" x14ac:dyDescent="0.2">
      <c r="A109" s="8">
        <v>53.5</v>
      </c>
      <c r="B109" s="8">
        <v>107</v>
      </c>
      <c r="D109">
        <v>1682.7290049400001</v>
      </c>
      <c r="E109">
        <v>403.78405081157001</v>
      </c>
      <c r="F109">
        <v>138.61988716502</v>
      </c>
      <c r="G109">
        <v>116.90973201692999</v>
      </c>
      <c r="I109" s="9">
        <f t="shared" si="8"/>
        <v>286.87431879464003</v>
      </c>
      <c r="J109" s="9">
        <f t="shared" si="9"/>
        <v>1544.1091177749802</v>
      </c>
      <c r="K109" s="9">
        <f t="shared" si="10"/>
        <v>286.87431879464003</v>
      </c>
      <c r="L109" s="10">
        <f t="shared" si="7"/>
        <v>0.18578629935688629</v>
      </c>
      <c r="M109" s="10">
        <f t="shared" si="11"/>
        <v>0.19304595940139277</v>
      </c>
      <c r="P109" s="8">
        <f t="shared" si="12"/>
        <v>14.995064527109388</v>
      </c>
      <c r="X109" s="8">
        <v>-13</v>
      </c>
    </row>
    <row r="110" spans="1:25" x14ac:dyDescent="0.2">
      <c r="A110" s="8">
        <v>54</v>
      </c>
      <c r="B110" s="8">
        <v>108</v>
      </c>
      <c r="D110">
        <v>1572.2724064926001</v>
      </c>
      <c r="E110">
        <v>378.73182780522001</v>
      </c>
      <c r="F110">
        <v>138.69111424542001</v>
      </c>
      <c r="G110">
        <v>116.841325811</v>
      </c>
      <c r="I110" s="9">
        <f t="shared" si="8"/>
        <v>261.89050199422002</v>
      </c>
      <c r="J110" s="9">
        <f t="shared" si="9"/>
        <v>1433.58129224718</v>
      </c>
      <c r="K110" s="9">
        <f t="shared" si="10"/>
        <v>261.89050199422002</v>
      </c>
      <c r="L110" s="10">
        <f t="shared" si="7"/>
        <v>0.1826827005978148</v>
      </c>
      <c r="M110" s="10">
        <f t="shared" si="11"/>
        <v>0.19001020793245685</v>
      </c>
      <c r="P110" s="8">
        <f t="shared" si="12"/>
        <v>13.186705330464971</v>
      </c>
      <c r="X110" s="8">
        <v>-13</v>
      </c>
    </row>
    <row r="111" spans="1:25" x14ac:dyDescent="0.2">
      <c r="A111" s="8">
        <v>54.5</v>
      </c>
      <c r="B111" s="8">
        <v>109</v>
      </c>
      <c r="D111">
        <v>1506.9654199012</v>
      </c>
      <c r="E111">
        <v>369.20818630909997</v>
      </c>
      <c r="F111">
        <v>138.75176304653999</v>
      </c>
      <c r="G111">
        <v>117.15303244006</v>
      </c>
      <c r="I111" s="9">
        <f t="shared" si="8"/>
        <v>252.05515386903997</v>
      </c>
      <c r="J111" s="9">
        <f t="shared" si="9"/>
        <v>1368.21365685466</v>
      </c>
      <c r="K111" s="9">
        <f t="shared" si="10"/>
        <v>252.05515386903997</v>
      </c>
      <c r="L111" s="10">
        <f t="shared" si="7"/>
        <v>0.1842220713163184</v>
      </c>
      <c r="M111" s="10">
        <f t="shared" si="11"/>
        <v>0.19161742594109604</v>
      </c>
      <c r="P111" s="8">
        <f t="shared" si="12"/>
        <v>14.144105004541045</v>
      </c>
      <c r="X111" s="8">
        <v>-13</v>
      </c>
    </row>
    <row r="112" spans="1:25" x14ac:dyDescent="0.2">
      <c r="A112" s="8">
        <v>55</v>
      </c>
      <c r="B112" s="8">
        <v>110</v>
      </c>
      <c r="D112">
        <v>1510.0997171146</v>
      </c>
      <c r="E112">
        <v>373.65063649221997</v>
      </c>
      <c r="F112">
        <v>138.29971791254999</v>
      </c>
      <c r="G112">
        <v>116.83497884344</v>
      </c>
      <c r="I112" s="9">
        <f t="shared" si="8"/>
        <v>256.81565764877996</v>
      </c>
      <c r="J112" s="9">
        <f t="shared" si="9"/>
        <v>1371.79999920205</v>
      </c>
      <c r="K112" s="9">
        <f t="shared" si="10"/>
        <v>256.81565764877996</v>
      </c>
      <c r="L112" s="10">
        <f t="shared" si="7"/>
        <v>0.18721071424272107</v>
      </c>
      <c r="M112" s="10">
        <f t="shared" si="11"/>
        <v>0.19467391615763427</v>
      </c>
      <c r="P112" s="8">
        <f t="shared" si="12"/>
        <v>15.964818013853355</v>
      </c>
      <c r="X112" s="8">
        <v>-13</v>
      </c>
    </row>
    <row r="113" spans="1:24" x14ac:dyDescent="0.2">
      <c r="A113" s="8">
        <v>55.5</v>
      </c>
      <c r="B113" s="8">
        <v>111</v>
      </c>
      <c r="D113">
        <v>1511.8012729843999</v>
      </c>
      <c r="E113">
        <v>374.47524752474999</v>
      </c>
      <c r="F113">
        <v>138.7581100141</v>
      </c>
      <c r="G113">
        <v>116.70310296192</v>
      </c>
      <c r="I113" s="9">
        <f t="shared" si="8"/>
        <v>257.77214456283002</v>
      </c>
      <c r="J113" s="9">
        <f t="shared" si="9"/>
        <v>1373.0431629702998</v>
      </c>
      <c r="K113" s="9">
        <f t="shared" si="10"/>
        <v>257.77214456283002</v>
      </c>
      <c r="L113" s="10">
        <f t="shared" si="7"/>
        <v>0.18773783047372844</v>
      </c>
      <c r="M113" s="10">
        <f t="shared" si="11"/>
        <v>0.19526887967877724</v>
      </c>
      <c r="P113" s="8">
        <f t="shared" si="12"/>
        <v>16.319230345078857</v>
      </c>
      <c r="X113" s="8">
        <v>-13</v>
      </c>
    </row>
    <row r="114" spans="1:24" x14ac:dyDescent="0.2">
      <c r="A114" s="8">
        <v>56</v>
      </c>
      <c r="B114" s="8">
        <v>112</v>
      </c>
      <c r="D114">
        <v>1440.4879773692001</v>
      </c>
      <c r="E114">
        <v>363.80693069307</v>
      </c>
      <c r="F114">
        <v>138.58392101551999</v>
      </c>
      <c r="G114">
        <v>117.06629055006999</v>
      </c>
      <c r="I114" s="9">
        <f t="shared" si="8"/>
        <v>246.74064014300001</v>
      </c>
      <c r="J114" s="9">
        <f t="shared" si="9"/>
        <v>1301.9040563536801</v>
      </c>
      <c r="K114" s="9">
        <f t="shared" si="10"/>
        <v>246.74064014300001</v>
      </c>
      <c r="L114" s="10">
        <f t="shared" si="7"/>
        <v>0.18952290603814628</v>
      </c>
      <c r="M114" s="10">
        <f t="shared" si="11"/>
        <v>0.19712180253333064</v>
      </c>
      <c r="P114" s="8">
        <f t="shared" si="12"/>
        <v>17.42299332402877</v>
      </c>
      <c r="X114" s="8">
        <v>-13</v>
      </c>
    </row>
    <row r="115" spans="1:24" x14ac:dyDescent="0.2">
      <c r="A115" s="8">
        <v>56.5</v>
      </c>
      <c r="B115" s="8">
        <v>113</v>
      </c>
      <c r="D115">
        <v>1467.1407355020999</v>
      </c>
      <c r="E115">
        <v>375.56718528995998</v>
      </c>
      <c r="F115">
        <v>138.75528913963001</v>
      </c>
      <c r="G115">
        <v>117.11777150917</v>
      </c>
      <c r="I115" s="9">
        <f t="shared" si="8"/>
        <v>258.44941378079</v>
      </c>
      <c r="J115" s="9">
        <f t="shared" si="9"/>
        <v>1328.3854463624698</v>
      </c>
      <c r="K115" s="9">
        <f t="shared" si="10"/>
        <v>258.44941378079</v>
      </c>
      <c r="L115" s="10">
        <f t="shared" si="7"/>
        <v>0.19455905248623764</v>
      </c>
      <c r="M115" s="10">
        <f t="shared" si="11"/>
        <v>0.20222579627155757</v>
      </c>
      <c r="P115" s="8">
        <f t="shared" si="12"/>
        <v>20.463378583028046</v>
      </c>
      <c r="X115" s="8">
        <v>-13</v>
      </c>
    </row>
    <row r="116" spans="1:24" x14ac:dyDescent="0.2">
      <c r="A116" s="8">
        <v>57</v>
      </c>
      <c r="B116" s="8">
        <v>114</v>
      </c>
      <c r="D116">
        <v>1489.4710042433001</v>
      </c>
      <c r="E116">
        <v>385.19094766619997</v>
      </c>
      <c r="F116">
        <v>138.55218617771999</v>
      </c>
      <c r="G116">
        <v>117.34908321579999</v>
      </c>
      <c r="I116" s="9">
        <f t="shared" si="8"/>
        <v>267.84186445039995</v>
      </c>
      <c r="J116" s="9">
        <f t="shared" si="9"/>
        <v>1350.9188180655801</v>
      </c>
      <c r="K116" s="9">
        <f t="shared" si="10"/>
        <v>267.84186445039995</v>
      </c>
      <c r="L116" s="10">
        <f t="shared" si="7"/>
        <v>0.19826643975093225</v>
      </c>
      <c r="M116" s="10">
        <f t="shared" si="11"/>
        <v>0.20600103082638777</v>
      </c>
      <c r="P116" s="8">
        <f t="shared" si="12"/>
        <v>22.712238608815976</v>
      </c>
      <c r="X116" s="8">
        <v>-13</v>
      </c>
    </row>
    <row r="117" spans="1:24" x14ac:dyDescent="0.2">
      <c r="A117" s="8">
        <v>57.5</v>
      </c>
      <c r="B117" s="8">
        <v>115</v>
      </c>
      <c r="D117">
        <v>1439.2489391796</v>
      </c>
      <c r="E117">
        <v>379.54667609618002</v>
      </c>
      <c r="F117">
        <v>138.63610719323</v>
      </c>
      <c r="G117">
        <v>116.60648801128001</v>
      </c>
      <c r="I117" s="9">
        <f t="shared" si="8"/>
        <v>262.9401880849</v>
      </c>
      <c r="J117" s="9">
        <f t="shared" si="9"/>
        <v>1300.6128319863701</v>
      </c>
      <c r="K117" s="9">
        <f t="shared" si="10"/>
        <v>262.9401880849</v>
      </c>
      <c r="L117" s="10">
        <f t="shared" si="7"/>
        <v>0.20216638004664519</v>
      </c>
      <c r="M117" s="10">
        <f t="shared" si="11"/>
        <v>0.20996881841223627</v>
      </c>
      <c r="P117" s="8">
        <f t="shared" si="12"/>
        <v>25.075800067855873</v>
      </c>
      <c r="X117" s="8">
        <v>-13</v>
      </c>
    </row>
    <row r="118" spans="1:24" x14ac:dyDescent="0.2">
      <c r="A118" s="8">
        <v>58</v>
      </c>
      <c r="B118" s="8">
        <v>116</v>
      </c>
      <c r="D118">
        <v>1509.0908445706</v>
      </c>
      <c r="E118">
        <v>381.80908445706001</v>
      </c>
      <c r="F118">
        <v>138.48166431594001</v>
      </c>
      <c r="G118">
        <v>117.16784203103001</v>
      </c>
      <c r="I118" s="9">
        <f t="shared" si="8"/>
        <v>264.64124242602998</v>
      </c>
      <c r="J118" s="9">
        <f t="shared" si="9"/>
        <v>1370.60918025466</v>
      </c>
      <c r="K118" s="9">
        <f t="shared" si="10"/>
        <v>264.64124242602998</v>
      </c>
      <c r="L118" s="10">
        <f t="shared" si="7"/>
        <v>0.19308293439042884</v>
      </c>
      <c r="M118" s="10">
        <f t="shared" si="11"/>
        <v>0.20095322004615548</v>
      </c>
      <c r="P118" s="8">
        <f t="shared" si="12"/>
        <v>19.705320835486699</v>
      </c>
      <c r="X118" s="8">
        <v>-13</v>
      </c>
    </row>
    <row r="119" spans="1:24" x14ac:dyDescent="0.2">
      <c r="A119" s="8">
        <v>58.5</v>
      </c>
      <c r="B119" s="8">
        <v>117</v>
      </c>
      <c r="D119">
        <v>1509.0396600567001</v>
      </c>
      <c r="E119">
        <v>379.28753541076998</v>
      </c>
      <c r="F119">
        <v>138.97249647391001</v>
      </c>
      <c r="G119">
        <v>116.93159379408</v>
      </c>
      <c r="I119" s="9">
        <f t="shared" si="8"/>
        <v>262.35594161668996</v>
      </c>
      <c r="J119" s="9">
        <f t="shared" si="9"/>
        <v>1370.06716358279</v>
      </c>
      <c r="K119" s="9">
        <f t="shared" si="10"/>
        <v>262.35594161668996</v>
      </c>
      <c r="L119" s="10">
        <f t="shared" si="7"/>
        <v>0.19149129954375144</v>
      </c>
      <c r="M119" s="10">
        <f t="shared" si="11"/>
        <v>0.19942943248961367</v>
      </c>
      <c r="P119" s="8">
        <f t="shared" si="12"/>
        <v>18.797619638665548</v>
      </c>
      <c r="X119" s="8">
        <v>-13</v>
      </c>
    </row>
    <row r="120" spans="1:24" x14ac:dyDescent="0.2">
      <c r="A120" s="8">
        <v>59</v>
      </c>
      <c r="B120" s="8">
        <v>118</v>
      </c>
      <c r="D120">
        <v>1517.7216713881</v>
      </c>
      <c r="E120">
        <v>384.26416430594998</v>
      </c>
      <c r="F120">
        <v>138.44781382228999</v>
      </c>
      <c r="G120">
        <v>117.06840620592</v>
      </c>
      <c r="I120" s="9">
        <f t="shared" si="8"/>
        <v>267.19575810002999</v>
      </c>
      <c r="J120" s="9">
        <f t="shared" si="9"/>
        <v>1379.27385756581</v>
      </c>
      <c r="K120" s="9">
        <f t="shared" si="10"/>
        <v>267.19575810002999</v>
      </c>
      <c r="L120" s="10">
        <f t="shared" si="7"/>
        <v>0.19372204920318453</v>
      </c>
      <c r="M120" s="10">
        <f t="shared" si="11"/>
        <v>0.20172802943918233</v>
      </c>
      <c r="P120" s="8">
        <f t="shared" si="12"/>
        <v>20.166865104134523</v>
      </c>
      <c r="X120" s="8">
        <v>-13</v>
      </c>
    </row>
    <row r="121" spans="1:24" x14ac:dyDescent="0.2">
      <c r="A121" s="8">
        <v>59.5</v>
      </c>
      <c r="B121" s="8">
        <v>119</v>
      </c>
      <c r="D121">
        <v>1528.0198722498001</v>
      </c>
      <c r="E121">
        <v>389.09581263307001</v>
      </c>
      <c r="F121">
        <v>139.26022566995999</v>
      </c>
      <c r="G121">
        <v>117.24471086037001</v>
      </c>
      <c r="I121" s="9">
        <f t="shared" si="8"/>
        <v>271.85110177270002</v>
      </c>
      <c r="J121" s="9">
        <f t="shared" si="9"/>
        <v>1388.7596465798401</v>
      </c>
      <c r="K121" s="9">
        <f t="shared" si="10"/>
        <v>271.85110177270002</v>
      </c>
      <c r="L121" s="10">
        <f t="shared" si="7"/>
        <v>0.19575100878125296</v>
      </c>
      <c r="M121" s="10">
        <f t="shared" si="11"/>
        <v>0.20382483630738635</v>
      </c>
      <c r="P121" s="8">
        <f t="shared" si="12"/>
        <v>21.415906740943147</v>
      </c>
      <c r="X121" s="8">
        <v>-13</v>
      </c>
    </row>
    <row r="122" spans="1:24" x14ac:dyDescent="0.2">
      <c r="A122" s="8">
        <v>60</v>
      </c>
      <c r="B122" s="8">
        <v>120</v>
      </c>
      <c r="D122">
        <v>1520.3644067796999</v>
      </c>
      <c r="E122">
        <v>384.75070621469001</v>
      </c>
      <c r="F122">
        <v>139.11142454161001</v>
      </c>
      <c r="G122">
        <v>117.0317348378</v>
      </c>
      <c r="I122" s="9">
        <f t="shared" si="8"/>
        <v>267.71897137689001</v>
      </c>
      <c r="J122" s="9">
        <f t="shared" si="9"/>
        <v>1381.25298223809</v>
      </c>
      <c r="K122" s="9">
        <f t="shared" si="10"/>
        <v>267.71897137689001</v>
      </c>
      <c r="L122" s="10">
        <f t="shared" si="7"/>
        <v>0.1938232712034374</v>
      </c>
      <c r="M122" s="10">
        <f t="shared" si="11"/>
        <v>0.20196494601970635</v>
      </c>
      <c r="P122" s="8">
        <f t="shared" si="12"/>
        <v>20.307993349187576</v>
      </c>
      <c r="X122" s="8">
        <v>-13</v>
      </c>
    </row>
    <row r="123" spans="1:24" x14ac:dyDescent="0.2">
      <c r="A123" s="8">
        <v>60.5</v>
      </c>
      <c r="B123" s="8">
        <v>121</v>
      </c>
      <c r="D123">
        <v>1512.9498587570999</v>
      </c>
      <c r="E123">
        <v>388.74081920904001</v>
      </c>
      <c r="F123">
        <v>139.17630465444</v>
      </c>
      <c r="G123">
        <v>117.31593794075999</v>
      </c>
      <c r="I123" s="9">
        <f t="shared" si="8"/>
        <v>271.42488126828005</v>
      </c>
      <c r="J123" s="9">
        <f t="shared" si="9"/>
        <v>1373.77355410266</v>
      </c>
      <c r="K123" s="9">
        <f t="shared" si="10"/>
        <v>271.42488126828005</v>
      </c>
      <c r="L123" s="10">
        <f t="shared" si="7"/>
        <v>0.19757614379581867</v>
      </c>
      <c r="M123" s="10">
        <f t="shared" si="11"/>
        <v>0.20578566590222319</v>
      </c>
      <c r="P123" s="8">
        <f t="shared" si="12"/>
        <v>22.583948416014344</v>
      </c>
      <c r="X123" s="8">
        <v>-13</v>
      </c>
    </row>
    <row r="124" spans="1:24" x14ac:dyDescent="0.2">
      <c r="A124" s="8">
        <v>61</v>
      </c>
      <c r="B124" s="8">
        <v>122</v>
      </c>
      <c r="D124">
        <v>1413.4124293785001</v>
      </c>
      <c r="E124">
        <v>360.99717514124001</v>
      </c>
      <c r="F124">
        <v>138.52327221439</v>
      </c>
      <c r="G124">
        <v>117.08039492243</v>
      </c>
      <c r="I124" s="9">
        <f t="shared" si="8"/>
        <v>243.91678021881</v>
      </c>
      <c r="J124" s="9">
        <f t="shared" si="9"/>
        <v>1274.88915716411</v>
      </c>
      <c r="K124" s="9">
        <f t="shared" si="10"/>
        <v>243.91678021881</v>
      </c>
      <c r="L124" s="10">
        <f t="shared" si="7"/>
        <v>0.1913239114539052</v>
      </c>
      <c r="M124" s="10">
        <f t="shared" si="11"/>
        <v>0.19960128085044532</v>
      </c>
      <c r="P124" s="8">
        <f t="shared" si="12"/>
        <v>18.899987558740079</v>
      </c>
      <c r="X124" s="8">
        <v>-13</v>
      </c>
    </row>
    <row r="125" spans="1:24" x14ac:dyDescent="0.2">
      <c r="A125" s="8">
        <v>61.5</v>
      </c>
      <c r="B125" s="8">
        <v>123</v>
      </c>
      <c r="D125">
        <v>1557.3961864406999</v>
      </c>
      <c r="E125">
        <v>384.73516949152997</v>
      </c>
      <c r="F125">
        <v>139.31452750353</v>
      </c>
      <c r="G125">
        <v>117.11706629055</v>
      </c>
      <c r="I125" s="9">
        <f t="shared" si="8"/>
        <v>267.61810320097999</v>
      </c>
      <c r="J125" s="9">
        <f t="shared" si="9"/>
        <v>1418.08165893717</v>
      </c>
      <c r="K125" s="9">
        <f t="shared" si="10"/>
        <v>267.61810320097999</v>
      </c>
      <c r="L125" s="10">
        <f t="shared" si="7"/>
        <v>0.18871840102745252</v>
      </c>
      <c r="M125" s="10">
        <f t="shared" si="11"/>
        <v>0.1970636177141282</v>
      </c>
      <c r="P125" s="8">
        <f t="shared" si="12"/>
        <v>17.388333354664837</v>
      </c>
      <c r="X125" s="8">
        <v>-13</v>
      </c>
    </row>
    <row r="126" spans="1:24" x14ac:dyDescent="0.2">
      <c r="A126" s="8">
        <v>62</v>
      </c>
      <c r="B126" s="8">
        <v>124</v>
      </c>
      <c r="D126">
        <v>1555.9632768362001</v>
      </c>
      <c r="E126">
        <v>374.01694915254001</v>
      </c>
      <c r="F126">
        <v>139.26798307474999</v>
      </c>
      <c r="G126">
        <v>117.26234132581</v>
      </c>
      <c r="I126" s="9">
        <f t="shared" si="8"/>
        <v>256.75460782673002</v>
      </c>
      <c r="J126" s="9">
        <f t="shared" si="9"/>
        <v>1416.6952937614501</v>
      </c>
      <c r="K126" s="9">
        <f t="shared" si="10"/>
        <v>256.75460782673002</v>
      </c>
      <c r="L126" s="10">
        <f t="shared" si="7"/>
        <v>0.18123488442248159</v>
      </c>
      <c r="M126" s="10">
        <f t="shared" si="11"/>
        <v>0.18964794839929283</v>
      </c>
      <c r="P126" s="8">
        <f t="shared" si="12"/>
        <v>12.970911855579862</v>
      </c>
      <c r="X126" s="8">
        <v>-13</v>
      </c>
    </row>
    <row r="127" spans="1:24" x14ac:dyDescent="0.2">
      <c r="A127" s="8">
        <v>62.5</v>
      </c>
      <c r="B127" s="8">
        <v>125</v>
      </c>
      <c r="D127">
        <v>1530.5861581920999</v>
      </c>
      <c r="E127">
        <v>368.34039548022997</v>
      </c>
      <c r="F127">
        <v>139.20944992948</v>
      </c>
      <c r="G127">
        <v>116.71720733427</v>
      </c>
      <c r="I127" s="9">
        <f t="shared" si="8"/>
        <v>251.62318814595997</v>
      </c>
      <c r="J127" s="9">
        <f t="shared" si="9"/>
        <v>1391.37670826262</v>
      </c>
      <c r="K127" s="9">
        <f t="shared" si="10"/>
        <v>251.62318814595997</v>
      </c>
      <c r="L127" s="10">
        <f t="shared" si="7"/>
        <v>0.18084476091320806</v>
      </c>
      <c r="M127" s="10">
        <f t="shared" si="11"/>
        <v>0.18932567218015489</v>
      </c>
      <c r="P127" s="8">
        <f t="shared" si="12"/>
        <v>12.778935940982949</v>
      </c>
      <c r="X127" s="8">
        <v>-13</v>
      </c>
    </row>
    <row r="128" spans="1:24" x14ac:dyDescent="0.2">
      <c r="A128" s="8">
        <v>63</v>
      </c>
      <c r="B128" s="8">
        <v>126</v>
      </c>
      <c r="D128">
        <v>1670.4679802956</v>
      </c>
      <c r="E128">
        <v>397.50246305419</v>
      </c>
      <c r="F128">
        <v>139.13751763047</v>
      </c>
      <c r="G128">
        <v>117.23906911143</v>
      </c>
      <c r="I128" s="9">
        <f t="shared" si="8"/>
        <v>280.26339394275999</v>
      </c>
      <c r="J128" s="9">
        <f t="shared" si="9"/>
        <v>1531.33046266513</v>
      </c>
      <c r="K128" s="9">
        <f t="shared" si="10"/>
        <v>280.26339394275999</v>
      </c>
      <c r="L128" s="10">
        <f t="shared" si="7"/>
        <v>0.18301953809172525</v>
      </c>
      <c r="M128" s="10">
        <f t="shared" si="11"/>
        <v>0.19156829664880765</v>
      </c>
      <c r="P128" s="8">
        <f t="shared" si="12"/>
        <v>14.114839299346313</v>
      </c>
      <c r="X128" s="8">
        <v>-13</v>
      </c>
    </row>
    <row r="129" spans="1:24" x14ac:dyDescent="0.2">
      <c r="A129" s="8">
        <v>63.5</v>
      </c>
      <c r="B129" s="8">
        <v>127</v>
      </c>
      <c r="D129">
        <v>1596.8641801547999</v>
      </c>
      <c r="E129">
        <v>382.50246305419</v>
      </c>
      <c r="F129">
        <v>138.87165021157</v>
      </c>
      <c r="G129">
        <v>117.27503526093</v>
      </c>
      <c r="I129" s="9">
        <f t="shared" si="8"/>
        <v>265.22742779326001</v>
      </c>
      <c r="J129" s="9">
        <f t="shared" si="9"/>
        <v>1457.9925299432298</v>
      </c>
      <c r="K129" s="9">
        <f t="shared" si="10"/>
        <v>265.22742779326001</v>
      </c>
      <c r="L129" s="10">
        <f t="shared" si="7"/>
        <v>0.18191274807394742</v>
      </c>
      <c r="M129" s="10">
        <f t="shared" si="11"/>
        <v>0.19052935392116541</v>
      </c>
      <c r="P129" s="8">
        <f t="shared" si="12"/>
        <v>13.495954105500974</v>
      </c>
      <c r="X129" s="8">
        <v>-13</v>
      </c>
    </row>
    <row r="130" spans="1:24" x14ac:dyDescent="0.2">
      <c r="A130" s="8">
        <v>64</v>
      </c>
      <c r="B130" s="8">
        <v>128</v>
      </c>
      <c r="D130">
        <v>1498.3356790992</v>
      </c>
      <c r="E130">
        <v>366.51301900070001</v>
      </c>
      <c r="F130">
        <v>139.17630465444</v>
      </c>
      <c r="G130">
        <v>117.14739069111</v>
      </c>
      <c r="I130" s="9">
        <f t="shared" si="8"/>
        <v>249.36562830959002</v>
      </c>
      <c r="J130" s="9">
        <f t="shared" si="9"/>
        <v>1359.15937444476</v>
      </c>
      <c r="K130" s="9">
        <f t="shared" si="10"/>
        <v>249.36562830959002</v>
      </c>
      <c r="L130" s="10">
        <f t="shared" ref="L130:L193" si="14">K130/J130</f>
        <v>0.18347048403463367</v>
      </c>
      <c r="M130" s="10">
        <f t="shared" si="11"/>
        <v>0.19215493717198723</v>
      </c>
      <c r="P130" s="8">
        <f t="shared" si="12"/>
        <v>14.464293724740346</v>
      </c>
      <c r="X130" s="8">
        <v>-13</v>
      </c>
    </row>
    <row r="131" spans="1:24" x14ac:dyDescent="0.2">
      <c r="A131" s="8">
        <v>64.5</v>
      </c>
      <c r="B131" s="8">
        <v>129</v>
      </c>
      <c r="D131">
        <v>1471.7873239436999</v>
      </c>
      <c r="E131">
        <v>356.89859154930002</v>
      </c>
      <c r="F131">
        <v>139.24118476728</v>
      </c>
      <c r="G131">
        <v>117.16854724965</v>
      </c>
      <c r="I131" s="9">
        <f t="shared" ref="I131:I194" si="15">E131-G131</f>
        <v>239.73004429965002</v>
      </c>
      <c r="J131" s="9">
        <f t="shared" ref="J131:J194" si="16">D131-F131</f>
        <v>1332.54613917642</v>
      </c>
      <c r="K131" s="9">
        <f t="shared" ref="K131:K194" si="17">I131*1</f>
        <v>239.73004429965002</v>
      </c>
      <c r="L131" s="10">
        <f t="shared" si="14"/>
        <v>0.17990374760893094</v>
      </c>
      <c r="M131" s="10">
        <f t="shared" ref="M131:M181" si="18">L131+ABS($N$2)*A131</f>
        <v>0.18865604803642005</v>
      </c>
      <c r="P131" s="8">
        <f t="shared" ref="P131:P194" si="19">(M131-$O$2)/$O$2*100</f>
        <v>12.380049210297292</v>
      </c>
      <c r="X131" s="8">
        <v>-13</v>
      </c>
    </row>
    <row r="132" spans="1:24" x14ac:dyDescent="0.2">
      <c r="A132" s="8">
        <v>65</v>
      </c>
      <c r="B132" s="8">
        <v>130</v>
      </c>
      <c r="D132">
        <v>1479.8485915493</v>
      </c>
      <c r="E132">
        <v>354.22746478873</v>
      </c>
      <c r="F132">
        <v>139.39210155148001</v>
      </c>
      <c r="G132">
        <v>117.28420310296001</v>
      </c>
      <c r="I132" s="9">
        <f t="shared" si="15"/>
        <v>236.94326168576998</v>
      </c>
      <c r="J132" s="9">
        <f t="shared" si="16"/>
        <v>1340.45648999782</v>
      </c>
      <c r="K132" s="9">
        <f t="shared" si="17"/>
        <v>236.94326168576998</v>
      </c>
      <c r="L132" s="10">
        <f t="shared" si="14"/>
        <v>0.17676311275583093</v>
      </c>
      <c r="M132" s="10">
        <f t="shared" si="18"/>
        <v>0.18558326047345564</v>
      </c>
      <c r="P132" s="8">
        <f t="shared" si="19"/>
        <v>10.549628075470665</v>
      </c>
      <c r="X132" s="8">
        <v>-13</v>
      </c>
    </row>
    <row r="133" spans="1:24" x14ac:dyDescent="0.2">
      <c r="A133" s="8">
        <v>65.5</v>
      </c>
      <c r="B133" s="8">
        <v>131</v>
      </c>
      <c r="D133">
        <v>1477.1894366197</v>
      </c>
      <c r="E133">
        <v>357.4161971831</v>
      </c>
      <c r="F133">
        <v>139.59097320168999</v>
      </c>
      <c r="G133">
        <v>117.2418899859</v>
      </c>
      <c r="I133" s="9">
        <f t="shared" si="15"/>
        <v>240.17430719719999</v>
      </c>
      <c r="J133" s="9">
        <f t="shared" si="16"/>
        <v>1337.5984634180099</v>
      </c>
      <c r="K133" s="9">
        <f t="shared" si="17"/>
        <v>240.17430719719999</v>
      </c>
      <c r="L133" s="10">
        <f t="shared" si="14"/>
        <v>0.17955635698285313</v>
      </c>
      <c r="M133" s="10">
        <f t="shared" si="18"/>
        <v>0.18844435199061341</v>
      </c>
      <c r="P133" s="8">
        <f t="shared" si="19"/>
        <v>12.25394452246463</v>
      </c>
      <c r="X133" s="8">
        <v>-13</v>
      </c>
    </row>
    <row r="134" spans="1:24" x14ac:dyDescent="0.2">
      <c r="A134" s="8">
        <v>66</v>
      </c>
      <c r="B134" s="8">
        <v>132</v>
      </c>
      <c r="D134">
        <v>1479.3380281689999</v>
      </c>
      <c r="E134">
        <v>357.16126760562997</v>
      </c>
      <c r="F134">
        <v>139.18476727786</v>
      </c>
      <c r="G134">
        <v>117.20451339915</v>
      </c>
      <c r="I134" s="9">
        <f t="shared" si="15"/>
        <v>239.95675420647996</v>
      </c>
      <c r="J134" s="9">
        <f t="shared" si="16"/>
        <v>1340.15326089114</v>
      </c>
      <c r="K134" s="9">
        <f t="shared" si="17"/>
        <v>239.95675420647996</v>
      </c>
      <c r="L134" s="10">
        <f t="shared" si="14"/>
        <v>0.17905172580553944</v>
      </c>
      <c r="M134" s="10">
        <f t="shared" si="18"/>
        <v>0.18800756810343527</v>
      </c>
      <c r="P134" s="8">
        <f t="shared" si="19"/>
        <v>11.993757821607485</v>
      </c>
      <c r="X134" s="8">
        <v>-13</v>
      </c>
    </row>
    <row r="135" spans="1:24" x14ac:dyDescent="0.2">
      <c r="A135" s="8">
        <v>66.5</v>
      </c>
      <c r="B135" s="8">
        <v>133</v>
      </c>
      <c r="D135">
        <v>1461.5084507042</v>
      </c>
      <c r="E135">
        <v>353.87323943662</v>
      </c>
      <c r="F135">
        <v>139.03455571226999</v>
      </c>
      <c r="G135">
        <v>117.30535966150001</v>
      </c>
      <c r="I135" s="9">
        <f t="shared" si="15"/>
        <v>236.56787977511999</v>
      </c>
      <c r="J135" s="9">
        <f t="shared" si="16"/>
        <v>1322.4738949919299</v>
      </c>
      <c r="K135" s="9">
        <f t="shared" si="17"/>
        <v>236.56787977511999</v>
      </c>
      <c r="L135" s="10">
        <f t="shared" si="14"/>
        <v>0.17888283517049203</v>
      </c>
      <c r="M135" s="10">
        <f t="shared" si="18"/>
        <v>0.18790652475852346</v>
      </c>
      <c r="P135" s="8">
        <f t="shared" si="19"/>
        <v>11.933567564301919</v>
      </c>
      <c r="X135" s="8">
        <v>-13</v>
      </c>
    </row>
    <row r="136" spans="1:24" x14ac:dyDescent="0.2">
      <c r="A136" s="8">
        <v>67</v>
      </c>
      <c r="B136" s="8">
        <v>134</v>
      </c>
      <c r="D136">
        <v>1468.4260563380001</v>
      </c>
      <c r="E136">
        <v>352.87676056338</v>
      </c>
      <c r="F136">
        <v>139.26234132581001</v>
      </c>
      <c r="G136">
        <v>117.00493653031999</v>
      </c>
      <c r="I136" s="9">
        <f t="shared" si="15"/>
        <v>235.87182403306002</v>
      </c>
      <c r="J136" s="9">
        <f t="shared" si="16"/>
        <v>1329.1637150121901</v>
      </c>
      <c r="K136" s="9">
        <f t="shared" si="17"/>
        <v>235.87182403306002</v>
      </c>
      <c r="L136" s="10">
        <f t="shared" si="14"/>
        <v>0.17745881968414762</v>
      </c>
      <c r="M136" s="10">
        <f t="shared" si="18"/>
        <v>0.18655035656231461</v>
      </c>
      <c r="P136" s="8">
        <f t="shared" si="19"/>
        <v>11.125715124829807</v>
      </c>
      <c r="X136" s="8">
        <v>-13</v>
      </c>
    </row>
    <row r="137" spans="1:24" x14ac:dyDescent="0.2">
      <c r="A137" s="8">
        <v>67.5</v>
      </c>
      <c r="B137" s="8">
        <v>135</v>
      </c>
      <c r="D137">
        <v>1412.5514084506999</v>
      </c>
      <c r="E137">
        <v>339.14577464788999</v>
      </c>
      <c r="F137">
        <v>138.77291960508001</v>
      </c>
      <c r="G137">
        <v>117.22637517631</v>
      </c>
      <c r="I137" s="9">
        <f t="shared" si="15"/>
        <v>221.91939947157999</v>
      </c>
      <c r="J137" s="9">
        <f t="shared" si="16"/>
        <v>1273.7784888456199</v>
      </c>
      <c r="K137" s="9">
        <f t="shared" si="17"/>
        <v>221.91939947157999</v>
      </c>
      <c r="L137" s="10">
        <f t="shared" si="14"/>
        <v>0.174221343361433</v>
      </c>
      <c r="M137" s="10">
        <f t="shared" si="18"/>
        <v>0.18338072752973558</v>
      </c>
      <c r="P137" s="8">
        <f t="shared" si="19"/>
        <v>9.2376067372797106</v>
      </c>
      <c r="X137" s="8">
        <v>-13</v>
      </c>
    </row>
    <row r="138" spans="1:24" x14ac:dyDescent="0.2">
      <c r="A138" s="8">
        <v>68</v>
      </c>
      <c r="B138" s="8">
        <v>136</v>
      </c>
      <c r="D138">
        <v>1396.6028169014</v>
      </c>
      <c r="E138">
        <v>339.92253521126997</v>
      </c>
      <c r="F138">
        <v>139.04231311706999</v>
      </c>
      <c r="G138">
        <v>116.91819464034</v>
      </c>
      <c r="I138" s="9">
        <f t="shared" si="15"/>
        <v>223.00434057092997</v>
      </c>
      <c r="J138" s="9">
        <f t="shared" si="16"/>
        <v>1257.56050378433</v>
      </c>
      <c r="K138" s="9">
        <f t="shared" si="17"/>
        <v>223.00434057092997</v>
      </c>
      <c r="L138" s="10">
        <f t="shared" si="14"/>
        <v>0.17733090368205054</v>
      </c>
      <c r="M138" s="10">
        <f t="shared" si="18"/>
        <v>0.18655813514048869</v>
      </c>
      <c r="P138" s="8">
        <f t="shared" si="19"/>
        <v>11.130348726599202</v>
      </c>
      <c r="X138" s="8">
        <v>-13</v>
      </c>
    </row>
    <row r="139" spans="1:24" x14ac:dyDescent="0.2">
      <c r="A139" s="8">
        <v>68.5</v>
      </c>
      <c r="B139" s="8">
        <v>137</v>
      </c>
      <c r="D139">
        <v>1430.6408450704</v>
      </c>
      <c r="E139">
        <v>342.45</v>
      </c>
      <c r="F139">
        <v>139.34908321579999</v>
      </c>
      <c r="G139">
        <v>116.87376586742</v>
      </c>
      <c r="I139" s="9">
        <f t="shared" si="15"/>
        <v>225.57623413258</v>
      </c>
      <c r="J139" s="9">
        <f t="shared" si="16"/>
        <v>1291.2917618546001</v>
      </c>
      <c r="K139" s="9">
        <f t="shared" si="17"/>
        <v>225.57623413258</v>
      </c>
      <c r="L139" s="10">
        <f t="shared" si="14"/>
        <v>0.17469036881997854</v>
      </c>
      <c r="M139" s="10">
        <f t="shared" si="18"/>
        <v>0.18398544756855226</v>
      </c>
      <c r="P139" s="8">
        <f t="shared" si="19"/>
        <v>9.5978309041060577</v>
      </c>
      <c r="X139" s="8">
        <v>-13</v>
      </c>
    </row>
    <row r="140" spans="1:24" x14ac:dyDescent="0.2">
      <c r="A140" s="8">
        <v>69</v>
      </c>
      <c r="B140" s="8">
        <v>138</v>
      </c>
      <c r="D140">
        <v>1429.9978873238999</v>
      </c>
      <c r="E140">
        <v>343.97042253520999</v>
      </c>
      <c r="F140">
        <v>139.31593794075999</v>
      </c>
      <c r="G140">
        <v>117.24259520451</v>
      </c>
      <c r="I140" s="9">
        <f t="shared" si="15"/>
        <v>226.72782733069999</v>
      </c>
      <c r="J140" s="9">
        <f t="shared" si="16"/>
        <v>1290.6819493831399</v>
      </c>
      <c r="K140" s="9">
        <f t="shared" si="17"/>
        <v>226.72782733069999</v>
      </c>
      <c r="L140" s="10">
        <f t="shared" si="14"/>
        <v>0.1756651415471184</v>
      </c>
      <c r="M140" s="10">
        <f t="shared" si="18"/>
        <v>0.18502806758582771</v>
      </c>
      <c r="P140" s="8">
        <f t="shared" si="19"/>
        <v>10.2189066134119</v>
      </c>
      <c r="X140" s="8">
        <v>-13</v>
      </c>
    </row>
    <row r="141" spans="1:24" x14ac:dyDescent="0.2">
      <c r="A141" s="8">
        <v>69.5</v>
      </c>
      <c r="B141" s="8">
        <v>139</v>
      </c>
      <c r="D141">
        <v>1357.6556338027999</v>
      </c>
      <c r="E141">
        <v>337.64014084506999</v>
      </c>
      <c r="F141">
        <v>139.73272214387001</v>
      </c>
      <c r="G141">
        <v>117.08956276446</v>
      </c>
      <c r="I141" s="9">
        <f t="shared" si="15"/>
        <v>220.55057808060999</v>
      </c>
      <c r="J141" s="9">
        <f t="shared" si="16"/>
        <v>1217.9229116589299</v>
      </c>
      <c r="K141" s="9">
        <f t="shared" si="17"/>
        <v>220.55057808060999</v>
      </c>
      <c r="L141" s="10">
        <f t="shared" si="14"/>
        <v>0.18108746946898188</v>
      </c>
      <c r="M141" s="10">
        <f t="shared" si="18"/>
        <v>0.19051824279782675</v>
      </c>
      <c r="P141" s="8">
        <f t="shared" si="19"/>
        <v>13.489335348240997</v>
      </c>
      <c r="X141" s="8">
        <v>-13</v>
      </c>
    </row>
    <row r="142" spans="1:24" x14ac:dyDescent="0.2">
      <c r="A142" s="8">
        <v>70</v>
      </c>
      <c r="B142" s="8">
        <v>140</v>
      </c>
      <c r="D142">
        <v>1419.6786978061</v>
      </c>
      <c r="E142">
        <v>336.28167020524</v>
      </c>
      <c r="F142">
        <v>139.22566995769</v>
      </c>
      <c r="G142">
        <v>117.11495063469999</v>
      </c>
      <c r="I142" s="9">
        <f t="shared" si="15"/>
        <v>219.16671957054001</v>
      </c>
      <c r="J142" s="9">
        <f t="shared" si="16"/>
        <v>1280.4530278484099</v>
      </c>
      <c r="K142" s="9">
        <f t="shared" si="17"/>
        <v>219.16671957054001</v>
      </c>
      <c r="L142" s="10">
        <f t="shared" si="14"/>
        <v>0.17116342013639776</v>
      </c>
      <c r="M142" s="10">
        <f t="shared" si="18"/>
        <v>0.1806620407553782</v>
      </c>
      <c r="P142" s="8">
        <f t="shared" si="19"/>
        <v>7.6181190152073972</v>
      </c>
      <c r="X142" s="8">
        <v>-13</v>
      </c>
    </row>
    <row r="143" spans="1:24" x14ac:dyDescent="0.2">
      <c r="A143" s="8">
        <v>70.5</v>
      </c>
      <c r="B143" s="8">
        <v>141</v>
      </c>
      <c r="D143">
        <v>1489.262561925</v>
      </c>
      <c r="E143">
        <v>342.65251238500002</v>
      </c>
      <c r="F143">
        <v>139.32863187588001</v>
      </c>
      <c r="G143">
        <v>116.97179125529</v>
      </c>
      <c r="I143" s="9">
        <f t="shared" si="15"/>
        <v>225.68072112971004</v>
      </c>
      <c r="J143" s="9">
        <f t="shared" si="16"/>
        <v>1349.9339300491199</v>
      </c>
      <c r="K143" s="9">
        <f t="shared" si="17"/>
        <v>225.68072112971004</v>
      </c>
      <c r="L143" s="10">
        <f t="shared" si="14"/>
        <v>0.16717908640276805</v>
      </c>
      <c r="M143" s="10">
        <f t="shared" si="18"/>
        <v>0.17674555431188407</v>
      </c>
      <c r="P143" s="8">
        <f t="shared" si="19"/>
        <v>5.2851170052937571</v>
      </c>
      <c r="X143" s="8">
        <v>-13</v>
      </c>
    </row>
    <row r="144" spans="1:24" x14ac:dyDescent="0.2">
      <c r="A144" s="8">
        <v>71</v>
      </c>
      <c r="B144" s="8">
        <v>142</v>
      </c>
      <c r="D144">
        <v>1668.3103693181999</v>
      </c>
      <c r="E144">
        <v>367.79545454546002</v>
      </c>
      <c r="F144">
        <v>139.77856135402001</v>
      </c>
      <c r="G144">
        <v>116.78490832158001</v>
      </c>
      <c r="I144" s="9">
        <f t="shared" si="15"/>
        <v>251.01054622388</v>
      </c>
      <c r="J144" s="9">
        <f t="shared" si="16"/>
        <v>1528.53180796418</v>
      </c>
      <c r="K144" s="9">
        <f t="shared" si="17"/>
        <v>251.01054622388</v>
      </c>
      <c r="L144" s="10">
        <f t="shared" si="14"/>
        <v>0.16421676337779045</v>
      </c>
      <c r="M144" s="10">
        <f t="shared" si="18"/>
        <v>0.17385107857704205</v>
      </c>
      <c r="P144" s="8">
        <f t="shared" si="19"/>
        <v>3.5609139971995605</v>
      </c>
    </row>
    <row r="145" spans="1:16" x14ac:dyDescent="0.2">
      <c r="A145" s="8">
        <v>71.5</v>
      </c>
      <c r="B145" s="8">
        <v>143</v>
      </c>
      <c r="D145">
        <v>1556.2080965908999</v>
      </c>
      <c r="E145">
        <v>347.90198863635999</v>
      </c>
      <c r="F145">
        <v>139.66008462623</v>
      </c>
      <c r="G145">
        <v>117.24823695345999</v>
      </c>
      <c r="I145" s="9">
        <f t="shared" si="15"/>
        <v>230.65375168290001</v>
      </c>
      <c r="J145" s="9">
        <f t="shared" si="16"/>
        <v>1416.54801196467</v>
      </c>
      <c r="K145" s="9">
        <f t="shared" si="17"/>
        <v>230.65375168290001</v>
      </c>
      <c r="L145" s="10">
        <f t="shared" si="14"/>
        <v>0.16282805082123311</v>
      </c>
      <c r="M145" s="10">
        <f t="shared" si="18"/>
        <v>0.1725302133106203</v>
      </c>
      <c r="P145" s="8">
        <f t="shared" si="19"/>
        <v>2.7740910716393232</v>
      </c>
    </row>
    <row r="146" spans="1:16" x14ac:dyDescent="0.2">
      <c r="A146" s="8">
        <v>72</v>
      </c>
      <c r="B146" s="8">
        <v>144</v>
      </c>
      <c r="D146">
        <v>1679.5547752809</v>
      </c>
      <c r="E146">
        <v>366.88834269662999</v>
      </c>
      <c r="F146">
        <v>139.29196050776</v>
      </c>
      <c r="G146">
        <v>117.04442877292</v>
      </c>
      <c r="I146" s="9">
        <f t="shared" si="15"/>
        <v>249.84391392370998</v>
      </c>
      <c r="J146" s="9">
        <f t="shared" si="16"/>
        <v>1540.26281477314</v>
      </c>
      <c r="K146" s="9">
        <f t="shared" si="17"/>
        <v>249.84391392370998</v>
      </c>
      <c r="L146" s="10">
        <f t="shared" si="14"/>
        <v>0.16220862539001737</v>
      </c>
      <c r="M146" s="10">
        <f t="shared" si="18"/>
        <v>0.17197863516954012</v>
      </c>
      <c r="P146" s="8">
        <f t="shared" si="19"/>
        <v>2.4455228689069757</v>
      </c>
    </row>
    <row r="147" spans="1:16" x14ac:dyDescent="0.2">
      <c r="A147" s="8">
        <v>72.5</v>
      </c>
      <c r="B147" s="8">
        <v>145</v>
      </c>
      <c r="D147">
        <v>1649.9627808989001</v>
      </c>
      <c r="E147">
        <v>364.15519662921002</v>
      </c>
      <c r="F147">
        <v>139.36530324400999</v>
      </c>
      <c r="G147">
        <v>117.48871650212</v>
      </c>
      <c r="I147" s="9">
        <f t="shared" si="15"/>
        <v>246.66648012709004</v>
      </c>
      <c r="J147" s="9">
        <f t="shared" si="16"/>
        <v>1510.5974776548901</v>
      </c>
      <c r="K147" s="9">
        <f t="shared" si="17"/>
        <v>246.66648012709004</v>
      </c>
      <c r="L147" s="10">
        <f t="shared" si="14"/>
        <v>0.16329067390607896</v>
      </c>
      <c r="M147" s="10">
        <f t="shared" si="18"/>
        <v>0.17312853097573727</v>
      </c>
      <c r="P147" s="8">
        <f t="shared" si="19"/>
        <v>3.1305014244961558</v>
      </c>
    </row>
    <row r="148" spans="1:16" x14ac:dyDescent="0.2">
      <c r="A148" s="8">
        <v>73</v>
      </c>
      <c r="B148" s="8">
        <v>146</v>
      </c>
      <c r="D148">
        <v>1606.5273876404999</v>
      </c>
      <c r="E148">
        <v>356.01755617978</v>
      </c>
      <c r="F148">
        <v>139.50141043724</v>
      </c>
      <c r="G148">
        <v>117.13046544429</v>
      </c>
      <c r="I148" s="9">
        <f t="shared" si="15"/>
        <v>238.88709073549001</v>
      </c>
      <c r="J148" s="9">
        <f t="shared" si="16"/>
        <v>1467.02597720326</v>
      </c>
      <c r="K148" s="9">
        <f t="shared" si="17"/>
        <v>238.88709073549001</v>
      </c>
      <c r="L148" s="10">
        <f t="shared" si="14"/>
        <v>0.16283766916718451</v>
      </c>
      <c r="M148" s="10">
        <f t="shared" si="18"/>
        <v>0.17274337352697841</v>
      </c>
      <c r="P148" s="8">
        <f t="shared" si="19"/>
        <v>2.9010679475642247</v>
      </c>
    </row>
    <row r="149" spans="1:16" x14ac:dyDescent="0.2">
      <c r="A149" s="8">
        <v>73.5</v>
      </c>
      <c r="B149" s="8">
        <v>147</v>
      </c>
      <c r="D149">
        <v>1565.6390449437999</v>
      </c>
      <c r="E149">
        <v>351.31601123595999</v>
      </c>
      <c r="F149">
        <v>139.67983074752999</v>
      </c>
      <c r="G149">
        <v>117.3533145275</v>
      </c>
      <c r="I149" s="9">
        <f t="shared" si="15"/>
        <v>233.96269670845999</v>
      </c>
      <c r="J149" s="9">
        <f t="shared" si="16"/>
        <v>1425.9592141962698</v>
      </c>
      <c r="K149" s="9">
        <f t="shared" si="17"/>
        <v>233.96269670845999</v>
      </c>
      <c r="L149" s="10">
        <f t="shared" si="14"/>
        <v>0.16407390504526537</v>
      </c>
      <c r="M149" s="10">
        <f t="shared" si="18"/>
        <v>0.17404745669519484</v>
      </c>
      <c r="P149" s="8">
        <f t="shared" si="19"/>
        <v>3.6778939870357505</v>
      </c>
    </row>
    <row r="150" spans="1:16" x14ac:dyDescent="0.2">
      <c r="A150" s="8">
        <v>74</v>
      </c>
      <c r="B150" s="8">
        <v>148</v>
      </c>
      <c r="D150">
        <v>1610.0303244006</v>
      </c>
      <c r="E150">
        <v>359.43864598024999</v>
      </c>
      <c r="F150">
        <v>139.71509167842001</v>
      </c>
      <c r="G150">
        <v>117.16643159378999</v>
      </c>
      <c r="I150" s="9">
        <f t="shared" si="15"/>
        <v>242.27221438646001</v>
      </c>
      <c r="J150" s="9">
        <f t="shared" si="16"/>
        <v>1470.3152327221799</v>
      </c>
      <c r="K150" s="9">
        <f t="shared" si="17"/>
        <v>242.27221438646001</v>
      </c>
      <c r="L150" s="10">
        <f t="shared" si="14"/>
        <v>0.16477569503099748</v>
      </c>
      <c r="M150" s="10">
        <f t="shared" si="18"/>
        <v>0.17481709397106251</v>
      </c>
      <c r="P150" s="8">
        <f t="shared" si="19"/>
        <v>4.1363572901544066</v>
      </c>
    </row>
    <row r="151" spans="1:16" x14ac:dyDescent="0.2">
      <c r="A151" s="8">
        <v>74.5</v>
      </c>
      <c r="B151" s="8">
        <v>149</v>
      </c>
      <c r="D151">
        <v>1610.6629055006999</v>
      </c>
      <c r="E151">
        <v>357.47390691113998</v>
      </c>
      <c r="F151">
        <v>139.80606488011</v>
      </c>
      <c r="G151">
        <v>116.93723554301999</v>
      </c>
      <c r="I151" s="9">
        <f t="shared" si="15"/>
        <v>240.53667136811998</v>
      </c>
      <c r="J151" s="9">
        <f t="shared" si="16"/>
        <v>1470.85684062059</v>
      </c>
      <c r="K151" s="9">
        <f t="shared" si="17"/>
        <v>240.53667136811998</v>
      </c>
      <c r="L151" s="10">
        <f t="shared" si="14"/>
        <v>0.16353506658515574</v>
      </c>
      <c r="M151" s="10">
        <f t="shared" si="18"/>
        <v>0.17364431281535636</v>
      </c>
      <c r="P151" s="8">
        <f t="shared" si="19"/>
        <v>3.4377462179786371</v>
      </c>
    </row>
    <row r="152" spans="1:16" x14ac:dyDescent="0.2">
      <c r="A152" s="8">
        <v>75</v>
      </c>
      <c r="B152" s="8">
        <v>150</v>
      </c>
      <c r="D152">
        <v>1558.5232722144001</v>
      </c>
      <c r="E152">
        <v>352.37940761636003</v>
      </c>
      <c r="F152">
        <v>139.34837799717999</v>
      </c>
      <c r="G152">
        <v>117.31946403385</v>
      </c>
      <c r="I152" s="9">
        <f t="shared" si="15"/>
        <v>235.05994358251002</v>
      </c>
      <c r="J152" s="9">
        <f t="shared" si="16"/>
        <v>1419.1748942172201</v>
      </c>
      <c r="K152" s="9">
        <f t="shared" si="17"/>
        <v>235.05994358251002</v>
      </c>
      <c r="L152" s="10">
        <f t="shared" si="14"/>
        <v>0.16563141339402213</v>
      </c>
      <c r="M152" s="10">
        <f t="shared" si="18"/>
        <v>0.17580850691435831</v>
      </c>
      <c r="P152" s="8">
        <f t="shared" si="19"/>
        <v>4.726929585688759</v>
      </c>
    </row>
    <row r="153" spans="1:16" x14ac:dyDescent="0.2">
      <c r="A153" s="8">
        <v>75.5</v>
      </c>
      <c r="B153" s="8">
        <v>151</v>
      </c>
      <c r="D153">
        <v>1455.2813822285</v>
      </c>
      <c r="E153">
        <v>342.11283497884</v>
      </c>
      <c r="F153">
        <v>139.39633286319</v>
      </c>
      <c r="G153">
        <v>117.12623413258</v>
      </c>
      <c r="I153" s="9">
        <f t="shared" si="15"/>
        <v>224.98660084625999</v>
      </c>
      <c r="J153" s="9">
        <f t="shared" si="16"/>
        <v>1315.8850493653099</v>
      </c>
      <c r="K153" s="9">
        <f t="shared" si="17"/>
        <v>224.98660084625999</v>
      </c>
      <c r="L153" s="10">
        <f t="shared" si="14"/>
        <v>0.17097739726944816</v>
      </c>
      <c r="M153" s="10">
        <f t="shared" si="18"/>
        <v>0.18122233807991994</v>
      </c>
      <c r="P153" s="8">
        <f t="shared" si="19"/>
        <v>7.9518811265193179</v>
      </c>
    </row>
    <row r="154" spans="1:16" x14ac:dyDescent="0.2">
      <c r="A154" s="8">
        <v>76</v>
      </c>
      <c r="B154" s="8">
        <v>152</v>
      </c>
      <c r="D154">
        <v>1524.9479606189</v>
      </c>
      <c r="E154">
        <v>339.36990154711998</v>
      </c>
      <c r="F154">
        <v>139.59802538787</v>
      </c>
      <c r="G154">
        <v>117.28279266573</v>
      </c>
      <c r="I154" s="9">
        <f t="shared" si="15"/>
        <v>222.08710888138998</v>
      </c>
      <c r="J154" s="9">
        <f t="shared" si="16"/>
        <v>1385.34993523103</v>
      </c>
      <c r="K154" s="9">
        <f t="shared" si="17"/>
        <v>222.08710888138998</v>
      </c>
      <c r="L154" s="10">
        <f t="shared" si="14"/>
        <v>0.16031119880505373</v>
      </c>
      <c r="M154" s="10">
        <f t="shared" si="18"/>
        <v>0.17062398690566108</v>
      </c>
      <c r="P154" s="8">
        <f t="shared" si="19"/>
        <v>1.6385758341213128</v>
      </c>
    </row>
    <row r="155" spans="1:16" x14ac:dyDescent="0.2">
      <c r="A155" s="8">
        <v>76.5</v>
      </c>
      <c r="B155" s="8">
        <v>153</v>
      </c>
      <c r="D155">
        <v>1448.6033755274</v>
      </c>
      <c r="E155">
        <v>329.28481012658</v>
      </c>
      <c r="F155">
        <v>139.56558533145</v>
      </c>
      <c r="G155">
        <v>117.17207334274001</v>
      </c>
      <c r="I155" s="9">
        <f t="shared" si="15"/>
        <v>212.11273678383998</v>
      </c>
      <c r="J155" s="9">
        <f t="shared" si="16"/>
        <v>1309.03779019595</v>
      </c>
      <c r="K155" s="9">
        <f t="shared" si="17"/>
        <v>212.11273678383998</v>
      </c>
      <c r="L155" s="10">
        <f t="shared" si="14"/>
        <v>0.16203713779117773</v>
      </c>
      <c r="M155" s="10">
        <f t="shared" si="18"/>
        <v>0.17241777318192064</v>
      </c>
      <c r="P155" s="8">
        <f t="shared" si="19"/>
        <v>2.7071118927155724</v>
      </c>
    </row>
    <row r="156" spans="1:16" x14ac:dyDescent="0.2">
      <c r="A156" s="8">
        <v>77</v>
      </c>
      <c r="B156" s="8">
        <v>154</v>
      </c>
      <c r="D156">
        <v>1487.5706254392001</v>
      </c>
      <c r="E156">
        <v>331.02529866479</v>
      </c>
      <c r="F156">
        <v>140.23131170663001</v>
      </c>
      <c r="G156">
        <v>117.56840620592</v>
      </c>
      <c r="I156" s="9">
        <f t="shared" si="15"/>
        <v>213.45689245887002</v>
      </c>
      <c r="J156" s="9">
        <f t="shared" si="16"/>
        <v>1347.33931373257</v>
      </c>
      <c r="K156" s="9">
        <f t="shared" si="17"/>
        <v>213.45689245887002</v>
      </c>
      <c r="L156" s="10">
        <f t="shared" si="14"/>
        <v>0.15842845991595444</v>
      </c>
      <c r="M156" s="10">
        <f t="shared" si="18"/>
        <v>0.16887694259683295</v>
      </c>
      <c r="P156" s="8">
        <f t="shared" si="19"/>
        <v>0.59788338115116824</v>
      </c>
    </row>
    <row r="157" spans="1:16" x14ac:dyDescent="0.2">
      <c r="A157" s="8">
        <v>77.5</v>
      </c>
      <c r="B157" s="8">
        <v>155</v>
      </c>
      <c r="D157">
        <v>1559.8355586789</v>
      </c>
      <c r="E157">
        <v>336.32115249472997</v>
      </c>
      <c r="F157">
        <v>140.10930888575999</v>
      </c>
      <c r="G157">
        <v>117.50141043724</v>
      </c>
      <c r="I157" s="9">
        <f t="shared" si="15"/>
        <v>218.81974205748998</v>
      </c>
      <c r="J157" s="9">
        <f t="shared" si="16"/>
        <v>1419.7262497931401</v>
      </c>
      <c r="K157" s="9">
        <f t="shared" si="17"/>
        <v>218.81974205748998</v>
      </c>
      <c r="L157" s="10">
        <f t="shared" si="14"/>
        <v>0.15412812300214418</v>
      </c>
      <c r="M157" s="10">
        <f t="shared" si="18"/>
        <v>0.16464445297315825</v>
      </c>
      <c r="P157" s="8">
        <f t="shared" si="19"/>
        <v>-1.9233577724789124</v>
      </c>
    </row>
    <row r="158" spans="1:16" x14ac:dyDescent="0.2">
      <c r="A158" s="8">
        <v>78</v>
      </c>
      <c r="B158" s="8">
        <v>156</v>
      </c>
      <c r="D158">
        <v>1572.8018271257999</v>
      </c>
      <c r="E158">
        <v>339.23120168657999</v>
      </c>
      <c r="F158">
        <v>139.86459802538999</v>
      </c>
      <c r="G158">
        <v>117.47179125529</v>
      </c>
      <c r="I158" s="9">
        <f t="shared" si="15"/>
        <v>221.75941043129001</v>
      </c>
      <c r="J158" s="9">
        <f t="shared" si="16"/>
        <v>1432.9372291004099</v>
      </c>
      <c r="K158" s="9">
        <f t="shared" si="17"/>
        <v>221.75941043129001</v>
      </c>
      <c r="L158" s="10">
        <f t="shared" si="14"/>
        <v>0.15475863556878158</v>
      </c>
      <c r="M158" s="10">
        <f t="shared" si="18"/>
        <v>0.16534281282993121</v>
      </c>
      <c r="P158" s="8">
        <f t="shared" si="19"/>
        <v>-1.5073535367944493</v>
      </c>
    </row>
    <row r="159" spans="1:16" x14ac:dyDescent="0.2">
      <c r="A159" s="8">
        <v>78.5</v>
      </c>
      <c r="B159" s="8">
        <v>157</v>
      </c>
      <c r="D159">
        <v>1663.2637130802</v>
      </c>
      <c r="E159">
        <v>355.93530239099999</v>
      </c>
      <c r="F159">
        <v>140.15232722144</v>
      </c>
      <c r="G159">
        <v>117.17700987306</v>
      </c>
      <c r="I159" s="9">
        <f t="shared" si="15"/>
        <v>238.75829251793999</v>
      </c>
      <c r="J159" s="9">
        <f t="shared" si="16"/>
        <v>1523.1113858587601</v>
      </c>
      <c r="K159" s="9">
        <f t="shared" si="17"/>
        <v>238.75829251793999</v>
      </c>
      <c r="L159" s="10">
        <f t="shared" si="14"/>
        <v>0.15675694813568963</v>
      </c>
      <c r="M159" s="10">
        <f t="shared" si="18"/>
        <v>0.16740897268697486</v>
      </c>
      <c r="P159" s="8">
        <f t="shared" si="19"/>
        <v>-0.27656794138072543</v>
      </c>
    </row>
    <row r="160" spans="1:16" x14ac:dyDescent="0.2">
      <c r="A160" s="8">
        <v>79</v>
      </c>
      <c r="B160" s="8">
        <v>158</v>
      </c>
      <c r="D160">
        <v>1597.8720112517999</v>
      </c>
      <c r="E160">
        <v>341.64908579465998</v>
      </c>
      <c r="F160">
        <v>139.98166431594001</v>
      </c>
      <c r="G160">
        <v>117.36248236954</v>
      </c>
      <c r="I160" s="9">
        <f t="shared" si="15"/>
        <v>224.28660342511998</v>
      </c>
      <c r="J160" s="9">
        <f t="shared" si="16"/>
        <v>1457.89034693586</v>
      </c>
      <c r="K160" s="9">
        <f t="shared" si="17"/>
        <v>224.28660342511998</v>
      </c>
      <c r="L160" s="10">
        <f t="shared" si="14"/>
        <v>0.15384325981478461</v>
      </c>
      <c r="M160" s="10">
        <f t="shared" si="18"/>
        <v>0.1645631316562054</v>
      </c>
      <c r="P160" s="8">
        <f t="shared" si="19"/>
        <v>-1.9717998642969439</v>
      </c>
    </row>
    <row r="161" spans="1:16" x14ac:dyDescent="0.2">
      <c r="A161" s="8">
        <v>79.5</v>
      </c>
      <c r="B161" s="8">
        <v>159</v>
      </c>
      <c r="D161">
        <v>1571.6733096084999</v>
      </c>
      <c r="E161">
        <v>343.98007117437999</v>
      </c>
      <c r="F161">
        <v>140.42242595204999</v>
      </c>
      <c r="G161">
        <v>117.53032440056</v>
      </c>
      <c r="I161" s="9">
        <f t="shared" si="15"/>
        <v>226.44974677381998</v>
      </c>
      <c r="J161" s="9">
        <f t="shared" si="16"/>
        <v>1431.25088365645</v>
      </c>
      <c r="K161" s="9">
        <f t="shared" si="17"/>
        <v>226.44974677381998</v>
      </c>
      <c r="L161" s="10">
        <f t="shared" si="14"/>
        <v>0.15821806600063262</v>
      </c>
      <c r="M161" s="10">
        <f t="shared" si="18"/>
        <v>0.169005785132189</v>
      </c>
      <c r="P161" s="8">
        <f t="shared" si="19"/>
        <v>0.67463326865489515</v>
      </c>
    </row>
    <row r="162" spans="1:16" x14ac:dyDescent="0.2">
      <c r="A162" s="8">
        <v>80</v>
      </c>
      <c r="B162" s="4">
        <v>160</v>
      </c>
      <c r="C162" s="4" t="s">
        <v>7</v>
      </c>
      <c r="D162">
        <v>1565.2412811388001</v>
      </c>
      <c r="E162">
        <v>343.38007117438002</v>
      </c>
      <c r="F162">
        <v>140.39492242595</v>
      </c>
      <c r="G162">
        <v>117.50705218618</v>
      </c>
      <c r="H162" s="4"/>
      <c r="I162" s="5">
        <f t="shared" si="15"/>
        <v>225.87301898820002</v>
      </c>
      <c r="J162" s="5">
        <f t="shared" si="16"/>
        <v>1424.8463587128501</v>
      </c>
      <c r="K162" s="9">
        <f t="shared" si="17"/>
        <v>225.87301898820002</v>
      </c>
      <c r="L162" s="6">
        <f t="shared" si="14"/>
        <v>0.15852447360868072</v>
      </c>
      <c r="M162" s="6">
        <f t="shared" si="18"/>
        <v>0.16938004003037266</v>
      </c>
      <c r="N162" s="4"/>
      <c r="O162" s="4"/>
      <c r="P162" s="4">
        <f t="shared" si="19"/>
        <v>0.89757223251443019</v>
      </c>
    </row>
    <row r="163" spans="1:16" x14ac:dyDescent="0.2">
      <c r="A163" s="8">
        <v>80.5</v>
      </c>
      <c r="B163" s="8">
        <v>161</v>
      </c>
      <c r="D163">
        <v>1567.3580071173999</v>
      </c>
      <c r="E163">
        <v>340.81850533808</v>
      </c>
      <c r="F163">
        <v>139.89633286319</v>
      </c>
      <c r="G163">
        <v>117.48307475317</v>
      </c>
      <c r="I163" s="9">
        <f t="shared" si="15"/>
        <v>223.33543058491</v>
      </c>
      <c r="J163" s="9">
        <f t="shared" si="16"/>
        <v>1427.4616742542098</v>
      </c>
      <c r="K163" s="9">
        <f t="shared" si="17"/>
        <v>223.33543058491</v>
      </c>
      <c r="L163" s="10">
        <f t="shared" si="14"/>
        <v>0.15645634107941539</v>
      </c>
      <c r="M163" s="10">
        <f t="shared" si="18"/>
        <v>0.1673797547912429</v>
      </c>
      <c r="P163" s="8">
        <f t="shared" si="19"/>
        <v>-0.293972676581926</v>
      </c>
    </row>
    <row r="164" spans="1:16" x14ac:dyDescent="0.2">
      <c r="A164" s="8">
        <v>81</v>
      </c>
      <c r="B164" s="8">
        <v>162</v>
      </c>
      <c r="D164">
        <v>1566.7796730632999</v>
      </c>
      <c r="E164">
        <v>342.07462686566998</v>
      </c>
      <c r="F164">
        <v>140.18194640338999</v>
      </c>
      <c r="G164">
        <v>117.75458392102</v>
      </c>
      <c r="I164" s="9">
        <f t="shared" si="15"/>
        <v>224.32004294464997</v>
      </c>
      <c r="J164" s="9">
        <f t="shared" si="16"/>
        <v>1426.59772665991</v>
      </c>
      <c r="K164" s="9">
        <f t="shared" si="17"/>
        <v>224.32004294464997</v>
      </c>
      <c r="L164" s="10">
        <f t="shared" si="14"/>
        <v>0.15724127324235262</v>
      </c>
      <c r="M164" s="10">
        <f t="shared" si="18"/>
        <v>0.16823253424431572</v>
      </c>
      <c r="P164" s="8">
        <f t="shared" si="19"/>
        <v>0.21401738204240026</v>
      </c>
    </row>
    <row r="165" spans="1:16" x14ac:dyDescent="0.2">
      <c r="A165" s="8">
        <v>81.5</v>
      </c>
      <c r="B165" s="8">
        <v>163</v>
      </c>
      <c r="D165">
        <v>1517.6794598435999</v>
      </c>
      <c r="E165">
        <v>342.74342572849997</v>
      </c>
      <c r="F165">
        <v>139.81382228491</v>
      </c>
      <c r="G165">
        <v>117.92242595205001</v>
      </c>
      <c r="I165" s="9">
        <f t="shared" si="15"/>
        <v>224.82099977644998</v>
      </c>
      <c r="J165" s="9">
        <f t="shared" si="16"/>
        <v>1377.86563755869</v>
      </c>
      <c r="K165" s="9">
        <f t="shared" si="17"/>
        <v>224.82099977644998</v>
      </c>
      <c r="L165" s="10">
        <f t="shared" si="14"/>
        <v>0.16316612712309822</v>
      </c>
      <c r="M165" s="10">
        <f t="shared" si="18"/>
        <v>0.17422523541519688</v>
      </c>
      <c r="P165" s="8">
        <f t="shared" si="19"/>
        <v>3.7837945479258885</v>
      </c>
    </row>
    <row r="166" spans="1:16" x14ac:dyDescent="0.2">
      <c r="A166" s="8">
        <v>82</v>
      </c>
      <c r="B166" s="8">
        <v>164</v>
      </c>
      <c r="D166">
        <v>1509.0725863283999</v>
      </c>
      <c r="E166">
        <v>340.79210711769002</v>
      </c>
      <c r="F166">
        <v>140.10225669958001</v>
      </c>
      <c r="G166">
        <v>117.64527503526</v>
      </c>
      <c r="I166" s="9">
        <f t="shared" si="15"/>
        <v>223.14683208243002</v>
      </c>
      <c r="J166" s="9">
        <f t="shared" si="16"/>
        <v>1368.9703296288199</v>
      </c>
      <c r="K166" s="9">
        <f t="shared" si="17"/>
        <v>223.14683208243002</v>
      </c>
      <c r="L166" s="10">
        <f t="shared" si="14"/>
        <v>0.16300341011987721</v>
      </c>
      <c r="M166" s="10">
        <f t="shared" si="18"/>
        <v>0.17413036570211143</v>
      </c>
      <c r="P166" s="8">
        <f t="shared" si="19"/>
        <v>3.7272818459156607</v>
      </c>
    </row>
    <row r="167" spans="1:16" x14ac:dyDescent="0.2">
      <c r="A167" s="8">
        <v>82.5</v>
      </c>
      <c r="B167" s="8">
        <v>165</v>
      </c>
      <c r="D167">
        <v>1524.7940340908999</v>
      </c>
      <c r="E167">
        <v>343.76207386364001</v>
      </c>
      <c r="F167">
        <v>140.72919605077999</v>
      </c>
      <c r="G167">
        <v>117.79689703808</v>
      </c>
      <c r="I167" s="9">
        <f t="shared" si="15"/>
        <v>225.96517682556001</v>
      </c>
      <c r="J167" s="9">
        <f t="shared" si="16"/>
        <v>1384.0648380401199</v>
      </c>
      <c r="K167" s="9">
        <f t="shared" si="17"/>
        <v>225.96517682556001</v>
      </c>
      <c r="L167" s="10">
        <f t="shared" si="14"/>
        <v>0.16326198788890117</v>
      </c>
      <c r="M167" s="10">
        <f t="shared" si="18"/>
        <v>0.17445679076127099</v>
      </c>
      <c r="P167" s="8">
        <f t="shared" si="19"/>
        <v>3.9217291726440542</v>
      </c>
    </row>
    <row r="168" spans="1:16" x14ac:dyDescent="0.2">
      <c r="A168" s="8">
        <v>83</v>
      </c>
      <c r="B168" s="8">
        <v>166</v>
      </c>
      <c r="D168">
        <v>1493.7414772727</v>
      </c>
      <c r="E168">
        <v>340.89772727272998</v>
      </c>
      <c r="F168">
        <v>140.83145275035</v>
      </c>
      <c r="G168">
        <v>117.74471086037001</v>
      </c>
      <c r="I168" s="9">
        <f t="shared" si="15"/>
        <v>223.15301641235999</v>
      </c>
      <c r="J168" s="9">
        <f t="shared" si="16"/>
        <v>1352.9100245223499</v>
      </c>
      <c r="K168" s="9">
        <f t="shared" si="17"/>
        <v>223.15301641235999</v>
      </c>
      <c r="L168" s="10">
        <f t="shared" si="14"/>
        <v>0.1649429839143553</v>
      </c>
      <c r="M168" s="10">
        <f t="shared" si="18"/>
        <v>0.17620563407686068</v>
      </c>
      <c r="P168" s="8">
        <f t="shared" si="19"/>
        <v>4.963493271450619</v>
      </c>
    </row>
    <row r="169" spans="1:16" x14ac:dyDescent="0.2">
      <c r="A169" s="8">
        <v>83.5</v>
      </c>
      <c r="B169" s="8">
        <v>167</v>
      </c>
      <c r="D169">
        <v>1403.9524147727</v>
      </c>
      <c r="E169">
        <v>321.828125</v>
      </c>
      <c r="F169">
        <v>140.17912552890999</v>
      </c>
      <c r="G169">
        <v>117.66361071932</v>
      </c>
      <c r="I169" s="9">
        <f t="shared" si="15"/>
        <v>204.16451428068001</v>
      </c>
      <c r="J169" s="9">
        <f t="shared" si="16"/>
        <v>1263.77328924379</v>
      </c>
      <c r="K169" s="9">
        <f t="shared" si="17"/>
        <v>204.16451428068001</v>
      </c>
      <c r="L169" s="10">
        <f t="shared" si="14"/>
        <v>0.16155153461333788</v>
      </c>
      <c r="M169" s="10">
        <f t="shared" si="18"/>
        <v>0.17288203206597885</v>
      </c>
      <c r="P169" s="8">
        <f t="shared" si="19"/>
        <v>2.9836651057178254</v>
      </c>
    </row>
    <row r="170" spans="1:16" x14ac:dyDescent="0.2">
      <c r="A170" s="8">
        <v>84</v>
      </c>
      <c r="B170" s="8">
        <v>168</v>
      </c>
      <c r="D170">
        <v>1402.7000705716</v>
      </c>
      <c r="E170">
        <v>317.1362032463</v>
      </c>
      <c r="F170">
        <v>140.63328631876001</v>
      </c>
      <c r="G170">
        <v>117.48519040903</v>
      </c>
      <c r="I170" s="9">
        <f t="shared" si="15"/>
        <v>199.65101283727</v>
      </c>
      <c r="J170" s="9">
        <f t="shared" si="16"/>
        <v>1262.0667842528401</v>
      </c>
      <c r="K170" s="9">
        <f t="shared" si="17"/>
        <v>199.65101283727</v>
      </c>
      <c r="L170" s="10">
        <f t="shared" si="14"/>
        <v>0.15819369888216017</v>
      </c>
      <c r="M170" s="10">
        <f t="shared" si="18"/>
        <v>0.16959204362493671</v>
      </c>
      <c r="P170" s="8">
        <f t="shared" si="19"/>
        <v>1.0238601232968598</v>
      </c>
    </row>
    <row r="171" spans="1:16" x14ac:dyDescent="0.2">
      <c r="A171" s="8">
        <v>84.5</v>
      </c>
      <c r="B171" s="8">
        <v>169</v>
      </c>
      <c r="D171">
        <v>1381.2244177841001</v>
      </c>
      <c r="E171">
        <v>316.39943542696</v>
      </c>
      <c r="F171">
        <v>140.97954866008999</v>
      </c>
      <c r="G171">
        <v>117.83709449929999</v>
      </c>
      <c r="I171" s="9">
        <f t="shared" si="15"/>
        <v>198.56234092765999</v>
      </c>
      <c r="J171" s="9">
        <f t="shared" si="16"/>
        <v>1240.2448691240102</v>
      </c>
      <c r="K171" s="9">
        <f t="shared" si="17"/>
        <v>198.56234092765999</v>
      </c>
      <c r="L171" s="10">
        <f t="shared" si="14"/>
        <v>0.1600993044767888</v>
      </c>
      <c r="M171" s="10">
        <f t="shared" si="18"/>
        <v>0.1715654965097009</v>
      </c>
      <c r="P171" s="8">
        <f t="shared" si="19"/>
        <v>2.199421334359593</v>
      </c>
    </row>
    <row r="172" spans="1:16" x14ac:dyDescent="0.2">
      <c r="A172" s="8">
        <v>85</v>
      </c>
      <c r="B172" s="8">
        <v>170</v>
      </c>
      <c r="D172">
        <v>1410.3330980946</v>
      </c>
      <c r="E172">
        <v>319.79181369090003</v>
      </c>
      <c r="F172">
        <v>140.32016925247001</v>
      </c>
      <c r="G172">
        <v>117.47813822285001</v>
      </c>
      <c r="I172" s="9">
        <f t="shared" si="15"/>
        <v>202.31367546805001</v>
      </c>
      <c r="J172" s="9">
        <f t="shared" si="16"/>
        <v>1270.0129288421299</v>
      </c>
      <c r="K172" s="9">
        <f t="shared" si="17"/>
        <v>202.31367546805001</v>
      </c>
      <c r="L172" s="10">
        <f t="shared" si="14"/>
        <v>0.15930048495844784</v>
      </c>
      <c r="M172" s="10">
        <f t="shared" si="18"/>
        <v>0.17083452428149554</v>
      </c>
      <c r="P172" s="8">
        <f t="shared" si="19"/>
        <v>1.7639903167373991</v>
      </c>
    </row>
    <row r="173" spans="1:16" x14ac:dyDescent="0.2">
      <c r="A173" s="8">
        <v>85.5</v>
      </c>
      <c r="B173" s="8">
        <v>171</v>
      </c>
      <c r="D173">
        <v>1450.1700776288001</v>
      </c>
      <c r="E173">
        <v>321.85603387437999</v>
      </c>
      <c r="F173">
        <v>140.83215796896999</v>
      </c>
      <c r="G173">
        <v>117.95486600846</v>
      </c>
      <c r="I173" s="9">
        <f t="shared" si="15"/>
        <v>203.90116786592</v>
      </c>
      <c r="J173" s="9">
        <f t="shared" si="16"/>
        <v>1309.33791965983</v>
      </c>
      <c r="K173" s="9">
        <f t="shared" si="17"/>
        <v>203.90116786592</v>
      </c>
      <c r="L173" s="10">
        <f t="shared" si="14"/>
        <v>0.15572845237606359</v>
      </c>
      <c r="M173" s="10">
        <f t="shared" si="18"/>
        <v>0.16733033898924685</v>
      </c>
      <c r="P173" s="8">
        <f t="shared" si="19"/>
        <v>-0.32340905202752179</v>
      </c>
    </row>
    <row r="174" spans="1:16" x14ac:dyDescent="0.2">
      <c r="A174" s="8">
        <v>86</v>
      </c>
      <c r="B174" s="8">
        <v>172</v>
      </c>
      <c r="D174">
        <v>1470.8299223711999</v>
      </c>
      <c r="E174">
        <v>324.88779110797998</v>
      </c>
      <c r="F174">
        <v>140.53596614950999</v>
      </c>
      <c r="G174">
        <v>117.99858956276</v>
      </c>
      <c r="I174" s="9">
        <f t="shared" si="15"/>
        <v>206.88920154521998</v>
      </c>
      <c r="J174" s="9">
        <f t="shared" si="16"/>
        <v>1330.29395622169</v>
      </c>
      <c r="K174" s="9">
        <f t="shared" si="17"/>
        <v>206.88920154521998</v>
      </c>
      <c r="L174" s="10">
        <f t="shared" si="14"/>
        <v>0.15552141733608119</v>
      </c>
      <c r="M174" s="10">
        <f t="shared" si="18"/>
        <v>0.16719115123940001</v>
      </c>
      <c r="P174" s="8">
        <f t="shared" si="19"/>
        <v>-0.40632145446605022</v>
      </c>
    </row>
    <row r="175" spans="1:16" x14ac:dyDescent="0.2">
      <c r="A175" s="8">
        <v>86.5</v>
      </c>
      <c r="B175" s="8">
        <v>173</v>
      </c>
      <c r="D175">
        <v>1502.1368124119001</v>
      </c>
      <c r="E175">
        <v>332.27926657263998</v>
      </c>
      <c r="F175">
        <v>140.92313117066001</v>
      </c>
      <c r="G175">
        <v>117.54724964739</v>
      </c>
      <c r="I175" s="9">
        <f t="shared" si="15"/>
        <v>214.73201692524998</v>
      </c>
      <c r="J175" s="9">
        <f t="shared" si="16"/>
        <v>1361.21368124124</v>
      </c>
      <c r="K175" s="9">
        <f t="shared" si="17"/>
        <v>214.73201692524998</v>
      </c>
      <c r="L175" s="10">
        <f t="shared" si="14"/>
        <v>0.1577504104494776</v>
      </c>
      <c r="M175" s="10">
        <f t="shared" si="18"/>
        <v>0.16948799164293202</v>
      </c>
      <c r="P175" s="8">
        <f t="shared" si="19"/>
        <v>0.96187765848948159</v>
      </c>
    </row>
    <row r="176" spans="1:16" x14ac:dyDescent="0.2">
      <c r="A176" s="8">
        <v>87</v>
      </c>
      <c r="B176" s="8">
        <v>174</v>
      </c>
      <c r="D176">
        <v>1472.4732016925</v>
      </c>
      <c r="E176">
        <v>329.85966149505998</v>
      </c>
      <c r="F176">
        <v>140.53667136812001</v>
      </c>
      <c r="G176">
        <v>118.02468265162</v>
      </c>
      <c r="I176" s="9">
        <f t="shared" si="15"/>
        <v>211.83497884343998</v>
      </c>
      <c r="J176" s="9">
        <f t="shared" si="16"/>
        <v>1331.9365303243799</v>
      </c>
      <c r="K176" s="9">
        <f t="shared" si="17"/>
        <v>211.83497884343998</v>
      </c>
      <c r="L176" s="10">
        <f t="shared" si="14"/>
        <v>0.15904284777882749</v>
      </c>
      <c r="M176" s="10">
        <f t="shared" si="18"/>
        <v>0.17084827626241747</v>
      </c>
      <c r="P176" s="8">
        <f t="shared" si="19"/>
        <v>1.7721821998433549</v>
      </c>
    </row>
    <row r="177" spans="1:16" x14ac:dyDescent="0.2">
      <c r="A177" s="8">
        <v>87.5</v>
      </c>
      <c r="B177" s="8">
        <v>175</v>
      </c>
      <c r="D177">
        <v>1397.0514809591</v>
      </c>
      <c r="E177">
        <v>323.79619181945998</v>
      </c>
      <c r="F177">
        <v>140.99435825105999</v>
      </c>
      <c r="G177">
        <v>118.22990126939</v>
      </c>
      <c r="I177" s="9">
        <f t="shared" si="15"/>
        <v>205.56629055006999</v>
      </c>
      <c r="J177" s="9">
        <f t="shared" si="16"/>
        <v>1256.05712270804</v>
      </c>
      <c r="K177" s="9">
        <f t="shared" si="17"/>
        <v>205.56629055006999</v>
      </c>
      <c r="L177" s="10">
        <f t="shared" si="14"/>
        <v>0.16365998554816696</v>
      </c>
      <c r="M177" s="10">
        <f t="shared" si="18"/>
        <v>0.17553326132189254</v>
      </c>
      <c r="P177" s="8">
        <f t="shared" si="19"/>
        <v>4.5629692274168088</v>
      </c>
    </row>
    <row r="178" spans="1:16" x14ac:dyDescent="0.2">
      <c r="A178" s="8">
        <v>88</v>
      </c>
      <c r="B178" s="8">
        <v>176</v>
      </c>
      <c r="D178">
        <v>1400.8294573643</v>
      </c>
      <c r="E178">
        <v>319.42917547568999</v>
      </c>
      <c r="F178">
        <v>141.35119887165001</v>
      </c>
      <c r="G178">
        <v>117.83074753174</v>
      </c>
      <c r="I178" s="9">
        <f t="shared" si="15"/>
        <v>201.59842794394999</v>
      </c>
      <c r="J178" s="9">
        <f t="shared" si="16"/>
        <v>1259.47825849265</v>
      </c>
      <c r="K178" s="9">
        <f t="shared" si="17"/>
        <v>201.59842794394999</v>
      </c>
      <c r="L178" s="10">
        <f t="shared" si="14"/>
        <v>0.16006503215484166</v>
      </c>
      <c r="M178" s="10">
        <f t="shared" si="18"/>
        <v>0.1720061552187028</v>
      </c>
      <c r="P178" s="8">
        <f t="shared" si="19"/>
        <v>2.4619162181335761</v>
      </c>
    </row>
    <row r="179" spans="1:16" x14ac:dyDescent="0.2">
      <c r="A179" s="8">
        <v>88.5</v>
      </c>
      <c r="B179" s="8">
        <v>177</v>
      </c>
      <c r="D179">
        <v>1440.3458274398999</v>
      </c>
      <c r="E179">
        <v>325.59547383310002</v>
      </c>
      <c r="F179">
        <v>140.99224259521</v>
      </c>
      <c r="G179">
        <v>118.22002820874999</v>
      </c>
      <c r="I179" s="9">
        <f t="shared" si="15"/>
        <v>207.37544562435002</v>
      </c>
      <c r="J179" s="9">
        <f t="shared" si="16"/>
        <v>1299.35358484469</v>
      </c>
      <c r="K179" s="9">
        <f t="shared" si="17"/>
        <v>207.37544562435002</v>
      </c>
      <c r="L179" s="10">
        <f t="shared" si="14"/>
        <v>0.15959893291796884</v>
      </c>
      <c r="M179" s="10">
        <f t="shared" si="18"/>
        <v>0.17160790327196554</v>
      </c>
      <c r="P179" s="8">
        <f t="shared" si="19"/>
        <v>2.2246825124652059</v>
      </c>
    </row>
    <row r="180" spans="1:16" x14ac:dyDescent="0.2">
      <c r="A180" s="8">
        <v>89</v>
      </c>
      <c r="B180" s="8">
        <v>178</v>
      </c>
      <c r="D180">
        <v>1519.9641097818001</v>
      </c>
      <c r="E180">
        <v>333.79802955665002</v>
      </c>
      <c r="F180">
        <v>141.01763046543999</v>
      </c>
      <c r="G180">
        <v>117.50987306064999</v>
      </c>
      <c r="I180" s="9">
        <f t="shared" si="15"/>
        <v>216.28815649600003</v>
      </c>
      <c r="J180" s="9">
        <f t="shared" si="16"/>
        <v>1378.9464793163602</v>
      </c>
      <c r="K180" s="9">
        <f t="shared" si="17"/>
        <v>216.28815649600003</v>
      </c>
      <c r="L180" s="10">
        <f t="shared" si="14"/>
        <v>0.15685029095779637</v>
      </c>
      <c r="M180" s="10">
        <f t="shared" si="18"/>
        <v>0.16892710860192867</v>
      </c>
      <c r="P180" s="8">
        <f t="shared" si="19"/>
        <v>0.62776664320409037</v>
      </c>
    </row>
    <row r="181" spans="1:16" x14ac:dyDescent="0.2">
      <c r="A181" s="8">
        <v>89.5</v>
      </c>
      <c r="B181" s="8">
        <v>179</v>
      </c>
      <c r="D181">
        <v>1645.9641350211</v>
      </c>
      <c r="E181">
        <v>351.50210970464002</v>
      </c>
      <c r="F181">
        <v>141.05218617771999</v>
      </c>
      <c r="G181">
        <v>118.11001410436999</v>
      </c>
      <c r="I181" s="9">
        <f t="shared" si="15"/>
        <v>233.39209560027001</v>
      </c>
      <c r="J181" s="9">
        <f t="shared" si="16"/>
        <v>1504.9119488433801</v>
      </c>
      <c r="K181" s="9">
        <f t="shared" si="17"/>
        <v>233.39209560027001</v>
      </c>
      <c r="L181" s="10">
        <f t="shared" si="14"/>
        <v>0.15508687785996156</v>
      </c>
      <c r="M181" s="10">
        <f t="shared" si="18"/>
        <v>0.16723154279422942</v>
      </c>
      <c r="P181" s="8">
        <f t="shared" si="19"/>
        <v>-0.38226071023519098</v>
      </c>
    </row>
    <row r="182" spans="1:16" x14ac:dyDescent="0.2">
      <c r="A182" s="8">
        <v>90</v>
      </c>
      <c r="B182" s="8">
        <v>180</v>
      </c>
      <c r="D182">
        <v>1597.0337552742999</v>
      </c>
      <c r="E182">
        <v>338.36497890294999</v>
      </c>
      <c r="F182">
        <v>140.92947813821999</v>
      </c>
      <c r="G182">
        <v>118.11212976023</v>
      </c>
      <c r="I182" s="9">
        <f t="shared" si="15"/>
        <v>220.25284914271998</v>
      </c>
      <c r="J182" s="9">
        <f t="shared" si="16"/>
        <v>1456.1042771360799</v>
      </c>
      <c r="K182" s="9">
        <f t="shared" si="17"/>
        <v>220.25284914271998</v>
      </c>
      <c r="L182" s="10">
        <f t="shared" si="14"/>
        <v>0.15126172802398569</v>
      </c>
      <c r="M182" s="10">
        <f>L182+ABS($N$2)*A182</f>
        <v>0.16347424024838911</v>
      </c>
      <c r="P182" s="8">
        <f t="shared" si="19"/>
        <v>-2.6204388624563935</v>
      </c>
    </row>
    <row r="183" spans="1:16" x14ac:dyDescent="0.2">
      <c r="A183" s="8">
        <v>90.5</v>
      </c>
      <c r="B183" s="8">
        <v>181</v>
      </c>
      <c r="D183">
        <v>1535.1153305204</v>
      </c>
      <c r="E183">
        <v>332.96624472574001</v>
      </c>
      <c r="F183">
        <v>140.93088857545999</v>
      </c>
      <c r="G183">
        <v>118.24471086037001</v>
      </c>
      <c r="I183" s="9">
        <f t="shared" si="15"/>
        <v>214.72153386537002</v>
      </c>
      <c r="J183" s="9">
        <f t="shared" si="16"/>
        <v>1394.1844419449401</v>
      </c>
      <c r="K183" s="9">
        <f t="shared" si="17"/>
        <v>214.72153386537002</v>
      </c>
      <c r="L183" s="10">
        <f t="shared" si="14"/>
        <v>0.15401228661383234</v>
      </c>
      <c r="M183" s="10">
        <f t="shared" ref="M183:M241" si="20">L183+ABS($N$2)*A183</f>
        <v>0.16629264612837136</v>
      </c>
      <c r="P183" s="8">
        <f t="shared" si="19"/>
        <v>-0.94154971586592096</v>
      </c>
    </row>
    <row r="184" spans="1:16" x14ac:dyDescent="0.2">
      <c r="A184" s="8">
        <v>91</v>
      </c>
      <c r="B184" s="8">
        <v>182</v>
      </c>
      <c r="D184">
        <v>1487.3670886076</v>
      </c>
      <c r="E184">
        <v>325.93389592123998</v>
      </c>
      <c r="F184">
        <v>141.18335684062001</v>
      </c>
      <c r="G184">
        <v>117.89421720733</v>
      </c>
      <c r="I184" s="9">
        <f t="shared" si="15"/>
        <v>208.03967871390998</v>
      </c>
      <c r="J184" s="9">
        <f t="shared" si="16"/>
        <v>1346.1837317669799</v>
      </c>
      <c r="K184" s="9">
        <f t="shared" si="17"/>
        <v>208.03967871390998</v>
      </c>
      <c r="L184" s="10">
        <f t="shared" si="14"/>
        <v>0.15454033042045481</v>
      </c>
      <c r="M184" s="10">
        <f t="shared" si="20"/>
        <v>0.16688853722512939</v>
      </c>
      <c r="P184" s="8">
        <f t="shared" si="19"/>
        <v>-0.58658483944320494</v>
      </c>
    </row>
    <row r="185" spans="1:16" x14ac:dyDescent="0.2">
      <c r="A185" s="8">
        <v>91.5</v>
      </c>
      <c r="B185" s="8">
        <v>183</v>
      </c>
      <c r="D185">
        <v>1411.6330985915999</v>
      </c>
      <c r="E185">
        <v>315.73028169013998</v>
      </c>
      <c r="F185">
        <v>141.46473906911001</v>
      </c>
      <c r="G185">
        <v>118.1466854725</v>
      </c>
      <c r="I185" s="9">
        <f t="shared" si="15"/>
        <v>197.58359621763998</v>
      </c>
      <c r="J185" s="9">
        <f t="shared" si="16"/>
        <v>1270.1683595224899</v>
      </c>
      <c r="K185" s="9">
        <f t="shared" si="17"/>
        <v>197.58359621763998</v>
      </c>
      <c r="L185" s="10">
        <f t="shared" si="14"/>
        <v>0.15555701315998771</v>
      </c>
      <c r="M185" s="10">
        <f t="shared" si="20"/>
        <v>0.16797306725479788</v>
      </c>
      <c r="P185" s="8">
        <f t="shared" si="19"/>
        <v>5.9456140280176394E-2</v>
      </c>
    </row>
    <row r="186" spans="1:16" x14ac:dyDescent="0.2">
      <c r="A186" s="8">
        <v>92</v>
      </c>
      <c r="B186" s="8">
        <v>184</v>
      </c>
      <c r="D186">
        <v>1225.6422535211</v>
      </c>
      <c r="E186">
        <v>303.19718309859002</v>
      </c>
      <c r="F186">
        <v>141.01974612129999</v>
      </c>
      <c r="G186">
        <v>117.8293370945</v>
      </c>
      <c r="I186" s="9">
        <f t="shared" si="15"/>
        <v>185.36784600409001</v>
      </c>
      <c r="J186" s="9">
        <f t="shared" si="16"/>
        <v>1084.6225073998</v>
      </c>
      <c r="K186" s="9">
        <f t="shared" si="17"/>
        <v>185.36784600409001</v>
      </c>
      <c r="L186" s="10">
        <f t="shared" si="14"/>
        <v>0.17090540233069498</v>
      </c>
      <c r="M186" s="10">
        <f t="shared" si="20"/>
        <v>0.18338930371564072</v>
      </c>
      <c r="P186" s="8">
        <f t="shared" si="19"/>
        <v>9.242715464002691</v>
      </c>
    </row>
    <row r="187" spans="1:16" x14ac:dyDescent="0.2">
      <c r="A187" s="8">
        <v>92.5</v>
      </c>
      <c r="B187" s="8">
        <v>185</v>
      </c>
      <c r="D187">
        <v>1340.418899859</v>
      </c>
      <c r="E187">
        <v>311.49083215796998</v>
      </c>
      <c r="F187">
        <v>141.52679830747999</v>
      </c>
      <c r="G187">
        <v>118.40620592384001</v>
      </c>
      <c r="I187" s="9">
        <f t="shared" si="15"/>
        <v>193.08462623412998</v>
      </c>
      <c r="J187" s="9">
        <f t="shared" si="16"/>
        <v>1198.89210155152</v>
      </c>
      <c r="K187" s="9">
        <f t="shared" si="17"/>
        <v>193.08462623412998</v>
      </c>
      <c r="L187" s="10">
        <f t="shared" si="14"/>
        <v>0.16105254675066566</v>
      </c>
      <c r="M187" s="10">
        <f t="shared" si="20"/>
        <v>0.17360429542574696</v>
      </c>
      <c r="P187" s="8">
        <f t="shared" si="19"/>
        <v>3.4139083592914656</v>
      </c>
    </row>
    <row r="188" spans="1:16" x14ac:dyDescent="0.2">
      <c r="A188" s="8">
        <v>93</v>
      </c>
      <c r="B188" s="8">
        <v>186</v>
      </c>
      <c r="D188">
        <v>1353.4040902679999</v>
      </c>
      <c r="E188">
        <v>305.32369534556</v>
      </c>
      <c r="F188">
        <v>141.16361071931999</v>
      </c>
      <c r="G188">
        <v>117.92242595205001</v>
      </c>
      <c r="I188" s="9">
        <f t="shared" si="15"/>
        <v>187.40126939351001</v>
      </c>
      <c r="J188" s="9">
        <f t="shared" si="16"/>
        <v>1212.24047954868</v>
      </c>
      <c r="K188" s="9">
        <f t="shared" si="17"/>
        <v>187.40126939351001</v>
      </c>
      <c r="L188" s="10">
        <f t="shared" si="14"/>
        <v>0.15459083618728847</v>
      </c>
      <c r="M188" s="10">
        <f t="shared" si="20"/>
        <v>0.16721043215250536</v>
      </c>
      <c r="P188" s="8">
        <f t="shared" si="19"/>
        <v>-0.39483605558193596</v>
      </c>
    </row>
    <row r="189" spans="1:16" x14ac:dyDescent="0.2">
      <c r="A189" s="8">
        <v>93.5</v>
      </c>
      <c r="B189" s="8">
        <v>187</v>
      </c>
      <c r="D189">
        <v>1361.8462623413</v>
      </c>
      <c r="E189">
        <v>301.82863187587998</v>
      </c>
      <c r="F189">
        <v>141.21579689704001</v>
      </c>
      <c r="G189">
        <v>117.96191819464001</v>
      </c>
      <c r="I189" s="9">
        <f t="shared" si="15"/>
        <v>183.86671368123996</v>
      </c>
      <c r="J189" s="9">
        <f t="shared" si="16"/>
        <v>1220.6304654442599</v>
      </c>
      <c r="K189" s="9">
        <f t="shared" si="17"/>
        <v>183.86671368123996</v>
      </c>
      <c r="L189" s="10">
        <f t="shared" si="14"/>
        <v>0.15063257790663118</v>
      </c>
      <c r="M189" s="10">
        <f t="shared" si="20"/>
        <v>0.16332002116198363</v>
      </c>
      <c r="P189" s="8">
        <f t="shared" si="19"/>
        <v>-2.7123052441589768</v>
      </c>
    </row>
    <row r="190" spans="1:16" x14ac:dyDescent="0.2">
      <c r="A190" s="8">
        <v>94</v>
      </c>
      <c r="B190" s="8">
        <v>188</v>
      </c>
      <c r="D190">
        <v>1424.0761636107</v>
      </c>
      <c r="E190">
        <v>307.19111424542001</v>
      </c>
      <c r="F190">
        <v>141.83004231312</v>
      </c>
      <c r="G190">
        <v>118.33638928068</v>
      </c>
      <c r="I190" s="9">
        <f t="shared" si="15"/>
        <v>188.85472496474</v>
      </c>
      <c r="J190" s="9">
        <f t="shared" si="16"/>
        <v>1282.24612129758</v>
      </c>
      <c r="K190" s="9">
        <f t="shared" si="17"/>
        <v>188.85472496474</v>
      </c>
      <c r="L190" s="10">
        <f t="shared" si="14"/>
        <v>0.14728430199783082</v>
      </c>
      <c r="M190" s="10">
        <f t="shared" si="20"/>
        <v>0.16003959254331884</v>
      </c>
      <c r="P190" s="8">
        <f t="shared" si="19"/>
        <v>-4.6664155599080246</v>
      </c>
    </row>
    <row r="191" spans="1:16" x14ac:dyDescent="0.2">
      <c r="A191" s="8">
        <v>94.5</v>
      </c>
      <c r="B191" s="8">
        <v>189</v>
      </c>
      <c r="D191">
        <v>1543.9675370501</v>
      </c>
      <c r="E191">
        <v>325.18630910373997</v>
      </c>
      <c r="F191">
        <v>141.19111424542001</v>
      </c>
      <c r="G191">
        <v>118.17559943582999</v>
      </c>
      <c r="I191" s="9">
        <f t="shared" si="15"/>
        <v>207.01070966790996</v>
      </c>
      <c r="J191" s="9">
        <f t="shared" si="16"/>
        <v>1402.7764228046799</v>
      </c>
      <c r="K191" s="9">
        <f t="shared" si="17"/>
        <v>207.01070966790996</v>
      </c>
      <c r="L191" s="10">
        <f t="shared" si="14"/>
        <v>0.14757213359347554</v>
      </c>
      <c r="M191" s="10">
        <f t="shared" si="20"/>
        <v>0.16039527142909915</v>
      </c>
      <c r="P191" s="8">
        <f t="shared" si="19"/>
        <v>-4.4545420943971905</v>
      </c>
    </row>
    <row r="192" spans="1:16" x14ac:dyDescent="0.2">
      <c r="A192" s="8">
        <v>95</v>
      </c>
      <c r="B192" s="8">
        <v>190</v>
      </c>
      <c r="D192">
        <v>1492.2039520113001</v>
      </c>
      <c r="E192">
        <v>315.92025405787001</v>
      </c>
      <c r="F192">
        <v>141.87235543017999</v>
      </c>
      <c r="G192">
        <v>117.92736248237</v>
      </c>
      <c r="I192" s="9">
        <f t="shared" si="15"/>
        <v>197.99289157550001</v>
      </c>
      <c r="J192" s="9">
        <f t="shared" si="16"/>
        <v>1350.33159658112</v>
      </c>
      <c r="K192" s="9">
        <f t="shared" si="17"/>
        <v>197.99289157550001</v>
      </c>
      <c r="L192" s="10">
        <f t="shared" si="14"/>
        <v>0.1466253859991091</v>
      </c>
      <c r="M192" s="10">
        <f t="shared" si="20"/>
        <v>0.15951637112486827</v>
      </c>
      <c r="P192" s="8">
        <f t="shared" si="19"/>
        <v>-4.978092017489737</v>
      </c>
    </row>
    <row r="193" spans="1:16" x14ac:dyDescent="0.2">
      <c r="A193" s="8">
        <v>95.5</v>
      </c>
      <c r="B193" s="8">
        <v>191</v>
      </c>
      <c r="D193">
        <v>1376.196189132</v>
      </c>
      <c r="E193">
        <v>298.42695836273998</v>
      </c>
      <c r="F193">
        <v>141.36953455571</v>
      </c>
      <c r="G193">
        <v>118.16784203103001</v>
      </c>
      <c r="I193" s="9">
        <f t="shared" si="15"/>
        <v>180.25911633170998</v>
      </c>
      <c r="J193" s="9">
        <f t="shared" si="16"/>
        <v>1234.8266545762899</v>
      </c>
      <c r="K193" s="9">
        <f t="shared" si="17"/>
        <v>180.25911633170998</v>
      </c>
      <c r="L193" s="10">
        <f t="shared" si="14"/>
        <v>0.14597928839944169</v>
      </c>
      <c r="M193" s="10">
        <f t="shared" si="20"/>
        <v>0.15893812081533645</v>
      </c>
      <c r="P193" s="8">
        <f t="shared" si="19"/>
        <v>-5.3225484975094517</v>
      </c>
    </row>
    <row r="194" spans="1:16" x14ac:dyDescent="0.2">
      <c r="A194" s="8">
        <v>96</v>
      </c>
      <c r="B194" s="8">
        <v>192</v>
      </c>
      <c r="D194">
        <v>1430.0943661972001</v>
      </c>
      <c r="E194">
        <v>308.38661971830999</v>
      </c>
      <c r="F194">
        <v>141.34908321579999</v>
      </c>
      <c r="G194">
        <v>118.19393511989</v>
      </c>
      <c r="I194" s="9">
        <f t="shared" si="15"/>
        <v>190.19268459841999</v>
      </c>
      <c r="J194" s="9">
        <f t="shared" si="16"/>
        <v>1288.7452829814001</v>
      </c>
      <c r="K194" s="9">
        <f t="shared" si="17"/>
        <v>190.19268459841999</v>
      </c>
      <c r="L194" s="10">
        <f t="shared" ref="L194:L257" si="21">K194/J194</f>
        <v>0.14757973286887674</v>
      </c>
      <c r="M194" s="10">
        <f t="shared" si="20"/>
        <v>0.16060641257490707</v>
      </c>
      <c r="P194" s="8">
        <f t="shared" si="19"/>
        <v>-4.3287679535563317</v>
      </c>
    </row>
    <row r="195" spans="1:16" x14ac:dyDescent="0.2">
      <c r="A195" s="8">
        <v>96.5</v>
      </c>
      <c r="B195" s="8">
        <v>193</v>
      </c>
      <c r="D195">
        <v>1427.5739436619999</v>
      </c>
      <c r="E195">
        <v>310.94014084507</v>
      </c>
      <c r="F195">
        <v>141.81241184767001</v>
      </c>
      <c r="G195">
        <v>118.53667136812</v>
      </c>
      <c r="I195" s="9">
        <f t="shared" ref="I195:I241" si="22">E195-G195</f>
        <v>192.40346947695002</v>
      </c>
      <c r="J195" s="9">
        <f t="shared" ref="J195:J241" si="23">D195-F195</f>
        <v>1285.7615318143298</v>
      </c>
      <c r="K195" s="9">
        <f t="shared" ref="K195:K258" si="24">I195*1</f>
        <v>192.40346947695002</v>
      </c>
      <c r="L195" s="10">
        <f t="shared" si="21"/>
        <v>0.14964164405000571</v>
      </c>
      <c r="M195" s="10">
        <f t="shared" si="20"/>
        <v>0.16273617104617161</v>
      </c>
      <c r="P195" s="8">
        <f t="shared" ref="P195:P241" si="25">(M195-$O$2)/$O$2*100</f>
        <v>-3.060097458770227</v>
      </c>
    </row>
    <row r="196" spans="1:16" x14ac:dyDescent="0.2">
      <c r="A196" s="8">
        <v>97</v>
      </c>
      <c r="B196" s="8">
        <v>194</v>
      </c>
      <c r="D196">
        <v>1406.6830985915999</v>
      </c>
      <c r="E196">
        <v>308.48661971831001</v>
      </c>
      <c r="F196">
        <v>141.55430183357001</v>
      </c>
      <c r="G196">
        <v>118.50987306064999</v>
      </c>
      <c r="I196" s="9">
        <f t="shared" si="22"/>
        <v>189.97674665766002</v>
      </c>
      <c r="J196" s="9">
        <f t="shared" si="23"/>
        <v>1265.1287967580299</v>
      </c>
      <c r="K196" s="9">
        <f t="shared" si="24"/>
        <v>189.97674665766002</v>
      </c>
      <c r="L196" s="10">
        <f t="shared" si="21"/>
        <v>0.15016395733342491</v>
      </c>
      <c r="M196" s="10">
        <f t="shared" si="20"/>
        <v>0.1633263316197264</v>
      </c>
      <c r="P196" s="8">
        <f t="shared" si="25"/>
        <v>-2.7085461833758573</v>
      </c>
    </row>
    <row r="197" spans="1:16" x14ac:dyDescent="0.2">
      <c r="A197" s="8">
        <v>97.5</v>
      </c>
      <c r="B197" s="8">
        <v>195</v>
      </c>
      <c r="D197">
        <v>1442.0908450704001</v>
      </c>
      <c r="E197">
        <v>311.71056338028001</v>
      </c>
      <c r="F197">
        <v>141.42877291961</v>
      </c>
      <c r="G197">
        <v>118.5754583921</v>
      </c>
      <c r="I197" s="9">
        <f t="shared" si="22"/>
        <v>193.13510498817999</v>
      </c>
      <c r="J197" s="9">
        <f t="shared" si="23"/>
        <v>1300.66207215079</v>
      </c>
      <c r="K197" s="9">
        <f t="shared" si="24"/>
        <v>193.13510498817999</v>
      </c>
      <c r="L197" s="10">
        <f t="shared" si="21"/>
        <v>0.14848984153801728</v>
      </c>
      <c r="M197" s="10">
        <f t="shared" si="20"/>
        <v>0.16172006311445433</v>
      </c>
      <c r="P197" s="8">
        <f t="shared" si="25"/>
        <v>-3.6653802501669617</v>
      </c>
    </row>
    <row r="198" spans="1:16" x14ac:dyDescent="0.2">
      <c r="A198" s="8">
        <v>98</v>
      </c>
      <c r="B198" s="8">
        <v>196</v>
      </c>
      <c r="D198">
        <v>1451.8683098592001</v>
      </c>
      <c r="E198">
        <v>319.10352112675997</v>
      </c>
      <c r="F198">
        <v>141.53385049364999</v>
      </c>
      <c r="G198">
        <v>118.28138222849</v>
      </c>
      <c r="I198" s="9">
        <f t="shared" si="22"/>
        <v>200.82213889826997</v>
      </c>
      <c r="J198" s="9">
        <f t="shared" si="23"/>
        <v>1310.3344593655502</v>
      </c>
      <c r="K198" s="9">
        <f t="shared" si="24"/>
        <v>200.82213889826997</v>
      </c>
      <c r="L198" s="10">
        <f t="shared" si="21"/>
        <v>0.15326021342330101</v>
      </c>
      <c r="M198" s="10">
        <f t="shared" si="20"/>
        <v>0.16655828228987363</v>
      </c>
      <c r="P198" s="8">
        <f t="shared" si="25"/>
        <v>-0.78331357548044778</v>
      </c>
    </row>
    <row r="199" spans="1:16" x14ac:dyDescent="0.2">
      <c r="A199" s="8">
        <v>98.5</v>
      </c>
      <c r="B199" s="8">
        <v>197</v>
      </c>
      <c r="D199">
        <v>1359.3489030431999</v>
      </c>
      <c r="E199">
        <v>306.71054493984002</v>
      </c>
      <c r="F199">
        <v>141.71368124118999</v>
      </c>
      <c r="G199">
        <v>118.55077574048001</v>
      </c>
      <c r="I199" s="9">
        <f t="shared" si="22"/>
        <v>188.15976919936003</v>
      </c>
      <c r="J199" s="9">
        <f t="shared" si="23"/>
        <v>1217.6352218020099</v>
      </c>
      <c r="K199" s="9">
        <f t="shared" si="24"/>
        <v>188.15976919936003</v>
      </c>
      <c r="L199" s="10">
        <f t="shared" si="21"/>
        <v>0.15452884889523605</v>
      </c>
      <c r="M199" s="10">
        <f t="shared" si="20"/>
        <v>0.16789476505194426</v>
      </c>
      <c r="P199" s="8">
        <f t="shared" si="25"/>
        <v>1.2812496985653942E-2</v>
      </c>
    </row>
    <row r="200" spans="1:16" x14ac:dyDescent="0.2">
      <c r="A200" s="8">
        <v>99</v>
      </c>
      <c r="B200" s="8">
        <v>198</v>
      </c>
      <c r="D200">
        <v>1360.1536827196001</v>
      </c>
      <c r="E200">
        <v>311.61685552407999</v>
      </c>
      <c r="F200">
        <v>141.71932299013</v>
      </c>
      <c r="G200">
        <v>118.20169252468</v>
      </c>
      <c r="I200" s="9">
        <f t="shared" si="22"/>
        <v>193.4151629994</v>
      </c>
      <c r="J200" s="9">
        <f t="shared" si="23"/>
        <v>1218.4343597294701</v>
      </c>
      <c r="K200" s="9">
        <f t="shared" si="24"/>
        <v>193.4151629994</v>
      </c>
      <c r="L200" s="10">
        <f t="shared" si="21"/>
        <v>0.15874073269104469</v>
      </c>
      <c r="M200" s="10">
        <f t="shared" si="20"/>
        <v>0.17217449613788846</v>
      </c>
      <c r="P200" s="8">
        <f t="shared" si="25"/>
        <v>2.5621947990701339</v>
      </c>
    </row>
    <row r="201" spans="1:16" x14ac:dyDescent="0.2">
      <c r="A201" s="8">
        <v>99.5</v>
      </c>
      <c r="B201" s="8">
        <v>199</v>
      </c>
      <c r="D201">
        <v>1495.8881019830001</v>
      </c>
      <c r="E201">
        <v>332.52762039660001</v>
      </c>
      <c r="F201">
        <v>142.33145275035</v>
      </c>
      <c r="G201">
        <v>118.67559943582999</v>
      </c>
      <c r="I201" s="9">
        <f t="shared" si="22"/>
        <v>213.85202096077001</v>
      </c>
      <c r="J201" s="9">
        <f t="shared" si="23"/>
        <v>1353.55664923265</v>
      </c>
      <c r="K201" s="9">
        <f t="shared" si="24"/>
        <v>213.85202096077001</v>
      </c>
      <c r="L201" s="10">
        <f t="shared" si="21"/>
        <v>0.15799266405436793</v>
      </c>
      <c r="M201" s="10">
        <f t="shared" si="20"/>
        <v>0.17149427479134727</v>
      </c>
      <c r="P201" s="8">
        <f t="shared" si="25"/>
        <v>2.15699544716048</v>
      </c>
    </row>
    <row r="202" spans="1:16" x14ac:dyDescent="0.2">
      <c r="A202" s="8">
        <v>100</v>
      </c>
      <c r="B202" s="8">
        <v>200</v>
      </c>
      <c r="D202">
        <v>1524.8408450704001</v>
      </c>
      <c r="E202">
        <v>334.08521126761002</v>
      </c>
      <c r="F202">
        <v>142.08180535966</v>
      </c>
      <c r="G202">
        <v>118.73906911143</v>
      </c>
      <c r="I202" s="9">
        <f t="shared" si="22"/>
        <v>215.34614215618001</v>
      </c>
      <c r="J202" s="9">
        <f t="shared" si="23"/>
        <v>1382.7590397107401</v>
      </c>
      <c r="K202" s="9">
        <f t="shared" si="24"/>
        <v>215.34614215618001</v>
      </c>
      <c r="L202" s="10">
        <f t="shared" si="21"/>
        <v>0.15573656434112218</v>
      </c>
      <c r="M202" s="10">
        <f t="shared" si="20"/>
        <v>0.16930602236823711</v>
      </c>
      <c r="P202" s="8">
        <f t="shared" si="25"/>
        <v>0.85348083655972173</v>
      </c>
    </row>
    <row r="203" spans="1:16" x14ac:dyDescent="0.2">
      <c r="A203" s="8">
        <v>100.5</v>
      </c>
      <c r="B203" s="8">
        <v>201</v>
      </c>
      <c r="D203">
        <v>1491.2042253520999</v>
      </c>
      <c r="E203">
        <v>334.84436619718002</v>
      </c>
      <c r="F203">
        <v>142.14880112834999</v>
      </c>
      <c r="G203">
        <v>118.39774330042</v>
      </c>
      <c r="I203" s="9">
        <f t="shared" si="22"/>
        <v>216.44662289676</v>
      </c>
      <c r="J203" s="9">
        <f t="shared" si="23"/>
        <v>1349.0554242237499</v>
      </c>
      <c r="K203" s="9">
        <f t="shared" si="24"/>
        <v>216.44662289676</v>
      </c>
      <c r="L203" s="10">
        <f t="shared" si="21"/>
        <v>0.1604430915218357</v>
      </c>
      <c r="M203" s="10">
        <f t="shared" si="20"/>
        <v>0.17408039683908619</v>
      </c>
      <c r="P203" s="8">
        <f t="shared" si="25"/>
        <v>3.6975160189294214</v>
      </c>
    </row>
    <row r="204" spans="1:16" x14ac:dyDescent="0.2">
      <c r="A204" s="8">
        <v>101</v>
      </c>
      <c r="B204" s="8">
        <v>202</v>
      </c>
      <c r="D204">
        <v>1478.4556338028001</v>
      </c>
      <c r="E204">
        <v>333.25070422534998</v>
      </c>
      <c r="F204">
        <v>142.79548660085001</v>
      </c>
      <c r="G204">
        <v>118.64950634697</v>
      </c>
      <c r="I204" s="9">
        <f t="shared" si="22"/>
        <v>214.60119787837999</v>
      </c>
      <c r="J204" s="9">
        <f t="shared" si="23"/>
        <v>1335.6601472019502</v>
      </c>
      <c r="K204" s="9">
        <f t="shared" si="24"/>
        <v>214.60119787837999</v>
      </c>
      <c r="L204" s="10">
        <f t="shared" si="21"/>
        <v>0.16067051062947718</v>
      </c>
      <c r="M204" s="10">
        <f t="shared" si="20"/>
        <v>0.17437566323686327</v>
      </c>
      <c r="P204" s="8">
        <f t="shared" si="25"/>
        <v>3.8734025206223293</v>
      </c>
    </row>
    <row r="205" spans="1:16" x14ac:dyDescent="0.2">
      <c r="A205" s="8">
        <v>101.5</v>
      </c>
      <c r="B205" s="8">
        <v>203</v>
      </c>
      <c r="D205">
        <v>1360.0021156559001</v>
      </c>
      <c r="E205">
        <v>310.83356840621002</v>
      </c>
      <c r="F205">
        <v>142.11424541608</v>
      </c>
      <c r="G205">
        <v>118.76022566995999</v>
      </c>
      <c r="I205" s="9">
        <f t="shared" si="22"/>
        <v>192.07334273625003</v>
      </c>
      <c r="J205" s="9">
        <f t="shared" si="23"/>
        <v>1217.8878702398201</v>
      </c>
      <c r="K205" s="9">
        <f t="shared" si="24"/>
        <v>192.07334273625003</v>
      </c>
      <c r="L205" s="10">
        <f t="shared" si="21"/>
        <v>0.15771020258082374</v>
      </c>
      <c r="M205" s="10">
        <f t="shared" si="20"/>
        <v>0.17148320247834539</v>
      </c>
      <c r="P205" s="8">
        <f t="shared" si="25"/>
        <v>2.1503998087329097</v>
      </c>
    </row>
    <row r="206" spans="1:16" x14ac:dyDescent="0.2">
      <c r="A206" s="8">
        <v>102</v>
      </c>
      <c r="B206" s="8">
        <v>204</v>
      </c>
      <c r="D206">
        <v>1395.3542253521</v>
      </c>
      <c r="E206">
        <v>313.03380281689999</v>
      </c>
      <c r="F206">
        <v>142.06276445698001</v>
      </c>
      <c r="G206">
        <v>118.61283497884</v>
      </c>
      <c r="I206" s="9">
        <f t="shared" si="22"/>
        <v>194.42096783805999</v>
      </c>
      <c r="J206" s="9">
        <f t="shared" si="23"/>
        <v>1253.2914608951201</v>
      </c>
      <c r="K206" s="9">
        <f t="shared" si="24"/>
        <v>194.42096783805999</v>
      </c>
      <c r="L206" s="10">
        <f t="shared" si="21"/>
        <v>0.15512829529629249</v>
      </c>
      <c r="M206" s="10">
        <f t="shared" si="20"/>
        <v>0.1689691424839497</v>
      </c>
      <c r="P206" s="8">
        <f t="shared" si="25"/>
        <v>0.65280570121039383</v>
      </c>
    </row>
    <row r="207" spans="1:16" x14ac:dyDescent="0.2">
      <c r="A207" s="8">
        <v>102.5</v>
      </c>
      <c r="B207" s="8">
        <v>205</v>
      </c>
      <c r="D207">
        <v>1361.3816901407999</v>
      </c>
      <c r="E207">
        <v>306.54154929577999</v>
      </c>
      <c r="F207">
        <v>142.31311706629</v>
      </c>
      <c r="G207">
        <v>118.98730606488</v>
      </c>
      <c r="I207" s="9">
        <f t="shared" si="22"/>
        <v>187.5542432309</v>
      </c>
      <c r="J207" s="9">
        <f t="shared" si="23"/>
        <v>1219.0685730745099</v>
      </c>
      <c r="K207" s="9">
        <f t="shared" si="24"/>
        <v>187.5542432309</v>
      </c>
      <c r="L207" s="10">
        <f t="shared" si="21"/>
        <v>0.15385044563808686</v>
      </c>
      <c r="M207" s="10">
        <f t="shared" si="20"/>
        <v>0.16775914011587967</v>
      </c>
      <c r="P207" s="8">
        <f t="shared" si="25"/>
        <v>-6.7977581825598501E-2</v>
      </c>
    </row>
    <row r="208" spans="1:16" x14ac:dyDescent="0.2">
      <c r="A208" s="8">
        <v>103</v>
      </c>
      <c r="B208" s="8">
        <v>206</v>
      </c>
      <c r="D208">
        <v>1331.5246478873</v>
      </c>
      <c r="E208">
        <v>304.90140845069999</v>
      </c>
      <c r="F208">
        <v>141.82299012694</v>
      </c>
      <c r="G208">
        <v>118.66008462623</v>
      </c>
      <c r="I208" s="9">
        <f t="shared" si="22"/>
        <v>186.24132382446999</v>
      </c>
      <c r="J208" s="9">
        <f t="shared" si="23"/>
        <v>1189.7016577603599</v>
      </c>
      <c r="K208" s="9">
        <f t="shared" si="24"/>
        <v>186.24132382446999</v>
      </c>
      <c r="L208" s="10">
        <f t="shared" si="21"/>
        <v>0.15654456107514675</v>
      </c>
      <c r="M208" s="10">
        <f t="shared" si="20"/>
        <v>0.17052110284307512</v>
      </c>
      <c r="P208" s="8">
        <f t="shared" si="25"/>
        <v>1.577289084310177</v>
      </c>
    </row>
    <row r="209" spans="1:16" x14ac:dyDescent="0.2">
      <c r="A209" s="8">
        <v>103.5</v>
      </c>
      <c r="B209" s="8">
        <v>207</v>
      </c>
      <c r="D209">
        <v>1334.223943662</v>
      </c>
      <c r="E209">
        <v>308.55422535211</v>
      </c>
      <c r="F209">
        <v>142.21156558532999</v>
      </c>
      <c r="G209">
        <v>118.4485190409</v>
      </c>
      <c r="I209" s="9">
        <f t="shared" si="22"/>
        <v>190.10570631120999</v>
      </c>
      <c r="J209" s="9">
        <f t="shared" si="23"/>
        <v>1192.0123780766701</v>
      </c>
      <c r="K209" s="9">
        <f t="shared" si="24"/>
        <v>190.10570631120999</v>
      </c>
      <c r="L209" s="10">
        <f t="shared" si="21"/>
        <v>0.15948299682755679</v>
      </c>
      <c r="M209" s="10">
        <f t="shared" si="20"/>
        <v>0.17352738588562072</v>
      </c>
      <c r="P209" s="8">
        <f t="shared" si="25"/>
        <v>3.3680943077723797</v>
      </c>
    </row>
    <row r="210" spans="1:16" x14ac:dyDescent="0.2">
      <c r="A210" s="8">
        <v>104</v>
      </c>
      <c r="B210" s="8">
        <v>208</v>
      </c>
      <c r="D210">
        <v>1309.7063380282</v>
      </c>
      <c r="E210">
        <v>308.56478873239001</v>
      </c>
      <c r="F210">
        <v>142.15444287728999</v>
      </c>
      <c r="G210">
        <v>118.46262341326</v>
      </c>
      <c r="I210" s="9">
        <f t="shared" si="22"/>
        <v>190.10216531912999</v>
      </c>
      <c r="J210" s="9">
        <f t="shared" si="23"/>
        <v>1167.55189515091</v>
      </c>
      <c r="K210" s="9">
        <f t="shared" si="24"/>
        <v>190.10216531912999</v>
      </c>
      <c r="L210" s="10">
        <f t="shared" si="21"/>
        <v>0.1628211697558494</v>
      </c>
      <c r="M210" s="10">
        <f t="shared" si="20"/>
        <v>0.17693340610404892</v>
      </c>
      <c r="P210" s="8">
        <f t="shared" si="25"/>
        <v>5.3970179693362823</v>
      </c>
    </row>
    <row r="211" spans="1:16" x14ac:dyDescent="0.2">
      <c r="A211" s="8">
        <v>104.5</v>
      </c>
      <c r="B211" s="8">
        <v>209</v>
      </c>
      <c r="D211">
        <v>1321.7505285412001</v>
      </c>
      <c r="E211">
        <v>304.07188160676998</v>
      </c>
      <c r="F211">
        <v>142.02256699577001</v>
      </c>
      <c r="G211">
        <v>118.8095909732</v>
      </c>
      <c r="I211" s="9">
        <f t="shared" si="22"/>
        <v>185.26229063356999</v>
      </c>
      <c r="J211" s="9">
        <f t="shared" si="23"/>
        <v>1179.7279615454302</v>
      </c>
      <c r="K211" s="9">
        <f t="shared" si="24"/>
        <v>185.26229063356999</v>
      </c>
      <c r="L211" s="10">
        <f t="shared" si="21"/>
        <v>0.15703814495579008</v>
      </c>
      <c r="M211" s="10">
        <f t="shared" si="20"/>
        <v>0.17121822859412517</v>
      </c>
      <c r="P211" s="8">
        <f t="shared" si="25"/>
        <v>1.9925581786444639</v>
      </c>
    </row>
    <row r="212" spans="1:16" x14ac:dyDescent="0.2">
      <c r="A212" s="8">
        <v>105</v>
      </c>
      <c r="B212" s="8">
        <v>210</v>
      </c>
      <c r="D212">
        <v>1347.1085271318</v>
      </c>
      <c r="E212">
        <v>305.37561663142998</v>
      </c>
      <c r="F212">
        <v>141.85825105782999</v>
      </c>
      <c r="G212">
        <v>118.86600846262</v>
      </c>
      <c r="I212" s="9">
        <f t="shared" si="22"/>
        <v>186.50960816880996</v>
      </c>
      <c r="J212" s="9">
        <f t="shared" si="23"/>
        <v>1205.2502760739699</v>
      </c>
      <c r="K212" s="9">
        <f t="shared" si="24"/>
        <v>186.50960816880996</v>
      </c>
      <c r="L212" s="10">
        <f t="shared" si="21"/>
        <v>0.1547476170479328</v>
      </c>
      <c r="M212" s="10">
        <f t="shared" si="20"/>
        <v>0.16899554797640348</v>
      </c>
      <c r="P212" s="8">
        <f t="shared" si="25"/>
        <v>0.66853512293985251</v>
      </c>
    </row>
    <row r="213" spans="1:16" x14ac:dyDescent="0.2">
      <c r="A213" s="8">
        <v>105.5</v>
      </c>
      <c r="B213" s="8">
        <v>211</v>
      </c>
      <c r="D213">
        <v>1430.7674418605</v>
      </c>
      <c r="E213">
        <v>316.57787174065999</v>
      </c>
      <c r="F213">
        <v>142.21932299013</v>
      </c>
      <c r="G213">
        <v>118.77291960508001</v>
      </c>
      <c r="I213" s="9">
        <f t="shared" si="22"/>
        <v>197.80495213557998</v>
      </c>
      <c r="J213" s="9">
        <f t="shared" si="23"/>
        <v>1288.54811887037</v>
      </c>
      <c r="K213" s="9">
        <f t="shared" si="24"/>
        <v>197.80495213557998</v>
      </c>
      <c r="L213" s="10">
        <f t="shared" si="21"/>
        <v>0.15350994599176429</v>
      </c>
      <c r="M213" s="10">
        <f t="shared" si="20"/>
        <v>0.16782572421037054</v>
      </c>
      <c r="P213" s="8">
        <f t="shared" si="25"/>
        <v>-2.8314269181297317E-2</v>
      </c>
    </row>
    <row r="214" spans="1:16" x14ac:dyDescent="0.2">
      <c r="A214" s="8">
        <v>106</v>
      </c>
      <c r="B214" s="8">
        <v>212</v>
      </c>
      <c r="D214">
        <v>1493.5716292135</v>
      </c>
      <c r="E214">
        <v>326.00280898876002</v>
      </c>
      <c r="F214">
        <v>142.70803949224</v>
      </c>
      <c r="G214">
        <v>118.81311706629</v>
      </c>
      <c r="I214" s="9">
        <f t="shared" si="22"/>
        <v>207.18969192247002</v>
      </c>
      <c r="J214" s="9">
        <f t="shared" si="23"/>
        <v>1350.86358972126</v>
      </c>
      <c r="K214" s="9">
        <f t="shared" si="24"/>
        <v>207.18969192247002</v>
      </c>
      <c r="L214" s="10">
        <f t="shared" si="21"/>
        <v>0.15337573201245433</v>
      </c>
      <c r="M214" s="10">
        <f t="shared" si="20"/>
        <v>0.16775935752119614</v>
      </c>
      <c r="P214" s="8">
        <f t="shared" si="25"/>
        <v>-6.7848076196608834E-2</v>
      </c>
    </row>
    <row r="215" spans="1:16" x14ac:dyDescent="0.2">
      <c r="A215" s="8">
        <v>106.5</v>
      </c>
      <c r="B215" s="8">
        <v>213</v>
      </c>
      <c r="D215">
        <v>1499.7921348315001</v>
      </c>
      <c r="E215">
        <v>323.12640449437998</v>
      </c>
      <c r="F215">
        <v>142.77221438646001</v>
      </c>
      <c r="G215">
        <v>118.77150916783999</v>
      </c>
      <c r="I215" s="9">
        <f t="shared" si="22"/>
        <v>204.35489532653997</v>
      </c>
      <c r="J215" s="9">
        <f t="shared" si="23"/>
        <v>1357.01992044504</v>
      </c>
      <c r="K215" s="9">
        <f t="shared" si="24"/>
        <v>204.35489532653997</v>
      </c>
      <c r="L215" s="10">
        <f t="shared" si="21"/>
        <v>0.15059093256311298</v>
      </c>
      <c r="M215" s="10">
        <f t="shared" si="20"/>
        <v>0.16504240536199039</v>
      </c>
      <c r="P215" s="8">
        <f t="shared" si="25"/>
        <v>-1.6863025097095061</v>
      </c>
    </row>
    <row r="216" spans="1:16" x14ac:dyDescent="0.2">
      <c r="A216" s="8">
        <v>107</v>
      </c>
      <c r="B216" s="8">
        <v>214</v>
      </c>
      <c r="D216">
        <v>1481.875</v>
      </c>
      <c r="E216">
        <v>318.19101123595999</v>
      </c>
      <c r="F216">
        <v>143.02327221439</v>
      </c>
      <c r="G216">
        <v>119.07757404796</v>
      </c>
      <c r="I216" s="9">
        <f t="shared" si="22"/>
        <v>199.11343718799998</v>
      </c>
      <c r="J216" s="9">
        <f t="shared" si="23"/>
        <v>1338.8517277856099</v>
      </c>
      <c r="K216" s="9">
        <f t="shared" si="24"/>
        <v>199.11343718799998</v>
      </c>
      <c r="L216" s="10">
        <f t="shared" si="21"/>
        <v>0.14871955800312786</v>
      </c>
      <c r="M216" s="10">
        <f t="shared" si="20"/>
        <v>0.16323887809214083</v>
      </c>
      <c r="P216" s="8">
        <f t="shared" si="25"/>
        <v>-2.7606411564020257</v>
      </c>
    </row>
    <row r="217" spans="1:16" x14ac:dyDescent="0.2">
      <c r="A217" s="8">
        <v>107.5</v>
      </c>
      <c r="B217" s="8">
        <v>215</v>
      </c>
      <c r="D217">
        <v>1469.4985955056</v>
      </c>
      <c r="E217">
        <v>317.34339887639999</v>
      </c>
      <c r="F217">
        <v>142.53385049364999</v>
      </c>
      <c r="G217">
        <v>118.6904090268</v>
      </c>
      <c r="I217" s="9">
        <f t="shared" si="22"/>
        <v>198.65298984959998</v>
      </c>
      <c r="J217" s="9">
        <f t="shared" si="23"/>
        <v>1326.9647450119501</v>
      </c>
      <c r="K217" s="9">
        <f t="shared" si="24"/>
        <v>198.65298984959998</v>
      </c>
      <c r="L217" s="10">
        <f t="shared" si="21"/>
        <v>0.14970479856102809</v>
      </c>
      <c r="M217" s="10">
        <f t="shared" si="20"/>
        <v>0.16429196594017664</v>
      </c>
      <c r="P217" s="8">
        <f t="shared" si="25"/>
        <v>-2.1333298911825596</v>
      </c>
    </row>
    <row r="218" spans="1:16" x14ac:dyDescent="0.2">
      <c r="A218" s="8">
        <v>108</v>
      </c>
      <c r="B218" s="8">
        <v>216</v>
      </c>
      <c r="D218">
        <v>1440.9795342272</v>
      </c>
      <c r="E218">
        <v>312.34438955540003</v>
      </c>
      <c r="F218">
        <v>142.85049365302999</v>
      </c>
      <c r="G218">
        <v>118.84978843442001</v>
      </c>
      <c r="I218" s="9">
        <f t="shared" si="22"/>
        <v>193.49460112098001</v>
      </c>
      <c r="J218" s="9">
        <f t="shared" si="23"/>
        <v>1298.1290405741699</v>
      </c>
      <c r="K218" s="9">
        <f t="shared" si="24"/>
        <v>193.49460112098001</v>
      </c>
      <c r="L218" s="10">
        <f t="shared" si="21"/>
        <v>0.14905652294428004</v>
      </c>
      <c r="M218" s="10">
        <f t="shared" si="20"/>
        <v>0.16371153761356416</v>
      </c>
      <c r="P218" s="8">
        <f t="shared" si="25"/>
        <v>-2.4790837887473423</v>
      </c>
    </row>
    <row r="219" spans="1:16" x14ac:dyDescent="0.2">
      <c r="A219" s="8">
        <v>108.5</v>
      </c>
      <c r="B219" s="8">
        <v>217</v>
      </c>
      <c r="D219">
        <v>1379.9802399435</v>
      </c>
      <c r="E219">
        <v>301.52364149611998</v>
      </c>
      <c r="F219">
        <v>142.87376586741999</v>
      </c>
      <c r="G219">
        <v>119.10225669958</v>
      </c>
      <c r="I219" s="9">
        <f t="shared" si="22"/>
        <v>182.42138479654</v>
      </c>
      <c r="J219" s="9">
        <f t="shared" si="23"/>
        <v>1237.1064740760801</v>
      </c>
      <c r="K219" s="9">
        <f t="shared" si="24"/>
        <v>182.42138479654</v>
      </c>
      <c r="L219" s="10">
        <f t="shared" si="21"/>
        <v>0.14745811182726165</v>
      </c>
      <c r="M219" s="10">
        <f t="shared" si="20"/>
        <v>0.16218097378668134</v>
      </c>
      <c r="P219" s="8">
        <f t="shared" si="25"/>
        <v>-3.3908215250927318</v>
      </c>
    </row>
    <row r="220" spans="1:16" x14ac:dyDescent="0.2">
      <c r="A220" s="8">
        <v>109</v>
      </c>
      <c r="B220" s="8">
        <v>218</v>
      </c>
      <c r="D220">
        <v>1381.5751587862001</v>
      </c>
      <c r="E220">
        <v>301.72900494000999</v>
      </c>
      <c r="F220">
        <v>142.43935119887001</v>
      </c>
      <c r="G220">
        <v>118.5077574048</v>
      </c>
      <c r="I220" s="9">
        <f t="shared" si="22"/>
        <v>183.22124753520998</v>
      </c>
      <c r="J220" s="9">
        <f t="shared" si="23"/>
        <v>1239.13580758733</v>
      </c>
      <c r="K220" s="9">
        <f t="shared" si="24"/>
        <v>183.22124753520998</v>
      </c>
      <c r="L220" s="10">
        <f t="shared" si="21"/>
        <v>0.14786212004635108</v>
      </c>
      <c r="M220" s="10">
        <f t="shared" si="20"/>
        <v>0.16265282929590635</v>
      </c>
      <c r="P220" s="8">
        <f t="shared" si="25"/>
        <v>-3.1097430974527112</v>
      </c>
    </row>
    <row r="221" spans="1:16" x14ac:dyDescent="0.2">
      <c r="A221" s="8">
        <v>109.5</v>
      </c>
      <c r="B221" s="8">
        <v>219</v>
      </c>
      <c r="D221">
        <v>1449.2263751763001</v>
      </c>
      <c r="E221">
        <v>313.79689703807998</v>
      </c>
      <c r="F221">
        <v>142.27856135402001</v>
      </c>
      <c r="G221">
        <v>118.85119887165</v>
      </c>
      <c r="I221" s="9">
        <f t="shared" si="22"/>
        <v>194.94569816642996</v>
      </c>
      <c r="J221" s="9">
        <f t="shared" si="23"/>
        <v>1306.9478138222801</v>
      </c>
      <c r="K221" s="9">
        <f t="shared" si="24"/>
        <v>194.94569816642996</v>
      </c>
      <c r="L221" s="10">
        <f t="shared" si="21"/>
        <v>0.14916104231912267</v>
      </c>
      <c r="M221" s="10">
        <f t="shared" si="20"/>
        <v>0.16401959885881351</v>
      </c>
      <c r="P221" s="8">
        <f t="shared" si="25"/>
        <v>-2.295575556378223</v>
      </c>
    </row>
    <row r="222" spans="1:16" x14ac:dyDescent="0.2">
      <c r="A222" s="8">
        <v>110</v>
      </c>
      <c r="B222" s="8">
        <v>220</v>
      </c>
      <c r="D222">
        <v>1438.2115655852999</v>
      </c>
      <c r="E222">
        <v>313.84485190408998</v>
      </c>
      <c r="F222">
        <v>142.51904090267999</v>
      </c>
      <c r="G222">
        <v>119.37517630465</v>
      </c>
      <c r="I222" s="9">
        <f t="shared" si="22"/>
        <v>194.46967559944</v>
      </c>
      <c r="J222" s="9">
        <f t="shared" si="23"/>
        <v>1295.6925246826199</v>
      </c>
      <c r="K222" s="9">
        <f t="shared" si="24"/>
        <v>194.46967559944</v>
      </c>
      <c r="L222" s="10">
        <f t="shared" si="21"/>
        <v>0.15008937066074018</v>
      </c>
      <c r="M222" s="10">
        <f t="shared" si="20"/>
        <v>0.16501577449056659</v>
      </c>
      <c r="P222" s="8">
        <f t="shared" si="25"/>
        <v>-1.7021661868736822</v>
      </c>
    </row>
    <row r="223" spans="1:16" x14ac:dyDescent="0.2">
      <c r="A223" s="8">
        <v>110.5</v>
      </c>
      <c r="B223" s="8">
        <v>221</v>
      </c>
      <c r="D223">
        <v>1420.8638928068001</v>
      </c>
      <c r="E223">
        <v>313.90691114244999</v>
      </c>
      <c r="F223">
        <v>142.82299012694</v>
      </c>
      <c r="G223">
        <v>118.89421720733</v>
      </c>
      <c r="I223" s="9">
        <f t="shared" si="22"/>
        <v>195.01269393511998</v>
      </c>
      <c r="J223" s="9">
        <f t="shared" si="23"/>
        <v>1278.0409026798602</v>
      </c>
      <c r="K223" s="9">
        <f t="shared" si="24"/>
        <v>195.01269393511998</v>
      </c>
      <c r="L223" s="10">
        <f t="shared" si="21"/>
        <v>0.15258720869277939</v>
      </c>
      <c r="M223" s="10">
        <f t="shared" si="20"/>
        <v>0.16758145981274139</v>
      </c>
      <c r="P223" s="8">
        <f t="shared" si="25"/>
        <v>-0.17381951702041101</v>
      </c>
    </row>
    <row r="224" spans="1:16" x14ac:dyDescent="0.2">
      <c r="A224" s="8">
        <v>111</v>
      </c>
      <c r="B224" s="8">
        <v>222</v>
      </c>
      <c r="D224">
        <v>1431.1551480958999</v>
      </c>
      <c r="E224">
        <v>312.73272214386998</v>
      </c>
      <c r="F224">
        <v>142.54654442877001</v>
      </c>
      <c r="G224">
        <v>118.92736248237</v>
      </c>
      <c r="I224" s="9">
        <f t="shared" si="22"/>
        <v>193.80535966149998</v>
      </c>
      <c r="J224" s="9">
        <f t="shared" si="23"/>
        <v>1288.60860366713</v>
      </c>
      <c r="K224" s="9">
        <f t="shared" si="24"/>
        <v>193.80535966149998</v>
      </c>
      <c r="L224" s="10">
        <f t="shared" si="21"/>
        <v>0.15039893347752573</v>
      </c>
      <c r="M224" s="10">
        <f t="shared" si="20"/>
        <v>0.16546103188762329</v>
      </c>
      <c r="P224" s="8">
        <f t="shared" si="25"/>
        <v>-1.4369319221189116</v>
      </c>
    </row>
    <row r="225" spans="1:16" x14ac:dyDescent="0.2">
      <c r="A225" s="8">
        <v>111.5</v>
      </c>
      <c r="B225" s="8">
        <v>223</v>
      </c>
      <c r="D225">
        <v>1387.5275035261</v>
      </c>
      <c r="E225">
        <v>313.53244005642</v>
      </c>
      <c r="F225">
        <v>143.17559943583001</v>
      </c>
      <c r="G225">
        <v>119.50423131171</v>
      </c>
      <c r="I225" s="9">
        <f t="shared" si="22"/>
        <v>194.02820874471001</v>
      </c>
      <c r="J225" s="9">
        <f t="shared" si="23"/>
        <v>1244.35190409027</v>
      </c>
      <c r="K225" s="9">
        <f t="shared" si="24"/>
        <v>194.02820874471001</v>
      </c>
      <c r="L225" s="10">
        <f t="shared" si="21"/>
        <v>0.15592712005898493</v>
      </c>
      <c r="M225" s="10">
        <f t="shared" si="20"/>
        <v>0.17105706575921809</v>
      </c>
      <c r="P225" s="8">
        <f t="shared" si="25"/>
        <v>1.8965554927712163</v>
      </c>
    </row>
    <row r="226" spans="1:16" x14ac:dyDescent="0.2">
      <c r="A226" s="8">
        <v>112</v>
      </c>
      <c r="B226" s="8">
        <v>224</v>
      </c>
      <c r="D226">
        <v>1352.0063920455</v>
      </c>
      <c r="E226">
        <v>307.80255681817999</v>
      </c>
      <c r="F226">
        <v>142.48025387870001</v>
      </c>
      <c r="G226">
        <v>118.82016925247</v>
      </c>
      <c r="I226" s="9">
        <f t="shared" si="22"/>
        <v>188.98238756570998</v>
      </c>
      <c r="J226" s="9">
        <f t="shared" si="23"/>
        <v>1209.5261381667999</v>
      </c>
      <c r="K226" s="9">
        <f t="shared" si="24"/>
        <v>188.98238756570998</v>
      </c>
      <c r="L226" s="10">
        <f t="shared" si="21"/>
        <v>0.15624498024667602</v>
      </c>
      <c r="M226" s="10">
        <f t="shared" si="20"/>
        <v>0.17144277323704474</v>
      </c>
      <c r="P226" s="8">
        <f t="shared" si="25"/>
        <v>2.1263166151422888</v>
      </c>
    </row>
    <row r="227" spans="1:16" x14ac:dyDescent="0.2">
      <c r="A227" s="8">
        <v>112.5</v>
      </c>
      <c r="B227" s="8">
        <v>225</v>
      </c>
      <c r="D227">
        <v>1300.9119318181999</v>
      </c>
      <c r="E227">
        <v>296.49928977272998</v>
      </c>
      <c r="F227">
        <v>142.56911142454001</v>
      </c>
      <c r="G227">
        <v>119.10860366714</v>
      </c>
      <c r="I227" s="9">
        <f t="shared" si="22"/>
        <v>177.39068610558996</v>
      </c>
      <c r="J227" s="9">
        <f t="shared" si="23"/>
        <v>1158.3428203936598</v>
      </c>
      <c r="K227" s="9">
        <f t="shared" si="24"/>
        <v>177.39068610558996</v>
      </c>
      <c r="L227" s="10">
        <f t="shared" si="21"/>
        <v>0.15314178409229851</v>
      </c>
      <c r="M227" s="10">
        <f t="shared" si="20"/>
        <v>0.16840742437280279</v>
      </c>
      <c r="P227" s="8">
        <f t="shared" si="25"/>
        <v>0.31819724508064945</v>
      </c>
    </row>
    <row r="228" spans="1:16" x14ac:dyDescent="0.2">
      <c r="A228" s="8">
        <v>113</v>
      </c>
      <c r="B228" s="8">
        <v>226</v>
      </c>
      <c r="D228">
        <v>1310.5419034091001</v>
      </c>
      <c r="E228">
        <v>302.171875</v>
      </c>
      <c r="F228">
        <v>143.12482369534999</v>
      </c>
      <c r="G228">
        <v>119.41960507757</v>
      </c>
      <c r="I228" s="9">
        <f t="shared" si="22"/>
        <v>182.75226992243</v>
      </c>
      <c r="J228" s="9">
        <f t="shared" si="23"/>
        <v>1167.4170797137501</v>
      </c>
      <c r="K228" s="9">
        <f t="shared" si="24"/>
        <v>182.75226992243</v>
      </c>
      <c r="L228" s="10">
        <f t="shared" si="21"/>
        <v>0.15654411186723491</v>
      </c>
      <c r="M228" s="10">
        <f t="shared" si="20"/>
        <v>0.17187759943787478</v>
      </c>
      <c r="P228" s="8">
        <f t="shared" si="25"/>
        <v>2.3853371467171565</v>
      </c>
    </row>
    <row r="229" spans="1:16" x14ac:dyDescent="0.2">
      <c r="A229" s="8">
        <v>113.5</v>
      </c>
      <c r="B229" s="8">
        <v>227</v>
      </c>
      <c r="D229">
        <v>1432.4830985916001</v>
      </c>
      <c r="E229">
        <v>313.69859154929998</v>
      </c>
      <c r="F229">
        <v>143.13328631876001</v>
      </c>
      <c r="G229">
        <v>118.88434414669</v>
      </c>
      <c r="I229" s="9">
        <f t="shared" si="22"/>
        <v>194.81424740260996</v>
      </c>
      <c r="J229" s="9">
        <f t="shared" si="23"/>
        <v>1289.3498122728402</v>
      </c>
      <c r="K229" s="9">
        <f t="shared" si="24"/>
        <v>194.81424740260996</v>
      </c>
      <c r="L229" s="10">
        <f t="shared" si="21"/>
        <v>0.15109495153933072</v>
      </c>
      <c r="M229" s="10">
        <f t="shared" si="20"/>
        <v>0.16649628640010616</v>
      </c>
      <c r="P229" s="8">
        <f t="shared" si="25"/>
        <v>-0.82024375193341081</v>
      </c>
    </row>
    <row r="230" spans="1:16" x14ac:dyDescent="0.2">
      <c r="A230" s="8">
        <v>114</v>
      </c>
      <c r="B230" s="8">
        <v>228</v>
      </c>
      <c r="D230">
        <v>1332.7232394365999</v>
      </c>
      <c r="E230">
        <v>315.18098591549</v>
      </c>
      <c r="F230">
        <v>143.48871650212001</v>
      </c>
      <c r="G230">
        <v>119.19393511989</v>
      </c>
      <c r="I230" s="9">
        <f t="shared" si="22"/>
        <v>195.9870507956</v>
      </c>
      <c r="J230" s="9">
        <f t="shared" si="23"/>
        <v>1189.2345229344799</v>
      </c>
      <c r="K230" s="9">
        <f t="shared" si="24"/>
        <v>195.9870507956</v>
      </c>
      <c r="L230" s="10">
        <f t="shared" si="21"/>
        <v>0.16480101024312241</v>
      </c>
      <c r="M230" s="10">
        <f t="shared" si="20"/>
        <v>0.18027019239403341</v>
      </c>
      <c r="P230" s="8">
        <f t="shared" si="25"/>
        <v>7.384699845298778</v>
      </c>
    </row>
    <row r="231" spans="1:16" x14ac:dyDescent="0.2">
      <c r="A231" s="8">
        <v>114.5</v>
      </c>
      <c r="B231" s="8">
        <v>229</v>
      </c>
      <c r="D231">
        <v>1522.3508896797</v>
      </c>
      <c r="E231">
        <v>329.03772241992999</v>
      </c>
      <c r="F231">
        <v>143.54583921016001</v>
      </c>
      <c r="G231">
        <v>119.27291960508001</v>
      </c>
      <c r="I231" s="9">
        <f t="shared" si="22"/>
        <v>209.76480281484999</v>
      </c>
      <c r="J231" s="9">
        <f t="shared" si="23"/>
        <v>1378.80505046954</v>
      </c>
      <c r="K231" s="9">
        <f t="shared" si="24"/>
        <v>209.76480281484999</v>
      </c>
      <c r="L231" s="10">
        <f t="shared" si="21"/>
        <v>0.15213521501347593</v>
      </c>
      <c r="M231" s="10">
        <f t="shared" si="20"/>
        <v>0.16767224445452253</v>
      </c>
      <c r="P231" s="8">
        <f t="shared" si="25"/>
        <v>-0.11974024091401232</v>
      </c>
    </row>
    <row r="232" spans="1:16" x14ac:dyDescent="0.2">
      <c r="A232" s="8">
        <v>115</v>
      </c>
      <c r="B232" s="8">
        <v>230</v>
      </c>
      <c r="D232">
        <v>1535.6241992882999</v>
      </c>
      <c r="E232">
        <v>327.07544483985998</v>
      </c>
      <c r="F232">
        <v>143.49012693935001</v>
      </c>
      <c r="G232">
        <v>119.14033850494</v>
      </c>
      <c r="I232" s="9">
        <f t="shared" si="22"/>
        <v>207.93510633491996</v>
      </c>
      <c r="J232" s="9">
        <f t="shared" si="23"/>
        <v>1392.13407234895</v>
      </c>
      <c r="K232" s="9">
        <f t="shared" si="24"/>
        <v>207.93510633491996</v>
      </c>
      <c r="L232" s="10">
        <f t="shared" si="21"/>
        <v>0.14936428212267711</v>
      </c>
      <c r="M232" s="10">
        <f t="shared" si="20"/>
        <v>0.16496915885385927</v>
      </c>
      <c r="P232" s="8">
        <f t="shared" si="25"/>
        <v>-1.7299345388648535</v>
      </c>
    </row>
    <row r="233" spans="1:16" x14ac:dyDescent="0.2">
      <c r="A233" s="8">
        <v>115.5</v>
      </c>
      <c r="B233" s="8">
        <v>231</v>
      </c>
      <c r="D233">
        <v>1581.1427561838</v>
      </c>
      <c r="E233">
        <v>330.28975265017999</v>
      </c>
      <c r="F233">
        <v>143.10014104371999</v>
      </c>
      <c r="G233">
        <v>118.76022566995999</v>
      </c>
      <c r="I233" s="9">
        <f t="shared" si="22"/>
        <v>211.52952698022</v>
      </c>
      <c r="J233" s="9">
        <f t="shared" si="23"/>
        <v>1438.04261514008</v>
      </c>
      <c r="K233" s="9">
        <f t="shared" si="24"/>
        <v>211.52952698022</v>
      </c>
      <c r="L233" s="10">
        <f t="shared" si="21"/>
        <v>0.14709545096451462</v>
      </c>
      <c r="M233" s="10">
        <f t="shared" si="20"/>
        <v>0.16276817498583235</v>
      </c>
      <c r="P233" s="8">
        <f t="shared" si="25"/>
        <v>-3.0410331120321721</v>
      </c>
    </row>
    <row r="234" spans="1:16" x14ac:dyDescent="0.2">
      <c r="A234" s="8">
        <v>116</v>
      </c>
      <c r="B234" s="8">
        <v>232</v>
      </c>
      <c r="D234">
        <v>1378.6692579505</v>
      </c>
      <c r="E234">
        <v>296.10318021200999</v>
      </c>
      <c r="F234">
        <v>142.59308885754999</v>
      </c>
      <c r="G234">
        <v>119.17912552891001</v>
      </c>
      <c r="I234" s="9">
        <f t="shared" si="22"/>
        <v>176.9240546831</v>
      </c>
      <c r="J234" s="9">
        <f t="shared" si="23"/>
        <v>1236.0761690929501</v>
      </c>
      <c r="K234" s="9">
        <f t="shared" si="24"/>
        <v>176.9240546831</v>
      </c>
      <c r="L234" s="10">
        <f t="shared" si="21"/>
        <v>0.14313361838609778</v>
      </c>
      <c r="M234" s="10">
        <f t="shared" si="20"/>
        <v>0.1588741896975511</v>
      </c>
      <c r="P234" s="8">
        <f t="shared" si="25"/>
        <v>-5.3606314650981739</v>
      </c>
    </row>
    <row r="235" spans="1:16" x14ac:dyDescent="0.2">
      <c r="A235" s="8">
        <v>116.5</v>
      </c>
      <c r="B235" s="8">
        <v>233</v>
      </c>
      <c r="D235">
        <v>1568.9087048832</v>
      </c>
      <c r="E235">
        <v>324.33828733192001</v>
      </c>
      <c r="F235">
        <v>143.31523272214</v>
      </c>
      <c r="G235">
        <v>119.66431593794</v>
      </c>
      <c r="I235" s="9">
        <f t="shared" si="22"/>
        <v>204.67397139398003</v>
      </c>
      <c r="J235" s="9">
        <f t="shared" si="23"/>
        <v>1425.5934721610599</v>
      </c>
      <c r="K235" s="9">
        <f t="shared" si="24"/>
        <v>204.67397139398003</v>
      </c>
      <c r="L235" s="10">
        <f t="shared" si="21"/>
        <v>0.14357106383470902</v>
      </c>
      <c r="M235" s="10">
        <f t="shared" si="20"/>
        <v>0.1593794824362979</v>
      </c>
      <c r="P235" s="8">
        <f t="shared" si="25"/>
        <v>-5.0596348978690679</v>
      </c>
    </row>
    <row r="236" spans="1:16" x14ac:dyDescent="0.2">
      <c r="A236" s="8">
        <v>117</v>
      </c>
      <c r="B236" s="8">
        <v>234</v>
      </c>
      <c r="D236">
        <v>1571.8082094834001</v>
      </c>
      <c r="E236">
        <v>325.99433828732998</v>
      </c>
      <c r="F236">
        <v>142.84203102961999</v>
      </c>
      <c r="G236">
        <v>119.31311706629</v>
      </c>
      <c r="I236" s="9">
        <f t="shared" si="22"/>
        <v>206.68122122103998</v>
      </c>
      <c r="J236" s="9">
        <f t="shared" si="23"/>
        <v>1428.9661784537802</v>
      </c>
      <c r="K236" s="9">
        <f t="shared" si="24"/>
        <v>206.68122122103998</v>
      </c>
      <c r="L236" s="10">
        <f t="shared" si="21"/>
        <v>0.14463688807854108</v>
      </c>
      <c r="M236" s="10">
        <f t="shared" si="20"/>
        <v>0.16051315397026555</v>
      </c>
      <c r="P236" s="8">
        <f t="shared" si="25"/>
        <v>-4.3843209384088189</v>
      </c>
    </row>
    <row r="237" spans="1:16" x14ac:dyDescent="0.2">
      <c r="A237" s="8">
        <v>117.5</v>
      </c>
      <c r="B237" s="8">
        <v>235</v>
      </c>
      <c r="D237">
        <v>1592.6588818118</v>
      </c>
      <c r="E237">
        <v>331.22576079264002</v>
      </c>
      <c r="F237">
        <v>143.03667136812001</v>
      </c>
      <c r="G237">
        <v>119.24400564174999</v>
      </c>
      <c r="I237" s="9">
        <f t="shared" si="22"/>
        <v>211.98175515089002</v>
      </c>
      <c r="J237" s="9">
        <f t="shared" si="23"/>
        <v>1449.6222104436799</v>
      </c>
      <c r="K237" s="9">
        <f t="shared" si="24"/>
        <v>211.98175515089002</v>
      </c>
      <c r="L237" s="10">
        <f t="shared" si="21"/>
        <v>0.14623241395150094</v>
      </c>
      <c r="M237" s="10">
        <f t="shared" si="20"/>
        <v>0.16217652713336098</v>
      </c>
      <c r="P237" s="8">
        <f t="shared" si="25"/>
        <v>-3.3934703408829732</v>
      </c>
    </row>
    <row r="238" spans="1:16" x14ac:dyDescent="0.2">
      <c r="A238" s="8">
        <v>118</v>
      </c>
      <c r="B238" s="8">
        <v>236</v>
      </c>
      <c r="D238">
        <v>1569.406935598</v>
      </c>
      <c r="E238">
        <v>327.48195329087002</v>
      </c>
      <c r="F238">
        <v>143.61212976023</v>
      </c>
      <c r="G238">
        <v>119.12341325811001</v>
      </c>
      <c r="I238" s="9">
        <f t="shared" si="22"/>
        <v>208.35854003276</v>
      </c>
      <c r="J238" s="9">
        <f t="shared" si="23"/>
        <v>1425.7948058377701</v>
      </c>
      <c r="K238" s="9">
        <f t="shared" si="24"/>
        <v>208.35854003276</v>
      </c>
      <c r="L238" s="10">
        <f t="shared" si="21"/>
        <v>0.14613501127908265</v>
      </c>
      <c r="M238" s="10">
        <f t="shared" si="20"/>
        <v>0.16214697175107826</v>
      </c>
      <c r="P238" s="8">
        <f t="shared" si="25"/>
        <v>-3.411076112603157</v>
      </c>
    </row>
    <row r="239" spans="1:16" x14ac:dyDescent="0.2">
      <c r="A239" s="8">
        <v>118.5</v>
      </c>
      <c r="B239" s="8">
        <v>237</v>
      </c>
      <c r="D239">
        <v>1500.6050955414</v>
      </c>
      <c r="E239">
        <v>321.51309271054998</v>
      </c>
      <c r="F239">
        <v>143.33497884344001</v>
      </c>
      <c r="G239">
        <v>119.44781382229</v>
      </c>
      <c r="I239" s="9">
        <f t="shared" si="22"/>
        <v>202.06527888825997</v>
      </c>
      <c r="J239" s="9">
        <f t="shared" si="23"/>
        <v>1357.27011669796</v>
      </c>
      <c r="K239" s="9">
        <f t="shared" si="24"/>
        <v>202.06527888825997</v>
      </c>
      <c r="L239" s="10">
        <f t="shared" si="21"/>
        <v>0.14887624534153546</v>
      </c>
      <c r="M239" s="10">
        <f t="shared" si="20"/>
        <v>0.16495605310366665</v>
      </c>
      <c r="P239" s="8">
        <f t="shared" si="25"/>
        <v>-1.7377414704046239</v>
      </c>
    </row>
    <row r="240" spans="1:16" x14ac:dyDescent="0.2">
      <c r="A240" s="8">
        <v>119</v>
      </c>
      <c r="B240" s="8">
        <v>238</v>
      </c>
      <c r="D240">
        <v>1486.0668543279</v>
      </c>
      <c r="E240">
        <v>319.10415200563</v>
      </c>
      <c r="F240">
        <v>143.38857545838999</v>
      </c>
      <c r="G240">
        <v>119.21509167841999</v>
      </c>
      <c r="I240" s="9">
        <f t="shared" si="22"/>
        <v>199.88906032721002</v>
      </c>
      <c r="J240" s="9">
        <f t="shared" si="23"/>
        <v>1342.67827886951</v>
      </c>
      <c r="K240" s="9">
        <f t="shared" si="24"/>
        <v>199.88906032721002</v>
      </c>
      <c r="L240" s="10">
        <f t="shared" si="21"/>
        <v>0.14887338498952249</v>
      </c>
      <c r="M240" s="10">
        <f t="shared" si="20"/>
        <v>0.16502104004178925</v>
      </c>
      <c r="P240" s="8">
        <f t="shared" si="25"/>
        <v>-1.699029563841024</v>
      </c>
    </row>
    <row r="241" spans="1:16" x14ac:dyDescent="0.2">
      <c r="A241" s="8">
        <v>119.5</v>
      </c>
      <c r="B241" s="8">
        <v>239</v>
      </c>
      <c r="D241">
        <v>1489.7494722027</v>
      </c>
      <c r="E241">
        <v>325.05348346235002</v>
      </c>
      <c r="F241">
        <v>143.13046544429</v>
      </c>
      <c r="G241">
        <v>119.61212976023</v>
      </c>
      <c r="I241" s="9">
        <f t="shared" si="22"/>
        <v>205.44135370212001</v>
      </c>
      <c r="J241" s="9">
        <f t="shared" si="23"/>
        <v>1346.61900675841</v>
      </c>
      <c r="K241" s="9">
        <f t="shared" si="24"/>
        <v>205.44135370212001</v>
      </c>
      <c r="L241" s="10">
        <f t="shared" si="21"/>
        <v>0.15256085995448687</v>
      </c>
      <c r="M241" s="10">
        <f t="shared" si="20"/>
        <v>0.16877636229688919</v>
      </c>
      <c r="P241" s="8">
        <f t="shared" si="25"/>
        <v>0.53796895394402466</v>
      </c>
    </row>
    <row r="242" spans="1:16" x14ac:dyDescent="0.2">
      <c r="A242" s="8">
        <v>120</v>
      </c>
      <c r="B242" s="8">
        <v>240</v>
      </c>
      <c r="D242">
        <v>1596.7</v>
      </c>
      <c r="E242">
        <v>330.58450704224998</v>
      </c>
      <c r="F242">
        <v>143.0634696756</v>
      </c>
      <c r="G242">
        <v>119.53808180535999</v>
      </c>
      <c r="I242" s="9">
        <f>E242-G242</f>
        <v>211.04642523689</v>
      </c>
      <c r="J242" s="9">
        <f>D242-F242</f>
        <v>1453.6365303244002</v>
      </c>
      <c r="K242" s="9">
        <f t="shared" si="24"/>
        <v>211.04642523689</v>
      </c>
      <c r="L242" s="10">
        <f t="shared" si="21"/>
        <v>0.14518514142582253</v>
      </c>
      <c r="M242" s="10">
        <f>L242+ABS($N$2)*A242</f>
        <v>0.16146849105836045</v>
      </c>
      <c r="O242" s="11"/>
      <c r="P242" s="8">
        <f>(M242-$O$2)/$O$2*100</f>
        <v>-3.8152385787921252</v>
      </c>
    </row>
    <row r="243" spans="1:16" x14ac:dyDescent="0.2">
      <c r="A243" s="8">
        <v>120.5</v>
      </c>
      <c r="B243" s="8">
        <v>241</v>
      </c>
      <c r="D243">
        <v>1627.0190140845</v>
      </c>
      <c r="E243">
        <v>335.43943661972003</v>
      </c>
      <c r="F243">
        <v>142.95627644570001</v>
      </c>
      <c r="G243">
        <v>119.34626234133</v>
      </c>
      <c r="I243" s="9">
        <f t="shared" ref="I243:I274" si="26">E243-G243</f>
        <v>216.09317427839002</v>
      </c>
      <c r="J243" s="9">
        <f t="shared" ref="J243:J274" si="27">D243-F243</f>
        <v>1484.0627376387999</v>
      </c>
      <c r="K243" s="9">
        <f t="shared" si="24"/>
        <v>216.09317427839002</v>
      </c>
      <c r="L243" s="10">
        <f t="shared" si="21"/>
        <v>0.14560919076925444</v>
      </c>
      <c r="M243" s="10">
        <f t="shared" ref="M243:M274" si="28">L243+ABS($N$2)*A243</f>
        <v>0.16196038769192792</v>
      </c>
      <c r="P243" s="8">
        <f t="shared" ref="P243:P274" si="29">(M243-$O$2)/$O$2*100</f>
        <v>-3.5222219039383198</v>
      </c>
    </row>
    <row r="244" spans="1:16" x14ac:dyDescent="0.2">
      <c r="A244" s="8">
        <v>121</v>
      </c>
      <c r="B244" s="8">
        <v>242</v>
      </c>
      <c r="D244">
        <v>1617.4464788732</v>
      </c>
      <c r="E244">
        <v>333.02957746479001</v>
      </c>
      <c r="F244">
        <v>143.84626234133</v>
      </c>
      <c r="G244">
        <v>118.99858956276</v>
      </c>
      <c r="I244" s="9">
        <f t="shared" si="26"/>
        <v>214.03098790203001</v>
      </c>
      <c r="J244" s="9">
        <f t="shared" si="27"/>
        <v>1473.60021653187</v>
      </c>
      <c r="K244" s="9">
        <f t="shared" si="24"/>
        <v>214.03098790203001</v>
      </c>
      <c r="L244" s="10">
        <f t="shared" si="21"/>
        <v>0.14524359151205452</v>
      </c>
      <c r="M244" s="10">
        <f t="shared" si="28"/>
        <v>0.16166263572486358</v>
      </c>
      <c r="N244" s="1"/>
      <c r="P244" s="8">
        <f t="shared" si="29"/>
        <v>-3.6995890281807</v>
      </c>
    </row>
    <row r="245" spans="1:16" x14ac:dyDescent="0.2">
      <c r="A245" s="8">
        <v>121.5</v>
      </c>
      <c r="B245" s="8">
        <v>243</v>
      </c>
      <c r="D245">
        <v>1590.5549295774999</v>
      </c>
      <c r="E245">
        <v>330.25563380282</v>
      </c>
      <c r="F245">
        <v>143.69322990127</v>
      </c>
      <c r="G245">
        <v>119.53032440056</v>
      </c>
      <c r="I245" s="9">
        <f t="shared" si="26"/>
        <v>210.72530940226</v>
      </c>
      <c r="J245" s="9">
        <f t="shared" si="27"/>
        <v>1446.8616996762298</v>
      </c>
      <c r="K245" s="9">
        <f t="shared" si="24"/>
        <v>210.72530940226</v>
      </c>
      <c r="L245" s="10">
        <f t="shared" si="21"/>
        <v>0.1456430213401978</v>
      </c>
      <c r="M245" s="10">
        <f t="shared" si="28"/>
        <v>0.16212991284314243</v>
      </c>
      <c r="P245" s="8">
        <f t="shared" si="29"/>
        <v>-3.4212378907876109</v>
      </c>
    </row>
    <row r="246" spans="1:16" x14ac:dyDescent="0.2">
      <c r="A246" s="8">
        <v>122</v>
      </c>
      <c r="B246" s="8">
        <v>244</v>
      </c>
      <c r="D246">
        <v>1563.3859154930001</v>
      </c>
      <c r="E246">
        <v>325.57887323943999</v>
      </c>
      <c r="F246">
        <v>143.59802538787</v>
      </c>
      <c r="G246">
        <v>119.47179125529</v>
      </c>
      <c r="I246" s="9">
        <f t="shared" si="26"/>
        <v>206.10708198415</v>
      </c>
      <c r="J246" s="9">
        <f t="shared" si="27"/>
        <v>1419.7878901051301</v>
      </c>
      <c r="K246" s="9">
        <f t="shared" si="24"/>
        <v>206.10708198415</v>
      </c>
      <c r="L246" s="10">
        <f t="shared" si="21"/>
        <v>0.14516751651465948</v>
      </c>
      <c r="M246" s="10">
        <f t="shared" si="28"/>
        <v>0.16172225530773968</v>
      </c>
      <c r="P246" s="8">
        <f t="shared" si="29"/>
        <v>-3.6640743880339972</v>
      </c>
    </row>
    <row r="247" spans="1:16" x14ac:dyDescent="0.2">
      <c r="A247" s="8">
        <v>122.5</v>
      </c>
      <c r="B247" s="8">
        <v>245</v>
      </c>
      <c r="D247">
        <v>1612.110403397</v>
      </c>
      <c r="E247">
        <v>329.99929228591998</v>
      </c>
      <c r="F247">
        <v>143.41043723554</v>
      </c>
      <c r="G247">
        <v>119.36177715092001</v>
      </c>
      <c r="I247" s="9">
        <f t="shared" si="26"/>
        <v>210.63751513499997</v>
      </c>
      <c r="J247" s="9">
        <f t="shared" si="27"/>
        <v>1468.69996616146</v>
      </c>
      <c r="K247" s="9">
        <f t="shared" si="24"/>
        <v>210.63751513499997</v>
      </c>
      <c r="L247" s="10">
        <f t="shared" si="21"/>
        <v>0.14341766186971081</v>
      </c>
      <c r="M247" s="10">
        <f t="shared" si="28"/>
        <v>0.1600402479529266</v>
      </c>
      <c r="P247" s="8">
        <f t="shared" si="29"/>
        <v>-4.6660251405987117</v>
      </c>
    </row>
    <row r="248" spans="1:16" x14ac:dyDescent="0.2">
      <c r="A248" s="8">
        <v>123</v>
      </c>
      <c r="B248" s="8">
        <v>246</v>
      </c>
      <c r="D248">
        <v>1541.966029724</v>
      </c>
      <c r="E248">
        <v>316.77848549186001</v>
      </c>
      <c r="F248">
        <v>143.45416078984999</v>
      </c>
      <c r="G248">
        <v>119.4442877292</v>
      </c>
      <c r="I248" s="9">
        <f t="shared" si="26"/>
        <v>197.33419776266001</v>
      </c>
      <c r="J248" s="9">
        <f t="shared" si="27"/>
        <v>1398.51186893415</v>
      </c>
      <c r="K248" s="9">
        <f t="shared" si="24"/>
        <v>197.33419776266001</v>
      </c>
      <c r="L248" s="10">
        <f t="shared" si="21"/>
        <v>0.14110298392608897</v>
      </c>
      <c r="M248" s="10">
        <f t="shared" si="28"/>
        <v>0.15779341729944033</v>
      </c>
      <c r="P248" s="8">
        <f t="shared" si="29"/>
        <v>-6.0044340706810733</v>
      </c>
    </row>
    <row r="249" spans="1:16" x14ac:dyDescent="0.2">
      <c r="A249" s="8">
        <v>123.5</v>
      </c>
      <c r="B249" s="8">
        <v>247</v>
      </c>
      <c r="D249">
        <v>1569.1436659589999</v>
      </c>
      <c r="E249">
        <v>328.73673036092998</v>
      </c>
      <c r="F249">
        <v>143.05712270804</v>
      </c>
      <c r="G249">
        <v>119.56417489422</v>
      </c>
      <c r="I249" s="9">
        <f t="shared" si="26"/>
        <v>209.17255546670998</v>
      </c>
      <c r="J249" s="9">
        <f t="shared" si="27"/>
        <v>1426.0865432509599</v>
      </c>
      <c r="K249" s="9">
        <f t="shared" si="24"/>
        <v>209.17255546670998</v>
      </c>
      <c r="L249" s="10">
        <f t="shared" si="21"/>
        <v>0.14667591981470665</v>
      </c>
      <c r="M249" s="10">
        <f t="shared" si="28"/>
        <v>0.16343420047819357</v>
      </c>
      <c r="P249" s="8">
        <f t="shared" si="29"/>
        <v>-2.6442900529789202</v>
      </c>
    </row>
    <row r="250" spans="1:16" x14ac:dyDescent="0.2">
      <c r="A250" s="8">
        <v>124</v>
      </c>
      <c r="B250" s="8">
        <v>248</v>
      </c>
      <c r="D250">
        <v>1604.3446567587</v>
      </c>
      <c r="E250">
        <v>332.42250530785998</v>
      </c>
      <c r="F250">
        <v>143.92313117066001</v>
      </c>
      <c r="G250">
        <v>119.23765867419</v>
      </c>
      <c r="I250" s="9">
        <f t="shared" si="26"/>
        <v>213.18484663366996</v>
      </c>
      <c r="J250" s="9">
        <f t="shared" si="27"/>
        <v>1460.4215255880399</v>
      </c>
      <c r="K250" s="9">
        <f t="shared" si="24"/>
        <v>213.18484663366996</v>
      </c>
      <c r="L250" s="10">
        <f t="shared" si="21"/>
        <v>0.14597487293802447</v>
      </c>
      <c r="M250" s="10">
        <f t="shared" si="28"/>
        <v>0.16280100089164698</v>
      </c>
      <c r="P250" s="8">
        <f t="shared" si="29"/>
        <v>-3.0214791303325836</v>
      </c>
    </row>
    <row r="251" spans="1:16" x14ac:dyDescent="0.2">
      <c r="A251" s="8">
        <v>124.5</v>
      </c>
      <c r="B251" s="8">
        <v>249</v>
      </c>
      <c r="D251">
        <v>1595.7501769285</v>
      </c>
      <c r="E251">
        <v>330.87261146497002</v>
      </c>
      <c r="F251">
        <v>144.00141043724</v>
      </c>
      <c r="G251">
        <v>119.43300423130999</v>
      </c>
      <c r="I251" s="9">
        <f t="shared" si="26"/>
        <v>211.43960723366001</v>
      </c>
      <c r="J251" s="9">
        <f t="shared" si="27"/>
        <v>1451.7487664912601</v>
      </c>
      <c r="K251" s="9">
        <f t="shared" si="24"/>
        <v>211.43960723366001</v>
      </c>
      <c r="L251" s="10">
        <f t="shared" si="21"/>
        <v>0.14564476451713448</v>
      </c>
      <c r="M251" s="10">
        <f t="shared" si="28"/>
        <v>0.16253873976089256</v>
      </c>
      <c r="P251" s="8">
        <f t="shared" si="29"/>
        <v>-3.1777048070966818</v>
      </c>
    </row>
    <row r="252" spans="1:16" x14ac:dyDescent="0.2">
      <c r="A252" s="8">
        <v>125</v>
      </c>
      <c r="B252" s="8">
        <v>250</v>
      </c>
      <c r="D252">
        <v>1574.2675159236001</v>
      </c>
      <c r="E252">
        <v>324.36518046709</v>
      </c>
      <c r="F252">
        <v>143.64245416079001</v>
      </c>
      <c r="G252">
        <v>119.68053596615</v>
      </c>
      <c r="I252" s="9">
        <f t="shared" si="26"/>
        <v>204.68464450094001</v>
      </c>
      <c r="J252" s="9">
        <f t="shared" si="27"/>
        <v>1430.62506176281</v>
      </c>
      <c r="K252" s="9">
        <f t="shared" si="24"/>
        <v>204.68464450094001</v>
      </c>
      <c r="L252" s="10">
        <f t="shared" si="21"/>
        <v>0.14307357669851559</v>
      </c>
      <c r="M252" s="10">
        <f t="shared" si="28"/>
        <v>0.16003539923240925</v>
      </c>
      <c r="P252" s="8">
        <f t="shared" si="29"/>
        <v>-4.6689134627914921</v>
      </c>
    </row>
    <row r="253" spans="1:16" x14ac:dyDescent="0.2">
      <c r="A253" s="8">
        <v>125.5</v>
      </c>
      <c r="B253" s="8">
        <v>251</v>
      </c>
      <c r="D253">
        <v>1632.2052002810999</v>
      </c>
      <c r="E253">
        <v>335.66338721011999</v>
      </c>
      <c r="F253">
        <v>143.44992947814001</v>
      </c>
      <c r="G253">
        <v>119.74400564174999</v>
      </c>
      <c r="I253" s="9">
        <f t="shared" si="26"/>
        <v>215.91938156837</v>
      </c>
      <c r="J253" s="9">
        <f t="shared" si="27"/>
        <v>1488.7552708029598</v>
      </c>
      <c r="K253" s="9">
        <f t="shared" si="24"/>
        <v>215.91938156837</v>
      </c>
      <c r="L253" s="10">
        <f t="shared" si="21"/>
        <v>0.14503349597003537</v>
      </c>
      <c r="M253" s="10">
        <f t="shared" si="28"/>
        <v>0.1620631657940646</v>
      </c>
      <c r="P253" s="8">
        <f t="shared" si="29"/>
        <v>-3.460998273442085</v>
      </c>
    </row>
    <row r="254" spans="1:16" x14ac:dyDescent="0.2">
      <c r="A254" s="8">
        <v>126</v>
      </c>
      <c r="B254" s="8">
        <v>252</v>
      </c>
      <c r="D254">
        <v>1635.9515108925</v>
      </c>
      <c r="E254">
        <v>334.58889669711999</v>
      </c>
      <c r="F254">
        <v>143.91466854724999</v>
      </c>
      <c r="G254">
        <v>119.30253878702</v>
      </c>
      <c r="I254" s="9">
        <f t="shared" si="26"/>
        <v>215.28635791009998</v>
      </c>
      <c r="J254" s="9">
        <f t="shared" si="27"/>
        <v>1492.0368423452501</v>
      </c>
      <c r="K254" s="9">
        <f t="shared" si="24"/>
        <v>215.28635791009998</v>
      </c>
      <c r="L254" s="10">
        <f t="shared" si="21"/>
        <v>0.14429024257316816</v>
      </c>
      <c r="M254" s="10">
        <f t="shared" si="28"/>
        <v>0.16138775968733296</v>
      </c>
      <c r="P254" s="8">
        <f t="shared" si="29"/>
        <v>-3.8633292471980081</v>
      </c>
    </row>
    <row r="255" spans="1:16" x14ac:dyDescent="0.2">
      <c r="A255" s="8">
        <v>126.5</v>
      </c>
      <c r="B255" s="8">
        <v>253</v>
      </c>
      <c r="D255">
        <v>1639.8854532677001</v>
      </c>
      <c r="E255">
        <v>337.08503162333</v>
      </c>
      <c r="F255">
        <v>143.59379407616001</v>
      </c>
      <c r="G255">
        <v>119.39633286319</v>
      </c>
      <c r="I255" s="9">
        <f t="shared" si="26"/>
        <v>217.68869876014</v>
      </c>
      <c r="J255" s="9">
        <f t="shared" si="27"/>
        <v>1496.29165919154</v>
      </c>
      <c r="K255" s="9">
        <f t="shared" si="24"/>
        <v>217.68869876014</v>
      </c>
      <c r="L255" s="10">
        <f t="shared" si="21"/>
        <v>0.14548547231611195</v>
      </c>
      <c r="M255" s="10">
        <f t="shared" si="28"/>
        <v>0.16265083672041233</v>
      </c>
      <c r="P255" s="8">
        <f t="shared" si="29"/>
        <v>-3.1109300497630339</v>
      </c>
    </row>
    <row r="256" spans="1:16" x14ac:dyDescent="0.2">
      <c r="A256" s="8">
        <v>127</v>
      </c>
      <c r="B256" s="8">
        <v>254</v>
      </c>
      <c r="D256">
        <v>1641.6106816585</v>
      </c>
      <c r="E256">
        <v>340.85031623331002</v>
      </c>
      <c r="F256">
        <v>143.67700987306</v>
      </c>
      <c r="G256">
        <v>119.39915373766</v>
      </c>
      <c r="I256" s="9">
        <f t="shared" si="26"/>
        <v>221.45116249565001</v>
      </c>
      <c r="J256" s="9">
        <f t="shared" si="27"/>
        <v>1497.9336717854399</v>
      </c>
      <c r="K256" s="9">
        <f t="shared" si="24"/>
        <v>221.45116249565001</v>
      </c>
      <c r="L256" s="10">
        <f t="shared" si="21"/>
        <v>0.14783776255706607</v>
      </c>
      <c r="M256" s="10">
        <f t="shared" si="28"/>
        <v>0.16507097425150202</v>
      </c>
      <c r="P256" s="8">
        <f t="shared" si="29"/>
        <v>-1.669284379399782</v>
      </c>
    </row>
    <row r="257" spans="1:16" x14ac:dyDescent="0.2">
      <c r="A257" s="8">
        <v>127.5</v>
      </c>
      <c r="B257" s="8">
        <v>255</v>
      </c>
      <c r="D257">
        <v>1611.3359154929999</v>
      </c>
      <c r="E257">
        <v>338.71197183099002</v>
      </c>
      <c r="F257">
        <v>144.27715091677999</v>
      </c>
      <c r="G257">
        <v>119.66078984485</v>
      </c>
      <c r="I257" s="9">
        <f t="shared" si="26"/>
        <v>219.05118198614002</v>
      </c>
      <c r="J257" s="9">
        <f t="shared" si="27"/>
        <v>1467.0587645762198</v>
      </c>
      <c r="K257" s="9">
        <f t="shared" si="24"/>
        <v>219.05118198614002</v>
      </c>
      <c r="L257" s="10">
        <f t="shared" si="21"/>
        <v>0.14931316132344297</v>
      </c>
      <c r="M257" s="10">
        <f t="shared" si="28"/>
        <v>0.16661422030801448</v>
      </c>
      <c r="P257" s="8">
        <f t="shared" si="29"/>
        <v>-0.74999199741907407</v>
      </c>
    </row>
    <row r="258" spans="1:16" x14ac:dyDescent="0.2">
      <c r="A258" s="8">
        <v>128</v>
      </c>
      <c r="B258" s="8">
        <v>256</v>
      </c>
      <c r="D258">
        <v>1608.2922535211001</v>
      </c>
      <c r="E258">
        <v>344.87253521127002</v>
      </c>
      <c r="F258">
        <v>143.56276445698001</v>
      </c>
      <c r="G258">
        <v>119.44640338505</v>
      </c>
      <c r="I258" s="9">
        <f t="shared" si="26"/>
        <v>225.42613182622</v>
      </c>
      <c r="J258" s="9">
        <f t="shared" si="27"/>
        <v>1464.7294890641201</v>
      </c>
      <c r="K258" s="9">
        <f t="shared" si="24"/>
        <v>225.42613182622</v>
      </c>
      <c r="L258" s="10">
        <f t="shared" ref="L258:L321" si="30">K258/J258</f>
        <v>0.15390291074856058</v>
      </c>
      <c r="M258" s="10">
        <f t="shared" si="28"/>
        <v>0.17127181702326769</v>
      </c>
      <c r="P258" s="8">
        <f t="shared" si="29"/>
        <v>2.0244801359144282</v>
      </c>
    </row>
    <row r="259" spans="1:16" x14ac:dyDescent="0.2">
      <c r="A259" s="8">
        <v>128.5</v>
      </c>
      <c r="B259" s="8">
        <v>257</v>
      </c>
      <c r="D259">
        <v>1613.5612676056001</v>
      </c>
      <c r="E259">
        <v>337.81760563379999</v>
      </c>
      <c r="F259">
        <v>143.85754583920999</v>
      </c>
      <c r="G259">
        <v>119.15655853315</v>
      </c>
      <c r="I259" s="9">
        <f t="shared" si="26"/>
        <v>218.66104710064997</v>
      </c>
      <c r="J259" s="9">
        <f t="shared" si="27"/>
        <v>1469.7037217663901</v>
      </c>
      <c r="K259" s="9">
        <f t="shared" ref="K259:K322" si="31">I259*1</f>
        <v>218.66104710064997</v>
      </c>
      <c r="L259" s="10">
        <f t="shared" si="30"/>
        <v>0.14877899801318337</v>
      </c>
      <c r="M259" s="10">
        <f t="shared" si="28"/>
        <v>0.16621575157802604</v>
      </c>
      <c r="P259" s="8">
        <f t="shared" si="29"/>
        <v>-0.98735483815991909</v>
      </c>
    </row>
    <row r="260" spans="1:16" x14ac:dyDescent="0.2">
      <c r="A260" s="8">
        <v>129</v>
      </c>
      <c r="B260" s="8">
        <v>258</v>
      </c>
      <c r="D260">
        <v>1634.4422535210999</v>
      </c>
      <c r="E260">
        <v>340.78802816900998</v>
      </c>
      <c r="F260">
        <v>143.91607898449001</v>
      </c>
      <c r="G260">
        <v>119.65162200282001</v>
      </c>
      <c r="I260" s="9">
        <f t="shared" si="26"/>
        <v>221.13640616618997</v>
      </c>
      <c r="J260" s="9">
        <f t="shared" si="27"/>
        <v>1490.5261745366099</v>
      </c>
      <c r="K260" s="9">
        <f t="shared" si="31"/>
        <v>221.13640616618997</v>
      </c>
      <c r="L260" s="10">
        <f t="shared" si="30"/>
        <v>0.14836130350742691</v>
      </c>
      <c r="M260" s="10">
        <f t="shared" si="28"/>
        <v>0.16586590436240517</v>
      </c>
      <c r="P260" s="8">
        <f t="shared" si="29"/>
        <v>-1.195754450665153</v>
      </c>
    </row>
    <row r="261" spans="1:16" x14ac:dyDescent="0.2">
      <c r="A261" s="8">
        <v>129.5</v>
      </c>
      <c r="B261" s="8">
        <v>259</v>
      </c>
      <c r="D261">
        <v>1670.3922535211</v>
      </c>
      <c r="E261">
        <v>347.62957746478997</v>
      </c>
      <c r="F261">
        <v>144.22425952045</v>
      </c>
      <c r="G261">
        <v>119.91114245416</v>
      </c>
      <c r="I261" s="9">
        <f t="shared" si="26"/>
        <v>227.71843501062997</v>
      </c>
      <c r="J261" s="9">
        <f t="shared" si="27"/>
        <v>1526.16799400065</v>
      </c>
      <c r="K261" s="9">
        <f t="shared" si="31"/>
        <v>227.71843501062997</v>
      </c>
      <c r="L261" s="10">
        <f t="shared" si="30"/>
        <v>0.1492092848924815</v>
      </c>
      <c r="M261" s="10">
        <f t="shared" si="28"/>
        <v>0.16678173303759533</v>
      </c>
      <c r="P261" s="8">
        <f t="shared" si="29"/>
        <v>-0.65020675867595779</v>
      </c>
    </row>
    <row r="262" spans="1:16" x14ac:dyDescent="0.2">
      <c r="A262" s="8">
        <v>130</v>
      </c>
      <c r="B262" s="8">
        <v>260</v>
      </c>
      <c r="D262">
        <v>1658.4943661972</v>
      </c>
      <c r="E262">
        <v>351.06408450703998</v>
      </c>
      <c r="F262">
        <v>144.16220028209</v>
      </c>
      <c r="G262">
        <v>119.49576868829</v>
      </c>
      <c r="I262" s="9">
        <f t="shared" si="26"/>
        <v>231.56831581874997</v>
      </c>
      <c r="J262" s="9">
        <f t="shared" si="27"/>
        <v>1514.33216591511</v>
      </c>
      <c r="K262" s="9">
        <f t="shared" si="31"/>
        <v>231.56831581874997</v>
      </c>
      <c r="L262" s="10">
        <f t="shared" si="30"/>
        <v>0.15291778186512558</v>
      </c>
      <c r="M262" s="10">
        <f t="shared" si="28"/>
        <v>0.17055807730037498</v>
      </c>
      <c r="P262" s="8">
        <f t="shared" si="29"/>
        <v>1.5993143062637301</v>
      </c>
    </row>
    <row r="263" spans="1:16" x14ac:dyDescent="0.2">
      <c r="A263" s="8">
        <v>130.5</v>
      </c>
      <c r="B263" s="8">
        <v>261</v>
      </c>
      <c r="D263">
        <v>1644.4063380282</v>
      </c>
      <c r="E263">
        <v>345.13450704224999</v>
      </c>
      <c r="F263">
        <v>143.93794076163999</v>
      </c>
      <c r="G263">
        <v>119.72708039491999</v>
      </c>
      <c r="I263" s="9">
        <f t="shared" si="26"/>
        <v>225.40742664733</v>
      </c>
      <c r="J263" s="9">
        <f t="shared" si="27"/>
        <v>1500.46839726656</v>
      </c>
      <c r="K263" s="9">
        <f t="shared" si="31"/>
        <v>225.40742664733</v>
      </c>
      <c r="L263" s="10">
        <f t="shared" si="30"/>
        <v>0.15022470786986264</v>
      </c>
      <c r="M263" s="10">
        <f t="shared" si="28"/>
        <v>0.16793285059524762</v>
      </c>
      <c r="P263" s="8">
        <f t="shared" si="29"/>
        <v>3.5499578980539757E-2</v>
      </c>
    </row>
    <row r="264" spans="1:16" x14ac:dyDescent="0.2">
      <c r="A264" s="8">
        <v>131</v>
      </c>
      <c r="B264" s="8">
        <v>262</v>
      </c>
      <c r="D264">
        <v>1622.011971831</v>
      </c>
      <c r="E264">
        <v>342.34577464788998</v>
      </c>
      <c r="F264">
        <v>143.79830747532</v>
      </c>
      <c r="G264">
        <v>119.48589562765</v>
      </c>
      <c r="I264" s="9">
        <f t="shared" si="26"/>
        <v>222.85987902023999</v>
      </c>
      <c r="J264" s="9">
        <f t="shared" si="27"/>
        <v>1478.2136643556801</v>
      </c>
      <c r="K264" s="9">
        <f t="shared" si="31"/>
        <v>222.85987902023999</v>
      </c>
      <c r="L264" s="10">
        <f t="shared" si="30"/>
        <v>0.15076296775904827</v>
      </c>
      <c r="M264" s="10">
        <f t="shared" si="28"/>
        <v>0.16853895777456881</v>
      </c>
      <c r="P264" s="8">
        <f t="shared" si="29"/>
        <v>0.39655004806319805</v>
      </c>
    </row>
    <row r="265" spans="1:16" x14ac:dyDescent="0.2">
      <c r="A265" s="8">
        <v>131.5</v>
      </c>
      <c r="B265" s="8">
        <v>263</v>
      </c>
      <c r="D265">
        <v>1583.7753521126999</v>
      </c>
      <c r="E265">
        <v>343.89647887324003</v>
      </c>
      <c r="F265">
        <v>144.60366713681</v>
      </c>
      <c r="G265">
        <v>119.50282087447</v>
      </c>
      <c r="I265" s="9">
        <f t="shared" si="26"/>
        <v>224.39365799877004</v>
      </c>
      <c r="J265" s="9">
        <f t="shared" si="27"/>
        <v>1439.17168497589</v>
      </c>
      <c r="K265" s="9">
        <f t="shared" si="31"/>
        <v>224.39365799877004</v>
      </c>
      <c r="L265" s="10">
        <f t="shared" si="30"/>
        <v>0.1559186164800965</v>
      </c>
      <c r="M265" s="10">
        <f t="shared" si="28"/>
        <v>0.17376245378575261</v>
      </c>
      <c r="P265" s="8">
        <f t="shared" si="29"/>
        <v>3.5081213170283108</v>
      </c>
    </row>
    <row r="266" spans="1:16" x14ac:dyDescent="0.2">
      <c r="A266" s="8">
        <v>132</v>
      </c>
      <c r="B266" s="8">
        <v>264</v>
      </c>
      <c r="D266">
        <v>1531.9486999297001</v>
      </c>
      <c r="E266">
        <v>334.23190442727002</v>
      </c>
      <c r="F266">
        <v>144.13681241185</v>
      </c>
      <c r="G266">
        <v>119.35543018336</v>
      </c>
      <c r="I266" s="9">
        <f t="shared" si="26"/>
        <v>214.87647424391002</v>
      </c>
      <c r="J266" s="9">
        <f t="shared" si="27"/>
        <v>1387.81188751785</v>
      </c>
      <c r="K266" s="9">
        <f t="shared" si="31"/>
        <v>214.87647424391002</v>
      </c>
      <c r="L266" s="10">
        <f t="shared" si="30"/>
        <v>0.15483112385513867</v>
      </c>
      <c r="M266" s="10">
        <f t="shared" si="28"/>
        <v>0.17274280845093037</v>
      </c>
      <c r="P266" s="8">
        <f t="shared" si="29"/>
        <v>2.9007313388270708</v>
      </c>
    </row>
    <row r="267" spans="1:16" x14ac:dyDescent="0.2">
      <c r="A267" s="8">
        <v>132.5</v>
      </c>
      <c r="B267" s="8">
        <v>265</v>
      </c>
      <c r="D267">
        <v>1517.7357695011001</v>
      </c>
      <c r="E267">
        <v>333.22768798313001</v>
      </c>
      <c r="F267">
        <v>144.05148095909999</v>
      </c>
      <c r="G267">
        <v>119.67277856135</v>
      </c>
      <c r="I267" s="9">
        <f t="shared" si="26"/>
        <v>213.55490942178</v>
      </c>
      <c r="J267" s="9">
        <f t="shared" si="27"/>
        <v>1373.6842885420001</v>
      </c>
      <c r="K267" s="9">
        <f t="shared" si="31"/>
        <v>213.55490942178</v>
      </c>
      <c r="L267" s="10">
        <f t="shared" si="30"/>
        <v>0.15546141948558118</v>
      </c>
      <c r="M267" s="10">
        <f t="shared" si="28"/>
        <v>0.17344095137150844</v>
      </c>
      <c r="P267" s="8">
        <f t="shared" si="29"/>
        <v>3.3166063483324013</v>
      </c>
    </row>
    <row r="268" spans="1:16" x14ac:dyDescent="0.2">
      <c r="A268" s="8">
        <v>133</v>
      </c>
      <c r="B268" s="8">
        <v>266</v>
      </c>
      <c r="D268">
        <v>1509.3548840477999</v>
      </c>
      <c r="E268">
        <v>333.99859451862</v>
      </c>
      <c r="F268">
        <v>143.74682651622001</v>
      </c>
      <c r="G268">
        <v>119.78208744711</v>
      </c>
      <c r="I268" s="9">
        <f t="shared" si="26"/>
        <v>214.21650707150999</v>
      </c>
      <c r="J268" s="9">
        <f t="shared" si="27"/>
        <v>1365.60805753158</v>
      </c>
      <c r="K268" s="9">
        <f t="shared" si="31"/>
        <v>214.21650707150999</v>
      </c>
      <c r="L268" s="10">
        <f t="shared" si="30"/>
        <v>0.15686529227040402</v>
      </c>
      <c r="M268" s="10">
        <f t="shared" si="28"/>
        <v>0.17491267144646688</v>
      </c>
      <c r="P268" s="8">
        <f t="shared" si="29"/>
        <v>4.1932915973294689</v>
      </c>
    </row>
    <row r="269" spans="1:16" x14ac:dyDescent="0.2">
      <c r="A269" s="8">
        <v>133.5</v>
      </c>
      <c r="B269" s="8">
        <v>267</v>
      </c>
      <c r="D269">
        <v>1546.4743499649001</v>
      </c>
      <c r="E269">
        <v>337.61278988052999</v>
      </c>
      <c r="F269">
        <v>143.80747531735</v>
      </c>
      <c r="G269">
        <v>119.68758815232999</v>
      </c>
      <c r="I269" s="9">
        <f t="shared" si="26"/>
        <v>217.92520172819999</v>
      </c>
      <c r="J269" s="9">
        <f t="shared" si="27"/>
        <v>1402.66687464755</v>
      </c>
      <c r="K269" s="9">
        <f t="shared" si="31"/>
        <v>217.92520172819999</v>
      </c>
      <c r="L269" s="10">
        <f t="shared" si="30"/>
        <v>0.15536490214966997</v>
      </c>
      <c r="M269" s="10">
        <f t="shared" si="28"/>
        <v>0.1734801286158684</v>
      </c>
      <c r="P269" s="8">
        <f t="shared" si="29"/>
        <v>3.33994374299809</v>
      </c>
    </row>
    <row r="270" spans="1:16" x14ac:dyDescent="0.2">
      <c r="A270" s="8">
        <v>134</v>
      </c>
      <c r="B270" s="8">
        <v>268</v>
      </c>
      <c r="D270">
        <v>1583.541813071</v>
      </c>
      <c r="E270">
        <v>340.34293745607999</v>
      </c>
      <c r="F270">
        <v>143.35401974612</v>
      </c>
      <c r="G270">
        <v>119.66854724965</v>
      </c>
      <c r="I270" s="9">
        <f t="shared" si="26"/>
        <v>220.67439020642999</v>
      </c>
      <c r="J270" s="9">
        <f t="shared" si="27"/>
        <v>1440.18779332488</v>
      </c>
      <c r="K270" s="9">
        <f t="shared" si="31"/>
        <v>220.67439020642999</v>
      </c>
      <c r="L270" s="10">
        <f t="shared" si="30"/>
        <v>0.15322612178025166</v>
      </c>
      <c r="M270" s="10">
        <f t="shared" si="28"/>
        <v>0.17140919553658565</v>
      </c>
      <c r="P270" s="8">
        <f t="shared" si="29"/>
        <v>2.106314798772043</v>
      </c>
    </row>
    <row r="271" spans="1:16" x14ac:dyDescent="0.2">
      <c r="A271" s="8">
        <v>134.5</v>
      </c>
      <c r="B271" s="8">
        <v>269</v>
      </c>
      <c r="D271">
        <v>1570.9641602249001</v>
      </c>
      <c r="E271">
        <v>340.65003513702999</v>
      </c>
      <c r="F271">
        <v>143.90691114245001</v>
      </c>
      <c r="G271">
        <v>119.33145275035</v>
      </c>
      <c r="I271" s="9">
        <f t="shared" si="26"/>
        <v>221.31858238667999</v>
      </c>
      <c r="J271" s="9">
        <f t="shared" si="27"/>
        <v>1427.05724908245</v>
      </c>
      <c r="K271" s="9">
        <f t="shared" si="31"/>
        <v>221.31858238667999</v>
      </c>
      <c r="L271" s="10">
        <f t="shared" si="30"/>
        <v>0.15508738877082923</v>
      </c>
      <c r="M271" s="10">
        <f t="shared" si="28"/>
        <v>0.17333830981729881</v>
      </c>
      <c r="P271" s="8">
        <f t="shared" si="29"/>
        <v>3.2554640577291676</v>
      </c>
    </row>
    <row r="272" spans="1:16" x14ac:dyDescent="0.2">
      <c r="A272" s="8">
        <v>135</v>
      </c>
      <c r="B272" s="8">
        <v>270</v>
      </c>
      <c r="D272">
        <v>1545.3148278285</v>
      </c>
      <c r="E272">
        <v>339.19606465214002</v>
      </c>
      <c r="F272">
        <v>143.46403385049001</v>
      </c>
      <c r="G272">
        <v>119.78490832158001</v>
      </c>
      <c r="I272" s="9">
        <f t="shared" si="26"/>
        <v>219.41115633056</v>
      </c>
      <c r="J272" s="9">
        <f t="shared" si="27"/>
        <v>1401.85079397801</v>
      </c>
      <c r="K272" s="9">
        <f t="shared" si="31"/>
        <v>219.41115633056</v>
      </c>
      <c r="L272" s="10">
        <f t="shared" si="30"/>
        <v>0.15651534191305796</v>
      </c>
      <c r="M272" s="10">
        <f t="shared" si="28"/>
        <v>0.17483411024966311</v>
      </c>
      <c r="P272" s="8">
        <f t="shared" si="29"/>
        <v>4.1464936745768233</v>
      </c>
    </row>
    <row r="273" spans="1:16" x14ac:dyDescent="0.2">
      <c r="A273" s="8">
        <v>135.5</v>
      </c>
      <c r="B273" s="8">
        <v>271</v>
      </c>
      <c r="D273">
        <v>1520.4441321152999</v>
      </c>
      <c r="E273">
        <v>336.58327477160998</v>
      </c>
      <c r="F273">
        <v>143.95980253879</v>
      </c>
      <c r="G273">
        <v>119.25952045133999</v>
      </c>
      <c r="I273" s="9">
        <f t="shared" si="26"/>
        <v>217.32375432026998</v>
      </c>
      <c r="J273" s="9">
        <f t="shared" si="27"/>
        <v>1376.4843295765099</v>
      </c>
      <c r="K273" s="9">
        <f t="shared" si="31"/>
        <v>217.32375432026998</v>
      </c>
      <c r="L273" s="10">
        <f t="shared" si="30"/>
        <v>0.15788320262761868</v>
      </c>
      <c r="M273" s="10">
        <f t="shared" si="28"/>
        <v>0.17626981825435939</v>
      </c>
      <c r="P273" s="8">
        <f t="shared" si="29"/>
        <v>5.0017269835467957</v>
      </c>
    </row>
    <row r="274" spans="1:16" x14ac:dyDescent="0.2">
      <c r="A274" s="8">
        <v>136</v>
      </c>
      <c r="B274" s="8">
        <v>272</v>
      </c>
      <c r="D274">
        <v>1475.2178496135</v>
      </c>
      <c r="E274">
        <v>330.22557976106998</v>
      </c>
      <c r="F274">
        <v>143.41748942172001</v>
      </c>
      <c r="G274">
        <v>119.80888575458</v>
      </c>
      <c r="I274" s="9">
        <f t="shared" si="26"/>
        <v>210.41669400648999</v>
      </c>
      <c r="J274" s="9">
        <f t="shared" si="27"/>
        <v>1331.8003601917799</v>
      </c>
      <c r="K274" s="9">
        <f t="shared" si="31"/>
        <v>210.41669400648999</v>
      </c>
      <c r="L274" s="10">
        <f t="shared" si="30"/>
        <v>0.15799417112050479</v>
      </c>
      <c r="M274" s="10">
        <f t="shared" si="28"/>
        <v>0.17644863403738109</v>
      </c>
      <c r="P274" s="8">
        <f t="shared" si="29"/>
        <v>5.1082453099122311</v>
      </c>
    </row>
    <row r="275" spans="1:16" x14ac:dyDescent="0.2">
      <c r="A275" s="8">
        <v>136.5</v>
      </c>
      <c r="B275" s="8">
        <v>273</v>
      </c>
      <c r="D275">
        <v>1489.0660576247001</v>
      </c>
      <c r="E275">
        <v>329.12368236121</v>
      </c>
      <c r="F275">
        <v>144.33709449930001</v>
      </c>
      <c r="G275">
        <v>119.93018335684</v>
      </c>
      <c r="I275" s="9">
        <f>E275-G275</f>
        <v>209.19349900436998</v>
      </c>
      <c r="J275" s="9">
        <f>D275-F275</f>
        <v>1344.7289631254</v>
      </c>
      <c r="K275" s="9">
        <f t="shared" si="31"/>
        <v>209.19349900436998</v>
      </c>
      <c r="L275" s="10">
        <f t="shared" si="30"/>
        <v>0.15556554870221984</v>
      </c>
      <c r="M275" s="10">
        <f>L275+ABS($N$2)*A275</f>
        <v>0.1740878589092317</v>
      </c>
      <c r="O275" s="11"/>
      <c r="P275" s="8">
        <f>(M275-$O$2)/$O$2*100</f>
        <v>3.7019610808232315</v>
      </c>
    </row>
    <row r="276" spans="1:16" x14ac:dyDescent="0.2">
      <c r="A276" s="8">
        <v>137</v>
      </c>
      <c r="B276" s="8">
        <v>274</v>
      </c>
      <c r="D276">
        <v>1461.947997189</v>
      </c>
      <c r="E276">
        <v>323.53759662685002</v>
      </c>
      <c r="F276">
        <v>144.11565585331999</v>
      </c>
      <c r="G276">
        <v>119.87517630465</v>
      </c>
      <c r="I276" s="9">
        <f t="shared" ref="I276:I291" si="32">E276-G276</f>
        <v>203.66242032220003</v>
      </c>
      <c r="J276" s="9">
        <f t="shared" ref="J276:J291" si="33">D276-F276</f>
        <v>1317.83234133568</v>
      </c>
      <c r="K276" s="9">
        <f t="shared" si="31"/>
        <v>203.66242032220003</v>
      </c>
      <c r="L276" s="10">
        <f t="shared" si="30"/>
        <v>0.15454349839053075</v>
      </c>
      <c r="M276" s="10">
        <f t="shared" ref="M276:M291" si="34">L276+ABS($N$2)*A276</f>
        <v>0.17313365588767821</v>
      </c>
      <c r="P276" s="8">
        <f t="shared" ref="P276:P291" si="35">(M276-$O$2)/$O$2*100</f>
        <v>3.1335542704669859</v>
      </c>
    </row>
    <row r="277" spans="1:16" x14ac:dyDescent="0.2">
      <c r="A277" s="8">
        <v>137.5</v>
      </c>
      <c r="B277" s="8">
        <v>275</v>
      </c>
      <c r="D277">
        <v>1424.3246661982</v>
      </c>
      <c r="E277">
        <v>317.31061138439998</v>
      </c>
      <c r="F277">
        <v>144.27291960508001</v>
      </c>
      <c r="G277">
        <v>120.02186177714999</v>
      </c>
      <c r="I277" s="9">
        <f t="shared" si="32"/>
        <v>197.28874960725</v>
      </c>
      <c r="J277" s="9">
        <f t="shared" si="33"/>
        <v>1280.05174659312</v>
      </c>
      <c r="K277" s="9">
        <f t="shared" si="31"/>
        <v>197.28874960725</v>
      </c>
      <c r="L277" s="10">
        <f t="shared" si="30"/>
        <v>0.15412560479085119</v>
      </c>
      <c r="M277" s="10">
        <f t="shared" si="34"/>
        <v>0.17278360957813421</v>
      </c>
      <c r="N277" s="1"/>
      <c r="P277" s="8">
        <f t="shared" si="35"/>
        <v>2.9250360602008465</v>
      </c>
    </row>
    <row r="278" spans="1:16" x14ac:dyDescent="0.2">
      <c r="A278" s="8">
        <v>138</v>
      </c>
      <c r="B278" s="8">
        <v>276</v>
      </c>
      <c r="D278">
        <v>1403.9529163739001</v>
      </c>
      <c r="E278">
        <v>314.62965565706003</v>
      </c>
      <c r="F278">
        <v>144.01057827926999</v>
      </c>
      <c r="G278">
        <v>119.67348377997</v>
      </c>
      <c r="I278" s="9">
        <f t="shared" si="32"/>
        <v>194.95617187709001</v>
      </c>
      <c r="J278" s="9">
        <f t="shared" si="33"/>
        <v>1259.94233809463</v>
      </c>
      <c r="K278" s="9">
        <f t="shared" si="31"/>
        <v>194.95617187709001</v>
      </c>
      <c r="L278" s="10">
        <f t="shared" si="30"/>
        <v>0.1547342017031636</v>
      </c>
      <c r="M278" s="10">
        <f t="shared" si="34"/>
        <v>0.17346005378058219</v>
      </c>
      <c r="P278" s="8">
        <f t="shared" si="35"/>
        <v>3.3279854145965673</v>
      </c>
    </row>
    <row r="279" spans="1:16" x14ac:dyDescent="0.2">
      <c r="A279" s="8">
        <v>138.5</v>
      </c>
      <c r="B279" s="8">
        <v>277</v>
      </c>
      <c r="D279">
        <v>1434.7827004219</v>
      </c>
      <c r="E279">
        <v>319.47609001407</v>
      </c>
      <c r="F279">
        <v>143.98589562765</v>
      </c>
      <c r="G279">
        <v>119.46403385049</v>
      </c>
      <c r="I279" s="9">
        <f t="shared" si="32"/>
        <v>200.01205616357998</v>
      </c>
      <c r="J279" s="9">
        <f t="shared" si="33"/>
        <v>1290.79680479425</v>
      </c>
      <c r="K279" s="9">
        <f t="shared" si="31"/>
        <v>200.01205616357998</v>
      </c>
      <c r="L279" s="10">
        <f t="shared" si="30"/>
        <v>0.15495239484688797</v>
      </c>
      <c r="M279" s="10">
        <f t="shared" si="34"/>
        <v>0.17374609421444215</v>
      </c>
      <c r="P279" s="8">
        <f t="shared" si="35"/>
        <v>3.4983761249283765</v>
      </c>
    </row>
    <row r="280" spans="1:16" x14ac:dyDescent="0.2">
      <c r="A280" s="8">
        <v>139</v>
      </c>
      <c r="B280" s="8">
        <v>278</v>
      </c>
      <c r="D280">
        <v>1627.252995067</v>
      </c>
      <c r="E280">
        <v>339.57716701903001</v>
      </c>
      <c r="F280">
        <v>143.87376586741999</v>
      </c>
      <c r="G280">
        <v>119.98519040903</v>
      </c>
      <c r="I280" s="9">
        <f t="shared" si="32"/>
        <v>219.59197661000002</v>
      </c>
      <c r="J280" s="9">
        <f t="shared" si="33"/>
        <v>1483.3792291995801</v>
      </c>
      <c r="K280" s="9">
        <f t="shared" si="31"/>
        <v>219.59197661000002</v>
      </c>
      <c r="L280" s="10">
        <f t="shared" si="30"/>
        <v>0.14803495443878512</v>
      </c>
      <c r="M280" s="10">
        <f t="shared" si="34"/>
        <v>0.16689650109647486</v>
      </c>
      <c r="P280" s="8">
        <f t="shared" si="35"/>
        <v>-0.58184086084817277</v>
      </c>
    </row>
    <row r="281" spans="1:16" x14ac:dyDescent="0.2">
      <c r="A281" s="8">
        <v>139.5</v>
      </c>
      <c r="B281" s="8">
        <v>279</v>
      </c>
      <c r="D281">
        <v>1649.6723044398</v>
      </c>
      <c r="E281">
        <v>345.81324876674</v>
      </c>
      <c r="F281">
        <v>144.31523272214</v>
      </c>
      <c r="G281">
        <v>119.66995768688</v>
      </c>
      <c r="I281" s="9">
        <f t="shared" si="32"/>
        <v>226.14329107986001</v>
      </c>
      <c r="J281" s="9">
        <f t="shared" si="33"/>
        <v>1505.3570717176599</v>
      </c>
      <c r="K281" s="9">
        <f t="shared" si="31"/>
        <v>226.14329107986001</v>
      </c>
      <c r="L281" s="10">
        <f t="shared" si="30"/>
        <v>0.15022568088900223</v>
      </c>
      <c r="M281" s="10">
        <f t="shared" si="34"/>
        <v>0.16915507483682757</v>
      </c>
      <c r="P281" s="8">
        <f t="shared" si="35"/>
        <v>0.76356327926676826</v>
      </c>
    </row>
    <row r="282" spans="1:16" x14ac:dyDescent="0.2">
      <c r="A282" s="8">
        <v>140</v>
      </c>
      <c r="B282" s="8">
        <v>280</v>
      </c>
      <c r="D282">
        <v>1606.2995066948999</v>
      </c>
      <c r="E282">
        <v>347.90838618746</v>
      </c>
      <c r="F282">
        <v>144.32299012694</v>
      </c>
      <c r="G282">
        <v>120.00916784203</v>
      </c>
      <c r="I282" s="9">
        <f t="shared" si="32"/>
        <v>227.89921834543</v>
      </c>
      <c r="J282" s="9">
        <f t="shared" si="33"/>
        <v>1461.9765165679601</v>
      </c>
      <c r="K282" s="9">
        <f t="shared" si="31"/>
        <v>227.89921834543</v>
      </c>
      <c r="L282" s="10">
        <f t="shared" si="30"/>
        <v>0.15588432219173481</v>
      </c>
      <c r="M282" s="10">
        <f t="shared" si="34"/>
        <v>0.17488156342969571</v>
      </c>
      <c r="P282" s="8">
        <f t="shared" si="35"/>
        <v>4.1747609406557746</v>
      </c>
    </row>
    <row r="283" spans="1:16" x14ac:dyDescent="0.2">
      <c r="A283" s="8">
        <v>140.5</v>
      </c>
      <c r="B283" s="8">
        <v>281</v>
      </c>
      <c r="D283">
        <v>1618.5966029724</v>
      </c>
      <c r="E283">
        <v>344.08704883227</v>
      </c>
      <c r="F283">
        <v>144.06135401975001</v>
      </c>
      <c r="G283">
        <v>119.70521861777</v>
      </c>
      <c r="I283" s="9">
        <f t="shared" si="32"/>
        <v>224.38183021449998</v>
      </c>
      <c r="J283" s="9">
        <f t="shared" si="33"/>
        <v>1474.5352489526499</v>
      </c>
      <c r="K283" s="9">
        <f t="shared" si="31"/>
        <v>224.38183021449998</v>
      </c>
      <c r="L283" s="10">
        <f t="shared" si="30"/>
        <v>0.15217122166043609</v>
      </c>
      <c r="M283" s="10">
        <f t="shared" si="34"/>
        <v>0.17123631018853255</v>
      </c>
      <c r="P283" s="8">
        <f t="shared" si="35"/>
        <v>2.0033291583742554</v>
      </c>
    </row>
    <row r="284" spans="1:16" x14ac:dyDescent="0.2">
      <c r="A284" s="8">
        <v>141</v>
      </c>
      <c r="B284" s="8">
        <v>282</v>
      </c>
      <c r="D284">
        <v>1612.5980184006</v>
      </c>
      <c r="E284">
        <v>347.37508846425999</v>
      </c>
      <c r="F284">
        <v>144.08180535966</v>
      </c>
      <c r="G284">
        <v>119.41960507757</v>
      </c>
      <c r="I284" s="9">
        <f t="shared" si="32"/>
        <v>227.95548338668999</v>
      </c>
      <c r="J284" s="9">
        <f t="shared" si="33"/>
        <v>1468.5162130409401</v>
      </c>
      <c r="K284" s="9">
        <f t="shared" si="31"/>
        <v>227.95548338668999</v>
      </c>
      <c r="L284" s="10">
        <f t="shared" si="30"/>
        <v>0.15522844171713271</v>
      </c>
      <c r="M284" s="10">
        <f t="shared" si="34"/>
        <v>0.17436137753536476</v>
      </c>
      <c r="P284" s="8">
        <f t="shared" si="35"/>
        <v>3.8648927068415633</v>
      </c>
    </row>
    <row r="285" spans="1:16" x14ac:dyDescent="0.2">
      <c r="A285" s="8">
        <v>141.5</v>
      </c>
      <c r="B285" s="8">
        <v>283</v>
      </c>
      <c r="D285">
        <v>1606.4290755116001</v>
      </c>
      <c r="E285">
        <v>348.18278052223002</v>
      </c>
      <c r="F285">
        <v>144.60719322989999</v>
      </c>
      <c r="G285">
        <v>119.65585331453001</v>
      </c>
      <c r="I285" s="9">
        <f t="shared" si="32"/>
        <v>228.5269272077</v>
      </c>
      <c r="J285" s="9">
        <f t="shared" si="33"/>
        <v>1461.8218822817</v>
      </c>
      <c r="K285" s="9">
        <f t="shared" si="31"/>
        <v>228.5269272077</v>
      </c>
      <c r="L285" s="10">
        <f t="shared" si="30"/>
        <v>0.15633021367213448</v>
      </c>
      <c r="M285" s="10">
        <f t="shared" si="34"/>
        <v>0.1755309967805021</v>
      </c>
      <c r="P285" s="8">
        <f t="shared" si="35"/>
        <v>4.561620268422149</v>
      </c>
    </row>
    <row r="286" spans="1:16" x14ac:dyDescent="0.2">
      <c r="A286" s="8">
        <v>142</v>
      </c>
      <c r="B286" s="8">
        <v>284</v>
      </c>
      <c r="D286">
        <v>1576.7593507409999</v>
      </c>
      <c r="E286">
        <v>350.5172900494</v>
      </c>
      <c r="F286">
        <v>144.23131170663001</v>
      </c>
      <c r="G286">
        <v>119.00634696756001</v>
      </c>
      <c r="I286" s="9">
        <f t="shared" si="32"/>
        <v>231.51094308184</v>
      </c>
      <c r="J286" s="9">
        <f t="shared" si="33"/>
        <v>1432.5280390343698</v>
      </c>
      <c r="K286" s="9">
        <f t="shared" si="31"/>
        <v>231.51094308184</v>
      </c>
      <c r="L286" s="10">
        <f t="shared" si="30"/>
        <v>0.161610060517835</v>
      </c>
      <c r="M286" s="10">
        <f t="shared" si="34"/>
        <v>0.18087869091633818</v>
      </c>
      <c r="P286" s="8">
        <f t="shared" si="35"/>
        <v>7.7471748074998406</v>
      </c>
    </row>
    <row r="287" spans="1:16" x14ac:dyDescent="0.2">
      <c r="A287" s="8">
        <v>142.5</v>
      </c>
      <c r="B287" s="8">
        <v>285</v>
      </c>
      <c r="D287">
        <v>1529.9527170077999</v>
      </c>
      <c r="E287">
        <v>344.41637261821</v>
      </c>
      <c r="F287">
        <v>143.98730606487999</v>
      </c>
      <c r="G287">
        <v>119.42806770099</v>
      </c>
      <c r="I287" s="9">
        <f t="shared" si="32"/>
        <v>224.98830491722001</v>
      </c>
      <c r="J287" s="9">
        <f t="shared" si="33"/>
        <v>1385.96541094292</v>
      </c>
      <c r="K287" s="9">
        <f t="shared" si="31"/>
        <v>224.98830491722001</v>
      </c>
      <c r="L287" s="10">
        <f t="shared" si="30"/>
        <v>0.16233327552103391</v>
      </c>
      <c r="M287" s="10">
        <f t="shared" si="34"/>
        <v>0.18166975320967269</v>
      </c>
      <c r="P287" s="8">
        <f t="shared" si="35"/>
        <v>8.2184007256648393</v>
      </c>
    </row>
    <row r="288" spans="1:16" x14ac:dyDescent="0.2">
      <c r="A288" s="8">
        <v>143</v>
      </c>
      <c r="B288" s="8">
        <v>286</v>
      </c>
      <c r="D288">
        <v>1525.5434015526</v>
      </c>
      <c r="E288">
        <v>345.36203246295003</v>
      </c>
      <c r="F288">
        <v>144.54160789845</v>
      </c>
      <c r="G288">
        <v>119.70028208745001</v>
      </c>
      <c r="I288" s="9">
        <f t="shared" si="32"/>
        <v>225.66175037550002</v>
      </c>
      <c r="J288" s="9">
        <f t="shared" si="33"/>
        <v>1381.0017936541501</v>
      </c>
      <c r="K288" s="9">
        <f t="shared" si="31"/>
        <v>225.66175037550002</v>
      </c>
      <c r="L288" s="10">
        <f t="shared" si="30"/>
        <v>0.16340438615825101</v>
      </c>
      <c r="M288" s="10">
        <f t="shared" si="34"/>
        <v>0.18280871113702535</v>
      </c>
      <c r="P288" s="8">
        <f t="shared" si="35"/>
        <v>8.8968637235732917</v>
      </c>
    </row>
    <row r="289" spans="1:16" x14ac:dyDescent="0.2">
      <c r="A289" s="8">
        <v>143.5</v>
      </c>
      <c r="B289" s="8">
        <v>287</v>
      </c>
      <c r="D289">
        <v>1492.2237120678001</v>
      </c>
      <c r="E289">
        <v>330.38602681722</v>
      </c>
      <c r="F289">
        <v>143.76727785614</v>
      </c>
      <c r="G289">
        <v>119.87729196050999</v>
      </c>
      <c r="I289" s="9">
        <f t="shared" si="32"/>
        <v>210.50873485671002</v>
      </c>
      <c r="J289" s="9">
        <f t="shared" si="33"/>
        <v>1348.4564342116601</v>
      </c>
      <c r="K289" s="9">
        <f t="shared" si="31"/>
        <v>210.50873485671002</v>
      </c>
      <c r="L289" s="10">
        <f t="shared" si="30"/>
        <v>0.15611089058266719</v>
      </c>
      <c r="M289" s="10">
        <f t="shared" si="34"/>
        <v>0.1755830628515771</v>
      </c>
      <c r="P289" s="8">
        <f t="shared" si="35"/>
        <v>4.5926353760240293</v>
      </c>
    </row>
    <row r="290" spans="1:16" x14ac:dyDescent="0.2">
      <c r="A290" s="8">
        <v>144</v>
      </c>
      <c r="B290" s="8">
        <v>288</v>
      </c>
      <c r="D290">
        <v>1626.8135593219999</v>
      </c>
      <c r="E290">
        <v>349.93149717514001</v>
      </c>
      <c r="F290">
        <v>143.87306064879999</v>
      </c>
      <c r="G290">
        <v>119.93723554301999</v>
      </c>
      <c r="I290" s="9">
        <f t="shared" si="32"/>
        <v>229.99426163212001</v>
      </c>
      <c r="J290" s="9">
        <f t="shared" si="33"/>
        <v>1482.9404986732</v>
      </c>
      <c r="K290" s="9">
        <f t="shared" si="31"/>
        <v>229.99426163212001</v>
      </c>
      <c r="L290" s="10">
        <f t="shared" si="30"/>
        <v>0.15509338495907146</v>
      </c>
      <c r="M290" s="10">
        <f t="shared" si="34"/>
        <v>0.17463340451811696</v>
      </c>
      <c r="P290" s="8">
        <f t="shared" si="35"/>
        <v>4.026935779546652</v>
      </c>
    </row>
    <row r="291" spans="1:16" x14ac:dyDescent="0.2">
      <c r="A291" s="8">
        <v>144.5</v>
      </c>
      <c r="B291" s="8">
        <v>289</v>
      </c>
      <c r="D291">
        <v>1628.0720338983001</v>
      </c>
      <c r="E291">
        <v>352.24717514124001</v>
      </c>
      <c r="F291">
        <v>144.29548660085001</v>
      </c>
      <c r="G291">
        <v>119.79125528914</v>
      </c>
      <c r="I291" s="9">
        <f t="shared" si="32"/>
        <v>232.45591985210001</v>
      </c>
      <c r="J291" s="9">
        <f t="shared" si="33"/>
        <v>1483.7765472974502</v>
      </c>
      <c r="K291" s="9">
        <f t="shared" si="31"/>
        <v>232.45591985210001</v>
      </c>
      <c r="L291" s="10">
        <f t="shared" si="30"/>
        <v>0.15666504520205221</v>
      </c>
      <c r="M291" s="10">
        <f t="shared" si="34"/>
        <v>0.17627291205123327</v>
      </c>
      <c r="P291" s="8">
        <f t="shared" si="35"/>
        <v>5.0035699196654742</v>
      </c>
    </row>
    <row r="292" spans="1:16" x14ac:dyDescent="0.2">
      <c r="A292" s="8">
        <v>145</v>
      </c>
      <c r="B292" s="8">
        <v>290</v>
      </c>
      <c r="D292">
        <v>1631.7655367232001</v>
      </c>
      <c r="E292">
        <v>356.17514124294001</v>
      </c>
      <c r="F292">
        <v>143.99858956276</v>
      </c>
      <c r="G292">
        <v>119.55359661495</v>
      </c>
      <c r="I292" s="9">
        <f>E292-G292</f>
        <v>236.62154462799003</v>
      </c>
      <c r="J292" s="9">
        <f>D292-F292</f>
        <v>1487.7669471604399</v>
      </c>
      <c r="K292" s="9">
        <f t="shared" si="31"/>
        <v>236.62154462799003</v>
      </c>
      <c r="L292" s="10">
        <f t="shared" si="30"/>
        <v>0.15904476509550586</v>
      </c>
      <c r="M292" s="10">
        <f>L292+ABS($N$2)*A292</f>
        <v>0.17872047923482251</v>
      </c>
      <c r="O292" s="11"/>
      <c r="P292" s="8">
        <f>(M292-$O$2)/$O$2*100</f>
        <v>6.4615550910932544</v>
      </c>
    </row>
    <row r="293" spans="1:16" x14ac:dyDescent="0.2">
      <c r="A293" s="8">
        <v>145.5</v>
      </c>
      <c r="B293" s="8">
        <v>291</v>
      </c>
      <c r="D293">
        <v>1585.979519774</v>
      </c>
      <c r="E293">
        <v>347.43149717514001</v>
      </c>
      <c r="F293">
        <v>144.67983074752999</v>
      </c>
      <c r="G293">
        <v>119.45345557122999</v>
      </c>
      <c r="I293" s="9">
        <f t="shared" ref="I293:I301" si="36">E293-G293</f>
        <v>227.97804160391001</v>
      </c>
      <c r="J293" s="9">
        <f t="shared" ref="J293:J301" si="37">D293-F293</f>
        <v>1441.2996890264699</v>
      </c>
      <c r="K293" s="9">
        <f t="shared" si="31"/>
        <v>227.97804160391001</v>
      </c>
      <c r="L293" s="10">
        <f t="shared" si="30"/>
        <v>0.15817532144053847</v>
      </c>
      <c r="M293" s="10">
        <f t="shared" ref="M293:M301" si="38">L293+ABS($N$2)*A293</f>
        <v>0.17791888286999069</v>
      </c>
      <c r="P293" s="8">
        <f t="shared" ref="P293:P301" si="39">(M293-$O$2)/$O$2*100</f>
        <v>5.9840541582357787</v>
      </c>
    </row>
    <row r="294" spans="1:16" x14ac:dyDescent="0.2">
      <c r="A294" s="8">
        <v>146</v>
      </c>
      <c r="B294" s="8">
        <v>292</v>
      </c>
      <c r="D294">
        <v>1550.9251412429001</v>
      </c>
      <c r="E294">
        <v>349.72104519774001</v>
      </c>
      <c r="F294">
        <v>144.35754583920999</v>
      </c>
      <c r="G294">
        <v>119.83991537377</v>
      </c>
      <c r="I294" s="9">
        <f t="shared" si="36"/>
        <v>229.88112982397001</v>
      </c>
      <c r="J294" s="9">
        <f t="shared" si="37"/>
        <v>1406.5675954036901</v>
      </c>
      <c r="K294" s="9">
        <f t="shared" si="31"/>
        <v>229.88112982397001</v>
      </c>
      <c r="L294" s="10">
        <f t="shared" si="30"/>
        <v>0.16343411477355504</v>
      </c>
      <c r="M294" s="10">
        <f t="shared" si="38"/>
        <v>0.18324552349314283</v>
      </c>
      <c r="N294" s="1"/>
      <c r="P294" s="8">
        <f t="shared" si="39"/>
        <v>9.1570673830216833</v>
      </c>
    </row>
    <row r="295" spans="1:16" x14ac:dyDescent="0.2">
      <c r="A295" s="8">
        <v>146.5</v>
      </c>
      <c r="B295" s="8">
        <v>293</v>
      </c>
      <c r="D295">
        <v>1514.4833687190001</v>
      </c>
      <c r="E295">
        <v>336.09554140127</v>
      </c>
      <c r="F295">
        <v>144.31593794075999</v>
      </c>
      <c r="G295">
        <v>119.61001410436999</v>
      </c>
      <c r="I295" s="9">
        <f t="shared" si="36"/>
        <v>216.48552729689999</v>
      </c>
      <c r="J295" s="9">
        <f t="shared" si="37"/>
        <v>1370.16743077824</v>
      </c>
      <c r="K295" s="9">
        <f t="shared" si="31"/>
        <v>216.48552729689999</v>
      </c>
      <c r="L295" s="10">
        <f t="shared" si="30"/>
        <v>0.15799932361108496</v>
      </c>
      <c r="M295" s="10">
        <f t="shared" si="38"/>
        <v>0.17787857962080833</v>
      </c>
      <c r="P295" s="8">
        <f t="shared" si="39"/>
        <v>5.9600460165748546</v>
      </c>
    </row>
    <row r="296" spans="1:16" x14ac:dyDescent="0.2">
      <c r="A296" s="8">
        <v>147</v>
      </c>
      <c r="B296" s="8">
        <v>294</v>
      </c>
      <c r="D296">
        <v>1514.6970983722999</v>
      </c>
      <c r="E296">
        <v>340.31493276715997</v>
      </c>
      <c r="F296">
        <v>144.66078984485</v>
      </c>
      <c r="G296">
        <v>119.75528913962999</v>
      </c>
      <c r="I296" s="9">
        <f t="shared" si="36"/>
        <v>220.55964362752997</v>
      </c>
      <c r="J296" s="9">
        <f t="shared" si="37"/>
        <v>1370.0363085274498</v>
      </c>
      <c r="K296" s="9">
        <f t="shared" si="31"/>
        <v>220.55964362752997</v>
      </c>
      <c r="L296" s="10">
        <f t="shared" si="30"/>
        <v>0.16098817400291612</v>
      </c>
      <c r="M296" s="10">
        <f t="shared" si="38"/>
        <v>0.18093527730277506</v>
      </c>
      <c r="P296" s="8">
        <f t="shared" si="39"/>
        <v>7.7808826104491624</v>
      </c>
    </row>
    <row r="297" spans="1:16" x14ac:dyDescent="0.2">
      <c r="A297" s="8">
        <v>147.5</v>
      </c>
      <c r="B297" s="8">
        <v>295</v>
      </c>
      <c r="D297">
        <v>1495.8697806086</v>
      </c>
      <c r="E297">
        <v>341.17126680821002</v>
      </c>
      <c r="F297">
        <v>144.65937940762001</v>
      </c>
      <c r="G297">
        <v>119.80677009873</v>
      </c>
      <c r="I297" s="9">
        <f t="shared" si="36"/>
        <v>221.36449670948002</v>
      </c>
      <c r="J297" s="9">
        <f t="shared" si="37"/>
        <v>1351.21040120098</v>
      </c>
      <c r="K297" s="9">
        <f t="shared" si="31"/>
        <v>221.36449670948002</v>
      </c>
      <c r="L297" s="10">
        <f t="shared" si="30"/>
        <v>0.16382681521155204</v>
      </c>
      <c r="M297" s="10">
        <f t="shared" si="38"/>
        <v>0.18384176580154654</v>
      </c>
      <c r="P297" s="8">
        <f t="shared" si="39"/>
        <v>9.5122414718308335</v>
      </c>
    </row>
    <row r="298" spans="1:16" x14ac:dyDescent="0.2">
      <c r="A298" s="8">
        <v>148</v>
      </c>
      <c r="B298" s="8">
        <v>296</v>
      </c>
      <c r="D298">
        <v>1459.7813163482001</v>
      </c>
      <c r="E298">
        <v>330.77070063693998</v>
      </c>
      <c r="F298">
        <v>144.76657263752</v>
      </c>
      <c r="G298">
        <v>120.12200282086999</v>
      </c>
      <c r="I298" s="9">
        <f t="shared" si="36"/>
        <v>210.64869781606998</v>
      </c>
      <c r="J298" s="9">
        <f t="shared" si="37"/>
        <v>1315.01474371068</v>
      </c>
      <c r="K298" s="9">
        <f t="shared" si="31"/>
        <v>210.64869781606998</v>
      </c>
      <c r="L298" s="10">
        <f t="shared" si="30"/>
        <v>0.16018732780262682</v>
      </c>
      <c r="M298" s="10">
        <f t="shared" si="38"/>
        <v>0.18027012568275691</v>
      </c>
      <c r="P298" s="8">
        <f t="shared" si="39"/>
        <v>7.3846601062253994</v>
      </c>
    </row>
    <row r="299" spans="1:16" x14ac:dyDescent="0.2">
      <c r="A299" s="8">
        <v>148.5</v>
      </c>
      <c r="B299" s="8">
        <v>297</v>
      </c>
      <c r="D299">
        <v>1476.6768465908999</v>
      </c>
      <c r="E299">
        <v>329.40340909090997</v>
      </c>
      <c r="F299">
        <v>144.65937940762001</v>
      </c>
      <c r="G299">
        <v>119.83709449929999</v>
      </c>
      <c r="I299" s="9">
        <f t="shared" si="36"/>
        <v>209.56631459160997</v>
      </c>
      <c r="J299" s="9">
        <f t="shared" si="37"/>
        <v>1332.0174671832799</v>
      </c>
      <c r="K299" s="9">
        <f t="shared" si="31"/>
        <v>209.56631459160997</v>
      </c>
      <c r="L299" s="10">
        <f t="shared" si="30"/>
        <v>0.15733000486454923</v>
      </c>
      <c r="M299" s="10">
        <f t="shared" si="38"/>
        <v>0.17748065003481489</v>
      </c>
      <c r="P299" s="8">
        <f t="shared" si="39"/>
        <v>5.7230043371713784</v>
      </c>
    </row>
    <row r="300" spans="1:16" x14ac:dyDescent="0.2">
      <c r="A300" s="8">
        <v>149</v>
      </c>
      <c r="B300" s="8">
        <v>298</v>
      </c>
      <c r="D300">
        <v>1476.4204545455</v>
      </c>
      <c r="E300">
        <v>321.98863636364001</v>
      </c>
      <c r="F300">
        <v>144.48660084625999</v>
      </c>
      <c r="G300">
        <v>119.95275035261</v>
      </c>
      <c r="I300" s="9">
        <f t="shared" si="36"/>
        <v>202.03588601103002</v>
      </c>
      <c r="J300" s="9">
        <f t="shared" si="37"/>
        <v>1331.93385369924</v>
      </c>
      <c r="K300" s="9">
        <f t="shared" si="31"/>
        <v>202.03588601103002</v>
      </c>
      <c r="L300" s="10">
        <f t="shared" si="30"/>
        <v>0.15168612574108439</v>
      </c>
      <c r="M300" s="10">
        <f t="shared" si="38"/>
        <v>0.17190461820148564</v>
      </c>
      <c r="P300" s="8">
        <f t="shared" si="39"/>
        <v>2.4014318864076829</v>
      </c>
    </row>
    <row r="301" spans="1:16" x14ac:dyDescent="0.2">
      <c r="A301" s="8">
        <v>149.5</v>
      </c>
      <c r="B301" s="8">
        <v>299</v>
      </c>
      <c r="D301">
        <v>1533.0575284091001</v>
      </c>
      <c r="E301">
        <v>328.95454545454999</v>
      </c>
      <c r="F301">
        <v>144.54654442877001</v>
      </c>
      <c r="G301">
        <v>120.04513399154</v>
      </c>
      <c r="I301" s="9">
        <f t="shared" si="36"/>
        <v>208.90941146300997</v>
      </c>
      <c r="J301" s="9">
        <f t="shared" si="37"/>
        <v>1388.5109839803301</v>
      </c>
      <c r="K301" s="9">
        <f t="shared" si="31"/>
        <v>208.90941146300997</v>
      </c>
      <c r="L301" s="10">
        <f t="shared" si="30"/>
        <v>0.15045571397940732</v>
      </c>
      <c r="M301" s="10">
        <f t="shared" si="38"/>
        <v>0.17074205372994414</v>
      </c>
      <c r="P301" s="8">
        <f t="shared" si="39"/>
        <v>1.7089067652583425</v>
      </c>
    </row>
    <row r="302" spans="1:16" x14ac:dyDescent="0.2">
      <c r="A302" s="8">
        <v>150</v>
      </c>
      <c r="B302" s="8">
        <v>300</v>
      </c>
      <c r="D302">
        <v>1612.0429880197</v>
      </c>
      <c r="E302">
        <v>341.29034531360003</v>
      </c>
      <c r="F302">
        <v>144.06205923836001</v>
      </c>
      <c r="G302">
        <v>119.63610719323</v>
      </c>
      <c r="I302" s="9">
        <f>E302-G302</f>
        <v>221.65423812037002</v>
      </c>
      <c r="J302" s="9">
        <f>D302-F302</f>
        <v>1467.98092878134</v>
      </c>
      <c r="K302" s="9">
        <f t="shared" si="31"/>
        <v>221.65423812037002</v>
      </c>
      <c r="L302" s="10">
        <f t="shared" si="30"/>
        <v>0.15099258701158921</v>
      </c>
      <c r="M302" s="10">
        <f>L302+ABS($N$2)*A302</f>
        <v>0.17134677405226159</v>
      </c>
      <c r="O302" s="11"/>
      <c r="P302" s="8">
        <f>(M302-$O$2)/$O$2*100</f>
        <v>2.0691311009625597</v>
      </c>
    </row>
    <row r="303" spans="1:16" x14ac:dyDescent="0.2">
      <c r="A303" s="8">
        <v>150.5</v>
      </c>
      <c r="B303" s="8">
        <v>301</v>
      </c>
      <c r="D303">
        <v>1584.5348837209001</v>
      </c>
      <c r="E303">
        <v>336.55038759690001</v>
      </c>
      <c r="F303">
        <v>144.63399153738001</v>
      </c>
      <c r="G303">
        <v>119.89280677009999</v>
      </c>
      <c r="I303" s="9">
        <f t="shared" ref="I303:I309" si="40">E303-G303</f>
        <v>216.65758082680003</v>
      </c>
      <c r="J303" s="9">
        <f t="shared" ref="J303:J309" si="41">D303-F303</f>
        <v>1439.90089218352</v>
      </c>
      <c r="K303" s="9">
        <f t="shared" si="31"/>
        <v>216.65758082680003</v>
      </c>
      <c r="L303" s="10">
        <f t="shared" si="30"/>
        <v>0.15046700922467818</v>
      </c>
      <c r="M303" s="10">
        <f t="shared" ref="M303:M309" si="42">L303+ABS($N$2)*A303</f>
        <v>0.17088904355548615</v>
      </c>
      <c r="P303" s="8">
        <f t="shared" ref="P303:P309" si="43">(M303-$O$2)/$O$2*100</f>
        <v>1.7964667666458152</v>
      </c>
    </row>
    <row r="304" spans="1:16" x14ac:dyDescent="0.2">
      <c r="A304" s="8">
        <v>151</v>
      </c>
      <c r="B304" s="8">
        <v>302</v>
      </c>
      <c r="D304">
        <v>1487.5447498238</v>
      </c>
      <c r="E304">
        <v>334.82100070472001</v>
      </c>
      <c r="F304">
        <v>144.74894217207</v>
      </c>
      <c r="G304">
        <v>119.4125528914</v>
      </c>
      <c r="I304" s="9">
        <f t="shared" si="40"/>
        <v>215.40844781332001</v>
      </c>
      <c r="J304" s="9">
        <f t="shared" si="41"/>
        <v>1342.79580765173</v>
      </c>
      <c r="K304" s="9">
        <f t="shared" si="31"/>
        <v>215.40844781332001</v>
      </c>
      <c r="L304" s="10">
        <f t="shared" si="30"/>
        <v>0.16041787335486585</v>
      </c>
      <c r="M304" s="10">
        <f t="shared" si="42"/>
        <v>0.18090775497580938</v>
      </c>
      <c r="N304" s="1"/>
      <c r="P304" s="8">
        <f t="shared" si="43"/>
        <v>7.76448790436379</v>
      </c>
    </row>
    <row r="305" spans="1:16" x14ac:dyDescent="0.2">
      <c r="A305" s="8">
        <v>151.5</v>
      </c>
      <c r="B305" s="8">
        <v>303</v>
      </c>
      <c r="D305">
        <v>1547.9936708861001</v>
      </c>
      <c r="E305">
        <v>331.91279887482</v>
      </c>
      <c r="F305">
        <v>144.26022566995999</v>
      </c>
      <c r="G305">
        <v>119.99365303243999</v>
      </c>
      <c r="I305" s="9">
        <f t="shared" si="40"/>
        <v>211.91914584238</v>
      </c>
      <c r="J305" s="9">
        <f t="shared" si="41"/>
        <v>1403.7334452161401</v>
      </c>
      <c r="K305" s="9">
        <f t="shared" si="31"/>
        <v>211.91914584238</v>
      </c>
      <c r="L305" s="10">
        <f t="shared" si="30"/>
        <v>0.15096822446212338</v>
      </c>
      <c r="M305" s="10">
        <f t="shared" si="42"/>
        <v>0.17152595337320248</v>
      </c>
      <c r="P305" s="8">
        <f t="shared" si="43"/>
        <v>2.1758659823214499</v>
      </c>
    </row>
    <row r="306" spans="1:16" x14ac:dyDescent="0.2">
      <c r="A306" s="8">
        <v>152</v>
      </c>
      <c r="B306" s="8">
        <v>304</v>
      </c>
      <c r="D306">
        <v>1498.3853727144999</v>
      </c>
      <c r="E306">
        <v>323.05696202531999</v>
      </c>
      <c r="F306">
        <v>144.54513399154001</v>
      </c>
      <c r="G306">
        <v>119.99929478138</v>
      </c>
      <c r="I306" s="9">
        <f t="shared" si="40"/>
        <v>203.05766724393999</v>
      </c>
      <c r="J306" s="9">
        <f t="shared" si="41"/>
        <v>1353.8402387229598</v>
      </c>
      <c r="K306" s="9">
        <f t="shared" si="31"/>
        <v>203.05766724393999</v>
      </c>
      <c r="L306" s="10">
        <f t="shared" si="30"/>
        <v>0.14998643225103037</v>
      </c>
      <c r="M306" s="10">
        <f t="shared" si="42"/>
        <v>0.17061200845224506</v>
      </c>
      <c r="P306" s="8">
        <f t="shared" si="43"/>
        <v>1.6314404191777325</v>
      </c>
    </row>
    <row r="307" spans="1:16" x14ac:dyDescent="0.2">
      <c r="A307" s="8">
        <v>152.5</v>
      </c>
      <c r="B307" s="8">
        <v>305</v>
      </c>
      <c r="D307">
        <v>1562.4360056259</v>
      </c>
      <c r="E307">
        <v>330.12658227847999</v>
      </c>
      <c r="F307">
        <v>144.62623413258001</v>
      </c>
      <c r="G307">
        <v>119.69252468265</v>
      </c>
      <c r="I307" s="9">
        <f t="shared" si="40"/>
        <v>210.43405759582998</v>
      </c>
      <c r="J307" s="9">
        <f t="shared" si="41"/>
        <v>1417.8097714933199</v>
      </c>
      <c r="K307" s="9">
        <f t="shared" si="31"/>
        <v>210.43405759582998</v>
      </c>
      <c r="L307" s="10">
        <f t="shared" si="30"/>
        <v>0.14842192642965676</v>
      </c>
      <c r="M307" s="10">
        <f t="shared" si="42"/>
        <v>0.16911534992100702</v>
      </c>
      <c r="P307" s="8">
        <f t="shared" si="43"/>
        <v>0.7398996435590679</v>
      </c>
    </row>
    <row r="308" spans="1:16" x14ac:dyDescent="0.2">
      <c r="A308" s="8">
        <v>153</v>
      </c>
      <c r="B308" s="8">
        <v>306</v>
      </c>
      <c r="D308">
        <v>1342.3909985934999</v>
      </c>
      <c r="E308">
        <v>297.03727144866002</v>
      </c>
      <c r="F308">
        <v>144.39210155148001</v>
      </c>
      <c r="G308">
        <v>119.88222849083</v>
      </c>
      <c r="I308" s="9">
        <f t="shared" si="40"/>
        <v>177.15504295783001</v>
      </c>
      <c r="J308" s="9">
        <f t="shared" si="41"/>
        <v>1197.99889704202</v>
      </c>
      <c r="K308" s="9">
        <f t="shared" si="31"/>
        <v>177.15504295783001</v>
      </c>
      <c r="L308" s="10">
        <f t="shared" si="30"/>
        <v>0.14787579804559392</v>
      </c>
      <c r="M308" s="10">
        <f t="shared" si="42"/>
        <v>0.16863706882707977</v>
      </c>
      <c r="P308" s="8">
        <f t="shared" si="43"/>
        <v>0.45499357544550761</v>
      </c>
    </row>
    <row r="309" spans="1:16" x14ac:dyDescent="0.2">
      <c r="A309" s="8">
        <v>153.5</v>
      </c>
      <c r="B309" s="8">
        <v>307</v>
      </c>
      <c r="D309">
        <v>1613.5080815179001</v>
      </c>
      <c r="E309">
        <v>334.57273366127998</v>
      </c>
      <c r="F309">
        <v>144.94922425952001</v>
      </c>
      <c r="G309">
        <v>120.02538787024</v>
      </c>
      <c r="I309" s="9">
        <f t="shared" si="40"/>
        <v>214.54734579103999</v>
      </c>
      <c r="J309" s="9">
        <f t="shared" si="41"/>
        <v>1468.5588572583802</v>
      </c>
      <c r="K309" s="9">
        <f t="shared" si="31"/>
        <v>214.54734579103999</v>
      </c>
      <c r="L309" s="10">
        <f t="shared" si="30"/>
        <v>0.14609380123284513</v>
      </c>
      <c r="M309" s="10">
        <f t="shared" si="42"/>
        <v>0.16692291930446654</v>
      </c>
      <c r="P309" s="8">
        <f t="shared" si="43"/>
        <v>-0.56610386463175844</v>
      </c>
    </row>
    <row r="310" spans="1:16" x14ac:dyDescent="0.2">
      <c r="A310" s="8">
        <v>154</v>
      </c>
      <c r="B310" s="8">
        <v>308</v>
      </c>
      <c r="D310">
        <v>1613.0583274772</v>
      </c>
      <c r="E310">
        <v>332.5158116655</v>
      </c>
      <c r="F310">
        <v>145.07757404796001</v>
      </c>
      <c r="G310">
        <v>119.61988716502</v>
      </c>
      <c r="I310" s="9">
        <f>E310-G310</f>
        <v>212.89592450047999</v>
      </c>
      <c r="J310" s="9">
        <f>D310-F310</f>
        <v>1467.9807534292399</v>
      </c>
      <c r="K310" s="9">
        <f t="shared" si="31"/>
        <v>212.89592450047999</v>
      </c>
      <c r="L310" s="10">
        <f t="shared" si="30"/>
        <v>0.14502637313408215</v>
      </c>
      <c r="M310" s="10">
        <f>L310+ABS($N$2)*A310</f>
        <v>0.16592333849583912</v>
      </c>
      <c r="O310" s="11"/>
      <c r="P310" s="8">
        <f>(M310-$O$2)/$O$2*100</f>
        <v>-1.1615416554283289</v>
      </c>
    </row>
    <row r="311" spans="1:16" x14ac:dyDescent="0.2">
      <c r="A311" s="8">
        <v>154.5</v>
      </c>
      <c r="B311" s="8">
        <v>309</v>
      </c>
      <c r="D311">
        <v>1580.7751229795999</v>
      </c>
      <c r="E311">
        <v>326.19957835559001</v>
      </c>
      <c r="F311">
        <v>144.2658674189</v>
      </c>
      <c r="G311">
        <v>120.19181946403</v>
      </c>
      <c r="I311" s="9">
        <f t="shared" ref="I311:I319" si="44">E311-G311</f>
        <v>206.00775889156</v>
      </c>
      <c r="J311" s="9">
        <f t="shared" ref="J311:J319" si="45">D311-F311</f>
        <v>1436.5092555607</v>
      </c>
      <c r="K311" s="9">
        <f t="shared" si="31"/>
        <v>206.00775889156</v>
      </c>
      <c r="L311" s="10">
        <f t="shared" si="30"/>
        <v>0.14340858445158489</v>
      </c>
      <c r="M311" s="10">
        <f t="shared" ref="M311:M319" si="46">L311+ABS($N$2)*A311</f>
        <v>0.16437339710347745</v>
      </c>
      <c r="P311" s="8">
        <f t="shared" ref="P311:P319" si="47">(M311-$O$2)/$O$2*100</f>
        <v>-2.0848223652683613</v>
      </c>
    </row>
    <row r="312" spans="1:16" x14ac:dyDescent="0.2">
      <c r="A312" s="8">
        <v>155</v>
      </c>
      <c r="B312" s="8">
        <v>310</v>
      </c>
      <c r="D312">
        <v>1538.5987350667999</v>
      </c>
      <c r="E312">
        <v>321.21855235418002</v>
      </c>
      <c r="F312">
        <v>144.54372355429999</v>
      </c>
      <c r="G312">
        <v>120.29266572637999</v>
      </c>
      <c r="I312" s="9">
        <f t="shared" si="44"/>
        <v>200.92588662780003</v>
      </c>
      <c r="J312" s="9">
        <f t="shared" si="45"/>
        <v>1394.0550115125</v>
      </c>
      <c r="K312" s="9">
        <f t="shared" si="31"/>
        <v>200.92588662780003</v>
      </c>
      <c r="L312" s="10">
        <f t="shared" si="30"/>
        <v>0.14413052926068004</v>
      </c>
      <c r="M312" s="10">
        <f t="shared" si="46"/>
        <v>0.16516318920270817</v>
      </c>
      <c r="N312" s="1"/>
      <c r="P312" s="8">
        <f t="shared" si="47"/>
        <v>-1.6143530858508386</v>
      </c>
    </row>
    <row r="313" spans="1:16" x14ac:dyDescent="0.2">
      <c r="A313" s="8">
        <v>155.5</v>
      </c>
      <c r="B313" s="8">
        <v>311</v>
      </c>
      <c r="D313">
        <v>1546.5655853315</v>
      </c>
      <c r="E313">
        <v>323.68758815233002</v>
      </c>
      <c r="F313">
        <v>144.74471086036999</v>
      </c>
      <c r="G313">
        <v>119.93723554301999</v>
      </c>
      <c r="I313" s="9">
        <f t="shared" si="44"/>
        <v>203.75035260931003</v>
      </c>
      <c r="J313" s="9">
        <f t="shared" si="45"/>
        <v>1401.8208744711301</v>
      </c>
      <c r="K313" s="9">
        <f t="shared" si="31"/>
        <v>203.75035260931003</v>
      </c>
      <c r="L313" s="10">
        <f t="shared" si="30"/>
        <v>0.14534692436091712</v>
      </c>
      <c r="M313" s="10">
        <f t="shared" si="46"/>
        <v>0.16644743159308084</v>
      </c>
      <c r="P313" s="8">
        <f t="shared" si="47"/>
        <v>-0.84934594968858401</v>
      </c>
    </row>
    <row r="314" spans="1:16" x14ac:dyDescent="0.2">
      <c r="A314" s="8">
        <v>156</v>
      </c>
      <c r="B314" s="8">
        <v>312</v>
      </c>
      <c r="D314">
        <v>1508.7729196051</v>
      </c>
      <c r="E314">
        <v>318.03526093088999</v>
      </c>
      <c r="F314">
        <v>144.96544428773001</v>
      </c>
      <c r="G314">
        <v>119.89351198871999</v>
      </c>
      <c r="I314" s="9">
        <f t="shared" si="44"/>
        <v>198.14174894217001</v>
      </c>
      <c r="J314" s="9">
        <f t="shared" si="45"/>
        <v>1363.8074753173701</v>
      </c>
      <c r="K314" s="9">
        <f t="shared" si="31"/>
        <v>198.14174894217001</v>
      </c>
      <c r="L314" s="10">
        <f t="shared" si="30"/>
        <v>0.1452857184963447</v>
      </c>
      <c r="M314" s="10">
        <f t="shared" si="46"/>
        <v>0.16645407301864398</v>
      </c>
      <c r="P314" s="8">
        <f t="shared" si="47"/>
        <v>-0.84538973551267615</v>
      </c>
    </row>
    <row r="315" spans="1:16" x14ac:dyDescent="0.2">
      <c r="A315" s="8">
        <v>156.5</v>
      </c>
      <c r="B315" s="8">
        <v>313</v>
      </c>
      <c r="D315">
        <v>1512.8413258109999</v>
      </c>
      <c r="E315">
        <v>316.74964739068997</v>
      </c>
      <c r="F315">
        <v>144.91184767278</v>
      </c>
      <c r="G315">
        <v>120.1784203103</v>
      </c>
      <c r="I315" s="9">
        <f t="shared" si="44"/>
        <v>196.57122708038997</v>
      </c>
      <c r="J315" s="9">
        <f t="shared" si="45"/>
        <v>1367.92947813822</v>
      </c>
      <c r="K315" s="9">
        <f t="shared" si="31"/>
        <v>196.57122708038997</v>
      </c>
      <c r="L315" s="10">
        <f t="shared" si="30"/>
        <v>0.14369982533597231</v>
      </c>
      <c r="M315" s="10">
        <f t="shared" si="46"/>
        <v>0.16493602714840716</v>
      </c>
      <c r="P315" s="8">
        <f t="shared" si="47"/>
        <v>-1.749670681585334</v>
      </c>
    </row>
    <row r="316" spans="1:16" x14ac:dyDescent="0.2">
      <c r="A316" s="8">
        <v>157</v>
      </c>
      <c r="B316" s="8">
        <v>314</v>
      </c>
      <c r="D316">
        <v>1500.4950634697</v>
      </c>
      <c r="E316">
        <v>316.54231311707002</v>
      </c>
      <c r="F316">
        <v>144.97108603666999</v>
      </c>
      <c r="G316">
        <v>119.89774330042</v>
      </c>
      <c r="I316" s="9">
        <f t="shared" si="44"/>
        <v>196.64456981665001</v>
      </c>
      <c r="J316" s="9">
        <f t="shared" si="45"/>
        <v>1355.52397743303</v>
      </c>
      <c r="K316" s="9">
        <f t="shared" si="31"/>
        <v>196.64456981665001</v>
      </c>
      <c r="L316" s="10">
        <f t="shared" si="30"/>
        <v>0.14506904569038895</v>
      </c>
      <c r="M316" s="10">
        <f t="shared" si="46"/>
        <v>0.16637309479295939</v>
      </c>
      <c r="P316" s="8">
        <f t="shared" si="47"/>
        <v>-0.89362745215158368</v>
      </c>
    </row>
    <row r="317" spans="1:16" x14ac:dyDescent="0.2">
      <c r="A317" s="8">
        <v>157.5</v>
      </c>
      <c r="B317" s="8">
        <v>315</v>
      </c>
      <c r="D317">
        <v>1407.2418899858999</v>
      </c>
      <c r="E317">
        <v>309.86882933709001</v>
      </c>
      <c r="F317">
        <v>145.23695345556999</v>
      </c>
      <c r="G317">
        <v>119.72284908322</v>
      </c>
      <c r="I317" s="9">
        <f t="shared" si="44"/>
        <v>190.14598025386999</v>
      </c>
      <c r="J317" s="9">
        <f t="shared" si="45"/>
        <v>1262.0049365303298</v>
      </c>
      <c r="K317" s="9">
        <f t="shared" si="31"/>
        <v>190.14598025386999</v>
      </c>
      <c r="L317" s="10">
        <f t="shared" si="30"/>
        <v>0.15066975948338551</v>
      </c>
      <c r="M317" s="10">
        <f t="shared" si="46"/>
        <v>0.17204165587609152</v>
      </c>
      <c r="P317" s="8">
        <f t="shared" si="47"/>
        <v>2.4830635159057217</v>
      </c>
    </row>
    <row r="318" spans="1:16" x14ac:dyDescent="0.2">
      <c r="A318" s="8">
        <v>158</v>
      </c>
      <c r="B318" s="8">
        <v>316</v>
      </c>
      <c r="D318">
        <v>1471.5161971831001</v>
      </c>
      <c r="E318">
        <v>312.95915492958</v>
      </c>
      <c r="F318">
        <v>144.91184767278</v>
      </c>
      <c r="G318">
        <v>119.68829337095001</v>
      </c>
      <c r="I318" s="9">
        <f t="shared" si="44"/>
        <v>193.27086155862997</v>
      </c>
      <c r="J318" s="9">
        <f t="shared" si="45"/>
        <v>1326.6043495103202</v>
      </c>
      <c r="K318" s="9">
        <f t="shared" si="31"/>
        <v>193.27086155862997</v>
      </c>
      <c r="L318" s="10">
        <f t="shared" si="30"/>
        <v>0.1456883973205505</v>
      </c>
      <c r="M318" s="10">
        <f t="shared" si="46"/>
        <v>0.16712814100339207</v>
      </c>
      <c r="P318" s="8">
        <f t="shared" si="47"/>
        <v>-0.44385586429296164</v>
      </c>
    </row>
    <row r="319" spans="1:16" x14ac:dyDescent="0.2">
      <c r="A319" s="8">
        <v>158.5</v>
      </c>
      <c r="B319" s="8">
        <v>317</v>
      </c>
      <c r="D319">
        <v>1499.1978873239</v>
      </c>
      <c r="E319">
        <v>314.23732394365999</v>
      </c>
      <c r="F319">
        <v>144.96967559944</v>
      </c>
      <c r="G319">
        <v>120.01269393512</v>
      </c>
      <c r="I319" s="9">
        <f t="shared" si="44"/>
        <v>194.22463000853998</v>
      </c>
      <c r="J319" s="9">
        <f t="shared" si="45"/>
        <v>1354.2282117244599</v>
      </c>
      <c r="K319" s="9">
        <f t="shared" si="31"/>
        <v>194.22463000853998</v>
      </c>
      <c r="L319" s="10">
        <f t="shared" si="30"/>
        <v>0.14342090079575021</v>
      </c>
      <c r="M319" s="10">
        <f t="shared" si="46"/>
        <v>0.16492849176872737</v>
      </c>
      <c r="P319" s="8">
        <f t="shared" si="47"/>
        <v>-1.7541594130521869</v>
      </c>
    </row>
    <row r="320" spans="1:16" x14ac:dyDescent="0.2">
      <c r="A320" s="8">
        <v>159</v>
      </c>
      <c r="B320" s="8">
        <v>318</v>
      </c>
      <c r="D320">
        <v>1417.7281690141001</v>
      </c>
      <c r="E320">
        <v>301.71478873238999</v>
      </c>
      <c r="F320">
        <v>144.22919605077999</v>
      </c>
      <c r="G320">
        <v>119.70380818053999</v>
      </c>
      <c r="I320" s="9">
        <f>E320-G320</f>
        <v>182.01098055185</v>
      </c>
      <c r="J320" s="9">
        <f>D320-F320</f>
        <v>1273.4989729633201</v>
      </c>
      <c r="K320" s="9">
        <f t="shared" si="31"/>
        <v>182.01098055185</v>
      </c>
      <c r="L320" s="10">
        <f t="shared" si="30"/>
        <v>0.1429219688558731</v>
      </c>
      <c r="M320" s="10">
        <f>L320+ABS($N$2)*A320</f>
        <v>0.16449740711898583</v>
      </c>
      <c r="O320" s="11"/>
      <c r="P320" s="8">
        <f>(M320-$O$2)/$O$2*100</f>
        <v>-2.0109511494210377</v>
      </c>
    </row>
    <row r="321" spans="1:16" x14ac:dyDescent="0.2">
      <c r="A321" s="8">
        <v>159.5</v>
      </c>
      <c r="B321" s="8">
        <v>319</v>
      </c>
      <c r="D321">
        <v>1645.7040454222999</v>
      </c>
      <c r="E321">
        <v>330.24556422994999</v>
      </c>
      <c r="F321">
        <v>144.04231311706999</v>
      </c>
      <c r="G321">
        <v>120.09661495064</v>
      </c>
      <c r="I321" s="9">
        <f t="shared" ref="I321" si="48">E321-G321</f>
        <v>210.14894927930999</v>
      </c>
      <c r="J321" s="9">
        <f t="shared" ref="J321" si="49">D321-F321</f>
        <v>1501.6617323052299</v>
      </c>
      <c r="K321" s="9">
        <f t="shared" si="31"/>
        <v>210.14894927930999</v>
      </c>
      <c r="L321" s="10">
        <f t="shared" si="30"/>
        <v>0.13994426624743661</v>
      </c>
      <c r="M321" s="10">
        <f t="shared" ref="M321" si="50">L321+ABS($N$2)*A321</f>
        <v>0.1615875518006849</v>
      </c>
      <c r="P321" s="8">
        <f t="shared" ref="P321" si="51">(M321-$O$2)/$O$2*100</f>
        <v>-3.744315583103941</v>
      </c>
    </row>
    <row r="322" spans="1:16" x14ac:dyDescent="0.2">
      <c r="A322" s="8">
        <v>160</v>
      </c>
      <c r="B322" s="8">
        <v>320</v>
      </c>
      <c r="D322">
        <v>1644.3442157559</v>
      </c>
      <c r="E322">
        <v>326.29666430091999</v>
      </c>
      <c r="F322">
        <v>144.29901269394</v>
      </c>
      <c r="G322">
        <v>120.14527503526</v>
      </c>
      <c r="I322" s="9">
        <f>E322-G322</f>
        <v>206.15138926565999</v>
      </c>
      <c r="J322" s="9">
        <f>D322-F322</f>
        <v>1500.0452030619599</v>
      </c>
      <c r="K322" s="9">
        <f t="shared" si="31"/>
        <v>206.15138926565999</v>
      </c>
      <c r="L322" s="10">
        <f t="shared" ref="L322" si="52">K322/J322</f>
        <v>0.13743011800234717</v>
      </c>
      <c r="M322" s="10">
        <f>L322+ABS($N$2)*A322</f>
        <v>0.15914125084573105</v>
      </c>
      <c r="O322" s="11"/>
      <c r="P322" s="8">
        <f>(M322-$O$2)/$O$2*100</f>
        <v>-5.2015464779641922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C7EA-BFB1-4040-B836-E54892838A42}">
  <dimension ref="A1:Y798"/>
  <sheetViews>
    <sheetView topLeftCell="E6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1117.5604634322999</v>
      </c>
      <c r="E2">
        <v>349.39608979001002</v>
      </c>
      <c r="F2">
        <v>134.90079652425999</v>
      </c>
      <c r="G2">
        <v>115.72628530051</v>
      </c>
      <c r="H2" s="4"/>
      <c r="I2" s="5">
        <f>E2-G2</f>
        <v>233.66980448950002</v>
      </c>
      <c r="J2" s="5">
        <f>D2-F2</f>
        <v>982.65966690803998</v>
      </c>
      <c r="K2" s="9">
        <f>I2*1</f>
        <v>233.66980448950002</v>
      </c>
      <c r="L2" s="6">
        <f t="shared" ref="L2:L65" si="0">K2/J2</f>
        <v>0.23779321809833423</v>
      </c>
      <c r="M2" s="6">
        <f>L2+ABS($N$2)*A2</f>
        <v>0.23779321809833423</v>
      </c>
      <c r="N2" s="4">
        <f>LINEST(V64:V103,U64:U103)</f>
        <v>9.4805433131444337E-5</v>
      </c>
      <c r="O2" s="7">
        <f>AVERAGE(M62:M81)</f>
        <v>0.22959687826642705</v>
      </c>
      <c r="P2" s="4">
        <f>(M2-$O$2)/$O$2*100</f>
        <v>3.569882959121093</v>
      </c>
    </row>
    <row r="3" spans="1:16" x14ac:dyDescent="0.2">
      <c r="A3" s="8">
        <v>0.5</v>
      </c>
      <c r="B3" s="8">
        <v>1</v>
      </c>
      <c r="D3">
        <v>1109.7530774801</v>
      </c>
      <c r="E3">
        <v>349.037653874</v>
      </c>
      <c r="F3">
        <v>134.41129616219999</v>
      </c>
      <c r="G3">
        <v>115.66111513396</v>
      </c>
      <c r="I3" s="9">
        <f t="shared" ref="I3:I66" si="1">E3-G3</f>
        <v>233.37653874004002</v>
      </c>
      <c r="J3" s="9">
        <f t="shared" ref="J3:J66" si="2">D3-F3</f>
        <v>975.34178131790009</v>
      </c>
      <c r="K3" s="9">
        <f t="shared" ref="K3:K66" si="3">I3*1</f>
        <v>233.37653874004002</v>
      </c>
      <c r="L3" s="10">
        <f t="shared" si="0"/>
        <v>0.23927667532574814</v>
      </c>
      <c r="M3" s="10">
        <f t="shared" ref="M3:M66" si="4">L3+ABS($N$2)*A3</f>
        <v>0.23932407804231387</v>
      </c>
      <c r="P3" s="8">
        <f t="shared" ref="P3:P66" si="5">(M3-$O$2)/$O$2*100</f>
        <v>4.2366428713369775</v>
      </c>
    </row>
    <row r="4" spans="1:16" ht="16" x14ac:dyDescent="0.2">
      <c r="A4" s="8">
        <v>1</v>
      </c>
      <c r="B4" s="8">
        <v>2</v>
      </c>
      <c r="D4">
        <v>1128.4634322954</v>
      </c>
      <c r="E4">
        <v>354.83562635771</v>
      </c>
      <c r="F4">
        <v>134.38015930485</v>
      </c>
      <c r="G4">
        <v>115.46632874729001</v>
      </c>
      <c r="I4" s="9">
        <f t="shared" si="1"/>
        <v>239.36929761042001</v>
      </c>
      <c r="J4" s="9">
        <f t="shared" si="2"/>
        <v>994.08327299055009</v>
      </c>
      <c r="K4" s="9">
        <f t="shared" si="3"/>
        <v>239.36929761042001</v>
      </c>
      <c r="L4" s="10">
        <f t="shared" si="0"/>
        <v>0.24079401003329778</v>
      </c>
      <c r="M4" s="10">
        <f t="shared" si="4"/>
        <v>0.24088881546642923</v>
      </c>
      <c r="N4" s="1" t="s">
        <v>8</v>
      </c>
      <c r="P4" s="8">
        <f t="shared" si="5"/>
        <v>4.9181579842295937</v>
      </c>
    </row>
    <row r="5" spans="1:16" x14ac:dyDescent="0.2">
      <c r="A5" s="8">
        <v>1.5</v>
      </c>
      <c r="B5" s="8">
        <v>3</v>
      </c>
      <c r="D5">
        <v>1206.0992034757001</v>
      </c>
      <c r="E5">
        <v>378.25126719768002</v>
      </c>
      <c r="F5">
        <v>135.17885590152</v>
      </c>
      <c r="G5">
        <v>115.8906589428</v>
      </c>
      <c r="I5" s="9">
        <f t="shared" si="1"/>
        <v>262.36060825488005</v>
      </c>
      <c r="J5" s="9">
        <f t="shared" si="2"/>
        <v>1070.9203475741801</v>
      </c>
      <c r="K5" s="9">
        <f t="shared" si="3"/>
        <v>262.36060825488005</v>
      </c>
      <c r="L5" s="10">
        <f t="shared" si="0"/>
        <v>0.24498610830317327</v>
      </c>
      <c r="M5" s="10">
        <f t="shared" si="4"/>
        <v>0.24512831645287045</v>
      </c>
      <c r="N5" s="8">
        <f>RSQ(V64:V83,U64:U83)</f>
        <v>0.62697911786671912</v>
      </c>
      <c r="P5" s="8">
        <f t="shared" si="5"/>
        <v>6.7646556450216737</v>
      </c>
    </row>
    <row r="6" spans="1:16" x14ac:dyDescent="0.2">
      <c r="A6" s="8">
        <v>2</v>
      </c>
      <c r="B6" s="8">
        <v>4</v>
      </c>
      <c r="D6">
        <v>1280.8805213613</v>
      </c>
      <c r="E6">
        <v>401.33164373642001</v>
      </c>
      <c r="F6">
        <v>134.61839246923</v>
      </c>
      <c r="G6">
        <v>115.88921071687</v>
      </c>
      <c r="I6" s="9">
        <f t="shared" si="1"/>
        <v>285.44243301954998</v>
      </c>
      <c r="J6" s="9">
        <f t="shared" si="2"/>
        <v>1146.26212889207</v>
      </c>
      <c r="K6" s="9">
        <f t="shared" si="3"/>
        <v>285.44243301954998</v>
      </c>
      <c r="L6" s="10">
        <f t="shared" si="0"/>
        <v>0.24902020735470598</v>
      </c>
      <c r="M6" s="10">
        <f t="shared" si="4"/>
        <v>0.24920981822096888</v>
      </c>
      <c r="P6" s="8">
        <f t="shared" si="5"/>
        <v>8.5423373795974413</v>
      </c>
    </row>
    <row r="7" spans="1:16" x14ac:dyDescent="0.2">
      <c r="A7" s="8">
        <v>2.5</v>
      </c>
      <c r="B7" s="8">
        <v>5</v>
      </c>
      <c r="D7">
        <v>1146.9337700146</v>
      </c>
      <c r="E7">
        <v>382.88282387190998</v>
      </c>
      <c r="F7">
        <v>135.1622013034</v>
      </c>
      <c r="G7">
        <v>115.92686459088</v>
      </c>
      <c r="I7" s="9">
        <f t="shared" si="1"/>
        <v>266.95595928103</v>
      </c>
      <c r="J7" s="9">
        <f t="shared" si="2"/>
        <v>1011.7715687112</v>
      </c>
      <c r="K7" s="9">
        <f t="shared" si="3"/>
        <v>266.95595928103</v>
      </c>
      <c r="L7" s="10">
        <f t="shared" si="0"/>
        <v>0.2638500305173429</v>
      </c>
      <c r="M7" s="10">
        <f t="shared" si="4"/>
        <v>0.26408704410017153</v>
      </c>
      <c r="P7" s="8">
        <f t="shared" si="5"/>
        <v>15.022053476581535</v>
      </c>
    </row>
    <row r="8" spans="1:16" x14ac:dyDescent="0.2">
      <c r="A8" s="8">
        <v>3</v>
      </c>
      <c r="B8" s="8">
        <v>6</v>
      </c>
      <c r="D8">
        <v>1296.1259097525999</v>
      </c>
      <c r="E8">
        <v>410.32896652110998</v>
      </c>
      <c r="F8">
        <v>134.70021723388999</v>
      </c>
      <c r="G8">
        <v>116.07313540912</v>
      </c>
      <c r="I8" s="9">
        <f t="shared" si="1"/>
        <v>294.25583111199001</v>
      </c>
      <c r="J8" s="9">
        <f t="shared" si="2"/>
        <v>1161.4256925187099</v>
      </c>
      <c r="K8" s="9">
        <f t="shared" si="3"/>
        <v>294.25583111199001</v>
      </c>
      <c r="L8" s="10">
        <f t="shared" si="0"/>
        <v>0.25335743216929885</v>
      </c>
      <c r="M8" s="10">
        <f t="shared" si="4"/>
        <v>0.2536418484686932</v>
      </c>
      <c r="P8" s="8">
        <f t="shared" si="5"/>
        <v>10.472690388396339</v>
      </c>
    </row>
    <row r="9" spans="1:16" x14ac:dyDescent="0.2">
      <c r="A9" s="8">
        <v>3.5</v>
      </c>
      <c r="B9" s="8">
        <v>7</v>
      </c>
      <c r="D9">
        <v>1289.7256186316999</v>
      </c>
      <c r="E9">
        <v>411.80713245996998</v>
      </c>
      <c r="F9">
        <v>135.37002172339001</v>
      </c>
      <c r="G9">
        <v>115.98624185372999</v>
      </c>
      <c r="I9" s="9">
        <f t="shared" si="1"/>
        <v>295.82089060623997</v>
      </c>
      <c r="J9" s="9">
        <f t="shared" si="2"/>
        <v>1154.35559690831</v>
      </c>
      <c r="K9" s="9">
        <f t="shared" si="3"/>
        <v>295.82089060623997</v>
      </c>
      <c r="L9" s="10">
        <f t="shared" si="0"/>
        <v>0.25626495977368829</v>
      </c>
      <c r="M9" s="10">
        <f t="shared" si="4"/>
        <v>0.25659677878964837</v>
      </c>
      <c r="P9" s="8">
        <f t="shared" si="5"/>
        <v>11.75969844498073</v>
      </c>
    </row>
    <row r="10" spans="1:16" x14ac:dyDescent="0.2">
      <c r="A10" s="8">
        <v>4</v>
      </c>
      <c r="B10" s="8">
        <v>8</v>
      </c>
      <c r="D10">
        <v>1429.9002911207999</v>
      </c>
      <c r="E10">
        <v>431.51455604076</v>
      </c>
      <c r="F10">
        <v>134.41708906589</v>
      </c>
      <c r="G10">
        <v>115.59160028965</v>
      </c>
      <c r="I10" s="9">
        <f t="shared" si="1"/>
        <v>315.92295575111001</v>
      </c>
      <c r="J10" s="9">
        <f t="shared" si="2"/>
        <v>1295.48320205491</v>
      </c>
      <c r="K10" s="9">
        <f t="shared" si="3"/>
        <v>315.92295575111001</v>
      </c>
      <c r="L10" s="10">
        <f t="shared" si="0"/>
        <v>0.24386495729932237</v>
      </c>
      <c r="M10" s="10">
        <f t="shared" si="4"/>
        <v>0.24424417903184814</v>
      </c>
      <c r="P10" s="8">
        <f t="shared" si="5"/>
        <v>6.3795731353211957</v>
      </c>
    </row>
    <row r="11" spans="1:16" x14ac:dyDescent="0.2">
      <c r="A11" s="8">
        <v>4.5</v>
      </c>
      <c r="B11" s="8">
        <v>9</v>
      </c>
      <c r="D11">
        <v>1437.7638588913001</v>
      </c>
      <c r="E11">
        <v>430.64074874009998</v>
      </c>
      <c r="F11">
        <v>135.05358435916</v>
      </c>
      <c r="G11">
        <v>115.55394641564</v>
      </c>
      <c r="I11" s="9">
        <f t="shared" si="1"/>
        <v>315.08680232446</v>
      </c>
      <c r="J11" s="9">
        <f t="shared" si="2"/>
        <v>1302.7102745321401</v>
      </c>
      <c r="K11" s="9">
        <f t="shared" si="3"/>
        <v>315.08680232446</v>
      </c>
      <c r="L11" s="10">
        <f t="shared" si="0"/>
        <v>0.24187020589641189</v>
      </c>
      <c r="M11" s="10">
        <f t="shared" si="4"/>
        <v>0.24229683034550339</v>
      </c>
      <c r="P11" s="8">
        <f t="shared" si="5"/>
        <v>5.5314132208449118</v>
      </c>
    </row>
    <row r="12" spans="1:16" x14ac:dyDescent="0.2">
      <c r="A12" s="8">
        <v>5</v>
      </c>
      <c r="B12" s="8">
        <v>10</v>
      </c>
      <c r="D12">
        <v>1444.4046076314</v>
      </c>
      <c r="E12">
        <v>431.28293736501001</v>
      </c>
      <c r="F12">
        <v>134.49167270094</v>
      </c>
      <c r="G12">
        <v>115.89572773352999</v>
      </c>
      <c r="I12" s="9">
        <f t="shared" si="1"/>
        <v>315.38720963148</v>
      </c>
      <c r="J12" s="9">
        <f t="shared" si="2"/>
        <v>1309.9129349304601</v>
      </c>
      <c r="K12" s="9">
        <f t="shared" si="3"/>
        <v>315.38720963148</v>
      </c>
      <c r="L12" s="10">
        <f t="shared" si="0"/>
        <v>0.24076959713984586</v>
      </c>
      <c r="M12" s="10">
        <f t="shared" si="4"/>
        <v>0.24124362430550308</v>
      </c>
      <c r="P12" s="8">
        <f t="shared" si="5"/>
        <v>5.0726935518526544</v>
      </c>
    </row>
    <row r="13" spans="1:16" x14ac:dyDescent="0.2">
      <c r="A13" s="8">
        <v>5.5</v>
      </c>
      <c r="B13" s="8">
        <v>11</v>
      </c>
      <c r="D13">
        <v>1440.8423326134</v>
      </c>
      <c r="E13">
        <v>429.05183585313</v>
      </c>
      <c r="F13">
        <v>135.08399710354999</v>
      </c>
      <c r="G13">
        <v>115.37219406227</v>
      </c>
      <c r="I13" s="9">
        <f t="shared" si="1"/>
        <v>313.67964179085999</v>
      </c>
      <c r="J13" s="9">
        <f t="shared" si="2"/>
        <v>1305.75833550985</v>
      </c>
      <c r="K13" s="9">
        <f t="shared" si="3"/>
        <v>313.67964179085999</v>
      </c>
      <c r="L13" s="10">
        <f t="shared" si="0"/>
        <v>0.24022794514145665</v>
      </c>
      <c r="M13" s="10">
        <f t="shared" si="4"/>
        <v>0.2407493750236796</v>
      </c>
      <c r="P13" s="8">
        <f t="shared" si="5"/>
        <v>4.8574252583308448</v>
      </c>
    </row>
    <row r="14" spans="1:16" x14ac:dyDescent="0.2">
      <c r="A14" s="8">
        <v>6</v>
      </c>
      <c r="B14" s="8">
        <v>12</v>
      </c>
      <c r="D14">
        <v>1449.7681785457</v>
      </c>
      <c r="E14">
        <v>429.77033837292998</v>
      </c>
      <c r="F14">
        <v>134.33309196235001</v>
      </c>
      <c r="G14">
        <v>115.89500362056999</v>
      </c>
      <c r="I14" s="9">
        <f t="shared" si="1"/>
        <v>313.87533475236</v>
      </c>
      <c r="J14" s="9">
        <f t="shared" si="2"/>
        <v>1315.4350865833501</v>
      </c>
      <c r="K14" s="9">
        <f t="shared" si="3"/>
        <v>313.87533475236</v>
      </c>
      <c r="L14" s="10">
        <f t="shared" si="0"/>
        <v>0.23860952011520781</v>
      </c>
      <c r="M14" s="10">
        <f t="shared" si="4"/>
        <v>0.23917835271399648</v>
      </c>
      <c r="P14" s="8">
        <f t="shared" si="5"/>
        <v>4.1731727887218799</v>
      </c>
    </row>
    <row r="15" spans="1:16" x14ac:dyDescent="0.2">
      <c r="A15" s="8">
        <v>6.5</v>
      </c>
      <c r="B15" s="8">
        <v>13</v>
      </c>
      <c r="D15">
        <v>1453.9438444924001</v>
      </c>
      <c r="E15">
        <v>427.84737221021999</v>
      </c>
      <c r="F15">
        <v>135.21578566255999</v>
      </c>
      <c r="G15">
        <v>115.79362780594001</v>
      </c>
      <c r="I15" s="9">
        <f t="shared" si="1"/>
        <v>312.05374440428</v>
      </c>
      <c r="J15" s="9">
        <f t="shared" si="2"/>
        <v>1318.7280588298402</v>
      </c>
      <c r="K15" s="9">
        <f t="shared" si="3"/>
        <v>312.05374440428</v>
      </c>
      <c r="L15" s="10">
        <f t="shared" si="0"/>
        <v>0.23663236883059702</v>
      </c>
      <c r="M15" s="10">
        <f t="shared" si="4"/>
        <v>0.23724860414595139</v>
      </c>
      <c r="P15" s="8">
        <f t="shared" si="5"/>
        <v>3.3326785352217128</v>
      </c>
    </row>
    <row r="16" spans="1:16" x14ac:dyDescent="0.2">
      <c r="A16" s="8">
        <v>7</v>
      </c>
      <c r="B16" s="8">
        <v>14</v>
      </c>
      <c r="D16">
        <v>1445.6292296616</v>
      </c>
      <c r="E16">
        <v>424.73722102232</v>
      </c>
      <c r="F16">
        <v>135.31571325127001</v>
      </c>
      <c r="G16">
        <v>115.51194786387001</v>
      </c>
      <c r="I16" s="9">
        <f t="shared" si="1"/>
        <v>309.22527315845002</v>
      </c>
      <c r="J16" s="9">
        <f t="shared" si="2"/>
        <v>1310.3135164103301</v>
      </c>
      <c r="K16" s="9">
        <f t="shared" si="3"/>
        <v>309.22527315845002</v>
      </c>
      <c r="L16" s="10">
        <f t="shared" si="0"/>
        <v>0.23599334761163743</v>
      </c>
      <c r="M16" s="10">
        <f t="shared" si="4"/>
        <v>0.23665698564355753</v>
      </c>
      <c r="P16" s="8">
        <f t="shared" si="5"/>
        <v>3.0750014679806927</v>
      </c>
    </row>
    <row r="17" spans="1:16" x14ac:dyDescent="0.2">
      <c r="A17" s="8">
        <v>7.5</v>
      </c>
      <c r="B17" s="8">
        <v>15</v>
      </c>
      <c r="D17">
        <v>1447.2455003600001</v>
      </c>
      <c r="E17">
        <v>423.16126709862999</v>
      </c>
      <c r="F17">
        <v>134.51629254164001</v>
      </c>
      <c r="G17">
        <v>115.70890658943</v>
      </c>
      <c r="I17" s="9">
        <f t="shared" si="1"/>
        <v>307.45236050919999</v>
      </c>
      <c r="J17" s="9">
        <f t="shared" si="2"/>
        <v>1312.72920781836</v>
      </c>
      <c r="K17" s="9">
        <f t="shared" si="3"/>
        <v>307.45236050919999</v>
      </c>
      <c r="L17" s="10">
        <f t="shared" si="0"/>
        <v>0.23420851663699832</v>
      </c>
      <c r="M17" s="10">
        <f t="shared" si="4"/>
        <v>0.23491955738548415</v>
      </c>
      <c r="P17" s="8">
        <f t="shared" si="5"/>
        <v>2.3182715545812393</v>
      </c>
    </row>
    <row r="18" spans="1:16" x14ac:dyDescent="0.2">
      <c r="A18" s="8">
        <v>8</v>
      </c>
      <c r="B18" s="8">
        <v>16</v>
      </c>
      <c r="D18">
        <v>1445.5133189344999</v>
      </c>
      <c r="E18">
        <v>417.27645788336997</v>
      </c>
      <c r="F18">
        <v>134.56842867487001</v>
      </c>
      <c r="G18">
        <v>115.64228819696</v>
      </c>
      <c r="I18" s="9">
        <f t="shared" si="1"/>
        <v>301.63416968640996</v>
      </c>
      <c r="J18" s="9">
        <f t="shared" si="2"/>
        <v>1310.94489025963</v>
      </c>
      <c r="K18" s="9">
        <f t="shared" si="3"/>
        <v>301.63416968640996</v>
      </c>
      <c r="L18" s="10">
        <f t="shared" si="0"/>
        <v>0.23008913031170358</v>
      </c>
      <c r="M18" s="10">
        <f t="shared" si="4"/>
        <v>0.23084757377675513</v>
      </c>
      <c r="P18" s="8">
        <f t="shared" si="5"/>
        <v>0.54473541616570187</v>
      </c>
    </row>
    <row r="19" spans="1:16" x14ac:dyDescent="0.2">
      <c r="A19" s="8">
        <v>8.5</v>
      </c>
      <c r="B19" s="8">
        <v>17</v>
      </c>
      <c r="D19">
        <v>1459.5140388769</v>
      </c>
      <c r="E19">
        <v>425.38156947444003</v>
      </c>
      <c r="F19">
        <v>134.68573497465999</v>
      </c>
      <c r="G19">
        <v>115.52280955829001</v>
      </c>
      <c r="I19" s="9">
        <f t="shared" si="1"/>
        <v>309.85875991615001</v>
      </c>
      <c r="J19" s="9">
        <f t="shared" si="2"/>
        <v>1324.8283039022401</v>
      </c>
      <c r="K19" s="9">
        <f t="shared" si="3"/>
        <v>309.85875991615001</v>
      </c>
      <c r="L19" s="10">
        <f t="shared" si="0"/>
        <v>0.23388597526447069</v>
      </c>
      <c r="M19" s="10">
        <f t="shared" si="4"/>
        <v>0.23469182144608797</v>
      </c>
      <c r="P19" s="8">
        <f t="shared" si="5"/>
        <v>2.219082079046685</v>
      </c>
    </row>
    <row r="20" spans="1:16" x14ac:dyDescent="0.2">
      <c r="A20" s="8">
        <v>9</v>
      </c>
      <c r="B20" s="8">
        <v>18</v>
      </c>
      <c r="D20">
        <v>1455.7127429806001</v>
      </c>
      <c r="E20">
        <v>423.97912167026999</v>
      </c>
      <c r="F20">
        <v>134.66256335988001</v>
      </c>
      <c r="G20">
        <v>115.78493845040001</v>
      </c>
      <c r="I20" s="9">
        <f t="shared" si="1"/>
        <v>308.19418321986996</v>
      </c>
      <c r="J20" s="9">
        <f t="shared" si="2"/>
        <v>1321.05017962072</v>
      </c>
      <c r="K20" s="9">
        <f t="shared" si="3"/>
        <v>308.19418321986996</v>
      </c>
      <c r="L20" s="10">
        <f t="shared" si="0"/>
        <v>0.23329483465068226</v>
      </c>
      <c r="M20" s="10">
        <f t="shared" si="4"/>
        <v>0.23414808354886527</v>
      </c>
      <c r="P20" s="8">
        <f t="shared" si="5"/>
        <v>1.9822592174606746</v>
      </c>
    </row>
    <row r="21" spans="1:16" x14ac:dyDescent="0.2">
      <c r="A21" s="8">
        <v>9.5</v>
      </c>
      <c r="B21" s="8">
        <v>19</v>
      </c>
      <c r="D21">
        <v>1424.9295058140001</v>
      </c>
      <c r="E21">
        <v>413.95930232557998</v>
      </c>
      <c r="F21">
        <v>135.11513396090001</v>
      </c>
      <c r="G21">
        <v>115.64083997103999</v>
      </c>
      <c r="I21" s="9">
        <f t="shared" si="1"/>
        <v>298.31846235453997</v>
      </c>
      <c r="J21" s="9">
        <f t="shared" si="2"/>
        <v>1289.8143718531001</v>
      </c>
      <c r="K21" s="9">
        <f t="shared" si="3"/>
        <v>298.31846235453997</v>
      </c>
      <c r="L21" s="10">
        <f t="shared" si="0"/>
        <v>0.23128790379807937</v>
      </c>
      <c r="M21" s="10">
        <f t="shared" si="4"/>
        <v>0.2321885554128281</v>
      </c>
      <c r="P21" s="8">
        <f t="shared" si="5"/>
        <v>1.1287945924916412</v>
      </c>
    </row>
    <row r="22" spans="1:16" x14ac:dyDescent="0.2">
      <c r="A22" s="8">
        <v>10</v>
      </c>
      <c r="B22" s="8">
        <v>20</v>
      </c>
      <c r="D22">
        <v>1425.9861918605</v>
      </c>
      <c r="E22">
        <v>409.57267441861001</v>
      </c>
      <c r="F22">
        <v>134.80086893555</v>
      </c>
      <c r="G22">
        <v>115.75162925415999</v>
      </c>
      <c r="I22" s="9">
        <f t="shared" si="1"/>
        <v>293.82104516445003</v>
      </c>
      <c r="J22" s="9">
        <f t="shared" si="2"/>
        <v>1291.18532292495</v>
      </c>
      <c r="K22" s="9">
        <f t="shared" si="3"/>
        <v>293.82104516445003</v>
      </c>
      <c r="L22" s="10">
        <f t="shared" si="0"/>
        <v>0.22755915819957653</v>
      </c>
      <c r="M22" s="10">
        <f t="shared" si="4"/>
        <v>0.22850721253089099</v>
      </c>
      <c r="P22" s="8">
        <f t="shared" si="5"/>
        <v>-0.47459954323577724</v>
      </c>
    </row>
    <row r="23" spans="1:16" x14ac:dyDescent="0.2">
      <c r="A23" s="8">
        <v>10.5</v>
      </c>
      <c r="B23" s="8">
        <v>21</v>
      </c>
      <c r="D23">
        <v>1430.144622093</v>
      </c>
      <c r="E23">
        <v>410.68968023256002</v>
      </c>
      <c r="F23">
        <v>134.59377262852999</v>
      </c>
      <c r="G23">
        <v>115.32367849385</v>
      </c>
      <c r="I23" s="9">
        <f t="shared" si="1"/>
        <v>295.36600173871</v>
      </c>
      <c r="J23" s="9">
        <f t="shared" si="2"/>
        <v>1295.55084946447</v>
      </c>
      <c r="K23" s="9">
        <f t="shared" si="3"/>
        <v>295.36600173871</v>
      </c>
      <c r="L23" s="10">
        <f t="shared" si="0"/>
        <v>0.22798487752202296</v>
      </c>
      <c r="M23" s="10">
        <f t="shared" si="4"/>
        <v>0.22898033456990313</v>
      </c>
      <c r="P23" s="8">
        <f t="shared" si="5"/>
        <v>-0.26853313563282605</v>
      </c>
    </row>
    <row r="24" spans="1:16" x14ac:dyDescent="0.2">
      <c r="A24" s="8">
        <v>11</v>
      </c>
      <c r="B24" s="8">
        <v>22</v>
      </c>
      <c r="D24">
        <v>1433.3168604651</v>
      </c>
      <c r="E24">
        <v>409.00218023256002</v>
      </c>
      <c r="F24">
        <v>134.93482983345001</v>
      </c>
      <c r="G24">
        <v>115.82693700217</v>
      </c>
      <c r="I24" s="9">
        <f t="shared" si="1"/>
        <v>293.17524323039004</v>
      </c>
      <c r="J24" s="9">
        <f t="shared" si="2"/>
        <v>1298.38203063165</v>
      </c>
      <c r="K24" s="9">
        <f t="shared" si="3"/>
        <v>293.17524323039004</v>
      </c>
      <c r="L24" s="10">
        <f t="shared" si="0"/>
        <v>0.22580044725955056</v>
      </c>
      <c r="M24" s="10">
        <f t="shared" si="4"/>
        <v>0.22684330702399644</v>
      </c>
      <c r="P24" s="8">
        <f t="shared" si="5"/>
        <v>-1.1993069170719888</v>
      </c>
    </row>
    <row r="25" spans="1:16" x14ac:dyDescent="0.2">
      <c r="A25" s="8">
        <v>11.5</v>
      </c>
      <c r="B25" s="8">
        <v>23</v>
      </c>
      <c r="D25">
        <v>1440.0552325581</v>
      </c>
      <c r="E25">
        <v>409.93677325581001</v>
      </c>
      <c r="F25">
        <v>134.71614771904001</v>
      </c>
      <c r="G25">
        <v>115.71832005793</v>
      </c>
      <c r="I25" s="9">
        <f t="shared" si="1"/>
        <v>294.21845319788002</v>
      </c>
      <c r="J25" s="9">
        <f t="shared" si="2"/>
        <v>1305.33908483906</v>
      </c>
      <c r="K25" s="9">
        <f t="shared" si="3"/>
        <v>294.21845319788002</v>
      </c>
      <c r="L25" s="10">
        <f t="shared" si="0"/>
        <v>0.22539618756160609</v>
      </c>
      <c r="M25" s="10">
        <f t="shared" si="4"/>
        <v>0.22648645004261769</v>
      </c>
      <c r="P25" s="8">
        <f t="shared" si="5"/>
        <v>-1.3547345448660584</v>
      </c>
    </row>
    <row r="26" spans="1:16" x14ac:dyDescent="0.2">
      <c r="A26" s="8">
        <v>12</v>
      </c>
      <c r="B26" s="8">
        <v>24</v>
      </c>
      <c r="D26">
        <v>1471.4055232558001</v>
      </c>
      <c r="E26">
        <v>416.83575581395002</v>
      </c>
      <c r="F26">
        <v>134.94641564084</v>
      </c>
      <c r="G26">
        <v>115.14554670529</v>
      </c>
      <c r="I26" s="9">
        <f t="shared" si="1"/>
        <v>301.69020910866004</v>
      </c>
      <c r="J26" s="9">
        <f t="shared" si="2"/>
        <v>1336.45910761496</v>
      </c>
      <c r="K26" s="9">
        <f t="shared" si="3"/>
        <v>301.69020910866004</v>
      </c>
      <c r="L26" s="10">
        <f t="shared" si="0"/>
        <v>0.2257384512475322</v>
      </c>
      <c r="M26" s="10">
        <f t="shared" si="4"/>
        <v>0.22687611644510952</v>
      </c>
      <c r="P26" s="8">
        <f t="shared" si="5"/>
        <v>-1.1850169052213002</v>
      </c>
    </row>
    <row r="27" spans="1:16" x14ac:dyDescent="0.2">
      <c r="A27" s="8">
        <v>12.5</v>
      </c>
      <c r="B27" s="8">
        <v>25</v>
      </c>
      <c r="D27">
        <v>1518.5562770562999</v>
      </c>
      <c r="E27">
        <v>425.66738816739002</v>
      </c>
      <c r="F27">
        <v>134.93338160753001</v>
      </c>
      <c r="G27">
        <v>115.43953656770999</v>
      </c>
      <c r="I27" s="9">
        <f t="shared" si="1"/>
        <v>310.22785159968004</v>
      </c>
      <c r="J27" s="9">
        <f t="shared" si="2"/>
        <v>1383.6228954487699</v>
      </c>
      <c r="K27" s="9">
        <f t="shared" si="3"/>
        <v>310.22785159968004</v>
      </c>
      <c r="L27" s="10">
        <f t="shared" si="0"/>
        <v>0.22421416458207674</v>
      </c>
      <c r="M27" s="10">
        <f t="shared" si="4"/>
        <v>0.22539923249621979</v>
      </c>
      <c r="P27" s="8">
        <f t="shared" si="5"/>
        <v>-1.8282677891361656</v>
      </c>
    </row>
    <row r="28" spans="1:16" x14ac:dyDescent="0.2">
      <c r="A28" s="8">
        <v>13</v>
      </c>
      <c r="B28" s="8">
        <v>26</v>
      </c>
      <c r="D28">
        <v>1531.8997113997</v>
      </c>
      <c r="E28">
        <v>428.60678210677997</v>
      </c>
      <c r="F28">
        <v>134.67125271542</v>
      </c>
      <c r="G28">
        <v>115.67559739319</v>
      </c>
      <c r="I28" s="9">
        <f t="shared" si="1"/>
        <v>312.93118471358997</v>
      </c>
      <c r="J28" s="9">
        <f t="shared" si="2"/>
        <v>1397.22845868428</v>
      </c>
      <c r="K28" s="9">
        <f t="shared" si="3"/>
        <v>312.93118471358997</v>
      </c>
      <c r="L28" s="10">
        <f t="shared" si="0"/>
        <v>0.22396565341094329</v>
      </c>
      <c r="M28" s="10">
        <f t="shared" si="4"/>
        <v>0.22519812404165207</v>
      </c>
      <c r="P28" s="8">
        <f t="shared" si="5"/>
        <v>-1.9158597703887823</v>
      </c>
    </row>
    <row r="29" spans="1:16" x14ac:dyDescent="0.2">
      <c r="A29" s="8">
        <v>13.5</v>
      </c>
      <c r="B29" s="8">
        <v>27</v>
      </c>
      <c r="D29">
        <v>1572.0707070707001</v>
      </c>
      <c r="E29">
        <v>436.42207792208001</v>
      </c>
      <c r="F29">
        <v>134.70818247647</v>
      </c>
      <c r="G29">
        <v>115.88196958726</v>
      </c>
      <c r="I29" s="9">
        <f t="shared" si="1"/>
        <v>320.54010833481999</v>
      </c>
      <c r="J29" s="9">
        <f t="shared" si="2"/>
        <v>1437.3625245942301</v>
      </c>
      <c r="K29" s="9">
        <f t="shared" si="3"/>
        <v>320.54010833481999</v>
      </c>
      <c r="L29" s="10">
        <f t="shared" si="0"/>
        <v>0.22300575035884493</v>
      </c>
      <c r="M29" s="10">
        <f t="shared" si="4"/>
        <v>0.22428562370611943</v>
      </c>
      <c r="P29" s="8">
        <f t="shared" si="5"/>
        <v>-2.3132956338127455</v>
      </c>
    </row>
    <row r="30" spans="1:16" x14ac:dyDescent="0.2">
      <c r="A30" s="8">
        <v>14</v>
      </c>
      <c r="B30" s="8">
        <v>28</v>
      </c>
      <c r="D30">
        <v>1523.8304473305</v>
      </c>
      <c r="E30">
        <v>423.66305916305998</v>
      </c>
      <c r="F30">
        <v>134.83924692252</v>
      </c>
      <c r="G30">
        <v>115.71397538015999</v>
      </c>
      <c r="I30" s="9">
        <f t="shared" si="1"/>
        <v>307.9490837829</v>
      </c>
      <c r="J30" s="9">
        <f t="shared" si="2"/>
        <v>1388.9912004079799</v>
      </c>
      <c r="K30" s="9">
        <f t="shared" si="3"/>
        <v>307.9490837829</v>
      </c>
      <c r="L30" s="10">
        <f t="shared" si="0"/>
        <v>0.22170700843349331</v>
      </c>
      <c r="M30" s="10">
        <f t="shared" si="4"/>
        <v>0.22303428449733353</v>
      </c>
      <c r="P30" s="8">
        <f t="shared" si="5"/>
        <v>-2.8583114102615115</v>
      </c>
    </row>
    <row r="31" spans="1:16" x14ac:dyDescent="0.2">
      <c r="A31" s="8">
        <v>14.5</v>
      </c>
      <c r="B31" s="8">
        <v>29</v>
      </c>
      <c r="D31">
        <v>1516.5274170273999</v>
      </c>
      <c r="E31">
        <v>422.95815295814998</v>
      </c>
      <c r="F31">
        <v>134.88703837799</v>
      </c>
      <c r="G31">
        <v>115.50470673424999</v>
      </c>
      <c r="I31" s="9">
        <f t="shared" si="1"/>
        <v>307.45344622389996</v>
      </c>
      <c r="J31" s="9">
        <f t="shared" si="2"/>
        <v>1381.64037864941</v>
      </c>
      <c r="K31" s="9">
        <f t="shared" si="3"/>
        <v>307.45344622389996</v>
      </c>
      <c r="L31" s="10">
        <f t="shared" si="0"/>
        <v>0.22252783790557992</v>
      </c>
      <c r="M31" s="10">
        <f t="shared" si="4"/>
        <v>0.22390251668598588</v>
      </c>
      <c r="P31" s="8">
        <f t="shared" si="5"/>
        <v>-2.4801563607643518</v>
      </c>
    </row>
    <row r="32" spans="1:16" x14ac:dyDescent="0.2">
      <c r="A32" s="8">
        <v>15</v>
      </c>
      <c r="B32" s="8">
        <v>30</v>
      </c>
      <c r="D32">
        <v>1515.3621933622001</v>
      </c>
      <c r="E32">
        <v>426.27056277055999</v>
      </c>
      <c r="F32">
        <v>134.67632150616001</v>
      </c>
      <c r="G32">
        <v>115.54163649529001</v>
      </c>
      <c r="I32" s="9">
        <f t="shared" si="1"/>
        <v>310.72892627527</v>
      </c>
      <c r="J32" s="9">
        <f t="shared" si="2"/>
        <v>1380.68587185604</v>
      </c>
      <c r="K32" s="9">
        <f t="shared" si="3"/>
        <v>310.72892627527</v>
      </c>
      <c r="L32" s="10">
        <f t="shared" si="0"/>
        <v>0.22505403481645012</v>
      </c>
      <c r="M32" s="10">
        <f t="shared" si="4"/>
        <v>0.22647611631342179</v>
      </c>
      <c r="P32" s="8">
        <f t="shared" si="5"/>
        <v>-1.3592353591950352</v>
      </c>
    </row>
    <row r="33" spans="1:16" x14ac:dyDescent="0.2">
      <c r="A33" s="8">
        <v>15.5</v>
      </c>
      <c r="B33" s="8">
        <v>31</v>
      </c>
      <c r="D33">
        <v>1530.7287157287001</v>
      </c>
      <c r="E33">
        <v>427.38239538239998</v>
      </c>
      <c r="F33">
        <v>135.24909485879999</v>
      </c>
      <c r="G33">
        <v>115.43084721216999</v>
      </c>
      <c r="I33" s="9">
        <f t="shared" si="1"/>
        <v>311.95154817023001</v>
      </c>
      <c r="J33" s="9">
        <f t="shared" si="2"/>
        <v>1395.4796208699001</v>
      </c>
      <c r="K33" s="9">
        <f t="shared" si="3"/>
        <v>311.95154817023001</v>
      </c>
      <c r="L33" s="10">
        <f t="shared" si="0"/>
        <v>0.22354432376143821</v>
      </c>
      <c r="M33" s="10">
        <f t="shared" si="4"/>
        <v>0.22501380797497558</v>
      </c>
      <c r="P33" s="8">
        <f t="shared" si="5"/>
        <v>-1.9961378944069168</v>
      </c>
    </row>
    <row r="34" spans="1:16" x14ac:dyDescent="0.2">
      <c r="A34" s="8">
        <v>16</v>
      </c>
      <c r="B34" s="8">
        <v>32</v>
      </c>
      <c r="D34">
        <v>1552.9307359306999</v>
      </c>
      <c r="E34">
        <v>433.84343434342998</v>
      </c>
      <c r="F34">
        <v>134.86821144099</v>
      </c>
      <c r="G34">
        <v>115.43229543808999</v>
      </c>
      <c r="I34" s="9">
        <f t="shared" si="1"/>
        <v>318.41113890533995</v>
      </c>
      <c r="J34" s="9">
        <f t="shared" si="2"/>
        <v>1418.0625244897099</v>
      </c>
      <c r="K34" s="9">
        <f t="shared" si="3"/>
        <v>318.41113890533995</v>
      </c>
      <c r="L34" s="10">
        <f t="shared" si="0"/>
        <v>0.22453956254144739</v>
      </c>
      <c r="M34" s="10">
        <f t="shared" si="4"/>
        <v>0.22605644947155049</v>
      </c>
      <c r="P34" s="8">
        <f t="shared" si="5"/>
        <v>-1.5420195699560899</v>
      </c>
    </row>
    <row r="35" spans="1:16" x14ac:dyDescent="0.2">
      <c r="A35" s="8">
        <v>16.5</v>
      </c>
      <c r="B35" s="8">
        <v>33</v>
      </c>
      <c r="D35">
        <v>1561.9776334776</v>
      </c>
      <c r="E35">
        <v>434.41558441557999</v>
      </c>
      <c r="F35">
        <v>135.22809558290999</v>
      </c>
      <c r="G35">
        <v>115.86169442433</v>
      </c>
      <c r="I35" s="9">
        <f t="shared" si="1"/>
        <v>318.55388999125</v>
      </c>
      <c r="J35" s="9">
        <f t="shared" si="2"/>
        <v>1426.7495378946901</v>
      </c>
      <c r="K35" s="9">
        <f t="shared" si="3"/>
        <v>318.55388999125</v>
      </c>
      <c r="L35" s="10">
        <f t="shared" si="0"/>
        <v>0.22327246761285638</v>
      </c>
      <c r="M35" s="10">
        <f t="shared" si="4"/>
        <v>0.22483675725952521</v>
      </c>
      <c r="P35" s="8">
        <f t="shared" si="5"/>
        <v>-2.0732516238213585</v>
      </c>
    </row>
    <row r="36" spans="1:16" x14ac:dyDescent="0.2">
      <c r="A36" s="8">
        <v>17</v>
      </c>
      <c r="B36" s="8">
        <v>34</v>
      </c>
      <c r="D36">
        <v>1523</v>
      </c>
      <c r="E36">
        <v>425.57503607503998</v>
      </c>
      <c r="F36">
        <v>134.73207820420001</v>
      </c>
      <c r="G36">
        <v>115.84503982621</v>
      </c>
      <c r="I36" s="9">
        <f t="shared" si="1"/>
        <v>309.72999624882999</v>
      </c>
      <c r="J36" s="9">
        <f t="shared" si="2"/>
        <v>1388.2679217958</v>
      </c>
      <c r="K36" s="9">
        <f t="shared" si="3"/>
        <v>309.72999624882999</v>
      </c>
      <c r="L36" s="10">
        <f t="shared" si="0"/>
        <v>0.22310534687582309</v>
      </c>
      <c r="M36" s="10">
        <f t="shared" si="4"/>
        <v>0.22471703923905764</v>
      </c>
      <c r="P36" s="8">
        <f t="shared" si="5"/>
        <v>-2.1253943277516099</v>
      </c>
    </row>
    <row r="37" spans="1:16" x14ac:dyDescent="0.2">
      <c r="A37" s="8">
        <v>17.5</v>
      </c>
      <c r="B37" s="8">
        <v>35</v>
      </c>
      <c r="D37">
        <v>1546.2626262626</v>
      </c>
      <c r="E37">
        <v>438.79942279941997</v>
      </c>
      <c r="F37">
        <v>134.40405503259001</v>
      </c>
      <c r="G37">
        <v>115.83200579290001</v>
      </c>
      <c r="I37" s="9">
        <f t="shared" si="1"/>
        <v>322.96741700651995</v>
      </c>
      <c r="J37" s="9">
        <f t="shared" si="2"/>
        <v>1411.8585712300101</v>
      </c>
      <c r="K37" s="9">
        <f t="shared" si="3"/>
        <v>322.96741700651995</v>
      </c>
      <c r="L37" s="10">
        <f t="shared" si="0"/>
        <v>0.22875337770209589</v>
      </c>
      <c r="M37" s="10">
        <f t="shared" si="4"/>
        <v>0.23041247278189617</v>
      </c>
      <c r="P37" s="8">
        <f t="shared" si="5"/>
        <v>0.35522892193799288</v>
      </c>
    </row>
    <row r="38" spans="1:16" x14ac:dyDescent="0.2">
      <c r="A38" s="8">
        <v>18</v>
      </c>
      <c r="B38" s="8">
        <v>36</v>
      </c>
      <c r="D38">
        <v>1533.5871626549999</v>
      </c>
      <c r="E38">
        <v>428.18088986141998</v>
      </c>
      <c r="F38">
        <v>135.15858073859999</v>
      </c>
      <c r="G38">
        <v>115.9905865315</v>
      </c>
      <c r="I38" s="9">
        <f t="shared" si="1"/>
        <v>312.19030332991997</v>
      </c>
      <c r="J38" s="9">
        <f t="shared" si="2"/>
        <v>1398.4285819163999</v>
      </c>
      <c r="K38" s="9">
        <f t="shared" si="3"/>
        <v>312.19030332991997</v>
      </c>
      <c r="L38" s="10">
        <f t="shared" si="0"/>
        <v>0.22324365174379934</v>
      </c>
      <c r="M38" s="10">
        <f t="shared" si="4"/>
        <v>0.22495014954016535</v>
      </c>
      <c r="P38" s="8">
        <f t="shared" si="5"/>
        <v>-2.0238640705164923</v>
      </c>
    </row>
    <row r="39" spans="1:16" x14ac:dyDescent="0.2">
      <c r="A39" s="8">
        <v>18.5</v>
      </c>
      <c r="B39" s="8">
        <v>37</v>
      </c>
      <c r="D39">
        <v>1544.4923413567001</v>
      </c>
      <c r="E39">
        <v>429.63384390956003</v>
      </c>
      <c r="F39">
        <v>134.75162925416001</v>
      </c>
      <c r="G39">
        <v>115.77552498190001</v>
      </c>
      <c r="I39" s="9">
        <f t="shared" si="1"/>
        <v>313.85831892766004</v>
      </c>
      <c r="J39" s="9">
        <f t="shared" si="2"/>
        <v>1409.7407121025401</v>
      </c>
      <c r="K39" s="9">
        <f t="shared" si="3"/>
        <v>313.85831892766004</v>
      </c>
      <c r="L39" s="10">
        <f t="shared" si="0"/>
        <v>0.22263549334512725</v>
      </c>
      <c r="M39" s="10">
        <f t="shared" si="4"/>
        <v>0.22438939385805898</v>
      </c>
      <c r="P39" s="8">
        <f t="shared" si="5"/>
        <v>-2.2680989600935444</v>
      </c>
    </row>
    <row r="40" spans="1:16" x14ac:dyDescent="0.2">
      <c r="A40" s="8">
        <v>19</v>
      </c>
      <c r="B40" s="8">
        <v>38</v>
      </c>
      <c r="D40">
        <v>1550.4908825675</v>
      </c>
      <c r="E40">
        <v>436.05178701678</v>
      </c>
      <c r="F40">
        <v>134.79507603185999</v>
      </c>
      <c r="G40">
        <v>115.87038377987</v>
      </c>
      <c r="I40" s="9">
        <f t="shared" si="1"/>
        <v>320.18140323691</v>
      </c>
      <c r="J40" s="9">
        <f t="shared" si="2"/>
        <v>1415.69580653564</v>
      </c>
      <c r="K40" s="9">
        <f t="shared" si="3"/>
        <v>320.18140323691</v>
      </c>
      <c r="L40" s="10">
        <f t="shared" si="0"/>
        <v>0.22616539637878022</v>
      </c>
      <c r="M40" s="10">
        <f t="shared" si="4"/>
        <v>0.22796669960827767</v>
      </c>
      <c r="P40" s="8">
        <f t="shared" si="5"/>
        <v>-0.71001778005783633</v>
      </c>
    </row>
    <row r="41" spans="1:16" x14ac:dyDescent="0.2">
      <c r="A41" s="8">
        <v>19.5</v>
      </c>
      <c r="B41" s="8">
        <v>39</v>
      </c>
      <c r="D41">
        <v>1540.2778993434999</v>
      </c>
      <c r="E41">
        <v>435.17505470459997</v>
      </c>
      <c r="F41">
        <v>134.86893555395</v>
      </c>
      <c r="G41">
        <v>116.15206372194</v>
      </c>
      <c r="I41" s="9">
        <f t="shared" si="1"/>
        <v>319.02299098265996</v>
      </c>
      <c r="J41" s="9">
        <f t="shared" si="2"/>
        <v>1405.4089637895499</v>
      </c>
      <c r="K41" s="9">
        <f t="shared" si="3"/>
        <v>319.02299098265996</v>
      </c>
      <c r="L41" s="10">
        <f t="shared" si="0"/>
        <v>0.22699655346045694</v>
      </c>
      <c r="M41" s="10">
        <f t="shared" si="4"/>
        <v>0.22884525940652012</v>
      </c>
      <c r="P41" s="8">
        <f t="shared" si="5"/>
        <v>-0.3273645816014733</v>
      </c>
    </row>
    <row r="42" spans="1:16" x14ac:dyDescent="0.2">
      <c r="A42" s="8">
        <v>20</v>
      </c>
      <c r="B42" s="8">
        <v>40</v>
      </c>
      <c r="D42">
        <v>1548.6958424508</v>
      </c>
      <c r="E42">
        <v>433.56382202771999</v>
      </c>
      <c r="F42">
        <v>134.51194786387001</v>
      </c>
      <c r="G42">
        <v>115.6509775525</v>
      </c>
      <c r="I42" s="9">
        <f t="shared" si="1"/>
        <v>317.91284447522003</v>
      </c>
      <c r="J42" s="9">
        <f t="shared" si="2"/>
        <v>1414.1838945869299</v>
      </c>
      <c r="K42" s="9">
        <f t="shared" si="3"/>
        <v>317.91284447522003</v>
      </c>
      <c r="L42" s="10">
        <f t="shared" si="0"/>
        <v>0.22480304413881014</v>
      </c>
      <c r="M42" s="10">
        <f t="shared" si="4"/>
        <v>0.22669915280143901</v>
      </c>
      <c r="P42" s="8">
        <f t="shared" si="5"/>
        <v>-1.2620927108710431</v>
      </c>
    </row>
    <row r="43" spans="1:16" x14ac:dyDescent="0.2">
      <c r="A43" s="8">
        <v>20.5</v>
      </c>
      <c r="B43" s="8">
        <v>41</v>
      </c>
      <c r="D43">
        <v>1569.8840262582</v>
      </c>
      <c r="E43">
        <v>437.63967906637998</v>
      </c>
      <c r="F43">
        <v>134.84866039101999</v>
      </c>
      <c r="G43">
        <v>116.28312816799</v>
      </c>
      <c r="I43" s="9">
        <f t="shared" si="1"/>
        <v>321.35655089838997</v>
      </c>
      <c r="J43" s="9">
        <f t="shared" si="2"/>
        <v>1435.03536586718</v>
      </c>
      <c r="K43" s="9">
        <f t="shared" si="3"/>
        <v>321.35655089838997</v>
      </c>
      <c r="L43" s="10">
        <f t="shared" si="0"/>
        <v>0.22393632835954316</v>
      </c>
      <c r="M43" s="10">
        <f t="shared" si="4"/>
        <v>0.22587983973873776</v>
      </c>
      <c r="P43" s="8">
        <f t="shared" si="5"/>
        <v>-1.6189412311503597</v>
      </c>
    </row>
    <row r="44" spans="1:16" x14ac:dyDescent="0.2">
      <c r="A44" s="8">
        <v>21</v>
      </c>
      <c r="B44" s="8">
        <v>42</v>
      </c>
      <c r="D44">
        <v>1572.4259664479</v>
      </c>
      <c r="E44">
        <v>439.64843180161</v>
      </c>
      <c r="F44">
        <v>134.84721216509999</v>
      </c>
      <c r="G44">
        <v>115.68573497465999</v>
      </c>
      <c r="I44" s="9">
        <f t="shared" si="1"/>
        <v>323.96269682695004</v>
      </c>
      <c r="J44" s="9">
        <f t="shared" si="2"/>
        <v>1437.5787542828</v>
      </c>
      <c r="K44" s="9">
        <f t="shared" si="3"/>
        <v>323.96269682695004</v>
      </c>
      <c r="L44" s="10">
        <f t="shared" si="0"/>
        <v>0.22535300821732943</v>
      </c>
      <c r="M44" s="10">
        <f t="shared" si="4"/>
        <v>0.22734392231308975</v>
      </c>
      <c r="P44" s="8">
        <f t="shared" si="5"/>
        <v>-0.98126593460166356</v>
      </c>
    </row>
    <row r="45" spans="1:16" x14ac:dyDescent="0.2">
      <c r="A45" s="8">
        <v>21.5</v>
      </c>
      <c r="B45" s="8">
        <v>43</v>
      </c>
      <c r="D45">
        <v>1576.9613420861001</v>
      </c>
      <c r="E45">
        <v>444.31145149525997</v>
      </c>
      <c r="F45">
        <v>134.43881245474</v>
      </c>
      <c r="G45">
        <v>115.54670528603</v>
      </c>
      <c r="I45" s="9">
        <f t="shared" si="1"/>
        <v>328.76474620923</v>
      </c>
      <c r="J45" s="9">
        <f t="shared" si="2"/>
        <v>1442.5225296313602</v>
      </c>
      <c r="K45" s="9">
        <f t="shared" si="3"/>
        <v>328.76474620923</v>
      </c>
      <c r="L45" s="10">
        <f t="shared" si="0"/>
        <v>0.22790960935164498</v>
      </c>
      <c r="M45" s="10">
        <f t="shared" si="4"/>
        <v>0.22994792616397103</v>
      </c>
      <c r="P45" s="8">
        <f t="shared" si="5"/>
        <v>0.15289750461529206</v>
      </c>
    </row>
    <row r="46" spans="1:16" x14ac:dyDescent="0.2">
      <c r="A46" s="8">
        <v>22</v>
      </c>
      <c r="B46" s="8">
        <v>44</v>
      </c>
      <c r="D46">
        <v>1583.6360320934</v>
      </c>
      <c r="E46">
        <v>445.46389496718001</v>
      </c>
      <c r="F46">
        <v>134.81245474293999</v>
      </c>
      <c r="G46">
        <v>115.40695148443</v>
      </c>
      <c r="I46" s="9">
        <f t="shared" si="1"/>
        <v>330.05694348275</v>
      </c>
      <c r="J46" s="9">
        <f t="shared" si="2"/>
        <v>1448.82357735046</v>
      </c>
      <c r="K46" s="9">
        <f t="shared" si="3"/>
        <v>330.05694348275</v>
      </c>
      <c r="L46" s="10">
        <f t="shared" si="0"/>
        <v>0.22781030668091592</v>
      </c>
      <c r="M46" s="10">
        <f t="shared" si="4"/>
        <v>0.2298960262098077</v>
      </c>
      <c r="P46" s="8">
        <f t="shared" si="5"/>
        <v>0.13029268761812868</v>
      </c>
    </row>
    <row r="47" spans="1:16" x14ac:dyDescent="0.2">
      <c r="A47" s="8">
        <v>22.5</v>
      </c>
      <c r="B47" s="8">
        <v>45</v>
      </c>
      <c r="D47">
        <v>1577.8650619985001</v>
      </c>
      <c r="E47">
        <v>446.67469000729</v>
      </c>
      <c r="F47">
        <v>135.05358435916</v>
      </c>
      <c r="G47">
        <v>115.91600289645</v>
      </c>
      <c r="I47" s="9">
        <f t="shared" si="1"/>
        <v>330.75868711084001</v>
      </c>
      <c r="J47" s="9">
        <f t="shared" si="2"/>
        <v>1442.8114776393402</v>
      </c>
      <c r="K47" s="9">
        <f t="shared" si="3"/>
        <v>330.75868711084001</v>
      </c>
      <c r="L47" s="10">
        <f t="shared" si="0"/>
        <v>0.22924594947914589</v>
      </c>
      <c r="M47" s="10">
        <f t="shared" si="4"/>
        <v>0.2313790717246034</v>
      </c>
      <c r="P47" s="8">
        <f t="shared" si="5"/>
        <v>0.77622721686497242</v>
      </c>
    </row>
    <row r="48" spans="1:16" x14ac:dyDescent="0.2">
      <c r="A48" s="8">
        <v>23</v>
      </c>
      <c r="B48" s="8">
        <v>46</v>
      </c>
      <c r="D48">
        <v>1553.3595915389999</v>
      </c>
      <c r="E48">
        <v>439.25018234865001</v>
      </c>
      <c r="F48">
        <v>134.65894279508001</v>
      </c>
      <c r="G48">
        <v>115.8906589428</v>
      </c>
      <c r="I48" s="9">
        <f t="shared" si="1"/>
        <v>323.35952340585004</v>
      </c>
      <c r="J48" s="9">
        <f t="shared" si="2"/>
        <v>1418.7006487439198</v>
      </c>
      <c r="K48" s="9">
        <f t="shared" si="3"/>
        <v>323.35952340585004</v>
      </c>
      <c r="L48" s="10">
        <f t="shared" si="0"/>
        <v>0.2279265352364109</v>
      </c>
      <c r="M48" s="10">
        <f t="shared" si="4"/>
        <v>0.23010706019843413</v>
      </c>
      <c r="P48" s="8">
        <f t="shared" si="5"/>
        <v>0.22220769544395094</v>
      </c>
    </row>
    <row r="49" spans="1:25" x14ac:dyDescent="0.2">
      <c r="A49" s="8">
        <v>23.5</v>
      </c>
      <c r="B49" s="8">
        <v>47</v>
      </c>
      <c r="D49">
        <v>1529.2633114514999</v>
      </c>
      <c r="E49">
        <v>432.52005835157001</v>
      </c>
      <c r="F49">
        <v>134.42939898623999</v>
      </c>
      <c r="G49">
        <v>116.07023895728</v>
      </c>
      <c r="I49" s="9">
        <f t="shared" si="1"/>
        <v>316.44981939428999</v>
      </c>
      <c r="J49" s="9">
        <f t="shared" si="2"/>
        <v>1394.83391246526</v>
      </c>
      <c r="K49" s="9">
        <f t="shared" si="3"/>
        <v>316.44981939428999</v>
      </c>
      <c r="L49" s="10">
        <f t="shared" si="0"/>
        <v>0.2268727599510322</v>
      </c>
      <c r="M49" s="10">
        <f t="shared" si="4"/>
        <v>0.22910068762962116</v>
      </c>
      <c r="P49" s="8">
        <f t="shared" si="5"/>
        <v>-0.21611384290256228</v>
      </c>
    </row>
    <row r="50" spans="1:25" x14ac:dyDescent="0.2">
      <c r="A50" s="8">
        <v>24</v>
      </c>
      <c r="B50" s="8">
        <v>48</v>
      </c>
      <c r="D50">
        <v>1522.9503239741</v>
      </c>
      <c r="E50">
        <v>436.00719942404999</v>
      </c>
      <c r="F50">
        <v>134.68211440984999</v>
      </c>
      <c r="G50">
        <v>115.62418537292</v>
      </c>
      <c r="I50" s="9">
        <f t="shared" si="1"/>
        <v>320.38301405112998</v>
      </c>
      <c r="J50" s="9">
        <f t="shared" si="2"/>
        <v>1388.2682095642499</v>
      </c>
      <c r="K50" s="9">
        <f t="shared" si="3"/>
        <v>320.38301405112998</v>
      </c>
      <c r="L50" s="10">
        <f t="shared" si="0"/>
        <v>0.23077890269610934</v>
      </c>
      <c r="M50" s="10">
        <f t="shared" si="4"/>
        <v>0.233054233091264</v>
      </c>
      <c r="P50" s="8">
        <f t="shared" si="5"/>
        <v>1.5058370353036714</v>
      </c>
    </row>
    <row r="51" spans="1:25" x14ac:dyDescent="0.2">
      <c r="A51" s="8">
        <v>24.5</v>
      </c>
      <c r="B51" s="8">
        <v>49</v>
      </c>
      <c r="D51">
        <v>1500.804175666</v>
      </c>
      <c r="E51">
        <v>431.54139668827003</v>
      </c>
      <c r="F51">
        <v>135.25923244026001</v>
      </c>
      <c r="G51">
        <v>115.89283128168</v>
      </c>
      <c r="I51" s="9">
        <f t="shared" si="1"/>
        <v>315.64856540659002</v>
      </c>
      <c r="J51" s="9">
        <f t="shared" si="2"/>
        <v>1365.5449432257401</v>
      </c>
      <c r="K51" s="9">
        <f t="shared" si="3"/>
        <v>315.64856540659002</v>
      </c>
      <c r="L51" s="10">
        <f t="shared" si="0"/>
        <v>0.23115208838235193</v>
      </c>
      <c r="M51" s="10">
        <f t="shared" si="4"/>
        <v>0.23347482149407231</v>
      </c>
      <c r="P51" s="8">
        <f t="shared" si="5"/>
        <v>1.6890226282368026</v>
      </c>
    </row>
    <row r="52" spans="1:25" x14ac:dyDescent="0.2">
      <c r="A52" s="8">
        <v>25</v>
      </c>
      <c r="B52" s="8">
        <v>50</v>
      </c>
      <c r="D52">
        <v>1561.3570914326999</v>
      </c>
      <c r="E52">
        <v>438.44564434845</v>
      </c>
      <c r="F52">
        <v>134.71035481535</v>
      </c>
      <c r="G52">
        <v>115.60246198407</v>
      </c>
      <c r="I52" s="9">
        <f t="shared" si="1"/>
        <v>322.84318236438003</v>
      </c>
      <c r="J52" s="9">
        <f t="shared" si="2"/>
        <v>1426.6467366173499</v>
      </c>
      <c r="K52" s="9">
        <f t="shared" si="3"/>
        <v>322.84318236438003</v>
      </c>
      <c r="L52" s="10">
        <f t="shared" si="0"/>
        <v>0.22629511152134074</v>
      </c>
      <c r="M52" s="10">
        <f t="shared" si="4"/>
        <v>0.22866524734962684</v>
      </c>
      <c r="P52" s="8">
        <f t="shared" si="5"/>
        <v>-0.40576811141096258</v>
      </c>
    </row>
    <row r="53" spans="1:25" x14ac:dyDescent="0.2">
      <c r="A53" s="8">
        <v>25.5</v>
      </c>
      <c r="B53" s="8">
        <v>51</v>
      </c>
      <c r="D53">
        <v>1578.7717782576999</v>
      </c>
      <c r="E53">
        <v>441.48956083513002</v>
      </c>
      <c r="F53">
        <v>135.13830557566999</v>
      </c>
      <c r="G53">
        <v>115.96958725560999</v>
      </c>
      <c r="I53" s="9">
        <f t="shared" si="1"/>
        <v>325.51997357952001</v>
      </c>
      <c r="J53" s="9">
        <f t="shared" si="2"/>
        <v>1443.6334726820298</v>
      </c>
      <c r="K53" s="9">
        <f t="shared" si="3"/>
        <v>325.51997357952001</v>
      </c>
      <c r="L53" s="10">
        <f t="shared" si="0"/>
        <v>0.22548657934257943</v>
      </c>
      <c r="M53" s="10">
        <f t="shared" si="4"/>
        <v>0.22790411788743126</v>
      </c>
      <c r="P53" s="8">
        <f t="shared" si="5"/>
        <v>-0.73727499771643001</v>
      </c>
      <c r="S53" s="11"/>
      <c r="U53" s="12"/>
    </row>
    <row r="54" spans="1:25" x14ac:dyDescent="0.2">
      <c r="A54" s="8">
        <v>26</v>
      </c>
      <c r="B54" s="8">
        <v>52</v>
      </c>
      <c r="D54">
        <v>1590.033837293</v>
      </c>
      <c r="E54">
        <v>441.84089272858</v>
      </c>
      <c r="F54">
        <v>135.25416364953</v>
      </c>
      <c r="G54">
        <v>115.9565532223</v>
      </c>
      <c r="I54" s="9">
        <f t="shared" si="1"/>
        <v>325.88433950628001</v>
      </c>
      <c r="J54" s="9">
        <f t="shared" si="2"/>
        <v>1454.77967364347</v>
      </c>
      <c r="K54" s="9">
        <f t="shared" si="3"/>
        <v>325.88433950628001</v>
      </c>
      <c r="L54" s="10">
        <f t="shared" si="0"/>
        <v>0.22400941215387513</v>
      </c>
      <c r="M54" s="10">
        <f t="shared" si="4"/>
        <v>0.22647435341529268</v>
      </c>
      <c r="P54" s="8">
        <f t="shared" si="5"/>
        <v>-1.360003182408672</v>
      </c>
      <c r="S54" s="11"/>
    </row>
    <row r="55" spans="1:25" x14ac:dyDescent="0.2">
      <c r="A55" s="8">
        <v>26.5</v>
      </c>
      <c r="B55" s="8">
        <v>53</v>
      </c>
      <c r="D55">
        <v>1604.358490566</v>
      </c>
      <c r="E55">
        <v>447.02249637155001</v>
      </c>
      <c r="F55">
        <v>135.22375090514001</v>
      </c>
      <c r="G55">
        <v>115.5546705286</v>
      </c>
      <c r="I55" s="9">
        <f t="shared" si="1"/>
        <v>331.46782584294999</v>
      </c>
      <c r="J55" s="9">
        <f t="shared" si="2"/>
        <v>1469.1347396608601</v>
      </c>
      <c r="K55" s="9">
        <f t="shared" si="3"/>
        <v>331.46782584294999</v>
      </c>
      <c r="L55" s="10">
        <f t="shared" si="0"/>
        <v>0.22562112030613823</v>
      </c>
      <c r="M55" s="10">
        <f t="shared" si="4"/>
        <v>0.22813346428412151</v>
      </c>
      <c r="P55" s="8">
        <f t="shared" si="5"/>
        <v>-0.6373840939628872</v>
      </c>
      <c r="S55" s="11"/>
    </row>
    <row r="56" spans="1:25" x14ac:dyDescent="0.2">
      <c r="A56" s="8">
        <v>27</v>
      </c>
      <c r="B56" s="8">
        <v>54</v>
      </c>
      <c r="D56">
        <v>1576.1952104499001</v>
      </c>
      <c r="E56">
        <v>438.01015965166999</v>
      </c>
      <c r="F56">
        <v>134.80883417813001</v>
      </c>
      <c r="G56">
        <v>115.88341781318</v>
      </c>
      <c r="I56" s="9">
        <f t="shared" si="1"/>
        <v>322.12674183848998</v>
      </c>
      <c r="J56" s="9">
        <f t="shared" si="2"/>
        <v>1441.3863762717701</v>
      </c>
      <c r="K56" s="9">
        <f t="shared" si="3"/>
        <v>322.12674183848998</v>
      </c>
      <c r="L56" s="10">
        <f t="shared" si="0"/>
        <v>0.22348396456451156</v>
      </c>
      <c r="M56" s="10">
        <f t="shared" si="4"/>
        <v>0.22604371125906056</v>
      </c>
      <c r="P56" s="8">
        <f t="shared" si="5"/>
        <v>-1.5475676473455153</v>
      </c>
      <c r="S56" s="11"/>
    </row>
    <row r="57" spans="1:25" x14ac:dyDescent="0.2">
      <c r="A57" s="8">
        <v>27.5</v>
      </c>
      <c r="B57" s="8">
        <v>55</v>
      </c>
      <c r="D57">
        <v>1502.8802612482</v>
      </c>
      <c r="E57">
        <v>423.52975326559999</v>
      </c>
      <c r="F57">
        <v>135.76973207820001</v>
      </c>
      <c r="G57">
        <v>115.94134685010999</v>
      </c>
      <c r="I57" s="9">
        <f t="shared" si="1"/>
        <v>307.58840641549</v>
      </c>
      <c r="J57" s="9">
        <f t="shared" si="2"/>
        <v>1367.1105291700001</v>
      </c>
      <c r="K57" s="9">
        <f t="shared" si="3"/>
        <v>307.58840641549</v>
      </c>
      <c r="L57" s="10">
        <f t="shared" si="0"/>
        <v>0.22499161541988344</v>
      </c>
      <c r="M57" s="10">
        <f t="shared" si="4"/>
        <v>0.22759876483099817</v>
      </c>
      <c r="P57" s="8">
        <f t="shared" si="5"/>
        <v>-0.87027029745162643</v>
      </c>
      <c r="S57" s="11"/>
    </row>
    <row r="58" spans="1:25" x14ac:dyDescent="0.2">
      <c r="A58" s="8">
        <v>28</v>
      </c>
      <c r="B58" s="8">
        <v>56</v>
      </c>
      <c r="D58">
        <v>1491.3251088534</v>
      </c>
      <c r="E58">
        <v>420.5587808418</v>
      </c>
      <c r="F58">
        <v>134.99710354814999</v>
      </c>
      <c r="G58">
        <v>115.90586531499</v>
      </c>
      <c r="I58" s="9">
        <f t="shared" si="1"/>
        <v>304.65291552681003</v>
      </c>
      <c r="J58" s="9">
        <f t="shared" si="2"/>
        <v>1356.3280053052499</v>
      </c>
      <c r="K58" s="9">
        <f t="shared" si="3"/>
        <v>304.65291552681003</v>
      </c>
      <c r="L58" s="10">
        <f t="shared" si="0"/>
        <v>0.22461595892377526</v>
      </c>
      <c r="M58" s="10">
        <f t="shared" si="4"/>
        <v>0.22727051105145571</v>
      </c>
      <c r="P58" s="8">
        <f t="shared" si="5"/>
        <v>-1.0132399153405722</v>
      </c>
      <c r="S58" s="11"/>
    </row>
    <row r="59" spans="1:25" x14ac:dyDescent="0.2">
      <c r="A59" s="8">
        <v>28.5</v>
      </c>
      <c r="B59" s="8">
        <v>57</v>
      </c>
      <c r="D59">
        <v>1511.8831640057999</v>
      </c>
      <c r="E59">
        <v>424.94847605224999</v>
      </c>
      <c r="F59">
        <v>135.43881245474</v>
      </c>
      <c r="G59">
        <v>115.84286748733</v>
      </c>
      <c r="I59" s="9">
        <f t="shared" si="1"/>
        <v>309.10560856491998</v>
      </c>
      <c r="J59" s="9">
        <f t="shared" si="2"/>
        <v>1376.44435155106</v>
      </c>
      <c r="K59" s="9">
        <f t="shared" si="3"/>
        <v>309.10560856491998</v>
      </c>
      <c r="L59" s="10">
        <f t="shared" si="0"/>
        <v>0.22456818411627122</v>
      </c>
      <c r="M59" s="10">
        <f t="shared" si="4"/>
        <v>0.22727013896051737</v>
      </c>
      <c r="P59" s="8">
        <f t="shared" si="5"/>
        <v>-1.0134019780572556</v>
      </c>
      <c r="R59" s="1"/>
      <c r="S59" s="11"/>
    </row>
    <row r="60" spans="1:25" x14ac:dyDescent="0.2">
      <c r="A60" s="8">
        <v>29</v>
      </c>
      <c r="B60" s="8">
        <v>58</v>
      </c>
      <c r="D60">
        <v>1453.2714078375</v>
      </c>
      <c r="E60">
        <v>416.81567489115002</v>
      </c>
      <c r="F60">
        <v>134.98406951484</v>
      </c>
      <c r="G60">
        <v>115.93917451122</v>
      </c>
      <c r="I60" s="9">
        <f t="shared" si="1"/>
        <v>300.87650037993001</v>
      </c>
      <c r="J60" s="9">
        <f t="shared" si="2"/>
        <v>1318.2873383226599</v>
      </c>
      <c r="K60" s="9">
        <f t="shared" si="3"/>
        <v>300.87650037993001</v>
      </c>
      <c r="L60" s="10">
        <f t="shared" si="0"/>
        <v>0.22823286823247058</v>
      </c>
      <c r="M60" s="10">
        <f t="shared" si="4"/>
        <v>0.23098222579328245</v>
      </c>
      <c r="P60" s="8">
        <f t="shared" si="5"/>
        <v>0.60338256221751729</v>
      </c>
      <c r="S60" s="11"/>
    </row>
    <row r="61" spans="1:25" x14ac:dyDescent="0.2">
      <c r="A61" s="8">
        <v>29.5</v>
      </c>
      <c r="B61" s="8">
        <v>59</v>
      </c>
      <c r="C61" s="2"/>
      <c r="D61">
        <v>1566.9782923299999</v>
      </c>
      <c r="E61">
        <v>435.83502170767002</v>
      </c>
      <c r="F61">
        <v>135.24040550326001</v>
      </c>
      <c r="G61">
        <v>115.91093410572</v>
      </c>
      <c r="I61" s="9">
        <f t="shared" si="1"/>
        <v>319.92408760195002</v>
      </c>
      <c r="J61" s="9">
        <f t="shared" si="2"/>
        <v>1431.7378868267399</v>
      </c>
      <c r="K61" s="9">
        <f t="shared" si="3"/>
        <v>319.92408760195002</v>
      </c>
      <c r="L61" s="10">
        <f t="shared" si="0"/>
        <v>0.22345157625954845</v>
      </c>
      <c r="M61" s="10">
        <f t="shared" si="4"/>
        <v>0.22624833653692605</v>
      </c>
      <c r="P61" s="8">
        <f t="shared" si="5"/>
        <v>-1.4584439278025849</v>
      </c>
      <c r="S61" s="11"/>
    </row>
    <row r="62" spans="1:25" x14ac:dyDescent="0.2">
      <c r="A62" s="8">
        <v>30</v>
      </c>
      <c r="B62" s="8">
        <v>60</v>
      </c>
      <c r="D62">
        <v>1608.8133140376001</v>
      </c>
      <c r="E62">
        <v>442.85817655571998</v>
      </c>
      <c r="F62">
        <v>135.37074583635001</v>
      </c>
      <c r="G62">
        <v>115.54091238233001</v>
      </c>
      <c r="I62" s="9">
        <f t="shared" si="1"/>
        <v>327.31726417338996</v>
      </c>
      <c r="J62" s="9">
        <f t="shared" si="2"/>
        <v>1473.4425682012502</v>
      </c>
      <c r="K62" s="9">
        <f t="shared" si="3"/>
        <v>327.31726417338996</v>
      </c>
      <c r="L62" s="10">
        <f t="shared" si="0"/>
        <v>0.22214456894168089</v>
      </c>
      <c r="M62" s="10">
        <f t="shared" si="4"/>
        <v>0.22498873193562421</v>
      </c>
      <c r="P62" s="8">
        <f t="shared" si="5"/>
        <v>-2.0070596628302093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1654.7612156294999</v>
      </c>
      <c r="E63">
        <v>452.39869753980003</v>
      </c>
      <c r="F63">
        <v>135.50470673424999</v>
      </c>
      <c r="G63">
        <v>115.99927588704</v>
      </c>
      <c r="I63" s="9">
        <f t="shared" si="1"/>
        <v>336.39942165276</v>
      </c>
      <c r="J63" s="9">
        <f t="shared" si="2"/>
        <v>1519.2565088952499</v>
      </c>
      <c r="K63" s="9">
        <f t="shared" si="3"/>
        <v>336.39942165276</v>
      </c>
      <c r="L63" s="10">
        <f t="shared" si="0"/>
        <v>0.2214237159315367</v>
      </c>
      <c r="M63" s="10">
        <f t="shared" si="4"/>
        <v>0.22431528164204576</v>
      </c>
      <c r="P63" s="8">
        <f t="shared" si="5"/>
        <v>-2.3003782387025602</v>
      </c>
    </row>
    <row r="64" spans="1:25" x14ac:dyDescent="0.2">
      <c r="A64" s="8">
        <v>31</v>
      </c>
      <c r="B64" s="8">
        <v>62</v>
      </c>
      <c r="D64">
        <v>1666.9153400867999</v>
      </c>
      <c r="E64">
        <v>457.86541244572999</v>
      </c>
      <c r="F64">
        <v>134.87183200579</v>
      </c>
      <c r="G64">
        <v>115.84214337437</v>
      </c>
      <c r="I64" s="9">
        <f t="shared" si="1"/>
        <v>342.02326907136001</v>
      </c>
      <c r="J64" s="9">
        <f t="shared" si="2"/>
        <v>1532.0435080810098</v>
      </c>
      <c r="K64" s="9">
        <f t="shared" si="3"/>
        <v>342.02326907136001</v>
      </c>
      <c r="L64" s="10">
        <f t="shared" si="0"/>
        <v>0.22324644650579653</v>
      </c>
      <c r="M64" s="10">
        <f t="shared" si="4"/>
        <v>0.22618541493287131</v>
      </c>
      <c r="P64" s="8">
        <f t="shared" si="5"/>
        <v>-1.4858491802301588</v>
      </c>
      <c r="U64" s="8">
        <v>30.5</v>
      </c>
      <c r="V64" s="10">
        <f>L62</f>
        <v>0.22214456894168089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1654.3287373004</v>
      </c>
      <c r="E65">
        <v>452.12409288824</v>
      </c>
      <c r="F65">
        <v>135.51918899347999</v>
      </c>
      <c r="G65">
        <v>115.8377986966</v>
      </c>
      <c r="I65" s="9">
        <f t="shared" si="1"/>
        <v>336.28629419163997</v>
      </c>
      <c r="J65" s="9">
        <f t="shared" si="2"/>
        <v>1518.8095483069201</v>
      </c>
      <c r="K65" s="9">
        <f t="shared" si="3"/>
        <v>336.28629419163997</v>
      </c>
      <c r="L65" s="10">
        <f t="shared" si="0"/>
        <v>0.22141439298068163</v>
      </c>
      <c r="M65" s="10">
        <f t="shared" si="4"/>
        <v>0.22440076412432214</v>
      </c>
      <c r="P65" s="8">
        <f t="shared" si="5"/>
        <v>-2.2631466861998351</v>
      </c>
      <c r="U65" s="8">
        <v>31</v>
      </c>
      <c r="V65" s="10">
        <f t="shared" ref="V65:V83" si="6">L63</f>
        <v>0.2214237159315367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1657.5834542816001</v>
      </c>
      <c r="E66">
        <v>454.29027576197001</v>
      </c>
      <c r="F66">
        <v>135.22519913106001</v>
      </c>
      <c r="G66">
        <v>115.83272990587</v>
      </c>
      <c r="I66" s="9">
        <f t="shared" si="1"/>
        <v>338.45754585610001</v>
      </c>
      <c r="J66" s="9">
        <f t="shared" si="2"/>
        <v>1522.3582551505401</v>
      </c>
      <c r="K66" s="9">
        <f t="shared" si="3"/>
        <v>338.45754585610001</v>
      </c>
      <c r="L66" s="10">
        <f t="shared" ref="L66:L129" si="7">K66/J66</f>
        <v>0.22232450522799657</v>
      </c>
      <c r="M66" s="10">
        <f t="shared" si="4"/>
        <v>0.2253582790882028</v>
      </c>
      <c r="P66" s="8">
        <f t="shared" si="5"/>
        <v>-1.8461048818380394</v>
      </c>
      <c r="U66" s="8">
        <v>31.5</v>
      </c>
      <c r="V66" s="10">
        <f t="shared" si="6"/>
        <v>0.22324644650579653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1643.4208998549</v>
      </c>
      <c r="E67">
        <v>453.39477503628001</v>
      </c>
      <c r="F67">
        <v>135.30412744387999</v>
      </c>
      <c r="G67">
        <v>116.30123099204</v>
      </c>
      <c r="I67" s="9">
        <f t="shared" ref="I67:I130" si="8">E67-G67</f>
        <v>337.09354404423999</v>
      </c>
      <c r="J67" s="9">
        <f t="shared" ref="J67:J130" si="9">D67-F67</f>
        <v>1508.1167724110201</v>
      </c>
      <c r="K67" s="9">
        <f t="shared" ref="K67:K130" si="10">I67*1</f>
        <v>337.09354404423999</v>
      </c>
      <c r="L67" s="10">
        <f t="shared" si="7"/>
        <v>0.22351952462230754</v>
      </c>
      <c r="M67" s="10">
        <f t="shared" ref="M67:M130" si="11">L67+ABS($N$2)*A67</f>
        <v>0.22660070119907949</v>
      </c>
      <c r="P67" s="8">
        <f t="shared" ref="P67:P130" si="12">(M67-$O$2)/$O$2*100</f>
        <v>-1.304972911639835</v>
      </c>
      <c r="U67" s="8">
        <v>32</v>
      </c>
      <c r="V67" s="10">
        <f t="shared" si="6"/>
        <v>0.22141439298068163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1653.1422351234</v>
      </c>
      <c r="E68">
        <v>458.62046444122001</v>
      </c>
      <c r="F68">
        <v>135.69080376539</v>
      </c>
      <c r="G68">
        <v>116.14192614048</v>
      </c>
      <c r="I68" s="9">
        <f t="shared" si="8"/>
        <v>342.47853830074001</v>
      </c>
      <c r="J68" s="9">
        <f t="shared" si="9"/>
        <v>1517.45143135801</v>
      </c>
      <c r="K68" s="9">
        <f t="shared" si="10"/>
        <v>342.47853830074001</v>
      </c>
      <c r="L68" s="10">
        <f t="shared" si="7"/>
        <v>0.22569324541362509</v>
      </c>
      <c r="M68" s="10">
        <f t="shared" si="11"/>
        <v>0.22882182470696275</v>
      </c>
      <c r="P68" s="8">
        <f t="shared" si="12"/>
        <v>-0.33757147105672941</v>
      </c>
      <c r="U68" s="8">
        <v>32.5</v>
      </c>
      <c r="V68" s="10">
        <f t="shared" si="6"/>
        <v>0.22232450522799657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1675.9663003662999</v>
      </c>
      <c r="E69">
        <v>467.95897435897001</v>
      </c>
      <c r="F69">
        <v>135.49529326575001</v>
      </c>
      <c r="G69">
        <v>116.01303403331001</v>
      </c>
      <c r="I69" s="9">
        <f t="shared" si="8"/>
        <v>351.94594032565999</v>
      </c>
      <c r="J69" s="9">
        <f t="shared" si="9"/>
        <v>1540.47100710055</v>
      </c>
      <c r="K69" s="9">
        <f t="shared" si="10"/>
        <v>351.94594032565999</v>
      </c>
      <c r="L69" s="10">
        <f t="shared" si="7"/>
        <v>0.22846644870524829</v>
      </c>
      <c r="M69" s="10">
        <f t="shared" si="11"/>
        <v>0.23164243071515167</v>
      </c>
      <c r="P69" s="8">
        <f t="shared" si="12"/>
        <v>0.89093216953539534</v>
      </c>
      <c r="U69" s="8">
        <v>33</v>
      </c>
      <c r="V69" s="10">
        <f t="shared" si="6"/>
        <v>0.22351952462230754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1645.9992673992999</v>
      </c>
      <c r="E70">
        <v>460.26153846154</v>
      </c>
      <c r="F70">
        <v>135.50977552498</v>
      </c>
      <c r="G70">
        <v>116.03041274439001</v>
      </c>
      <c r="I70" s="9">
        <f t="shared" si="8"/>
        <v>344.23112571715001</v>
      </c>
      <c r="J70" s="9">
        <f t="shared" si="9"/>
        <v>1510.4894918743198</v>
      </c>
      <c r="K70" s="9">
        <f t="shared" si="10"/>
        <v>344.23112571715001</v>
      </c>
      <c r="L70" s="10">
        <f t="shared" si="7"/>
        <v>0.22789375733425607</v>
      </c>
      <c r="M70" s="10">
        <f t="shared" si="11"/>
        <v>0.23111714206072517</v>
      </c>
      <c r="P70" s="8">
        <f t="shared" si="12"/>
        <v>0.66214480169629664</v>
      </c>
      <c r="U70" s="8">
        <v>33.5</v>
      </c>
      <c r="V70" s="10">
        <f t="shared" si="6"/>
        <v>0.22569324541362509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1623.4117216116999</v>
      </c>
      <c r="E71">
        <v>454.45201465202001</v>
      </c>
      <c r="F71">
        <v>135.57784214336999</v>
      </c>
      <c r="G71">
        <v>115.62418537292</v>
      </c>
      <c r="I71" s="9">
        <f t="shared" si="8"/>
        <v>338.8278292791</v>
      </c>
      <c r="J71" s="9">
        <f t="shared" si="9"/>
        <v>1487.83387946833</v>
      </c>
      <c r="K71" s="9">
        <f t="shared" si="10"/>
        <v>338.8278292791</v>
      </c>
      <c r="L71" s="10">
        <f t="shared" si="7"/>
        <v>0.22773229858173308</v>
      </c>
      <c r="M71" s="10">
        <f t="shared" si="11"/>
        <v>0.23100308602476791</v>
      </c>
      <c r="P71" s="8">
        <f t="shared" si="12"/>
        <v>0.61246815242369024</v>
      </c>
      <c r="U71" s="8">
        <v>34</v>
      </c>
      <c r="V71" s="10">
        <f t="shared" si="6"/>
        <v>0.22846644870524829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1626.0593406593</v>
      </c>
      <c r="E72">
        <v>453.43296703297</v>
      </c>
      <c r="F72">
        <v>135.74366401159</v>
      </c>
      <c r="G72">
        <v>115.698044895</v>
      </c>
      <c r="I72" s="9">
        <f t="shared" si="8"/>
        <v>337.73492213796999</v>
      </c>
      <c r="J72" s="9">
        <f t="shared" si="9"/>
        <v>1490.31567664771</v>
      </c>
      <c r="K72" s="9">
        <f t="shared" si="10"/>
        <v>337.73492213796999</v>
      </c>
      <c r="L72" s="10">
        <f t="shared" si="7"/>
        <v>0.22661972052636861</v>
      </c>
      <c r="M72" s="10">
        <f t="shared" si="11"/>
        <v>0.22993791068596917</v>
      </c>
      <c r="P72" s="8">
        <f t="shared" si="12"/>
        <v>0.14853530331818196</v>
      </c>
      <c r="U72" s="8">
        <v>34.5</v>
      </c>
      <c r="V72" s="10">
        <f t="shared" si="6"/>
        <v>0.22789375733425607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1622.2468864468999</v>
      </c>
      <c r="E73">
        <v>451.44322344322001</v>
      </c>
      <c r="F73">
        <v>136.00868935554001</v>
      </c>
      <c r="G73">
        <v>115.91310644460999</v>
      </c>
      <c r="I73" s="9">
        <f t="shared" si="8"/>
        <v>335.53011699861003</v>
      </c>
      <c r="J73" s="9">
        <f t="shared" si="9"/>
        <v>1486.2381970913598</v>
      </c>
      <c r="K73" s="9">
        <f t="shared" si="10"/>
        <v>335.53011699861003</v>
      </c>
      <c r="L73" s="10">
        <f t="shared" si="7"/>
        <v>0.22575796911643015</v>
      </c>
      <c r="M73" s="10">
        <f t="shared" si="11"/>
        <v>0.22912356199259643</v>
      </c>
      <c r="P73" s="8">
        <f t="shared" si="12"/>
        <v>-0.20615100579955806</v>
      </c>
      <c r="U73" s="8">
        <v>35</v>
      </c>
      <c r="V73" s="10">
        <f t="shared" si="6"/>
        <v>0.22773229858173308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1616.032967033</v>
      </c>
      <c r="E74">
        <v>448.33113553113998</v>
      </c>
      <c r="F74">
        <v>136.02389572773001</v>
      </c>
      <c r="G74">
        <v>116.23026792180001</v>
      </c>
      <c r="I74" s="9">
        <f t="shared" si="8"/>
        <v>332.10086760933996</v>
      </c>
      <c r="J74" s="9">
        <f t="shared" si="9"/>
        <v>1480.00907130527</v>
      </c>
      <c r="K74" s="9">
        <f t="shared" si="10"/>
        <v>332.10086760933996</v>
      </c>
      <c r="L74" s="10">
        <f t="shared" si="7"/>
        <v>0.22439110276293711</v>
      </c>
      <c r="M74" s="10">
        <f t="shared" si="11"/>
        <v>0.22780409835566912</v>
      </c>
      <c r="P74" s="8">
        <f t="shared" si="12"/>
        <v>-0.78083810385155661</v>
      </c>
      <c r="U74" s="8">
        <v>35.5</v>
      </c>
      <c r="V74" s="10">
        <f t="shared" si="6"/>
        <v>0.22661972052636861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1638.0205128205</v>
      </c>
      <c r="E75">
        <v>455.57435897436</v>
      </c>
      <c r="F75">
        <v>135.70383779869999</v>
      </c>
      <c r="G75">
        <v>116.28385228096001</v>
      </c>
      <c r="I75" s="9">
        <f t="shared" si="8"/>
        <v>339.2905066934</v>
      </c>
      <c r="J75" s="9">
        <f t="shared" si="9"/>
        <v>1502.3166750217999</v>
      </c>
      <c r="K75" s="9">
        <f t="shared" si="10"/>
        <v>339.2905066934</v>
      </c>
      <c r="L75" s="10">
        <f t="shared" si="7"/>
        <v>0.22584486502386497</v>
      </c>
      <c r="M75" s="10">
        <f t="shared" si="11"/>
        <v>0.2293052633331627</v>
      </c>
      <c r="P75" s="8">
        <f t="shared" si="12"/>
        <v>-0.12701171525771213</v>
      </c>
      <c r="U75" s="8">
        <v>36</v>
      </c>
      <c r="V75" s="10">
        <f t="shared" si="6"/>
        <v>0.22575796911643015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1662.6080586081</v>
      </c>
      <c r="E76">
        <v>462.59340659341001</v>
      </c>
      <c r="F76">
        <v>135.69804489500001</v>
      </c>
      <c r="G76">
        <v>116.14192614048</v>
      </c>
      <c r="I76" s="9">
        <f t="shared" si="8"/>
        <v>346.45148045293001</v>
      </c>
      <c r="J76" s="9">
        <f t="shared" si="9"/>
        <v>1526.9100137130999</v>
      </c>
      <c r="K76" s="9">
        <f t="shared" si="10"/>
        <v>346.45148045293001</v>
      </c>
      <c r="L76" s="10">
        <f t="shared" si="7"/>
        <v>0.22689711727702822</v>
      </c>
      <c r="M76" s="10">
        <f t="shared" si="11"/>
        <v>0.23040491830289164</v>
      </c>
      <c r="P76" s="8">
        <f t="shared" si="12"/>
        <v>0.35193859888936802</v>
      </c>
      <c r="U76" s="8">
        <v>36.5</v>
      </c>
      <c r="V76" s="10">
        <f t="shared" si="6"/>
        <v>0.22439110276293711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1611.0622710622999</v>
      </c>
      <c r="E77">
        <v>458.82637362637001</v>
      </c>
      <c r="F77">
        <v>135.75452570601001</v>
      </c>
      <c r="G77">
        <v>116.07313540912</v>
      </c>
      <c r="I77" s="9">
        <f t="shared" si="8"/>
        <v>342.75323821724999</v>
      </c>
      <c r="J77" s="9">
        <f t="shared" si="9"/>
        <v>1475.3077453562898</v>
      </c>
      <c r="K77" s="9">
        <f t="shared" si="10"/>
        <v>342.75323821724999</v>
      </c>
      <c r="L77" s="10">
        <f t="shared" si="7"/>
        <v>0.23232660392118687</v>
      </c>
      <c r="M77" s="10">
        <f t="shared" si="11"/>
        <v>0.23588180766361602</v>
      </c>
      <c r="P77" s="8">
        <f t="shared" si="12"/>
        <v>2.7373758060838536</v>
      </c>
      <c r="U77" s="8">
        <v>37</v>
      </c>
      <c r="V77" s="10">
        <f t="shared" si="6"/>
        <v>0.22584486502386497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1561.6769230769</v>
      </c>
      <c r="E78">
        <v>449.37948717949001</v>
      </c>
      <c r="F78">
        <v>135.86459087617999</v>
      </c>
      <c r="G78">
        <v>116.09775524982</v>
      </c>
      <c r="I78" s="9">
        <f t="shared" si="8"/>
        <v>333.28173192967</v>
      </c>
      <c r="J78" s="9">
        <f t="shared" si="9"/>
        <v>1425.81233220072</v>
      </c>
      <c r="K78" s="9">
        <f t="shared" si="10"/>
        <v>333.28173192967</v>
      </c>
      <c r="L78" s="10">
        <f t="shared" si="7"/>
        <v>0.2337486669197584</v>
      </c>
      <c r="M78" s="10">
        <f t="shared" si="11"/>
        <v>0.23735127337875328</v>
      </c>
      <c r="P78" s="8">
        <f t="shared" si="12"/>
        <v>3.3773957080234922</v>
      </c>
      <c r="U78" s="8">
        <v>37.5</v>
      </c>
      <c r="V78" s="10">
        <f t="shared" si="6"/>
        <v>0.22689711727702822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1613.4974358974</v>
      </c>
      <c r="E79">
        <v>454.58681318680999</v>
      </c>
      <c r="F79">
        <v>135.61911658219</v>
      </c>
      <c r="G79">
        <v>115.92686459088</v>
      </c>
      <c r="I79" s="9">
        <f t="shared" si="8"/>
        <v>338.65994859593002</v>
      </c>
      <c r="J79" s="9">
        <f t="shared" si="9"/>
        <v>1477.8783193152101</v>
      </c>
      <c r="K79" s="9">
        <f t="shared" si="10"/>
        <v>338.65994859593002</v>
      </c>
      <c r="L79" s="10">
        <f t="shared" si="7"/>
        <v>0.22915279571382544</v>
      </c>
      <c r="M79" s="10">
        <f t="shared" si="11"/>
        <v>0.23280280488938604</v>
      </c>
      <c r="P79" s="8">
        <f t="shared" si="12"/>
        <v>1.3963284898145658</v>
      </c>
      <c r="U79" s="8">
        <v>38</v>
      </c>
      <c r="V79" s="10">
        <f t="shared" si="6"/>
        <v>0.23232660392118687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1645.0386579138999</v>
      </c>
      <c r="E80">
        <v>459.70459518600001</v>
      </c>
      <c r="F80">
        <v>135.40984793627999</v>
      </c>
      <c r="G80">
        <v>115.96958725560999</v>
      </c>
      <c r="I80" s="9">
        <f t="shared" si="8"/>
        <v>343.73500793039</v>
      </c>
      <c r="J80" s="9">
        <f t="shared" si="9"/>
        <v>1509.62880997762</v>
      </c>
      <c r="K80" s="9">
        <f t="shared" si="10"/>
        <v>343.73500793039</v>
      </c>
      <c r="L80" s="10">
        <f t="shared" si="7"/>
        <v>0.22769505037167767</v>
      </c>
      <c r="M80" s="10">
        <f t="shared" si="11"/>
        <v>0.231392462263804</v>
      </c>
      <c r="P80" s="8">
        <f t="shared" si="12"/>
        <v>0.78205941253841027</v>
      </c>
      <c r="U80" s="8">
        <v>38.5</v>
      </c>
      <c r="V80" s="10">
        <f t="shared" si="6"/>
        <v>0.2337486669197584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1653.2509117433001</v>
      </c>
      <c r="E81">
        <v>464.36907366885998</v>
      </c>
      <c r="F81">
        <v>136.30050687907001</v>
      </c>
      <c r="G81">
        <v>115.84214337437</v>
      </c>
      <c r="I81" s="9">
        <f t="shared" si="8"/>
        <v>348.52693029449</v>
      </c>
      <c r="J81" s="9">
        <f t="shared" si="9"/>
        <v>1516.95040486423</v>
      </c>
      <c r="K81" s="9">
        <f t="shared" si="10"/>
        <v>348.52693029449</v>
      </c>
      <c r="L81" s="10">
        <f t="shared" si="7"/>
        <v>0.22975499342424702</v>
      </c>
      <c r="M81" s="10">
        <f t="shared" si="11"/>
        <v>0.23349980803293907</v>
      </c>
      <c r="P81" s="8">
        <f t="shared" si="12"/>
        <v>1.6999054150827835</v>
      </c>
      <c r="U81" s="8">
        <v>39</v>
      </c>
      <c r="V81" s="10">
        <f t="shared" si="6"/>
        <v>0.22915279571382544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1648.7819110139001</v>
      </c>
      <c r="E82">
        <v>463.87819110138997</v>
      </c>
      <c r="F82">
        <v>136.20275162925</v>
      </c>
      <c r="G82">
        <v>115.61911658219</v>
      </c>
      <c r="H82" s="13"/>
      <c r="I82" s="14">
        <f t="shared" si="8"/>
        <v>348.2590745192</v>
      </c>
      <c r="J82" s="14">
        <f t="shared" si="9"/>
        <v>1512.57915938465</v>
      </c>
      <c r="K82" s="9">
        <f t="shared" si="10"/>
        <v>348.2590745192</v>
      </c>
      <c r="L82" s="15">
        <f t="shared" si="7"/>
        <v>0.23024188344686658</v>
      </c>
      <c r="M82" s="15">
        <f t="shared" si="11"/>
        <v>0.23403410077212436</v>
      </c>
      <c r="N82" s="13"/>
      <c r="O82" s="13"/>
      <c r="P82" s="13">
        <f t="shared" si="12"/>
        <v>1.9326144759460973</v>
      </c>
      <c r="U82" s="8">
        <v>39.5</v>
      </c>
      <c r="V82" s="10">
        <f t="shared" si="6"/>
        <v>0.22769505037167767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1557.7009482129999</v>
      </c>
      <c r="E83">
        <v>439.80014587891998</v>
      </c>
      <c r="F83">
        <v>136.06661839246999</v>
      </c>
      <c r="G83">
        <v>116.22954380883</v>
      </c>
      <c r="I83" s="9">
        <f t="shared" si="8"/>
        <v>323.57060207008999</v>
      </c>
      <c r="J83" s="9">
        <f t="shared" si="9"/>
        <v>1421.63432982053</v>
      </c>
      <c r="K83" s="9">
        <f t="shared" si="10"/>
        <v>323.57060207008999</v>
      </c>
      <c r="L83" s="10">
        <f t="shared" si="7"/>
        <v>0.22760466266380766</v>
      </c>
      <c r="M83" s="10">
        <f t="shared" si="11"/>
        <v>0.23144428270563117</v>
      </c>
      <c r="P83" s="8">
        <f t="shared" si="12"/>
        <v>0.80462959825628089</v>
      </c>
      <c r="U83" s="8">
        <v>40</v>
      </c>
      <c r="V83" s="10">
        <f t="shared" si="6"/>
        <v>0.22975499342424702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1530.2202771699999</v>
      </c>
      <c r="E84">
        <v>435.32749817651001</v>
      </c>
      <c r="F84">
        <v>135.90441708906999</v>
      </c>
      <c r="G84">
        <v>116.28747284576001</v>
      </c>
      <c r="I84" s="9">
        <f t="shared" si="8"/>
        <v>319.04002533074998</v>
      </c>
      <c r="J84" s="9">
        <f t="shared" si="9"/>
        <v>1394.31586008093</v>
      </c>
      <c r="K84" s="9">
        <f t="shared" si="10"/>
        <v>319.04002533074998</v>
      </c>
      <c r="L84" s="10">
        <f t="shared" si="7"/>
        <v>0.22881474310435801</v>
      </c>
      <c r="M84" s="10">
        <f t="shared" si="11"/>
        <v>0.23270176586274724</v>
      </c>
      <c r="P84" s="8">
        <f t="shared" si="12"/>
        <v>1.3523213467725108</v>
      </c>
      <c r="U84" s="8">
        <v>150.5</v>
      </c>
      <c r="V84" s="10">
        <f>L302</f>
        <v>0.24119788999837447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1534.4318016047</v>
      </c>
      <c r="E85">
        <v>438.11013858497</v>
      </c>
      <c r="F85">
        <v>135.99058653150001</v>
      </c>
      <c r="G85">
        <v>116.14916727009</v>
      </c>
      <c r="I85" s="9">
        <f t="shared" si="8"/>
        <v>321.96097131488</v>
      </c>
      <c r="J85" s="9">
        <f t="shared" si="9"/>
        <v>1398.4412150732001</v>
      </c>
      <c r="K85" s="9">
        <f t="shared" si="10"/>
        <v>321.96097131488</v>
      </c>
      <c r="L85" s="10">
        <f t="shared" si="7"/>
        <v>0.23022846283747955</v>
      </c>
      <c r="M85" s="10">
        <f t="shared" si="11"/>
        <v>0.23416288831243448</v>
      </c>
      <c r="P85" s="8">
        <f t="shared" si="12"/>
        <v>1.9887073728890055</v>
      </c>
      <c r="U85" s="8">
        <v>151</v>
      </c>
      <c r="V85" s="10">
        <f t="shared" ref="V85:V103" si="13">L303</f>
        <v>0.239356727944811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1523.6790663749</v>
      </c>
      <c r="E86">
        <v>433.58351568197997</v>
      </c>
      <c r="F86">
        <v>136.13758146270999</v>
      </c>
      <c r="G86">
        <v>116.19044170891</v>
      </c>
      <c r="I86" s="9">
        <f t="shared" si="8"/>
        <v>317.39307397306999</v>
      </c>
      <c r="J86" s="9">
        <f t="shared" si="9"/>
        <v>1387.5414849121901</v>
      </c>
      <c r="K86" s="9">
        <f t="shared" si="10"/>
        <v>317.39307397306999</v>
      </c>
      <c r="L86" s="10">
        <f t="shared" si="7"/>
        <v>0.22874492577290839</v>
      </c>
      <c r="M86" s="10">
        <f t="shared" si="11"/>
        <v>0.23272675396442905</v>
      </c>
      <c r="P86" s="8">
        <f t="shared" si="12"/>
        <v>1.3632048142963196</v>
      </c>
      <c r="U86" s="8">
        <v>151.5</v>
      </c>
      <c r="V86" s="10">
        <f t="shared" si="13"/>
        <v>0.23664476257263509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1520.1436907366999</v>
      </c>
      <c r="E87">
        <v>432.43544857768001</v>
      </c>
      <c r="F87">
        <v>136.15496017378999</v>
      </c>
      <c r="G87">
        <v>116.29616220130001</v>
      </c>
      <c r="I87" s="9">
        <f t="shared" si="8"/>
        <v>316.13928637638003</v>
      </c>
      <c r="J87" s="9">
        <f t="shared" si="9"/>
        <v>1383.98873056291</v>
      </c>
      <c r="K87" s="9">
        <f t="shared" si="10"/>
        <v>316.13928637638003</v>
      </c>
      <c r="L87" s="10">
        <f t="shared" si="7"/>
        <v>0.22842619986348925</v>
      </c>
      <c r="M87" s="10">
        <f t="shared" si="11"/>
        <v>0.23245543077157563</v>
      </c>
      <c r="P87" s="8">
        <f t="shared" si="12"/>
        <v>1.2450310852360442</v>
      </c>
      <c r="U87" s="8">
        <v>152</v>
      </c>
      <c r="V87" s="10">
        <f t="shared" si="13"/>
        <v>0.23686145410618933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1517.8074398250001</v>
      </c>
      <c r="E88">
        <v>425.25528811087003</v>
      </c>
      <c r="F88">
        <v>136.35626357711999</v>
      </c>
      <c r="G88">
        <v>116.50977552498</v>
      </c>
      <c r="I88" s="9">
        <f t="shared" si="8"/>
        <v>308.74551258589003</v>
      </c>
      <c r="J88" s="9">
        <f t="shared" si="9"/>
        <v>1381.4511762478801</v>
      </c>
      <c r="K88" s="9">
        <f t="shared" si="10"/>
        <v>308.74551258589003</v>
      </c>
      <c r="L88" s="10">
        <f t="shared" si="7"/>
        <v>0.22349361156900591</v>
      </c>
      <c r="M88" s="10">
        <f t="shared" si="11"/>
        <v>0.22757024519365801</v>
      </c>
      <c r="P88" s="8">
        <f t="shared" si="12"/>
        <v>-0.88269191117542578</v>
      </c>
      <c r="U88" s="8">
        <v>152.5</v>
      </c>
      <c r="V88" s="10">
        <f t="shared" si="13"/>
        <v>0.23734348664348709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1550.2545587162999</v>
      </c>
      <c r="E89">
        <v>424.23851203500999</v>
      </c>
      <c r="F89">
        <v>136.59884141926</v>
      </c>
      <c r="G89">
        <v>116.41274438812999</v>
      </c>
      <c r="I89" s="9">
        <f t="shared" si="8"/>
        <v>307.82576764687997</v>
      </c>
      <c r="J89" s="9">
        <f t="shared" si="9"/>
        <v>1413.6557172970399</v>
      </c>
      <c r="K89" s="9">
        <f t="shared" si="10"/>
        <v>307.82576764687997</v>
      </c>
      <c r="L89" s="10">
        <f t="shared" si="7"/>
        <v>0.21775158115262591</v>
      </c>
      <c r="M89" s="10">
        <f t="shared" si="11"/>
        <v>0.22187561749384374</v>
      </c>
      <c r="P89" s="8">
        <f t="shared" si="12"/>
        <v>-3.362964179166001</v>
      </c>
      <c r="U89" s="8">
        <v>153</v>
      </c>
      <c r="V89" s="10">
        <f t="shared" si="13"/>
        <v>0.2379308286374546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1584.2151714076999</v>
      </c>
      <c r="E90">
        <v>425.20568927789998</v>
      </c>
      <c r="F90">
        <v>135.93555394641999</v>
      </c>
      <c r="G90">
        <v>116.21216509776001</v>
      </c>
      <c r="I90" s="9">
        <f t="shared" si="8"/>
        <v>308.99352418013996</v>
      </c>
      <c r="J90" s="9">
        <f t="shared" si="9"/>
        <v>1448.2796174612799</v>
      </c>
      <c r="K90" s="9">
        <f t="shared" si="10"/>
        <v>308.99352418013996</v>
      </c>
      <c r="L90" s="10">
        <f t="shared" si="7"/>
        <v>0.21335211823375741</v>
      </c>
      <c r="M90" s="10">
        <f t="shared" si="11"/>
        <v>0.21752355729154096</v>
      </c>
      <c r="P90" s="8">
        <f t="shared" si="12"/>
        <v>-5.2584865552379405</v>
      </c>
      <c r="U90" s="8">
        <v>153.5</v>
      </c>
      <c r="V90" s="10">
        <f t="shared" si="13"/>
        <v>0.24057101626926589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1598.2188183807</v>
      </c>
      <c r="E91">
        <v>421.9708242159</v>
      </c>
      <c r="F91">
        <v>136.24112961622001</v>
      </c>
      <c r="G91">
        <v>116.03041274439001</v>
      </c>
      <c r="I91" s="9">
        <f t="shared" si="8"/>
        <v>305.94041147151</v>
      </c>
      <c r="J91" s="9">
        <f t="shared" si="9"/>
        <v>1461.97768876448</v>
      </c>
      <c r="K91" s="9">
        <f t="shared" si="10"/>
        <v>305.94041147151</v>
      </c>
      <c r="L91" s="10">
        <f t="shared" si="7"/>
        <v>0.20926476089389626</v>
      </c>
      <c r="M91" s="10">
        <f t="shared" si="11"/>
        <v>0.21348360266824554</v>
      </c>
      <c r="P91" s="8">
        <f t="shared" si="12"/>
        <v>-7.0180725974346529</v>
      </c>
      <c r="U91" s="8">
        <v>154</v>
      </c>
      <c r="V91" s="10">
        <f t="shared" si="13"/>
        <v>0.24008040193622276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1577.7191830781001</v>
      </c>
      <c r="E92">
        <v>416.38147337710001</v>
      </c>
      <c r="F92">
        <v>136.74149167269999</v>
      </c>
      <c r="G92">
        <v>116.40767559739</v>
      </c>
      <c r="I92" s="9">
        <f t="shared" si="8"/>
        <v>299.97379777971003</v>
      </c>
      <c r="J92" s="9">
        <f t="shared" si="9"/>
        <v>1440.9776914054</v>
      </c>
      <c r="K92" s="9">
        <f t="shared" si="10"/>
        <v>299.97379777971003</v>
      </c>
      <c r="L92" s="10">
        <f t="shared" si="7"/>
        <v>0.2081737972550724</v>
      </c>
      <c r="M92" s="10">
        <f t="shared" si="11"/>
        <v>0.21244004174598741</v>
      </c>
      <c r="P92" s="8">
        <f t="shared" si="12"/>
        <v>-7.4725913740563321</v>
      </c>
      <c r="U92" s="8">
        <v>154.5</v>
      </c>
      <c r="V92" s="10">
        <f t="shared" si="13"/>
        <v>0.24083010209832351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1586.1344902385999</v>
      </c>
      <c r="E93">
        <v>411.83658712942997</v>
      </c>
      <c r="F93">
        <v>136.18392469225</v>
      </c>
      <c r="G93">
        <v>116.21144098479</v>
      </c>
      <c r="I93" s="9">
        <f t="shared" si="8"/>
        <v>295.62514614463998</v>
      </c>
      <c r="J93" s="9">
        <f t="shared" si="9"/>
        <v>1449.9505655463499</v>
      </c>
      <c r="K93" s="9">
        <f t="shared" si="10"/>
        <v>295.62514614463998</v>
      </c>
      <c r="L93" s="10">
        <f t="shared" si="7"/>
        <v>0.20388636217624886</v>
      </c>
      <c r="M93" s="10">
        <f t="shared" si="11"/>
        <v>0.20820000938372957</v>
      </c>
      <c r="P93" s="8">
        <f t="shared" si="12"/>
        <v>-9.3193204734553454</v>
      </c>
      <c r="U93" s="8">
        <v>155</v>
      </c>
      <c r="V93" s="10">
        <f t="shared" si="13"/>
        <v>0.24134908829951332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1558.7035430224</v>
      </c>
      <c r="E94">
        <v>403.25018076645</v>
      </c>
      <c r="F94">
        <v>136.22375090514001</v>
      </c>
      <c r="G94">
        <v>116.25561187545</v>
      </c>
      <c r="I94" s="9">
        <f t="shared" si="8"/>
        <v>286.99456889099997</v>
      </c>
      <c r="J94" s="9">
        <f t="shared" si="9"/>
        <v>1422.4797921172601</v>
      </c>
      <c r="K94" s="9">
        <f t="shared" si="10"/>
        <v>286.99456889099997</v>
      </c>
      <c r="L94" s="10">
        <f t="shared" si="7"/>
        <v>0.20175651737296665</v>
      </c>
      <c r="M94" s="10">
        <f t="shared" si="11"/>
        <v>0.20611756729701308</v>
      </c>
      <c r="P94" s="8">
        <f t="shared" si="12"/>
        <v>-10.226319776947616</v>
      </c>
      <c r="U94" s="8">
        <v>155.5</v>
      </c>
      <c r="V94" s="10">
        <f t="shared" si="13"/>
        <v>0.24064482732611825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1544.8221258135</v>
      </c>
      <c r="E95">
        <v>396.42516268981001</v>
      </c>
      <c r="F95">
        <v>136.39102099927999</v>
      </c>
      <c r="G95">
        <v>116.37219406227</v>
      </c>
      <c r="I95" s="9">
        <f t="shared" si="8"/>
        <v>280.05296862754</v>
      </c>
      <c r="J95" s="9">
        <f t="shared" si="9"/>
        <v>1408.4311048142199</v>
      </c>
      <c r="K95" s="9">
        <f t="shared" si="10"/>
        <v>280.05296862754</v>
      </c>
      <c r="L95" s="10">
        <f t="shared" si="7"/>
        <v>0.1988403747050734</v>
      </c>
      <c r="M95" s="10">
        <f t="shared" si="11"/>
        <v>0.20324882734568556</v>
      </c>
      <c r="P95" s="8">
        <f t="shared" si="12"/>
        <v>-11.475787963530973</v>
      </c>
      <c r="U95" s="8">
        <v>156</v>
      </c>
      <c r="V95" s="10">
        <f t="shared" si="13"/>
        <v>0.23776267588849337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1495.546637744</v>
      </c>
      <c r="E96">
        <v>385.00144613160001</v>
      </c>
      <c r="F96">
        <v>136.84866039101999</v>
      </c>
      <c r="G96">
        <v>116.45908761766999</v>
      </c>
      <c r="I96" s="9">
        <f t="shared" si="8"/>
        <v>268.54235851393003</v>
      </c>
      <c r="J96" s="9">
        <f t="shared" si="9"/>
        <v>1358.6979773529799</v>
      </c>
      <c r="K96" s="9">
        <f t="shared" si="10"/>
        <v>268.54235851393003</v>
      </c>
      <c r="L96" s="10">
        <f t="shared" si="7"/>
        <v>0.19764683762693544</v>
      </c>
      <c r="M96" s="10">
        <f t="shared" si="11"/>
        <v>0.20210269298411332</v>
      </c>
      <c r="P96" s="8">
        <f t="shared" si="12"/>
        <v>-11.974982190484813</v>
      </c>
      <c r="U96" s="8">
        <v>156.5</v>
      </c>
      <c r="V96" s="10">
        <f t="shared" si="13"/>
        <v>0.23915905592683093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1447.7245119306001</v>
      </c>
      <c r="E97">
        <v>375.42299349241</v>
      </c>
      <c r="F97">
        <v>136.63287472846</v>
      </c>
      <c r="G97">
        <v>116.70094134685</v>
      </c>
      <c r="I97" s="9">
        <f t="shared" si="8"/>
        <v>258.72205214555999</v>
      </c>
      <c r="J97" s="9">
        <f t="shared" si="9"/>
        <v>1311.0916372021402</v>
      </c>
      <c r="K97" s="9">
        <f t="shared" si="10"/>
        <v>258.72205214555999</v>
      </c>
      <c r="L97" s="10">
        <f t="shared" si="7"/>
        <v>0.19733330974307098</v>
      </c>
      <c r="M97" s="10">
        <f t="shared" si="11"/>
        <v>0.20183656781681458</v>
      </c>
      <c r="P97" s="8">
        <f t="shared" si="12"/>
        <v>-12.090891940350801</v>
      </c>
      <c r="U97" s="8">
        <v>157</v>
      </c>
      <c r="V97" s="10">
        <f t="shared" si="13"/>
        <v>0.23891138879521848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1488.7384057971001</v>
      </c>
      <c r="E98">
        <v>376.24420289854999</v>
      </c>
      <c r="F98">
        <v>136.54380883418</v>
      </c>
      <c r="G98">
        <v>116.52063721941001</v>
      </c>
      <c r="I98" s="9">
        <f t="shared" si="8"/>
        <v>259.72356567913999</v>
      </c>
      <c r="J98" s="9">
        <f t="shared" si="9"/>
        <v>1352.1945969629201</v>
      </c>
      <c r="K98" s="9">
        <f t="shared" si="10"/>
        <v>259.72356567913999</v>
      </c>
      <c r="L98" s="10">
        <f t="shared" si="7"/>
        <v>0.19207558310208375</v>
      </c>
      <c r="M98" s="10">
        <f t="shared" si="11"/>
        <v>0.19662624389239308</v>
      </c>
      <c r="P98" s="8">
        <f t="shared" si="12"/>
        <v>-14.360227640279341</v>
      </c>
      <c r="U98" s="8">
        <v>157.5</v>
      </c>
      <c r="V98" s="10">
        <f t="shared" si="13"/>
        <v>0.23950465493409609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1476.2434782609</v>
      </c>
      <c r="E99">
        <v>370.36956521739</v>
      </c>
      <c r="F99">
        <v>136.03041274438999</v>
      </c>
      <c r="G99">
        <v>116.31209268646001</v>
      </c>
      <c r="I99" s="9">
        <f t="shared" si="8"/>
        <v>254.05747253093</v>
      </c>
      <c r="J99" s="9">
        <f t="shared" si="9"/>
        <v>1340.2130655165101</v>
      </c>
      <c r="K99" s="9">
        <f t="shared" si="10"/>
        <v>254.05747253093</v>
      </c>
      <c r="L99" s="10">
        <f t="shared" si="7"/>
        <v>0.18956498714106906</v>
      </c>
      <c r="M99" s="10">
        <f t="shared" si="11"/>
        <v>0.19416305064794412</v>
      </c>
      <c r="P99" s="8">
        <f t="shared" si="12"/>
        <v>-15.433061584297796</v>
      </c>
      <c r="U99" s="8">
        <v>158</v>
      </c>
      <c r="V99" s="10">
        <f t="shared" si="13"/>
        <v>0.23679775028950431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1463.9144927535999</v>
      </c>
      <c r="E100">
        <v>366.96521739129997</v>
      </c>
      <c r="F100">
        <v>136.68645908761999</v>
      </c>
      <c r="G100">
        <v>116.4641564084</v>
      </c>
      <c r="I100" s="9">
        <f t="shared" si="8"/>
        <v>250.50106098289996</v>
      </c>
      <c r="J100" s="9">
        <f t="shared" si="9"/>
        <v>1327.2280336659799</v>
      </c>
      <c r="K100" s="9">
        <f t="shared" si="10"/>
        <v>250.50106098289996</v>
      </c>
      <c r="L100" s="10">
        <f t="shared" si="7"/>
        <v>0.18874003157617369</v>
      </c>
      <c r="M100" s="10">
        <f t="shared" si="11"/>
        <v>0.19338549779961448</v>
      </c>
      <c r="P100" s="8">
        <f t="shared" si="12"/>
        <v>-15.771721610601535</v>
      </c>
      <c r="U100" s="8">
        <v>158.5</v>
      </c>
      <c r="V100" s="10">
        <f t="shared" si="13"/>
        <v>0.23383416115221195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1451.3202898551001</v>
      </c>
      <c r="E101">
        <v>362.03478260870003</v>
      </c>
      <c r="F101">
        <v>136.93482983345001</v>
      </c>
      <c r="G101">
        <v>116.69876900797</v>
      </c>
      <c r="I101" s="9">
        <f t="shared" si="8"/>
        <v>245.33601360073004</v>
      </c>
      <c r="J101" s="9">
        <f t="shared" si="9"/>
        <v>1314.38546002165</v>
      </c>
      <c r="K101" s="9">
        <f t="shared" si="10"/>
        <v>245.33601360073004</v>
      </c>
      <c r="L101" s="10">
        <f t="shared" si="7"/>
        <v>0.18665454013519669</v>
      </c>
      <c r="M101" s="10">
        <f t="shared" si="11"/>
        <v>0.1913474090752032</v>
      </c>
      <c r="P101" s="8">
        <f t="shared" si="12"/>
        <v>-16.659402984930264</v>
      </c>
      <c r="U101" s="8">
        <v>159</v>
      </c>
      <c r="V101" s="10">
        <f t="shared" si="13"/>
        <v>0.23214225855843798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1507.6574746009001</v>
      </c>
      <c r="E102">
        <v>363.06313497822998</v>
      </c>
      <c r="F102">
        <v>137.04417089066001</v>
      </c>
      <c r="G102">
        <v>116.77624909486001</v>
      </c>
      <c r="I102" s="9">
        <f t="shared" si="8"/>
        <v>246.28688588336996</v>
      </c>
      <c r="J102" s="9">
        <f t="shared" si="9"/>
        <v>1370.61330371024</v>
      </c>
      <c r="K102" s="9">
        <f t="shared" si="10"/>
        <v>246.28688588336996</v>
      </c>
      <c r="L102" s="10">
        <f t="shared" si="7"/>
        <v>0.17969100782596609</v>
      </c>
      <c r="M102" s="10">
        <f t="shared" si="11"/>
        <v>0.18443127948253829</v>
      </c>
      <c r="P102" s="8">
        <f t="shared" si="12"/>
        <v>-19.671695506015567</v>
      </c>
      <c r="U102" s="8">
        <v>159.5</v>
      </c>
      <c r="V102" s="10">
        <f t="shared" si="13"/>
        <v>0.2319880240263473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1499.6378809869</v>
      </c>
      <c r="E103">
        <v>360.90420899855002</v>
      </c>
      <c r="F103">
        <v>136.97248370745999</v>
      </c>
      <c r="G103">
        <v>116.66618392469</v>
      </c>
      <c r="I103" s="9">
        <f t="shared" si="8"/>
        <v>244.23802507386</v>
      </c>
      <c r="J103" s="9">
        <f t="shared" si="9"/>
        <v>1362.66539727944</v>
      </c>
      <c r="K103" s="9">
        <f t="shared" si="10"/>
        <v>244.23802507386</v>
      </c>
      <c r="L103" s="10">
        <f t="shared" si="7"/>
        <v>0.17923550826305634</v>
      </c>
      <c r="M103" s="10">
        <f t="shared" si="11"/>
        <v>0.18402318263619427</v>
      </c>
      <c r="P103" s="8">
        <f t="shared" si="12"/>
        <v>-19.849440451602526</v>
      </c>
      <c r="U103" s="8">
        <v>160</v>
      </c>
      <c r="V103" s="10">
        <f t="shared" si="13"/>
        <v>0.23052551653086675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1486.7503628447</v>
      </c>
      <c r="E104">
        <v>357.62699564586001</v>
      </c>
      <c r="F104">
        <v>136.55104996379001</v>
      </c>
      <c r="G104">
        <v>116.93555394642</v>
      </c>
      <c r="I104" s="9">
        <f t="shared" si="8"/>
        <v>240.69144169944002</v>
      </c>
      <c r="J104" s="9">
        <f t="shared" si="9"/>
        <v>1350.1993128809099</v>
      </c>
      <c r="K104" s="9">
        <f t="shared" si="10"/>
        <v>240.69144169944002</v>
      </c>
      <c r="L104" s="10">
        <f t="shared" si="7"/>
        <v>0.17826363811864082</v>
      </c>
      <c r="M104" s="10">
        <f t="shared" si="11"/>
        <v>0.18309871520834448</v>
      </c>
      <c r="P104" s="8">
        <f t="shared" si="12"/>
        <v>-20.252088534115668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1480.2119013061999</v>
      </c>
      <c r="E105">
        <v>354.30551523947997</v>
      </c>
      <c r="F105">
        <v>137.13975380158999</v>
      </c>
      <c r="G105">
        <v>116.67052860246</v>
      </c>
      <c r="I105" s="9">
        <f t="shared" si="8"/>
        <v>237.63498663701998</v>
      </c>
      <c r="J105" s="9">
        <f t="shared" si="9"/>
        <v>1343.07214750461</v>
      </c>
      <c r="K105" s="9">
        <f t="shared" si="10"/>
        <v>237.63498663701998</v>
      </c>
      <c r="L105" s="10">
        <f t="shared" si="7"/>
        <v>0.1769338952330588</v>
      </c>
      <c r="M105" s="10">
        <f t="shared" si="11"/>
        <v>0.18181637503932818</v>
      </c>
      <c r="P105" s="8">
        <f t="shared" si="12"/>
        <v>-20.810606654526804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1475.9216255443</v>
      </c>
      <c r="E106">
        <v>353.36792452830002</v>
      </c>
      <c r="F106">
        <v>136.90369297609999</v>
      </c>
      <c r="G106">
        <v>116.51846488052</v>
      </c>
      <c r="I106" s="9">
        <f t="shared" si="8"/>
        <v>236.84945964778001</v>
      </c>
      <c r="J106" s="9">
        <f t="shared" si="9"/>
        <v>1339.0179325682</v>
      </c>
      <c r="K106" s="9">
        <f t="shared" si="10"/>
        <v>236.84945964778001</v>
      </c>
      <c r="L106" s="10">
        <f t="shared" si="7"/>
        <v>0.1768829631680206</v>
      </c>
      <c r="M106" s="10">
        <f t="shared" si="11"/>
        <v>0.18181284569085571</v>
      </c>
      <c r="P106" s="8">
        <f t="shared" si="12"/>
        <v>-20.81214384810675</v>
      </c>
      <c r="X106" s="8">
        <v>-13</v>
      </c>
    </row>
    <row r="107" spans="1:25" x14ac:dyDescent="0.2">
      <c r="A107" s="8">
        <v>52.5</v>
      </c>
      <c r="B107" s="8">
        <v>105</v>
      </c>
      <c r="D107">
        <v>1469.2133526851001</v>
      </c>
      <c r="E107">
        <v>350.12626995646002</v>
      </c>
      <c r="F107">
        <v>137.12961622013</v>
      </c>
      <c r="G107">
        <v>116.64880521361</v>
      </c>
      <c r="I107" s="9">
        <f t="shared" si="8"/>
        <v>233.47746474285003</v>
      </c>
      <c r="J107" s="9">
        <f t="shared" si="9"/>
        <v>1332.0837364649701</v>
      </c>
      <c r="K107" s="9">
        <f t="shared" si="10"/>
        <v>233.47746474285003</v>
      </c>
      <c r="L107" s="10">
        <f t="shared" si="7"/>
        <v>0.17527236340445315</v>
      </c>
      <c r="M107" s="10">
        <f t="shared" si="11"/>
        <v>0.18024964864385398</v>
      </c>
      <c r="P107" s="8">
        <f t="shared" si="12"/>
        <v>-21.492988055922055</v>
      </c>
      <c r="X107" s="8">
        <v>-13</v>
      </c>
    </row>
    <row r="108" spans="1:25" x14ac:dyDescent="0.2">
      <c r="A108" s="8">
        <v>53</v>
      </c>
      <c r="B108" s="8">
        <v>106</v>
      </c>
      <c r="D108">
        <v>1466.1175616835999</v>
      </c>
      <c r="E108">
        <v>347.99129172713998</v>
      </c>
      <c r="F108">
        <v>136.75235336713001</v>
      </c>
      <c r="G108">
        <v>116.63142650253</v>
      </c>
      <c r="I108" s="9">
        <f t="shared" si="8"/>
        <v>231.35986522460996</v>
      </c>
      <c r="J108" s="9">
        <f t="shared" si="9"/>
        <v>1329.3652083164698</v>
      </c>
      <c r="K108" s="9">
        <f t="shared" si="10"/>
        <v>231.35986522460996</v>
      </c>
      <c r="L108" s="10">
        <f t="shared" si="7"/>
        <v>0.1740378518839138</v>
      </c>
      <c r="M108" s="10">
        <f t="shared" si="11"/>
        <v>0.17906253983988035</v>
      </c>
      <c r="P108" s="8">
        <f t="shared" si="12"/>
        <v>-22.010028537019579</v>
      </c>
      <c r="X108" s="8">
        <v>-13</v>
      </c>
    </row>
    <row r="109" spans="1:25" x14ac:dyDescent="0.2">
      <c r="A109" s="8">
        <v>53.5</v>
      </c>
      <c r="B109" s="8">
        <v>107</v>
      </c>
      <c r="D109">
        <v>1463.9223512337001</v>
      </c>
      <c r="E109">
        <v>346.01233671988001</v>
      </c>
      <c r="F109">
        <v>137.18754525706001</v>
      </c>
      <c r="G109">
        <v>116.64735698769</v>
      </c>
      <c r="I109" s="9">
        <f t="shared" si="8"/>
        <v>229.36497973219002</v>
      </c>
      <c r="J109" s="9">
        <f t="shared" si="9"/>
        <v>1326.73480597664</v>
      </c>
      <c r="K109" s="9">
        <f t="shared" si="10"/>
        <v>229.36497973219002</v>
      </c>
      <c r="L109" s="10">
        <f t="shared" si="7"/>
        <v>0.17287929637404001</v>
      </c>
      <c r="M109" s="10">
        <f t="shared" si="11"/>
        <v>0.17795138704657229</v>
      </c>
      <c r="P109" s="8">
        <f t="shared" si="12"/>
        <v>-22.493986682138029</v>
      </c>
      <c r="X109" s="8">
        <v>-13</v>
      </c>
    </row>
    <row r="110" spans="1:25" x14ac:dyDescent="0.2">
      <c r="A110" s="8">
        <v>54</v>
      </c>
      <c r="B110" s="8">
        <v>108</v>
      </c>
      <c r="D110">
        <v>1464.3621190131</v>
      </c>
      <c r="E110">
        <v>346.42743105951001</v>
      </c>
      <c r="F110">
        <v>137.00362056481001</v>
      </c>
      <c r="G110">
        <v>116.83924692252</v>
      </c>
      <c r="I110" s="9">
        <f t="shared" si="8"/>
        <v>229.58818413699001</v>
      </c>
      <c r="J110" s="9">
        <f t="shared" si="9"/>
        <v>1327.35849844829</v>
      </c>
      <c r="K110" s="9">
        <f t="shared" si="10"/>
        <v>229.58818413699001</v>
      </c>
      <c r="L110" s="10">
        <f t="shared" si="7"/>
        <v>0.17296622156364194</v>
      </c>
      <c r="M110" s="10">
        <f t="shared" si="11"/>
        <v>0.17808571495273995</v>
      </c>
      <c r="P110" s="8">
        <f t="shared" si="12"/>
        <v>-22.435480701054182</v>
      </c>
      <c r="X110" s="8">
        <v>-13</v>
      </c>
    </row>
    <row r="111" spans="1:25" x14ac:dyDescent="0.2">
      <c r="A111" s="8">
        <v>54.5</v>
      </c>
      <c r="B111" s="8">
        <v>109</v>
      </c>
      <c r="D111">
        <v>1466.2300435413999</v>
      </c>
      <c r="E111">
        <v>345.64513788098998</v>
      </c>
      <c r="F111">
        <v>137.36640115858</v>
      </c>
      <c r="G111">
        <v>116.68718320057999</v>
      </c>
      <c r="I111" s="9">
        <f t="shared" si="8"/>
        <v>228.95795468040998</v>
      </c>
      <c r="J111" s="9">
        <f t="shared" si="9"/>
        <v>1328.86364238282</v>
      </c>
      <c r="K111" s="9">
        <f t="shared" si="10"/>
        <v>228.95795468040998</v>
      </c>
      <c r="L111" s="10">
        <f t="shared" si="7"/>
        <v>0.17229604857715838</v>
      </c>
      <c r="M111" s="10">
        <f t="shared" si="11"/>
        <v>0.17746294468282209</v>
      </c>
      <c r="P111" s="8">
        <f t="shared" si="12"/>
        <v>-22.706725795769795</v>
      </c>
      <c r="X111" s="8">
        <v>-13</v>
      </c>
    </row>
    <row r="112" spans="1:25" x14ac:dyDescent="0.2">
      <c r="A112" s="8">
        <v>55</v>
      </c>
      <c r="B112" s="8">
        <v>110</v>
      </c>
      <c r="D112">
        <v>1458.3991291727</v>
      </c>
      <c r="E112">
        <v>343.15965166909001</v>
      </c>
      <c r="F112">
        <v>137.21216509775999</v>
      </c>
      <c r="G112">
        <v>116.71397538015999</v>
      </c>
      <c r="I112" s="9">
        <f t="shared" si="8"/>
        <v>226.44567628893003</v>
      </c>
      <c r="J112" s="9">
        <f t="shared" si="9"/>
        <v>1321.1869640749401</v>
      </c>
      <c r="K112" s="9">
        <f t="shared" si="10"/>
        <v>226.44567628893003</v>
      </c>
      <c r="L112" s="10">
        <f t="shared" si="7"/>
        <v>0.17139563320432946</v>
      </c>
      <c r="M112" s="10">
        <f t="shared" si="11"/>
        <v>0.17660993202655889</v>
      </c>
      <c r="P112" s="8">
        <f t="shared" si="12"/>
        <v>-23.078252038941685</v>
      </c>
      <c r="X112" s="8">
        <v>-13</v>
      </c>
    </row>
    <row r="113" spans="1:24" x14ac:dyDescent="0.2">
      <c r="A113" s="8">
        <v>55.5</v>
      </c>
      <c r="B113" s="8">
        <v>111</v>
      </c>
      <c r="D113">
        <v>1443.0021770681999</v>
      </c>
      <c r="E113">
        <v>340.72786647315002</v>
      </c>
      <c r="F113">
        <v>137.49312092687001</v>
      </c>
      <c r="G113">
        <v>116.93627805938</v>
      </c>
      <c r="I113" s="9">
        <f t="shared" si="8"/>
        <v>223.79158841377</v>
      </c>
      <c r="J113" s="9">
        <f t="shared" si="9"/>
        <v>1305.5090561413299</v>
      </c>
      <c r="K113" s="9">
        <f t="shared" si="10"/>
        <v>223.79158841377</v>
      </c>
      <c r="L113" s="10">
        <f t="shared" si="7"/>
        <v>0.17142093910495484</v>
      </c>
      <c r="M113" s="10">
        <f t="shared" si="11"/>
        <v>0.17668264064375</v>
      </c>
      <c r="P113" s="8">
        <f t="shared" si="12"/>
        <v>-23.046584092173379</v>
      </c>
      <c r="X113" s="8">
        <v>-13</v>
      </c>
    </row>
    <row r="114" spans="1:24" x14ac:dyDescent="0.2">
      <c r="A114" s="8">
        <v>56</v>
      </c>
      <c r="B114" s="8">
        <v>112</v>
      </c>
      <c r="D114">
        <v>1404.2743105950999</v>
      </c>
      <c r="E114">
        <v>336.26269956458998</v>
      </c>
      <c r="F114">
        <v>137.31716147719001</v>
      </c>
      <c r="G114">
        <v>116.93700217234</v>
      </c>
      <c r="I114" s="9">
        <f t="shared" si="8"/>
        <v>219.32569739224999</v>
      </c>
      <c r="J114" s="9">
        <f t="shared" si="9"/>
        <v>1266.9571491179099</v>
      </c>
      <c r="K114" s="9">
        <f t="shared" si="10"/>
        <v>219.32569739224999</v>
      </c>
      <c r="L114" s="10">
        <f t="shared" si="7"/>
        <v>0.17311216685185488</v>
      </c>
      <c r="M114" s="10">
        <f t="shared" si="11"/>
        <v>0.17842127110721576</v>
      </c>
      <c r="P114" s="8">
        <f t="shared" si="12"/>
        <v>-22.289330563034262</v>
      </c>
      <c r="X114" s="8">
        <v>-13</v>
      </c>
    </row>
    <row r="115" spans="1:24" x14ac:dyDescent="0.2">
      <c r="A115" s="8">
        <v>56.5</v>
      </c>
      <c r="B115" s="8">
        <v>113</v>
      </c>
      <c r="D115">
        <v>1409.3577648766</v>
      </c>
      <c r="E115">
        <v>335.78229317851998</v>
      </c>
      <c r="F115">
        <v>137.54453294714</v>
      </c>
      <c r="G115">
        <v>116.81607530775</v>
      </c>
      <c r="I115" s="9">
        <f t="shared" si="8"/>
        <v>218.96621787076998</v>
      </c>
      <c r="J115" s="9">
        <f t="shared" si="9"/>
        <v>1271.81323192946</v>
      </c>
      <c r="K115" s="9">
        <f t="shared" si="10"/>
        <v>218.96621787076998</v>
      </c>
      <c r="L115" s="10">
        <f t="shared" si="7"/>
        <v>0.17216853259073087</v>
      </c>
      <c r="M115" s="10">
        <f t="shared" si="11"/>
        <v>0.17752503956265747</v>
      </c>
      <c r="P115" s="8">
        <f t="shared" si="12"/>
        <v>-22.679680619762074</v>
      </c>
      <c r="X115" s="8">
        <v>-13</v>
      </c>
    </row>
    <row r="116" spans="1:24" x14ac:dyDescent="0.2">
      <c r="A116" s="8">
        <v>57</v>
      </c>
      <c r="B116" s="8">
        <v>114</v>
      </c>
      <c r="D116">
        <v>1453.7702312138999</v>
      </c>
      <c r="E116">
        <v>339.52456647398998</v>
      </c>
      <c r="F116">
        <v>138.11368573498001</v>
      </c>
      <c r="G116">
        <v>116.45184648804999</v>
      </c>
      <c r="I116" s="9">
        <f t="shared" si="8"/>
        <v>223.07271998593998</v>
      </c>
      <c r="J116" s="9">
        <f t="shared" si="9"/>
        <v>1315.65654547892</v>
      </c>
      <c r="K116" s="9">
        <f t="shared" si="10"/>
        <v>223.07271998593998</v>
      </c>
      <c r="L116" s="10">
        <f t="shared" si="7"/>
        <v>0.16955239629407837</v>
      </c>
      <c r="M116" s="10">
        <f t="shared" si="11"/>
        <v>0.1749563059825707</v>
      </c>
      <c r="P116" s="8">
        <f t="shared" si="12"/>
        <v>-23.798482233913806</v>
      </c>
      <c r="X116" s="8">
        <v>-13</v>
      </c>
    </row>
    <row r="117" spans="1:24" x14ac:dyDescent="0.2">
      <c r="A117" s="8">
        <v>57.5</v>
      </c>
      <c r="B117" s="8">
        <v>115</v>
      </c>
      <c r="D117">
        <v>1456.7969653179</v>
      </c>
      <c r="E117">
        <v>337.91112716763001</v>
      </c>
      <c r="F117">
        <v>137.60246198407</v>
      </c>
      <c r="G117">
        <v>116.80738595221</v>
      </c>
      <c r="I117" s="9">
        <f t="shared" si="8"/>
        <v>221.10374121542003</v>
      </c>
      <c r="J117" s="9">
        <f t="shared" si="9"/>
        <v>1319.19450333383</v>
      </c>
      <c r="K117" s="9">
        <f t="shared" si="10"/>
        <v>221.10374121542003</v>
      </c>
      <c r="L117" s="10">
        <f t="shared" si="7"/>
        <v>0.16760511104060324</v>
      </c>
      <c r="M117" s="10">
        <f t="shared" si="11"/>
        <v>0.1730564234456613</v>
      </c>
      <c r="P117" s="8">
        <f t="shared" si="12"/>
        <v>-24.625968457269487</v>
      </c>
      <c r="X117" s="8">
        <v>-13</v>
      </c>
    </row>
    <row r="118" spans="1:24" x14ac:dyDescent="0.2">
      <c r="A118" s="8">
        <v>58</v>
      </c>
      <c r="B118" s="8">
        <v>116</v>
      </c>
      <c r="D118">
        <v>1454.8981213873001</v>
      </c>
      <c r="E118">
        <v>337.22832369942</v>
      </c>
      <c r="F118">
        <v>137.63721940623</v>
      </c>
      <c r="G118">
        <v>116.98406951484</v>
      </c>
      <c r="I118" s="9">
        <f t="shared" si="8"/>
        <v>220.24425418458</v>
      </c>
      <c r="J118" s="9">
        <f t="shared" si="9"/>
        <v>1317.26090198107</v>
      </c>
      <c r="K118" s="9">
        <f t="shared" si="10"/>
        <v>220.24425418458</v>
      </c>
      <c r="L118" s="10">
        <f t="shared" si="7"/>
        <v>0.16719865734521366</v>
      </c>
      <c r="M118" s="10">
        <f t="shared" si="11"/>
        <v>0.17269737246683745</v>
      </c>
      <c r="P118" s="8">
        <f t="shared" si="12"/>
        <v>-24.782351671856233</v>
      </c>
      <c r="X118" s="8">
        <v>-13</v>
      </c>
    </row>
    <row r="119" spans="1:24" x14ac:dyDescent="0.2">
      <c r="A119" s="8">
        <v>58.5</v>
      </c>
      <c r="B119" s="8">
        <v>117</v>
      </c>
      <c r="D119">
        <v>1449.6907514451</v>
      </c>
      <c r="E119">
        <v>336.26878612717002</v>
      </c>
      <c r="F119">
        <v>138.14554670529</v>
      </c>
      <c r="G119">
        <v>116.87907313541</v>
      </c>
      <c r="I119" s="9">
        <f t="shared" si="8"/>
        <v>219.38971299176001</v>
      </c>
      <c r="J119" s="9">
        <f t="shared" si="9"/>
        <v>1311.5452047398101</v>
      </c>
      <c r="K119" s="9">
        <f t="shared" si="10"/>
        <v>219.38971299176001</v>
      </c>
      <c r="L119" s="10">
        <f t="shared" si="7"/>
        <v>0.1672757539724172</v>
      </c>
      <c r="M119" s="10">
        <f t="shared" si="11"/>
        <v>0.17282187181060671</v>
      </c>
      <c r="P119" s="8">
        <f t="shared" si="12"/>
        <v>-24.728126481727649</v>
      </c>
      <c r="X119" s="8">
        <v>-13</v>
      </c>
    </row>
    <row r="120" spans="1:24" x14ac:dyDescent="0.2">
      <c r="A120" s="8">
        <v>59</v>
      </c>
      <c r="B120" s="8">
        <v>118</v>
      </c>
      <c r="D120">
        <v>1445.7102601156</v>
      </c>
      <c r="E120">
        <v>334.45664739884</v>
      </c>
      <c r="F120">
        <v>137.49022447502</v>
      </c>
      <c r="G120">
        <v>117.22664735699</v>
      </c>
      <c r="I120" s="9">
        <f t="shared" si="8"/>
        <v>217.23000004185002</v>
      </c>
      <c r="J120" s="9">
        <f t="shared" si="9"/>
        <v>1308.2200356405801</v>
      </c>
      <c r="K120" s="9">
        <f t="shared" si="10"/>
        <v>217.23000004185002</v>
      </c>
      <c r="L120" s="10">
        <f t="shared" si="7"/>
        <v>0.16605004825161668</v>
      </c>
      <c r="M120" s="10">
        <f t="shared" si="11"/>
        <v>0.17164356880637188</v>
      </c>
      <c r="P120" s="8">
        <f t="shared" si="12"/>
        <v>-25.241331632046599</v>
      </c>
      <c r="X120" s="8">
        <v>-13</v>
      </c>
    </row>
    <row r="121" spans="1:24" x14ac:dyDescent="0.2">
      <c r="A121" s="8">
        <v>59.5</v>
      </c>
      <c r="B121" s="8">
        <v>119</v>
      </c>
      <c r="D121">
        <v>1427.5859826589999</v>
      </c>
      <c r="E121">
        <v>332.63150289017</v>
      </c>
      <c r="F121">
        <v>137.43736422882</v>
      </c>
      <c r="G121">
        <v>117.37726285301</v>
      </c>
      <c r="I121" s="9">
        <f t="shared" si="8"/>
        <v>215.25424003716</v>
      </c>
      <c r="J121" s="9">
        <f t="shared" si="9"/>
        <v>1290.1486184301798</v>
      </c>
      <c r="K121" s="9">
        <f t="shared" si="10"/>
        <v>215.25424003716</v>
      </c>
      <c r="L121" s="10">
        <f t="shared" si="7"/>
        <v>0.16684453012791342</v>
      </c>
      <c r="M121" s="10">
        <f t="shared" si="11"/>
        <v>0.17248545339923435</v>
      </c>
      <c r="P121" s="8">
        <f t="shared" si="12"/>
        <v>-24.874652172282541</v>
      </c>
      <c r="X121" s="8">
        <v>-13</v>
      </c>
    </row>
    <row r="122" spans="1:24" x14ac:dyDescent="0.2">
      <c r="A122" s="8">
        <v>60</v>
      </c>
      <c r="B122" s="8">
        <v>120</v>
      </c>
      <c r="D122">
        <v>1422.5180635838001</v>
      </c>
      <c r="E122">
        <v>332.12861271676002</v>
      </c>
      <c r="F122">
        <v>137.65749456915</v>
      </c>
      <c r="G122">
        <v>117.06589427951</v>
      </c>
      <c r="I122" s="9">
        <f t="shared" si="8"/>
        <v>215.06271843725</v>
      </c>
      <c r="J122" s="9">
        <f t="shared" si="9"/>
        <v>1284.8605690146501</v>
      </c>
      <c r="K122" s="9">
        <f t="shared" si="10"/>
        <v>215.06271843725</v>
      </c>
      <c r="L122" s="10">
        <f t="shared" si="7"/>
        <v>0.16738214528770229</v>
      </c>
      <c r="M122" s="10">
        <f t="shared" si="11"/>
        <v>0.17307047127558894</v>
      </c>
      <c r="P122" s="8">
        <f t="shared" si="12"/>
        <v>-24.61984998125461</v>
      </c>
      <c r="X122" s="8">
        <v>-13</v>
      </c>
    </row>
    <row r="123" spans="1:24" x14ac:dyDescent="0.2">
      <c r="A123" s="8">
        <v>60.5</v>
      </c>
      <c r="B123" s="8">
        <v>121</v>
      </c>
      <c r="D123">
        <v>1430.7276011561</v>
      </c>
      <c r="E123">
        <v>332.95231213873001</v>
      </c>
      <c r="F123">
        <v>138.00144822592</v>
      </c>
      <c r="G123">
        <v>117.0905141202</v>
      </c>
      <c r="I123" s="9">
        <f t="shared" si="8"/>
        <v>215.86179801853001</v>
      </c>
      <c r="J123" s="9">
        <f t="shared" si="9"/>
        <v>1292.72615293018</v>
      </c>
      <c r="K123" s="9">
        <f t="shared" si="10"/>
        <v>215.86179801853001</v>
      </c>
      <c r="L123" s="10">
        <f t="shared" si="7"/>
        <v>0.16698184494004639</v>
      </c>
      <c r="M123" s="10">
        <f t="shared" si="11"/>
        <v>0.17271757364449877</v>
      </c>
      <c r="P123" s="8">
        <f t="shared" si="12"/>
        <v>-24.773553129901373</v>
      </c>
      <c r="X123" s="8">
        <v>-13</v>
      </c>
    </row>
    <row r="124" spans="1:24" x14ac:dyDescent="0.2">
      <c r="A124" s="8">
        <v>61</v>
      </c>
      <c r="B124" s="8">
        <v>122</v>
      </c>
      <c r="D124">
        <v>1431.2290462428</v>
      </c>
      <c r="E124">
        <v>333.24566473988</v>
      </c>
      <c r="F124">
        <v>138.0868935554</v>
      </c>
      <c r="G124">
        <v>116.99348298335001</v>
      </c>
      <c r="I124" s="9">
        <f t="shared" si="8"/>
        <v>216.25218175652998</v>
      </c>
      <c r="J124" s="9">
        <f t="shared" si="9"/>
        <v>1293.1421526874001</v>
      </c>
      <c r="K124" s="9">
        <f t="shared" si="10"/>
        <v>216.25218175652998</v>
      </c>
      <c r="L124" s="10">
        <f t="shared" si="7"/>
        <v>0.16723001512797028</v>
      </c>
      <c r="M124" s="10">
        <f t="shared" si="11"/>
        <v>0.17301314654898839</v>
      </c>
      <c r="P124" s="8">
        <f t="shared" si="12"/>
        <v>-24.644817536141847</v>
      </c>
      <c r="X124" s="8">
        <v>-13</v>
      </c>
    </row>
    <row r="125" spans="1:24" x14ac:dyDescent="0.2">
      <c r="A125" s="8">
        <v>61.5</v>
      </c>
      <c r="B125" s="8">
        <v>123</v>
      </c>
      <c r="D125">
        <v>1434.399566474</v>
      </c>
      <c r="E125">
        <v>331.44869942196999</v>
      </c>
      <c r="F125">
        <v>138.4547429399</v>
      </c>
      <c r="G125">
        <v>117.10644460536</v>
      </c>
      <c r="I125" s="9">
        <f t="shared" si="8"/>
        <v>214.34225481660999</v>
      </c>
      <c r="J125" s="9">
        <f t="shared" si="9"/>
        <v>1295.9448235341001</v>
      </c>
      <c r="K125" s="9">
        <f t="shared" si="10"/>
        <v>214.34225481660999</v>
      </c>
      <c r="L125" s="10">
        <f t="shared" si="7"/>
        <v>0.16539458387749023</v>
      </c>
      <c r="M125" s="10">
        <f t="shared" si="11"/>
        <v>0.17122511801507406</v>
      </c>
      <c r="P125" s="8">
        <f t="shared" si="12"/>
        <v>-25.423586196854853</v>
      </c>
      <c r="X125" s="8">
        <v>-13</v>
      </c>
    </row>
    <row r="126" spans="1:24" x14ac:dyDescent="0.2">
      <c r="A126" s="8">
        <v>62</v>
      </c>
      <c r="B126" s="8">
        <v>124</v>
      </c>
      <c r="D126">
        <v>1433.3663294798</v>
      </c>
      <c r="E126">
        <v>332.61994219653002</v>
      </c>
      <c r="F126">
        <v>138.01448225922999</v>
      </c>
      <c r="G126">
        <v>117.27299058653</v>
      </c>
      <c r="I126" s="9">
        <f t="shared" si="8"/>
        <v>215.34695161000002</v>
      </c>
      <c r="J126" s="9">
        <f t="shared" si="9"/>
        <v>1295.3518472205701</v>
      </c>
      <c r="K126" s="9">
        <f t="shared" si="10"/>
        <v>215.34695161000002</v>
      </c>
      <c r="L126" s="10">
        <f t="shared" si="7"/>
        <v>0.16624591385890164</v>
      </c>
      <c r="M126" s="10">
        <f t="shared" si="11"/>
        <v>0.1721238507130512</v>
      </c>
      <c r="P126" s="8">
        <f t="shared" si="12"/>
        <v>-25.032146772781221</v>
      </c>
      <c r="X126" s="8">
        <v>-13</v>
      </c>
    </row>
    <row r="127" spans="1:24" x14ac:dyDescent="0.2">
      <c r="A127" s="8">
        <v>62.5</v>
      </c>
      <c r="B127" s="8">
        <v>125</v>
      </c>
      <c r="D127">
        <v>1408.7904624278001</v>
      </c>
      <c r="E127">
        <v>330.52601156068999</v>
      </c>
      <c r="F127">
        <v>138.70818247647</v>
      </c>
      <c r="G127">
        <v>117.16147719044</v>
      </c>
      <c r="I127" s="9">
        <f t="shared" si="8"/>
        <v>213.36453437025</v>
      </c>
      <c r="J127" s="9">
        <f t="shared" si="9"/>
        <v>1270.0822799513301</v>
      </c>
      <c r="K127" s="9">
        <f t="shared" si="10"/>
        <v>213.36453437025</v>
      </c>
      <c r="L127" s="10">
        <f t="shared" si="7"/>
        <v>0.16799268656706728</v>
      </c>
      <c r="M127" s="10">
        <f t="shared" si="11"/>
        <v>0.17391802613778257</v>
      </c>
      <c r="P127" s="8">
        <f t="shared" si="12"/>
        <v>-24.250700858412394</v>
      </c>
      <c r="X127" s="8">
        <v>-13</v>
      </c>
    </row>
    <row r="128" spans="1:24" x14ac:dyDescent="0.2">
      <c r="A128" s="8">
        <v>63</v>
      </c>
      <c r="B128" s="8">
        <v>126</v>
      </c>
      <c r="D128">
        <v>1407.5317919075001</v>
      </c>
      <c r="E128">
        <v>330.54624277456998</v>
      </c>
      <c r="F128">
        <v>137.95438088341999</v>
      </c>
      <c r="G128">
        <v>117.10644460536</v>
      </c>
      <c r="I128" s="9">
        <f t="shared" si="8"/>
        <v>213.43979816920998</v>
      </c>
      <c r="J128" s="9">
        <f t="shared" si="9"/>
        <v>1269.57741102408</v>
      </c>
      <c r="K128" s="9">
        <f t="shared" si="10"/>
        <v>213.43979816920998</v>
      </c>
      <c r="L128" s="10">
        <f t="shared" si="7"/>
        <v>0.16811877425973018</v>
      </c>
      <c r="M128" s="10">
        <f t="shared" si="11"/>
        <v>0.17409151654701116</v>
      </c>
      <c r="P128" s="8">
        <f t="shared" si="12"/>
        <v>-24.175137806101521</v>
      </c>
      <c r="X128" s="8">
        <v>-13</v>
      </c>
    </row>
    <row r="129" spans="1:24" x14ac:dyDescent="0.2">
      <c r="A129" s="8">
        <v>63.5</v>
      </c>
      <c r="B129" s="8">
        <v>127</v>
      </c>
      <c r="D129">
        <v>1398.5382947977</v>
      </c>
      <c r="E129">
        <v>330.52890173409997</v>
      </c>
      <c r="F129">
        <v>138.43012309919999</v>
      </c>
      <c r="G129">
        <v>117.31064446054</v>
      </c>
      <c r="I129" s="9">
        <f t="shared" si="8"/>
        <v>213.21825727355997</v>
      </c>
      <c r="J129" s="9">
        <f t="shared" si="9"/>
        <v>1260.1081716985</v>
      </c>
      <c r="K129" s="9">
        <f t="shared" si="10"/>
        <v>213.21825727355997</v>
      </c>
      <c r="L129" s="10">
        <f t="shared" si="7"/>
        <v>0.16920631265025687</v>
      </c>
      <c r="M129" s="10">
        <f t="shared" si="11"/>
        <v>0.17522645765410358</v>
      </c>
      <c r="P129" s="8">
        <f t="shared" si="12"/>
        <v>-23.6808187562687</v>
      </c>
      <c r="X129" s="8">
        <v>-13</v>
      </c>
    </row>
    <row r="130" spans="1:24" x14ac:dyDescent="0.2">
      <c r="A130" s="8">
        <v>64</v>
      </c>
      <c r="B130" s="8">
        <v>128</v>
      </c>
      <c r="D130">
        <v>1387.4812138728</v>
      </c>
      <c r="E130">
        <v>329.20231213873001</v>
      </c>
      <c r="F130">
        <v>138.38015930485</v>
      </c>
      <c r="G130">
        <v>117.60825488776</v>
      </c>
      <c r="I130" s="9">
        <f t="shared" si="8"/>
        <v>211.59405725097002</v>
      </c>
      <c r="J130" s="9">
        <f t="shared" si="9"/>
        <v>1249.1010545679501</v>
      </c>
      <c r="K130" s="9">
        <f t="shared" si="10"/>
        <v>211.59405725097002</v>
      </c>
      <c r="L130" s="10">
        <f t="shared" ref="L130:L193" si="14">K130/J130</f>
        <v>0.16939706877772032</v>
      </c>
      <c r="M130" s="10">
        <f t="shared" si="11"/>
        <v>0.17546461649813275</v>
      </c>
      <c r="P130" s="8">
        <f t="shared" si="12"/>
        <v>-23.577089626400998</v>
      </c>
      <c r="X130" s="8">
        <v>-13</v>
      </c>
    </row>
    <row r="131" spans="1:24" x14ac:dyDescent="0.2">
      <c r="A131" s="8">
        <v>64.5</v>
      </c>
      <c r="B131" s="8">
        <v>129</v>
      </c>
      <c r="D131">
        <v>1378.6350574712999</v>
      </c>
      <c r="E131">
        <v>327.49353448276003</v>
      </c>
      <c r="F131">
        <v>138.74366401159</v>
      </c>
      <c r="G131">
        <v>117.25923244026001</v>
      </c>
      <c r="I131" s="9">
        <f t="shared" ref="I131:I194" si="15">E131-G131</f>
        <v>210.23430204250002</v>
      </c>
      <c r="J131" s="9">
        <f t="shared" ref="J131:J194" si="16">D131-F131</f>
        <v>1239.8913934597099</v>
      </c>
      <c r="K131" s="9">
        <f t="shared" ref="K131:K194" si="17">I131*1</f>
        <v>210.23430204250002</v>
      </c>
      <c r="L131" s="10">
        <f t="shared" si="14"/>
        <v>0.16955864291942241</v>
      </c>
      <c r="M131" s="10">
        <f t="shared" ref="M131:M181" si="18">L131+ABS($N$2)*A131</f>
        <v>0.17567359335640056</v>
      </c>
      <c r="P131" s="8">
        <f t="shared" ref="P131:P194" si="19">(M131-$O$2)/$O$2*100</f>
        <v>-23.486070593456958</v>
      </c>
      <c r="X131" s="8">
        <v>-13</v>
      </c>
    </row>
    <row r="132" spans="1:24" x14ac:dyDescent="0.2">
      <c r="A132" s="8">
        <v>65</v>
      </c>
      <c r="B132" s="8">
        <v>130</v>
      </c>
      <c r="D132">
        <v>1397.2528735632</v>
      </c>
      <c r="E132">
        <v>329.10704022989</v>
      </c>
      <c r="F132">
        <v>138.81679942071</v>
      </c>
      <c r="G132">
        <v>117.38884866039</v>
      </c>
      <c r="I132" s="9">
        <f t="shared" si="15"/>
        <v>211.71819156949999</v>
      </c>
      <c r="J132" s="9">
        <f t="shared" si="16"/>
        <v>1258.43607414249</v>
      </c>
      <c r="K132" s="9">
        <f t="shared" si="17"/>
        <v>211.71819156949999</v>
      </c>
      <c r="L132" s="10">
        <f t="shared" si="14"/>
        <v>0.16823913102917581</v>
      </c>
      <c r="M132" s="10">
        <f t="shared" si="18"/>
        <v>0.1744014841827197</v>
      </c>
      <c r="P132" s="8">
        <f t="shared" si="19"/>
        <v>-24.04013264486024</v>
      </c>
      <c r="X132" s="8">
        <v>-13</v>
      </c>
    </row>
    <row r="133" spans="1:24" x14ac:dyDescent="0.2">
      <c r="A133" s="8">
        <v>65.5</v>
      </c>
      <c r="B133" s="8">
        <v>131</v>
      </c>
      <c r="D133">
        <v>1388.7018678161</v>
      </c>
      <c r="E133">
        <v>327.95114942529</v>
      </c>
      <c r="F133">
        <v>138.60173787111</v>
      </c>
      <c r="G133">
        <v>117.56335988414</v>
      </c>
      <c r="I133" s="9">
        <f t="shared" si="15"/>
        <v>210.38778954115</v>
      </c>
      <c r="J133" s="9">
        <f t="shared" si="16"/>
        <v>1250.1001299449899</v>
      </c>
      <c r="K133" s="9">
        <f t="shared" si="17"/>
        <v>210.38778954115</v>
      </c>
      <c r="L133" s="10">
        <f t="shared" si="14"/>
        <v>0.16829675039743258</v>
      </c>
      <c r="M133" s="10">
        <f t="shared" si="18"/>
        <v>0.17450650626754219</v>
      </c>
      <c r="P133" s="8">
        <f t="shared" si="19"/>
        <v>-23.994390696792188</v>
      </c>
      <c r="X133" s="8">
        <v>-13</v>
      </c>
    </row>
    <row r="134" spans="1:24" x14ac:dyDescent="0.2">
      <c r="A134" s="8">
        <v>66</v>
      </c>
      <c r="B134" s="8">
        <v>132</v>
      </c>
      <c r="D134">
        <v>1394.0366379310001</v>
      </c>
      <c r="E134">
        <v>329.01652298851002</v>
      </c>
      <c r="F134">
        <v>138.61404779146</v>
      </c>
      <c r="G134">
        <v>117.28530050688001</v>
      </c>
      <c r="I134" s="9">
        <f t="shared" si="15"/>
        <v>211.73122248163003</v>
      </c>
      <c r="J134" s="9">
        <f t="shared" si="16"/>
        <v>1255.42259013954</v>
      </c>
      <c r="K134" s="9">
        <f t="shared" si="17"/>
        <v>211.73122248163003</v>
      </c>
      <c r="L134" s="10">
        <f t="shared" si="14"/>
        <v>0.16865334760154041</v>
      </c>
      <c r="M134" s="10">
        <f t="shared" si="18"/>
        <v>0.17491050618821574</v>
      </c>
      <c r="P134" s="8">
        <f t="shared" si="19"/>
        <v>-23.818430150758658</v>
      </c>
      <c r="X134" s="8">
        <v>-13</v>
      </c>
    </row>
    <row r="135" spans="1:24" x14ac:dyDescent="0.2">
      <c r="A135" s="8">
        <v>66.5</v>
      </c>
      <c r="B135" s="8">
        <v>133</v>
      </c>
      <c r="D135">
        <v>1413.5438218391</v>
      </c>
      <c r="E135">
        <v>330.41235632183998</v>
      </c>
      <c r="F135">
        <v>138.40550325851001</v>
      </c>
      <c r="G135">
        <v>117.45401882694</v>
      </c>
      <c r="I135" s="9">
        <f t="shared" si="15"/>
        <v>212.95833749489998</v>
      </c>
      <c r="J135" s="9">
        <f t="shared" si="16"/>
        <v>1275.1383185805901</v>
      </c>
      <c r="K135" s="9">
        <f t="shared" si="17"/>
        <v>212.95833749489998</v>
      </c>
      <c r="L135" s="10">
        <f t="shared" si="14"/>
        <v>0.16700802916185034</v>
      </c>
      <c r="M135" s="10">
        <f t="shared" si="18"/>
        <v>0.1733125904650914</v>
      </c>
      <c r="P135" s="8">
        <f t="shared" si="19"/>
        <v>-24.514395938790891</v>
      </c>
      <c r="X135" s="8">
        <v>-13</v>
      </c>
    </row>
    <row r="136" spans="1:24" x14ac:dyDescent="0.2">
      <c r="A136" s="8">
        <v>67</v>
      </c>
      <c r="B136" s="8">
        <v>134</v>
      </c>
      <c r="D136">
        <v>1416.4403735632</v>
      </c>
      <c r="E136">
        <v>331.66954022989</v>
      </c>
      <c r="F136">
        <v>138.50253439536999</v>
      </c>
      <c r="G136">
        <v>117.64446053584</v>
      </c>
      <c r="I136" s="9">
        <f t="shared" si="15"/>
        <v>214.02507969405002</v>
      </c>
      <c r="J136" s="9">
        <f t="shared" si="16"/>
        <v>1277.9378391678299</v>
      </c>
      <c r="K136" s="9">
        <f t="shared" si="17"/>
        <v>214.02507969405002</v>
      </c>
      <c r="L136" s="10">
        <f t="shared" si="14"/>
        <v>0.16747690938819004</v>
      </c>
      <c r="M136" s="10">
        <f t="shared" si="18"/>
        <v>0.17382887340799683</v>
      </c>
      <c r="P136" s="8">
        <f t="shared" si="19"/>
        <v>-24.289530972505798</v>
      </c>
      <c r="X136" s="8">
        <v>-13</v>
      </c>
    </row>
    <row r="137" spans="1:24" x14ac:dyDescent="0.2">
      <c r="A137" s="8">
        <v>67.5</v>
      </c>
      <c r="B137" s="8">
        <v>135</v>
      </c>
      <c r="D137">
        <v>1421.6918103447999</v>
      </c>
      <c r="E137">
        <v>332.72772988506</v>
      </c>
      <c r="F137">
        <v>138.44460535843999</v>
      </c>
      <c r="G137">
        <v>117.30847212165</v>
      </c>
      <c r="I137" s="9">
        <f t="shared" si="15"/>
        <v>215.41925776341</v>
      </c>
      <c r="J137" s="9">
        <f t="shared" si="16"/>
        <v>1283.24720498636</v>
      </c>
      <c r="K137" s="9">
        <f t="shared" si="17"/>
        <v>215.41925776341</v>
      </c>
      <c r="L137" s="10">
        <f t="shared" si="14"/>
        <v>0.16787042818121686</v>
      </c>
      <c r="M137" s="10">
        <f t="shared" si="18"/>
        <v>0.17426979491758934</v>
      </c>
      <c r="P137" s="8">
        <f t="shared" si="19"/>
        <v>-24.097489376417165</v>
      </c>
      <c r="X137" s="8">
        <v>-13</v>
      </c>
    </row>
    <row r="138" spans="1:24" x14ac:dyDescent="0.2">
      <c r="A138" s="8">
        <v>68</v>
      </c>
      <c r="B138" s="8">
        <v>136</v>
      </c>
      <c r="D138">
        <v>1415.2895114943001</v>
      </c>
      <c r="E138">
        <v>331.19827586206998</v>
      </c>
      <c r="F138">
        <v>138.83707458364</v>
      </c>
      <c r="G138">
        <v>117.44895003620999</v>
      </c>
      <c r="I138" s="9">
        <f t="shared" si="15"/>
        <v>213.74932582585998</v>
      </c>
      <c r="J138" s="9">
        <f t="shared" si="16"/>
        <v>1276.45243691066</v>
      </c>
      <c r="K138" s="9">
        <f t="shared" si="17"/>
        <v>213.74932582585998</v>
      </c>
      <c r="L138" s="10">
        <f t="shared" si="14"/>
        <v>0.16745577010545554</v>
      </c>
      <c r="M138" s="10">
        <f t="shared" si="18"/>
        <v>0.17390253955839374</v>
      </c>
      <c r="P138" s="8">
        <f t="shared" si="19"/>
        <v>-24.257445975987928</v>
      </c>
      <c r="X138" s="8">
        <v>-13</v>
      </c>
    </row>
    <row r="139" spans="1:24" x14ac:dyDescent="0.2">
      <c r="A139" s="8">
        <v>68.5</v>
      </c>
      <c r="B139" s="8">
        <v>137</v>
      </c>
      <c r="D139">
        <v>1404.4820402298999</v>
      </c>
      <c r="E139">
        <v>330.22988505747003</v>
      </c>
      <c r="F139">
        <v>138.73425054309001</v>
      </c>
      <c r="G139">
        <v>117.68139029689</v>
      </c>
      <c r="I139" s="9">
        <f t="shared" si="15"/>
        <v>212.54849476058001</v>
      </c>
      <c r="J139" s="9">
        <f t="shared" si="16"/>
        <v>1265.7477896868099</v>
      </c>
      <c r="K139" s="9">
        <f t="shared" si="17"/>
        <v>212.54849476058001</v>
      </c>
      <c r="L139" s="10">
        <f t="shared" si="14"/>
        <v>0.16792325966705571</v>
      </c>
      <c r="M139" s="10">
        <f t="shared" si="18"/>
        <v>0.17441743183655964</v>
      </c>
      <c r="P139" s="8">
        <f t="shared" si="19"/>
        <v>-24.033186708155718</v>
      </c>
      <c r="X139" s="8">
        <v>-13</v>
      </c>
    </row>
    <row r="140" spans="1:24" x14ac:dyDescent="0.2">
      <c r="A140" s="8">
        <v>69</v>
      </c>
      <c r="B140" s="8">
        <v>138</v>
      </c>
      <c r="D140">
        <v>1396.7808908045999</v>
      </c>
      <c r="E140">
        <v>329.55675287356001</v>
      </c>
      <c r="F140">
        <v>139.07530774801</v>
      </c>
      <c r="G140">
        <v>117.37726285301</v>
      </c>
      <c r="I140" s="9">
        <f t="shared" si="15"/>
        <v>212.17949002055002</v>
      </c>
      <c r="J140" s="9">
        <f t="shared" si="16"/>
        <v>1257.7055830565901</v>
      </c>
      <c r="K140" s="9">
        <f t="shared" si="17"/>
        <v>212.17949002055002</v>
      </c>
      <c r="L140" s="10">
        <f t="shared" si="14"/>
        <v>0.16870362418594995</v>
      </c>
      <c r="M140" s="10">
        <f t="shared" si="18"/>
        <v>0.1752451990720196</v>
      </c>
      <c r="P140" s="8">
        <f t="shared" si="19"/>
        <v>-23.672656006819523</v>
      </c>
      <c r="X140" s="8">
        <v>-13</v>
      </c>
    </row>
    <row r="141" spans="1:24" x14ac:dyDescent="0.2">
      <c r="A141" s="8">
        <v>69.5</v>
      </c>
      <c r="B141" s="8">
        <v>139</v>
      </c>
      <c r="D141">
        <v>1388.0538793103001</v>
      </c>
      <c r="E141">
        <v>330.13218390805002</v>
      </c>
      <c r="F141">
        <v>139.0528602462</v>
      </c>
      <c r="G141">
        <v>117.5452570601</v>
      </c>
      <c r="I141" s="9">
        <f t="shared" si="15"/>
        <v>212.58692684795002</v>
      </c>
      <c r="J141" s="9">
        <f t="shared" si="16"/>
        <v>1249.0010190641001</v>
      </c>
      <c r="K141" s="9">
        <f t="shared" si="17"/>
        <v>212.58692684795002</v>
      </c>
      <c r="L141" s="10">
        <f t="shared" si="14"/>
        <v>0.17020556717179094</v>
      </c>
      <c r="M141" s="10">
        <f t="shared" si="18"/>
        <v>0.17679454477442633</v>
      </c>
      <c r="P141" s="8">
        <f t="shared" si="19"/>
        <v>-22.997844696620067</v>
      </c>
      <c r="X141" s="8">
        <v>-13</v>
      </c>
    </row>
    <row r="142" spans="1:24" x14ac:dyDescent="0.2">
      <c r="A142" s="8">
        <v>70</v>
      </c>
      <c r="B142" s="8">
        <v>140</v>
      </c>
      <c r="D142">
        <v>1399.0912356322001</v>
      </c>
      <c r="E142">
        <v>331.05028735631998</v>
      </c>
      <c r="F142">
        <v>139.21795800145</v>
      </c>
      <c r="G142">
        <v>117.25343953657</v>
      </c>
      <c r="I142" s="9">
        <f t="shared" si="15"/>
        <v>213.79684781974998</v>
      </c>
      <c r="J142" s="9">
        <f t="shared" si="16"/>
        <v>1259.8732776307502</v>
      </c>
      <c r="K142" s="9">
        <f t="shared" si="17"/>
        <v>213.79684781974998</v>
      </c>
      <c r="L142" s="10">
        <f t="shared" si="14"/>
        <v>0.16969710495154308</v>
      </c>
      <c r="M142" s="10">
        <f t="shared" si="18"/>
        <v>0.17633348527074419</v>
      </c>
      <c r="P142" s="8">
        <f t="shared" si="19"/>
        <v>-23.198657315312172</v>
      </c>
      <c r="X142" s="8">
        <v>-13</v>
      </c>
    </row>
    <row r="143" spans="1:24" x14ac:dyDescent="0.2">
      <c r="A143" s="8">
        <v>70.5</v>
      </c>
      <c r="B143" s="8">
        <v>141</v>
      </c>
      <c r="D143">
        <v>1415.8994252873999</v>
      </c>
      <c r="E143">
        <v>333.49928160920001</v>
      </c>
      <c r="F143">
        <v>139.26792179579999</v>
      </c>
      <c r="G143">
        <v>117.63866763215</v>
      </c>
      <c r="I143" s="9">
        <f t="shared" si="15"/>
        <v>215.86061397705001</v>
      </c>
      <c r="J143" s="9">
        <f t="shared" si="16"/>
        <v>1276.6315034915999</v>
      </c>
      <c r="K143" s="9">
        <f t="shared" si="17"/>
        <v>215.86061397705001</v>
      </c>
      <c r="L143" s="10">
        <f t="shared" si="14"/>
        <v>0.16908607800032277</v>
      </c>
      <c r="M143" s="10">
        <f t="shared" si="18"/>
        <v>0.1757698610360896</v>
      </c>
      <c r="P143" s="8">
        <f t="shared" si="19"/>
        <v>-23.444141591453135</v>
      </c>
      <c r="X143" s="8">
        <v>-13</v>
      </c>
    </row>
    <row r="144" spans="1:24" x14ac:dyDescent="0.2">
      <c r="A144" s="8">
        <v>71</v>
      </c>
      <c r="B144" s="8">
        <v>142</v>
      </c>
      <c r="D144">
        <v>1422.6142241379</v>
      </c>
      <c r="E144">
        <v>332.96551724137998</v>
      </c>
      <c r="F144">
        <v>139.11223750905</v>
      </c>
      <c r="G144">
        <v>117.20057929037</v>
      </c>
      <c r="I144" s="9">
        <f t="shared" si="15"/>
        <v>215.76493795100998</v>
      </c>
      <c r="J144" s="9">
        <f t="shared" si="16"/>
        <v>1283.5019866288501</v>
      </c>
      <c r="K144" s="9">
        <f t="shared" si="17"/>
        <v>215.76493795100998</v>
      </c>
      <c r="L144" s="10">
        <f t="shared" si="14"/>
        <v>0.16810643084216953</v>
      </c>
      <c r="M144" s="10">
        <f t="shared" si="18"/>
        <v>0.17483761659450209</v>
      </c>
      <c r="P144" s="8">
        <f t="shared" si="19"/>
        <v>-23.850176921125925</v>
      </c>
    </row>
    <row r="145" spans="1:16" x14ac:dyDescent="0.2">
      <c r="A145" s="8">
        <v>71.5</v>
      </c>
      <c r="B145" s="8">
        <v>143</v>
      </c>
      <c r="D145">
        <v>1421.6925287356</v>
      </c>
      <c r="E145">
        <v>333.93390804597999</v>
      </c>
      <c r="F145">
        <v>139.05720492397</v>
      </c>
      <c r="G145">
        <v>117.5452570601</v>
      </c>
      <c r="I145" s="9">
        <f t="shared" si="15"/>
        <v>216.38865098587999</v>
      </c>
      <c r="J145" s="9">
        <f t="shared" si="16"/>
        <v>1282.6353238116301</v>
      </c>
      <c r="K145" s="9">
        <f t="shared" si="17"/>
        <v>216.38865098587999</v>
      </c>
      <c r="L145" s="10">
        <f t="shared" si="14"/>
        <v>0.16870629318303351</v>
      </c>
      <c r="M145" s="10">
        <f t="shared" si="18"/>
        <v>0.1754848816519318</v>
      </c>
      <c r="P145" s="8">
        <f t="shared" si="19"/>
        <v>-23.568263219895798</v>
      </c>
    </row>
    <row r="146" spans="1:16" x14ac:dyDescent="0.2">
      <c r="A146" s="8">
        <v>72</v>
      </c>
      <c r="B146" s="8">
        <v>144</v>
      </c>
      <c r="D146">
        <v>1421.9425287356</v>
      </c>
      <c r="E146">
        <v>331.76508620689998</v>
      </c>
      <c r="F146">
        <v>138.98044895004</v>
      </c>
      <c r="G146">
        <v>117.5452570601</v>
      </c>
      <c r="I146" s="9">
        <f t="shared" si="15"/>
        <v>214.21982914679998</v>
      </c>
      <c r="J146" s="9">
        <f t="shared" si="16"/>
        <v>1282.96207978556</v>
      </c>
      <c r="K146" s="9">
        <f t="shared" si="17"/>
        <v>214.21982914679998</v>
      </c>
      <c r="L146" s="10">
        <f t="shared" si="14"/>
        <v>0.16697284551278838</v>
      </c>
      <c r="M146" s="10">
        <f t="shared" si="18"/>
        <v>0.17379883669825236</v>
      </c>
      <c r="P146" s="8">
        <f t="shared" si="19"/>
        <v>-24.302613341034174</v>
      </c>
    </row>
    <row r="147" spans="1:16" x14ac:dyDescent="0.2">
      <c r="A147" s="8">
        <v>72.5</v>
      </c>
      <c r="B147" s="8">
        <v>145</v>
      </c>
      <c r="D147">
        <v>1422.7385057470999</v>
      </c>
      <c r="E147">
        <v>335.67385057471</v>
      </c>
      <c r="F147">
        <v>139.21650977553</v>
      </c>
      <c r="G147">
        <v>117.37943519189</v>
      </c>
      <c r="I147" s="9">
        <f t="shared" si="15"/>
        <v>218.29441538282001</v>
      </c>
      <c r="J147" s="9">
        <f t="shared" si="16"/>
        <v>1283.5219959715698</v>
      </c>
      <c r="K147" s="9">
        <f t="shared" si="17"/>
        <v>218.29441538282001</v>
      </c>
      <c r="L147" s="10">
        <f t="shared" si="14"/>
        <v>0.17007454182160758</v>
      </c>
      <c r="M147" s="10">
        <f t="shared" si="18"/>
        <v>0.17694793572363729</v>
      </c>
      <c r="P147" s="8">
        <f t="shared" si="19"/>
        <v>-22.931035883552077</v>
      </c>
    </row>
    <row r="148" spans="1:16" x14ac:dyDescent="0.2">
      <c r="A148" s="8">
        <v>73</v>
      </c>
      <c r="B148" s="8">
        <v>146</v>
      </c>
      <c r="D148">
        <v>1411.7011494252999</v>
      </c>
      <c r="E148">
        <v>332.63936781608999</v>
      </c>
      <c r="F148">
        <v>139.33309196235001</v>
      </c>
      <c r="G148">
        <v>117.65387400435</v>
      </c>
      <c r="I148" s="9">
        <f t="shared" si="15"/>
        <v>214.98549381173999</v>
      </c>
      <c r="J148" s="9">
        <f t="shared" si="16"/>
        <v>1272.36805746295</v>
      </c>
      <c r="K148" s="9">
        <f t="shared" si="17"/>
        <v>214.98549381173999</v>
      </c>
      <c r="L148" s="10">
        <f t="shared" si="14"/>
        <v>0.16896486244743703</v>
      </c>
      <c r="M148" s="10">
        <f t="shared" si="18"/>
        <v>0.17588565906603246</v>
      </c>
      <c r="P148" s="8">
        <f t="shared" si="19"/>
        <v>-23.393706223682813</v>
      </c>
    </row>
    <row r="149" spans="1:16" x14ac:dyDescent="0.2">
      <c r="A149" s="8">
        <v>73.5</v>
      </c>
      <c r="B149" s="8">
        <v>147</v>
      </c>
      <c r="D149">
        <v>1396.1875</v>
      </c>
      <c r="E149">
        <v>333.11781609194998</v>
      </c>
      <c r="F149">
        <v>139.34829833454</v>
      </c>
      <c r="G149">
        <v>117.52136133237001</v>
      </c>
      <c r="I149" s="9">
        <f t="shared" si="15"/>
        <v>215.59645475957996</v>
      </c>
      <c r="J149" s="9">
        <f t="shared" si="16"/>
        <v>1256.83920166546</v>
      </c>
      <c r="K149" s="9">
        <f t="shared" si="17"/>
        <v>215.59645475957996</v>
      </c>
      <c r="L149" s="10">
        <f t="shared" si="14"/>
        <v>0.17153861406764626</v>
      </c>
      <c r="M149" s="10">
        <f t="shared" si="18"/>
        <v>0.17850681340280741</v>
      </c>
      <c r="P149" s="8">
        <f t="shared" si="19"/>
        <v>-22.252072959081829</v>
      </c>
    </row>
    <row r="150" spans="1:16" x14ac:dyDescent="0.2">
      <c r="A150" s="8">
        <v>74</v>
      </c>
      <c r="B150" s="8">
        <v>148</v>
      </c>
      <c r="D150">
        <v>1380.4583333333001</v>
      </c>
      <c r="E150">
        <v>328.45258620689998</v>
      </c>
      <c r="F150">
        <v>139.23606082549</v>
      </c>
      <c r="G150">
        <v>117.68211440985</v>
      </c>
      <c r="I150" s="9">
        <f t="shared" si="15"/>
        <v>210.77047179704999</v>
      </c>
      <c r="J150" s="9">
        <f t="shared" si="16"/>
        <v>1241.22227250781</v>
      </c>
      <c r="K150" s="9">
        <f t="shared" si="17"/>
        <v>210.77047179704999</v>
      </c>
      <c r="L150" s="10">
        <f t="shared" si="14"/>
        <v>0.16980880577594035</v>
      </c>
      <c r="M150" s="10">
        <f t="shared" si="18"/>
        <v>0.17682440782766723</v>
      </c>
      <c r="P150" s="8">
        <f t="shared" si="19"/>
        <v>-22.98483796348572</v>
      </c>
    </row>
    <row r="151" spans="1:16" x14ac:dyDescent="0.2">
      <c r="A151" s="8">
        <v>74.5</v>
      </c>
      <c r="B151" s="8">
        <v>149</v>
      </c>
      <c r="D151">
        <v>1378.5466954023</v>
      </c>
      <c r="E151">
        <v>330.05890804597999</v>
      </c>
      <c r="F151">
        <v>139.67559739319</v>
      </c>
      <c r="G151">
        <v>117.85590152064</v>
      </c>
      <c r="I151" s="9">
        <f t="shared" si="15"/>
        <v>212.20300652533999</v>
      </c>
      <c r="J151" s="9">
        <f t="shared" si="16"/>
        <v>1238.87109800911</v>
      </c>
      <c r="K151" s="9">
        <f t="shared" si="17"/>
        <v>212.20300652533999</v>
      </c>
      <c r="L151" s="10">
        <f t="shared" si="14"/>
        <v>0.17128739774973711</v>
      </c>
      <c r="M151" s="10">
        <f t="shared" si="18"/>
        <v>0.17835040251802972</v>
      </c>
      <c r="P151" s="8">
        <f t="shared" si="19"/>
        <v>-22.320197092980631</v>
      </c>
    </row>
    <row r="152" spans="1:16" x14ac:dyDescent="0.2">
      <c r="A152" s="8">
        <v>75</v>
      </c>
      <c r="B152" s="8">
        <v>150</v>
      </c>
      <c r="D152">
        <v>1370.2442528736001</v>
      </c>
      <c r="E152">
        <v>329.71264367816002</v>
      </c>
      <c r="F152">
        <v>139.72628530051</v>
      </c>
      <c r="G152">
        <v>117.68139029689</v>
      </c>
      <c r="I152" s="9">
        <f t="shared" si="15"/>
        <v>212.03125338127001</v>
      </c>
      <c r="J152" s="9">
        <f t="shared" si="16"/>
        <v>1230.5179675730901</v>
      </c>
      <c r="K152" s="9">
        <f t="shared" si="17"/>
        <v>212.03125338127001</v>
      </c>
      <c r="L152" s="10">
        <f t="shared" si="14"/>
        <v>0.17231057080739115</v>
      </c>
      <c r="M152" s="10">
        <f t="shared" si="18"/>
        <v>0.17942097829224948</v>
      </c>
      <c r="P152" s="8">
        <f t="shared" si="19"/>
        <v>-21.853912105874905</v>
      </c>
    </row>
    <row r="153" spans="1:16" x14ac:dyDescent="0.2">
      <c r="A153" s="8">
        <v>75.5</v>
      </c>
      <c r="B153" s="8">
        <v>151</v>
      </c>
      <c r="D153">
        <v>1372.1946839080999</v>
      </c>
      <c r="E153">
        <v>329.42097701148998</v>
      </c>
      <c r="F153">
        <v>139.5452570601</v>
      </c>
      <c r="G153">
        <v>117.47646632875001</v>
      </c>
      <c r="I153" s="9">
        <f t="shared" si="15"/>
        <v>211.94451068273997</v>
      </c>
      <c r="J153" s="9">
        <f t="shared" si="16"/>
        <v>1232.6494268479998</v>
      </c>
      <c r="K153" s="9">
        <f t="shared" si="17"/>
        <v>211.94451068273997</v>
      </c>
      <c r="L153" s="10">
        <f t="shared" si="14"/>
        <v>0.17194224575652622</v>
      </c>
      <c r="M153" s="10">
        <f t="shared" si="18"/>
        <v>0.17910005595795028</v>
      </c>
      <c r="P153" s="8">
        <f t="shared" si="19"/>
        <v>-21.993688542175924</v>
      </c>
    </row>
    <row r="154" spans="1:16" x14ac:dyDescent="0.2">
      <c r="A154" s="8">
        <v>76</v>
      </c>
      <c r="B154" s="8">
        <v>152</v>
      </c>
      <c r="D154">
        <v>1371.7909482759001</v>
      </c>
      <c r="E154">
        <v>331.26795977012</v>
      </c>
      <c r="F154">
        <v>139.92396813902999</v>
      </c>
      <c r="G154">
        <v>117.84576393918</v>
      </c>
      <c r="I154" s="9">
        <f t="shared" si="15"/>
        <v>213.42219583093998</v>
      </c>
      <c r="J154" s="9">
        <f t="shared" si="16"/>
        <v>1231.8669801368701</v>
      </c>
      <c r="K154" s="9">
        <f t="shared" si="17"/>
        <v>213.42219583093998</v>
      </c>
      <c r="L154" s="10">
        <f t="shared" si="14"/>
        <v>0.17325100783789749</v>
      </c>
      <c r="M154" s="10">
        <f t="shared" si="18"/>
        <v>0.18045622075588724</v>
      </c>
      <c r="P154" s="8">
        <f t="shared" si="19"/>
        <v>-21.403016400561153</v>
      </c>
    </row>
    <row r="155" spans="1:16" x14ac:dyDescent="0.2">
      <c r="A155" s="8">
        <v>76.5</v>
      </c>
      <c r="B155" s="8">
        <v>153</v>
      </c>
      <c r="D155">
        <v>1380.6652298851</v>
      </c>
      <c r="E155">
        <v>331.47126436782003</v>
      </c>
      <c r="F155">
        <v>139.22664735698999</v>
      </c>
      <c r="G155">
        <v>117.63142650253</v>
      </c>
      <c r="I155" s="9">
        <f t="shared" si="15"/>
        <v>213.83983786529001</v>
      </c>
      <c r="J155" s="9">
        <f t="shared" si="16"/>
        <v>1241.4385825281099</v>
      </c>
      <c r="K155" s="9">
        <f t="shared" si="17"/>
        <v>213.83983786529001</v>
      </c>
      <c r="L155" s="10">
        <f t="shared" si="14"/>
        <v>0.17225164488590239</v>
      </c>
      <c r="M155" s="10">
        <f t="shared" si="18"/>
        <v>0.17950426052045787</v>
      </c>
      <c r="P155" s="8">
        <f t="shared" si="19"/>
        <v>-21.817638865211876</v>
      </c>
    </row>
    <row r="156" spans="1:16" x14ac:dyDescent="0.2">
      <c r="A156" s="8">
        <v>77</v>
      </c>
      <c r="B156" s="8">
        <v>154</v>
      </c>
      <c r="D156">
        <v>1395.3347701149</v>
      </c>
      <c r="E156">
        <v>333.12284482758997</v>
      </c>
      <c r="F156">
        <v>139.25778421434001</v>
      </c>
      <c r="G156">
        <v>117.98986241854</v>
      </c>
      <c r="I156" s="9">
        <f t="shared" si="15"/>
        <v>215.13298240904999</v>
      </c>
      <c r="J156" s="9">
        <f t="shared" si="16"/>
        <v>1256.07698590056</v>
      </c>
      <c r="K156" s="9">
        <f t="shared" si="17"/>
        <v>215.13298240904999</v>
      </c>
      <c r="L156" s="10">
        <f t="shared" si="14"/>
        <v>0.17127372352484249</v>
      </c>
      <c r="M156" s="10">
        <f t="shared" si="18"/>
        <v>0.1785737418759637</v>
      </c>
      <c r="P156" s="8">
        <f t="shared" si="19"/>
        <v>-22.222922530878435</v>
      </c>
    </row>
    <row r="157" spans="1:16" x14ac:dyDescent="0.2">
      <c r="A157" s="8">
        <v>77.5</v>
      </c>
      <c r="B157" s="8">
        <v>155</v>
      </c>
      <c r="D157">
        <v>1398.3771551724001</v>
      </c>
      <c r="E157">
        <v>334.25718390805002</v>
      </c>
      <c r="F157">
        <v>139.82186821144001</v>
      </c>
      <c r="G157">
        <v>117.57711803041001</v>
      </c>
      <c r="I157" s="9">
        <f t="shared" si="15"/>
        <v>216.68006587764</v>
      </c>
      <c r="J157" s="9">
        <f t="shared" si="16"/>
        <v>1258.5552869609601</v>
      </c>
      <c r="K157" s="9">
        <f t="shared" si="17"/>
        <v>216.68006587764</v>
      </c>
      <c r="L157" s="10">
        <f t="shared" si="14"/>
        <v>0.17216571105180328</v>
      </c>
      <c r="M157" s="10">
        <f t="shared" si="18"/>
        <v>0.17951313211949022</v>
      </c>
      <c r="P157" s="8">
        <f t="shared" si="19"/>
        <v>-21.813774875814747</v>
      </c>
    </row>
    <row r="158" spans="1:16" x14ac:dyDescent="0.2">
      <c r="A158" s="8">
        <v>78</v>
      </c>
      <c r="B158" s="8">
        <v>156</v>
      </c>
      <c r="D158">
        <v>1399.0660919540001</v>
      </c>
      <c r="E158">
        <v>334.75646551723997</v>
      </c>
      <c r="F158">
        <v>139.56118754526</v>
      </c>
      <c r="G158">
        <v>117.80448950036001</v>
      </c>
      <c r="I158" s="9">
        <f t="shared" si="15"/>
        <v>216.95197601687997</v>
      </c>
      <c r="J158" s="9">
        <f t="shared" si="16"/>
        <v>1259.50490440874</v>
      </c>
      <c r="K158" s="9">
        <f t="shared" si="17"/>
        <v>216.95197601687997</v>
      </c>
      <c r="L158" s="10">
        <f t="shared" si="14"/>
        <v>0.17225179136458033</v>
      </c>
      <c r="M158" s="10">
        <f t="shared" si="18"/>
        <v>0.17964661514883298</v>
      </c>
      <c r="P158" s="8">
        <f t="shared" si="19"/>
        <v>-21.75563687744533</v>
      </c>
    </row>
    <row r="159" spans="1:16" x14ac:dyDescent="0.2">
      <c r="A159" s="8">
        <v>78.5</v>
      </c>
      <c r="B159" s="8">
        <v>157</v>
      </c>
      <c r="D159">
        <v>1396.8742816091999</v>
      </c>
      <c r="E159">
        <v>334.23060344828002</v>
      </c>
      <c r="F159">
        <v>139.31281679942001</v>
      </c>
      <c r="G159">
        <v>117.63359884142</v>
      </c>
      <c r="I159" s="9">
        <f t="shared" si="15"/>
        <v>216.59700460686003</v>
      </c>
      <c r="J159" s="9">
        <f t="shared" si="16"/>
        <v>1257.5614648097799</v>
      </c>
      <c r="K159" s="9">
        <f t="shared" si="17"/>
        <v>216.59700460686003</v>
      </c>
      <c r="L159" s="10">
        <f t="shared" si="14"/>
        <v>0.17223572021557032</v>
      </c>
      <c r="M159" s="10">
        <f t="shared" si="18"/>
        <v>0.1796779467163887</v>
      </c>
      <c r="P159" s="8">
        <f t="shared" si="19"/>
        <v>-21.741990538787643</v>
      </c>
    </row>
    <row r="160" spans="1:16" x14ac:dyDescent="0.2">
      <c r="A160" s="8">
        <v>79</v>
      </c>
      <c r="B160" s="8">
        <v>158</v>
      </c>
      <c r="D160">
        <v>1401.1451149425</v>
      </c>
      <c r="E160">
        <v>335.50862068966001</v>
      </c>
      <c r="F160">
        <v>139.88052136133001</v>
      </c>
      <c r="G160">
        <v>117.68718320057999</v>
      </c>
      <c r="I160" s="9">
        <f t="shared" si="15"/>
        <v>217.82143748908001</v>
      </c>
      <c r="J160" s="9">
        <f t="shared" si="16"/>
        <v>1261.2645935811699</v>
      </c>
      <c r="K160" s="9">
        <f t="shared" si="17"/>
        <v>217.82143748908001</v>
      </c>
      <c r="L160" s="10">
        <f t="shared" si="14"/>
        <v>0.17270082629578065</v>
      </c>
      <c r="M160" s="10">
        <f t="shared" si="18"/>
        <v>0.18019045551316476</v>
      </c>
      <c r="P160" s="8">
        <f t="shared" si="19"/>
        <v>-21.518769386720699</v>
      </c>
    </row>
    <row r="161" spans="1:16" x14ac:dyDescent="0.2">
      <c r="A161" s="8">
        <v>79.5</v>
      </c>
      <c r="B161" s="8">
        <v>159</v>
      </c>
      <c r="D161">
        <v>1380.3326149425</v>
      </c>
      <c r="E161">
        <v>332.12715517241003</v>
      </c>
      <c r="F161">
        <v>140.17233888486999</v>
      </c>
      <c r="G161">
        <v>118.18320057929</v>
      </c>
      <c r="I161" s="9">
        <f t="shared" si="15"/>
        <v>213.94395459312003</v>
      </c>
      <c r="J161" s="9">
        <f t="shared" si="16"/>
        <v>1240.16027605763</v>
      </c>
      <c r="K161" s="9">
        <f t="shared" si="17"/>
        <v>213.94395459312003</v>
      </c>
      <c r="L161" s="10">
        <f t="shared" si="14"/>
        <v>0.17251314908523815</v>
      </c>
      <c r="M161" s="10">
        <f t="shared" si="18"/>
        <v>0.18005018101918799</v>
      </c>
      <c r="P161" s="8">
        <f t="shared" si="19"/>
        <v>-21.579865380288169</v>
      </c>
    </row>
    <row r="162" spans="1:16" x14ac:dyDescent="0.2">
      <c r="A162" s="8">
        <v>80</v>
      </c>
      <c r="B162" s="4">
        <v>160</v>
      </c>
      <c r="C162" s="4" t="s">
        <v>7</v>
      </c>
      <c r="D162">
        <v>1365.9640804598</v>
      </c>
      <c r="E162">
        <v>330.49425287356001</v>
      </c>
      <c r="F162">
        <v>139.70890658943</v>
      </c>
      <c r="G162">
        <v>117.8942795076</v>
      </c>
      <c r="H162" s="4"/>
      <c r="I162" s="5">
        <f t="shared" si="15"/>
        <v>212.59997336596001</v>
      </c>
      <c r="J162" s="5">
        <f t="shared" si="16"/>
        <v>1226.2551738703701</v>
      </c>
      <c r="K162" s="9">
        <f t="shared" si="17"/>
        <v>212.59997336596001</v>
      </c>
      <c r="L162" s="6">
        <f t="shared" si="14"/>
        <v>0.17337335482544058</v>
      </c>
      <c r="M162" s="6">
        <f t="shared" si="18"/>
        <v>0.18095778947595614</v>
      </c>
      <c r="N162" s="4"/>
      <c r="O162" s="4"/>
      <c r="P162" s="4">
        <f t="shared" si="19"/>
        <v>-21.184560155051198</v>
      </c>
    </row>
    <row r="163" spans="1:16" x14ac:dyDescent="0.2">
      <c r="A163" s="8">
        <v>80.5</v>
      </c>
      <c r="B163" s="8">
        <v>161</v>
      </c>
      <c r="D163">
        <v>1369.2564655172</v>
      </c>
      <c r="E163">
        <v>331.51149425287002</v>
      </c>
      <c r="F163">
        <v>140.29761042723001</v>
      </c>
      <c r="G163">
        <v>117.73497465605</v>
      </c>
      <c r="I163" s="9">
        <f t="shared" si="15"/>
        <v>213.77651959682004</v>
      </c>
      <c r="J163" s="9">
        <f t="shared" si="16"/>
        <v>1228.95885508997</v>
      </c>
      <c r="K163" s="9">
        <f t="shared" si="17"/>
        <v>213.77651959682004</v>
      </c>
      <c r="L163" s="10">
        <f t="shared" si="14"/>
        <v>0.17394928944237911</v>
      </c>
      <c r="M163" s="10">
        <f t="shared" si="18"/>
        <v>0.18158112680946037</v>
      </c>
      <c r="P163" s="8">
        <f t="shared" si="19"/>
        <v>-20.913068078063592</v>
      </c>
    </row>
    <row r="164" spans="1:16" x14ac:dyDescent="0.2">
      <c r="A164" s="8">
        <v>81</v>
      </c>
      <c r="B164" s="8">
        <v>162</v>
      </c>
      <c r="D164">
        <v>1384.0962643677999</v>
      </c>
      <c r="E164">
        <v>337.15301724137998</v>
      </c>
      <c r="F164">
        <v>139.90586531499</v>
      </c>
      <c r="G164">
        <v>118.05865314989001</v>
      </c>
      <c r="I164" s="9">
        <f t="shared" si="15"/>
        <v>219.09436409148998</v>
      </c>
      <c r="J164" s="9">
        <f t="shared" si="16"/>
        <v>1244.1903990528099</v>
      </c>
      <c r="K164" s="9">
        <f t="shared" si="17"/>
        <v>219.09436409148998</v>
      </c>
      <c r="L164" s="10">
        <f t="shared" si="14"/>
        <v>0.1760939195948501</v>
      </c>
      <c r="M164" s="10">
        <f t="shared" si="18"/>
        <v>0.18377315967849708</v>
      </c>
      <c r="P164" s="8">
        <f t="shared" si="19"/>
        <v>-19.958336948621557</v>
      </c>
    </row>
    <row r="165" spans="1:16" x14ac:dyDescent="0.2">
      <c r="A165" s="8">
        <v>81.5</v>
      </c>
      <c r="B165" s="8">
        <v>163</v>
      </c>
      <c r="D165">
        <v>1397.0165229884999</v>
      </c>
      <c r="E165">
        <v>369.60129310345002</v>
      </c>
      <c r="F165">
        <v>140.18971759594999</v>
      </c>
      <c r="G165">
        <v>118.15496017379</v>
      </c>
      <c r="I165" s="9">
        <f t="shared" si="15"/>
        <v>251.44633292966</v>
      </c>
      <c r="J165" s="9">
        <f t="shared" si="16"/>
        <v>1256.8268053925499</v>
      </c>
      <c r="K165" s="9">
        <f t="shared" si="17"/>
        <v>251.44633292966</v>
      </c>
      <c r="L165" s="10">
        <f t="shared" si="14"/>
        <v>0.20006442562396234</v>
      </c>
      <c r="M165" s="10">
        <f t="shared" si="18"/>
        <v>0.20779106842417505</v>
      </c>
      <c r="P165" s="8">
        <f t="shared" si="19"/>
        <v>-9.4974330691675473</v>
      </c>
    </row>
    <row r="166" spans="1:16" x14ac:dyDescent="0.2">
      <c r="A166" s="8">
        <v>82</v>
      </c>
      <c r="B166" s="8">
        <v>164</v>
      </c>
      <c r="D166">
        <v>1460.3942731278</v>
      </c>
      <c r="E166">
        <v>423.00220264316999</v>
      </c>
      <c r="F166">
        <v>140.04055032585001</v>
      </c>
      <c r="G166">
        <v>118.06734250543001</v>
      </c>
      <c r="I166" s="9">
        <f t="shared" si="15"/>
        <v>304.93486013773997</v>
      </c>
      <c r="J166" s="9">
        <f t="shared" si="16"/>
        <v>1320.35372280195</v>
      </c>
      <c r="K166" s="9">
        <f t="shared" si="17"/>
        <v>304.93486013773997</v>
      </c>
      <c r="L166" s="10">
        <f t="shared" si="14"/>
        <v>0.23094936975724309</v>
      </c>
      <c r="M166" s="10">
        <f t="shared" si="18"/>
        <v>0.23872341527402152</v>
      </c>
      <c r="P166" s="8">
        <f t="shared" si="19"/>
        <v>3.9750266103374128</v>
      </c>
    </row>
    <row r="167" spans="1:16" x14ac:dyDescent="0.2">
      <c r="A167" s="8">
        <v>82.5</v>
      </c>
      <c r="B167" s="8">
        <v>165</v>
      </c>
      <c r="D167">
        <v>1495.4052863436</v>
      </c>
      <c r="E167">
        <v>482.40161527165998</v>
      </c>
      <c r="F167">
        <v>140.08472121650999</v>
      </c>
      <c r="G167">
        <v>118.35626357712</v>
      </c>
      <c r="I167" s="9">
        <f t="shared" si="15"/>
        <v>364.04535169453999</v>
      </c>
      <c r="J167" s="9">
        <f t="shared" si="16"/>
        <v>1355.32056512709</v>
      </c>
      <c r="K167" s="9">
        <f t="shared" si="17"/>
        <v>364.04535169453999</v>
      </c>
      <c r="L167" s="10">
        <f t="shared" si="14"/>
        <v>0.26860460990673674</v>
      </c>
      <c r="M167" s="10">
        <f t="shared" si="18"/>
        <v>0.27642605814008092</v>
      </c>
      <c r="P167" s="8">
        <f t="shared" si="19"/>
        <v>20.396261581271464</v>
      </c>
    </row>
    <row r="168" spans="1:16" x14ac:dyDescent="0.2">
      <c r="A168" s="8">
        <v>83</v>
      </c>
      <c r="B168" s="8">
        <v>166</v>
      </c>
      <c r="D168">
        <v>1483.6870503596999</v>
      </c>
      <c r="E168">
        <v>516.33741007193998</v>
      </c>
      <c r="F168">
        <v>140.41057204923999</v>
      </c>
      <c r="G168">
        <v>117.98624185372999</v>
      </c>
      <c r="I168" s="9">
        <f t="shared" si="15"/>
        <v>398.35116821820998</v>
      </c>
      <c r="J168" s="9">
        <f t="shared" si="16"/>
        <v>1343.2764783104599</v>
      </c>
      <c r="K168" s="9">
        <f t="shared" si="17"/>
        <v>398.35116821820998</v>
      </c>
      <c r="L168" s="10">
        <f t="shared" si="14"/>
        <v>0.29655188239374686</v>
      </c>
      <c r="M168" s="10">
        <f t="shared" si="18"/>
        <v>0.30442073334365671</v>
      </c>
      <c r="P168" s="8">
        <f t="shared" si="19"/>
        <v>32.589230150770227</v>
      </c>
    </row>
    <row r="169" spans="1:16" x14ac:dyDescent="0.2">
      <c r="A169" s="8">
        <v>83.5</v>
      </c>
      <c r="B169" s="8">
        <v>167</v>
      </c>
      <c r="D169">
        <v>1494.1467625898999</v>
      </c>
      <c r="E169">
        <v>546.98129496402998</v>
      </c>
      <c r="F169">
        <v>139.96669080377001</v>
      </c>
      <c r="G169">
        <v>117.80738595221</v>
      </c>
      <c r="I169" s="9">
        <f t="shared" si="15"/>
        <v>429.17390901182</v>
      </c>
      <c r="J169" s="9">
        <f t="shared" si="16"/>
        <v>1354.1800717861299</v>
      </c>
      <c r="K169" s="9">
        <f t="shared" si="17"/>
        <v>429.17390901182</v>
      </c>
      <c r="L169" s="10">
        <f t="shared" si="14"/>
        <v>0.3169252878206591</v>
      </c>
      <c r="M169" s="10">
        <f t="shared" si="18"/>
        <v>0.32484154148713468</v>
      </c>
      <c r="P169" s="8">
        <f t="shared" si="19"/>
        <v>41.483431281754861</v>
      </c>
    </row>
    <row r="170" spans="1:16" x14ac:dyDescent="0.2">
      <c r="A170" s="8">
        <v>84</v>
      </c>
      <c r="B170" s="8">
        <v>168</v>
      </c>
      <c r="D170">
        <v>1501.3083090379</v>
      </c>
      <c r="E170">
        <v>578.37536443148997</v>
      </c>
      <c r="F170">
        <v>140.48732802316999</v>
      </c>
      <c r="G170">
        <v>118.39826212889</v>
      </c>
      <c r="I170" s="9">
        <f t="shared" si="15"/>
        <v>459.97710230259997</v>
      </c>
      <c r="J170" s="9">
        <f t="shared" si="16"/>
        <v>1360.82098101473</v>
      </c>
      <c r="K170" s="9">
        <f t="shared" si="17"/>
        <v>459.97710230259997</v>
      </c>
      <c r="L170" s="10">
        <f t="shared" si="14"/>
        <v>0.33801441094743162</v>
      </c>
      <c r="M170" s="10">
        <f t="shared" si="18"/>
        <v>0.34597806733047293</v>
      </c>
      <c r="P170" s="8">
        <f t="shared" si="19"/>
        <v>50.689360387990867</v>
      </c>
    </row>
    <row r="171" spans="1:16" x14ac:dyDescent="0.2">
      <c r="A171" s="8">
        <v>84.5</v>
      </c>
      <c r="B171" s="8">
        <v>169</v>
      </c>
      <c r="D171">
        <v>1557.1421282798999</v>
      </c>
      <c r="E171">
        <v>622.17128279883002</v>
      </c>
      <c r="F171">
        <v>139.93845039825999</v>
      </c>
      <c r="G171">
        <v>118.08761766836</v>
      </c>
      <c r="I171" s="9">
        <f t="shared" si="15"/>
        <v>504.08366513047002</v>
      </c>
      <c r="J171" s="9">
        <f t="shared" si="16"/>
        <v>1417.20367788164</v>
      </c>
      <c r="K171" s="9">
        <f t="shared" si="17"/>
        <v>504.08366513047002</v>
      </c>
      <c r="L171" s="10">
        <f t="shared" si="14"/>
        <v>0.35568893377693406</v>
      </c>
      <c r="M171" s="10">
        <f t="shared" si="18"/>
        <v>0.36369999287654109</v>
      </c>
      <c r="P171" s="8">
        <f t="shared" si="19"/>
        <v>58.408074022025303</v>
      </c>
    </row>
    <row r="172" spans="1:16" x14ac:dyDescent="0.2">
      <c r="A172" s="8">
        <v>85</v>
      </c>
      <c r="B172" s="8">
        <v>170</v>
      </c>
      <c r="D172">
        <v>1544.8259608412</v>
      </c>
      <c r="E172">
        <v>624.68963016679004</v>
      </c>
      <c r="F172">
        <v>140.48153511947999</v>
      </c>
      <c r="G172">
        <v>118.05575669805</v>
      </c>
      <c r="I172" s="9">
        <f t="shared" si="15"/>
        <v>506.63387346874003</v>
      </c>
      <c r="J172" s="9">
        <f t="shared" si="16"/>
        <v>1404.34442572172</v>
      </c>
      <c r="K172" s="9">
        <f t="shared" si="17"/>
        <v>506.63387346874003</v>
      </c>
      <c r="L172" s="10">
        <f t="shared" si="14"/>
        <v>0.36076183604913803</v>
      </c>
      <c r="M172" s="10">
        <f t="shared" si="18"/>
        <v>0.36882029786531079</v>
      </c>
      <c r="P172" s="8">
        <f t="shared" si="19"/>
        <v>60.63820233536763</v>
      </c>
    </row>
    <row r="173" spans="1:16" x14ac:dyDescent="0.2">
      <c r="A173" s="8">
        <v>85.5</v>
      </c>
      <c r="B173" s="8">
        <v>171</v>
      </c>
      <c r="D173">
        <v>1559.2233502537999</v>
      </c>
      <c r="E173">
        <v>648.43944887600003</v>
      </c>
      <c r="F173">
        <v>140.43736422882</v>
      </c>
      <c r="G173">
        <v>118.3301955105</v>
      </c>
      <c r="I173" s="9">
        <f t="shared" si="15"/>
        <v>530.10925336550008</v>
      </c>
      <c r="J173" s="9">
        <f t="shared" si="16"/>
        <v>1418.78598602498</v>
      </c>
      <c r="K173" s="9">
        <f t="shared" si="17"/>
        <v>530.10925336550008</v>
      </c>
      <c r="L173" s="10">
        <f t="shared" si="14"/>
        <v>0.3736358115931987</v>
      </c>
      <c r="M173" s="10">
        <f t="shared" si="18"/>
        <v>0.38174167612593718</v>
      </c>
      <c r="P173" s="8">
        <f t="shared" si="19"/>
        <v>66.266056842009604</v>
      </c>
    </row>
    <row r="174" spans="1:16" x14ac:dyDescent="0.2">
      <c r="A174" s="8">
        <v>86</v>
      </c>
      <c r="B174" s="8">
        <v>172</v>
      </c>
      <c r="D174">
        <v>1556.1102248006</v>
      </c>
      <c r="E174">
        <v>669.63886874546995</v>
      </c>
      <c r="F174">
        <v>140.59232440260999</v>
      </c>
      <c r="G174">
        <v>118.01810282404</v>
      </c>
      <c r="I174" s="9">
        <f t="shared" si="15"/>
        <v>551.62076592142989</v>
      </c>
      <c r="J174" s="9">
        <f t="shared" si="16"/>
        <v>1415.5179003979899</v>
      </c>
      <c r="K174" s="9">
        <f t="shared" si="17"/>
        <v>551.62076592142989</v>
      </c>
      <c r="L174" s="10">
        <f t="shared" si="14"/>
        <v>0.38969536575011526</v>
      </c>
      <c r="M174" s="10">
        <f t="shared" si="18"/>
        <v>0.39784863299941947</v>
      </c>
      <c r="P174" s="8">
        <f t="shared" si="19"/>
        <v>73.281377344229838</v>
      </c>
    </row>
    <row r="175" spans="1:16" x14ac:dyDescent="0.2">
      <c r="A175" s="8">
        <v>86.5</v>
      </c>
      <c r="B175" s="8">
        <v>173</v>
      </c>
      <c r="D175">
        <v>1530.1870920957001</v>
      </c>
      <c r="E175">
        <v>682.29151559101001</v>
      </c>
      <c r="F175">
        <v>140.43157132512999</v>
      </c>
      <c r="G175">
        <v>118.69659666907999</v>
      </c>
      <c r="I175" s="9">
        <f t="shared" si="15"/>
        <v>563.59491892193</v>
      </c>
      <c r="J175" s="9">
        <f t="shared" si="16"/>
        <v>1389.75552077057</v>
      </c>
      <c r="K175" s="9">
        <f t="shared" si="17"/>
        <v>563.59491892193</v>
      </c>
      <c r="L175" s="10">
        <f t="shared" si="14"/>
        <v>0.4055352977546991</v>
      </c>
      <c r="M175" s="10">
        <f t="shared" si="18"/>
        <v>0.41373596772056903</v>
      </c>
      <c r="P175" s="8">
        <f t="shared" si="19"/>
        <v>80.201042298347232</v>
      </c>
    </row>
    <row r="176" spans="1:16" x14ac:dyDescent="0.2">
      <c r="A176" s="8">
        <v>87</v>
      </c>
      <c r="B176" s="8">
        <v>174</v>
      </c>
      <c r="D176">
        <v>1509.1058738216</v>
      </c>
      <c r="E176">
        <v>692.13995649021001</v>
      </c>
      <c r="F176">
        <v>140.69804489500001</v>
      </c>
      <c r="G176">
        <v>118.55539464156</v>
      </c>
      <c r="I176" s="9">
        <f t="shared" si="15"/>
        <v>573.58456184864997</v>
      </c>
      <c r="J176" s="9">
        <f t="shared" si="16"/>
        <v>1368.4078289265999</v>
      </c>
      <c r="K176" s="9">
        <f t="shared" si="17"/>
        <v>573.58456184864997</v>
      </c>
      <c r="L176" s="10">
        <f t="shared" si="14"/>
        <v>0.41916199960546741</v>
      </c>
      <c r="M176" s="10">
        <f t="shared" si="18"/>
        <v>0.42741007228790306</v>
      </c>
      <c r="P176" s="8">
        <f t="shared" si="19"/>
        <v>86.156743730605584</v>
      </c>
    </row>
    <row r="177" spans="1:16" x14ac:dyDescent="0.2">
      <c r="A177" s="8">
        <v>87.5</v>
      </c>
      <c r="B177" s="8">
        <v>175</v>
      </c>
      <c r="D177">
        <v>1482.2306018853999</v>
      </c>
      <c r="E177">
        <v>685.18201595359005</v>
      </c>
      <c r="F177">
        <v>140.61984069515</v>
      </c>
      <c r="G177">
        <v>118.58146270818</v>
      </c>
      <c r="I177" s="9">
        <f t="shared" si="15"/>
        <v>566.60055324541008</v>
      </c>
      <c r="J177" s="9">
        <f t="shared" si="16"/>
        <v>1341.6107611902498</v>
      </c>
      <c r="K177" s="9">
        <f t="shared" si="17"/>
        <v>566.60055324541008</v>
      </c>
      <c r="L177" s="10">
        <f t="shared" si="14"/>
        <v>0.4223285692362318</v>
      </c>
      <c r="M177" s="10">
        <f t="shared" si="18"/>
        <v>0.43062404463523318</v>
      </c>
      <c r="P177" s="8">
        <f t="shared" si="19"/>
        <v>87.556576503419052</v>
      </c>
    </row>
    <row r="178" spans="1:16" x14ac:dyDescent="0.2">
      <c r="A178" s="8">
        <v>88</v>
      </c>
      <c r="B178" s="8">
        <v>176</v>
      </c>
      <c r="D178">
        <v>1490.364628821</v>
      </c>
      <c r="E178">
        <v>687.21615720524005</v>
      </c>
      <c r="F178">
        <v>140.62853005068999</v>
      </c>
      <c r="G178">
        <v>118.89355539464</v>
      </c>
      <c r="I178" s="9">
        <f t="shared" si="15"/>
        <v>568.32260181060008</v>
      </c>
      <c r="J178" s="9">
        <f t="shared" si="16"/>
        <v>1349.73609877031</v>
      </c>
      <c r="K178" s="9">
        <f t="shared" si="17"/>
        <v>568.32260181060008</v>
      </c>
      <c r="L178" s="10">
        <f t="shared" si="14"/>
        <v>0.42106201525496417</v>
      </c>
      <c r="M178" s="10">
        <f t="shared" si="18"/>
        <v>0.42940489337053128</v>
      </c>
      <c r="P178" s="8">
        <f t="shared" si="19"/>
        <v>87.025580056992126</v>
      </c>
    </row>
    <row r="179" spans="1:16" x14ac:dyDescent="0.2">
      <c r="A179" s="8">
        <v>88.5</v>
      </c>
      <c r="B179" s="8">
        <v>177</v>
      </c>
      <c r="D179">
        <v>1498.1419213974</v>
      </c>
      <c r="E179">
        <v>685.70232896651999</v>
      </c>
      <c r="F179">
        <v>140.9283128168</v>
      </c>
      <c r="G179">
        <v>118.46922519912999</v>
      </c>
      <c r="I179" s="9">
        <f t="shared" si="15"/>
        <v>567.23310376739005</v>
      </c>
      <c r="J179" s="9">
        <f t="shared" si="16"/>
        <v>1357.2136085806001</v>
      </c>
      <c r="K179" s="9">
        <f t="shared" si="17"/>
        <v>567.23310376739005</v>
      </c>
      <c r="L179" s="10">
        <f t="shared" si="14"/>
        <v>0.41793944606893035</v>
      </c>
      <c r="M179" s="10">
        <f t="shared" si="18"/>
        <v>0.42632972690106319</v>
      </c>
      <c r="P179" s="8">
        <f t="shared" si="19"/>
        <v>85.686203627884225</v>
      </c>
    </row>
    <row r="180" spans="1:16" x14ac:dyDescent="0.2">
      <c r="A180" s="8">
        <v>89</v>
      </c>
      <c r="B180" s="8">
        <v>178</v>
      </c>
      <c r="D180">
        <v>1478.2183406114</v>
      </c>
      <c r="E180">
        <v>681.53420669577997</v>
      </c>
      <c r="F180">
        <v>140.95003620565001</v>
      </c>
      <c r="G180">
        <v>118.62056480811</v>
      </c>
      <c r="I180" s="9">
        <f t="shared" si="15"/>
        <v>562.91364188767</v>
      </c>
      <c r="J180" s="9">
        <f t="shared" si="16"/>
        <v>1337.2683044057499</v>
      </c>
      <c r="K180" s="9">
        <f t="shared" si="17"/>
        <v>562.91364188767</v>
      </c>
      <c r="L180" s="10">
        <f t="shared" si="14"/>
        <v>0.42094293271821426</v>
      </c>
      <c r="M180" s="10">
        <f t="shared" si="18"/>
        <v>0.42938061626691282</v>
      </c>
      <c r="P180" s="8">
        <f t="shared" si="19"/>
        <v>87.015006261824794</v>
      </c>
    </row>
    <row r="181" spans="1:16" x14ac:dyDescent="0.2">
      <c r="A181" s="8">
        <v>89.5</v>
      </c>
      <c r="B181" s="8">
        <v>179</v>
      </c>
      <c r="D181">
        <v>1472.4075691411999</v>
      </c>
      <c r="E181">
        <v>680.78529839884004</v>
      </c>
      <c r="F181">
        <v>141.13034033309</v>
      </c>
      <c r="G181">
        <v>118.53149891383001</v>
      </c>
      <c r="I181" s="9">
        <f t="shared" si="15"/>
        <v>562.25379948501006</v>
      </c>
      <c r="J181" s="9">
        <f t="shared" si="16"/>
        <v>1331.2772288081098</v>
      </c>
      <c r="K181" s="9">
        <f t="shared" si="17"/>
        <v>562.25379948501006</v>
      </c>
      <c r="L181" s="10">
        <f t="shared" si="14"/>
        <v>0.42234163352166315</v>
      </c>
      <c r="M181" s="10">
        <f t="shared" si="18"/>
        <v>0.43082671978692744</v>
      </c>
      <c r="P181" s="8">
        <f t="shared" si="19"/>
        <v>87.64485085332511</v>
      </c>
    </row>
    <row r="182" spans="1:16" x14ac:dyDescent="0.2">
      <c r="A182" s="8">
        <v>90</v>
      </c>
      <c r="B182" s="8">
        <v>180</v>
      </c>
      <c r="D182">
        <v>1488.0029006527</v>
      </c>
      <c r="E182">
        <v>688.12255257433003</v>
      </c>
      <c r="F182">
        <v>141.28747284575999</v>
      </c>
      <c r="G182">
        <v>118.44750181028</v>
      </c>
      <c r="I182" s="9">
        <f t="shared" si="15"/>
        <v>569.67505076405007</v>
      </c>
      <c r="J182" s="9">
        <f t="shared" si="16"/>
        <v>1346.7154278069399</v>
      </c>
      <c r="K182" s="9">
        <f t="shared" si="17"/>
        <v>569.67505076405007</v>
      </c>
      <c r="L182" s="10">
        <f t="shared" si="14"/>
        <v>0.42301071109858596</v>
      </c>
      <c r="M182" s="10">
        <f>L182+ABS($N$2)*A182</f>
        <v>0.43154320008041597</v>
      </c>
      <c r="P182" s="8">
        <f t="shared" si="19"/>
        <v>87.956910973174431</v>
      </c>
    </row>
    <row r="183" spans="1:16" x14ac:dyDescent="0.2">
      <c r="A183" s="8">
        <v>90.5</v>
      </c>
      <c r="B183" s="8">
        <v>181</v>
      </c>
      <c r="D183">
        <v>1534.4459753445001</v>
      </c>
      <c r="E183">
        <v>704.97171863668996</v>
      </c>
      <c r="F183">
        <v>141.01230992034999</v>
      </c>
      <c r="G183">
        <v>118.68573497465999</v>
      </c>
      <c r="I183" s="9">
        <f t="shared" si="15"/>
        <v>586.28598366202993</v>
      </c>
      <c r="J183" s="9">
        <f t="shared" si="16"/>
        <v>1393.4336654241501</v>
      </c>
      <c r="K183" s="9">
        <f t="shared" si="17"/>
        <v>586.28598366202993</v>
      </c>
      <c r="L183" s="10">
        <f t="shared" si="14"/>
        <v>0.4207491165240142</v>
      </c>
      <c r="M183" s="10">
        <f t="shared" ref="M183:M241" si="20">L183+ABS($N$2)*A183</f>
        <v>0.42932900822240994</v>
      </c>
      <c r="P183" s="8">
        <f t="shared" si="19"/>
        <v>86.992528584910133</v>
      </c>
    </row>
    <row r="184" spans="1:16" x14ac:dyDescent="0.2">
      <c r="A184" s="8">
        <v>91</v>
      </c>
      <c r="B184" s="8">
        <v>182</v>
      </c>
      <c r="D184">
        <v>1532.9426289034</v>
      </c>
      <c r="E184">
        <v>707.49673202613997</v>
      </c>
      <c r="F184">
        <v>141.36929761043001</v>
      </c>
      <c r="G184">
        <v>118.59377262853</v>
      </c>
      <c r="I184" s="9">
        <f t="shared" si="15"/>
        <v>588.90295939760995</v>
      </c>
      <c r="J184" s="9">
        <f t="shared" si="16"/>
        <v>1391.5733312929699</v>
      </c>
      <c r="K184" s="9">
        <f t="shared" si="17"/>
        <v>588.90295939760995</v>
      </c>
      <c r="L184" s="10">
        <f t="shared" si="14"/>
        <v>0.42319218553177879</v>
      </c>
      <c r="M184" s="10">
        <f t="shared" si="20"/>
        <v>0.43181947994674019</v>
      </c>
      <c r="P184" s="8">
        <f t="shared" si="19"/>
        <v>88.077243561496317</v>
      </c>
    </row>
    <row r="185" spans="1:16" x14ac:dyDescent="0.2">
      <c r="A185" s="8">
        <v>91.5</v>
      </c>
      <c r="B185" s="8">
        <v>183</v>
      </c>
      <c r="D185">
        <v>1525.4248366013001</v>
      </c>
      <c r="E185">
        <v>701.88307915759003</v>
      </c>
      <c r="F185">
        <v>141.70021723388999</v>
      </c>
      <c r="G185">
        <v>118.53946415641001</v>
      </c>
      <c r="I185" s="9">
        <f t="shared" si="15"/>
        <v>583.34361500118007</v>
      </c>
      <c r="J185" s="9">
        <f t="shared" si="16"/>
        <v>1383.72461936741</v>
      </c>
      <c r="K185" s="9">
        <f t="shared" si="17"/>
        <v>583.34361500118007</v>
      </c>
      <c r="L185" s="10">
        <f t="shared" si="14"/>
        <v>0.42157493394015361</v>
      </c>
      <c r="M185" s="10">
        <f t="shared" si="20"/>
        <v>0.43024963107168074</v>
      </c>
      <c r="P185" s="8">
        <f t="shared" si="19"/>
        <v>87.393502176634016</v>
      </c>
    </row>
    <row r="186" spans="1:16" x14ac:dyDescent="0.2">
      <c r="A186" s="8">
        <v>92</v>
      </c>
      <c r="B186" s="8">
        <v>184</v>
      </c>
      <c r="D186">
        <v>1536.6063907043999</v>
      </c>
      <c r="E186">
        <v>697.90268700073</v>
      </c>
      <c r="F186">
        <v>140.93772628529999</v>
      </c>
      <c r="G186">
        <v>118.63649529327</v>
      </c>
      <c r="I186" s="9">
        <f t="shared" si="15"/>
        <v>579.26619170745994</v>
      </c>
      <c r="J186" s="9">
        <f t="shared" si="16"/>
        <v>1395.6686644191</v>
      </c>
      <c r="K186" s="9">
        <f t="shared" si="17"/>
        <v>579.26619170745994</v>
      </c>
      <c r="L186" s="10">
        <f t="shared" si="14"/>
        <v>0.41504563832029573</v>
      </c>
      <c r="M186" s="10">
        <f t="shared" si="20"/>
        <v>0.42376773816838859</v>
      </c>
      <c r="P186" s="8">
        <f t="shared" si="19"/>
        <v>84.570339704986438</v>
      </c>
    </row>
    <row r="187" spans="1:16" x14ac:dyDescent="0.2">
      <c r="A187" s="8">
        <v>92.5</v>
      </c>
      <c r="B187" s="8">
        <v>185</v>
      </c>
      <c r="D187">
        <v>1535.1358024691001</v>
      </c>
      <c r="E187">
        <v>692.69135802468998</v>
      </c>
      <c r="F187">
        <v>141.29833454019001</v>
      </c>
      <c r="G187">
        <v>118.84576393918</v>
      </c>
      <c r="I187" s="9">
        <f t="shared" si="15"/>
        <v>573.84559408551002</v>
      </c>
      <c r="J187" s="9">
        <f t="shared" si="16"/>
        <v>1393.83746792891</v>
      </c>
      <c r="K187" s="9">
        <f t="shared" si="17"/>
        <v>573.84559408551002</v>
      </c>
      <c r="L187" s="10">
        <f t="shared" si="14"/>
        <v>0.41170194322454384</v>
      </c>
      <c r="M187" s="10">
        <f t="shared" si="20"/>
        <v>0.42047144578920242</v>
      </c>
      <c r="P187" s="8">
        <f t="shared" si="19"/>
        <v>83.134652772274265</v>
      </c>
    </row>
    <row r="188" spans="1:16" x14ac:dyDescent="0.2">
      <c r="A188" s="8">
        <v>93</v>
      </c>
      <c r="B188" s="8">
        <v>186</v>
      </c>
      <c r="D188">
        <v>1526.6107480029</v>
      </c>
      <c r="E188">
        <v>680.88380537399996</v>
      </c>
      <c r="F188">
        <v>141.66763215061999</v>
      </c>
      <c r="G188">
        <v>118.80376538740001</v>
      </c>
      <c r="I188" s="9">
        <f t="shared" si="15"/>
        <v>562.08003998660001</v>
      </c>
      <c r="J188" s="9">
        <f t="shared" si="16"/>
        <v>1384.94311585228</v>
      </c>
      <c r="K188" s="9">
        <f t="shared" si="17"/>
        <v>562.08003998660001</v>
      </c>
      <c r="L188" s="10">
        <f t="shared" si="14"/>
        <v>0.40585063281873612</v>
      </c>
      <c r="M188" s="10">
        <f t="shared" si="20"/>
        <v>0.41466753809996043</v>
      </c>
      <c r="P188" s="8">
        <f t="shared" si="19"/>
        <v>80.60678404293246</v>
      </c>
    </row>
    <row r="189" spans="1:16" x14ac:dyDescent="0.2">
      <c r="A189" s="8">
        <v>93.5</v>
      </c>
      <c r="B189" s="8">
        <v>187</v>
      </c>
      <c r="D189">
        <v>1512.9912854030999</v>
      </c>
      <c r="E189">
        <v>670.67973856209005</v>
      </c>
      <c r="F189">
        <v>141.41057204923999</v>
      </c>
      <c r="G189">
        <v>118.54018826937001</v>
      </c>
      <c r="I189" s="9">
        <f t="shared" si="15"/>
        <v>552.13955029272006</v>
      </c>
      <c r="J189" s="9">
        <f t="shared" si="16"/>
        <v>1371.5807133538599</v>
      </c>
      <c r="K189" s="9">
        <f t="shared" si="17"/>
        <v>552.13955029272006</v>
      </c>
      <c r="L189" s="10">
        <f t="shared" si="14"/>
        <v>0.40255709701735304</v>
      </c>
      <c r="M189" s="10">
        <f t="shared" si="20"/>
        <v>0.41142140501514307</v>
      </c>
      <c r="P189" s="8">
        <f t="shared" si="19"/>
        <v>79.1929437898213</v>
      </c>
    </row>
    <row r="190" spans="1:16" x14ac:dyDescent="0.2">
      <c r="A190" s="8">
        <v>94</v>
      </c>
      <c r="B190" s="8">
        <v>188</v>
      </c>
      <c r="D190">
        <v>1453.4662309368</v>
      </c>
      <c r="E190">
        <v>656.05882352941001</v>
      </c>
      <c r="F190">
        <v>141.39536567704999</v>
      </c>
      <c r="G190">
        <v>119.09485879797001</v>
      </c>
      <c r="I190" s="9">
        <f t="shared" si="15"/>
        <v>536.96396473144</v>
      </c>
      <c r="J190" s="9">
        <f t="shared" si="16"/>
        <v>1312.07086525975</v>
      </c>
      <c r="K190" s="9">
        <f t="shared" si="17"/>
        <v>536.96396473144</v>
      </c>
      <c r="L190" s="10">
        <f t="shared" si="14"/>
        <v>0.40924920974076923</v>
      </c>
      <c r="M190" s="10">
        <f t="shared" si="20"/>
        <v>0.41816092045512498</v>
      </c>
      <c r="P190" s="8">
        <f t="shared" si="19"/>
        <v>82.128312724655544</v>
      </c>
    </row>
    <row r="191" spans="1:16" x14ac:dyDescent="0.2">
      <c r="A191" s="8">
        <v>94.5</v>
      </c>
      <c r="B191" s="8">
        <v>189</v>
      </c>
      <c r="D191">
        <v>1484.8490153173</v>
      </c>
      <c r="E191">
        <v>657.82275711160003</v>
      </c>
      <c r="F191">
        <v>141.46705286024999</v>
      </c>
      <c r="G191">
        <v>118.59232440261</v>
      </c>
      <c r="I191" s="9">
        <f t="shared" si="15"/>
        <v>539.23043270899007</v>
      </c>
      <c r="J191" s="9">
        <f t="shared" si="16"/>
        <v>1343.3819624570499</v>
      </c>
      <c r="K191" s="9">
        <f t="shared" si="17"/>
        <v>539.23043270899007</v>
      </c>
      <c r="L191" s="10">
        <f t="shared" si="14"/>
        <v>0.40139770205246456</v>
      </c>
      <c r="M191" s="10">
        <f t="shared" si="20"/>
        <v>0.41035681548338604</v>
      </c>
      <c r="P191" s="8">
        <f t="shared" si="19"/>
        <v>78.729266086624634</v>
      </c>
    </row>
    <row r="192" spans="1:16" x14ac:dyDescent="0.2">
      <c r="A192" s="8">
        <v>95</v>
      </c>
      <c r="B192" s="8">
        <v>190</v>
      </c>
      <c r="D192">
        <v>1469.4784828592001</v>
      </c>
      <c r="E192">
        <v>649.33843909555003</v>
      </c>
      <c r="F192">
        <v>141.51701665460001</v>
      </c>
      <c r="G192">
        <v>118.69225199131</v>
      </c>
      <c r="I192" s="9">
        <f t="shared" si="15"/>
        <v>530.64618710423997</v>
      </c>
      <c r="J192" s="9">
        <f t="shared" si="16"/>
        <v>1327.9614662046001</v>
      </c>
      <c r="K192" s="9">
        <f t="shared" si="17"/>
        <v>530.64618710423997</v>
      </c>
      <c r="L192" s="10">
        <f t="shared" si="14"/>
        <v>0.39959456701771712</v>
      </c>
      <c r="M192" s="10">
        <f t="shared" si="20"/>
        <v>0.40860108316520433</v>
      </c>
      <c r="P192" s="8">
        <f t="shared" si="19"/>
        <v>77.964563913216011</v>
      </c>
    </row>
    <row r="193" spans="1:16" x14ac:dyDescent="0.2">
      <c r="A193" s="8">
        <v>95.5</v>
      </c>
      <c r="B193" s="8">
        <v>191</v>
      </c>
      <c r="D193">
        <v>1474.4150255288</v>
      </c>
      <c r="E193">
        <v>646.88694383662005</v>
      </c>
      <c r="F193">
        <v>141.14192614048</v>
      </c>
      <c r="G193">
        <v>119.21506154959999</v>
      </c>
      <c r="I193" s="9">
        <f t="shared" si="15"/>
        <v>527.67188228702003</v>
      </c>
      <c r="J193" s="9">
        <f t="shared" si="16"/>
        <v>1333.2730993883201</v>
      </c>
      <c r="K193" s="9">
        <f t="shared" si="17"/>
        <v>527.67188228702003</v>
      </c>
      <c r="L193" s="10">
        <f t="shared" si="14"/>
        <v>0.3957717908874826</v>
      </c>
      <c r="M193" s="10">
        <f t="shared" si="20"/>
        <v>0.40482570975153553</v>
      </c>
      <c r="P193" s="8">
        <f t="shared" si="19"/>
        <v>76.320215156310084</v>
      </c>
    </row>
    <row r="194" spans="1:16" x14ac:dyDescent="0.2">
      <c r="A194" s="8">
        <v>96</v>
      </c>
      <c r="B194" s="8">
        <v>192</v>
      </c>
      <c r="D194">
        <v>1466.0335521517</v>
      </c>
      <c r="E194">
        <v>641.83223924142999</v>
      </c>
      <c r="F194">
        <v>141.52932657495001</v>
      </c>
      <c r="G194">
        <v>118.53149891383001</v>
      </c>
      <c r="I194" s="9">
        <f t="shared" si="15"/>
        <v>523.30074032760001</v>
      </c>
      <c r="J194" s="9">
        <f t="shared" si="16"/>
        <v>1324.5042255767498</v>
      </c>
      <c r="K194" s="9">
        <f t="shared" si="17"/>
        <v>523.30074032760001</v>
      </c>
      <c r="L194" s="10">
        <f t="shared" ref="L194:L257" si="21">K194/J194</f>
        <v>0.39509178621135083</v>
      </c>
      <c r="M194" s="10">
        <f t="shared" si="20"/>
        <v>0.40419310779196949</v>
      </c>
      <c r="P194" s="8">
        <f t="shared" si="19"/>
        <v>76.044687908578098</v>
      </c>
    </row>
    <row r="195" spans="1:16" x14ac:dyDescent="0.2">
      <c r="A195" s="8">
        <v>96.5</v>
      </c>
      <c r="B195" s="8">
        <v>193</v>
      </c>
      <c r="D195">
        <v>1482.3371924747</v>
      </c>
      <c r="E195">
        <v>644.29377713458996</v>
      </c>
      <c r="F195">
        <v>141.74221578565999</v>
      </c>
      <c r="G195">
        <v>118.79652425778001</v>
      </c>
      <c r="I195" s="9">
        <f t="shared" ref="I195:I241" si="22">E195-G195</f>
        <v>525.49725287680997</v>
      </c>
      <c r="J195" s="9">
        <f t="shared" ref="J195:J241" si="23">D195-F195</f>
        <v>1340.5949766890401</v>
      </c>
      <c r="K195" s="9">
        <f t="shared" ref="K195:K258" si="24">I195*1</f>
        <v>525.49725287680997</v>
      </c>
      <c r="L195" s="10">
        <f t="shared" si="21"/>
        <v>0.39198808142237468</v>
      </c>
      <c r="M195" s="10">
        <f t="shared" si="20"/>
        <v>0.40113680571955906</v>
      </c>
      <c r="P195" s="8">
        <f t="shared" ref="P195:P241" si="25">(M195-$O$2)/$O$2*100</f>
        <v>74.713527791991567</v>
      </c>
    </row>
    <row r="196" spans="1:16" x14ac:dyDescent="0.2">
      <c r="A196" s="8">
        <v>97</v>
      </c>
      <c r="B196" s="8">
        <v>194</v>
      </c>
      <c r="D196">
        <v>1468.3118668596001</v>
      </c>
      <c r="E196">
        <v>637.24457308248998</v>
      </c>
      <c r="F196">
        <v>141.10499637944</v>
      </c>
      <c r="G196">
        <v>118.5887038378</v>
      </c>
      <c r="I196" s="9">
        <f t="shared" si="22"/>
        <v>518.65586924468994</v>
      </c>
      <c r="J196" s="9">
        <f t="shared" si="23"/>
        <v>1327.20687048016</v>
      </c>
      <c r="K196" s="9">
        <f t="shared" si="24"/>
        <v>518.65586924468994</v>
      </c>
      <c r="L196" s="10">
        <f t="shared" si="21"/>
        <v>0.39078751080986296</v>
      </c>
      <c r="M196" s="10">
        <f t="shared" si="20"/>
        <v>0.39998363782361307</v>
      </c>
      <c r="P196" s="8">
        <f t="shared" si="25"/>
        <v>74.21127013733485</v>
      </c>
    </row>
    <row r="197" spans="1:16" x14ac:dyDescent="0.2">
      <c r="A197" s="8">
        <v>97.5</v>
      </c>
      <c r="B197" s="8">
        <v>195</v>
      </c>
      <c r="D197">
        <v>1500.2973950795999</v>
      </c>
      <c r="E197">
        <v>643.00868306801999</v>
      </c>
      <c r="F197">
        <v>141.80811006517001</v>
      </c>
      <c r="G197">
        <v>119.07096307024</v>
      </c>
      <c r="I197" s="9">
        <f t="shared" si="22"/>
        <v>523.93771999778005</v>
      </c>
      <c r="J197" s="9">
        <f t="shared" si="23"/>
        <v>1358.4892850144299</v>
      </c>
      <c r="K197" s="9">
        <f t="shared" si="24"/>
        <v>523.93771999778005</v>
      </c>
      <c r="L197" s="10">
        <f t="shared" si="21"/>
        <v>0.38567674090430148</v>
      </c>
      <c r="M197" s="10">
        <f t="shared" si="20"/>
        <v>0.39492027063461732</v>
      </c>
      <c r="P197" s="8">
        <f t="shared" si="25"/>
        <v>72.00594085445141</v>
      </c>
    </row>
    <row r="198" spans="1:16" x14ac:dyDescent="0.2">
      <c r="A198" s="8">
        <v>98</v>
      </c>
      <c r="B198" s="8">
        <v>196</v>
      </c>
      <c r="D198">
        <v>1495.2908827786</v>
      </c>
      <c r="E198">
        <v>637.21128798842005</v>
      </c>
      <c r="F198">
        <v>141.75380159305001</v>
      </c>
      <c r="G198">
        <v>119.19768283852</v>
      </c>
      <c r="I198" s="9">
        <f t="shared" si="22"/>
        <v>518.01360514990006</v>
      </c>
      <c r="J198" s="9">
        <f t="shared" si="23"/>
        <v>1353.5370811855501</v>
      </c>
      <c r="K198" s="9">
        <f t="shared" si="24"/>
        <v>518.01360514990006</v>
      </c>
      <c r="L198" s="10">
        <f t="shared" si="21"/>
        <v>0.38271105561155144</v>
      </c>
      <c r="M198" s="10">
        <f t="shared" si="20"/>
        <v>0.392001988058433</v>
      </c>
      <c r="P198" s="8">
        <f t="shared" si="25"/>
        <v>70.7348945762011</v>
      </c>
    </row>
    <row r="199" spans="1:16" x14ac:dyDescent="0.2">
      <c r="A199" s="8">
        <v>98.5</v>
      </c>
      <c r="B199" s="8">
        <v>197</v>
      </c>
      <c r="D199">
        <v>1464.1022318215</v>
      </c>
      <c r="E199">
        <v>626.32685385168998</v>
      </c>
      <c r="F199">
        <v>141.98769007965001</v>
      </c>
      <c r="G199">
        <v>118.9717595945</v>
      </c>
      <c r="I199" s="9">
        <f t="shared" si="22"/>
        <v>507.35509425718999</v>
      </c>
      <c r="J199" s="9">
        <f t="shared" si="23"/>
        <v>1322.11454174185</v>
      </c>
      <c r="K199" s="9">
        <f t="shared" si="24"/>
        <v>507.35509425718999</v>
      </c>
      <c r="L199" s="10">
        <f t="shared" si="21"/>
        <v>0.38374518866479107</v>
      </c>
      <c r="M199" s="10">
        <f t="shared" si="20"/>
        <v>0.39308352382823836</v>
      </c>
      <c r="P199" s="8">
        <f t="shared" si="25"/>
        <v>71.205953145451474</v>
      </c>
    </row>
    <row r="200" spans="1:16" x14ac:dyDescent="0.2">
      <c r="A200" s="8">
        <v>99</v>
      </c>
      <c r="B200" s="8">
        <v>198</v>
      </c>
      <c r="D200">
        <v>1451.7904967602999</v>
      </c>
      <c r="E200">
        <v>618.70914326853995</v>
      </c>
      <c r="F200">
        <v>141.57422157856999</v>
      </c>
      <c r="G200">
        <v>119.22302679217999</v>
      </c>
      <c r="I200" s="9">
        <f t="shared" si="22"/>
        <v>499.48611647635994</v>
      </c>
      <c r="J200" s="9">
        <f t="shared" si="23"/>
        <v>1310.21627518173</v>
      </c>
      <c r="K200" s="9">
        <f t="shared" si="24"/>
        <v>499.48611647635994</v>
      </c>
      <c r="L200" s="10">
        <f t="shared" si="21"/>
        <v>0.38122417339616704</v>
      </c>
      <c r="M200" s="10">
        <f t="shared" si="20"/>
        <v>0.39060991127618006</v>
      </c>
      <c r="P200" s="8">
        <f t="shared" si="25"/>
        <v>70.128581113769101</v>
      </c>
    </row>
    <row r="201" spans="1:16" x14ac:dyDescent="0.2">
      <c r="A201" s="8">
        <v>99.5</v>
      </c>
      <c r="B201" s="8">
        <v>199</v>
      </c>
      <c r="D201">
        <v>1431.9042476602001</v>
      </c>
      <c r="E201">
        <v>605.49316054715996</v>
      </c>
      <c r="F201">
        <v>142.14047791455999</v>
      </c>
      <c r="G201">
        <v>118.98189717596</v>
      </c>
      <c r="I201" s="9">
        <f t="shared" si="22"/>
        <v>486.51126337119996</v>
      </c>
      <c r="J201" s="9">
        <f t="shared" si="23"/>
        <v>1289.76376974564</v>
      </c>
      <c r="K201" s="9">
        <f t="shared" si="24"/>
        <v>486.51126337119996</v>
      </c>
      <c r="L201" s="10">
        <f t="shared" si="21"/>
        <v>0.37720959045635694</v>
      </c>
      <c r="M201" s="10">
        <f t="shared" si="20"/>
        <v>0.38664273105293567</v>
      </c>
      <c r="P201" s="8">
        <f t="shared" si="25"/>
        <v>68.40069166980166</v>
      </c>
    </row>
    <row r="202" spans="1:16" x14ac:dyDescent="0.2">
      <c r="A202" s="8">
        <v>100</v>
      </c>
      <c r="B202" s="8">
        <v>200</v>
      </c>
      <c r="D202">
        <v>1420.5046796255999</v>
      </c>
      <c r="E202">
        <v>596.43988480921996</v>
      </c>
      <c r="F202">
        <v>142.06372194062001</v>
      </c>
      <c r="G202">
        <v>119.23823316437</v>
      </c>
      <c r="I202" s="9">
        <f t="shared" si="22"/>
        <v>477.20165164484996</v>
      </c>
      <c r="J202" s="9">
        <f t="shared" si="23"/>
        <v>1278.4409576849798</v>
      </c>
      <c r="K202" s="9">
        <f t="shared" si="24"/>
        <v>477.20165164484996</v>
      </c>
      <c r="L202" s="10">
        <f t="shared" si="21"/>
        <v>0.3732684319727787</v>
      </c>
      <c r="M202" s="10">
        <f t="shared" si="20"/>
        <v>0.38274897528592311</v>
      </c>
      <c r="P202" s="8">
        <f t="shared" si="25"/>
        <v>66.7047819534273</v>
      </c>
    </row>
    <row r="203" spans="1:16" x14ac:dyDescent="0.2">
      <c r="A203" s="8">
        <v>100.5</v>
      </c>
      <c r="B203" s="8">
        <v>201</v>
      </c>
      <c r="D203">
        <v>1457.553868402</v>
      </c>
      <c r="E203">
        <v>604.37093275487996</v>
      </c>
      <c r="F203">
        <v>142.11006517017</v>
      </c>
      <c r="G203">
        <v>119.00868935554</v>
      </c>
      <c r="I203" s="9">
        <f t="shared" si="22"/>
        <v>485.36224339933995</v>
      </c>
      <c r="J203" s="9">
        <f t="shared" si="23"/>
        <v>1315.4438032318301</v>
      </c>
      <c r="K203" s="9">
        <f t="shared" si="24"/>
        <v>485.36224339933995</v>
      </c>
      <c r="L203" s="10">
        <f t="shared" si="21"/>
        <v>0.36897223751169328</v>
      </c>
      <c r="M203" s="10">
        <f t="shared" si="20"/>
        <v>0.37850018354140341</v>
      </c>
      <c r="P203" s="8">
        <f t="shared" si="25"/>
        <v>64.854237740195714</v>
      </c>
    </row>
    <row r="204" spans="1:16" x14ac:dyDescent="0.2">
      <c r="A204" s="8">
        <v>101</v>
      </c>
      <c r="B204" s="8">
        <v>202</v>
      </c>
      <c r="D204">
        <v>1457.4562545192</v>
      </c>
      <c r="E204">
        <v>603.07086044829998</v>
      </c>
      <c r="F204">
        <v>142.25126719767999</v>
      </c>
      <c r="G204">
        <v>119.23388848659999</v>
      </c>
      <c r="I204" s="9">
        <f t="shared" si="22"/>
        <v>483.83697196169999</v>
      </c>
      <c r="J204" s="9">
        <f t="shared" si="23"/>
        <v>1315.2049873215201</v>
      </c>
      <c r="K204" s="9">
        <f t="shared" si="24"/>
        <v>483.83697196169999</v>
      </c>
      <c r="L204" s="10">
        <f t="shared" si="21"/>
        <v>0.36787951431590743</v>
      </c>
      <c r="M204" s="10">
        <f t="shared" si="20"/>
        <v>0.37745486306218329</v>
      </c>
      <c r="P204" s="8">
        <f t="shared" si="25"/>
        <v>64.398952595592348</v>
      </c>
    </row>
    <row r="205" spans="1:16" x14ac:dyDescent="0.2">
      <c r="A205" s="8">
        <v>101.5</v>
      </c>
      <c r="B205" s="8">
        <v>203</v>
      </c>
      <c r="D205">
        <v>1453.003615329</v>
      </c>
      <c r="E205">
        <v>602.97324656544004</v>
      </c>
      <c r="F205">
        <v>141.70963070239</v>
      </c>
      <c r="G205">
        <v>119.27081824765</v>
      </c>
      <c r="I205" s="9">
        <f t="shared" si="22"/>
        <v>483.70242831779001</v>
      </c>
      <c r="J205" s="9">
        <f t="shared" si="23"/>
        <v>1311.2939846266099</v>
      </c>
      <c r="K205" s="9">
        <f t="shared" si="24"/>
        <v>483.70242831779001</v>
      </c>
      <c r="L205" s="10">
        <f t="shared" si="21"/>
        <v>0.36887413043042666</v>
      </c>
      <c r="M205" s="10">
        <f t="shared" si="20"/>
        <v>0.37849688189326824</v>
      </c>
      <c r="P205" s="8">
        <f t="shared" si="25"/>
        <v>64.852799720584969</v>
      </c>
    </row>
    <row r="206" spans="1:16" x14ac:dyDescent="0.2">
      <c r="A206" s="8">
        <v>102</v>
      </c>
      <c r="B206" s="8">
        <v>204</v>
      </c>
      <c r="D206">
        <v>1465.4157628344001</v>
      </c>
      <c r="E206">
        <v>607.85538684020003</v>
      </c>
      <c r="F206">
        <v>141.85155684287</v>
      </c>
      <c r="G206">
        <v>119.5358435916</v>
      </c>
      <c r="I206" s="9">
        <f t="shared" si="22"/>
        <v>488.31954324860004</v>
      </c>
      <c r="J206" s="9">
        <f t="shared" si="23"/>
        <v>1323.5642059915301</v>
      </c>
      <c r="K206" s="9">
        <f t="shared" si="24"/>
        <v>488.31954324860004</v>
      </c>
      <c r="L206" s="10">
        <f t="shared" si="21"/>
        <v>0.36894284465994764</v>
      </c>
      <c r="M206" s="10">
        <f t="shared" si="20"/>
        <v>0.37861299883935495</v>
      </c>
      <c r="P206" s="8">
        <f t="shared" si="25"/>
        <v>64.903373991003377</v>
      </c>
    </row>
    <row r="207" spans="1:16" x14ac:dyDescent="0.2">
      <c r="A207" s="8">
        <v>102.5</v>
      </c>
      <c r="B207" s="8">
        <v>205</v>
      </c>
      <c r="D207">
        <v>1490.7274041938001</v>
      </c>
      <c r="E207">
        <v>618.42950108460002</v>
      </c>
      <c r="F207">
        <v>142.24112961622001</v>
      </c>
      <c r="G207">
        <v>119.29109341057</v>
      </c>
      <c r="I207" s="9">
        <f t="shared" si="22"/>
        <v>499.13840767403002</v>
      </c>
      <c r="J207" s="9">
        <f t="shared" si="23"/>
        <v>1348.4862745775802</v>
      </c>
      <c r="K207" s="9">
        <f t="shared" si="24"/>
        <v>499.13840767403002</v>
      </c>
      <c r="L207" s="10">
        <f t="shared" si="21"/>
        <v>0.37014719176907274</v>
      </c>
      <c r="M207" s="10">
        <f t="shared" si="20"/>
        <v>0.37986474866504577</v>
      </c>
      <c r="P207" s="8">
        <f t="shared" si="25"/>
        <v>65.448568609999143</v>
      </c>
    </row>
    <row r="208" spans="1:16" x14ac:dyDescent="0.2">
      <c r="A208" s="8">
        <v>103</v>
      </c>
      <c r="B208" s="8">
        <v>206</v>
      </c>
      <c r="D208">
        <v>1513.3868402025</v>
      </c>
      <c r="E208">
        <v>626.34924078091001</v>
      </c>
      <c r="F208">
        <v>142.25850832730001</v>
      </c>
      <c r="G208">
        <v>118.88196958726</v>
      </c>
      <c r="I208" s="9">
        <f t="shared" si="22"/>
        <v>507.46727119364999</v>
      </c>
      <c r="J208" s="9">
        <f t="shared" si="23"/>
        <v>1371.1283318752</v>
      </c>
      <c r="K208" s="9">
        <f t="shared" si="24"/>
        <v>507.46727119364999</v>
      </c>
      <c r="L208" s="10">
        <f t="shared" si="21"/>
        <v>0.3701092446245503</v>
      </c>
      <c r="M208" s="10">
        <f t="shared" si="20"/>
        <v>0.37987420423708906</v>
      </c>
      <c r="P208" s="8">
        <f t="shared" si="25"/>
        <v>65.452686946500364</v>
      </c>
    </row>
    <row r="209" spans="1:16" x14ac:dyDescent="0.2">
      <c r="A209" s="8">
        <v>103.5</v>
      </c>
      <c r="B209" s="8">
        <v>207</v>
      </c>
      <c r="D209">
        <v>1510.2027516293001</v>
      </c>
      <c r="E209">
        <v>625.77335264300996</v>
      </c>
      <c r="F209">
        <v>142.20275162925</v>
      </c>
      <c r="G209">
        <v>118.88631426502999</v>
      </c>
      <c r="I209" s="9">
        <f t="shared" si="22"/>
        <v>506.88703837797993</v>
      </c>
      <c r="J209" s="9">
        <f t="shared" si="23"/>
        <v>1368.00000000005</v>
      </c>
      <c r="K209" s="9">
        <f t="shared" si="24"/>
        <v>506.88703837797993</v>
      </c>
      <c r="L209" s="10">
        <f t="shared" si="21"/>
        <v>0.37053146080260335</v>
      </c>
      <c r="M209" s="10">
        <f t="shared" si="20"/>
        <v>0.38034382313170784</v>
      </c>
      <c r="P209" s="8">
        <f t="shared" si="25"/>
        <v>65.65722757360497</v>
      </c>
    </row>
    <row r="210" spans="1:16" x14ac:dyDescent="0.2">
      <c r="A210" s="8">
        <v>104</v>
      </c>
      <c r="B210" s="8">
        <v>208</v>
      </c>
      <c r="D210">
        <v>1481.7168718319999</v>
      </c>
      <c r="E210">
        <v>623.81969587256003</v>
      </c>
      <c r="F210">
        <v>142.32005792903999</v>
      </c>
      <c r="G210">
        <v>119.01448225922999</v>
      </c>
      <c r="I210" s="9">
        <f t="shared" si="22"/>
        <v>504.80521361333001</v>
      </c>
      <c r="J210" s="9">
        <f t="shared" si="23"/>
        <v>1339.3968139029598</v>
      </c>
      <c r="K210" s="9">
        <f t="shared" si="24"/>
        <v>504.80521361333001</v>
      </c>
      <c r="L210" s="10">
        <f t="shared" si="21"/>
        <v>0.37688996149120563</v>
      </c>
      <c r="M210" s="10">
        <f t="shared" si="20"/>
        <v>0.38674972653687584</v>
      </c>
      <c r="P210" s="8">
        <f t="shared" si="25"/>
        <v>68.44729312394513</v>
      </c>
    </row>
    <row r="211" spans="1:16" x14ac:dyDescent="0.2">
      <c r="A211" s="8">
        <v>104.5</v>
      </c>
      <c r="B211" s="8">
        <v>209</v>
      </c>
      <c r="D211">
        <v>1466.2461984070001</v>
      </c>
      <c r="E211">
        <v>614.38088341780997</v>
      </c>
      <c r="F211">
        <v>142.15496017378999</v>
      </c>
      <c r="G211">
        <v>119.0999275887</v>
      </c>
      <c r="I211" s="9">
        <f t="shared" si="22"/>
        <v>495.28095582910998</v>
      </c>
      <c r="J211" s="9">
        <f t="shared" si="23"/>
        <v>1324.0912382332101</v>
      </c>
      <c r="K211" s="9">
        <f t="shared" si="24"/>
        <v>495.28095582910998</v>
      </c>
      <c r="L211" s="10">
        <f t="shared" si="21"/>
        <v>0.37405349535428079</v>
      </c>
      <c r="M211" s="10">
        <f t="shared" si="20"/>
        <v>0.38396066311651672</v>
      </c>
      <c r="P211" s="8">
        <f t="shared" si="25"/>
        <v>67.232527731045209</v>
      </c>
    </row>
    <row r="212" spans="1:16" x14ac:dyDescent="0.2">
      <c r="A212" s="8">
        <v>105</v>
      </c>
      <c r="B212" s="8">
        <v>210</v>
      </c>
      <c r="D212">
        <v>1452.5307748009</v>
      </c>
      <c r="E212">
        <v>613.67342505430997</v>
      </c>
      <c r="F212">
        <v>141.76321506155</v>
      </c>
      <c r="G212">
        <v>119.17378711079</v>
      </c>
      <c r="I212" s="9">
        <f t="shared" si="22"/>
        <v>494.49963794351999</v>
      </c>
      <c r="J212" s="9">
        <f t="shared" si="23"/>
        <v>1310.76755973935</v>
      </c>
      <c r="K212" s="9">
        <f t="shared" si="24"/>
        <v>494.49963794351999</v>
      </c>
      <c r="L212" s="10">
        <f t="shared" si="21"/>
        <v>0.37725959440272744</v>
      </c>
      <c r="M212" s="10">
        <f t="shared" si="20"/>
        <v>0.3872141648815291</v>
      </c>
      <c r="P212" s="8">
        <f t="shared" si="25"/>
        <v>68.64957738327827</v>
      </c>
    </row>
    <row r="213" spans="1:16" x14ac:dyDescent="0.2">
      <c r="A213" s="8">
        <v>105.5</v>
      </c>
      <c r="B213" s="8">
        <v>211</v>
      </c>
      <c r="D213">
        <v>1470.3959243085999</v>
      </c>
      <c r="E213">
        <v>614.38427947597995</v>
      </c>
      <c r="F213">
        <v>141.99782766112</v>
      </c>
      <c r="G213">
        <v>119.63287472846</v>
      </c>
      <c r="I213" s="9">
        <f t="shared" si="22"/>
        <v>494.75140474751993</v>
      </c>
      <c r="J213" s="9">
        <f t="shared" si="23"/>
        <v>1328.3980966474799</v>
      </c>
      <c r="K213" s="9">
        <f t="shared" si="24"/>
        <v>494.75140474751993</v>
      </c>
      <c r="L213" s="10">
        <f t="shared" si="21"/>
        <v>0.37244212107510516</v>
      </c>
      <c r="M213" s="10">
        <f t="shared" si="20"/>
        <v>0.38244409427047255</v>
      </c>
      <c r="P213" s="8">
        <f t="shared" si="25"/>
        <v>66.571992249249874</v>
      </c>
    </row>
    <row r="214" spans="1:16" x14ac:dyDescent="0.2">
      <c r="A214" s="8">
        <v>106</v>
      </c>
      <c r="B214" s="8">
        <v>212</v>
      </c>
      <c r="D214">
        <v>1468.8289665211</v>
      </c>
      <c r="E214">
        <v>615.39737991265997</v>
      </c>
      <c r="F214">
        <v>142.58435916003</v>
      </c>
      <c r="G214">
        <v>119.08834178132</v>
      </c>
      <c r="I214" s="9">
        <f t="shared" si="22"/>
        <v>496.30903813134</v>
      </c>
      <c r="J214" s="9">
        <f t="shared" si="23"/>
        <v>1326.2446073610699</v>
      </c>
      <c r="K214" s="9">
        <f t="shared" si="24"/>
        <v>496.30903813134</v>
      </c>
      <c r="L214" s="10">
        <f t="shared" si="21"/>
        <v>0.37422134301370241</v>
      </c>
      <c r="M214" s="10">
        <f t="shared" si="20"/>
        <v>0.38427071892563552</v>
      </c>
      <c r="P214" s="8">
        <f t="shared" si="25"/>
        <v>67.367571295861879</v>
      </c>
    </row>
    <row r="215" spans="1:16" x14ac:dyDescent="0.2">
      <c r="A215" s="8">
        <v>106.5</v>
      </c>
      <c r="B215" s="8">
        <v>213</v>
      </c>
      <c r="D215">
        <v>1474.0283842795</v>
      </c>
      <c r="E215">
        <v>612.88427947597995</v>
      </c>
      <c r="F215">
        <v>142.4735698769</v>
      </c>
      <c r="G215">
        <v>119.1433743664</v>
      </c>
      <c r="I215" s="9">
        <f t="shared" si="22"/>
        <v>493.74090510957996</v>
      </c>
      <c r="J215" s="9">
        <f t="shared" si="23"/>
        <v>1331.5548144026</v>
      </c>
      <c r="K215" s="9">
        <f t="shared" si="24"/>
        <v>493.74090510957996</v>
      </c>
      <c r="L215" s="10">
        <f t="shared" si="21"/>
        <v>0.3708002853274171</v>
      </c>
      <c r="M215" s="10">
        <f t="shared" si="20"/>
        <v>0.38089706395591594</v>
      </c>
      <c r="P215" s="8">
        <f t="shared" si="25"/>
        <v>65.898189396947416</v>
      </c>
    </row>
    <row r="216" spans="1:16" x14ac:dyDescent="0.2">
      <c r="A216" s="8">
        <v>107</v>
      </c>
      <c r="B216" s="8">
        <v>214</v>
      </c>
      <c r="D216">
        <v>1458.1098981077</v>
      </c>
      <c r="E216">
        <v>606.18558951964997</v>
      </c>
      <c r="F216">
        <v>142.71180304127</v>
      </c>
      <c r="G216">
        <v>118.89645184649</v>
      </c>
      <c r="I216" s="9">
        <f t="shared" si="22"/>
        <v>487.28913767315998</v>
      </c>
      <c r="J216" s="9">
        <f t="shared" si="23"/>
        <v>1315.39809506643</v>
      </c>
      <c r="K216" s="9">
        <f t="shared" si="24"/>
        <v>487.28913767315998</v>
      </c>
      <c r="L216" s="10">
        <f t="shared" si="21"/>
        <v>0.37044993413081612</v>
      </c>
      <c r="M216" s="10">
        <f t="shared" si="20"/>
        <v>0.38059411547588068</v>
      </c>
      <c r="P216" s="8">
        <f t="shared" si="25"/>
        <v>65.76624140082366</v>
      </c>
    </row>
    <row r="217" spans="1:16" x14ac:dyDescent="0.2">
      <c r="A217" s="8">
        <v>107.5</v>
      </c>
      <c r="B217" s="8">
        <v>215</v>
      </c>
      <c r="D217">
        <v>1452.6382823872</v>
      </c>
      <c r="E217">
        <v>605.46724890830001</v>
      </c>
      <c r="F217">
        <v>142.16727009414001</v>
      </c>
      <c r="G217">
        <v>119.14265025344</v>
      </c>
      <c r="I217" s="9">
        <f t="shared" si="22"/>
        <v>486.32459865485998</v>
      </c>
      <c r="J217" s="9">
        <f t="shared" si="23"/>
        <v>1310.4710122930601</v>
      </c>
      <c r="K217" s="9">
        <f t="shared" si="24"/>
        <v>486.32459865485998</v>
      </c>
      <c r="L217" s="10">
        <f t="shared" si="21"/>
        <v>0.37110671971590581</v>
      </c>
      <c r="M217" s="10">
        <f t="shared" si="20"/>
        <v>0.3812983037775361</v>
      </c>
      <c r="P217" s="8">
        <f t="shared" si="25"/>
        <v>66.072947792901971</v>
      </c>
    </row>
    <row r="218" spans="1:16" x14ac:dyDescent="0.2">
      <c r="A218" s="8">
        <v>108</v>
      </c>
      <c r="B218" s="8">
        <v>216</v>
      </c>
      <c r="D218">
        <v>1456.2583697233999</v>
      </c>
      <c r="E218">
        <v>607.67467248907997</v>
      </c>
      <c r="F218">
        <v>142.81897175959</v>
      </c>
      <c r="G218">
        <v>119.14844315713</v>
      </c>
      <c r="I218" s="9">
        <f t="shared" si="22"/>
        <v>488.52622933194993</v>
      </c>
      <c r="J218" s="9">
        <f t="shared" si="23"/>
        <v>1313.4393979638098</v>
      </c>
      <c r="K218" s="9">
        <f t="shared" si="24"/>
        <v>488.52622933194993</v>
      </c>
      <c r="L218" s="10">
        <f t="shared" si="21"/>
        <v>0.37194424812389454</v>
      </c>
      <c r="M218" s="10">
        <f t="shared" si="20"/>
        <v>0.38218323490209055</v>
      </c>
      <c r="P218" s="8">
        <f t="shared" si="25"/>
        <v>66.458375996994363</v>
      </c>
    </row>
    <row r="219" spans="1:16" x14ac:dyDescent="0.2">
      <c r="A219" s="8">
        <v>108.5</v>
      </c>
      <c r="B219" s="8">
        <v>217</v>
      </c>
      <c r="D219">
        <v>1436.2358078602999</v>
      </c>
      <c r="E219">
        <v>601.53711790393004</v>
      </c>
      <c r="F219">
        <v>141.9094858798</v>
      </c>
      <c r="G219">
        <v>119.32657494569</v>
      </c>
      <c r="I219" s="9">
        <f t="shared" si="22"/>
        <v>482.21054295824001</v>
      </c>
      <c r="J219" s="9">
        <f t="shared" si="23"/>
        <v>1294.3263219804999</v>
      </c>
      <c r="K219" s="9">
        <f t="shared" si="24"/>
        <v>482.21054295824001</v>
      </c>
      <c r="L219" s="10">
        <f t="shared" si="21"/>
        <v>0.37255716334377764</v>
      </c>
      <c r="M219" s="10">
        <f t="shared" si="20"/>
        <v>0.38284355283853932</v>
      </c>
      <c r="P219" s="8">
        <f t="shared" si="25"/>
        <v>66.745974827359348</v>
      </c>
    </row>
    <row r="220" spans="1:16" x14ac:dyDescent="0.2">
      <c r="A220" s="8">
        <v>109</v>
      </c>
      <c r="B220" s="8">
        <v>218</v>
      </c>
      <c r="D220">
        <v>1454.0305676856001</v>
      </c>
      <c r="E220">
        <v>600.65720524018002</v>
      </c>
      <c r="F220">
        <v>141.74873280232001</v>
      </c>
      <c r="G220">
        <v>119.51267197683001</v>
      </c>
      <c r="I220" s="9">
        <f t="shared" si="22"/>
        <v>481.14453326335001</v>
      </c>
      <c r="J220" s="9">
        <f t="shared" si="23"/>
        <v>1312.28183488328</v>
      </c>
      <c r="K220" s="9">
        <f t="shared" si="24"/>
        <v>481.14453326335001</v>
      </c>
      <c r="L220" s="10">
        <f t="shared" si="21"/>
        <v>0.36664725554640104</v>
      </c>
      <c r="M220" s="10">
        <f t="shared" si="20"/>
        <v>0.37698104775772845</v>
      </c>
      <c r="P220" s="8">
        <f t="shared" si="25"/>
        <v>64.192584239004759</v>
      </c>
    </row>
    <row r="221" spans="1:16" x14ac:dyDescent="0.2">
      <c r="A221" s="8">
        <v>109.5</v>
      </c>
      <c r="B221" s="8">
        <v>219</v>
      </c>
      <c r="D221">
        <v>1469.8966521105999</v>
      </c>
      <c r="E221">
        <v>600.36535662300003</v>
      </c>
      <c r="F221">
        <v>142.4735698769</v>
      </c>
      <c r="G221">
        <v>119.77480086894001</v>
      </c>
      <c r="I221" s="9">
        <f t="shared" si="22"/>
        <v>480.59055575406001</v>
      </c>
      <c r="J221" s="9">
        <f t="shared" si="23"/>
        <v>1327.4230822336999</v>
      </c>
      <c r="K221" s="9">
        <f t="shared" si="24"/>
        <v>480.59055575406001</v>
      </c>
      <c r="L221" s="10">
        <f t="shared" si="21"/>
        <v>0.36204776170183356</v>
      </c>
      <c r="M221" s="10">
        <f t="shared" si="20"/>
        <v>0.37242895662972669</v>
      </c>
      <c r="P221" s="8">
        <f t="shared" si="25"/>
        <v>62.209939195059761</v>
      </c>
    </row>
    <row r="222" spans="1:16" x14ac:dyDescent="0.2">
      <c r="A222" s="8">
        <v>110</v>
      </c>
      <c r="B222" s="8">
        <v>220</v>
      </c>
      <c r="D222">
        <v>1469.3508005822</v>
      </c>
      <c r="E222">
        <v>593.37554585152998</v>
      </c>
      <c r="F222">
        <v>142.61549601738</v>
      </c>
      <c r="G222">
        <v>119.37509051412</v>
      </c>
      <c r="I222" s="9">
        <f t="shared" si="22"/>
        <v>474.00045533740996</v>
      </c>
      <c r="J222" s="9">
        <f t="shared" si="23"/>
        <v>1326.7353045648201</v>
      </c>
      <c r="K222" s="9">
        <f t="shared" si="24"/>
        <v>474.00045533740996</v>
      </c>
      <c r="L222" s="10">
        <f t="shared" si="21"/>
        <v>0.35726829135136789</v>
      </c>
      <c r="M222" s="10">
        <f t="shared" si="20"/>
        <v>0.36769688899582675</v>
      </c>
      <c r="P222" s="8">
        <f t="shared" si="25"/>
        <v>60.148906105398666</v>
      </c>
    </row>
    <row r="223" spans="1:16" x14ac:dyDescent="0.2">
      <c r="A223" s="8">
        <v>110.5</v>
      </c>
      <c r="B223" s="8">
        <v>221</v>
      </c>
      <c r="D223">
        <v>1475.1804949054001</v>
      </c>
      <c r="E223">
        <v>594.89592430859</v>
      </c>
      <c r="F223">
        <v>142.81824764663</v>
      </c>
      <c r="G223">
        <v>119.16799420709999</v>
      </c>
      <c r="I223" s="9">
        <f t="shared" si="22"/>
        <v>475.72793010149002</v>
      </c>
      <c r="J223" s="9">
        <f t="shared" si="23"/>
        <v>1332.3622472587701</v>
      </c>
      <c r="K223" s="9">
        <f t="shared" si="24"/>
        <v>475.72793010149002</v>
      </c>
      <c r="L223" s="10">
        <f t="shared" si="21"/>
        <v>0.35705599665576127</v>
      </c>
      <c r="M223" s="10">
        <f t="shared" si="20"/>
        <v>0.36753199701678585</v>
      </c>
      <c r="P223" s="8">
        <f t="shared" si="25"/>
        <v>60.077088064889615</v>
      </c>
    </row>
    <row r="224" spans="1:16" x14ac:dyDescent="0.2">
      <c r="A224" s="8">
        <v>111</v>
      </c>
      <c r="B224" s="8">
        <v>222</v>
      </c>
      <c r="D224">
        <v>1471.4716157205</v>
      </c>
      <c r="E224">
        <v>589.07569141194006</v>
      </c>
      <c r="F224">
        <v>142.68139029688999</v>
      </c>
      <c r="G224">
        <v>119.62418537292</v>
      </c>
      <c r="I224" s="9">
        <f t="shared" si="22"/>
        <v>469.45150603902005</v>
      </c>
      <c r="J224" s="9">
        <f t="shared" si="23"/>
        <v>1328.7902254236101</v>
      </c>
      <c r="K224" s="9">
        <f t="shared" si="24"/>
        <v>469.45150603902005</v>
      </c>
      <c r="L224" s="10">
        <f t="shared" si="21"/>
        <v>0.35329241369860453</v>
      </c>
      <c r="M224" s="10">
        <f t="shared" si="20"/>
        <v>0.36381581677619484</v>
      </c>
      <c r="P224" s="8">
        <f t="shared" si="25"/>
        <v>58.45852065724452</v>
      </c>
    </row>
    <row r="225" spans="1:16" x14ac:dyDescent="0.2">
      <c r="A225" s="8">
        <v>111.5</v>
      </c>
      <c r="B225" s="8">
        <v>223</v>
      </c>
      <c r="D225">
        <v>1472.1128093159</v>
      </c>
      <c r="E225">
        <v>588.45851528384003</v>
      </c>
      <c r="F225">
        <v>142.62997827660999</v>
      </c>
      <c r="G225">
        <v>119.08761766836</v>
      </c>
      <c r="I225" s="9">
        <f t="shared" si="22"/>
        <v>469.37089761548003</v>
      </c>
      <c r="J225" s="9">
        <f t="shared" si="23"/>
        <v>1329.48283103929</v>
      </c>
      <c r="K225" s="9">
        <f t="shared" si="24"/>
        <v>469.37089761548003</v>
      </c>
      <c r="L225" s="10">
        <f t="shared" si="21"/>
        <v>0.35304773153675184</v>
      </c>
      <c r="M225" s="10">
        <f t="shared" si="20"/>
        <v>0.36361853733090788</v>
      </c>
      <c r="P225" s="8">
        <f t="shared" si="25"/>
        <v>58.37259638563571</v>
      </c>
    </row>
    <row r="226" spans="1:16" x14ac:dyDescent="0.2">
      <c r="A226" s="8">
        <v>112</v>
      </c>
      <c r="B226" s="8">
        <v>224</v>
      </c>
      <c r="D226">
        <v>1435.7409024745</v>
      </c>
      <c r="E226">
        <v>576.97816593887001</v>
      </c>
      <c r="F226">
        <v>142.12309920348</v>
      </c>
      <c r="G226">
        <v>118.82259232440001</v>
      </c>
      <c r="I226" s="9">
        <f t="shared" si="22"/>
        <v>458.15557361446997</v>
      </c>
      <c r="J226" s="9">
        <f t="shared" si="23"/>
        <v>1293.61780327102</v>
      </c>
      <c r="K226" s="9">
        <f t="shared" si="24"/>
        <v>458.15557361446997</v>
      </c>
      <c r="L226" s="10">
        <f t="shared" si="21"/>
        <v>0.35416610103539514</v>
      </c>
      <c r="M226" s="10">
        <f t="shared" si="20"/>
        <v>0.3647843095461169</v>
      </c>
      <c r="P226" s="8">
        <f t="shared" si="25"/>
        <v>58.880343801023585</v>
      </c>
    </row>
    <row r="227" spans="1:16" x14ac:dyDescent="0.2">
      <c r="A227" s="8">
        <v>112.5</v>
      </c>
      <c r="B227" s="8">
        <v>225</v>
      </c>
      <c r="D227">
        <v>1419.5516739447</v>
      </c>
      <c r="E227">
        <v>566.37190684133998</v>
      </c>
      <c r="F227">
        <v>142.17233888486999</v>
      </c>
      <c r="G227">
        <v>119.52280955829001</v>
      </c>
      <c r="I227" s="9">
        <f t="shared" si="22"/>
        <v>446.84909728304996</v>
      </c>
      <c r="J227" s="9">
        <f t="shared" si="23"/>
        <v>1277.3793350598301</v>
      </c>
      <c r="K227" s="9">
        <f t="shared" si="24"/>
        <v>446.84909728304996</v>
      </c>
      <c r="L227" s="10">
        <f t="shared" si="21"/>
        <v>0.34981707079371249</v>
      </c>
      <c r="M227" s="10">
        <f t="shared" si="20"/>
        <v>0.36048268202099998</v>
      </c>
      <c r="P227" s="8">
        <f t="shared" si="25"/>
        <v>57.006787175342787</v>
      </c>
    </row>
    <row r="228" spans="1:16" x14ac:dyDescent="0.2">
      <c r="A228" s="8">
        <v>113</v>
      </c>
      <c r="B228" s="8">
        <v>226</v>
      </c>
      <c r="D228">
        <v>1416.1834061135</v>
      </c>
      <c r="E228">
        <v>560.25764192140002</v>
      </c>
      <c r="F228">
        <v>142.61622013034</v>
      </c>
      <c r="G228">
        <v>119.19840695148</v>
      </c>
      <c r="I228" s="9">
        <f t="shared" si="22"/>
        <v>441.05923496992</v>
      </c>
      <c r="J228" s="9">
        <f t="shared" si="23"/>
        <v>1273.56718598316</v>
      </c>
      <c r="K228" s="9">
        <f t="shared" si="24"/>
        <v>441.05923496992</v>
      </c>
      <c r="L228" s="10">
        <f t="shared" si="21"/>
        <v>0.34631799548873743</v>
      </c>
      <c r="M228" s="10">
        <f t="shared" si="20"/>
        <v>0.35703100943259064</v>
      </c>
      <c r="P228" s="8">
        <f t="shared" si="25"/>
        <v>55.503425015338173</v>
      </c>
    </row>
    <row r="229" spans="1:16" x14ac:dyDescent="0.2">
      <c r="A229" s="8">
        <v>113.5</v>
      </c>
      <c r="B229" s="8">
        <v>227</v>
      </c>
      <c r="D229">
        <v>1407.9330422124999</v>
      </c>
      <c r="E229">
        <v>552.83697234351996</v>
      </c>
      <c r="F229">
        <v>142.36712527154</v>
      </c>
      <c r="G229">
        <v>119.27443881246001</v>
      </c>
      <c r="I229" s="9">
        <f t="shared" si="22"/>
        <v>433.56253353105996</v>
      </c>
      <c r="J229" s="9">
        <f t="shared" si="23"/>
        <v>1265.5659169409598</v>
      </c>
      <c r="K229" s="9">
        <f t="shared" si="24"/>
        <v>433.56253353105996</v>
      </c>
      <c r="L229" s="10">
        <f t="shared" si="21"/>
        <v>0.34258392054286507</v>
      </c>
      <c r="M229" s="10">
        <f t="shared" si="20"/>
        <v>0.35334433720328401</v>
      </c>
      <c r="P229" s="8">
        <f t="shared" si="25"/>
        <v>53.897709703726406</v>
      </c>
    </row>
    <row r="230" spans="1:16" x14ac:dyDescent="0.2">
      <c r="A230" s="8">
        <v>114</v>
      </c>
      <c r="B230" s="8">
        <v>228</v>
      </c>
      <c r="D230">
        <v>1403.2809315866</v>
      </c>
      <c r="E230">
        <v>548.63901018923002</v>
      </c>
      <c r="F230">
        <v>142.09703113686001</v>
      </c>
      <c r="G230">
        <v>119.47646632875001</v>
      </c>
      <c r="I230" s="9">
        <f t="shared" si="22"/>
        <v>429.16254386048001</v>
      </c>
      <c r="J230" s="9">
        <f t="shared" si="23"/>
        <v>1261.1839004497399</v>
      </c>
      <c r="K230" s="9">
        <f t="shared" si="24"/>
        <v>429.16254386048001</v>
      </c>
      <c r="L230" s="10">
        <f t="shared" si="21"/>
        <v>0.34028546012000316</v>
      </c>
      <c r="M230" s="10">
        <f t="shared" si="20"/>
        <v>0.35109327949698782</v>
      </c>
      <c r="P230" s="8">
        <f t="shared" si="25"/>
        <v>52.91727054301446</v>
      </c>
    </row>
    <row r="231" spans="1:16" x14ac:dyDescent="0.2">
      <c r="A231" s="8">
        <v>114.5</v>
      </c>
      <c r="B231" s="8">
        <v>229</v>
      </c>
      <c r="D231">
        <v>1400.3165938865</v>
      </c>
      <c r="E231">
        <v>542.11426491993996</v>
      </c>
      <c r="F231">
        <v>142.22592324403001</v>
      </c>
      <c r="G231">
        <v>119.45039826212999</v>
      </c>
      <c r="I231" s="9">
        <f t="shared" si="22"/>
        <v>422.66386665780999</v>
      </c>
      <c r="J231" s="9">
        <f t="shared" si="23"/>
        <v>1258.0906706424698</v>
      </c>
      <c r="K231" s="9">
        <f t="shared" si="24"/>
        <v>422.66386665780999</v>
      </c>
      <c r="L231" s="10">
        <f t="shared" si="21"/>
        <v>0.33595660195299598</v>
      </c>
      <c r="M231" s="10">
        <f t="shared" si="20"/>
        <v>0.34681182404654637</v>
      </c>
      <c r="P231" s="8">
        <f t="shared" si="25"/>
        <v>51.052499783599693</v>
      </c>
    </row>
    <row r="232" spans="1:16" x14ac:dyDescent="0.2">
      <c r="A232" s="8">
        <v>115</v>
      </c>
      <c r="B232" s="8">
        <v>230</v>
      </c>
      <c r="D232">
        <v>1395.3777292576001</v>
      </c>
      <c r="E232">
        <v>535.67612809315995</v>
      </c>
      <c r="F232">
        <v>142.4018826937</v>
      </c>
      <c r="G232">
        <v>119.05213613324</v>
      </c>
      <c r="I232" s="9">
        <f t="shared" si="22"/>
        <v>416.62399195991998</v>
      </c>
      <c r="J232" s="9">
        <f t="shared" si="23"/>
        <v>1252.9758465639002</v>
      </c>
      <c r="K232" s="9">
        <f t="shared" si="24"/>
        <v>416.62399195991998</v>
      </c>
      <c r="L232" s="10">
        <f t="shared" si="21"/>
        <v>0.33250760028810555</v>
      </c>
      <c r="M232" s="10">
        <f t="shared" si="20"/>
        <v>0.34341022509822167</v>
      </c>
      <c r="P232" s="8">
        <f t="shared" si="25"/>
        <v>49.570946996815962</v>
      </c>
    </row>
    <row r="233" spans="1:16" x14ac:dyDescent="0.2">
      <c r="A233" s="8">
        <v>115.5</v>
      </c>
      <c r="B233" s="8">
        <v>231</v>
      </c>
      <c r="D233">
        <v>1400.5152838428</v>
      </c>
      <c r="E233">
        <v>534.13464337699997</v>
      </c>
      <c r="F233">
        <v>142.35988414193</v>
      </c>
      <c r="G233">
        <v>119.39826212889</v>
      </c>
      <c r="I233" s="9">
        <f t="shared" si="22"/>
        <v>414.73638124810998</v>
      </c>
      <c r="J233" s="9">
        <f t="shared" si="23"/>
        <v>1258.15539970087</v>
      </c>
      <c r="K233" s="9">
        <f t="shared" si="24"/>
        <v>414.73638124810998</v>
      </c>
      <c r="L233" s="10">
        <f t="shared" si="21"/>
        <v>0.32963843842081408</v>
      </c>
      <c r="M233" s="10">
        <f t="shared" si="20"/>
        <v>0.34058846594749592</v>
      </c>
      <c r="P233" s="8">
        <f t="shared" si="25"/>
        <v>48.341941109614247</v>
      </c>
    </row>
    <row r="234" spans="1:16" x14ac:dyDescent="0.2">
      <c r="A234" s="8">
        <v>116</v>
      </c>
      <c r="B234" s="8">
        <v>232</v>
      </c>
      <c r="D234">
        <v>1410.9112081513999</v>
      </c>
      <c r="E234">
        <v>534.1404657933</v>
      </c>
      <c r="F234">
        <v>142.75380159305001</v>
      </c>
      <c r="G234">
        <v>119.18682114409999</v>
      </c>
      <c r="I234" s="9">
        <f t="shared" si="22"/>
        <v>414.95364464919999</v>
      </c>
      <c r="J234" s="9">
        <f t="shared" si="23"/>
        <v>1268.15740655835</v>
      </c>
      <c r="K234" s="9">
        <f t="shared" si="24"/>
        <v>414.95364464919999</v>
      </c>
      <c r="L234" s="10">
        <f t="shared" si="21"/>
        <v>0.32720988932702127</v>
      </c>
      <c r="M234" s="10">
        <f t="shared" si="20"/>
        <v>0.33820731957026884</v>
      </c>
      <c r="P234" s="8">
        <f t="shared" si="25"/>
        <v>47.304842349733036</v>
      </c>
    </row>
    <row r="235" spans="1:16" x14ac:dyDescent="0.2">
      <c r="A235" s="8">
        <v>116.5</v>
      </c>
      <c r="B235" s="8">
        <v>233</v>
      </c>
      <c r="D235">
        <v>1398.4781659389</v>
      </c>
      <c r="E235">
        <v>530.89519650654995</v>
      </c>
      <c r="F235">
        <v>142.93845039825999</v>
      </c>
      <c r="G235">
        <v>119.21506154959999</v>
      </c>
      <c r="I235" s="9">
        <f t="shared" si="22"/>
        <v>411.68013495694993</v>
      </c>
      <c r="J235" s="9">
        <f t="shared" si="23"/>
        <v>1255.5397155406399</v>
      </c>
      <c r="K235" s="9">
        <f t="shared" si="24"/>
        <v>411.68013495694993</v>
      </c>
      <c r="L235" s="10">
        <f t="shared" si="21"/>
        <v>0.32789096980470983</v>
      </c>
      <c r="M235" s="10">
        <f t="shared" si="20"/>
        <v>0.33893580276452312</v>
      </c>
      <c r="P235" s="8">
        <f t="shared" si="25"/>
        <v>47.622130284897793</v>
      </c>
    </row>
    <row r="236" spans="1:16" x14ac:dyDescent="0.2">
      <c r="A236" s="8">
        <v>117</v>
      </c>
      <c r="B236" s="8">
        <v>234</v>
      </c>
      <c r="D236">
        <v>1387.2139737990999</v>
      </c>
      <c r="E236">
        <v>521.77219796215002</v>
      </c>
      <c r="F236">
        <v>141.79145546705001</v>
      </c>
      <c r="G236">
        <v>119.32440260681</v>
      </c>
      <c r="I236" s="9">
        <f t="shared" si="22"/>
        <v>402.44779535534002</v>
      </c>
      <c r="J236" s="9">
        <f t="shared" si="23"/>
        <v>1245.42251833205</v>
      </c>
      <c r="K236" s="9">
        <f t="shared" si="24"/>
        <v>402.44779535534002</v>
      </c>
      <c r="L236" s="10">
        <f t="shared" si="21"/>
        <v>0.32314157599649312</v>
      </c>
      <c r="M236" s="10">
        <f t="shared" si="20"/>
        <v>0.33423381167287214</v>
      </c>
      <c r="P236" s="8">
        <f t="shared" si="25"/>
        <v>45.574196912652745</v>
      </c>
    </row>
    <row r="237" spans="1:16" x14ac:dyDescent="0.2">
      <c r="A237" s="8">
        <v>117.5</v>
      </c>
      <c r="B237" s="8">
        <v>235</v>
      </c>
      <c r="D237">
        <v>1386.15356623</v>
      </c>
      <c r="E237">
        <v>520.03275109169999</v>
      </c>
      <c r="F237">
        <v>142.56915278784001</v>
      </c>
      <c r="G237">
        <v>119.32802317162</v>
      </c>
      <c r="I237" s="9">
        <f t="shared" si="22"/>
        <v>400.70472792008002</v>
      </c>
      <c r="J237" s="9">
        <f t="shared" si="23"/>
        <v>1243.58441344216</v>
      </c>
      <c r="K237" s="9">
        <f t="shared" si="24"/>
        <v>400.70472792008002</v>
      </c>
      <c r="L237" s="10">
        <f t="shared" si="21"/>
        <v>0.32221755402269447</v>
      </c>
      <c r="M237" s="10">
        <f t="shared" si="20"/>
        <v>0.33335719241563916</v>
      </c>
      <c r="P237" s="8">
        <f t="shared" si="25"/>
        <v>45.192388909054486</v>
      </c>
    </row>
    <row r="238" spans="1:16" x14ac:dyDescent="0.2">
      <c r="A238" s="8">
        <v>118</v>
      </c>
      <c r="B238" s="8">
        <v>236</v>
      </c>
      <c r="D238">
        <v>1392.5210144928001</v>
      </c>
      <c r="E238">
        <v>523.42028985507</v>
      </c>
      <c r="F238">
        <v>142.06806661838999</v>
      </c>
      <c r="G238">
        <v>119.44460535844</v>
      </c>
      <c r="I238" s="9">
        <f t="shared" si="22"/>
        <v>403.97568449662998</v>
      </c>
      <c r="J238" s="9">
        <f t="shared" si="23"/>
        <v>1250.45294787441</v>
      </c>
      <c r="K238" s="9">
        <f t="shared" si="24"/>
        <v>403.97568449662998</v>
      </c>
      <c r="L238" s="10">
        <f t="shared" si="21"/>
        <v>0.32306348286301412</v>
      </c>
      <c r="M238" s="10">
        <f t="shared" si="20"/>
        <v>0.33425052397252453</v>
      </c>
      <c r="P238" s="8">
        <f t="shared" si="25"/>
        <v>45.581475887775831</v>
      </c>
    </row>
    <row r="239" spans="1:16" x14ac:dyDescent="0.2">
      <c r="A239" s="8">
        <v>118.5</v>
      </c>
      <c r="B239" s="8">
        <v>237</v>
      </c>
      <c r="D239">
        <v>1411.5</v>
      </c>
      <c r="E239">
        <v>522.15797101449004</v>
      </c>
      <c r="F239">
        <v>142.51991310644999</v>
      </c>
      <c r="G239">
        <v>119.43736422882</v>
      </c>
      <c r="I239" s="9">
        <f t="shared" si="22"/>
        <v>402.72060678567004</v>
      </c>
      <c r="J239" s="9">
        <f t="shared" si="23"/>
        <v>1268.9800868935499</v>
      </c>
      <c r="K239" s="9">
        <f t="shared" si="24"/>
        <v>402.72060678567004</v>
      </c>
      <c r="L239" s="10">
        <f t="shared" si="21"/>
        <v>0.31735770399008068</v>
      </c>
      <c r="M239" s="10">
        <f t="shared" si="20"/>
        <v>0.32859214781615681</v>
      </c>
      <c r="P239" s="8">
        <f t="shared" si="25"/>
        <v>43.116992834220689</v>
      </c>
    </row>
    <row r="240" spans="1:16" x14ac:dyDescent="0.2">
      <c r="A240" s="8">
        <v>119</v>
      </c>
      <c r="B240" s="8">
        <v>238</v>
      </c>
      <c r="D240">
        <v>1425.4333333333</v>
      </c>
      <c r="E240">
        <v>523.22463768115995</v>
      </c>
      <c r="F240">
        <v>142.0905141202</v>
      </c>
      <c r="G240">
        <v>119.31788559015</v>
      </c>
      <c r="I240" s="9">
        <f t="shared" si="22"/>
        <v>403.90675209100993</v>
      </c>
      <c r="J240" s="9">
        <f t="shared" si="23"/>
        <v>1283.3428192131</v>
      </c>
      <c r="K240" s="9">
        <f t="shared" si="24"/>
        <v>403.90675209100993</v>
      </c>
      <c r="L240" s="10">
        <f t="shared" si="21"/>
        <v>0.31473020773877952</v>
      </c>
      <c r="M240" s="10">
        <f t="shared" si="20"/>
        <v>0.32601205428142138</v>
      </c>
      <c r="P240" s="8">
        <f t="shared" si="25"/>
        <v>41.993243437357613</v>
      </c>
    </row>
    <row r="241" spans="1:16" x14ac:dyDescent="0.2">
      <c r="A241" s="8">
        <v>119.5</v>
      </c>
      <c r="B241" s="8">
        <v>239</v>
      </c>
      <c r="D241">
        <v>1424.5884057971</v>
      </c>
      <c r="E241">
        <v>521.38043478261</v>
      </c>
      <c r="F241">
        <v>142.13758146270999</v>
      </c>
      <c r="G241">
        <v>119.0811006517</v>
      </c>
      <c r="I241" s="9">
        <f t="shared" si="22"/>
        <v>402.29933413090998</v>
      </c>
      <c r="J241" s="9">
        <f t="shared" si="23"/>
        <v>1282.4508243343901</v>
      </c>
      <c r="K241" s="9">
        <f t="shared" si="24"/>
        <v>402.29933413090998</v>
      </c>
      <c r="L241" s="10">
        <f t="shared" si="21"/>
        <v>0.31369571955299647</v>
      </c>
      <c r="M241" s="10">
        <f t="shared" si="20"/>
        <v>0.32502496881220405</v>
      </c>
      <c r="P241" s="8">
        <f t="shared" si="25"/>
        <v>41.563322317928495</v>
      </c>
    </row>
    <row r="242" spans="1:16" x14ac:dyDescent="0.2">
      <c r="A242" s="8">
        <v>120</v>
      </c>
      <c r="B242" s="8">
        <v>240</v>
      </c>
      <c r="D242">
        <v>1425.5673913044</v>
      </c>
      <c r="E242">
        <v>520.36086956522001</v>
      </c>
      <c r="F242">
        <v>142.31064446054</v>
      </c>
      <c r="G242">
        <v>119.42143374366</v>
      </c>
      <c r="I242" s="9">
        <f>E242-G242</f>
        <v>400.93943582155998</v>
      </c>
      <c r="J242" s="9">
        <f>D242-F242</f>
        <v>1283.2567468438599</v>
      </c>
      <c r="K242" s="9">
        <f t="shared" si="24"/>
        <v>400.93943582155998</v>
      </c>
      <c r="L242" s="10">
        <f t="shared" si="21"/>
        <v>0.3124389852674932</v>
      </c>
      <c r="M242" s="10">
        <f>L242+ABS($N$2)*A242</f>
        <v>0.32381563724326651</v>
      </c>
      <c r="O242" s="11"/>
      <c r="P242" s="8">
        <f>(M242-$O$2)/$O$2*100</f>
        <v>41.036602800629915</v>
      </c>
    </row>
    <row r="243" spans="1:16" x14ac:dyDescent="0.2">
      <c r="A243" s="8">
        <v>120.5</v>
      </c>
      <c r="B243" s="8">
        <v>241</v>
      </c>
      <c r="D243">
        <v>1424.9862318841001</v>
      </c>
      <c r="E243">
        <v>519.18913043478005</v>
      </c>
      <c r="F243">
        <v>142.30267921795999</v>
      </c>
      <c r="G243">
        <v>119.09847936278</v>
      </c>
      <c r="I243" s="9">
        <f t="shared" ref="I243:I274" si="26">E243-G243</f>
        <v>400.09065107200007</v>
      </c>
      <c r="J243" s="9">
        <f t="shared" ref="J243:J274" si="27">D243-F243</f>
        <v>1282.68355266614</v>
      </c>
      <c r="K243" s="9">
        <f t="shared" si="24"/>
        <v>400.09065107200007</v>
      </c>
      <c r="L243" s="10">
        <f t="shared" si="21"/>
        <v>0.3119168794519786</v>
      </c>
      <c r="M243" s="10">
        <f t="shared" ref="M243:M274" si="28">L243+ABS($N$2)*A243</f>
        <v>0.32334093414431764</v>
      </c>
      <c r="P243" s="8">
        <f t="shared" ref="P243:P274" si="29">(M243-$O$2)/$O$2*100</f>
        <v>40.829847768709129</v>
      </c>
    </row>
    <row r="244" spans="1:16" x14ac:dyDescent="0.2">
      <c r="A244" s="8">
        <v>121</v>
      </c>
      <c r="B244" s="8">
        <v>242</v>
      </c>
      <c r="D244">
        <v>1417.7398550724999</v>
      </c>
      <c r="E244">
        <v>518.08478260870004</v>
      </c>
      <c r="F244">
        <v>142.63866763215</v>
      </c>
      <c r="G244">
        <v>119.21216509776001</v>
      </c>
      <c r="I244" s="9">
        <f t="shared" si="26"/>
        <v>398.87261751094002</v>
      </c>
      <c r="J244" s="9">
        <f t="shared" si="27"/>
        <v>1275.10118744035</v>
      </c>
      <c r="K244" s="9">
        <f t="shared" si="24"/>
        <v>398.87261751094002</v>
      </c>
      <c r="L244" s="10">
        <f t="shared" si="21"/>
        <v>0.31281644267906344</v>
      </c>
      <c r="M244" s="10">
        <f t="shared" si="28"/>
        <v>0.32428790008796821</v>
      </c>
      <c r="N244" s="1"/>
      <c r="P244" s="8">
        <f t="shared" si="29"/>
        <v>41.242294989594988</v>
      </c>
    </row>
    <row r="245" spans="1:16" x14ac:dyDescent="0.2">
      <c r="A245" s="8">
        <v>121.5</v>
      </c>
      <c r="B245" s="8">
        <v>243</v>
      </c>
      <c r="D245">
        <v>1401.5369565216999</v>
      </c>
      <c r="E245">
        <v>520.00579710144996</v>
      </c>
      <c r="F245">
        <v>142.43446777697</v>
      </c>
      <c r="G245">
        <v>119.46850108616999</v>
      </c>
      <c r="I245" s="9">
        <f t="shared" si="26"/>
        <v>400.53729601527994</v>
      </c>
      <c r="J245" s="9">
        <f t="shared" si="27"/>
        <v>1259.10248874473</v>
      </c>
      <c r="K245" s="9">
        <f t="shared" si="24"/>
        <v>400.53729601527994</v>
      </c>
      <c r="L245" s="10">
        <f t="shared" si="21"/>
        <v>0.31811333834674416</v>
      </c>
      <c r="M245" s="10">
        <f t="shared" si="28"/>
        <v>0.32963219847221464</v>
      </c>
      <c r="P245" s="8">
        <f t="shared" si="29"/>
        <v>43.569982728469583</v>
      </c>
    </row>
    <row r="246" spans="1:16" x14ac:dyDescent="0.2">
      <c r="A246" s="8">
        <v>122</v>
      </c>
      <c r="B246" s="8">
        <v>244</v>
      </c>
      <c r="D246">
        <v>1391.1384057970999</v>
      </c>
      <c r="E246">
        <v>513.90507246377001</v>
      </c>
      <c r="F246">
        <v>142.19044170890999</v>
      </c>
      <c r="G246">
        <v>119.56625633599</v>
      </c>
      <c r="I246" s="9">
        <f t="shared" si="26"/>
        <v>394.33881612777998</v>
      </c>
      <c r="J246" s="9">
        <f t="shared" si="27"/>
        <v>1248.94796408819</v>
      </c>
      <c r="K246" s="9">
        <f t="shared" si="24"/>
        <v>394.33881612777998</v>
      </c>
      <c r="L246" s="10">
        <f t="shared" si="21"/>
        <v>0.3157367860523092</v>
      </c>
      <c r="M246" s="10">
        <f t="shared" si="28"/>
        <v>0.32730304889434542</v>
      </c>
      <c r="P246" s="8">
        <f t="shared" si="29"/>
        <v>42.555530966121815</v>
      </c>
    </row>
    <row r="247" spans="1:16" x14ac:dyDescent="0.2">
      <c r="A247" s="8">
        <v>122.5</v>
      </c>
      <c r="B247" s="8">
        <v>245</v>
      </c>
      <c r="D247">
        <v>1390.45</v>
      </c>
      <c r="E247">
        <v>514.01304347825999</v>
      </c>
      <c r="F247">
        <v>142.12961622013</v>
      </c>
      <c r="G247">
        <v>119.49601737870999</v>
      </c>
      <c r="I247" s="9">
        <f t="shared" si="26"/>
        <v>394.51702609954998</v>
      </c>
      <c r="J247" s="9">
        <f t="shared" si="27"/>
        <v>1248.3203837798701</v>
      </c>
      <c r="K247" s="9">
        <f t="shared" si="24"/>
        <v>394.51702609954998</v>
      </c>
      <c r="L247" s="10">
        <f t="shared" si="21"/>
        <v>0.3160382792957096</v>
      </c>
      <c r="M247" s="10">
        <f t="shared" si="28"/>
        <v>0.32765194485431154</v>
      </c>
      <c r="P247" s="8">
        <f t="shared" si="29"/>
        <v>42.707491202951012</v>
      </c>
    </row>
    <row r="248" spans="1:16" x14ac:dyDescent="0.2">
      <c r="A248" s="8">
        <v>123</v>
      </c>
      <c r="B248" s="8">
        <v>246</v>
      </c>
      <c r="D248">
        <v>1403.0927536232</v>
      </c>
      <c r="E248">
        <v>515.39492753622994</v>
      </c>
      <c r="F248">
        <v>142.46270818247999</v>
      </c>
      <c r="G248">
        <v>118.88848660391</v>
      </c>
      <c r="I248" s="9">
        <f t="shared" si="26"/>
        <v>396.50644093231995</v>
      </c>
      <c r="J248" s="9">
        <f t="shared" si="27"/>
        <v>1260.6300454407201</v>
      </c>
      <c r="K248" s="9">
        <f t="shared" si="24"/>
        <v>396.50644093231995</v>
      </c>
      <c r="L248" s="10">
        <f t="shared" si="21"/>
        <v>0.31453037500284242</v>
      </c>
      <c r="M248" s="10">
        <f t="shared" si="28"/>
        <v>0.32619144327801008</v>
      </c>
      <c r="P248" s="8">
        <f t="shared" si="29"/>
        <v>42.071375595748954</v>
      </c>
    </row>
    <row r="249" spans="1:16" x14ac:dyDescent="0.2">
      <c r="A249" s="8">
        <v>123.5</v>
      </c>
      <c r="B249" s="8">
        <v>247</v>
      </c>
      <c r="D249">
        <v>1406.997826087</v>
      </c>
      <c r="E249">
        <v>519.74855072464004</v>
      </c>
      <c r="F249">
        <v>142.52136133236999</v>
      </c>
      <c r="G249">
        <v>119.26864590876001</v>
      </c>
      <c r="I249" s="9">
        <f t="shared" si="26"/>
        <v>400.47990481588005</v>
      </c>
      <c r="J249" s="9">
        <f t="shared" si="27"/>
        <v>1264.4764647546301</v>
      </c>
      <c r="K249" s="9">
        <f t="shared" si="24"/>
        <v>400.47990481588005</v>
      </c>
      <c r="L249" s="10">
        <f t="shared" si="21"/>
        <v>0.31671598165616521</v>
      </c>
      <c r="M249" s="10">
        <f t="shared" si="28"/>
        <v>0.3284244526478986</v>
      </c>
      <c r="P249" s="8">
        <f t="shared" si="29"/>
        <v>43.043953875884505</v>
      </c>
    </row>
    <row r="250" spans="1:16" x14ac:dyDescent="0.2">
      <c r="A250" s="8">
        <v>124</v>
      </c>
      <c r="B250" s="8">
        <v>248</v>
      </c>
      <c r="D250">
        <v>1387.2615942028999</v>
      </c>
      <c r="E250">
        <v>515.00942028986003</v>
      </c>
      <c r="F250">
        <v>142.38233164374</v>
      </c>
      <c r="G250">
        <v>119.43953656770999</v>
      </c>
      <c r="I250" s="9">
        <f t="shared" si="26"/>
        <v>395.56988372215005</v>
      </c>
      <c r="J250" s="9">
        <f t="shared" si="27"/>
        <v>1244.87926255916</v>
      </c>
      <c r="K250" s="9">
        <f t="shared" si="24"/>
        <v>395.56988372215005</v>
      </c>
      <c r="L250" s="10">
        <f t="shared" si="21"/>
        <v>0.31775762969089666</v>
      </c>
      <c r="M250" s="10">
        <f t="shared" si="28"/>
        <v>0.32951350339919577</v>
      </c>
      <c r="P250" s="8">
        <f t="shared" si="29"/>
        <v>43.518285565200166</v>
      </c>
    </row>
    <row r="251" spans="1:16" x14ac:dyDescent="0.2">
      <c r="A251" s="8">
        <v>124.5</v>
      </c>
      <c r="B251" s="8">
        <v>249</v>
      </c>
      <c r="D251">
        <v>1384.1702898551</v>
      </c>
      <c r="E251">
        <v>515.29347826086996</v>
      </c>
      <c r="F251">
        <v>142.91745112237999</v>
      </c>
      <c r="G251">
        <v>119.10789283128</v>
      </c>
      <c r="I251" s="9">
        <f t="shared" si="26"/>
        <v>396.18558542958999</v>
      </c>
      <c r="J251" s="9">
        <f t="shared" si="27"/>
        <v>1241.25283873272</v>
      </c>
      <c r="K251" s="9">
        <f t="shared" si="24"/>
        <v>396.18558542958999</v>
      </c>
      <c r="L251" s="10">
        <f t="shared" si="21"/>
        <v>0.31918201760898529</v>
      </c>
      <c r="M251" s="10">
        <f t="shared" si="28"/>
        <v>0.33098529403385013</v>
      </c>
      <c r="P251" s="8">
        <f t="shared" si="29"/>
        <v>44.159318076516143</v>
      </c>
    </row>
    <row r="252" spans="1:16" x14ac:dyDescent="0.2">
      <c r="A252" s="8">
        <v>125</v>
      </c>
      <c r="B252" s="8">
        <v>250</v>
      </c>
      <c r="D252">
        <v>1378.1557971015</v>
      </c>
      <c r="E252">
        <v>517.59420289854995</v>
      </c>
      <c r="F252">
        <v>142.68139029688999</v>
      </c>
      <c r="G252">
        <v>119.31426502534001</v>
      </c>
      <c r="I252" s="9">
        <f t="shared" si="26"/>
        <v>398.27993787320997</v>
      </c>
      <c r="J252" s="9">
        <f t="shared" si="27"/>
        <v>1235.47440680461</v>
      </c>
      <c r="K252" s="9">
        <f t="shared" si="24"/>
        <v>398.27993787320997</v>
      </c>
      <c r="L252" s="10">
        <f t="shared" si="21"/>
        <v>0.32237004318309431</v>
      </c>
      <c r="M252" s="10">
        <f t="shared" si="28"/>
        <v>0.33422072232452488</v>
      </c>
      <c r="P252" s="8">
        <f t="shared" si="29"/>
        <v>45.568495899448173</v>
      </c>
    </row>
    <row r="253" spans="1:16" x14ac:dyDescent="0.2">
      <c r="A253" s="8">
        <v>125.5</v>
      </c>
      <c r="B253" s="8">
        <v>251</v>
      </c>
      <c r="D253">
        <v>1382.0797101449</v>
      </c>
      <c r="E253">
        <v>519.05652173912995</v>
      </c>
      <c r="F253">
        <v>142.62490948588001</v>
      </c>
      <c r="G253">
        <v>119.44098479362999</v>
      </c>
      <c r="I253" s="9">
        <f t="shared" si="26"/>
        <v>399.61553694549997</v>
      </c>
      <c r="J253" s="9">
        <f t="shared" si="27"/>
        <v>1239.4548006590201</v>
      </c>
      <c r="K253" s="9">
        <f t="shared" si="24"/>
        <v>399.61553694549997</v>
      </c>
      <c r="L253" s="10">
        <f t="shared" si="21"/>
        <v>0.32241235157024184</v>
      </c>
      <c r="M253" s="10">
        <f t="shared" si="28"/>
        <v>0.33431043342823813</v>
      </c>
      <c r="P253" s="8">
        <f t="shared" si="29"/>
        <v>45.607569211067485</v>
      </c>
    </row>
    <row r="254" spans="1:16" x14ac:dyDescent="0.2">
      <c r="A254" s="8">
        <v>126</v>
      </c>
      <c r="B254" s="8">
        <v>252</v>
      </c>
      <c r="D254">
        <v>1397.8036231884</v>
      </c>
      <c r="E254">
        <v>520.38840579709995</v>
      </c>
      <c r="F254">
        <v>142.10427226646999</v>
      </c>
      <c r="G254">
        <v>119.27371469949</v>
      </c>
      <c r="I254" s="9">
        <f t="shared" si="26"/>
        <v>401.11469109760992</v>
      </c>
      <c r="J254" s="9">
        <f t="shared" si="27"/>
        <v>1255.6993509219301</v>
      </c>
      <c r="K254" s="9">
        <f t="shared" si="24"/>
        <v>401.11469109760992</v>
      </c>
      <c r="L254" s="10">
        <f t="shared" si="21"/>
        <v>0.31943529380907371</v>
      </c>
      <c r="M254" s="10">
        <f t="shared" si="28"/>
        <v>0.33138077838363567</v>
      </c>
      <c r="P254" s="8">
        <f t="shared" si="29"/>
        <v>44.331569699783692</v>
      </c>
    </row>
    <row r="255" spans="1:16" x14ac:dyDescent="0.2">
      <c r="A255" s="8">
        <v>126.5</v>
      </c>
      <c r="B255" s="8">
        <v>253</v>
      </c>
      <c r="D255">
        <v>1400.1579710144999</v>
      </c>
      <c r="E255">
        <v>519.56159420289998</v>
      </c>
      <c r="F255">
        <v>142.51267197683001</v>
      </c>
      <c r="G255">
        <v>119.14047791455999</v>
      </c>
      <c r="I255" s="9">
        <f t="shared" si="26"/>
        <v>400.42111628833999</v>
      </c>
      <c r="J255" s="9">
        <f t="shared" si="27"/>
        <v>1257.6452990376699</v>
      </c>
      <c r="K255" s="9">
        <f t="shared" si="24"/>
        <v>400.42111628833999</v>
      </c>
      <c r="L255" s="10">
        <f t="shared" si="21"/>
        <v>0.31838954639653633</v>
      </c>
      <c r="M255" s="10">
        <f t="shared" si="28"/>
        <v>0.33038243368766401</v>
      </c>
      <c r="P255" s="8">
        <f t="shared" si="29"/>
        <v>43.896744669273843</v>
      </c>
    </row>
    <row r="256" spans="1:16" x14ac:dyDescent="0.2">
      <c r="A256" s="8">
        <v>127</v>
      </c>
      <c r="B256" s="8">
        <v>254</v>
      </c>
      <c r="D256">
        <v>1430.2289855073</v>
      </c>
      <c r="E256">
        <v>525.46014492754</v>
      </c>
      <c r="F256">
        <v>142.18682114410001</v>
      </c>
      <c r="G256">
        <v>119.18971759595</v>
      </c>
      <c r="I256" s="9">
        <f t="shared" si="26"/>
        <v>406.27042733158999</v>
      </c>
      <c r="J256" s="9">
        <f t="shared" si="27"/>
        <v>1288.0421643631998</v>
      </c>
      <c r="K256" s="9">
        <f t="shared" si="24"/>
        <v>406.27042733158999</v>
      </c>
      <c r="L256" s="10">
        <f t="shared" si="21"/>
        <v>0.3154170248242204</v>
      </c>
      <c r="M256" s="10">
        <f t="shared" si="28"/>
        <v>0.32745731483191381</v>
      </c>
      <c r="P256" s="8">
        <f t="shared" si="29"/>
        <v>42.622720876861536</v>
      </c>
    </row>
    <row r="257" spans="1:16" x14ac:dyDescent="0.2">
      <c r="A257" s="8">
        <v>127.5</v>
      </c>
      <c r="B257" s="8">
        <v>255</v>
      </c>
      <c r="D257">
        <v>1414.6789855073</v>
      </c>
      <c r="E257">
        <v>515.85579710144998</v>
      </c>
      <c r="F257">
        <v>142.44895003620999</v>
      </c>
      <c r="G257">
        <v>119.51991310645001</v>
      </c>
      <c r="I257" s="9">
        <f t="shared" si="26"/>
        <v>396.33588399499996</v>
      </c>
      <c r="J257" s="9">
        <f t="shared" si="27"/>
        <v>1272.2300354710901</v>
      </c>
      <c r="K257" s="9">
        <f t="shared" si="24"/>
        <v>396.33588399499996</v>
      </c>
      <c r="L257" s="10">
        <f t="shared" si="21"/>
        <v>0.31152847593968491</v>
      </c>
      <c r="M257" s="10">
        <f t="shared" si="28"/>
        <v>0.32361616866394405</v>
      </c>
      <c r="P257" s="8">
        <f t="shared" si="29"/>
        <v>40.949725060467003</v>
      </c>
    </row>
    <row r="258" spans="1:16" x14ac:dyDescent="0.2">
      <c r="A258" s="8">
        <v>128</v>
      </c>
      <c r="B258" s="8">
        <v>256</v>
      </c>
      <c r="D258">
        <v>1406.0942028986001</v>
      </c>
      <c r="E258">
        <v>511.73768115941999</v>
      </c>
      <c r="F258">
        <v>142.33526430123001</v>
      </c>
      <c r="G258">
        <v>119.26140477915</v>
      </c>
      <c r="I258" s="9">
        <f t="shared" si="26"/>
        <v>392.47627638027001</v>
      </c>
      <c r="J258" s="9">
        <f t="shared" si="27"/>
        <v>1263.7589385973702</v>
      </c>
      <c r="K258" s="9">
        <f t="shared" si="24"/>
        <v>392.47627638027001</v>
      </c>
      <c r="L258" s="10">
        <f t="shared" ref="L258:L321" si="30">K258/J258</f>
        <v>0.31056261158150494</v>
      </c>
      <c r="M258" s="10">
        <f t="shared" si="28"/>
        <v>0.3226977070223298</v>
      </c>
      <c r="P258" s="8">
        <f t="shared" si="29"/>
        <v>40.549692774074828</v>
      </c>
    </row>
    <row r="259" spans="1:16" x14ac:dyDescent="0.2">
      <c r="A259" s="8">
        <v>128.5</v>
      </c>
      <c r="B259" s="8">
        <v>257</v>
      </c>
      <c r="D259">
        <v>1383.9239130435001</v>
      </c>
      <c r="E259">
        <v>503.49202898550999</v>
      </c>
      <c r="F259">
        <v>142.05430847212</v>
      </c>
      <c r="G259">
        <v>119.37871107893</v>
      </c>
      <c r="I259" s="9">
        <f t="shared" si="26"/>
        <v>384.11331790657999</v>
      </c>
      <c r="J259" s="9">
        <f t="shared" si="27"/>
        <v>1241.86960457138</v>
      </c>
      <c r="K259" s="9">
        <f t="shared" ref="K259:K322" si="31">I259*1</f>
        <v>384.11331790657999</v>
      </c>
      <c r="L259" s="10">
        <f t="shared" si="30"/>
        <v>0.3093024553404326</v>
      </c>
      <c r="M259" s="10">
        <f t="shared" si="28"/>
        <v>0.32148495349782319</v>
      </c>
      <c r="P259" s="8">
        <f t="shared" si="29"/>
        <v>40.021482837744891</v>
      </c>
    </row>
    <row r="260" spans="1:16" x14ac:dyDescent="0.2">
      <c r="A260" s="8">
        <v>129</v>
      </c>
      <c r="B260" s="8">
        <v>258</v>
      </c>
      <c r="D260">
        <v>1369.5666666667</v>
      </c>
      <c r="E260">
        <v>497.02463768116002</v>
      </c>
      <c r="F260">
        <v>142.43881245474</v>
      </c>
      <c r="G260">
        <v>119.27733526430001</v>
      </c>
      <c r="I260" s="9">
        <f t="shared" si="26"/>
        <v>377.74730241686001</v>
      </c>
      <c r="J260" s="9">
        <f t="shared" si="27"/>
        <v>1227.1278542119601</v>
      </c>
      <c r="K260" s="9">
        <f t="shared" si="31"/>
        <v>377.74730241686001</v>
      </c>
      <c r="L260" s="10">
        <f t="shared" si="30"/>
        <v>0.30783043602204163</v>
      </c>
      <c r="M260" s="10">
        <f t="shared" si="28"/>
        <v>0.32006033689599794</v>
      </c>
      <c r="P260" s="8">
        <f t="shared" si="29"/>
        <v>39.400996787332616</v>
      </c>
    </row>
    <row r="261" spans="1:16" x14ac:dyDescent="0.2">
      <c r="A261" s="8">
        <v>129.5</v>
      </c>
      <c r="B261" s="8">
        <v>259</v>
      </c>
      <c r="D261">
        <v>1341.6862318840999</v>
      </c>
      <c r="E261">
        <v>490.28405797100999</v>
      </c>
      <c r="F261">
        <v>142.93048515568</v>
      </c>
      <c r="G261">
        <v>119.12382331644</v>
      </c>
      <c r="I261" s="9">
        <f t="shared" si="26"/>
        <v>371.16023465456999</v>
      </c>
      <c r="J261" s="9">
        <f t="shared" si="27"/>
        <v>1198.75574672842</v>
      </c>
      <c r="K261" s="9">
        <f t="shared" si="31"/>
        <v>371.16023465456999</v>
      </c>
      <c r="L261" s="10">
        <f t="shared" si="30"/>
        <v>0.30962123490754528</v>
      </c>
      <c r="M261" s="10">
        <f t="shared" si="28"/>
        <v>0.32189853849806732</v>
      </c>
      <c r="P261" s="8">
        <f t="shared" si="29"/>
        <v>40.201618126764025</v>
      </c>
    </row>
    <row r="262" spans="1:16" x14ac:dyDescent="0.2">
      <c r="A262" s="8">
        <v>130</v>
      </c>
      <c r="B262" s="8">
        <v>260</v>
      </c>
      <c r="D262">
        <v>1374.4768115941999</v>
      </c>
      <c r="E262">
        <v>492.09855072464001</v>
      </c>
      <c r="F262">
        <v>142.39246922519999</v>
      </c>
      <c r="G262">
        <v>119.15496017379</v>
      </c>
      <c r="I262" s="9">
        <f t="shared" si="26"/>
        <v>372.94359055084999</v>
      </c>
      <c r="J262" s="9">
        <f t="shared" si="27"/>
        <v>1232.0843423689998</v>
      </c>
      <c r="K262" s="9">
        <f t="shared" si="31"/>
        <v>372.94359055084999</v>
      </c>
      <c r="L262" s="10">
        <f t="shared" si="30"/>
        <v>0.30269323107683505</v>
      </c>
      <c r="M262" s="10">
        <f t="shared" si="28"/>
        <v>0.31501793738392281</v>
      </c>
      <c r="P262" s="8">
        <f t="shared" si="29"/>
        <v>37.204799892083948</v>
      </c>
    </row>
    <row r="263" spans="1:16" x14ac:dyDescent="0.2">
      <c r="A263" s="8">
        <v>130.5</v>
      </c>
      <c r="B263" s="8">
        <v>261</v>
      </c>
      <c r="D263">
        <v>1315.7673231218</v>
      </c>
      <c r="E263">
        <v>473.85703865790998</v>
      </c>
      <c r="F263">
        <v>142.44967414916999</v>
      </c>
      <c r="G263">
        <v>119.28095582911</v>
      </c>
      <c r="I263" s="9">
        <f t="shared" si="26"/>
        <v>354.5760828288</v>
      </c>
      <c r="J263" s="9">
        <f t="shared" si="27"/>
        <v>1173.31764897263</v>
      </c>
      <c r="K263" s="9">
        <f t="shared" si="31"/>
        <v>354.5760828288</v>
      </c>
      <c r="L263" s="10">
        <f t="shared" si="30"/>
        <v>0.30219956474640158</v>
      </c>
      <c r="M263" s="10">
        <f t="shared" si="28"/>
        <v>0.31457167377005507</v>
      </c>
      <c r="P263" s="8">
        <f t="shared" si="29"/>
        <v>37.010431563891835</v>
      </c>
    </row>
    <row r="264" spans="1:16" x14ac:dyDescent="0.2">
      <c r="A264" s="8">
        <v>131</v>
      </c>
      <c r="B264" s="8">
        <v>262</v>
      </c>
      <c r="D264">
        <v>1315.2042304887</v>
      </c>
      <c r="E264">
        <v>470.21444201313</v>
      </c>
      <c r="F264">
        <v>142.24547429398999</v>
      </c>
      <c r="G264">
        <v>119.4981897176</v>
      </c>
      <c r="I264" s="9">
        <f t="shared" si="26"/>
        <v>350.71625229553001</v>
      </c>
      <c r="J264" s="9">
        <f t="shared" si="27"/>
        <v>1172.9587561947101</v>
      </c>
      <c r="K264" s="9">
        <f t="shared" si="31"/>
        <v>350.71625229553001</v>
      </c>
      <c r="L264" s="10">
        <f t="shared" si="30"/>
        <v>0.29900135059592109</v>
      </c>
      <c r="M264" s="10">
        <f t="shared" si="28"/>
        <v>0.3114208623361403</v>
      </c>
      <c r="P264" s="8">
        <f t="shared" si="29"/>
        <v>35.638108273738673</v>
      </c>
    </row>
    <row r="265" spans="1:16" x14ac:dyDescent="0.2">
      <c r="A265" s="8">
        <v>131.5</v>
      </c>
      <c r="B265" s="8">
        <v>263</v>
      </c>
      <c r="D265">
        <v>1289.8942377825999</v>
      </c>
      <c r="E265">
        <v>454.80452224653999</v>
      </c>
      <c r="F265">
        <v>142.42288196959001</v>
      </c>
      <c r="G265">
        <v>119.00217233889001</v>
      </c>
      <c r="I265" s="9">
        <f t="shared" si="26"/>
        <v>335.80234990764995</v>
      </c>
      <c r="J265" s="9">
        <f t="shared" si="27"/>
        <v>1147.4713558130099</v>
      </c>
      <c r="K265" s="9">
        <f t="shared" si="31"/>
        <v>335.80234990764995</v>
      </c>
      <c r="L265" s="10">
        <f t="shared" si="30"/>
        <v>0.29264551851904508</v>
      </c>
      <c r="M265" s="10">
        <f t="shared" si="28"/>
        <v>0.30511243297583002</v>
      </c>
      <c r="P265" s="8">
        <f t="shared" si="29"/>
        <v>32.890497152915898</v>
      </c>
    </row>
    <row r="266" spans="1:16" x14ac:dyDescent="0.2">
      <c r="A266" s="8">
        <v>132</v>
      </c>
      <c r="B266" s="8">
        <v>264</v>
      </c>
      <c r="D266">
        <v>1278.4252370533</v>
      </c>
      <c r="E266">
        <v>452.42815463165999</v>
      </c>
      <c r="F266">
        <v>141.97610427226999</v>
      </c>
      <c r="G266">
        <v>119.47284576394</v>
      </c>
      <c r="I266" s="9">
        <f t="shared" si="26"/>
        <v>332.95530886771996</v>
      </c>
      <c r="J266" s="9">
        <f t="shared" si="27"/>
        <v>1136.4491327810299</v>
      </c>
      <c r="K266" s="9">
        <f t="shared" si="31"/>
        <v>332.95530886771996</v>
      </c>
      <c r="L266" s="10">
        <f t="shared" si="30"/>
        <v>0.29297862901521832</v>
      </c>
      <c r="M266" s="10">
        <f t="shared" si="28"/>
        <v>0.30549294618856898</v>
      </c>
      <c r="P266" s="8">
        <f t="shared" si="29"/>
        <v>33.056228157453951</v>
      </c>
    </row>
    <row r="267" spans="1:16" x14ac:dyDescent="0.2">
      <c r="A267" s="8">
        <v>132.5</v>
      </c>
      <c r="B267" s="8">
        <v>265</v>
      </c>
      <c r="D267">
        <v>1261.1444201313</v>
      </c>
      <c r="E267">
        <v>442.22319474836002</v>
      </c>
      <c r="F267">
        <v>142.64663287472999</v>
      </c>
      <c r="G267">
        <v>119.30919623461</v>
      </c>
      <c r="I267" s="9">
        <f t="shared" si="26"/>
        <v>322.91399851375002</v>
      </c>
      <c r="J267" s="9">
        <f t="shared" si="27"/>
        <v>1118.4977872565701</v>
      </c>
      <c r="K267" s="9">
        <f t="shared" si="31"/>
        <v>322.91399851375002</v>
      </c>
      <c r="L267" s="10">
        <f t="shared" si="30"/>
        <v>0.28870329668312289</v>
      </c>
      <c r="M267" s="10">
        <f t="shared" si="28"/>
        <v>0.30126501657303928</v>
      </c>
      <c r="P267" s="8">
        <f t="shared" si="29"/>
        <v>31.214770360879051</v>
      </c>
    </row>
    <row r="268" spans="1:16" x14ac:dyDescent="0.2">
      <c r="A268" s="8">
        <v>133</v>
      </c>
      <c r="B268" s="8">
        <v>266</v>
      </c>
      <c r="D268">
        <v>1229.8672501824001</v>
      </c>
      <c r="E268">
        <v>430.17140773158002</v>
      </c>
      <c r="F268">
        <v>141.82910934105999</v>
      </c>
      <c r="G268">
        <v>119.44388124547</v>
      </c>
      <c r="I268" s="9">
        <f t="shared" si="26"/>
        <v>310.72752648611004</v>
      </c>
      <c r="J268" s="9">
        <f t="shared" si="27"/>
        <v>1088.03814084134</v>
      </c>
      <c r="K268" s="9">
        <f t="shared" si="31"/>
        <v>310.72752648611004</v>
      </c>
      <c r="L268" s="10">
        <f t="shared" si="30"/>
        <v>0.28558514157034592</v>
      </c>
      <c r="M268" s="10">
        <f t="shared" si="28"/>
        <v>0.29819426417682804</v>
      </c>
      <c r="P268" s="8">
        <f t="shared" si="29"/>
        <v>29.877316463684551</v>
      </c>
    </row>
    <row r="269" spans="1:16" x14ac:dyDescent="0.2">
      <c r="A269" s="8">
        <v>133.5</v>
      </c>
      <c r="B269" s="8">
        <v>267</v>
      </c>
      <c r="D269">
        <v>1209.8242159008</v>
      </c>
      <c r="E269">
        <v>422.22100656455001</v>
      </c>
      <c r="F269">
        <v>141.95003620565001</v>
      </c>
      <c r="G269">
        <v>119.04489500362</v>
      </c>
      <c r="I269" s="9">
        <f t="shared" si="26"/>
        <v>303.17611156093</v>
      </c>
      <c r="J269" s="9">
        <f t="shared" si="27"/>
        <v>1067.8741796951499</v>
      </c>
      <c r="K269" s="9">
        <f t="shared" si="31"/>
        <v>303.17611156093</v>
      </c>
      <c r="L269" s="10">
        <f t="shared" si="30"/>
        <v>0.28390621041842107</v>
      </c>
      <c r="M269" s="10">
        <f t="shared" si="28"/>
        <v>0.29656273574146891</v>
      </c>
      <c r="P269" s="8">
        <f t="shared" si="29"/>
        <v>29.166710793573529</v>
      </c>
    </row>
    <row r="270" spans="1:16" x14ac:dyDescent="0.2">
      <c r="A270" s="8">
        <v>134</v>
      </c>
      <c r="B270" s="8">
        <v>268</v>
      </c>
      <c r="D270">
        <v>1202.185266229</v>
      </c>
      <c r="E270">
        <v>417.352297593</v>
      </c>
      <c r="F270">
        <v>141.85445329471</v>
      </c>
      <c r="G270">
        <v>119.54091238233001</v>
      </c>
      <c r="I270" s="9">
        <f t="shared" si="26"/>
        <v>297.81138521066998</v>
      </c>
      <c r="J270" s="9">
        <f t="shared" si="27"/>
        <v>1060.33081293429</v>
      </c>
      <c r="K270" s="9">
        <f t="shared" si="31"/>
        <v>297.81138521066998</v>
      </c>
      <c r="L270" s="10">
        <f t="shared" si="30"/>
        <v>0.28086648202415837</v>
      </c>
      <c r="M270" s="10">
        <f t="shared" si="28"/>
        <v>0.29357041006377194</v>
      </c>
      <c r="P270" s="8">
        <f t="shared" si="29"/>
        <v>27.863415339257884</v>
      </c>
    </row>
    <row r="271" spans="1:16" x14ac:dyDescent="0.2">
      <c r="A271" s="8">
        <v>134.5</v>
      </c>
      <c r="B271" s="8">
        <v>269</v>
      </c>
      <c r="D271">
        <v>1195.0729394602999</v>
      </c>
      <c r="E271">
        <v>413.41429613421002</v>
      </c>
      <c r="F271">
        <v>142.60753077480001</v>
      </c>
      <c r="G271">
        <v>119.08761766836</v>
      </c>
      <c r="I271" s="9">
        <f t="shared" si="26"/>
        <v>294.32667846585002</v>
      </c>
      <c r="J271" s="9">
        <f t="shared" si="27"/>
        <v>1052.4654086854998</v>
      </c>
      <c r="K271" s="9">
        <f t="shared" si="31"/>
        <v>294.32667846585002</v>
      </c>
      <c r="L271" s="10">
        <f t="shared" si="30"/>
        <v>0.27965449128960534</v>
      </c>
      <c r="M271" s="10">
        <f t="shared" si="28"/>
        <v>0.29240582204578458</v>
      </c>
      <c r="P271" s="8">
        <f t="shared" si="29"/>
        <v>27.356183696223109</v>
      </c>
    </row>
    <row r="272" spans="1:16" x14ac:dyDescent="0.2">
      <c r="A272" s="8">
        <v>135</v>
      </c>
      <c r="B272" s="8">
        <v>270</v>
      </c>
      <c r="D272">
        <v>1196.4777534646</v>
      </c>
      <c r="E272">
        <v>409.17213712619002</v>
      </c>
      <c r="F272">
        <v>142.20782041999001</v>
      </c>
      <c r="G272">
        <v>119.66908037653999</v>
      </c>
      <c r="I272" s="9">
        <f t="shared" si="26"/>
        <v>289.50305674965</v>
      </c>
      <c r="J272" s="9">
        <f t="shared" si="27"/>
        <v>1054.2699330446101</v>
      </c>
      <c r="K272" s="9">
        <f t="shared" si="31"/>
        <v>289.50305674965</v>
      </c>
      <c r="L272" s="10">
        <f t="shared" si="30"/>
        <v>0.27460050569174305</v>
      </c>
      <c r="M272" s="10">
        <f t="shared" si="28"/>
        <v>0.28739923916448801</v>
      </c>
      <c r="P272" s="8">
        <f t="shared" si="29"/>
        <v>25.175586590940657</v>
      </c>
    </row>
    <row r="273" spans="1:16" x14ac:dyDescent="0.2">
      <c r="A273" s="8">
        <v>135.5</v>
      </c>
      <c r="B273" s="8">
        <v>271</v>
      </c>
      <c r="D273">
        <v>1201.3457330415999</v>
      </c>
      <c r="E273">
        <v>408.35886214442002</v>
      </c>
      <c r="F273">
        <v>142.72121650977999</v>
      </c>
      <c r="G273">
        <v>119.04561911658</v>
      </c>
      <c r="I273" s="9">
        <f t="shared" si="26"/>
        <v>289.31324302784003</v>
      </c>
      <c r="J273" s="9">
        <f t="shared" si="27"/>
        <v>1058.6245165318201</v>
      </c>
      <c r="K273" s="9">
        <f t="shared" si="31"/>
        <v>289.31324302784003</v>
      </c>
      <c r="L273" s="10">
        <f t="shared" si="30"/>
        <v>0.27329165205399236</v>
      </c>
      <c r="M273" s="10">
        <f t="shared" si="28"/>
        <v>0.28613778824330305</v>
      </c>
      <c r="P273" s="8">
        <f t="shared" si="29"/>
        <v>24.626166698688834</v>
      </c>
    </row>
    <row r="274" spans="1:16" x14ac:dyDescent="0.2">
      <c r="A274" s="8">
        <v>136</v>
      </c>
      <c r="B274" s="8">
        <v>272</v>
      </c>
      <c r="D274">
        <v>1243.1342086069001</v>
      </c>
      <c r="E274">
        <v>415.80379285192998</v>
      </c>
      <c r="F274">
        <v>142.40767559739001</v>
      </c>
      <c r="G274">
        <v>118.99493120927001</v>
      </c>
      <c r="I274" s="9">
        <f t="shared" si="26"/>
        <v>296.80886164265996</v>
      </c>
      <c r="J274" s="9">
        <f t="shared" si="27"/>
        <v>1100.7265330095101</v>
      </c>
      <c r="K274" s="9">
        <f t="shared" si="31"/>
        <v>296.80886164265996</v>
      </c>
      <c r="L274" s="10">
        <f t="shared" si="30"/>
        <v>0.26964813942583099</v>
      </c>
      <c r="M274" s="10">
        <f t="shared" si="28"/>
        <v>0.2825416783317074</v>
      </c>
      <c r="P274" s="8">
        <f t="shared" si="29"/>
        <v>23.059895441541041</v>
      </c>
    </row>
    <row r="275" spans="1:16" x14ac:dyDescent="0.2">
      <c r="A275" s="8">
        <v>136.5</v>
      </c>
      <c r="B275" s="8">
        <v>273</v>
      </c>
      <c r="D275">
        <v>1265.0517870168001</v>
      </c>
      <c r="E275">
        <v>421.91903719913</v>
      </c>
      <c r="F275">
        <v>142.24040550326001</v>
      </c>
      <c r="G275">
        <v>119.21433743663999</v>
      </c>
      <c r="I275" s="9">
        <f>E275-G275</f>
        <v>302.70469976249001</v>
      </c>
      <c r="J275" s="9">
        <f>D275-F275</f>
        <v>1122.81138151354</v>
      </c>
      <c r="K275" s="9">
        <f t="shared" si="31"/>
        <v>302.70469976249001</v>
      </c>
      <c r="L275" s="10">
        <f t="shared" si="30"/>
        <v>0.26959532540046638</v>
      </c>
      <c r="M275" s="10">
        <f>L275+ABS($N$2)*A275</f>
        <v>0.28253626702290852</v>
      </c>
      <c r="O275" s="11"/>
      <c r="P275" s="8">
        <f>(M275-$O$2)/$O$2*100</f>
        <v>23.057538567684681</v>
      </c>
    </row>
    <row r="276" spans="1:16" x14ac:dyDescent="0.2">
      <c r="A276" s="8">
        <v>137</v>
      </c>
      <c r="B276" s="8">
        <v>274</v>
      </c>
      <c r="D276">
        <v>1263.1276440554</v>
      </c>
      <c r="E276">
        <v>421.93800145878998</v>
      </c>
      <c r="F276">
        <v>142.11078928313</v>
      </c>
      <c r="G276">
        <v>118.6886314265</v>
      </c>
      <c r="I276" s="9">
        <f t="shared" ref="I276:I291" si="32">E276-G276</f>
        <v>303.24937003229002</v>
      </c>
      <c r="J276" s="9">
        <f t="shared" ref="J276:J291" si="33">D276-F276</f>
        <v>1121.0168547722699</v>
      </c>
      <c r="K276" s="9">
        <f t="shared" si="31"/>
        <v>303.24937003229002</v>
      </c>
      <c r="L276" s="10">
        <f t="shared" si="30"/>
        <v>0.2705127659243749</v>
      </c>
      <c r="M276" s="10">
        <f t="shared" ref="M276:M291" si="34">L276+ABS($N$2)*A276</f>
        <v>0.28350111026338276</v>
      </c>
      <c r="P276" s="8">
        <f t="shared" ref="P276:P291" si="35">(M276-$O$2)/$O$2*100</f>
        <v>23.477772173541737</v>
      </c>
    </row>
    <row r="277" spans="1:16" x14ac:dyDescent="0.2">
      <c r="A277" s="8">
        <v>137.5</v>
      </c>
      <c r="B277" s="8">
        <v>275</v>
      </c>
      <c r="D277">
        <v>1272.2290299051999</v>
      </c>
      <c r="E277">
        <v>423.23559445659998</v>
      </c>
      <c r="F277">
        <v>141.65821868211</v>
      </c>
      <c r="G277">
        <v>119.24909485880001</v>
      </c>
      <c r="I277" s="9">
        <f t="shared" si="32"/>
        <v>303.98649959779999</v>
      </c>
      <c r="J277" s="9">
        <f t="shared" si="33"/>
        <v>1130.57081122309</v>
      </c>
      <c r="K277" s="9">
        <f t="shared" si="31"/>
        <v>303.98649959779999</v>
      </c>
      <c r="L277" s="10">
        <f t="shared" si="30"/>
        <v>0.26887877926809117</v>
      </c>
      <c r="M277" s="10">
        <f t="shared" si="34"/>
        <v>0.28191452632366476</v>
      </c>
      <c r="N277" s="1"/>
      <c r="P277" s="8">
        <f t="shared" si="35"/>
        <v>22.786741898349185</v>
      </c>
    </row>
    <row r="278" spans="1:16" x14ac:dyDescent="0.2">
      <c r="A278" s="8">
        <v>138</v>
      </c>
      <c r="B278" s="8">
        <v>276</v>
      </c>
      <c r="D278">
        <v>1270.7695113056</v>
      </c>
      <c r="E278">
        <v>421.31509846826998</v>
      </c>
      <c r="F278">
        <v>142.23244026067999</v>
      </c>
      <c r="G278">
        <v>119.16075307748</v>
      </c>
      <c r="I278" s="9">
        <f t="shared" si="32"/>
        <v>302.15434539079001</v>
      </c>
      <c r="J278" s="9">
        <f t="shared" si="33"/>
        <v>1128.5370710449199</v>
      </c>
      <c r="K278" s="9">
        <f t="shared" si="31"/>
        <v>302.15434539079001</v>
      </c>
      <c r="L278" s="10">
        <f t="shared" si="30"/>
        <v>0.26773984935295331</v>
      </c>
      <c r="M278" s="10">
        <f t="shared" si="34"/>
        <v>0.28082299912509262</v>
      </c>
      <c r="P278" s="8">
        <f t="shared" si="35"/>
        <v>22.31133160234964</v>
      </c>
    </row>
    <row r="279" spans="1:16" x14ac:dyDescent="0.2">
      <c r="A279" s="8">
        <v>138.5</v>
      </c>
      <c r="B279" s="8">
        <v>277</v>
      </c>
      <c r="D279">
        <v>1265.7490882568</v>
      </c>
      <c r="E279">
        <v>419.90663749087997</v>
      </c>
      <c r="F279">
        <v>142.06661839246999</v>
      </c>
      <c r="G279">
        <v>119.26502534395</v>
      </c>
      <c r="I279" s="9">
        <f t="shared" si="32"/>
        <v>300.64161214692996</v>
      </c>
      <c r="J279" s="9">
        <f t="shared" si="33"/>
        <v>1123.68246986433</v>
      </c>
      <c r="K279" s="9">
        <f t="shared" si="31"/>
        <v>300.64161214692996</v>
      </c>
      <c r="L279" s="10">
        <f t="shared" si="30"/>
        <v>0.26755032690260666</v>
      </c>
      <c r="M279" s="10">
        <f t="shared" si="34"/>
        <v>0.2806808793913117</v>
      </c>
      <c r="P279" s="8">
        <f t="shared" si="35"/>
        <v>22.249431921982033</v>
      </c>
    </row>
    <row r="280" spans="1:16" x14ac:dyDescent="0.2">
      <c r="A280" s="8">
        <v>139</v>
      </c>
      <c r="B280" s="8">
        <v>278</v>
      </c>
      <c r="D280">
        <v>1252.4989059080999</v>
      </c>
      <c r="E280">
        <v>412.48285922683999</v>
      </c>
      <c r="F280">
        <v>142.36929761043001</v>
      </c>
      <c r="G280">
        <v>118.9094858798</v>
      </c>
      <c r="I280" s="9">
        <f t="shared" si="32"/>
        <v>293.57337334703999</v>
      </c>
      <c r="J280" s="9">
        <f t="shared" si="33"/>
        <v>1110.1296082976698</v>
      </c>
      <c r="K280" s="9">
        <f t="shared" si="31"/>
        <v>293.57337334703999</v>
      </c>
      <c r="L280" s="10">
        <f t="shared" si="30"/>
        <v>0.26444963826991391</v>
      </c>
      <c r="M280" s="10">
        <f t="shared" si="34"/>
        <v>0.27762759347518468</v>
      </c>
      <c r="P280" s="8">
        <f t="shared" si="35"/>
        <v>20.9195854801746</v>
      </c>
    </row>
    <row r="281" spans="1:16" x14ac:dyDescent="0.2">
      <c r="A281" s="8">
        <v>139.5</v>
      </c>
      <c r="B281" s="8">
        <v>279</v>
      </c>
      <c r="D281">
        <v>1247.9657184537</v>
      </c>
      <c r="E281">
        <v>410.34719183077999</v>
      </c>
      <c r="F281">
        <v>142.05358435916</v>
      </c>
      <c r="G281">
        <v>119.00434467777001</v>
      </c>
      <c r="I281" s="9">
        <f t="shared" si="32"/>
        <v>291.34284715300998</v>
      </c>
      <c r="J281" s="9">
        <f t="shared" si="33"/>
        <v>1105.9121340945401</v>
      </c>
      <c r="K281" s="9">
        <f t="shared" si="31"/>
        <v>291.34284715300998</v>
      </c>
      <c r="L281" s="10">
        <f t="shared" si="30"/>
        <v>0.26344122482347609</v>
      </c>
      <c r="M281" s="10">
        <f t="shared" si="34"/>
        <v>0.27666658274531258</v>
      </c>
      <c r="P281" s="8">
        <f t="shared" si="35"/>
        <v>20.50102110894786</v>
      </c>
    </row>
    <row r="282" spans="1:16" x14ac:dyDescent="0.2">
      <c r="A282" s="8">
        <v>140</v>
      </c>
      <c r="B282" s="8">
        <v>280</v>
      </c>
      <c r="D282">
        <v>1223.1086797958001</v>
      </c>
      <c r="E282">
        <v>402.88402625820999</v>
      </c>
      <c r="F282">
        <v>141.95655322229999</v>
      </c>
      <c r="G282">
        <v>119.21433743663999</v>
      </c>
      <c r="I282" s="9">
        <f t="shared" si="32"/>
        <v>283.66968882156999</v>
      </c>
      <c r="J282" s="9">
        <f t="shared" si="33"/>
        <v>1081.1521265735</v>
      </c>
      <c r="K282" s="9">
        <f t="shared" si="31"/>
        <v>283.66968882156999</v>
      </c>
      <c r="L282" s="10">
        <f t="shared" si="30"/>
        <v>0.26237721949510057</v>
      </c>
      <c r="M282" s="10">
        <f t="shared" si="34"/>
        <v>0.27564998013350278</v>
      </c>
      <c r="P282" s="8">
        <f t="shared" si="35"/>
        <v>20.058243916380754</v>
      </c>
    </row>
    <row r="283" spans="1:16" x14ac:dyDescent="0.2">
      <c r="A283" s="8">
        <v>140.5</v>
      </c>
      <c r="B283" s="8">
        <v>281</v>
      </c>
      <c r="D283">
        <v>1201.067833698</v>
      </c>
      <c r="E283">
        <v>392.52224653538002</v>
      </c>
      <c r="F283">
        <v>142.55539464156001</v>
      </c>
      <c r="G283">
        <v>119.1527878349</v>
      </c>
      <c r="I283" s="9">
        <f t="shared" si="32"/>
        <v>273.36945870048004</v>
      </c>
      <c r="J283" s="9">
        <f t="shared" si="33"/>
        <v>1058.5124390564399</v>
      </c>
      <c r="K283" s="9">
        <f t="shared" si="31"/>
        <v>273.36945870048004</v>
      </c>
      <c r="L283" s="10">
        <f t="shared" si="30"/>
        <v>0.25825814474524467</v>
      </c>
      <c r="M283" s="10">
        <f t="shared" si="34"/>
        <v>0.27157830810021261</v>
      </c>
      <c r="P283" s="8">
        <f t="shared" si="35"/>
        <v>18.284843483398667</v>
      </c>
    </row>
    <row r="284" spans="1:16" x14ac:dyDescent="0.2">
      <c r="A284" s="8">
        <v>141</v>
      </c>
      <c r="B284" s="8">
        <v>282</v>
      </c>
      <c r="D284">
        <v>1217.1553610502999</v>
      </c>
      <c r="E284">
        <v>394.10138584974999</v>
      </c>
      <c r="F284">
        <v>141.86169442433001</v>
      </c>
      <c r="G284">
        <v>119.34250543085</v>
      </c>
      <c r="I284" s="9">
        <f t="shared" si="32"/>
        <v>274.75888041889999</v>
      </c>
      <c r="J284" s="9">
        <f t="shared" si="33"/>
        <v>1075.29366662597</v>
      </c>
      <c r="K284" s="9">
        <f t="shared" si="31"/>
        <v>274.75888041889999</v>
      </c>
      <c r="L284" s="10">
        <f t="shared" si="30"/>
        <v>0.25551985373542807</v>
      </c>
      <c r="M284" s="10">
        <f t="shared" si="34"/>
        <v>0.26888741980696174</v>
      </c>
      <c r="P284" s="8">
        <f t="shared" si="35"/>
        <v>17.112837873580084</v>
      </c>
    </row>
    <row r="285" spans="1:16" x14ac:dyDescent="0.2">
      <c r="A285" s="8">
        <v>141.5</v>
      </c>
      <c r="B285" s="8">
        <v>283</v>
      </c>
      <c r="D285">
        <v>1225.7840991977</v>
      </c>
      <c r="E285">
        <v>396.14150255288001</v>
      </c>
      <c r="F285">
        <v>142.24692251990999</v>
      </c>
      <c r="G285">
        <v>119.28457639392001</v>
      </c>
      <c r="I285" s="9">
        <f t="shared" si="32"/>
        <v>276.85692615895999</v>
      </c>
      <c r="J285" s="9">
        <f t="shared" si="33"/>
        <v>1083.5371766777901</v>
      </c>
      <c r="K285" s="9">
        <f t="shared" si="31"/>
        <v>276.85692615895999</v>
      </c>
      <c r="L285" s="10">
        <f t="shared" si="30"/>
        <v>0.25551216157421108</v>
      </c>
      <c r="M285" s="10">
        <f t="shared" si="34"/>
        <v>0.26892713036231047</v>
      </c>
      <c r="P285" s="8">
        <f t="shared" si="35"/>
        <v>17.130133646784216</v>
      </c>
    </row>
    <row r="286" spans="1:16" x14ac:dyDescent="0.2">
      <c r="A286" s="8">
        <v>142</v>
      </c>
      <c r="B286" s="8">
        <v>284</v>
      </c>
      <c r="D286">
        <v>1214.1699489424</v>
      </c>
      <c r="E286">
        <v>390.33843909554997</v>
      </c>
      <c r="F286">
        <v>141.90803765387</v>
      </c>
      <c r="G286">
        <v>119.19551049963999</v>
      </c>
      <c r="I286" s="9">
        <f t="shared" si="32"/>
        <v>271.14292859591001</v>
      </c>
      <c r="J286" s="9">
        <f t="shared" si="33"/>
        <v>1072.26191128853</v>
      </c>
      <c r="K286" s="9">
        <f t="shared" si="31"/>
        <v>271.14292859591001</v>
      </c>
      <c r="L286" s="10">
        <f t="shared" si="30"/>
        <v>0.25287005510629335</v>
      </c>
      <c r="M286" s="10">
        <f t="shared" si="34"/>
        <v>0.26633242661095846</v>
      </c>
      <c r="P286" s="8">
        <f t="shared" si="35"/>
        <v>16.000020828638196</v>
      </c>
    </row>
    <row r="287" spans="1:16" x14ac:dyDescent="0.2">
      <c r="A287" s="8">
        <v>142.5</v>
      </c>
      <c r="B287" s="8">
        <v>285</v>
      </c>
      <c r="D287">
        <v>1223.6797957695001</v>
      </c>
      <c r="E287">
        <v>391.38949671772002</v>
      </c>
      <c r="F287">
        <v>142.41926140478</v>
      </c>
      <c r="G287">
        <v>119.21795800145</v>
      </c>
      <c r="I287" s="9">
        <f t="shared" si="32"/>
        <v>272.17153871626999</v>
      </c>
      <c r="J287" s="9">
        <f t="shared" si="33"/>
        <v>1081.2605343647201</v>
      </c>
      <c r="K287" s="9">
        <f t="shared" si="31"/>
        <v>272.17153871626999</v>
      </c>
      <c r="L287" s="10">
        <f t="shared" si="30"/>
        <v>0.25171688974681822</v>
      </c>
      <c r="M287" s="10">
        <f t="shared" si="34"/>
        <v>0.26522666396804906</v>
      </c>
      <c r="P287" s="8">
        <f t="shared" si="35"/>
        <v>15.518410341919703</v>
      </c>
    </row>
    <row r="288" spans="1:16" x14ac:dyDescent="0.2">
      <c r="A288" s="8">
        <v>143</v>
      </c>
      <c r="B288" s="8">
        <v>286</v>
      </c>
      <c r="D288">
        <v>1272.9528985507</v>
      </c>
      <c r="E288">
        <v>399.99565217391</v>
      </c>
      <c r="F288">
        <v>142.30412744387999</v>
      </c>
      <c r="G288">
        <v>119.43736422882</v>
      </c>
      <c r="I288" s="9">
        <f t="shared" si="32"/>
        <v>280.55828794509</v>
      </c>
      <c r="J288" s="9">
        <f t="shared" si="33"/>
        <v>1130.64877110682</v>
      </c>
      <c r="K288" s="9">
        <f t="shared" si="31"/>
        <v>280.55828794509</v>
      </c>
      <c r="L288" s="10">
        <f t="shared" si="30"/>
        <v>0.24813920566193562</v>
      </c>
      <c r="M288" s="10">
        <f t="shared" si="34"/>
        <v>0.26169638259973216</v>
      </c>
      <c r="P288" s="8">
        <f t="shared" si="35"/>
        <v>13.980810442926165</v>
      </c>
    </row>
    <row r="289" spans="1:16" x14ac:dyDescent="0.2">
      <c r="A289" s="8">
        <v>143.5</v>
      </c>
      <c r="B289" s="8">
        <v>287</v>
      </c>
      <c r="D289">
        <v>1286.8137681159001</v>
      </c>
      <c r="E289">
        <v>402.01666666667001</v>
      </c>
      <c r="F289">
        <v>142.42650253439999</v>
      </c>
      <c r="G289">
        <v>119.23895727734001</v>
      </c>
      <c r="I289" s="9">
        <f t="shared" si="32"/>
        <v>282.77770938932997</v>
      </c>
      <c r="J289" s="9">
        <f t="shared" si="33"/>
        <v>1144.3872655815001</v>
      </c>
      <c r="K289" s="9">
        <f t="shared" si="31"/>
        <v>282.77770938932997</v>
      </c>
      <c r="L289" s="10">
        <f t="shared" si="30"/>
        <v>0.24709966450530318</v>
      </c>
      <c r="M289" s="10">
        <f t="shared" si="34"/>
        <v>0.26070424415966542</v>
      </c>
      <c r="P289" s="8">
        <f t="shared" si="35"/>
        <v>13.5486885222982</v>
      </c>
    </row>
    <row r="290" spans="1:16" x14ac:dyDescent="0.2">
      <c r="A290" s="8">
        <v>144</v>
      </c>
      <c r="B290" s="8">
        <v>288</v>
      </c>
      <c r="D290">
        <v>1295.5652173912999</v>
      </c>
      <c r="E290">
        <v>402.91376811594</v>
      </c>
      <c r="F290">
        <v>142.06734250542999</v>
      </c>
      <c r="G290">
        <v>118.86241853729</v>
      </c>
      <c r="I290" s="9">
        <f t="shared" si="32"/>
        <v>284.05134957864999</v>
      </c>
      <c r="J290" s="9">
        <f t="shared" si="33"/>
        <v>1153.49787488587</v>
      </c>
      <c r="K290" s="9">
        <f t="shared" si="31"/>
        <v>284.05134957864999</v>
      </c>
      <c r="L290" s="10">
        <f t="shared" si="30"/>
        <v>0.24625216548990586</v>
      </c>
      <c r="M290" s="10">
        <f t="shared" si="34"/>
        <v>0.25990414786083382</v>
      </c>
      <c r="P290" s="8">
        <f t="shared" si="35"/>
        <v>13.200209786492758</v>
      </c>
    </row>
    <row r="291" spans="1:16" x14ac:dyDescent="0.2">
      <c r="A291" s="8">
        <v>144.5</v>
      </c>
      <c r="B291" s="8">
        <v>289</v>
      </c>
      <c r="D291">
        <v>1303.6427536232</v>
      </c>
      <c r="E291">
        <v>404.16666666666998</v>
      </c>
      <c r="F291">
        <v>142.19623461259999</v>
      </c>
      <c r="G291">
        <v>118.98769007964999</v>
      </c>
      <c r="I291" s="9">
        <f t="shared" si="32"/>
        <v>285.17897658701997</v>
      </c>
      <c r="J291" s="9">
        <f t="shared" si="33"/>
        <v>1161.4465190106</v>
      </c>
      <c r="K291" s="9">
        <f t="shared" si="31"/>
        <v>285.17897658701997</v>
      </c>
      <c r="L291" s="10">
        <f t="shared" si="30"/>
        <v>0.24553775995639907</v>
      </c>
      <c r="M291" s="10">
        <f t="shared" si="34"/>
        <v>0.25923714504389278</v>
      </c>
      <c r="P291" s="8">
        <f t="shared" si="35"/>
        <v>12.909699383225409</v>
      </c>
    </row>
    <row r="292" spans="1:16" x14ac:dyDescent="0.2">
      <c r="A292" s="8">
        <v>145</v>
      </c>
      <c r="B292" s="8">
        <v>290</v>
      </c>
      <c r="D292">
        <v>1293.4478260870001</v>
      </c>
      <c r="E292">
        <v>401.90072463768001</v>
      </c>
      <c r="F292">
        <v>141.81245474293999</v>
      </c>
      <c r="G292">
        <v>118.96162201303</v>
      </c>
      <c r="I292" s="9">
        <f>E292-G292</f>
        <v>282.93910262464999</v>
      </c>
      <c r="J292" s="9">
        <f>D292-F292</f>
        <v>1151.6353713440601</v>
      </c>
      <c r="K292" s="9">
        <f t="shared" si="31"/>
        <v>282.93910262464999</v>
      </c>
      <c r="L292" s="10">
        <f t="shared" si="30"/>
        <v>0.24568462350581946</v>
      </c>
      <c r="M292" s="10">
        <f>L292+ABS($N$2)*A292</f>
        <v>0.2594314113098789</v>
      </c>
      <c r="O292" s="11"/>
      <c r="P292" s="8">
        <f>(M292-$O$2)/$O$2*100</f>
        <v>12.994311276667922</v>
      </c>
    </row>
    <row r="293" spans="1:16" x14ac:dyDescent="0.2">
      <c r="A293" s="8">
        <v>145.5</v>
      </c>
      <c r="B293" s="8">
        <v>291</v>
      </c>
      <c r="D293">
        <v>1278.2434782609</v>
      </c>
      <c r="E293">
        <v>395.3152173913</v>
      </c>
      <c r="F293">
        <v>141.78855901521001</v>
      </c>
      <c r="G293">
        <v>119.25561187545</v>
      </c>
      <c r="I293" s="9">
        <f t="shared" ref="I293:I301" si="36">E293-G293</f>
        <v>276.05960551584997</v>
      </c>
      <c r="J293" s="9">
        <f t="shared" ref="J293:J301" si="37">D293-F293</f>
        <v>1136.45491924569</v>
      </c>
      <c r="K293" s="9">
        <f t="shared" si="31"/>
        <v>276.05960551584997</v>
      </c>
      <c r="L293" s="10">
        <f t="shared" si="30"/>
        <v>0.24291293991589355</v>
      </c>
      <c r="M293" s="10">
        <f t="shared" ref="M293:M301" si="38">L293+ABS($N$2)*A293</f>
        <v>0.25670713043651872</v>
      </c>
      <c r="P293" s="8">
        <f t="shared" ref="P293:P301" si="39">(M293-$O$2)/$O$2*100</f>
        <v>11.807761662435407</v>
      </c>
    </row>
    <row r="294" spans="1:16" x14ac:dyDescent="0.2">
      <c r="A294" s="8">
        <v>146</v>
      </c>
      <c r="B294" s="8">
        <v>292</v>
      </c>
      <c r="D294">
        <v>1263.7375271149999</v>
      </c>
      <c r="E294">
        <v>396.40347071584</v>
      </c>
      <c r="F294">
        <v>142.74293989861999</v>
      </c>
      <c r="G294">
        <v>119.05792903693001</v>
      </c>
      <c r="I294" s="9">
        <f t="shared" si="36"/>
        <v>277.34554167890997</v>
      </c>
      <c r="J294" s="9">
        <f t="shared" si="37"/>
        <v>1120.9945872163798</v>
      </c>
      <c r="K294" s="9">
        <f t="shared" si="31"/>
        <v>277.34554167890997</v>
      </c>
      <c r="L294" s="10">
        <f t="shared" si="30"/>
        <v>0.24741024162088607</v>
      </c>
      <c r="M294" s="10">
        <f t="shared" si="38"/>
        <v>0.26125183485807696</v>
      </c>
      <c r="N294" s="1"/>
      <c r="P294" s="8">
        <f t="shared" si="39"/>
        <v>13.787189455998226</v>
      </c>
    </row>
    <row r="295" spans="1:16" x14ac:dyDescent="0.2">
      <c r="A295" s="8">
        <v>146.5</v>
      </c>
      <c r="B295" s="8">
        <v>293</v>
      </c>
      <c r="D295">
        <v>1261.6688358640999</v>
      </c>
      <c r="E295">
        <v>395.09472161967</v>
      </c>
      <c r="F295">
        <v>141.93048515568</v>
      </c>
      <c r="G295">
        <v>118.76176683563</v>
      </c>
      <c r="I295" s="9">
        <f t="shared" si="36"/>
        <v>276.33295478404</v>
      </c>
      <c r="J295" s="9">
        <f t="shared" si="37"/>
        <v>1119.7383507084201</v>
      </c>
      <c r="K295" s="9">
        <f t="shared" si="31"/>
        <v>276.33295478404</v>
      </c>
      <c r="L295" s="10">
        <f t="shared" si="30"/>
        <v>0.2467835049225684</v>
      </c>
      <c r="M295" s="10">
        <f t="shared" si="38"/>
        <v>0.26067250087632499</v>
      </c>
      <c r="P295" s="8">
        <f t="shared" si="39"/>
        <v>13.53486286248082</v>
      </c>
    </row>
    <row r="296" spans="1:16" x14ac:dyDescent="0.2">
      <c r="A296" s="8">
        <v>147</v>
      </c>
      <c r="B296" s="8">
        <v>294</v>
      </c>
      <c r="D296">
        <v>1265.9544468547001</v>
      </c>
      <c r="E296">
        <v>396.10339840926002</v>
      </c>
      <c r="F296">
        <v>142.00941346849999</v>
      </c>
      <c r="G296">
        <v>119.30992034757</v>
      </c>
      <c r="I296" s="9">
        <f t="shared" si="36"/>
        <v>276.79347806169005</v>
      </c>
      <c r="J296" s="9">
        <f t="shared" si="37"/>
        <v>1123.9450333862001</v>
      </c>
      <c r="K296" s="9">
        <f t="shared" si="31"/>
        <v>276.79347806169005</v>
      </c>
      <c r="L296" s="10">
        <f t="shared" si="30"/>
        <v>0.24626958600259299</v>
      </c>
      <c r="M296" s="10">
        <f t="shared" si="38"/>
        <v>0.26020598467291534</v>
      </c>
      <c r="P296" s="8">
        <f t="shared" si="39"/>
        <v>13.331673600095337</v>
      </c>
    </row>
    <row r="297" spans="1:16" x14ac:dyDescent="0.2">
      <c r="A297" s="8">
        <v>147.5</v>
      </c>
      <c r="B297" s="8">
        <v>295</v>
      </c>
      <c r="D297">
        <v>1267.4186550976001</v>
      </c>
      <c r="E297">
        <v>396.14099783080002</v>
      </c>
      <c r="F297">
        <v>142.00651701666001</v>
      </c>
      <c r="G297">
        <v>118.90586531499</v>
      </c>
      <c r="I297" s="9">
        <f t="shared" si="36"/>
        <v>277.23513251581005</v>
      </c>
      <c r="J297" s="9">
        <f t="shared" si="37"/>
        <v>1125.4121380809402</v>
      </c>
      <c r="K297" s="9">
        <f t="shared" si="31"/>
        <v>277.23513251581005</v>
      </c>
      <c r="L297" s="10">
        <f t="shared" si="30"/>
        <v>0.24634098312512706</v>
      </c>
      <c r="M297" s="10">
        <f t="shared" si="38"/>
        <v>0.26032478451201513</v>
      </c>
      <c r="P297" s="8">
        <f t="shared" si="39"/>
        <v>13.383416393811345</v>
      </c>
    </row>
    <row r="298" spans="1:16" x14ac:dyDescent="0.2">
      <c r="A298" s="8">
        <v>148</v>
      </c>
      <c r="B298" s="8">
        <v>296</v>
      </c>
      <c r="D298">
        <v>1269.4164859002001</v>
      </c>
      <c r="E298">
        <v>393.09689081706</v>
      </c>
      <c r="F298">
        <v>142.09847936278001</v>
      </c>
      <c r="G298">
        <v>119.06154960174</v>
      </c>
      <c r="I298" s="9">
        <f t="shared" si="36"/>
        <v>274.03534121531999</v>
      </c>
      <c r="J298" s="9">
        <f t="shared" si="37"/>
        <v>1127.3180065374202</v>
      </c>
      <c r="K298" s="9">
        <f t="shared" si="31"/>
        <v>274.03534121531999</v>
      </c>
      <c r="L298" s="10">
        <f t="shared" si="30"/>
        <v>0.24308610314584173</v>
      </c>
      <c r="M298" s="10">
        <f t="shared" si="38"/>
        <v>0.25711730724929549</v>
      </c>
      <c r="P298" s="8">
        <f t="shared" si="39"/>
        <v>11.986412529064699</v>
      </c>
    </row>
    <row r="299" spans="1:16" x14ac:dyDescent="0.2">
      <c r="A299" s="8">
        <v>148.5</v>
      </c>
      <c r="B299" s="8">
        <v>297</v>
      </c>
      <c r="D299">
        <v>1267.2364425163</v>
      </c>
      <c r="E299">
        <v>392.77368040492001</v>
      </c>
      <c r="F299">
        <v>141.86097031137001</v>
      </c>
      <c r="G299">
        <v>118.75814627082001</v>
      </c>
      <c r="I299" s="9">
        <f t="shared" si="36"/>
        <v>274.01553413409999</v>
      </c>
      <c r="J299" s="9">
        <f t="shared" si="37"/>
        <v>1125.37547220493</v>
      </c>
      <c r="K299" s="9">
        <f t="shared" si="31"/>
        <v>274.01553413409999</v>
      </c>
      <c r="L299" s="10">
        <f t="shared" si="30"/>
        <v>0.24348809877402586</v>
      </c>
      <c r="M299" s="10">
        <f t="shared" si="38"/>
        <v>0.25756670559404532</v>
      </c>
      <c r="P299" s="8">
        <f t="shared" si="39"/>
        <v>12.182146176727079</v>
      </c>
    </row>
    <row r="300" spans="1:16" x14ac:dyDescent="0.2">
      <c r="A300" s="8">
        <v>149</v>
      </c>
      <c r="B300" s="8">
        <v>298</v>
      </c>
      <c r="D300">
        <v>1270.5451916124</v>
      </c>
      <c r="E300">
        <v>390.99060014461003</v>
      </c>
      <c r="F300">
        <v>141.82114409848</v>
      </c>
      <c r="G300">
        <v>118.85952208545</v>
      </c>
      <c r="I300" s="9">
        <f t="shared" si="36"/>
        <v>272.13107805916002</v>
      </c>
      <c r="J300" s="9">
        <f t="shared" si="37"/>
        <v>1128.7240475139199</v>
      </c>
      <c r="K300" s="9">
        <f t="shared" si="31"/>
        <v>272.13107805916002</v>
      </c>
      <c r="L300" s="10">
        <f t="shared" si="30"/>
        <v>0.24109619942850025</v>
      </c>
      <c r="M300" s="10">
        <f t="shared" si="38"/>
        <v>0.25522220896508546</v>
      </c>
      <c r="P300" s="8">
        <f t="shared" si="39"/>
        <v>11.161010067794763</v>
      </c>
    </row>
    <row r="301" spans="1:16" x14ac:dyDescent="0.2">
      <c r="A301" s="8">
        <v>149.5</v>
      </c>
      <c r="B301" s="8">
        <v>299</v>
      </c>
      <c r="D301">
        <v>1260.543022415</v>
      </c>
      <c r="E301">
        <v>389.18510484453998</v>
      </c>
      <c r="F301">
        <v>141.90658942795</v>
      </c>
      <c r="G301">
        <v>119.1622013034</v>
      </c>
      <c r="I301" s="9">
        <f t="shared" si="36"/>
        <v>270.02290354113995</v>
      </c>
      <c r="J301" s="9">
        <f t="shared" si="37"/>
        <v>1118.6364329870501</v>
      </c>
      <c r="K301" s="9">
        <f t="shared" si="31"/>
        <v>270.02290354113995</v>
      </c>
      <c r="L301" s="10">
        <f t="shared" si="30"/>
        <v>0.24138575821288835</v>
      </c>
      <c r="M301" s="10">
        <f t="shared" si="38"/>
        <v>0.25555917046603926</v>
      </c>
      <c r="P301" s="8">
        <f t="shared" si="39"/>
        <v>11.307772298839904</v>
      </c>
    </row>
    <row r="302" spans="1:16" x14ac:dyDescent="0.2">
      <c r="A302" s="8">
        <v>150</v>
      </c>
      <c r="B302" s="8">
        <v>300</v>
      </c>
      <c r="D302">
        <v>1264.2480115691001</v>
      </c>
      <c r="E302">
        <v>389.27621113521002</v>
      </c>
      <c r="F302">
        <v>142.18899348298001</v>
      </c>
      <c r="G302">
        <v>118.63794351919</v>
      </c>
      <c r="I302" s="9">
        <f>E302-G302</f>
        <v>270.63826761602002</v>
      </c>
      <c r="J302" s="9">
        <f>D302-F302</f>
        <v>1122.05901808612</v>
      </c>
      <c r="K302" s="9">
        <f t="shared" si="31"/>
        <v>270.63826761602002</v>
      </c>
      <c r="L302" s="10">
        <f t="shared" si="30"/>
        <v>0.24119788999837447</v>
      </c>
      <c r="M302" s="10">
        <f>L302+ABS($N$2)*A302</f>
        <v>0.2554187049680911</v>
      </c>
      <c r="O302" s="11"/>
      <c r="P302" s="8">
        <f>(M302-$O$2)/$O$2*100</f>
        <v>11.246593114258324</v>
      </c>
    </row>
    <row r="303" spans="1:16" x14ac:dyDescent="0.2">
      <c r="A303" s="8">
        <v>150.5</v>
      </c>
      <c r="B303" s="8">
        <v>301</v>
      </c>
      <c r="D303">
        <v>1256.3405639913001</v>
      </c>
      <c r="E303">
        <v>385.56471438901002</v>
      </c>
      <c r="F303">
        <v>142.32440260681</v>
      </c>
      <c r="G303">
        <v>118.91745112238</v>
      </c>
      <c r="I303" s="9">
        <f t="shared" ref="I303:I309" si="40">E303-G303</f>
        <v>266.64726326663003</v>
      </c>
      <c r="J303" s="9">
        <f t="shared" ref="J303:J309" si="41">D303-F303</f>
        <v>1114.01616138449</v>
      </c>
      <c r="K303" s="9">
        <f t="shared" si="31"/>
        <v>266.64726326663003</v>
      </c>
      <c r="L303" s="10">
        <f t="shared" si="30"/>
        <v>0.239356727944811</v>
      </c>
      <c r="M303" s="10">
        <f t="shared" ref="M303:M309" si="42">L303+ABS($N$2)*A303</f>
        <v>0.25362494563109339</v>
      </c>
      <c r="P303" s="8">
        <f t="shared" ref="P303:P309" si="43">(M303-$O$2)/$O$2*100</f>
        <v>10.465328425234018</v>
      </c>
    </row>
    <row r="304" spans="1:16" x14ac:dyDescent="0.2">
      <c r="A304" s="8">
        <v>151</v>
      </c>
      <c r="B304" s="8">
        <v>302</v>
      </c>
      <c r="D304">
        <v>1251.6861894432</v>
      </c>
      <c r="E304">
        <v>381.88720173536001</v>
      </c>
      <c r="F304">
        <v>141.71035481535</v>
      </c>
      <c r="G304">
        <v>119.21723388849</v>
      </c>
      <c r="I304" s="9">
        <f t="shared" si="40"/>
        <v>262.66996784687001</v>
      </c>
      <c r="J304" s="9">
        <f t="shared" si="41"/>
        <v>1109.97583462785</v>
      </c>
      <c r="K304" s="9">
        <f t="shared" si="31"/>
        <v>262.66996784687001</v>
      </c>
      <c r="L304" s="10">
        <f t="shared" si="30"/>
        <v>0.23664476257263509</v>
      </c>
      <c r="M304" s="10">
        <f t="shared" si="42"/>
        <v>0.25096038297548318</v>
      </c>
      <c r="N304" s="1"/>
      <c r="P304" s="8">
        <f t="shared" si="43"/>
        <v>9.3047888413646689</v>
      </c>
    </row>
    <row r="305" spans="1:16" x14ac:dyDescent="0.2">
      <c r="A305" s="8">
        <v>151.5</v>
      </c>
      <c r="B305" s="8">
        <v>303</v>
      </c>
      <c r="D305">
        <v>1261.1670281996001</v>
      </c>
      <c r="E305">
        <v>384.24873463485</v>
      </c>
      <c r="F305">
        <v>142.28240405503001</v>
      </c>
      <c r="G305">
        <v>119.22809558291</v>
      </c>
      <c r="I305" s="9">
        <f t="shared" si="40"/>
        <v>265.02063905194001</v>
      </c>
      <c r="J305" s="9">
        <f t="shared" si="41"/>
        <v>1118.8846241445701</v>
      </c>
      <c r="K305" s="9">
        <f t="shared" si="31"/>
        <v>265.02063905194001</v>
      </c>
      <c r="L305" s="10">
        <f t="shared" si="30"/>
        <v>0.23686145410618933</v>
      </c>
      <c r="M305" s="10">
        <f t="shared" si="42"/>
        <v>0.25122447722560315</v>
      </c>
      <c r="P305" s="8">
        <f t="shared" si="43"/>
        <v>9.4198140333942888</v>
      </c>
    </row>
    <row r="306" spans="1:16" x14ac:dyDescent="0.2">
      <c r="A306" s="8">
        <v>152</v>
      </c>
      <c r="B306" s="8">
        <v>304</v>
      </c>
      <c r="D306">
        <v>1253.6963123644</v>
      </c>
      <c r="E306">
        <v>382.90889370933002</v>
      </c>
      <c r="F306">
        <v>141.65532223027</v>
      </c>
      <c r="G306">
        <v>118.97320782042</v>
      </c>
      <c r="I306" s="9">
        <f t="shared" si="40"/>
        <v>263.93568588891003</v>
      </c>
      <c r="J306" s="9">
        <f t="shared" si="41"/>
        <v>1112.04099013413</v>
      </c>
      <c r="K306" s="9">
        <f t="shared" si="31"/>
        <v>263.93568588891003</v>
      </c>
      <c r="L306" s="10">
        <f t="shared" si="30"/>
        <v>0.23734348664348709</v>
      </c>
      <c r="M306" s="10">
        <f t="shared" si="42"/>
        <v>0.25175391247946666</v>
      </c>
      <c r="P306" s="8">
        <f t="shared" si="43"/>
        <v>9.6504074359967156</v>
      </c>
    </row>
    <row r="307" spans="1:16" x14ac:dyDescent="0.2">
      <c r="A307" s="8">
        <v>152.5</v>
      </c>
      <c r="B307" s="8">
        <v>305</v>
      </c>
      <c r="D307">
        <v>1261.2227042661</v>
      </c>
      <c r="E307">
        <v>385.18799710773999</v>
      </c>
      <c r="F307">
        <v>141.54453294714</v>
      </c>
      <c r="G307">
        <v>118.78204199855</v>
      </c>
      <c r="I307" s="9">
        <f t="shared" si="40"/>
        <v>266.40595510919002</v>
      </c>
      <c r="J307" s="9">
        <f t="shared" si="41"/>
        <v>1119.67817131896</v>
      </c>
      <c r="K307" s="9">
        <f t="shared" si="31"/>
        <v>266.40595510919002</v>
      </c>
      <c r="L307" s="10">
        <f t="shared" si="30"/>
        <v>0.2379308286374546</v>
      </c>
      <c r="M307" s="10">
        <f t="shared" si="42"/>
        <v>0.25238865718999987</v>
      </c>
      <c r="P307" s="8">
        <f t="shared" si="43"/>
        <v>9.926867950323329</v>
      </c>
    </row>
    <row r="308" spans="1:16" x14ac:dyDescent="0.2">
      <c r="A308" s="8">
        <v>153</v>
      </c>
      <c r="B308" s="8">
        <v>306</v>
      </c>
      <c r="D308">
        <v>1257.3940708605001</v>
      </c>
      <c r="E308">
        <v>387.15328994939</v>
      </c>
      <c r="F308">
        <v>141.70528602461999</v>
      </c>
      <c r="G308">
        <v>118.75090514119999</v>
      </c>
      <c r="I308" s="9">
        <f t="shared" si="40"/>
        <v>268.40238480818999</v>
      </c>
      <c r="J308" s="9">
        <f t="shared" si="41"/>
        <v>1115.6887848358801</v>
      </c>
      <c r="K308" s="9">
        <f t="shared" si="31"/>
        <v>268.40238480818999</v>
      </c>
      <c r="L308" s="10">
        <f t="shared" si="30"/>
        <v>0.24057101626926589</v>
      </c>
      <c r="M308" s="10">
        <f t="shared" si="42"/>
        <v>0.25507624753837688</v>
      </c>
      <c r="P308" s="8">
        <f t="shared" si="43"/>
        <v>11.09743715347177</v>
      </c>
    </row>
    <row r="309" spans="1:16" x14ac:dyDescent="0.2">
      <c r="A309" s="8">
        <v>153.5</v>
      </c>
      <c r="B309" s="8">
        <v>307</v>
      </c>
      <c r="D309">
        <v>1264.6890817064</v>
      </c>
      <c r="E309">
        <v>388.44107013738</v>
      </c>
      <c r="F309">
        <v>142.08327299058999</v>
      </c>
      <c r="G309">
        <v>118.92541636495</v>
      </c>
      <c r="I309" s="9">
        <f t="shared" si="40"/>
        <v>269.51565377243003</v>
      </c>
      <c r="J309" s="9">
        <f t="shared" si="41"/>
        <v>1122.6058087158099</v>
      </c>
      <c r="K309" s="9">
        <f t="shared" si="31"/>
        <v>269.51565377243003</v>
      </c>
      <c r="L309" s="10">
        <f t="shared" si="30"/>
        <v>0.24008040193622276</v>
      </c>
      <c r="M309" s="10">
        <f t="shared" si="42"/>
        <v>0.25463303592189945</v>
      </c>
      <c r="P309" s="8">
        <f t="shared" si="43"/>
        <v>10.904398110509209</v>
      </c>
    </row>
    <row r="310" spans="1:16" x14ac:dyDescent="0.2">
      <c r="A310" s="8">
        <v>154</v>
      </c>
      <c r="B310" s="8">
        <v>308</v>
      </c>
      <c r="D310">
        <v>1276.1171366594001</v>
      </c>
      <c r="E310">
        <v>392.10339840926002</v>
      </c>
      <c r="F310">
        <v>141.53729181752001</v>
      </c>
      <c r="G310">
        <v>118.86241853729</v>
      </c>
      <c r="I310" s="9">
        <f>E310-G310</f>
        <v>273.24097987197001</v>
      </c>
      <c r="J310" s="9">
        <f>D310-F310</f>
        <v>1134.57984484188</v>
      </c>
      <c r="K310" s="9">
        <f t="shared" si="31"/>
        <v>273.24097987197001</v>
      </c>
      <c r="L310" s="10">
        <f t="shared" si="30"/>
        <v>0.24083010209832351</v>
      </c>
      <c r="M310" s="10">
        <f>L310+ABS($N$2)*A310</f>
        <v>0.25543013880056592</v>
      </c>
      <c r="O310" s="11"/>
      <c r="P310" s="8">
        <f>(M310-$O$2)/$O$2*100</f>
        <v>11.251573074160719</v>
      </c>
    </row>
    <row r="311" spans="1:16" x14ac:dyDescent="0.2">
      <c r="A311" s="8">
        <v>154.5</v>
      </c>
      <c r="B311" s="8">
        <v>309</v>
      </c>
      <c r="D311">
        <v>1266.0853217643</v>
      </c>
      <c r="E311">
        <v>390.39045553145002</v>
      </c>
      <c r="F311">
        <v>141.25561187545</v>
      </c>
      <c r="G311">
        <v>118.91383055756999</v>
      </c>
      <c r="I311" s="9">
        <f t="shared" ref="I311:I319" si="44">E311-G311</f>
        <v>271.47662497388001</v>
      </c>
      <c r="J311" s="9">
        <f t="shared" ref="J311:J319" si="45">D311-F311</f>
        <v>1124.8297098888499</v>
      </c>
      <c r="K311" s="9">
        <f t="shared" si="31"/>
        <v>271.47662497388001</v>
      </c>
      <c r="L311" s="10">
        <f t="shared" si="30"/>
        <v>0.24134908829951332</v>
      </c>
      <c r="M311" s="10">
        <f t="shared" ref="M311:M319" si="46">L311+ABS($N$2)*A311</f>
        <v>0.25599652771832149</v>
      </c>
      <c r="P311" s="8">
        <f t="shared" ref="P311:P319" si="47">(M311-$O$2)/$O$2*100</f>
        <v>11.498261496944204</v>
      </c>
    </row>
    <row r="312" spans="1:16" x14ac:dyDescent="0.2">
      <c r="A312" s="8">
        <v>155</v>
      </c>
      <c r="B312" s="8">
        <v>310</v>
      </c>
      <c r="D312">
        <v>1256.3550253072999</v>
      </c>
      <c r="E312">
        <v>387.09833694866001</v>
      </c>
      <c r="F312">
        <v>141.46850108616999</v>
      </c>
      <c r="G312">
        <v>118.80666183925</v>
      </c>
      <c r="I312" s="9">
        <f t="shared" si="44"/>
        <v>268.29167510940999</v>
      </c>
      <c r="J312" s="9">
        <f t="shared" si="45"/>
        <v>1114.88652422113</v>
      </c>
      <c r="K312" s="9">
        <f t="shared" si="31"/>
        <v>268.29167510940999</v>
      </c>
      <c r="L312" s="10">
        <f t="shared" si="30"/>
        <v>0.24064482732611825</v>
      </c>
      <c r="M312" s="10">
        <f t="shared" si="46"/>
        <v>0.25533966946149211</v>
      </c>
      <c r="N312" s="1"/>
      <c r="P312" s="8">
        <f t="shared" si="47"/>
        <v>11.212169516169471</v>
      </c>
    </row>
    <row r="313" spans="1:16" x14ac:dyDescent="0.2">
      <c r="A313" s="8">
        <v>155.5</v>
      </c>
      <c r="B313" s="8">
        <v>311</v>
      </c>
      <c r="D313">
        <v>1261.3420101229001</v>
      </c>
      <c r="E313">
        <v>385.36153289948999</v>
      </c>
      <c r="F313">
        <v>141.88414192613999</v>
      </c>
      <c r="G313">
        <v>119.19623461259999</v>
      </c>
      <c r="I313" s="9">
        <f t="shared" si="44"/>
        <v>266.16529828688999</v>
      </c>
      <c r="J313" s="9">
        <f t="shared" si="45"/>
        <v>1119.45786819676</v>
      </c>
      <c r="K313" s="9">
        <f t="shared" si="31"/>
        <v>266.16529828688999</v>
      </c>
      <c r="L313" s="10">
        <f t="shared" si="30"/>
        <v>0.23776267588849337</v>
      </c>
      <c r="M313" s="10">
        <f t="shared" si="46"/>
        <v>0.25250492074043296</v>
      </c>
      <c r="P313" s="8">
        <f t="shared" si="47"/>
        <v>9.9775060736771568</v>
      </c>
    </row>
    <row r="314" spans="1:16" x14ac:dyDescent="0.2">
      <c r="A314" s="8">
        <v>156</v>
      </c>
      <c r="B314" s="8">
        <v>312</v>
      </c>
      <c r="D314">
        <v>1272.3731019523</v>
      </c>
      <c r="E314">
        <v>389.04266088214001</v>
      </c>
      <c r="F314">
        <v>141.97031136857001</v>
      </c>
      <c r="G314">
        <v>118.69659666907999</v>
      </c>
      <c r="I314" s="9">
        <f t="shared" si="44"/>
        <v>270.34606421306</v>
      </c>
      <c r="J314" s="9">
        <f t="shared" si="45"/>
        <v>1130.4027905837299</v>
      </c>
      <c r="K314" s="9">
        <f t="shared" si="31"/>
        <v>270.34606421306</v>
      </c>
      <c r="L314" s="10">
        <f t="shared" si="30"/>
        <v>0.23915905592683093</v>
      </c>
      <c r="M314" s="10">
        <f t="shared" si="46"/>
        <v>0.25394870349533627</v>
      </c>
      <c r="P314" s="8">
        <f t="shared" si="47"/>
        <v>10.606339865235912</v>
      </c>
    </row>
    <row r="315" spans="1:16" x14ac:dyDescent="0.2">
      <c r="A315" s="8">
        <v>156.5</v>
      </c>
      <c r="B315" s="8">
        <v>313</v>
      </c>
      <c r="D315">
        <v>1258.9443239335001</v>
      </c>
      <c r="E315">
        <v>385.50397686189001</v>
      </c>
      <c r="F315">
        <v>141.69949312092999</v>
      </c>
      <c r="G315">
        <v>118.58146270818</v>
      </c>
      <c r="I315" s="9">
        <f t="shared" si="44"/>
        <v>266.92251415371004</v>
      </c>
      <c r="J315" s="9">
        <f t="shared" si="45"/>
        <v>1117.2448308125702</v>
      </c>
      <c r="K315" s="9">
        <f t="shared" si="31"/>
        <v>266.92251415371004</v>
      </c>
      <c r="L315" s="10">
        <f t="shared" si="30"/>
        <v>0.23891138879521848</v>
      </c>
      <c r="M315" s="10">
        <f t="shared" si="46"/>
        <v>0.25374843908028949</v>
      </c>
      <c r="P315" s="8">
        <f t="shared" si="47"/>
        <v>10.519115502013346</v>
      </c>
    </row>
    <row r="316" spans="1:16" x14ac:dyDescent="0.2">
      <c r="A316" s="8">
        <v>157</v>
      </c>
      <c r="B316" s="8">
        <v>314</v>
      </c>
      <c r="D316">
        <v>1271.2899493854</v>
      </c>
      <c r="E316">
        <v>389.59580621837</v>
      </c>
      <c r="F316">
        <v>141.27299058653</v>
      </c>
      <c r="G316">
        <v>118.95148443156999</v>
      </c>
      <c r="I316" s="9">
        <f t="shared" si="44"/>
        <v>270.64432178679999</v>
      </c>
      <c r="J316" s="9">
        <f t="shared" si="45"/>
        <v>1130.0169587988698</v>
      </c>
      <c r="K316" s="9">
        <f t="shared" si="31"/>
        <v>270.64432178679999</v>
      </c>
      <c r="L316" s="10">
        <f t="shared" si="30"/>
        <v>0.23950465493409609</v>
      </c>
      <c r="M316" s="10">
        <f t="shared" si="46"/>
        <v>0.25438910793573283</v>
      </c>
      <c r="P316" s="8">
        <f t="shared" si="47"/>
        <v>10.798156253908891</v>
      </c>
    </row>
    <row r="317" spans="1:16" x14ac:dyDescent="0.2">
      <c r="A317" s="8">
        <v>157.5</v>
      </c>
      <c r="B317" s="8">
        <v>315</v>
      </c>
      <c r="D317">
        <v>1271.9132321041</v>
      </c>
      <c r="E317">
        <v>386.40347071584</v>
      </c>
      <c r="F317">
        <v>141.49674149167001</v>
      </c>
      <c r="G317">
        <v>118.72338884865999</v>
      </c>
      <c r="I317" s="9">
        <f t="shared" si="44"/>
        <v>267.68008186717998</v>
      </c>
      <c r="J317" s="9">
        <f t="shared" si="45"/>
        <v>1130.4164906124299</v>
      </c>
      <c r="K317" s="9">
        <f t="shared" si="31"/>
        <v>267.68008186717998</v>
      </c>
      <c r="L317" s="10">
        <f t="shared" si="30"/>
        <v>0.23679775028950431</v>
      </c>
      <c r="M317" s="10">
        <f t="shared" si="46"/>
        <v>0.25172960600770677</v>
      </c>
      <c r="P317" s="8">
        <f t="shared" si="47"/>
        <v>9.6398208496531179</v>
      </c>
    </row>
    <row r="318" spans="1:16" x14ac:dyDescent="0.2">
      <c r="A318" s="8">
        <v>158</v>
      </c>
      <c r="B318" s="8">
        <v>316</v>
      </c>
      <c r="D318">
        <v>1253.8402024584</v>
      </c>
      <c r="E318">
        <v>378.68185104845003</v>
      </c>
      <c r="F318">
        <v>141.27950760319001</v>
      </c>
      <c r="G318">
        <v>118.52715423606</v>
      </c>
      <c r="I318" s="9">
        <f t="shared" si="44"/>
        <v>260.15469681239006</v>
      </c>
      <c r="J318" s="9">
        <f t="shared" si="45"/>
        <v>1112.5606948552099</v>
      </c>
      <c r="K318" s="9">
        <f t="shared" si="31"/>
        <v>260.15469681239006</v>
      </c>
      <c r="L318" s="10">
        <f t="shared" si="30"/>
        <v>0.23383416115221195</v>
      </c>
      <c r="M318" s="10">
        <f t="shared" si="46"/>
        <v>0.24881341958698017</v>
      </c>
      <c r="P318" s="8">
        <f t="shared" si="47"/>
        <v>8.3696875435100662</v>
      </c>
    </row>
    <row r="319" spans="1:16" x14ac:dyDescent="0.2">
      <c r="A319" s="8">
        <v>158.5</v>
      </c>
      <c r="B319" s="8">
        <v>317</v>
      </c>
      <c r="D319">
        <v>1257.0231381056001</v>
      </c>
      <c r="E319">
        <v>377.75198843095001</v>
      </c>
      <c r="F319">
        <v>141.90658942795</v>
      </c>
      <c r="G319">
        <v>118.88631426502999</v>
      </c>
      <c r="I319" s="9">
        <f t="shared" si="44"/>
        <v>258.86567416592004</v>
      </c>
      <c r="J319" s="9">
        <f t="shared" si="45"/>
        <v>1115.1165486776501</v>
      </c>
      <c r="K319" s="9">
        <f t="shared" si="31"/>
        <v>258.86567416592004</v>
      </c>
      <c r="L319" s="10">
        <f t="shared" si="30"/>
        <v>0.23214225855843798</v>
      </c>
      <c r="M319" s="10">
        <f t="shared" si="46"/>
        <v>0.24716891970977189</v>
      </c>
      <c r="P319" s="8">
        <f t="shared" si="47"/>
        <v>7.6534322138971032</v>
      </c>
    </row>
    <row r="320" spans="1:16" x14ac:dyDescent="0.2">
      <c r="A320" s="8">
        <v>159</v>
      </c>
      <c r="B320" s="8">
        <v>318</v>
      </c>
      <c r="D320">
        <v>1254.4309472161999</v>
      </c>
      <c r="E320">
        <v>376.62906724511998</v>
      </c>
      <c r="F320">
        <v>141.76538740043</v>
      </c>
      <c r="G320">
        <v>118.50398262129001</v>
      </c>
      <c r="I320" s="9">
        <f>E320-G320</f>
        <v>258.12508462382999</v>
      </c>
      <c r="J320" s="9">
        <f>D320-F320</f>
        <v>1112.6655598157699</v>
      </c>
      <c r="K320" s="9">
        <f t="shared" si="31"/>
        <v>258.12508462382999</v>
      </c>
      <c r="L320" s="10">
        <f t="shared" si="30"/>
        <v>0.2319880240263473</v>
      </c>
      <c r="M320" s="10">
        <f>L320+ABS($N$2)*A320</f>
        <v>0.24706208789424694</v>
      </c>
      <c r="O320" s="11"/>
      <c r="P320" s="8">
        <f>(M320-$O$2)/$O$2*100</f>
        <v>7.6069020448758211</v>
      </c>
    </row>
    <row r="321" spans="1:16" x14ac:dyDescent="0.2">
      <c r="A321" s="8">
        <v>159.5</v>
      </c>
      <c r="B321" s="8">
        <v>319</v>
      </c>
      <c r="D321">
        <v>1248.8214027476999</v>
      </c>
      <c r="E321">
        <v>373.71438900940001</v>
      </c>
      <c r="F321">
        <v>142.03258508326999</v>
      </c>
      <c r="G321">
        <v>118.57132512672</v>
      </c>
      <c r="I321" s="9">
        <f t="shared" ref="I321" si="48">E321-G321</f>
        <v>255.14306388268</v>
      </c>
      <c r="J321" s="9">
        <f t="shared" ref="J321" si="49">D321-F321</f>
        <v>1106.7888176644299</v>
      </c>
      <c r="K321" s="9">
        <f t="shared" si="31"/>
        <v>255.14306388268</v>
      </c>
      <c r="L321" s="10">
        <f t="shared" si="30"/>
        <v>0.23052551653086675</v>
      </c>
      <c r="M321" s="10">
        <f t="shared" ref="M321" si="50">L321+ABS($N$2)*A321</f>
        <v>0.24564698311533212</v>
      </c>
      <c r="P321" s="8">
        <f t="shared" ref="P321" si="51">(M321-$O$2)/$O$2*100</f>
        <v>6.9905588308044537</v>
      </c>
    </row>
    <row r="322" spans="1:16" x14ac:dyDescent="0.2">
      <c r="A322" s="8">
        <v>160</v>
      </c>
      <c r="B322" s="8">
        <v>320</v>
      </c>
      <c r="D322">
        <v>1219.3369486623001</v>
      </c>
      <c r="E322">
        <v>368.20751988430999</v>
      </c>
      <c r="F322">
        <v>141.44750181027999</v>
      </c>
      <c r="G322">
        <v>118.39102099928</v>
      </c>
      <c r="I322" s="9">
        <f>E322-G322</f>
        <v>249.81649888503</v>
      </c>
      <c r="J322" s="9">
        <f>D322-F322</f>
        <v>1077.88944685202</v>
      </c>
      <c r="K322" s="9">
        <f t="shared" si="31"/>
        <v>249.81649888503</v>
      </c>
      <c r="L322" s="10">
        <f t="shared" ref="L322" si="52">K322/J322</f>
        <v>0.23176449088969187</v>
      </c>
      <c r="M322" s="10">
        <f>L322+ABS($N$2)*A322</f>
        <v>0.24693336019072296</v>
      </c>
      <c r="O322" s="11"/>
      <c r="P322" s="8">
        <f>(M322-$O$2)/$O$2*100</f>
        <v>7.5508352096052613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7F8C-D161-8C4C-A39F-D9D0A5CCBC71}">
  <dimension ref="A1:Y798"/>
  <sheetViews>
    <sheetView topLeftCell="E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749.84337349398004</v>
      </c>
      <c r="E2">
        <v>289.47740963855</v>
      </c>
      <c r="F2">
        <v>137.11945905333999</v>
      </c>
      <c r="G2">
        <v>115.69947407964</v>
      </c>
      <c r="H2" s="4"/>
      <c r="I2" s="5">
        <f>E2-G2</f>
        <v>173.77793555891</v>
      </c>
      <c r="J2" s="5">
        <f>D2-F2</f>
        <v>612.7239144406401</v>
      </c>
      <c r="K2" s="9">
        <f>I2*1</f>
        <v>173.77793555891</v>
      </c>
      <c r="L2" s="6">
        <f t="shared" ref="L2:L65" si="0">K2/J2</f>
        <v>0.28361539587948525</v>
      </c>
      <c r="M2" s="6">
        <f>L2+ABS($N$2)*A2</f>
        <v>0.28361539587948525</v>
      </c>
      <c r="N2" s="4">
        <f>LINEST(V64:V103,U64:U103)</f>
        <v>3.4914414633404608E-4</v>
      </c>
      <c r="O2" s="7">
        <f>AVERAGE(M62:M81)</f>
        <v>0.3298972181850115</v>
      </c>
      <c r="P2" s="4">
        <f>(M2-$O$2)/$O$2*100</f>
        <v>-14.029164162145397</v>
      </c>
    </row>
    <row r="3" spans="1:16" x14ac:dyDescent="0.2">
      <c r="A3" s="8">
        <v>0.5</v>
      </c>
      <c r="B3" s="8">
        <v>1</v>
      </c>
      <c r="D3">
        <v>756.00376506023997</v>
      </c>
      <c r="E3">
        <v>290.60090361445998</v>
      </c>
      <c r="F3">
        <v>137.44327573253</v>
      </c>
      <c r="G3">
        <v>116.05184072126001</v>
      </c>
      <c r="I3" s="9">
        <f t="shared" ref="I3:I66" si="1">E3-G3</f>
        <v>174.54906289319996</v>
      </c>
      <c r="J3" s="9">
        <f t="shared" ref="J3:J66" si="2">D3-F3</f>
        <v>618.56048932771</v>
      </c>
      <c r="K3" s="9">
        <f t="shared" ref="K3:K66" si="3">I3*1</f>
        <v>174.54906289319996</v>
      </c>
      <c r="L3" s="10">
        <f t="shared" si="0"/>
        <v>0.28218592345416488</v>
      </c>
      <c r="M3" s="10">
        <f t="shared" ref="M3:M66" si="4">L3+ABS($N$2)*A3</f>
        <v>0.28236049552733189</v>
      </c>
      <c r="P3" s="8">
        <f t="shared" ref="P3:P66" si="5">(M3-$O$2)/$O$2*100</f>
        <v>-14.409555472826169</v>
      </c>
    </row>
    <row r="4" spans="1:16" ht="16" x14ac:dyDescent="0.2">
      <c r="A4" s="8">
        <v>1</v>
      </c>
      <c r="B4" s="8">
        <v>2</v>
      </c>
      <c r="D4">
        <v>761.89360119048001</v>
      </c>
      <c r="E4">
        <v>292.15401785713999</v>
      </c>
      <c r="F4">
        <v>137.07588279488999</v>
      </c>
      <c r="G4">
        <v>115.92186326071</v>
      </c>
      <c r="I4" s="9">
        <f t="shared" si="1"/>
        <v>176.23215459643001</v>
      </c>
      <c r="J4" s="9">
        <f t="shared" si="2"/>
        <v>624.81771839558996</v>
      </c>
      <c r="K4" s="9">
        <f t="shared" si="3"/>
        <v>176.23215459643001</v>
      </c>
      <c r="L4" s="10">
        <f t="shared" si="0"/>
        <v>0.28205370847830596</v>
      </c>
      <c r="M4" s="10">
        <f t="shared" si="4"/>
        <v>0.28240285262463999</v>
      </c>
      <c r="N4" s="1" t="s">
        <v>8</v>
      </c>
      <c r="P4" s="8">
        <f t="shared" si="5"/>
        <v>-14.396715989807445</v>
      </c>
    </row>
    <row r="5" spans="1:16" x14ac:dyDescent="0.2">
      <c r="A5" s="8">
        <v>1.5</v>
      </c>
      <c r="B5" s="8">
        <v>3</v>
      </c>
      <c r="D5">
        <v>767.22122571002001</v>
      </c>
      <c r="E5">
        <v>310.11958146487001</v>
      </c>
      <c r="F5">
        <v>137.18332081142</v>
      </c>
      <c r="G5">
        <v>116.24042073629001</v>
      </c>
      <c r="I5" s="9">
        <f t="shared" si="1"/>
        <v>193.87916072858002</v>
      </c>
      <c r="J5" s="9">
        <f t="shared" si="2"/>
        <v>630.0379048986</v>
      </c>
      <c r="K5" s="9">
        <f t="shared" si="3"/>
        <v>193.87916072858002</v>
      </c>
      <c r="L5" s="10">
        <f t="shared" si="0"/>
        <v>0.30772618475992086</v>
      </c>
      <c r="M5" s="10">
        <f t="shared" si="4"/>
        <v>0.30824990097942195</v>
      </c>
      <c r="N5" s="8">
        <f>RSQ(V64:V83,U64:U83)</f>
        <v>0.89826850363315991</v>
      </c>
      <c r="P5" s="8">
        <f t="shared" si="5"/>
        <v>-6.5618368426039266</v>
      </c>
    </row>
    <row r="6" spans="1:16" x14ac:dyDescent="0.2">
      <c r="A6" s="8">
        <v>2</v>
      </c>
      <c r="B6" s="8">
        <v>4</v>
      </c>
      <c r="D6">
        <v>742.34379671150998</v>
      </c>
      <c r="E6">
        <v>309.13079222721001</v>
      </c>
      <c r="F6">
        <v>137.4154770849</v>
      </c>
      <c r="G6">
        <v>116.31029301277</v>
      </c>
      <c r="I6" s="9">
        <f t="shared" si="1"/>
        <v>192.82049921444002</v>
      </c>
      <c r="J6" s="9">
        <f t="shared" si="2"/>
        <v>604.92831962661</v>
      </c>
      <c r="K6" s="9">
        <f t="shared" si="3"/>
        <v>192.82049921444002</v>
      </c>
      <c r="L6" s="10">
        <f t="shared" si="0"/>
        <v>0.31874933435660252</v>
      </c>
      <c r="M6" s="10">
        <f t="shared" si="4"/>
        <v>0.31944762264927062</v>
      </c>
      <c r="P6" s="8">
        <f t="shared" si="5"/>
        <v>-3.1675306609831968</v>
      </c>
    </row>
    <row r="7" spans="1:16" x14ac:dyDescent="0.2">
      <c r="A7" s="8">
        <v>2.5</v>
      </c>
      <c r="B7" s="8">
        <v>5</v>
      </c>
      <c r="D7">
        <v>773.38796992481002</v>
      </c>
      <c r="E7">
        <v>323.14812030075001</v>
      </c>
      <c r="F7">
        <v>138.22163786626999</v>
      </c>
      <c r="G7">
        <v>116.25093914350001</v>
      </c>
      <c r="I7" s="9">
        <f t="shared" si="1"/>
        <v>206.89718115725</v>
      </c>
      <c r="J7" s="9">
        <f t="shared" si="2"/>
        <v>635.16633205854009</v>
      </c>
      <c r="K7" s="9">
        <f t="shared" si="3"/>
        <v>206.89718115725</v>
      </c>
      <c r="L7" s="10">
        <f t="shared" si="0"/>
        <v>0.32573700889766516</v>
      </c>
      <c r="M7" s="10">
        <f t="shared" si="4"/>
        <v>0.32660986926350027</v>
      </c>
      <c r="P7" s="8">
        <f t="shared" si="5"/>
        <v>-0.99647670253091603</v>
      </c>
    </row>
    <row r="8" spans="1:16" x14ac:dyDescent="0.2">
      <c r="A8" s="8">
        <v>3</v>
      </c>
      <c r="B8" s="8">
        <v>6</v>
      </c>
      <c r="D8">
        <v>726.20451127820002</v>
      </c>
      <c r="E8">
        <v>304.35263157895002</v>
      </c>
      <c r="F8">
        <v>137.17881292262001</v>
      </c>
      <c r="G8">
        <v>116.40721262209</v>
      </c>
      <c r="I8" s="9">
        <f t="shared" si="1"/>
        <v>187.94541895686001</v>
      </c>
      <c r="J8" s="9">
        <f t="shared" si="2"/>
        <v>589.02569835558006</v>
      </c>
      <c r="K8" s="9">
        <f t="shared" si="3"/>
        <v>187.94541895686001</v>
      </c>
      <c r="L8" s="10">
        <f t="shared" si="0"/>
        <v>0.31907847056853206</v>
      </c>
      <c r="M8" s="10">
        <f t="shared" si="4"/>
        <v>0.32012590300753418</v>
      </c>
      <c r="P8" s="8">
        <f t="shared" si="5"/>
        <v>-2.9619271211912457</v>
      </c>
    </row>
    <row r="9" spans="1:16" x14ac:dyDescent="0.2">
      <c r="A9" s="8">
        <v>3.5</v>
      </c>
      <c r="B9" s="8">
        <v>7</v>
      </c>
      <c r="D9">
        <v>618.12631578947003</v>
      </c>
      <c r="E9">
        <v>283.61203007518998</v>
      </c>
      <c r="F9">
        <v>138.33583771599999</v>
      </c>
      <c r="G9">
        <v>116.44552967694</v>
      </c>
      <c r="I9" s="9">
        <f t="shared" si="1"/>
        <v>167.16650039824998</v>
      </c>
      <c r="J9" s="9">
        <f t="shared" si="2"/>
        <v>479.79047807347001</v>
      </c>
      <c r="K9" s="9">
        <f t="shared" si="3"/>
        <v>167.16650039824998</v>
      </c>
      <c r="L9" s="10">
        <f t="shared" si="0"/>
        <v>0.34841562731608</v>
      </c>
      <c r="M9" s="10">
        <f t="shared" si="4"/>
        <v>0.34963763182824914</v>
      </c>
      <c r="P9" s="8">
        <f t="shared" si="5"/>
        <v>5.9838072451301825</v>
      </c>
    </row>
    <row r="10" spans="1:16" x14ac:dyDescent="0.2">
      <c r="A10" s="8">
        <v>4</v>
      </c>
      <c r="B10" s="8">
        <v>8</v>
      </c>
      <c r="D10">
        <v>721.83333333332996</v>
      </c>
      <c r="E10">
        <v>307.04654654655002</v>
      </c>
      <c r="F10">
        <v>137.97896318558</v>
      </c>
      <c r="G10">
        <v>116.70773854245</v>
      </c>
      <c r="I10" s="9">
        <f t="shared" si="1"/>
        <v>190.33880800410003</v>
      </c>
      <c r="J10" s="9">
        <f t="shared" si="2"/>
        <v>583.85437014774993</v>
      </c>
      <c r="K10" s="9">
        <f t="shared" si="3"/>
        <v>190.33880800410003</v>
      </c>
      <c r="L10" s="10">
        <f t="shared" si="0"/>
        <v>0.32600391079702457</v>
      </c>
      <c r="M10" s="10">
        <f t="shared" si="4"/>
        <v>0.32740048738236077</v>
      </c>
      <c r="P10" s="8">
        <f t="shared" si="5"/>
        <v>-0.75682081115655864</v>
      </c>
    </row>
    <row r="11" spans="1:16" x14ac:dyDescent="0.2">
      <c r="A11" s="8">
        <v>4.5</v>
      </c>
      <c r="B11" s="8">
        <v>9</v>
      </c>
      <c r="D11">
        <v>753.67042042041999</v>
      </c>
      <c r="E11">
        <v>312.07432432432</v>
      </c>
      <c r="F11">
        <v>138.1645379414</v>
      </c>
      <c r="G11">
        <v>116.30653643877</v>
      </c>
      <c r="I11" s="9">
        <f t="shared" si="1"/>
        <v>195.76778788555001</v>
      </c>
      <c r="J11" s="9">
        <f t="shared" si="2"/>
        <v>615.50588247901999</v>
      </c>
      <c r="K11" s="9">
        <f t="shared" si="3"/>
        <v>195.76778788555001</v>
      </c>
      <c r="L11" s="10">
        <f t="shared" si="0"/>
        <v>0.31805997872363617</v>
      </c>
      <c r="M11" s="10">
        <f t="shared" si="4"/>
        <v>0.31963112738213939</v>
      </c>
      <c r="P11" s="8">
        <f t="shared" si="5"/>
        <v>-3.1119058412656044</v>
      </c>
    </row>
    <row r="12" spans="1:16" x14ac:dyDescent="0.2">
      <c r="A12" s="8">
        <v>5</v>
      </c>
      <c r="B12" s="8">
        <v>10</v>
      </c>
      <c r="D12">
        <v>750.57250187829004</v>
      </c>
      <c r="E12">
        <v>313.56724267468002</v>
      </c>
      <c r="F12">
        <v>138.15176558978001</v>
      </c>
      <c r="G12">
        <v>116.48459804658</v>
      </c>
      <c r="I12" s="9">
        <f t="shared" si="1"/>
        <v>197.08264462810001</v>
      </c>
      <c r="J12" s="9">
        <f t="shared" si="2"/>
        <v>612.42073628851006</v>
      </c>
      <c r="K12" s="9">
        <f t="shared" si="3"/>
        <v>197.08264462810001</v>
      </c>
      <c r="L12" s="10">
        <f t="shared" si="0"/>
        <v>0.32180922844398074</v>
      </c>
      <c r="M12" s="10">
        <f t="shared" si="4"/>
        <v>0.32355494917565097</v>
      </c>
      <c r="P12" s="8">
        <f t="shared" si="5"/>
        <v>-1.922498481270515</v>
      </c>
    </row>
    <row r="13" spans="1:16" x14ac:dyDescent="0.2">
      <c r="A13" s="8">
        <v>5.5</v>
      </c>
      <c r="B13" s="8">
        <v>11</v>
      </c>
      <c r="D13">
        <v>733.82945154020001</v>
      </c>
      <c r="E13">
        <v>307.41247182569998</v>
      </c>
      <c r="F13">
        <v>138.75882794891001</v>
      </c>
      <c r="G13">
        <v>116.34109691961</v>
      </c>
      <c r="I13" s="9">
        <f t="shared" si="1"/>
        <v>191.07137490609</v>
      </c>
      <c r="J13" s="9">
        <f t="shared" si="2"/>
        <v>595.07062359128997</v>
      </c>
      <c r="K13" s="9">
        <f t="shared" si="3"/>
        <v>191.07137490609</v>
      </c>
      <c r="L13" s="10">
        <f t="shared" si="0"/>
        <v>0.32109024934378683</v>
      </c>
      <c r="M13" s="10">
        <f t="shared" si="4"/>
        <v>0.32301054214862407</v>
      </c>
      <c r="P13" s="8">
        <f t="shared" si="5"/>
        <v>-2.0875217057833066</v>
      </c>
    </row>
    <row r="14" spans="1:16" x14ac:dyDescent="0.2">
      <c r="A14" s="8">
        <v>6</v>
      </c>
      <c r="B14" s="8">
        <v>12</v>
      </c>
      <c r="D14">
        <v>720.61157024792999</v>
      </c>
      <c r="E14">
        <v>296.80390683696999</v>
      </c>
      <c r="F14">
        <v>138.20886551465</v>
      </c>
      <c r="G14">
        <v>116.32306536439</v>
      </c>
      <c r="I14" s="9">
        <f t="shared" si="1"/>
        <v>180.48084147257998</v>
      </c>
      <c r="J14" s="9">
        <f t="shared" si="2"/>
        <v>582.40270473327996</v>
      </c>
      <c r="K14" s="9">
        <f t="shared" si="3"/>
        <v>180.48084147257998</v>
      </c>
      <c r="L14" s="10">
        <f t="shared" si="0"/>
        <v>0.30989011556056195</v>
      </c>
      <c r="M14" s="10">
        <f t="shared" si="4"/>
        <v>0.31198498043856621</v>
      </c>
      <c r="P14" s="8">
        <f t="shared" si="5"/>
        <v>-5.4296419487841296</v>
      </c>
    </row>
    <row r="15" spans="1:16" x14ac:dyDescent="0.2">
      <c r="A15" s="8">
        <v>6.5</v>
      </c>
      <c r="B15" s="8">
        <v>13</v>
      </c>
      <c r="D15">
        <v>758.01423220974004</v>
      </c>
      <c r="E15">
        <v>306.49737827715001</v>
      </c>
      <c r="F15">
        <v>138.37791134484999</v>
      </c>
      <c r="G15">
        <v>116.70698722765</v>
      </c>
      <c r="I15" s="9">
        <f t="shared" si="1"/>
        <v>189.79039104949999</v>
      </c>
      <c r="J15" s="9">
        <f t="shared" si="2"/>
        <v>619.63632086489008</v>
      </c>
      <c r="K15" s="9">
        <f t="shared" si="3"/>
        <v>189.79039104949999</v>
      </c>
      <c r="L15" s="10">
        <f t="shared" si="0"/>
        <v>0.3062931991859193</v>
      </c>
      <c r="M15" s="10">
        <f t="shared" si="4"/>
        <v>0.30856263613709062</v>
      </c>
      <c r="P15" s="8">
        <f t="shared" si="5"/>
        <v>-6.4670390872941867</v>
      </c>
    </row>
    <row r="16" spans="1:16" x14ac:dyDescent="0.2">
      <c r="A16" s="8">
        <v>7</v>
      </c>
      <c r="B16" s="8">
        <v>14</v>
      </c>
      <c r="D16">
        <v>754.07340823970003</v>
      </c>
      <c r="E16">
        <v>303.76179775281003</v>
      </c>
      <c r="F16">
        <v>138.65740045078999</v>
      </c>
      <c r="G16">
        <v>116.3305785124</v>
      </c>
      <c r="I16" s="9">
        <f t="shared" si="1"/>
        <v>187.43121924041003</v>
      </c>
      <c r="J16" s="9">
        <f t="shared" si="2"/>
        <v>615.41600778891006</v>
      </c>
      <c r="K16" s="9">
        <f t="shared" si="3"/>
        <v>187.43121924041003</v>
      </c>
      <c r="L16" s="10">
        <f t="shared" si="0"/>
        <v>0.30456019484091745</v>
      </c>
      <c r="M16" s="10">
        <f t="shared" si="4"/>
        <v>0.30700420386525579</v>
      </c>
      <c r="P16" s="8">
        <f t="shared" si="5"/>
        <v>-6.9394384243994907</v>
      </c>
    </row>
    <row r="17" spans="1:16" x14ac:dyDescent="0.2">
      <c r="A17" s="8">
        <v>7.5</v>
      </c>
      <c r="B17" s="8">
        <v>15</v>
      </c>
      <c r="D17">
        <v>725.72284644194997</v>
      </c>
      <c r="E17">
        <v>292.32808988763998</v>
      </c>
      <c r="F17">
        <v>138.77761081892999</v>
      </c>
      <c r="G17">
        <v>116.50788880541</v>
      </c>
      <c r="I17" s="9">
        <f t="shared" si="1"/>
        <v>175.82020108222997</v>
      </c>
      <c r="J17" s="9">
        <f t="shared" si="2"/>
        <v>586.94523562301993</v>
      </c>
      <c r="K17" s="9">
        <f t="shared" si="3"/>
        <v>175.82020108222997</v>
      </c>
      <c r="L17" s="10">
        <f t="shared" si="0"/>
        <v>0.29955128760113975</v>
      </c>
      <c r="M17" s="10">
        <f t="shared" si="4"/>
        <v>0.30216986869864509</v>
      </c>
      <c r="P17" s="8">
        <f t="shared" si="5"/>
        <v>-8.4048448904520541</v>
      </c>
    </row>
    <row r="18" spans="1:16" x14ac:dyDescent="0.2">
      <c r="A18" s="8">
        <v>8</v>
      </c>
      <c r="B18" s="8">
        <v>16</v>
      </c>
      <c r="D18">
        <v>779.99400749064</v>
      </c>
      <c r="E18">
        <v>308.92883895131001</v>
      </c>
      <c r="F18">
        <v>138.30428249437</v>
      </c>
      <c r="G18">
        <v>116.93613824192001</v>
      </c>
      <c r="I18" s="9">
        <f t="shared" si="1"/>
        <v>191.99270070939002</v>
      </c>
      <c r="J18" s="9">
        <f t="shared" si="2"/>
        <v>641.68972499627</v>
      </c>
      <c r="K18" s="9">
        <f t="shared" si="3"/>
        <v>191.99270070939002</v>
      </c>
      <c r="L18" s="10">
        <f t="shared" si="0"/>
        <v>0.29919865198169726</v>
      </c>
      <c r="M18" s="10">
        <f t="shared" si="4"/>
        <v>0.30199180515236962</v>
      </c>
      <c r="P18" s="8">
        <f t="shared" si="5"/>
        <v>-8.4588203520382788</v>
      </c>
    </row>
    <row r="19" spans="1:16" x14ac:dyDescent="0.2">
      <c r="A19" s="8">
        <v>8.5</v>
      </c>
      <c r="B19" s="8">
        <v>17</v>
      </c>
      <c r="D19">
        <v>768.62322097378001</v>
      </c>
      <c r="E19">
        <v>306.05543071160997</v>
      </c>
      <c r="F19">
        <v>138.68219383921999</v>
      </c>
      <c r="G19">
        <v>116.63711495117001</v>
      </c>
      <c r="I19" s="9">
        <f t="shared" si="1"/>
        <v>189.41831576043995</v>
      </c>
      <c r="J19" s="9">
        <f t="shared" si="2"/>
        <v>629.94102713456004</v>
      </c>
      <c r="K19" s="9">
        <f t="shared" si="3"/>
        <v>189.41831576043995</v>
      </c>
      <c r="L19" s="10">
        <f t="shared" si="0"/>
        <v>0.3006921403771004</v>
      </c>
      <c r="M19" s="10">
        <f t="shared" si="4"/>
        <v>0.30365986562093977</v>
      </c>
      <c r="P19" s="8">
        <f t="shared" si="5"/>
        <v>-7.9531899991219106</v>
      </c>
    </row>
    <row r="20" spans="1:16" x14ac:dyDescent="0.2">
      <c r="A20" s="8">
        <v>9</v>
      </c>
      <c r="B20" s="8">
        <v>18</v>
      </c>
      <c r="D20">
        <v>721.46891385768004</v>
      </c>
      <c r="E20">
        <v>294.74831460674</v>
      </c>
      <c r="F20">
        <v>138.62659654395</v>
      </c>
      <c r="G20">
        <v>116.77986476334</v>
      </c>
      <c r="I20" s="9">
        <f t="shared" si="1"/>
        <v>177.96844984339998</v>
      </c>
      <c r="J20" s="9">
        <f t="shared" si="2"/>
        <v>582.84231731373006</v>
      </c>
      <c r="K20" s="9">
        <f t="shared" si="3"/>
        <v>177.96844984339998</v>
      </c>
      <c r="L20" s="10">
        <f t="shared" si="0"/>
        <v>0.30534579346201424</v>
      </c>
      <c r="M20" s="10">
        <f t="shared" si="4"/>
        <v>0.30848809077902067</v>
      </c>
      <c r="P20" s="8">
        <f t="shared" si="5"/>
        <v>-6.4896356276591129</v>
      </c>
    </row>
    <row r="21" spans="1:16" x14ac:dyDescent="0.2">
      <c r="A21" s="8">
        <v>9.5</v>
      </c>
      <c r="B21" s="8">
        <v>19</v>
      </c>
      <c r="D21">
        <v>726.37453183520995</v>
      </c>
      <c r="E21">
        <v>296.21348314607002</v>
      </c>
      <c r="F21">
        <v>139.35386927123</v>
      </c>
      <c r="G21">
        <v>117.00525920361</v>
      </c>
      <c r="I21" s="9">
        <f t="shared" si="1"/>
        <v>179.20822394246002</v>
      </c>
      <c r="J21" s="9">
        <f t="shared" si="2"/>
        <v>587.02066256397995</v>
      </c>
      <c r="K21" s="9">
        <f t="shared" si="3"/>
        <v>179.20822394246002</v>
      </c>
      <c r="L21" s="10">
        <f t="shared" si="0"/>
        <v>0.30528435431849549</v>
      </c>
      <c r="M21" s="10">
        <f t="shared" si="4"/>
        <v>0.30860122370866894</v>
      </c>
      <c r="P21" s="8">
        <f t="shared" si="5"/>
        <v>-6.455342240685229</v>
      </c>
    </row>
    <row r="22" spans="1:16" x14ac:dyDescent="0.2">
      <c r="A22" s="8">
        <v>10</v>
      </c>
      <c r="B22" s="8">
        <v>20</v>
      </c>
      <c r="D22">
        <v>705.61647940074999</v>
      </c>
      <c r="E22">
        <v>288.47640449438001</v>
      </c>
      <c r="F22">
        <v>139.18332081142</v>
      </c>
      <c r="G22">
        <v>117.22990232908001</v>
      </c>
      <c r="I22" s="9">
        <f t="shared" si="1"/>
        <v>171.2465021653</v>
      </c>
      <c r="J22" s="9">
        <f t="shared" si="2"/>
        <v>566.43315858932999</v>
      </c>
      <c r="K22" s="9">
        <f t="shared" si="3"/>
        <v>171.2465021653</v>
      </c>
      <c r="L22" s="10">
        <f t="shared" si="0"/>
        <v>0.30232428940385447</v>
      </c>
      <c r="M22" s="10">
        <f t="shared" si="4"/>
        <v>0.30581573086719493</v>
      </c>
      <c r="P22" s="8">
        <f t="shared" si="5"/>
        <v>-7.2996939623514168</v>
      </c>
    </row>
    <row r="23" spans="1:16" x14ac:dyDescent="0.2">
      <c r="A23" s="8">
        <v>10.5</v>
      </c>
      <c r="B23" s="8">
        <v>21</v>
      </c>
      <c r="D23">
        <v>421.14552238805999</v>
      </c>
      <c r="E23">
        <v>219.73731343284001</v>
      </c>
      <c r="F23">
        <v>139.55672426747</v>
      </c>
      <c r="G23">
        <v>116.93238166792</v>
      </c>
      <c r="I23" s="9">
        <f t="shared" si="1"/>
        <v>102.80493176492001</v>
      </c>
      <c r="J23" s="9">
        <f t="shared" si="2"/>
        <v>281.58879812059001</v>
      </c>
      <c r="K23" s="9">
        <f t="shared" si="3"/>
        <v>102.80493176492001</v>
      </c>
      <c r="L23" s="10">
        <f t="shared" si="0"/>
        <v>0.36508885456762363</v>
      </c>
      <c r="M23" s="10">
        <f t="shared" si="4"/>
        <v>0.36875486810413111</v>
      </c>
      <c r="P23" s="8">
        <f t="shared" si="5"/>
        <v>11.778714028842655</v>
      </c>
    </row>
    <row r="24" spans="1:16" x14ac:dyDescent="0.2">
      <c r="A24" s="8">
        <v>11</v>
      </c>
      <c r="B24" s="8">
        <v>22</v>
      </c>
      <c r="D24">
        <v>511.23805970148999</v>
      </c>
      <c r="E24">
        <v>238.54701492537001</v>
      </c>
      <c r="F24">
        <v>139.06912096168</v>
      </c>
      <c r="G24">
        <v>116.93238166792</v>
      </c>
      <c r="I24" s="9">
        <f t="shared" si="1"/>
        <v>121.61463325745001</v>
      </c>
      <c r="J24" s="9">
        <f t="shared" si="2"/>
        <v>372.16893873980996</v>
      </c>
      <c r="K24" s="9">
        <f t="shared" si="3"/>
        <v>121.61463325745001</v>
      </c>
      <c r="L24" s="10">
        <f t="shared" si="0"/>
        <v>0.32677265778612707</v>
      </c>
      <c r="M24" s="10">
        <f t="shared" si="4"/>
        <v>0.33061324339580156</v>
      </c>
      <c r="P24" s="8">
        <f t="shared" si="5"/>
        <v>0.21704493742911862</v>
      </c>
    </row>
    <row r="25" spans="1:16" x14ac:dyDescent="0.2">
      <c r="A25" s="8">
        <v>11.5</v>
      </c>
      <c r="B25" s="8">
        <v>23</v>
      </c>
      <c r="D25">
        <v>494.29477611940001</v>
      </c>
      <c r="E25">
        <v>235.59104477611999</v>
      </c>
      <c r="F25">
        <v>139.28549962433999</v>
      </c>
      <c r="G25">
        <v>116.98647633358</v>
      </c>
      <c r="I25" s="9">
        <f t="shared" si="1"/>
        <v>118.60456844253999</v>
      </c>
      <c r="J25" s="9">
        <f t="shared" si="2"/>
        <v>355.00927649506002</v>
      </c>
      <c r="K25" s="9">
        <f t="shared" si="3"/>
        <v>118.60456844253999</v>
      </c>
      <c r="L25" s="10">
        <f t="shared" si="0"/>
        <v>0.33408864583342901</v>
      </c>
      <c r="M25" s="10">
        <f t="shared" si="4"/>
        <v>0.33810380351627056</v>
      </c>
      <c r="P25" s="8">
        <f t="shared" si="5"/>
        <v>2.4876188336503899</v>
      </c>
    </row>
    <row r="26" spans="1:16" x14ac:dyDescent="0.2">
      <c r="A26" s="8">
        <v>12</v>
      </c>
      <c r="B26" s="8">
        <v>24</v>
      </c>
      <c r="D26">
        <v>474.11441307578002</v>
      </c>
      <c r="E26">
        <v>234.49702823179999</v>
      </c>
      <c r="F26">
        <v>139.24042073628999</v>
      </c>
      <c r="G26">
        <v>117.22839969947</v>
      </c>
      <c r="I26" s="9">
        <f t="shared" si="1"/>
        <v>117.26862853232998</v>
      </c>
      <c r="J26" s="9">
        <f t="shared" si="2"/>
        <v>334.87399233949003</v>
      </c>
      <c r="K26" s="9">
        <f t="shared" si="3"/>
        <v>117.26862853232998</v>
      </c>
      <c r="L26" s="10">
        <f t="shared" si="0"/>
        <v>0.35018732781566647</v>
      </c>
      <c r="M26" s="10">
        <f t="shared" si="4"/>
        <v>0.35437705757167504</v>
      </c>
      <c r="P26" s="8">
        <f t="shared" si="5"/>
        <v>7.4204443193985528</v>
      </c>
    </row>
    <row r="27" spans="1:16" x14ac:dyDescent="0.2">
      <c r="A27" s="8">
        <v>12.5</v>
      </c>
      <c r="B27" s="8">
        <v>25</v>
      </c>
      <c r="D27">
        <v>363.55423476969003</v>
      </c>
      <c r="E27">
        <v>203.55423476969</v>
      </c>
      <c r="F27">
        <v>139.47332832456999</v>
      </c>
      <c r="G27">
        <v>117.17355371901</v>
      </c>
      <c r="I27" s="9">
        <f t="shared" si="1"/>
        <v>86.380681050679996</v>
      </c>
      <c r="J27" s="9">
        <f t="shared" si="2"/>
        <v>224.08090644512004</v>
      </c>
      <c r="K27" s="9">
        <f t="shared" si="3"/>
        <v>86.380681050679996</v>
      </c>
      <c r="L27" s="10">
        <f t="shared" si="0"/>
        <v>0.38548880590071877</v>
      </c>
      <c r="M27" s="10">
        <f t="shared" si="4"/>
        <v>0.38985310772989434</v>
      </c>
      <c r="P27" s="8">
        <f t="shared" si="5"/>
        <v>18.174111886950996</v>
      </c>
    </row>
    <row r="28" spans="1:16" x14ac:dyDescent="0.2">
      <c r="A28" s="8">
        <v>13</v>
      </c>
      <c r="B28" s="8">
        <v>26</v>
      </c>
      <c r="D28">
        <v>376.71396731055</v>
      </c>
      <c r="E28">
        <v>205.75928677562999</v>
      </c>
      <c r="F28">
        <v>139.62058602555001</v>
      </c>
      <c r="G28">
        <v>116.89481592787</v>
      </c>
      <c r="I28" s="9">
        <f t="shared" si="1"/>
        <v>88.864470847759989</v>
      </c>
      <c r="J28" s="9">
        <f t="shared" si="2"/>
        <v>237.09338128499999</v>
      </c>
      <c r="K28" s="9">
        <f t="shared" si="3"/>
        <v>88.864470847759989</v>
      </c>
      <c r="L28" s="10">
        <f t="shared" si="0"/>
        <v>0.3748078936920628</v>
      </c>
      <c r="M28" s="10">
        <f t="shared" si="4"/>
        <v>0.37934676759440539</v>
      </c>
      <c r="P28" s="8">
        <f t="shared" si="5"/>
        <v>14.989380535382937</v>
      </c>
    </row>
    <row r="29" spans="1:16" x14ac:dyDescent="0.2">
      <c r="A29" s="8">
        <v>13.5</v>
      </c>
      <c r="B29" s="8">
        <v>27</v>
      </c>
      <c r="D29">
        <v>446.29569093611002</v>
      </c>
      <c r="E29">
        <v>226.09583952451999</v>
      </c>
      <c r="F29">
        <v>139.76859504132</v>
      </c>
      <c r="G29">
        <v>117.18557475582</v>
      </c>
      <c r="I29" s="9">
        <f t="shared" si="1"/>
        <v>108.91026476869999</v>
      </c>
      <c r="J29" s="9">
        <f t="shared" si="2"/>
        <v>306.52709589479002</v>
      </c>
      <c r="K29" s="9">
        <f t="shared" si="3"/>
        <v>108.91026476869999</v>
      </c>
      <c r="L29" s="10">
        <f t="shared" si="0"/>
        <v>0.35530387436313787</v>
      </c>
      <c r="M29" s="10">
        <f t="shared" si="4"/>
        <v>0.36001732033864747</v>
      </c>
      <c r="P29" s="8">
        <f t="shared" si="5"/>
        <v>9.1301473590311257</v>
      </c>
    </row>
    <row r="30" spans="1:16" x14ac:dyDescent="0.2">
      <c r="A30" s="8">
        <v>14</v>
      </c>
      <c r="B30" s="8">
        <v>28</v>
      </c>
      <c r="D30">
        <v>441.48885586924001</v>
      </c>
      <c r="E30">
        <v>221.00965824666</v>
      </c>
      <c r="F30">
        <v>139.70097670924</v>
      </c>
      <c r="G30">
        <v>117.57175056349</v>
      </c>
      <c r="I30" s="9">
        <f t="shared" si="1"/>
        <v>103.43790768317</v>
      </c>
      <c r="J30" s="9">
        <f t="shared" si="2"/>
        <v>301.78787915999999</v>
      </c>
      <c r="K30" s="9">
        <f t="shared" si="3"/>
        <v>103.43790768317</v>
      </c>
      <c r="L30" s="10">
        <f t="shared" si="0"/>
        <v>0.34275037145653536</v>
      </c>
      <c r="M30" s="10">
        <f t="shared" si="4"/>
        <v>0.34763838950521203</v>
      </c>
      <c r="P30" s="8">
        <f t="shared" si="5"/>
        <v>5.3777874872079119</v>
      </c>
    </row>
    <row r="31" spans="1:16" x14ac:dyDescent="0.2">
      <c r="A31" s="8">
        <v>14.5</v>
      </c>
      <c r="B31" s="8">
        <v>29</v>
      </c>
      <c r="D31">
        <v>502.32169390787999</v>
      </c>
      <c r="E31">
        <v>234.60624071321999</v>
      </c>
      <c r="F31">
        <v>139.99624342600001</v>
      </c>
      <c r="G31">
        <v>117.47933884298</v>
      </c>
      <c r="I31" s="9">
        <f t="shared" si="1"/>
        <v>117.12690187023999</v>
      </c>
      <c r="J31" s="9">
        <f t="shared" si="2"/>
        <v>362.32545048188001</v>
      </c>
      <c r="K31" s="9">
        <f t="shared" si="3"/>
        <v>117.12690187023999</v>
      </c>
      <c r="L31" s="10">
        <f t="shared" si="0"/>
        <v>0.32326435174361989</v>
      </c>
      <c r="M31" s="10">
        <f t="shared" si="4"/>
        <v>0.32832694186546357</v>
      </c>
      <c r="P31" s="8">
        <f t="shared" si="5"/>
        <v>-0.47598956068410669</v>
      </c>
    </row>
    <row r="32" spans="1:16" x14ac:dyDescent="0.2">
      <c r="A32" s="8">
        <v>15</v>
      </c>
      <c r="B32" s="8">
        <v>30</v>
      </c>
      <c r="D32">
        <v>388.58618127786002</v>
      </c>
      <c r="E32">
        <v>206.91381872214001</v>
      </c>
      <c r="F32">
        <v>139.57475582269001</v>
      </c>
      <c r="G32">
        <v>117.39744552968</v>
      </c>
      <c r="I32" s="9">
        <f t="shared" si="1"/>
        <v>89.516373192460009</v>
      </c>
      <c r="J32" s="9">
        <f t="shared" si="2"/>
        <v>249.01142545517001</v>
      </c>
      <c r="K32" s="9">
        <f t="shared" si="3"/>
        <v>89.516373192460009</v>
      </c>
      <c r="L32" s="10">
        <f t="shared" si="0"/>
        <v>0.35948701160532009</v>
      </c>
      <c r="M32" s="10">
        <f t="shared" si="4"/>
        <v>0.36472417380033079</v>
      </c>
      <c r="P32" s="8">
        <f t="shared" si="5"/>
        <v>10.556910969703234</v>
      </c>
    </row>
    <row r="33" spans="1:16" x14ac:dyDescent="0.2">
      <c r="A33" s="8">
        <v>15.5</v>
      </c>
      <c r="B33" s="8">
        <v>31</v>
      </c>
      <c r="D33">
        <v>385.63372956909001</v>
      </c>
      <c r="E33">
        <v>207.05720653789001</v>
      </c>
      <c r="F33">
        <v>140.13749060857</v>
      </c>
      <c r="G33">
        <v>117.36213373404</v>
      </c>
      <c r="I33" s="9">
        <f t="shared" si="1"/>
        <v>89.69507280385001</v>
      </c>
      <c r="J33" s="9">
        <f t="shared" si="2"/>
        <v>245.49623896052</v>
      </c>
      <c r="K33" s="9">
        <f t="shared" si="3"/>
        <v>89.69507280385001</v>
      </c>
      <c r="L33" s="10">
        <f t="shared" si="0"/>
        <v>0.36536230935201625</v>
      </c>
      <c r="M33" s="10">
        <f t="shared" si="4"/>
        <v>0.37077404362019395</v>
      </c>
      <c r="P33" s="8">
        <f t="shared" si="5"/>
        <v>12.39077603020529</v>
      </c>
    </row>
    <row r="34" spans="1:16" x14ac:dyDescent="0.2">
      <c r="A34" s="8">
        <v>16</v>
      </c>
      <c r="B34" s="8">
        <v>32</v>
      </c>
      <c r="D34">
        <v>343.67459138187002</v>
      </c>
      <c r="E34">
        <v>193.06760772659999</v>
      </c>
      <c r="F34">
        <v>140.30728775356999</v>
      </c>
      <c r="G34">
        <v>117.46882043575999</v>
      </c>
      <c r="I34" s="9">
        <f t="shared" si="1"/>
        <v>75.598787290839994</v>
      </c>
      <c r="J34" s="9">
        <f t="shared" si="2"/>
        <v>203.36730362830002</v>
      </c>
      <c r="K34" s="9">
        <f t="shared" si="3"/>
        <v>75.598787290839994</v>
      </c>
      <c r="L34" s="10">
        <f t="shared" si="0"/>
        <v>0.37173520984973063</v>
      </c>
      <c r="M34" s="10">
        <f t="shared" si="4"/>
        <v>0.37732151619107535</v>
      </c>
      <c r="P34" s="8">
        <f t="shared" si="5"/>
        <v>14.375476782428509</v>
      </c>
    </row>
    <row r="35" spans="1:16" x14ac:dyDescent="0.2">
      <c r="A35" s="8">
        <v>16.5</v>
      </c>
      <c r="B35" s="8">
        <v>33</v>
      </c>
      <c r="D35">
        <v>434.33082140165999</v>
      </c>
      <c r="E35">
        <v>216.41823662396001</v>
      </c>
      <c r="F35">
        <v>140.63335837715999</v>
      </c>
      <c r="G35">
        <v>117.88955672426999</v>
      </c>
      <c r="I35" s="9">
        <f t="shared" si="1"/>
        <v>98.528679899690019</v>
      </c>
      <c r="J35" s="9">
        <f t="shared" si="2"/>
        <v>293.6974630245</v>
      </c>
      <c r="K35" s="9">
        <f t="shared" si="3"/>
        <v>98.528679899690019</v>
      </c>
      <c r="L35" s="10">
        <f t="shared" si="0"/>
        <v>0.33547678241766371</v>
      </c>
      <c r="M35" s="10">
        <f t="shared" si="4"/>
        <v>0.34123766083217549</v>
      </c>
      <c r="P35" s="8">
        <f t="shared" si="5"/>
        <v>3.4375684370894262</v>
      </c>
    </row>
    <row r="36" spans="1:16" x14ac:dyDescent="0.2">
      <c r="A36" s="8">
        <v>17</v>
      </c>
      <c r="B36" s="8">
        <v>34</v>
      </c>
      <c r="D36">
        <v>458.21568627451001</v>
      </c>
      <c r="E36">
        <v>222.79562594269001</v>
      </c>
      <c r="F36">
        <v>140.71525169046001</v>
      </c>
      <c r="G36">
        <v>117.71525169045999</v>
      </c>
      <c r="I36" s="9">
        <f t="shared" si="1"/>
        <v>105.08037425223002</v>
      </c>
      <c r="J36" s="9">
        <f t="shared" si="2"/>
        <v>317.50043458405003</v>
      </c>
      <c r="K36" s="9">
        <f t="shared" si="3"/>
        <v>105.08037425223002</v>
      </c>
      <c r="L36" s="10">
        <f t="shared" si="0"/>
        <v>0.33096135565890922</v>
      </c>
      <c r="M36" s="10">
        <f t="shared" si="4"/>
        <v>0.33689680614658801</v>
      </c>
      <c r="P36" s="8">
        <f t="shared" si="5"/>
        <v>2.1217481008436501</v>
      </c>
    </row>
    <row r="37" spans="1:16" x14ac:dyDescent="0.2">
      <c r="A37" s="8">
        <v>17.5</v>
      </c>
      <c r="B37" s="8">
        <v>35</v>
      </c>
      <c r="D37">
        <v>412.1171237954</v>
      </c>
      <c r="E37">
        <v>211.98443291327001</v>
      </c>
      <c r="F37">
        <v>140.35762584522999</v>
      </c>
      <c r="G37">
        <v>117.51089406461</v>
      </c>
      <c r="I37" s="9">
        <f t="shared" si="1"/>
        <v>94.473538848660013</v>
      </c>
      <c r="J37" s="9">
        <f t="shared" si="2"/>
        <v>271.75949795017004</v>
      </c>
      <c r="K37" s="9">
        <f t="shared" si="3"/>
        <v>94.473538848660013</v>
      </c>
      <c r="L37" s="10">
        <f t="shared" si="0"/>
        <v>0.34763656674837812</v>
      </c>
      <c r="M37" s="10">
        <f t="shared" si="4"/>
        <v>0.35374658930922392</v>
      </c>
      <c r="P37" s="8">
        <f t="shared" si="5"/>
        <v>7.2293338074882847</v>
      </c>
    </row>
    <row r="38" spans="1:16" x14ac:dyDescent="0.2">
      <c r="A38" s="8">
        <v>18</v>
      </c>
      <c r="B38" s="8">
        <v>36</v>
      </c>
      <c r="D38">
        <v>419.23795404002999</v>
      </c>
      <c r="E38">
        <v>214.73017049666001</v>
      </c>
      <c r="F38">
        <v>140.50112697220001</v>
      </c>
      <c r="G38">
        <v>117.86401202104</v>
      </c>
      <c r="I38" s="9">
        <f t="shared" si="1"/>
        <v>96.866158475620011</v>
      </c>
      <c r="J38" s="9">
        <f t="shared" si="2"/>
        <v>278.73682706782995</v>
      </c>
      <c r="K38" s="9">
        <f t="shared" si="3"/>
        <v>96.866158475620011</v>
      </c>
      <c r="L38" s="10">
        <f t="shared" si="0"/>
        <v>0.34751833654204528</v>
      </c>
      <c r="M38" s="10">
        <f t="shared" si="4"/>
        <v>0.3538029311760581</v>
      </c>
      <c r="P38" s="8">
        <f t="shared" si="5"/>
        <v>7.2464124197736961</v>
      </c>
    </row>
    <row r="39" spans="1:16" x14ac:dyDescent="0.2">
      <c r="A39" s="8">
        <v>18.5</v>
      </c>
      <c r="B39" s="8">
        <v>37</v>
      </c>
      <c r="D39">
        <v>430.17466266867001</v>
      </c>
      <c r="E39">
        <v>215.49550224888</v>
      </c>
      <c r="F39">
        <v>140.96769346356001</v>
      </c>
      <c r="G39">
        <v>117.75882794891</v>
      </c>
      <c r="I39" s="9">
        <f t="shared" si="1"/>
        <v>97.736674299970005</v>
      </c>
      <c r="J39" s="9">
        <f t="shared" si="2"/>
        <v>289.20696920511</v>
      </c>
      <c r="K39" s="9">
        <f t="shared" si="3"/>
        <v>97.736674299970005</v>
      </c>
      <c r="L39" s="10">
        <f t="shared" si="0"/>
        <v>0.33794716140002029</v>
      </c>
      <c r="M39" s="10">
        <f t="shared" si="4"/>
        <v>0.34440632810720012</v>
      </c>
      <c r="P39" s="8">
        <f t="shared" si="5"/>
        <v>4.3980697994402878</v>
      </c>
    </row>
    <row r="40" spans="1:16" x14ac:dyDescent="0.2">
      <c r="A40" s="8">
        <v>19</v>
      </c>
      <c r="B40" s="8">
        <v>38</v>
      </c>
      <c r="D40">
        <v>440.38755622189001</v>
      </c>
      <c r="E40">
        <v>219.57121439279999</v>
      </c>
      <c r="F40">
        <v>140.96468820435999</v>
      </c>
      <c r="G40">
        <v>117.79188580015</v>
      </c>
      <c r="I40" s="9">
        <f t="shared" si="1"/>
        <v>101.77932859264999</v>
      </c>
      <c r="J40" s="9">
        <f t="shared" si="2"/>
        <v>299.42286801753005</v>
      </c>
      <c r="K40" s="9">
        <f t="shared" si="3"/>
        <v>101.77932859264999</v>
      </c>
      <c r="L40" s="10">
        <f t="shared" si="0"/>
        <v>0.33991835448817892</v>
      </c>
      <c r="M40" s="10">
        <f t="shared" si="4"/>
        <v>0.34655209326852582</v>
      </c>
      <c r="P40" s="8">
        <f t="shared" si="5"/>
        <v>5.04850425085246</v>
      </c>
    </row>
    <row r="41" spans="1:16" x14ac:dyDescent="0.2">
      <c r="A41" s="8">
        <v>19.5</v>
      </c>
      <c r="B41" s="8">
        <v>39</v>
      </c>
      <c r="D41">
        <v>451.69640179909999</v>
      </c>
      <c r="E41">
        <v>223.84632683658</v>
      </c>
      <c r="F41">
        <v>140.68595041322001</v>
      </c>
      <c r="G41">
        <v>117.88354620586</v>
      </c>
      <c r="I41" s="9">
        <f t="shared" si="1"/>
        <v>105.96278063072</v>
      </c>
      <c r="J41" s="9">
        <f t="shared" si="2"/>
        <v>311.01045138587995</v>
      </c>
      <c r="K41" s="9">
        <f t="shared" si="3"/>
        <v>105.96278063072</v>
      </c>
      <c r="L41" s="10">
        <f t="shared" si="0"/>
        <v>0.34070488679253041</v>
      </c>
      <c r="M41" s="10">
        <f t="shared" si="4"/>
        <v>0.34751319764604433</v>
      </c>
      <c r="P41" s="8">
        <f t="shared" si="5"/>
        <v>5.3398387406690739</v>
      </c>
    </row>
    <row r="42" spans="1:16" x14ac:dyDescent="0.2">
      <c r="A42" s="8">
        <v>20</v>
      </c>
      <c r="B42" s="8">
        <v>40</v>
      </c>
      <c r="D42">
        <v>420.25637181409002</v>
      </c>
      <c r="E42">
        <v>212.99400299850001</v>
      </c>
      <c r="F42">
        <v>141.12171299775</v>
      </c>
      <c r="G42">
        <v>117.63486100676</v>
      </c>
      <c r="I42" s="9">
        <f t="shared" si="1"/>
        <v>95.359141991740003</v>
      </c>
      <c r="J42" s="9">
        <f t="shared" si="2"/>
        <v>279.13465881633999</v>
      </c>
      <c r="K42" s="9">
        <f t="shared" si="3"/>
        <v>95.359141991740003</v>
      </c>
      <c r="L42" s="10">
        <f t="shared" si="0"/>
        <v>0.34162415515187849</v>
      </c>
      <c r="M42" s="10">
        <f t="shared" si="4"/>
        <v>0.34860703807855942</v>
      </c>
      <c r="P42" s="8">
        <f t="shared" si="5"/>
        <v>5.6714088092295345</v>
      </c>
    </row>
    <row r="43" spans="1:16" x14ac:dyDescent="0.2">
      <c r="A43" s="8">
        <v>20.5</v>
      </c>
      <c r="B43" s="8">
        <v>41</v>
      </c>
      <c r="D43">
        <v>421.21814092954003</v>
      </c>
      <c r="E43">
        <v>214.30884557721001</v>
      </c>
      <c r="F43">
        <v>140.43050338091999</v>
      </c>
      <c r="G43">
        <v>117.79338842975</v>
      </c>
      <c r="I43" s="9">
        <f t="shared" si="1"/>
        <v>96.515457147460012</v>
      </c>
      <c r="J43" s="9">
        <f t="shared" si="2"/>
        <v>280.78763754862007</v>
      </c>
      <c r="K43" s="9">
        <f t="shared" si="3"/>
        <v>96.515457147460012</v>
      </c>
      <c r="L43" s="10">
        <f t="shared" si="0"/>
        <v>0.3437311485294568</v>
      </c>
      <c r="M43" s="10">
        <f t="shared" si="4"/>
        <v>0.35088860352930473</v>
      </c>
      <c r="P43" s="8">
        <f t="shared" si="5"/>
        <v>6.3630076845694825</v>
      </c>
    </row>
    <row r="44" spans="1:16" x14ac:dyDescent="0.2">
      <c r="A44" s="8">
        <v>21</v>
      </c>
      <c r="B44" s="8">
        <v>42</v>
      </c>
      <c r="D44">
        <v>414.8335832084</v>
      </c>
      <c r="E44">
        <v>210.51649175412001</v>
      </c>
      <c r="F44">
        <v>140.88655146505999</v>
      </c>
      <c r="G44">
        <v>118.05860255447</v>
      </c>
      <c r="I44" s="9">
        <f t="shared" si="1"/>
        <v>92.457889199650012</v>
      </c>
      <c r="J44" s="9">
        <f t="shared" si="2"/>
        <v>273.94703174334001</v>
      </c>
      <c r="K44" s="9">
        <f t="shared" si="3"/>
        <v>92.457889199650012</v>
      </c>
      <c r="L44" s="10">
        <f t="shared" si="0"/>
        <v>0.33750279611086814</v>
      </c>
      <c r="M44" s="10">
        <f t="shared" si="4"/>
        <v>0.34483482318388309</v>
      </c>
      <c r="P44" s="8">
        <f t="shared" si="5"/>
        <v>4.527957247124875</v>
      </c>
    </row>
    <row r="45" spans="1:16" x14ac:dyDescent="0.2">
      <c r="A45" s="8">
        <v>21.5</v>
      </c>
      <c r="B45" s="8">
        <v>43</v>
      </c>
      <c r="D45">
        <v>405.25912137006998</v>
      </c>
      <c r="E45">
        <v>206.35294117647001</v>
      </c>
      <c r="F45">
        <v>140.84973703982001</v>
      </c>
      <c r="G45">
        <v>117.82719759579</v>
      </c>
      <c r="I45" s="9">
        <f t="shared" si="1"/>
        <v>88.525743580680015</v>
      </c>
      <c r="J45" s="9">
        <f t="shared" si="2"/>
        <v>264.40938433024996</v>
      </c>
      <c r="K45" s="9">
        <f t="shared" si="3"/>
        <v>88.525743580680015</v>
      </c>
      <c r="L45" s="10">
        <f t="shared" si="0"/>
        <v>0.33480560383632402</v>
      </c>
      <c r="M45" s="10">
        <f t="shared" si="4"/>
        <v>0.34231220298250603</v>
      </c>
      <c r="P45" s="8">
        <f t="shared" si="5"/>
        <v>3.7632887193768378</v>
      </c>
    </row>
    <row r="46" spans="1:16" x14ac:dyDescent="0.2">
      <c r="A46" s="8">
        <v>22</v>
      </c>
      <c r="B46" s="8">
        <v>44</v>
      </c>
      <c r="D46">
        <v>432.11988086373998</v>
      </c>
      <c r="E46">
        <v>212.71109456440999</v>
      </c>
      <c r="F46">
        <v>140.98873027798999</v>
      </c>
      <c r="G46">
        <v>117.92712246431</v>
      </c>
      <c r="I46" s="9">
        <f t="shared" si="1"/>
        <v>94.783972100099987</v>
      </c>
      <c r="J46" s="9">
        <f t="shared" si="2"/>
        <v>291.13115058574999</v>
      </c>
      <c r="K46" s="9">
        <f t="shared" si="3"/>
        <v>94.783972100099987</v>
      </c>
      <c r="L46" s="10">
        <f t="shared" si="0"/>
        <v>0.32557138564319399</v>
      </c>
      <c r="M46" s="10">
        <f t="shared" si="4"/>
        <v>0.33325255686254301</v>
      </c>
      <c r="P46" s="8">
        <f t="shared" si="5"/>
        <v>1.0170860778976893</v>
      </c>
    </row>
    <row r="47" spans="1:16" x14ac:dyDescent="0.2">
      <c r="A47" s="8">
        <v>22.5</v>
      </c>
      <c r="B47" s="8">
        <v>45</v>
      </c>
      <c r="D47">
        <v>449.33507073715998</v>
      </c>
      <c r="E47">
        <v>216.82576321668</v>
      </c>
      <c r="F47">
        <v>141.09767092412</v>
      </c>
      <c r="G47">
        <v>117.7468069121</v>
      </c>
      <c r="I47" s="9">
        <f t="shared" si="1"/>
        <v>99.078956304580004</v>
      </c>
      <c r="J47" s="9">
        <f t="shared" si="2"/>
        <v>308.23739981303999</v>
      </c>
      <c r="K47" s="9">
        <f t="shared" si="3"/>
        <v>99.078956304580004</v>
      </c>
      <c r="L47" s="10">
        <f t="shared" si="0"/>
        <v>0.32143716617346207</v>
      </c>
      <c r="M47" s="10">
        <f t="shared" si="4"/>
        <v>0.32929290946597811</v>
      </c>
      <c r="P47" s="8">
        <f t="shared" si="5"/>
        <v>-0.18318090778640045</v>
      </c>
    </row>
    <row r="48" spans="1:16" x14ac:dyDescent="0.2">
      <c r="A48" s="8">
        <v>23</v>
      </c>
      <c r="B48" s="8">
        <v>46</v>
      </c>
      <c r="D48">
        <v>449.67460908414</v>
      </c>
      <c r="E48">
        <v>217.66567386448</v>
      </c>
      <c r="F48">
        <v>141.50864012021</v>
      </c>
      <c r="G48">
        <v>118.05634861007</v>
      </c>
      <c r="I48" s="9">
        <f t="shared" si="1"/>
        <v>99.609325254409995</v>
      </c>
      <c r="J48" s="9">
        <f t="shared" si="2"/>
        <v>308.16596896393003</v>
      </c>
      <c r="K48" s="9">
        <f t="shared" si="3"/>
        <v>99.609325254409995</v>
      </c>
      <c r="L48" s="10">
        <f t="shared" si="0"/>
        <v>0.32323272290351107</v>
      </c>
      <c r="M48" s="10">
        <f t="shared" si="4"/>
        <v>0.33126303826919412</v>
      </c>
      <c r="P48" s="8">
        <f t="shared" si="5"/>
        <v>0.41401382275877507</v>
      </c>
    </row>
    <row r="49" spans="1:25" x14ac:dyDescent="0.2">
      <c r="A49" s="8">
        <v>23.5</v>
      </c>
      <c r="B49" s="8">
        <v>47</v>
      </c>
      <c r="D49">
        <v>449.44436201780002</v>
      </c>
      <c r="E49">
        <v>221.07047477744999</v>
      </c>
      <c r="F49">
        <v>141.51915852741999</v>
      </c>
      <c r="G49">
        <v>118.07513148008999</v>
      </c>
      <c r="I49" s="9">
        <f t="shared" si="1"/>
        <v>102.99534329735999</v>
      </c>
      <c r="J49" s="9">
        <f t="shared" si="2"/>
        <v>307.92520349038</v>
      </c>
      <c r="K49" s="9">
        <f t="shared" si="3"/>
        <v>102.99534329735999</v>
      </c>
      <c r="L49" s="10">
        <f t="shared" si="0"/>
        <v>0.33448169272892175</v>
      </c>
      <c r="M49" s="10">
        <f t="shared" si="4"/>
        <v>0.34268658016777181</v>
      </c>
      <c r="P49" s="8">
        <f t="shared" si="5"/>
        <v>3.8767716966888286</v>
      </c>
    </row>
    <row r="50" spans="1:25" x14ac:dyDescent="0.2">
      <c r="A50" s="8">
        <v>24</v>
      </c>
      <c r="B50" s="8">
        <v>48</v>
      </c>
      <c r="D50">
        <v>456.09288389513</v>
      </c>
      <c r="E50">
        <v>223.37677902621999</v>
      </c>
      <c r="F50">
        <v>140.96018031554999</v>
      </c>
      <c r="G50">
        <v>117.82193839219001</v>
      </c>
      <c r="I50" s="9">
        <f t="shared" si="1"/>
        <v>105.55484063402999</v>
      </c>
      <c r="J50" s="9">
        <f t="shared" si="2"/>
        <v>315.13270357958004</v>
      </c>
      <c r="K50" s="9">
        <f t="shared" si="3"/>
        <v>105.55484063402999</v>
      </c>
      <c r="L50" s="10">
        <f t="shared" si="0"/>
        <v>0.33495362250581007</v>
      </c>
      <c r="M50" s="10">
        <f t="shared" si="4"/>
        <v>0.3433330820178272</v>
      </c>
      <c r="P50" s="8">
        <f t="shared" si="5"/>
        <v>4.0727423852603257</v>
      </c>
    </row>
    <row r="51" spans="1:25" x14ac:dyDescent="0.2">
      <c r="A51" s="8">
        <v>24.5</v>
      </c>
      <c r="B51" s="8">
        <v>49</v>
      </c>
      <c r="D51">
        <v>440.54906367041002</v>
      </c>
      <c r="E51">
        <v>218.93183520599001</v>
      </c>
      <c r="F51">
        <v>141.63861758076999</v>
      </c>
      <c r="G51">
        <v>118.36513899324</v>
      </c>
      <c r="I51" s="9">
        <f t="shared" si="1"/>
        <v>100.56669621275002</v>
      </c>
      <c r="J51" s="9">
        <f t="shared" si="2"/>
        <v>298.91044608964</v>
      </c>
      <c r="K51" s="9">
        <f t="shared" si="3"/>
        <v>100.56669621275002</v>
      </c>
      <c r="L51" s="10">
        <f t="shared" si="0"/>
        <v>0.33644423448015315</v>
      </c>
      <c r="M51" s="10">
        <f t="shared" si="4"/>
        <v>0.34499826606533729</v>
      </c>
      <c r="P51" s="8">
        <f t="shared" si="5"/>
        <v>4.5775008238647485</v>
      </c>
    </row>
    <row r="52" spans="1:25" x14ac:dyDescent="0.2">
      <c r="A52" s="8">
        <v>25</v>
      </c>
      <c r="B52" s="8">
        <v>50</v>
      </c>
      <c r="D52">
        <v>440.21255673221998</v>
      </c>
      <c r="E52">
        <v>216.33509833586001</v>
      </c>
      <c r="F52">
        <v>141.67618332081</v>
      </c>
      <c r="G52">
        <v>118.13373403456001</v>
      </c>
      <c r="I52" s="9">
        <f t="shared" si="1"/>
        <v>98.201364301300003</v>
      </c>
      <c r="J52" s="9">
        <f t="shared" si="2"/>
        <v>298.53637341140995</v>
      </c>
      <c r="K52" s="9">
        <f t="shared" si="3"/>
        <v>98.201364301300003</v>
      </c>
      <c r="L52" s="10">
        <f t="shared" si="0"/>
        <v>0.3289427120023653</v>
      </c>
      <c r="M52" s="10">
        <f t="shared" si="4"/>
        <v>0.33767131566071645</v>
      </c>
      <c r="P52" s="8">
        <f t="shared" si="5"/>
        <v>2.3565210760113535</v>
      </c>
    </row>
    <row r="53" spans="1:25" x14ac:dyDescent="0.2">
      <c r="A53" s="8">
        <v>25.5</v>
      </c>
      <c r="B53" s="8">
        <v>51</v>
      </c>
      <c r="D53">
        <v>472.05824508321001</v>
      </c>
      <c r="E53">
        <v>223.09531013616001</v>
      </c>
      <c r="F53">
        <v>141.33132982719999</v>
      </c>
      <c r="G53">
        <v>118.14425244177001</v>
      </c>
      <c r="I53" s="9">
        <f t="shared" si="1"/>
        <v>104.95105769439</v>
      </c>
      <c r="J53" s="9">
        <f t="shared" si="2"/>
        <v>330.72691525600999</v>
      </c>
      <c r="K53" s="9">
        <f t="shared" si="3"/>
        <v>104.95105769439</v>
      </c>
      <c r="L53" s="10">
        <f t="shared" si="0"/>
        <v>0.31733449215389442</v>
      </c>
      <c r="M53" s="10">
        <f t="shared" si="4"/>
        <v>0.32623766788541259</v>
      </c>
      <c r="P53" s="8">
        <f t="shared" si="5"/>
        <v>-1.1093001389137449</v>
      </c>
      <c r="S53" s="11"/>
      <c r="U53" s="12"/>
    </row>
    <row r="54" spans="1:25" x14ac:dyDescent="0.2">
      <c r="A54" s="8">
        <v>26</v>
      </c>
      <c r="B54" s="8">
        <v>52</v>
      </c>
      <c r="D54">
        <v>430.80030257186002</v>
      </c>
      <c r="E54">
        <v>212.68910741300999</v>
      </c>
      <c r="F54">
        <v>141.47332832456999</v>
      </c>
      <c r="G54">
        <v>118.33809166041</v>
      </c>
      <c r="I54" s="9">
        <f t="shared" si="1"/>
        <v>94.351015752599992</v>
      </c>
      <c r="J54" s="9">
        <f t="shared" si="2"/>
        <v>289.32697424729002</v>
      </c>
      <c r="K54" s="9">
        <f t="shared" si="3"/>
        <v>94.351015752599992</v>
      </c>
      <c r="L54" s="10">
        <f t="shared" si="0"/>
        <v>0.32610514798373913</v>
      </c>
      <c r="M54" s="10">
        <f t="shared" si="4"/>
        <v>0.33518289578842431</v>
      </c>
      <c r="P54" s="8">
        <f t="shared" si="5"/>
        <v>1.602219513245037</v>
      </c>
      <c r="S54" s="11"/>
    </row>
    <row r="55" spans="1:25" x14ac:dyDescent="0.2">
      <c r="A55" s="8">
        <v>26.5</v>
      </c>
      <c r="B55" s="8">
        <v>53</v>
      </c>
      <c r="D55">
        <v>436.90544629350001</v>
      </c>
      <c r="E55">
        <v>220.02571860817</v>
      </c>
      <c r="F55">
        <v>141.5815176559</v>
      </c>
      <c r="G55">
        <v>118.35311795641999</v>
      </c>
      <c r="I55" s="9">
        <f t="shared" si="1"/>
        <v>101.67260065175</v>
      </c>
      <c r="J55" s="9">
        <f t="shared" si="2"/>
        <v>295.32392863760003</v>
      </c>
      <c r="K55" s="9">
        <f t="shared" si="3"/>
        <v>101.67260065175</v>
      </c>
      <c r="L55" s="10">
        <f t="shared" si="0"/>
        <v>0.34427484803141434</v>
      </c>
      <c r="M55" s="10">
        <f t="shared" si="4"/>
        <v>0.35352716790926658</v>
      </c>
      <c r="P55" s="8">
        <f t="shared" si="5"/>
        <v>7.1628217583220248</v>
      </c>
      <c r="S55" s="11"/>
    </row>
    <row r="56" spans="1:25" x14ac:dyDescent="0.2">
      <c r="A56" s="8">
        <v>27</v>
      </c>
      <c r="B56" s="8">
        <v>54</v>
      </c>
      <c r="D56">
        <v>421.15355521936999</v>
      </c>
      <c r="E56">
        <v>216.6656580938</v>
      </c>
      <c r="F56">
        <v>141.68745304282999</v>
      </c>
      <c r="G56">
        <v>117.92712246431</v>
      </c>
      <c r="I56" s="9">
        <f t="shared" si="1"/>
        <v>98.738535629490002</v>
      </c>
      <c r="J56" s="9">
        <f t="shared" si="2"/>
        <v>279.46610217654001</v>
      </c>
      <c r="K56" s="9">
        <f t="shared" si="3"/>
        <v>98.738535629490002</v>
      </c>
      <c r="L56" s="10">
        <f t="shared" si="0"/>
        <v>0.35331131346697792</v>
      </c>
      <c r="M56" s="10">
        <f t="shared" si="4"/>
        <v>0.36273820541799717</v>
      </c>
      <c r="P56" s="8">
        <f t="shared" si="5"/>
        <v>9.9549148712639148</v>
      </c>
      <c r="S56" s="11"/>
    </row>
    <row r="57" spans="1:25" x14ac:dyDescent="0.2">
      <c r="A57" s="8">
        <v>27.5</v>
      </c>
      <c r="B57" s="8">
        <v>55</v>
      </c>
      <c r="D57">
        <v>445.83207261724999</v>
      </c>
      <c r="E57">
        <v>222.67927382753001</v>
      </c>
      <c r="F57">
        <v>141.50488354621001</v>
      </c>
      <c r="G57">
        <v>117.92336589031</v>
      </c>
      <c r="I57" s="9">
        <f t="shared" si="1"/>
        <v>104.75590793722002</v>
      </c>
      <c r="J57" s="9">
        <f t="shared" si="2"/>
        <v>304.32718907103998</v>
      </c>
      <c r="K57" s="9">
        <f t="shared" si="3"/>
        <v>104.75590793722002</v>
      </c>
      <c r="L57" s="10">
        <f t="shared" si="0"/>
        <v>0.34422132395395844</v>
      </c>
      <c r="M57" s="10">
        <f t="shared" si="4"/>
        <v>0.3538227879781447</v>
      </c>
      <c r="P57" s="8">
        <f t="shared" si="5"/>
        <v>7.2524315072324654</v>
      </c>
      <c r="S57" s="11"/>
    </row>
    <row r="58" spans="1:25" x14ac:dyDescent="0.2">
      <c r="A58" s="8">
        <v>28</v>
      </c>
      <c r="B58" s="8">
        <v>56</v>
      </c>
      <c r="D58">
        <v>429.62329803327998</v>
      </c>
      <c r="E58">
        <v>214.44931921330999</v>
      </c>
      <c r="F58">
        <v>141.63711495116999</v>
      </c>
      <c r="G58">
        <v>118.58527422989999</v>
      </c>
      <c r="I58" s="9">
        <f t="shared" si="1"/>
        <v>95.864044983409997</v>
      </c>
      <c r="J58" s="9">
        <f t="shared" si="2"/>
        <v>287.98618308210996</v>
      </c>
      <c r="K58" s="9">
        <f t="shared" si="3"/>
        <v>95.864044983409997</v>
      </c>
      <c r="L58" s="10">
        <f t="shared" si="0"/>
        <v>0.33287723722522294</v>
      </c>
      <c r="M58" s="10">
        <f t="shared" si="4"/>
        <v>0.34265327332257622</v>
      </c>
      <c r="P58" s="8">
        <f t="shared" si="5"/>
        <v>3.8666755687557606</v>
      </c>
      <c r="S58" s="11"/>
    </row>
    <row r="59" spans="1:25" x14ac:dyDescent="0.2">
      <c r="A59" s="8">
        <v>28.5</v>
      </c>
      <c r="B59" s="8">
        <v>57</v>
      </c>
      <c r="D59">
        <v>488.97579425113997</v>
      </c>
      <c r="E59">
        <v>225.12254160363</v>
      </c>
      <c r="F59">
        <v>142.00525920361</v>
      </c>
      <c r="G59">
        <v>118.38166791886</v>
      </c>
      <c r="I59" s="9">
        <f t="shared" si="1"/>
        <v>106.74087368476999</v>
      </c>
      <c r="J59" s="9">
        <f t="shared" si="2"/>
        <v>346.97053504753001</v>
      </c>
      <c r="K59" s="9">
        <f t="shared" si="3"/>
        <v>106.74087368476999</v>
      </c>
      <c r="L59" s="10">
        <f t="shared" si="0"/>
        <v>0.30763670946914273</v>
      </c>
      <c r="M59" s="10">
        <f t="shared" si="4"/>
        <v>0.31758731763966302</v>
      </c>
      <c r="P59" s="8">
        <f t="shared" si="5"/>
        <v>-3.7314350854710416</v>
      </c>
      <c r="R59" s="1"/>
      <c r="S59" s="11"/>
    </row>
    <row r="60" spans="1:25" x14ac:dyDescent="0.2">
      <c r="A60" s="8">
        <v>29</v>
      </c>
      <c r="B60" s="8">
        <v>58</v>
      </c>
      <c r="D60">
        <v>501.99697428139001</v>
      </c>
      <c r="E60">
        <v>229.60287443268001</v>
      </c>
      <c r="F60">
        <v>141.35086401202</v>
      </c>
      <c r="G60">
        <v>118.63561232156</v>
      </c>
      <c r="I60" s="9">
        <f t="shared" si="1"/>
        <v>110.96726211112001</v>
      </c>
      <c r="J60" s="9">
        <f t="shared" si="2"/>
        <v>360.64611026937001</v>
      </c>
      <c r="K60" s="9">
        <f t="shared" si="3"/>
        <v>110.96726211112001</v>
      </c>
      <c r="L60" s="10">
        <f t="shared" si="0"/>
        <v>0.30769016759459156</v>
      </c>
      <c r="M60" s="10">
        <f t="shared" si="4"/>
        <v>0.31781534783827892</v>
      </c>
      <c r="P60" s="8">
        <f t="shared" si="5"/>
        <v>-3.6623134966712212</v>
      </c>
      <c r="S60" s="11"/>
    </row>
    <row r="61" spans="1:25" x14ac:dyDescent="0.2">
      <c r="A61" s="8">
        <v>29.5</v>
      </c>
      <c r="B61" s="8">
        <v>59</v>
      </c>
      <c r="C61" s="2"/>
      <c r="D61">
        <v>540.61195158850001</v>
      </c>
      <c r="E61">
        <v>240.59077155825</v>
      </c>
      <c r="F61">
        <v>141.54094665664999</v>
      </c>
      <c r="G61">
        <v>118.12772351615</v>
      </c>
      <c r="I61" s="9">
        <f t="shared" si="1"/>
        <v>122.4630480421</v>
      </c>
      <c r="J61" s="9">
        <f t="shared" si="2"/>
        <v>399.07100493184998</v>
      </c>
      <c r="K61" s="9">
        <f t="shared" si="3"/>
        <v>122.4630480421</v>
      </c>
      <c r="L61" s="10">
        <f t="shared" si="0"/>
        <v>0.30687032264599934</v>
      </c>
      <c r="M61" s="10">
        <f t="shared" si="4"/>
        <v>0.31717007496285371</v>
      </c>
      <c r="P61" s="8">
        <f t="shared" si="5"/>
        <v>-3.8579116526591046</v>
      </c>
      <c r="S61" s="11"/>
    </row>
    <row r="62" spans="1:25" x14ac:dyDescent="0.2">
      <c r="A62" s="8">
        <v>30</v>
      </c>
      <c r="B62" s="8">
        <v>60</v>
      </c>
      <c r="D62">
        <v>602.39240506328997</v>
      </c>
      <c r="E62">
        <v>257.57557706627</v>
      </c>
      <c r="F62">
        <v>142.0022539444</v>
      </c>
      <c r="G62">
        <v>118.2531930879</v>
      </c>
      <c r="I62" s="9">
        <f t="shared" si="1"/>
        <v>139.32238397837</v>
      </c>
      <c r="J62" s="9">
        <f t="shared" si="2"/>
        <v>460.39015111889</v>
      </c>
      <c r="K62" s="9">
        <f t="shared" si="3"/>
        <v>139.32238397837</v>
      </c>
      <c r="L62" s="10">
        <f t="shared" si="0"/>
        <v>0.30261808085983954</v>
      </c>
      <c r="M62" s="10">
        <f t="shared" si="4"/>
        <v>0.31309240524986093</v>
      </c>
      <c r="P62" s="8">
        <f t="shared" si="5"/>
        <v>-5.0939541192875932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612.41399851079996</v>
      </c>
      <c r="E63">
        <v>259.92702903946002</v>
      </c>
      <c r="F63">
        <v>142.22614575507001</v>
      </c>
      <c r="G63">
        <v>118.22539444026999</v>
      </c>
      <c r="I63" s="9">
        <f t="shared" si="1"/>
        <v>141.70163459919002</v>
      </c>
      <c r="J63" s="9">
        <f t="shared" si="2"/>
        <v>470.18785275572998</v>
      </c>
      <c r="K63" s="9">
        <f t="shared" si="3"/>
        <v>141.70163459919002</v>
      </c>
      <c r="L63" s="10">
        <f t="shared" si="0"/>
        <v>0.30137238503438379</v>
      </c>
      <c r="M63" s="10">
        <f t="shared" si="4"/>
        <v>0.31202128149757219</v>
      </c>
      <c r="P63" s="8">
        <f t="shared" si="5"/>
        <v>-5.4186382006453311</v>
      </c>
    </row>
    <row r="64" spans="1:25" x14ac:dyDescent="0.2">
      <c r="A64" s="8">
        <v>31</v>
      </c>
      <c r="B64" s="8">
        <v>62</v>
      </c>
      <c r="D64">
        <v>621.04914370812003</v>
      </c>
      <c r="E64">
        <v>263.46239761727998</v>
      </c>
      <c r="F64">
        <v>141.98046581518</v>
      </c>
      <c r="G64">
        <v>118.67993989482</v>
      </c>
      <c r="I64" s="9">
        <f t="shared" si="1"/>
        <v>144.78245772245998</v>
      </c>
      <c r="J64" s="9">
        <f t="shared" si="2"/>
        <v>479.06867789294006</v>
      </c>
      <c r="K64" s="9">
        <f t="shared" si="3"/>
        <v>144.78245772245998</v>
      </c>
      <c r="L64" s="10">
        <f t="shared" si="0"/>
        <v>0.30221649714034376</v>
      </c>
      <c r="M64" s="10">
        <f t="shared" si="4"/>
        <v>0.31303996567669917</v>
      </c>
      <c r="P64" s="8">
        <f t="shared" si="5"/>
        <v>-5.1098498499185636</v>
      </c>
      <c r="U64" s="8">
        <v>30.5</v>
      </c>
      <c r="V64" s="10">
        <f>L62</f>
        <v>0.30261808085983954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642.58749069247995</v>
      </c>
      <c r="E65">
        <v>271.84959046910001</v>
      </c>
      <c r="F65">
        <v>141.63861758076999</v>
      </c>
      <c r="G65">
        <v>118.53568745304</v>
      </c>
      <c r="I65" s="9">
        <f t="shared" si="1"/>
        <v>153.31390301606001</v>
      </c>
      <c r="J65" s="9">
        <f t="shared" si="2"/>
        <v>500.94887311170999</v>
      </c>
      <c r="K65" s="9">
        <f t="shared" si="3"/>
        <v>153.31390301606001</v>
      </c>
      <c r="L65" s="10">
        <f t="shared" si="0"/>
        <v>0.306047006481381</v>
      </c>
      <c r="M65" s="10">
        <f t="shared" si="4"/>
        <v>0.31704504709090348</v>
      </c>
      <c r="P65" s="8">
        <f t="shared" si="5"/>
        <v>-3.895810690619502</v>
      </c>
      <c r="U65" s="8">
        <v>31</v>
      </c>
      <c r="V65" s="10">
        <f t="shared" ref="V65:V83" si="6">L63</f>
        <v>0.30137238503438379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650.30293896006003</v>
      </c>
      <c r="E66">
        <v>270.94423511680998</v>
      </c>
      <c r="F66">
        <v>142.10818933133001</v>
      </c>
      <c r="G66">
        <v>118.53193087904</v>
      </c>
      <c r="I66" s="9">
        <f t="shared" si="1"/>
        <v>152.41230423776997</v>
      </c>
      <c r="J66" s="9">
        <f t="shared" si="2"/>
        <v>508.19474962873005</v>
      </c>
      <c r="K66" s="9">
        <f t="shared" si="3"/>
        <v>152.41230423776997</v>
      </c>
      <c r="L66" s="10">
        <f t="shared" ref="L66:L129" si="7">K66/J66</f>
        <v>0.29990924610912895</v>
      </c>
      <c r="M66" s="10">
        <f t="shared" si="4"/>
        <v>0.31108185879181843</v>
      </c>
      <c r="P66" s="8">
        <f t="shared" si="5"/>
        <v>-5.7034004399034126</v>
      </c>
      <c r="U66" s="8">
        <v>31.5</v>
      </c>
      <c r="V66" s="10">
        <f t="shared" si="6"/>
        <v>0.30221649714034376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652.35267520723005</v>
      </c>
      <c r="E67">
        <v>273.34438583270997</v>
      </c>
      <c r="F67">
        <v>142.31404958677999</v>
      </c>
      <c r="G67">
        <v>118.13148009016</v>
      </c>
      <c r="I67" s="9">
        <f t="shared" ref="I67:I130" si="8">E67-G67</f>
        <v>155.21290574254999</v>
      </c>
      <c r="J67" s="9">
        <f t="shared" ref="J67:J130" si="9">D67-F67</f>
        <v>510.03862562045003</v>
      </c>
      <c r="K67" s="9">
        <f t="shared" ref="K67:K130" si="10">I67*1</f>
        <v>155.21290574254999</v>
      </c>
      <c r="L67" s="10">
        <f t="shared" si="7"/>
        <v>0.30431598303704377</v>
      </c>
      <c r="M67" s="10">
        <f t="shared" ref="M67:M130" si="11">L67+ABS($N$2)*A67</f>
        <v>0.31566316779290027</v>
      </c>
      <c r="P67" s="8">
        <f t="shared" ref="P67:P130" si="12">(M67-$O$2)/$O$2*100</f>
        <v>-4.314692457979004</v>
      </c>
      <c r="U67" s="8">
        <v>32</v>
      </c>
      <c r="V67" s="10">
        <f t="shared" si="6"/>
        <v>0.306047006481381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656.22908816879999</v>
      </c>
      <c r="E68">
        <v>276.65787490579999</v>
      </c>
      <c r="F68">
        <v>141.81517655898</v>
      </c>
      <c r="G68">
        <v>118.67167543201001</v>
      </c>
      <c r="I68" s="9">
        <f t="shared" si="8"/>
        <v>157.98619947378998</v>
      </c>
      <c r="J68" s="9">
        <f t="shared" si="9"/>
        <v>514.41391160981993</v>
      </c>
      <c r="K68" s="9">
        <f t="shared" si="10"/>
        <v>157.98619947378998</v>
      </c>
      <c r="L68" s="10">
        <f t="shared" si="7"/>
        <v>0.30711883156383535</v>
      </c>
      <c r="M68" s="10">
        <f t="shared" si="11"/>
        <v>0.31864058839285886</v>
      </c>
      <c r="P68" s="8">
        <f t="shared" si="12"/>
        <v>-3.4121626893621597</v>
      </c>
      <c r="U68" s="8">
        <v>32.5</v>
      </c>
      <c r="V68" s="10">
        <f t="shared" si="6"/>
        <v>0.29990924610912895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653.76865109268999</v>
      </c>
      <c r="E69">
        <v>276.37226827429998</v>
      </c>
      <c r="F69">
        <v>142.20661157025</v>
      </c>
      <c r="G69">
        <v>118.68444778362</v>
      </c>
      <c r="I69" s="9">
        <f t="shared" si="8"/>
        <v>157.68782049068</v>
      </c>
      <c r="J69" s="9">
        <f t="shared" si="9"/>
        <v>511.56203952243999</v>
      </c>
      <c r="K69" s="9">
        <f t="shared" si="10"/>
        <v>157.68782049068</v>
      </c>
      <c r="L69" s="10">
        <f t="shared" si="7"/>
        <v>0.30824769687345599</v>
      </c>
      <c r="M69" s="10">
        <f t="shared" si="11"/>
        <v>0.31994402577564651</v>
      </c>
      <c r="P69" s="8">
        <f t="shared" si="12"/>
        <v>-3.0170586051389741</v>
      </c>
      <c r="U69" s="8">
        <v>33</v>
      </c>
      <c r="V69" s="10">
        <f t="shared" si="6"/>
        <v>0.30431598303704377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650.01205727204001</v>
      </c>
      <c r="E70">
        <v>277.51620195931002</v>
      </c>
      <c r="F70">
        <v>142.01953418482</v>
      </c>
      <c r="G70">
        <v>118.57625845229001</v>
      </c>
      <c r="I70" s="9">
        <f t="shared" si="8"/>
        <v>158.93994350702002</v>
      </c>
      <c r="J70" s="9">
        <f t="shared" si="9"/>
        <v>507.99252308721998</v>
      </c>
      <c r="K70" s="9">
        <f t="shared" si="10"/>
        <v>158.93994350702002</v>
      </c>
      <c r="L70" s="10">
        <f t="shared" si="7"/>
        <v>0.3128785095912342</v>
      </c>
      <c r="M70" s="10">
        <f t="shared" si="11"/>
        <v>0.32474941056659179</v>
      </c>
      <c r="P70" s="8">
        <f t="shared" si="12"/>
        <v>-1.5604277134379283</v>
      </c>
      <c r="U70" s="8">
        <v>33.5</v>
      </c>
      <c r="V70" s="10">
        <f t="shared" si="6"/>
        <v>0.30711883156383535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646.52599849284002</v>
      </c>
      <c r="E71">
        <v>277.83345892992003</v>
      </c>
      <c r="F71">
        <v>141.92111194591001</v>
      </c>
      <c r="G71">
        <v>118.42223891811</v>
      </c>
      <c r="I71" s="9">
        <f t="shared" si="8"/>
        <v>159.41122001181003</v>
      </c>
      <c r="J71" s="9">
        <f t="shared" si="9"/>
        <v>504.60488654693</v>
      </c>
      <c r="K71" s="9">
        <f t="shared" si="10"/>
        <v>159.41122001181003</v>
      </c>
      <c r="L71" s="10">
        <f t="shared" si="7"/>
        <v>0.31591295340534564</v>
      </c>
      <c r="M71" s="10">
        <f t="shared" si="11"/>
        <v>0.32795842645387024</v>
      </c>
      <c r="P71" s="8">
        <f t="shared" si="12"/>
        <v>-0.58769568952653284</v>
      </c>
      <c r="U71" s="8">
        <v>34</v>
      </c>
      <c r="V71" s="10">
        <f t="shared" si="6"/>
        <v>0.30824769687345599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638.37452901280994</v>
      </c>
      <c r="E72">
        <v>274.6857573474</v>
      </c>
      <c r="F72">
        <v>141.74981217129999</v>
      </c>
      <c r="G72">
        <v>118.10969196092999</v>
      </c>
      <c r="I72" s="9">
        <f t="shared" si="8"/>
        <v>156.57606538647002</v>
      </c>
      <c r="J72" s="9">
        <f t="shared" si="9"/>
        <v>496.62471684150995</v>
      </c>
      <c r="K72" s="9">
        <f t="shared" si="10"/>
        <v>156.57606538647002</v>
      </c>
      <c r="L72" s="10">
        <f t="shared" si="7"/>
        <v>0.31528045237514596</v>
      </c>
      <c r="M72" s="10">
        <f t="shared" si="11"/>
        <v>0.32750049749683757</v>
      </c>
      <c r="P72" s="8">
        <f t="shared" si="12"/>
        <v>-0.72650527378191088</v>
      </c>
      <c r="U72" s="8">
        <v>34.5</v>
      </c>
      <c r="V72" s="10">
        <f t="shared" si="6"/>
        <v>0.3128785095912342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632.21024868124005</v>
      </c>
      <c r="E73">
        <v>273.90504898267</v>
      </c>
      <c r="F73">
        <v>142.16829451539999</v>
      </c>
      <c r="G73">
        <v>118.45604808415</v>
      </c>
      <c r="I73" s="9">
        <f t="shared" si="8"/>
        <v>155.44900089852001</v>
      </c>
      <c r="J73" s="9">
        <f t="shared" si="9"/>
        <v>490.04195416584002</v>
      </c>
      <c r="K73" s="9">
        <f t="shared" si="10"/>
        <v>155.44900089852001</v>
      </c>
      <c r="L73" s="10">
        <f t="shared" si="7"/>
        <v>0.31721569873160893</v>
      </c>
      <c r="M73" s="10">
        <f t="shared" si="11"/>
        <v>0.32961031592646756</v>
      </c>
      <c r="P73" s="8">
        <f t="shared" si="12"/>
        <v>-8.696716514385476E-2</v>
      </c>
      <c r="U73" s="8">
        <v>35</v>
      </c>
      <c r="V73" s="10">
        <f t="shared" si="6"/>
        <v>0.31591295340534564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628.42803315749995</v>
      </c>
      <c r="E74">
        <v>272.83421250942001</v>
      </c>
      <c r="F74">
        <v>142.26671675431999</v>
      </c>
      <c r="G74">
        <v>118.62960180316</v>
      </c>
      <c r="I74" s="9">
        <f t="shared" si="8"/>
        <v>154.20461070626001</v>
      </c>
      <c r="J74" s="9">
        <f t="shared" si="9"/>
        <v>486.16131640317997</v>
      </c>
      <c r="K74" s="9">
        <f t="shared" si="10"/>
        <v>154.20461070626001</v>
      </c>
      <c r="L74" s="10">
        <f t="shared" si="7"/>
        <v>0.31718815443221343</v>
      </c>
      <c r="M74" s="10">
        <f t="shared" si="11"/>
        <v>0.32975734370023907</v>
      </c>
      <c r="P74" s="8">
        <f t="shared" si="12"/>
        <v>-4.2399413229966952E-2</v>
      </c>
      <c r="U74" s="8">
        <v>35.5</v>
      </c>
      <c r="V74" s="10">
        <f t="shared" si="6"/>
        <v>0.31528045237514596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634.71213262999004</v>
      </c>
      <c r="E75">
        <v>276.83873398643999</v>
      </c>
      <c r="F75">
        <v>142.20961682945</v>
      </c>
      <c r="G75">
        <v>118.97746055597</v>
      </c>
      <c r="I75" s="9">
        <f t="shared" si="8"/>
        <v>157.86127343046999</v>
      </c>
      <c r="J75" s="9">
        <f t="shared" si="9"/>
        <v>492.50251580054004</v>
      </c>
      <c r="K75" s="9">
        <f t="shared" si="10"/>
        <v>157.86127343046999</v>
      </c>
      <c r="L75" s="10">
        <f t="shared" si="7"/>
        <v>0.32052886709395545</v>
      </c>
      <c r="M75" s="10">
        <f t="shared" si="11"/>
        <v>0.33327262843514815</v>
      </c>
      <c r="P75" s="8">
        <f t="shared" si="12"/>
        <v>1.0231702676085235</v>
      </c>
      <c r="U75" s="8">
        <v>36</v>
      </c>
      <c r="V75" s="10">
        <f t="shared" si="6"/>
        <v>0.31721569873160893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624.71816126601004</v>
      </c>
      <c r="E76">
        <v>275.15523737754</v>
      </c>
      <c r="F76">
        <v>142.00525920361</v>
      </c>
      <c r="G76">
        <v>118.80465815177</v>
      </c>
      <c r="I76" s="9">
        <f t="shared" si="8"/>
        <v>156.35057922576999</v>
      </c>
      <c r="J76" s="9">
        <f t="shared" si="9"/>
        <v>482.71290206240008</v>
      </c>
      <c r="K76" s="9">
        <f t="shared" si="10"/>
        <v>156.35057922576999</v>
      </c>
      <c r="L76" s="10">
        <f t="shared" si="7"/>
        <v>0.32389973120204402</v>
      </c>
      <c r="M76" s="10">
        <f t="shared" si="11"/>
        <v>0.33681806461640373</v>
      </c>
      <c r="P76" s="8">
        <f t="shared" si="12"/>
        <v>2.0978795970055488</v>
      </c>
      <c r="U76" s="8">
        <v>36.5</v>
      </c>
      <c r="V76" s="10">
        <f t="shared" si="6"/>
        <v>0.31718815443221343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603.32177844762998</v>
      </c>
      <c r="E77">
        <v>270.04822908816999</v>
      </c>
      <c r="F77">
        <v>141.81818181817999</v>
      </c>
      <c r="G77">
        <v>118.71825694966</v>
      </c>
      <c r="I77" s="9">
        <f t="shared" si="8"/>
        <v>151.32997213850999</v>
      </c>
      <c r="J77" s="9">
        <f t="shared" si="9"/>
        <v>461.50359662944999</v>
      </c>
      <c r="K77" s="9">
        <f t="shared" si="10"/>
        <v>151.32997213850999</v>
      </c>
      <c r="L77" s="10">
        <f t="shared" si="7"/>
        <v>0.32790637655640137</v>
      </c>
      <c r="M77" s="10">
        <f t="shared" si="11"/>
        <v>0.3409992820439281</v>
      </c>
      <c r="P77" s="8">
        <f t="shared" si="12"/>
        <v>3.3653099350144835</v>
      </c>
      <c r="U77" s="8">
        <v>37</v>
      </c>
      <c r="V77" s="10">
        <f t="shared" si="6"/>
        <v>0.32052886709395545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618.37696335078999</v>
      </c>
      <c r="E78">
        <v>279.32460732983998</v>
      </c>
      <c r="F78">
        <v>141.80165289256001</v>
      </c>
      <c r="G78">
        <v>118.60781367393</v>
      </c>
      <c r="I78" s="9">
        <f t="shared" si="8"/>
        <v>160.71679365590998</v>
      </c>
      <c r="J78" s="9">
        <f t="shared" si="9"/>
        <v>476.57531045822998</v>
      </c>
      <c r="K78" s="9">
        <f t="shared" si="10"/>
        <v>160.71679365590998</v>
      </c>
      <c r="L78" s="10">
        <f t="shared" si="7"/>
        <v>0.33723273138379711</v>
      </c>
      <c r="M78" s="10">
        <f t="shared" si="11"/>
        <v>0.35050020894449085</v>
      </c>
      <c r="P78" s="8">
        <f t="shared" si="12"/>
        <v>6.2452756870247015</v>
      </c>
      <c r="U78" s="8">
        <v>37.5</v>
      </c>
      <c r="V78" s="10">
        <f t="shared" si="6"/>
        <v>0.32389973120204402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618.58713537770996</v>
      </c>
      <c r="E79">
        <v>281.16604338069999</v>
      </c>
      <c r="F79">
        <v>142.26821938392001</v>
      </c>
      <c r="G79">
        <v>118.33208114200001</v>
      </c>
      <c r="I79" s="9">
        <f t="shared" si="8"/>
        <v>162.8339622387</v>
      </c>
      <c r="J79" s="9">
        <f t="shared" si="9"/>
        <v>476.31891599378991</v>
      </c>
      <c r="K79" s="9">
        <f t="shared" si="10"/>
        <v>162.8339622387</v>
      </c>
      <c r="L79" s="10">
        <f t="shared" si="7"/>
        <v>0.34185911323501367</v>
      </c>
      <c r="M79" s="10">
        <f t="shared" si="11"/>
        <v>0.35530116286887442</v>
      </c>
      <c r="P79" s="8">
        <f t="shared" si="12"/>
        <v>7.7005634735652713</v>
      </c>
      <c r="U79" s="8">
        <v>38</v>
      </c>
      <c r="V79" s="10">
        <f t="shared" si="6"/>
        <v>0.32790637655640137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596.63724756918998</v>
      </c>
      <c r="E80">
        <v>274.48017950636</v>
      </c>
      <c r="F80">
        <v>142.80240420736001</v>
      </c>
      <c r="G80">
        <v>118.62133734035</v>
      </c>
      <c r="I80" s="9">
        <f t="shared" si="8"/>
        <v>155.85884216600999</v>
      </c>
      <c r="J80" s="9">
        <f t="shared" si="9"/>
        <v>453.83484336182994</v>
      </c>
      <c r="K80" s="9">
        <f t="shared" si="10"/>
        <v>155.85884216600999</v>
      </c>
      <c r="L80" s="10">
        <f t="shared" si="7"/>
        <v>0.34342634649087106</v>
      </c>
      <c r="M80" s="10">
        <f t="shared" si="11"/>
        <v>0.35704296819789888</v>
      </c>
      <c r="P80" s="8">
        <f t="shared" si="12"/>
        <v>8.2285477162355534</v>
      </c>
      <c r="U80" s="8">
        <v>38.5</v>
      </c>
      <c r="V80" s="10">
        <f t="shared" si="6"/>
        <v>0.33723273138379711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580.42403628117995</v>
      </c>
      <c r="E81">
        <v>271.95238095238</v>
      </c>
      <c r="F81">
        <v>141.97220135237001</v>
      </c>
      <c r="G81">
        <v>118.44402704733</v>
      </c>
      <c r="I81" s="9">
        <f t="shared" si="8"/>
        <v>153.50835390505</v>
      </c>
      <c r="J81" s="9">
        <f t="shared" si="9"/>
        <v>438.45183492880994</v>
      </c>
      <c r="K81" s="9">
        <f t="shared" si="10"/>
        <v>153.50835390505</v>
      </c>
      <c r="L81" s="10">
        <f t="shared" si="7"/>
        <v>0.35011452040102575</v>
      </c>
      <c r="M81" s="10">
        <f t="shared" si="11"/>
        <v>0.36390571418122059</v>
      </c>
      <c r="P81" s="8">
        <f t="shared" si="12"/>
        <v>10.308815631520904</v>
      </c>
      <c r="U81" s="8">
        <v>39</v>
      </c>
      <c r="V81" s="10">
        <f t="shared" si="6"/>
        <v>0.34185911323501367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545.90778533636001</v>
      </c>
      <c r="E82">
        <v>257.55328798186002</v>
      </c>
      <c r="F82">
        <v>141.8332081142</v>
      </c>
      <c r="G82">
        <v>118.53568745304</v>
      </c>
      <c r="H82" s="13"/>
      <c r="I82" s="14">
        <f t="shared" si="8"/>
        <v>139.01760052882003</v>
      </c>
      <c r="J82" s="14">
        <f t="shared" si="9"/>
        <v>404.07457722215997</v>
      </c>
      <c r="K82" s="9">
        <f t="shared" si="10"/>
        <v>139.01760052882003</v>
      </c>
      <c r="L82" s="15">
        <f t="shared" si="7"/>
        <v>0.34403946292416271</v>
      </c>
      <c r="M82" s="15">
        <f t="shared" si="11"/>
        <v>0.35800522877752455</v>
      </c>
      <c r="N82" s="13"/>
      <c r="O82" s="13"/>
      <c r="P82" s="13">
        <f t="shared" si="12"/>
        <v>8.5202326794855363</v>
      </c>
      <c r="U82" s="8">
        <v>39.5</v>
      </c>
      <c r="V82" s="10">
        <f t="shared" si="6"/>
        <v>0.34342634649087106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573.98499624906003</v>
      </c>
      <c r="E83">
        <v>267.97749437358999</v>
      </c>
      <c r="F83">
        <v>142.36889556724</v>
      </c>
      <c r="G83">
        <v>118.68745304283</v>
      </c>
      <c r="I83" s="9">
        <f t="shared" si="8"/>
        <v>149.29004133076</v>
      </c>
      <c r="J83" s="9">
        <f t="shared" si="9"/>
        <v>431.61610068182006</v>
      </c>
      <c r="K83" s="9">
        <f t="shared" si="10"/>
        <v>149.29004133076</v>
      </c>
      <c r="L83" s="10">
        <f t="shared" si="7"/>
        <v>0.34588617314073289</v>
      </c>
      <c r="M83" s="10">
        <f t="shared" si="11"/>
        <v>0.36002651106726175</v>
      </c>
      <c r="P83" s="8">
        <f t="shared" si="12"/>
        <v>9.1329332960162368</v>
      </c>
      <c r="U83" s="8">
        <v>40</v>
      </c>
      <c r="V83" s="10">
        <f t="shared" si="6"/>
        <v>0.35011452040102575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591.45911477870004</v>
      </c>
      <c r="E84">
        <v>274.30007501876003</v>
      </c>
      <c r="F84">
        <v>142.43050338091999</v>
      </c>
      <c r="G84">
        <v>118.39969947407999</v>
      </c>
      <c r="I84" s="9">
        <f t="shared" si="8"/>
        <v>155.90037554468003</v>
      </c>
      <c r="J84" s="9">
        <f t="shared" si="9"/>
        <v>449.02861139778008</v>
      </c>
      <c r="K84" s="9">
        <f t="shared" si="10"/>
        <v>155.90037554468003</v>
      </c>
      <c r="L84" s="10">
        <f t="shared" si="7"/>
        <v>0.34719474792347449</v>
      </c>
      <c r="M84" s="10">
        <f t="shared" si="11"/>
        <v>0.36150965792317036</v>
      </c>
      <c r="P84" s="8">
        <f t="shared" si="12"/>
        <v>9.5825117629303911</v>
      </c>
      <c r="U84" s="8">
        <v>150.5</v>
      </c>
      <c r="V84" s="10">
        <f>L302</f>
        <v>0.40311316076472453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604.22430607651995</v>
      </c>
      <c r="E85">
        <v>282.45236309077001</v>
      </c>
      <c r="F85">
        <v>142.09541697972</v>
      </c>
      <c r="G85">
        <v>118.94064613073</v>
      </c>
      <c r="I85" s="9">
        <f t="shared" si="8"/>
        <v>163.51171696004002</v>
      </c>
      <c r="J85" s="9">
        <f t="shared" si="9"/>
        <v>462.12888909679998</v>
      </c>
      <c r="K85" s="9">
        <f t="shared" si="10"/>
        <v>163.51171696004002</v>
      </c>
      <c r="L85" s="10">
        <f t="shared" si="7"/>
        <v>0.35382275555118992</v>
      </c>
      <c r="M85" s="10">
        <f t="shared" si="11"/>
        <v>0.36831223762405285</v>
      </c>
      <c r="P85" s="8">
        <f t="shared" si="12"/>
        <v>11.644541791042814</v>
      </c>
      <c r="U85" s="8">
        <v>151</v>
      </c>
      <c r="V85" s="10">
        <f t="shared" ref="V85:V103" si="13">L303</f>
        <v>0.40171546338479486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605.62715678919994</v>
      </c>
      <c r="E86">
        <v>283.80795198800001</v>
      </c>
      <c r="F86">
        <v>142.67918858002</v>
      </c>
      <c r="G86">
        <v>118.68820435763</v>
      </c>
      <c r="I86" s="9">
        <f t="shared" si="8"/>
        <v>165.11974763037</v>
      </c>
      <c r="J86" s="9">
        <f t="shared" si="9"/>
        <v>462.94796820917998</v>
      </c>
      <c r="K86" s="9">
        <f t="shared" si="10"/>
        <v>165.11974763037</v>
      </c>
      <c r="L86" s="10">
        <f t="shared" si="7"/>
        <v>0.35667020695457885</v>
      </c>
      <c r="M86" s="10">
        <f t="shared" si="11"/>
        <v>0.3713342611006088</v>
      </c>
      <c r="P86" s="8">
        <f t="shared" si="12"/>
        <v>12.560591793883743</v>
      </c>
      <c r="U86" s="8">
        <v>151.5</v>
      </c>
      <c r="V86" s="10">
        <f t="shared" si="13"/>
        <v>0.40218046297970761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612.66316579144996</v>
      </c>
      <c r="E87">
        <v>277.81920480119999</v>
      </c>
      <c r="F87">
        <v>142.40796393689001</v>
      </c>
      <c r="G87">
        <v>118.88504883546</v>
      </c>
      <c r="I87" s="9">
        <f t="shared" si="8"/>
        <v>158.93415596573999</v>
      </c>
      <c r="J87" s="9">
        <f t="shared" si="9"/>
        <v>470.25520185455991</v>
      </c>
      <c r="K87" s="9">
        <f t="shared" si="10"/>
        <v>158.93415596573999</v>
      </c>
      <c r="L87" s="10">
        <f t="shared" si="7"/>
        <v>0.33797426448223533</v>
      </c>
      <c r="M87" s="10">
        <f t="shared" si="11"/>
        <v>0.35281289070143229</v>
      </c>
      <c r="P87" s="8">
        <f t="shared" si="12"/>
        <v>6.9463066837894116</v>
      </c>
      <c r="U87" s="8">
        <v>152</v>
      </c>
      <c r="V87" s="10">
        <f t="shared" si="13"/>
        <v>0.38560633828811908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586.87921980495003</v>
      </c>
      <c r="E88">
        <v>262.33908477119002</v>
      </c>
      <c r="F88">
        <v>142.27272727273001</v>
      </c>
      <c r="G88">
        <v>118.92712246431</v>
      </c>
      <c r="I88" s="9">
        <f t="shared" si="8"/>
        <v>143.41196230688001</v>
      </c>
      <c r="J88" s="9">
        <f t="shared" si="9"/>
        <v>444.60649253222005</v>
      </c>
      <c r="K88" s="9">
        <f t="shared" si="10"/>
        <v>143.41196230688001</v>
      </c>
      <c r="L88" s="10">
        <f t="shared" si="7"/>
        <v>0.32255930742281536</v>
      </c>
      <c r="M88" s="10">
        <f t="shared" si="11"/>
        <v>0.33757250571517933</v>
      </c>
      <c r="P88" s="8">
        <f t="shared" si="12"/>
        <v>2.3265693395036173</v>
      </c>
      <c r="U88" s="8">
        <v>152.5</v>
      </c>
      <c r="V88" s="10">
        <f t="shared" si="13"/>
        <v>0.38367200365053722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556.53263315828997</v>
      </c>
      <c r="E89">
        <v>246.95498874718999</v>
      </c>
      <c r="F89">
        <v>142.31855747558001</v>
      </c>
      <c r="G89">
        <v>118.86100676183</v>
      </c>
      <c r="I89" s="9">
        <f t="shared" si="8"/>
        <v>128.09398198535999</v>
      </c>
      <c r="J89" s="9">
        <f t="shared" si="9"/>
        <v>414.21407568270996</v>
      </c>
      <c r="K89" s="9">
        <f t="shared" si="10"/>
        <v>128.09398198535999</v>
      </c>
      <c r="L89" s="10">
        <f t="shared" si="7"/>
        <v>0.30924584533790833</v>
      </c>
      <c r="M89" s="10">
        <f t="shared" si="11"/>
        <v>0.32443361570343932</v>
      </c>
      <c r="P89" s="8">
        <f t="shared" si="12"/>
        <v>-1.6561529410981906</v>
      </c>
      <c r="U89" s="8">
        <v>153</v>
      </c>
      <c r="V89" s="10">
        <f t="shared" si="13"/>
        <v>0.37617735495506199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538.72468117028995</v>
      </c>
      <c r="E90">
        <v>239.20105026256999</v>
      </c>
      <c r="F90">
        <v>142.14575507137999</v>
      </c>
      <c r="G90">
        <v>118.34710743802</v>
      </c>
      <c r="I90" s="9">
        <f t="shared" si="8"/>
        <v>120.85394282454999</v>
      </c>
      <c r="J90" s="9">
        <f t="shared" si="9"/>
        <v>396.57892609890996</v>
      </c>
      <c r="K90" s="9">
        <f t="shared" si="10"/>
        <v>120.85394282454999</v>
      </c>
      <c r="L90" s="10">
        <f t="shared" si="7"/>
        <v>0.30474121258376713</v>
      </c>
      <c r="M90" s="10">
        <f t="shared" si="11"/>
        <v>0.32010355502246518</v>
      </c>
      <c r="P90" s="8">
        <f t="shared" si="12"/>
        <v>-2.9687013477797435</v>
      </c>
      <c r="U90" s="8">
        <v>153.5</v>
      </c>
      <c r="V90" s="10">
        <f t="shared" si="13"/>
        <v>0.36297278716624309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537.07726931732998</v>
      </c>
      <c r="E91">
        <v>235.28357089272001</v>
      </c>
      <c r="F91">
        <v>142.43050338091999</v>
      </c>
      <c r="G91">
        <v>118.81442524418</v>
      </c>
      <c r="I91" s="9">
        <f t="shared" si="8"/>
        <v>116.46914564854001</v>
      </c>
      <c r="J91" s="9">
        <f t="shared" si="9"/>
        <v>394.64676593641002</v>
      </c>
      <c r="K91" s="9">
        <f t="shared" si="10"/>
        <v>116.46914564854001</v>
      </c>
      <c r="L91" s="10">
        <f t="shared" si="7"/>
        <v>0.29512251385662397</v>
      </c>
      <c r="M91" s="10">
        <f t="shared" si="11"/>
        <v>0.31065942836848903</v>
      </c>
      <c r="P91" s="8">
        <f t="shared" si="12"/>
        <v>-5.8314495412730682</v>
      </c>
      <c r="U91" s="8">
        <v>154</v>
      </c>
      <c r="V91" s="10">
        <f t="shared" si="13"/>
        <v>0.35466365525640398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549.18679669918004</v>
      </c>
      <c r="E92">
        <v>237.41110277569001</v>
      </c>
      <c r="F92">
        <v>142.47858752817001</v>
      </c>
      <c r="G92">
        <v>118.70398196844999</v>
      </c>
      <c r="I92" s="9">
        <f t="shared" si="8"/>
        <v>118.70712080724002</v>
      </c>
      <c r="J92" s="9">
        <f t="shared" si="9"/>
        <v>406.70820917101003</v>
      </c>
      <c r="K92" s="9">
        <f t="shared" si="10"/>
        <v>118.70712080724002</v>
      </c>
      <c r="L92" s="10">
        <f t="shared" si="7"/>
        <v>0.2918729401828396</v>
      </c>
      <c r="M92" s="10">
        <f t="shared" si="11"/>
        <v>0.30758442676787168</v>
      </c>
      <c r="P92" s="8">
        <f t="shared" si="12"/>
        <v>-6.763558522832545</v>
      </c>
      <c r="U92" s="8">
        <v>154.5</v>
      </c>
      <c r="V92" s="10">
        <f t="shared" si="13"/>
        <v>0.35257283616370821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551.35558889721995</v>
      </c>
      <c r="E93">
        <v>236.45236309077001</v>
      </c>
      <c r="F93">
        <v>143.24643125470001</v>
      </c>
      <c r="G93">
        <v>118.56799398948</v>
      </c>
      <c r="I93" s="9">
        <f t="shared" si="8"/>
        <v>117.88436910129001</v>
      </c>
      <c r="J93" s="9">
        <f t="shared" si="9"/>
        <v>408.1091576425199</v>
      </c>
      <c r="K93" s="9">
        <f t="shared" si="10"/>
        <v>117.88436910129001</v>
      </c>
      <c r="L93" s="10">
        <f t="shared" si="7"/>
        <v>0.28885499600709746</v>
      </c>
      <c r="M93" s="10">
        <f t="shared" si="11"/>
        <v>0.30474105466529655</v>
      </c>
      <c r="P93" s="8">
        <f t="shared" si="12"/>
        <v>-7.625454878982028</v>
      </c>
      <c r="U93" s="8">
        <v>155</v>
      </c>
      <c r="V93" s="10">
        <f t="shared" si="13"/>
        <v>0.34336286105307851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556.80195048762005</v>
      </c>
      <c r="E94">
        <v>237.36909227307001</v>
      </c>
      <c r="F94">
        <v>142.33283245679999</v>
      </c>
      <c r="G94">
        <v>118.9188580015</v>
      </c>
      <c r="I94" s="9">
        <f t="shared" si="8"/>
        <v>118.45023427157001</v>
      </c>
      <c r="J94" s="9">
        <f t="shared" si="9"/>
        <v>414.46911803082003</v>
      </c>
      <c r="K94" s="9">
        <f t="shared" si="10"/>
        <v>118.45023427157001</v>
      </c>
      <c r="L94" s="10">
        <f t="shared" si="7"/>
        <v>0.28578784068240765</v>
      </c>
      <c r="M94" s="10">
        <f t="shared" si="11"/>
        <v>0.30184847141377374</v>
      </c>
      <c r="P94" s="8">
        <f t="shared" si="12"/>
        <v>-8.5022683505950578</v>
      </c>
      <c r="U94" s="8">
        <v>155.5</v>
      </c>
      <c r="V94" s="10">
        <f t="shared" si="13"/>
        <v>0.34857109031191508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580.78844711177999</v>
      </c>
      <c r="E95">
        <v>242.14253563391</v>
      </c>
      <c r="F95">
        <v>142.23591284747999</v>
      </c>
      <c r="G95">
        <v>118.54470323065</v>
      </c>
      <c r="I95" s="9">
        <f t="shared" si="8"/>
        <v>123.59783240326</v>
      </c>
      <c r="J95" s="9">
        <f t="shared" si="9"/>
        <v>438.55253426429999</v>
      </c>
      <c r="K95" s="9">
        <f t="shared" si="10"/>
        <v>123.59783240326</v>
      </c>
      <c r="L95" s="10">
        <f t="shared" si="7"/>
        <v>0.28183130354178271</v>
      </c>
      <c r="M95" s="10">
        <f t="shared" si="11"/>
        <v>0.29806650634631587</v>
      </c>
      <c r="P95" s="8">
        <f t="shared" si="12"/>
        <v>-9.6486754310381802</v>
      </c>
      <c r="U95" s="8">
        <v>156</v>
      </c>
      <c r="V95" s="10">
        <f t="shared" si="13"/>
        <v>0.33708026522001094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593.09977494374004</v>
      </c>
      <c r="E96">
        <v>244.84246061515</v>
      </c>
      <c r="F96">
        <v>143.04057099925001</v>
      </c>
      <c r="G96">
        <v>118.96994740796001</v>
      </c>
      <c r="I96" s="9">
        <f t="shared" si="8"/>
        <v>125.87251320719</v>
      </c>
      <c r="J96" s="9">
        <f t="shared" si="9"/>
        <v>450.05920394449004</v>
      </c>
      <c r="K96" s="9">
        <f t="shared" si="10"/>
        <v>125.87251320719</v>
      </c>
      <c r="L96" s="10">
        <f t="shared" si="7"/>
        <v>0.27967990011979627</v>
      </c>
      <c r="M96" s="10">
        <f t="shared" si="11"/>
        <v>0.29608967499749644</v>
      </c>
      <c r="P96" s="8">
        <f t="shared" si="12"/>
        <v>-10.247901868804259</v>
      </c>
      <c r="U96" s="8">
        <v>156.5</v>
      </c>
      <c r="V96" s="10">
        <f t="shared" si="13"/>
        <v>0.33435965435457471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582.79594898724997</v>
      </c>
      <c r="E97">
        <v>239.21605401350001</v>
      </c>
      <c r="F97">
        <v>142.11645379414</v>
      </c>
      <c r="G97">
        <v>118.90383170549001</v>
      </c>
      <c r="I97" s="9">
        <f t="shared" si="8"/>
        <v>120.31222230801001</v>
      </c>
      <c r="J97" s="9">
        <f t="shared" si="9"/>
        <v>440.67949519310997</v>
      </c>
      <c r="K97" s="9">
        <f t="shared" si="10"/>
        <v>120.31222230801001</v>
      </c>
      <c r="L97" s="10">
        <f t="shared" si="7"/>
        <v>0.27301524945082378</v>
      </c>
      <c r="M97" s="10">
        <f t="shared" si="11"/>
        <v>0.28959959640169097</v>
      </c>
      <c r="P97" s="8">
        <f t="shared" si="12"/>
        <v>-12.215205088731906</v>
      </c>
      <c r="U97" s="8">
        <v>157</v>
      </c>
      <c r="V97" s="10">
        <f t="shared" si="13"/>
        <v>0.34086972726477527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574.01425356338996</v>
      </c>
      <c r="E98">
        <v>236.88297074268999</v>
      </c>
      <c r="F98">
        <v>142.49962434259999</v>
      </c>
      <c r="G98">
        <v>118.59203606311</v>
      </c>
      <c r="I98" s="9">
        <f t="shared" si="8"/>
        <v>118.29093467957999</v>
      </c>
      <c r="J98" s="9">
        <f t="shared" si="9"/>
        <v>431.51462922078997</v>
      </c>
      <c r="K98" s="9">
        <f t="shared" si="10"/>
        <v>118.29093467957999</v>
      </c>
      <c r="L98" s="10">
        <f t="shared" si="7"/>
        <v>0.27412960458185281</v>
      </c>
      <c r="M98" s="10">
        <f t="shared" si="11"/>
        <v>0.29088852360588702</v>
      </c>
      <c r="P98" s="8">
        <f t="shared" si="12"/>
        <v>-11.824499398248275</v>
      </c>
      <c r="U98" s="8">
        <v>157.5</v>
      </c>
      <c r="V98" s="10">
        <f t="shared" si="13"/>
        <v>0.33686892619541403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554.35483870968005</v>
      </c>
      <c r="E99">
        <v>231.06076519129999</v>
      </c>
      <c r="F99">
        <v>142.57851239669</v>
      </c>
      <c r="G99">
        <v>118.7535687453</v>
      </c>
      <c r="I99" s="9">
        <f t="shared" si="8"/>
        <v>112.30719644599999</v>
      </c>
      <c r="J99" s="9">
        <f t="shared" si="9"/>
        <v>411.77632631299002</v>
      </c>
      <c r="K99" s="9">
        <f t="shared" si="10"/>
        <v>112.30719644599999</v>
      </c>
      <c r="L99" s="10">
        <f t="shared" si="7"/>
        <v>0.27273835155019477</v>
      </c>
      <c r="M99" s="10">
        <f t="shared" si="11"/>
        <v>0.28967184264739598</v>
      </c>
      <c r="P99" s="8">
        <f t="shared" si="12"/>
        <v>-12.19330546614567</v>
      </c>
      <c r="U99" s="8">
        <v>158</v>
      </c>
      <c r="V99" s="10">
        <f t="shared" si="13"/>
        <v>0.34964928220862246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517.51121076233005</v>
      </c>
      <c r="E100">
        <v>221.03213751869001</v>
      </c>
      <c r="F100">
        <v>142.61607813673999</v>
      </c>
      <c r="G100">
        <v>118.78662659654</v>
      </c>
      <c r="I100" s="9">
        <f t="shared" si="8"/>
        <v>102.24551092215</v>
      </c>
      <c r="J100" s="9">
        <f t="shared" si="9"/>
        <v>374.89513262559007</v>
      </c>
      <c r="K100" s="9">
        <f t="shared" si="10"/>
        <v>102.24551092215</v>
      </c>
      <c r="L100" s="10">
        <f t="shared" si="7"/>
        <v>0.27273096400604163</v>
      </c>
      <c r="M100" s="10">
        <f t="shared" si="11"/>
        <v>0.28983902717640991</v>
      </c>
      <c r="P100" s="8">
        <f t="shared" si="12"/>
        <v>-12.142627703558363</v>
      </c>
      <c r="U100" s="8">
        <v>158.5</v>
      </c>
      <c r="V100" s="10">
        <f t="shared" si="13"/>
        <v>0.34216459899588519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521.51420029894996</v>
      </c>
      <c r="E101">
        <v>223.18834080718</v>
      </c>
      <c r="F101">
        <v>142.69947407964</v>
      </c>
      <c r="G101">
        <v>119.14049586777</v>
      </c>
      <c r="I101" s="9">
        <f t="shared" si="8"/>
        <v>104.04784493941</v>
      </c>
      <c r="J101" s="9">
        <f t="shared" si="9"/>
        <v>378.81472621930993</v>
      </c>
      <c r="K101" s="9">
        <f t="shared" si="10"/>
        <v>104.04784493941</v>
      </c>
      <c r="L101" s="10">
        <f t="shared" si="7"/>
        <v>0.27466684301806377</v>
      </c>
      <c r="M101" s="10">
        <f t="shared" si="11"/>
        <v>0.29194947826159906</v>
      </c>
      <c r="P101" s="8">
        <f t="shared" si="12"/>
        <v>-11.502897821384705</v>
      </c>
      <c r="U101" s="8">
        <v>159</v>
      </c>
      <c r="V101" s="10">
        <f t="shared" si="13"/>
        <v>0.34827918371782657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536.53811659193002</v>
      </c>
      <c r="E102">
        <v>225.91479820628001</v>
      </c>
      <c r="F102">
        <v>142.44853493613999</v>
      </c>
      <c r="G102">
        <v>118.69421487603</v>
      </c>
      <c r="I102" s="9">
        <f t="shared" si="8"/>
        <v>107.22058333025001</v>
      </c>
      <c r="J102" s="9">
        <f t="shared" si="9"/>
        <v>394.08958165579003</v>
      </c>
      <c r="K102" s="9">
        <f t="shared" si="10"/>
        <v>107.22058333025001</v>
      </c>
      <c r="L102" s="10">
        <f t="shared" si="7"/>
        <v>0.2720716007760382</v>
      </c>
      <c r="M102" s="10">
        <f t="shared" si="11"/>
        <v>0.28952880809274051</v>
      </c>
      <c r="P102" s="8">
        <f t="shared" si="12"/>
        <v>-12.236662774656001</v>
      </c>
      <c r="U102" s="8">
        <v>159.5</v>
      </c>
      <c r="V102" s="10">
        <f t="shared" si="13"/>
        <v>0.34694158638061851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537.97309417040003</v>
      </c>
      <c r="E103">
        <v>226.67414050822001</v>
      </c>
      <c r="F103">
        <v>142.42674680690999</v>
      </c>
      <c r="G103">
        <v>118.81743050338</v>
      </c>
      <c r="I103" s="9">
        <f t="shared" si="8"/>
        <v>107.85671000484001</v>
      </c>
      <c r="J103" s="9">
        <f t="shared" si="9"/>
        <v>395.54634736349004</v>
      </c>
      <c r="K103" s="9">
        <f t="shared" si="10"/>
        <v>107.85671000484001</v>
      </c>
      <c r="L103" s="10">
        <f t="shared" si="7"/>
        <v>0.27267780558146409</v>
      </c>
      <c r="M103" s="10">
        <f t="shared" si="11"/>
        <v>0.29030958497133341</v>
      </c>
      <c r="P103" s="8">
        <f t="shared" si="12"/>
        <v>-11.999990006425797</v>
      </c>
      <c r="U103" s="8">
        <v>160</v>
      </c>
      <c r="V103" s="10">
        <f t="shared" si="13"/>
        <v>0.3489583931297639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497.86322869955001</v>
      </c>
      <c r="E104">
        <v>215.09790732437</v>
      </c>
      <c r="F104">
        <v>142.06386175808001</v>
      </c>
      <c r="G104">
        <v>118.32081141998999</v>
      </c>
      <c r="I104" s="9">
        <f t="shared" si="8"/>
        <v>96.777095904380005</v>
      </c>
      <c r="J104" s="9">
        <f t="shared" si="9"/>
        <v>355.79936694147</v>
      </c>
      <c r="K104" s="9">
        <f t="shared" si="10"/>
        <v>96.777095904380005</v>
      </c>
      <c r="L104" s="10">
        <f t="shared" si="7"/>
        <v>0.27199906716051048</v>
      </c>
      <c r="M104" s="10">
        <f t="shared" si="11"/>
        <v>0.28980541862354681</v>
      </c>
      <c r="P104" s="8">
        <f t="shared" si="12"/>
        <v>-12.152815286541939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469.35165662651002</v>
      </c>
      <c r="E105">
        <v>209.92394578312999</v>
      </c>
      <c r="F105">
        <v>142.11945905333999</v>
      </c>
      <c r="G105">
        <v>118.6664162284</v>
      </c>
      <c r="I105" s="9">
        <f t="shared" si="8"/>
        <v>91.257529554729999</v>
      </c>
      <c r="J105" s="9">
        <f t="shared" si="9"/>
        <v>327.23219757317003</v>
      </c>
      <c r="K105" s="9">
        <f t="shared" si="10"/>
        <v>91.257529554729999</v>
      </c>
      <c r="L105" s="10">
        <f t="shared" si="7"/>
        <v>0.27887698775217423</v>
      </c>
      <c r="M105" s="10">
        <f t="shared" si="11"/>
        <v>0.29685791128837763</v>
      </c>
      <c r="P105" s="8">
        <f t="shared" si="12"/>
        <v>-10.015030462640915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492.01957831325001</v>
      </c>
      <c r="E106">
        <v>214.57605421687001</v>
      </c>
      <c r="F106">
        <v>142.25093914350001</v>
      </c>
      <c r="G106">
        <v>118.62960180316</v>
      </c>
      <c r="I106" s="9">
        <f t="shared" si="8"/>
        <v>95.946452413710006</v>
      </c>
      <c r="J106" s="9">
        <f t="shared" si="9"/>
        <v>349.76863916975003</v>
      </c>
      <c r="K106" s="9">
        <f t="shared" si="10"/>
        <v>95.946452413710006</v>
      </c>
      <c r="L106" s="10">
        <f t="shared" si="7"/>
        <v>0.27431405125816666</v>
      </c>
      <c r="M106" s="10">
        <f t="shared" si="11"/>
        <v>0.29246954686753707</v>
      </c>
      <c r="P106" s="8">
        <f t="shared" si="12"/>
        <v>-11.345252173810211</v>
      </c>
      <c r="X106" s="8">
        <v>-13</v>
      </c>
    </row>
    <row r="107" spans="1:25" x14ac:dyDescent="0.2">
      <c r="A107" s="8">
        <v>52.5</v>
      </c>
      <c r="B107" s="8">
        <v>105</v>
      </c>
      <c r="D107">
        <v>490.84988797609998</v>
      </c>
      <c r="E107">
        <v>213.82300224048001</v>
      </c>
      <c r="F107">
        <v>142.59203606310999</v>
      </c>
      <c r="G107">
        <v>118.81292261458</v>
      </c>
      <c r="I107" s="9">
        <f t="shared" si="8"/>
        <v>95.010079625900005</v>
      </c>
      <c r="J107" s="9">
        <f t="shared" si="9"/>
        <v>348.25785191298996</v>
      </c>
      <c r="K107" s="9">
        <f t="shared" si="10"/>
        <v>95.010079625900005</v>
      </c>
      <c r="L107" s="10">
        <f t="shared" si="7"/>
        <v>0.2728153266437699</v>
      </c>
      <c r="M107" s="10">
        <f t="shared" si="11"/>
        <v>0.29114539432630732</v>
      </c>
      <c r="P107" s="8">
        <f t="shared" si="12"/>
        <v>-11.746635534517164</v>
      </c>
      <c r="X107" s="8">
        <v>-13</v>
      </c>
    </row>
    <row r="108" spans="1:25" x14ac:dyDescent="0.2">
      <c r="A108" s="8">
        <v>53</v>
      </c>
      <c r="B108" s="8">
        <v>106</v>
      </c>
      <c r="D108">
        <v>485.33681852129001</v>
      </c>
      <c r="E108">
        <v>213.19044062732999</v>
      </c>
      <c r="F108">
        <v>142.57776108189</v>
      </c>
      <c r="G108">
        <v>118.04432757325</v>
      </c>
      <c r="I108" s="9">
        <f t="shared" si="8"/>
        <v>95.14611305407999</v>
      </c>
      <c r="J108" s="9">
        <f t="shared" si="9"/>
        <v>342.75905743940001</v>
      </c>
      <c r="K108" s="9">
        <f t="shared" si="10"/>
        <v>95.14611305407999</v>
      </c>
      <c r="L108" s="10">
        <f t="shared" si="7"/>
        <v>0.27758890972823341</v>
      </c>
      <c r="M108" s="10">
        <f t="shared" si="11"/>
        <v>0.29609354948393785</v>
      </c>
      <c r="P108" s="8">
        <f t="shared" si="12"/>
        <v>-10.246727416208774</v>
      </c>
      <c r="X108" s="8">
        <v>-13</v>
      </c>
    </row>
    <row r="109" spans="1:25" x14ac:dyDescent="0.2">
      <c r="A109" s="8">
        <v>53.5</v>
      </c>
      <c r="B109" s="8">
        <v>107</v>
      </c>
      <c r="D109">
        <v>487.61463778939998</v>
      </c>
      <c r="E109">
        <v>214.15459297984</v>
      </c>
      <c r="F109">
        <v>142.62133734035001</v>
      </c>
      <c r="G109">
        <v>118.2479338843</v>
      </c>
      <c r="I109" s="9">
        <f t="shared" si="8"/>
        <v>95.906659095540007</v>
      </c>
      <c r="J109" s="9">
        <f t="shared" si="9"/>
        <v>344.99330044904997</v>
      </c>
      <c r="K109" s="9">
        <f t="shared" si="10"/>
        <v>95.906659095540007</v>
      </c>
      <c r="L109" s="10">
        <f t="shared" si="7"/>
        <v>0.27799571461447525</v>
      </c>
      <c r="M109" s="10">
        <f t="shared" si="11"/>
        <v>0.2966749264433467</v>
      </c>
      <c r="P109" s="8">
        <f t="shared" si="12"/>
        <v>-10.070497691506214</v>
      </c>
      <c r="X109" s="8">
        <v>-13</v>
      </c>
    </row>
    <row r="110" spans="1:25" x14ac:dyDescent="0.2">
      <c r="A110" s="8">
        <v>54</v>
      </c>
      <c r="B110" s="8">
        <v>108</v>
      </c>
      <c r="D110">
        <v>508.79017857142998</v>
      </c>
      <c r="E110">
        <v>218.87946428570999</v>
      </c>
      <c r="F110">
        <v>142.67543200601</v>
      </c>
      <c r="G110">
        <v>118.31855747557999</v>
      </c>
      <c r="I110" s="9">
        <f t="shared" si="8"/>
        <v>100.56090681012999</v>
      </c>
      <c r="J110" s="9">
        <f t="shared" si="9"/>
        <v>366.11474656541998</v>
      </c>
      <c r="K110" s="9">
        <f t="shared" si="10"/>
        <v>100.56090681012999</v>
      </c>
      <c r="L110" s="10">
        <f t="shared" si="7"/>
        <v>0.27467046261727418</v>
      </c>
      <c r="M110" s="10">
        <f t="shared" si="11"/>
        <v>0.29352424651931269</v>
      </c>
      <c r="P110" s="8">
        <f t="shared" si="12"/>
        <v>-11.025546643227612</v>
      </c>
      <c r="X110" s="8">
        <v>-13</v>
      </c>
    </row>
    <row r="111" spans="1:25" x14ac:dyDescent="0.2">
      <c r="A111" s="8">
        <v>54.5</v>
      </c>
      <c r="B111" s="8">
        <v>109</v>
      </c>
      <c r="D111">
        <v>546.46279761904998</v>
      </c>
      <c r="E111">
        <v>230.21130952381</v>
      </c>
      <c r="F111">
        <v>142.18557475582</v>
      </c>
      <c r="G111">
        <v>118.59729526672</v>
      </c>
      <c r="I111" s="9">
        <f t="shared" si="8"/>
        <v>111.61401425709001</v>
      </c>
      <c r="J111" s="9">
        <f t="shared" si="9"/>
        <v>404.27722286323001</v>
      </c>
      <c r="K111" s="9">
        <f t="shared" si="10"/>
        <v>111.61401425709001</v>
      </c>
      <c r="L111" s="10">
        <f t="shared" si="7"/>
        <v>0.27608286577858943</v>
      </c>
      <c r="M111" s="10">
        <f t="shared" si="11"/>
        <v>0.29511122175379495</v>
      </c>
      <c r="P111" s="8">
        <f t="shared" si="12"/>
        <v>-10.544495228725458</v>
      </c>
      <c r="X111" s="8">
        <v>-13</v>
      </c>
    </row>
    <row r="112" spans="1:25" x14ac:dyDescent="0.2">
      <c r="A112" s="8">
        <v>55</v>
      </c>
      <c r="B112" s="8">
        <v>110</v>
      </c>
      <c r="D112">
        <v>565.88104089218996</v>
      </c>
      <c r="E112">
        <v>231.28847583643</v>
      </c>
      <c r="F112">
        <v>142.40120210367999</v>
      </c>
      <c r="G112">
        <v>118.33132982719999</v>
      </c>
      <c r="I112" s="9">
        <f t="shared" si="8"/>
        <v>112.95714600923</v>
      </c>
      <c r="J112" s="9">
        <f t="shared" si="9"/>
        <v>423.47983878850994</v>
      </c>
      <c r="K112" s="9">
        <f t="shared" si="10"/>
        <v>112.95714600923</v>
      </c>
      <c r="L112" s="10">
        <f t="shared" si="7"/>
        <v>0.2667355932041004</v>
      </c>
      <c r="M112" s="10">
        <f t="shared" si="11"/>
        <v>0.28593852125247293</v>
      </c>
      <c r="P112" s="8">
        <f t="shared" si="12"/>
        <v>-13.324967447250751</v>
      </c>
      <c r="X112" s="8">
        <v>-13</v>
      </c>
    </row>
    <row r="113" spans="1:24" x14ac:dyDescent="0.2">
      <c r="A113" s="8">
        <v>55.5</v>
      </c>
      <c r="B113" s="8">
        <v>111</v>
      </c>
      <c r="D113">
        <v>587.13680297398002</v>
      </c>
      <c r="E113">
        <v>239.00148698884999</v>
      </c>
      <c r="F113">
        <v>142.20961682945</v>
      </c>
      <c r="G113">
        <v>118.76784372652</v>
      </c>
      <c r="I113" s="9">
        <f t="shared" si="8"/>
        <v>120.23364326232999</v>
      </c>
      <c r="J113" s="9">
        <f t="shared" si="9"/>
        <v>444.92718614453003</v>
      </c>
      <c r="K113" s="9">
        <f t="shared" si="10"/>
        <v>120.23364326232999</v>
      </c>
      <c r="L113" s="10">
        <f t="shared" si="7"/>
        <v>0.27023217957122836</v>
      </c>
      <c r="M113" s="10">
        <f t="shared" si="11"/>
        <v>0.28960967969276791</v>
      </c>
      <c r="P113" s="8">
        <f t="shared" si="12"/>
        <v>-12.212148594005335</v>
      </c>
      <c r="X113" s="8">
        <v>-13</v>
      </c>
    </row>
    <row r="114" spans="1:24" x14ac:dyDescent="0.2">
      <c r="A114" s="8">
        <v>56</v>
      </c>
      <c r="B114" s="8">
        <v>112</v>
      </c>
      <c r="D114">
        <v>557.53457249071005</v>
      </c>
      <c r="E114">
        <v>229.74869888475999</v>
      </c>
      <c r="F114">
        <v>142.19834710743999</v>
      </c>
      <c r="G114">
        <v>118.02404207363</v>
      </c>
      <c r="I114" s="9">
        <f t="shared" si="8"/>
        <v>111.72465681112999</v>
      </c>
      <c r="J114" s="9">
        <f t="shared" si="9"/>
        <v>415.33622538327006</v>
      </c>
      <c r="K114" s="9">
        <f t="shared" si="10"/>
        <v>111.72465681112999</v>
      </c>
      <c r="L114" s="10">
        <f t="shared" si="7"/>
        <v>0.26899810318262285</v>
      </c>
      <c r="M114" s="10">
        <f t="shared" si="11"/>
        <v>0.28855017537732941</v>
      </c>
      <c r="P114" s="8">
        <f t="shared" si="12"/>
        <v>-12.533310536887893</v>
      </c>
      <c r="X114" s="8">
        <v>-13</v>
      </c>
    </row>
    <row r="115" spans="1:24" x14ac:dyDescent="0.2">
      <c r="A115" s="8">
        <v>56.5</v>
      </c>
      <c r="B115" s="8">
        <v>113</v>
      </c>
      <c r="D115">
        <v>513.70483271375997</v>
      </c>
      <c r="E115">
        <v>217.67955390335001</v>
      </c>
      <c r="F115">
        <v>142.53568745304</v>
      </c>
      <c r="G115">
        <v>117.97445529677</v>
      </c>
      <c r="I115" s="9">
        <f t="shared" si="8"/>
        <v>99.705098606580009</v>
      </c>
      <c r="J115" s="9">
        <f t="shared" si="9"/>
        <v>371.16914526071997</v>
      </c>
      <c r="K115" s="9">
        <f t="shared" si="10"/>
        <v>99.705098606580009</v>
      </c>
      <c r="L115" s="10">
        <f t="shared" si="7"/>
        <v>0.26862442603235315</v>
      </c>
      <c r="M115" s="10">
        <f t="shared" si="11"/>
        <v>0.28835107030022677</v>
      </c>
      <c r="P115" s="8">
        <f t="shared" si="12"/>
        <v>-12.593664206493854</v>
      </c>
      <c r="X115" s="8">
        <v>-13</v>
      </c>
    </row>
    <row r="116" spans="1:24" x14ac:dyDescent="0.2">
      <c r="A116" s="8">
        <v>57</v>
      </c>
      <c r="B116" s="8">
        <v>114</v>
      </c>
      <c r="D116">
        <v>493.48809523810002</v>
      </c>
      <c r="E116">
        <v>215.08258928570999</v>
      </c>
      <c r="F116">
        <v>142.41021788129001</v>
      </c>
      <c r="G116">
        <v>118.14199849737</v>
      </c>
      <c r="I116" s="9">
        <f t="shared" si="8"/>
        <v>96.940590788339989</v>
      </c>
      <c r="J116" s="9">
        <f t="shared" si="9"/>
        <v>351.07787735681001</v>
      </c>
      <c r="K116" s="9">
        <f t="shared" si="10"/>
        <v>96.940590788339989</v>
      </c>
      <c r="L116" s="10">
        <f t="shared" si="7"/>
        <v>0.27612275520800367</v>
      </c>
      <c r="M116" s="10">
        <f t="shared" si="11"/>
        <v>0.29602397154904431</v>
      </c>
      <c r="P116" s="8">
        <f t="shared" si="12"/>
        <v>-10.267818207842707</v>
      </c>
      <c r="X116" s="8">
        <v>-13</v>
      </c>
    </row>
    <row r="117" spans="1:24" x14ac:dyDescent="0.2">
      <c r="A117" s="8">
        <v>57.5</v>
      </c>
      <c r="B117" s="8">
        <v>115</v>
      </c>
      <c r="D117">
        <v>525.15922619048001</v>
      </c>
      <c r="E117">
        <v>225.22098214286001</v>
      </c>
      <c r="F117">
        <v>142.25018782870001</v>
      </c>
      <c r="G117">
        <v>118.44928625094001</v>
      </c>
      <c r="I117" s="9">
        <f t="shared" si="8"/>
        <v>106.77169589192</v>
      </c>
      <c r="J117" s="9">
        <f t="shared" si="9"/>
        <v>382.90903836178001</v>
      </c>
      <c r="K117" s="9">
        <f t="shared" si="10"/>
        <v>106.77169589192</v>
      </c>
      <c r="L117" s="10">
        <f t="shared" si="7"/>
        <v>0.27884349857273416</v>
      </c>
      <c r="M117" s="10">
        <f t="shared" si="11"/>
        <v>0.29891928698694181</v>
      </c>
      <c r="P117" s="8">
        <f t="shared" si="12"/>
        <v>-9.3901765430155208</v>
      </c>
      <c r="X117" s="8">
        <v>-13</v>
      </c>
    </row>
    <row r="118" spans="1:24" x14ac:dyDescent="0.2">
      <c r="A118" s="8">
        <v>58</v>
      </c>
      <c r="B118" s="8">
        <v>116</v>
      </c>
      <c r="D118">
        <v>536.59747961453002</v>
      </c>
      <c r="E118">
        <v>227.42401779095999</v>
      </c>
      <c r="F118">
        <v>142.15852742299001</v>
      </c>
      <c r="G118">
        <v>118.2456799399</v>
      </c>
      <c r="I118" s="9">
        <f t="shared" si="8"/>
        <v>109.17833785105999</v>
      </c>
      <c r="J118" s="9">
        <f t="shared" si="9"/>
        <v>394.43895219154001</v>
      </c>
      <c r="K118" s="9">
        <f t="shared" si="10"/>
        <v>109.17833785105999</v>
      </c>
      <c r="L118" s="10">
        <f t="shared" si="7"/>
        <v>0.27679400638414348</v>
      </c>
      <c r="M118" s="10">
        <f t="shared" si="11"/>
        <v>0.29704436687151814</v>
      </c>
      <c r="P118" s="8">
        <f t="shared" si="12"/>
        <v>-9.9585111672778552</v>
      </c>
      <c r="X118" s="8">
        <v>-13</v>
      </c>
    </row>
    <row r="119" spans="1:24" x14ac:dyDescent="0.2">
      <c r="A119" s="8">
        <v>58.5</v>
      </c>
      <c r="B119" s="8">
        <v>117</v>
      </c>
      <c r="D119">
        <v>534.49518161600997</v>
      </c>
      <c r="E119">
        <v>226.98962194218001</v>
      </c>
      <c r="F119">
        <v>141.91059353868999</v>
      </c>
      <c r="G119">
        <v>118.61532682194</v>
      </c>
      <c r="I119" s="9">
        <f t="shared" si="8"/>
        <v>108.37429512024001</v>
      </c>
      <c r="J119" s="9">
        <f t="shared" si="9"/>
        <v>392.58458807731995</v>
      </c>
      <c r="K119" s="9">
        <f t="shared" si="10"/>
        <v>108.37429512024001</v>
      </c>
      <c r="L119" s="10">
        <f t="shared" si="7"/>
        <v>0.27605336126668217</v>
      </c>
      <c r="M119" s="10">
        <f t="shared" si="11"/>
        <v>0.29647829382722385</v>
      </c>
      <c r="P119" s="8">
        <f t="shared" si="12"/>
        <v>-10.130101897084138</v>
      </c>
      <c r="X119" s="8">
        <v>-13</v>
      </c>
    </row>
    <row r="120" spans="1:24" x14ac:dyDescent="0.2">
      <c r="A120" s="8">
        <v>59</v>
      </c>
      <c r="B120" s="8">
        <v>118</v>
      </c>
      <c r="D120">
        <v>478.21159638554002</v>
      </c>
      <c r="E120">
        <v>213.20858433735</v>
      </c>
      <c r="F120">
        <v>142.19759579263999</v>
      </c>
      <c r="G120">
        <v>118.44102178813</v>
      </c>
      <c r="I120" s="9">
        <f t="shared" si="8"/>
        <v>94.767562549220003</v>
      </c>
      <c r="J120" s="9">
        <f t="shared" si="9"/>
        <v>336.01400059290006</v>
      </c>
      <c r="K120" s="9">
        <f t="shared" si="10"/>
        <v>94.767562549220003</v>
      </c>
      <c r="L120" s="10">
        <f t="shared" si="7"/>
        <v>0.28203456517288472</v>
      </c>
      <c r="M120" s="10">
        <f t="shared" si="11"/>
        <v>0.30263406980659346</v>
      </c>
      <c r="P120" s="8">
        <f t="shared" si="12"/>
        <v>-8.2641340622425119</v>
      </c>
      <c r="X120" s="8">
        <v>-13</v>
      </c>
    </row>
    <row r="121" spans="1:24" x14ac:dyDescent="0.2">
      <c r="A121" s="8">
        <v>59.5</v>
      </c>
      <c r="B121" s="8">
        <v>119</v>
      </c>
      <c r="D121">
        <v>472.18298192770999</v>
      </c>
      <c r="E121">
        <v>211.78237951807</v>
      </c>
      <c r="F121">
        <v>142.09917355371999</v>
      </c>
      <c r="G121">
        <v>118.7535687453</v>
      </c>
      <c r="I121" s="9">
        <f t="shared" si="8"/>
        <v>93.028810772770001</v>
      </c>
      <c r="J121" s="9">
        <f t="shared" si="9"/>
        <v>330.08380837399</v>
      </c>
      <c r="K121" s="9">
        <f t="shared" si="10"/>
        <v>93.028810772770001</v>
      </c>
      <c r="L121" s="10">
        <f t="shared" si="7"/>
        <v>0.28183391130584307</v>
      </c>
      <c r="M121" s="10">
        <f t="shared" si="11"/>
        <v>0.30260798801271882</v>
      </c>
      <c r="P121" s="8">
        <f t="shared" si="12"/>
        <v>-8.2720400985583495</v>
      </c>
      <c r="X121" s="8">
        <v>-13</v>
      </c>
    </row>
    <row r="122" spans="1:24" x14ac:dyDescent="0.2">
      <c r="A122" s="8">
        <v>60</v>
      </c>
      <c r="B122" s="8">
        <v>120</v>
      </c>
      <c r="D122">
        <v>463.93147590361002</v>
      </c>
      <c r="E122">
        <v>209.37424698794999</v>
      </c>
      <c r="F122">
        <v>142.21562734785999</v>
      </c>
      <c r="G122">
        <v>118.5792637115</v>
      </c>
      <c r="I122" s="9">
        <f t="shared" si="8"/>
        <v>90.794983276449983</v>
      </c>
      <c r="J122" s="9">
        <f t="shared" si="9"/>
        <v>321.71584855575003</v>
      </c>
      <c r="K122" s="9">
        <f t="shared" si="10"/>
        <v>90.794983276449983</v>
      </c>
      <c r="L122" s="10">
        <f t="shared" si="7"/>
        <v>0.28222104594488495</v>
      </c>
      <c r="M122" s="10">
        <f t="shared" si="11"/>
        <v>0.30316969472492772</v>
      </c>
      <c r="P122" s="8">
        <f t="shared" si="12"/>
        <v>-8.1017729119178465</v>
      </c>
      <c r="X122" s="8">
        <v>-13</v>
      </c>
    </row>
    <row r="123" spans="1:24" x14ac:dyDescent="0.2">
      <c r="A123" s="8">
        <v>60.5</v>
      </c>
      <c r="B123" s="8">
        <v>121</v>
      </c>
      <c r="D123">
        <v>455.80948795181001</v>
      </c>
      <c r="E123">
        <v>207.00451807229001</v>
      </c>
      <c r="F123">
        <v>142.48384673178001</v>
      </c>
      <c r="G123">
        <v>117.75056348610001</v>
      </c>
      <c r="I123" s="9">
        <f t="shared" si="8"/>
        <v>89.253954586190005</v>
      </c>
      <c r="J123" s="9">
        <f t="shared" si="9"/>
        <v>313.32564122002998</v>
      </c>
      <c r="K123" s="9">
        <f t="shared" si="10"/>
        <v>89.253954586190005</v>
      </c>
      <c r="L123" s="10">
        <f t="shared" si="7"/>
        <v>0.28486003966560863</v>
      </c>
      <c r="M123" s="10">
        <f t="shared" si="11"/>
        <v>0.30598326051881841</v>
      </c>
      <c r="P123" s="8">
        <f t="shared" si="12"/>
        <v>-7.2489115845717027</v>
      </c>
      <c r="X123" s="8">
        <v>-13</v>
      </c>
    </row>
    <row r="124" spans="1:24" x14ac:dyDescent="0.2">
      <c r="A124" s="8">
        <v>61</v>
      </c>
      <c r="B124" s="8">
        <v>122</v>
      </c>
      <c r="D124">
        <v>474.08339594289998</v>
      </c>
      <c r="E124">
        <v>211.7468069121</v>
      </c>
      <c r="F124">
        <v>142.35011269722</v>
      </c>
      <c r="G124">
        <v>118.22839969947</v>
      </c>
      <c r="I124" s="9">
        <f t="shared" si="8"/>
        <v>93.518407212629995</v>
      </c>
      <c r="J124" s="9">
        <f t="shared" si="9"/>
        <v>331.73328324568001</v>
      </c>
      <c r="K124" s="9">
        <f t="shared" si="10"/>
        <v>93.518407212629995</v>
      </c>
      <c r="L124" s="10">
        <f t="shared" si="7"/>
        <v>0.28190842443557507</v>
      </c>
      <c r="M124" s="10">
        <f t="shared" si="11"/>
        <v>0.30320621736195186</v>
      </c>
      <c r="P124" s="8">
        <f t="shared" si="12"/>
        <v>-8.0907019980056063</v>
      </c>
      <c r="X124" s="8">
        <v>-13</v>
      </c>
    </row>
    <row r="125" spans="1:24" x14ac:dyDescent="0.2">
      <c r="A125" s="8">
        <v>61.5</v>
      </c>
      <c r="B125" s="8">
        <v>123</v>
      </c>
      <c r="D125">
        <v>477.14951164538002</v>
      </c>
      <c r="E125">
        <v>211.75507137490999</v>
      </c>
      <c r="F125">
        <v>141.96168294514999</v>
      </c>
      <c r="G125">
        <v>118.35837716003</v>
      </c>
      <c r="I125" s="9">
        <f t="shared" si="8"/>
        <v>93.396694214879986</v>
      </c>
      <c r="J125" s="9">
        <f t="shared" si="9"/>
        <v>335.18782870023006</v>
      </c>
      <c r="K125" s="9">
        <f t="shared" si="10"/>
        <v>93.396694214879986</v>
      </c>
      <c r="L125" s="10">
        <f t="shared" si="7"/>
        <v>0.27863987358087472</v>
      </c>
      <c r="M125" s="10">
        <f t="shared" si="11"/>
        <v>0.30011223858041858</v>
      </c>
      <c r="P125" s="8">
        <f t="shared" si="12"/>
        <v>-9.028563432107827</v>
      </c>
      <c r="X125" s="8">
        <v>-13</v>
      </c>
    </row>
    <row r="126" spans="1:24" x14ac:dyDescent="0.2">
      <c r="A126" s="8">
        <v>62</v>
      </c>
      <c r="B126" s="8">
        <v>124</v>
      </c>
      <c r="D126">
        <v>475.92111194591001</v>
      </c>
      <c r="E126">
        <v>213.11344853494001</v>
      </c>
      <c r="F126">
        <v>142.20886551465</v>
      </c>
      <c r="G126">
        <v>118.44252441773</v>
      </c>
      <c r="I126" s="9">
        <f t="shared" si="8"/>
        <v>94.670924117210006</v>
      </c>
      <c r="J126" s="9">
        <f t="shared" si="9"/>
        <v>333.71224643126004</v>
      </c>
      <c r="K126" s="9">
        <f t="shared" si="10"/>
        <v>94.670924117210006</v>
      </c>
      <c r="L126" s="10">
        <f t="shared" si="7"/>
        <v>0.28369029045121025</v>
      </c>
      <c r="M126" s="10">
        <f t="shared" si="11"/>
        <v>0.30533722752392112</v>
      </c>
      <c r="P126" s="8">
        <f t="shared" si="12"/>
        <v>-7.4447401515573723</v>
      </c>
      <c r="X126" s="8">
        <v>-13</v>
      </c>
    </row>
    <row r="127" spans="1:24" x14ac:dyDescent="0.2">
      <c r="A127" s="8">
        <v>62.5</v>
      </c>
      <c r="B127" s="8">
        <v>125</v>
      </c>
      <c r="D127">
        <v>461.38980509744999</v>
      </c>
      <c r="E127">
        <v>207.50374812594001</v>
      </c>
      <c r="F127">
        <v>141.89857250188001</v>
      </c>
      <c r="G127">
        <v>118.13974455297</v>
      </c>
      <c r="I127" s="9">
        <f t="shared" si="8"/>
        <v>89.364003572970006</v>
      </c>
      <c r="J127" s="9">
        <f t="shared" si="9"/>
        <v>319.49123259556995</v>
      </c>
      <c r="K127" s="9">
        <f t="shared" si="10"/>
        <v>89.364003572970006</v>
      </c>
      <c r="L127" s="10">
        <f t="shared" si="7"/>
        <v>0.27970721714949848</v>
      </c>
      <c r="M127" s="10">
        <f t="shared" si="11"/>
        <v>0.30152872629537636</v>
      </c>
      <c r="P127" s="8">
        <f t="shared" si="12"/>
        <v>-8.5991909982477175</v>
      </c>
      <c r="X127" s="8">
        <v>-13</v>
      </c>
    </row>
    <row r="128" spans="1:24" x14ac:dyDescent="0.2">
      <c r="A128" s="8">
        <v>63</v>
      </c>
      <c r="B128" s="8">
        <v>126</v>
      </c>
      <c r="D128">
        <v>456.72488755621998</v>
      </c>
      <c r="E128">
        <v>208.02023988005999</v>
      </c>
      <c r="F128">
        <v>142.32607062359</v>
      </c>
      <c r="G128">
        <v>118.20210368143999</v>
      </c>
      <c r="I128" s="9">
        <f t="shared" si="8"/>
        <v>89.818136198619996</v>
      </c>
      <c r="J128" s="9">
        <f t="shared" si="9"/>
        <v>314.39881693262998</v>
      </c>
      <c r="K128" s="9">
        <f t="shared" si="10"/>
        <v>89.818136198619996</v>
      </c>
      <c r="L128" s="10">
        <f t="shared" si="7"/>
        <v>0.2856821697833119</v>
      </c>
      <c r="M128" s="10">
        <f t="shared" si="11"/>
        <v>0.3076782510023568</v>
      </c>
      <c r="P128" s="8">
        <f t="shared" si="12"/>
        <v>-6.7351180785628699</v>
      </c>
      <c r="X128" s="8">
        <v>-13</v>
      </c>
    </row>
    <row r="129" spans="1:24" x14ac:dyDescent="0.2">
      <c r="A129" s="8">
        <v>63.5</v>
      </c>
      <c r="B129" s="8">
        <v>127</v>
      </c>
      <c r="D129">
        <v>500.68890554722998</v>
      </c>
      <c r="E129">
        <v>220.70764617691</v>
      </c>
      <c r="F129">
        <v>141.82118707738999</v>
      </c>
      <c r="G129">
        <v>118.14876033058</v>
      </c>
      <c r="I129" s="9">
        <f t="shared" si="8"/>
        <v>102.55888584633</v>
      </c>
      <c r="J129" s="9">
        <f t="shared" si="9"/>
        <v>358.86771846983999</v>
      </c>
      <c r="K129" s="9">
        <f t="shared" si="10"/>
        <v>102.55888584633</v>
      </c>
      <c r="L129" s="10">
        <f t="shared" si="7"/>
        <v>0.28578465146886506</v>
      </c>
      <c r="M129" s="10">
        <f t="shared" si="11"/>
        <v>0.30795530476107696</v>
      </c>
      <c r="P129" s="8">
        <f t="shared" si="12"/>
        <v>-6.6511362371140592</v>
      </c>
      <c r="X129" s="8">
        <v>-13</v>
      </c>
    </row>
    <row r="130" spans="1:24" x14ac:dyDescent="0.2">
      <c r="A130" s="8">
        <v>64</v>
      </c>
      <c r="B130" s="8">
        <v>128</v>
      </c>
      <c r="D130">
        <v>514.41679160419994</v>
      </c>
      <c r="E130">
        <v>224.89580209895001</v>
      </c>
      <c r="F130">
        <v>141.7468069121</v>
      </c>
      <c r="G130">
        <v>118.2524417731</v>
      </c>
      <c r="I130" s="9">
        <f t="shared" si="8"/>
        <v>106.64336032585001</v>
      </c>
      <c r="J130" s="9">
        <f t="shared" si="9"/>
        <v>372.66998469209994</v>
      </c>
      <c r="K130" s="9">
        <f t="shared" si="10"/>
        <v>106.64336032585001</v>
      </c>
      <c r="L130" s="10">
        <f t="shared" ref="L130:L193" si="14">K130/J130</f>
        <v>0.28616031530942526</v>
      </c>
      <c r="M130" s="10">
        <f t="shared" si="11"/>
        <v>0.30850554067480424</v>
      </c>
      <c r="P130" s="8">
        <f t="shared" si="12"/>
        <v>-6.4843461329857215</v>
      </c>
      <c r="X130" s="8">
        <v>-13</v>
      </c>
    </row>
    <row r="131" spans="1:24" x14ac:dyDescent="0.2">
      <c r="A131" s="8">
        <v>64.5</v>
      </c>
      <c r="B131" s="8">
        <v>129</v>
      </c>
      <c r="D131">
        <v>541.90179910045003</v>
      </c>
      <c r="E131">
        <v>232.25712143928001</v>
      </c>
      <c r="F131">
        <v>142.51465063862</v>
      </c>
      <c r="G131">
        <v>118.11495116454</v>
      </c>
      <c r="I131" s="9">
        <f t="shared" ref="I131:I194" si="15">E131-G131</f>
        <v>114.14217027474001</v>
      </c>
      <c r="J131" s="9">
        <f t="shared" ref="J131:J194" si="16">D131-F131</f>
        <v>399.38714846183007</v>
      </c>
      <c r="K131" s="9">
        <f t="shared" ref="K131:K194" si="17">I131*1</f>
        <v>114.14217027474001</v>
      </c>
      <c r="L131" s="10">
        <f t="shared" si="14"/>
        <v>0.28579329784230328</v>
      </c>
      <c r="M131" s="10">
        <f t="shared" ref="M131:M181" si="18">L131+ABS($N$2)*A131</f>
        <v>0.30831309528084927</v>
      </c>
      <c r="P131" s="8">
        <f t="shared" ref="P131:P194" si="19">(M131-$O$2)/$O$2*100</f>
        <v>-6.5426810880404318</v>
      </c>
      <c r="X131" s="8">
        <v>-13</v>
      </c>
    </row>
    <row r="132" spans="1:24" x14ac:dyDescent="0.2">
      <c r="A132" s="8">
        <v>65</v>
      </c>
      <c r="B132" s="8">
        <v>130</v>
      </c>
      <c r="D132">
        <v>543.39307228916005</v>
      </c>
      <c r="E132">
        <v>227.62876506024</v>
      </c>
      <c r="F132">
        <v>141.81141998497</v>
      </c>
      <c r="G132">
        <v>118.08715251691</v>
      </c>
      <c r="I132" s="9">
        <f t="shared" si="15"/>
        <v>109.54161254333</v>
      </c>
      <c r="J132" s="9">
        <f t="shared" si="16"/>
        <v>401.58165230419002</v>
      </c>
      <c r="K132" s="9">
        <f t="shared" si="17"/>
        <v>109.54161254333</v>
      </c>
      <c r="L132" s="10">
        <f t="shared" si="14"/>
        <v>0.27277544159401595</v>
      </c>
      <c r="M132" s="10">
        <f t="shared" si="18"/>
        <v>0.29546981110572895</v>
      </c>
      <c r="P132" s="8">
        <f t="shared" si="19"/>
        <v>-10.435797933881068</v>
      </c>
      <c r="X132" s="8">
        <v>-13</v>
      </c>
    </row>
    <row r="133" spans="1:24" x14ac:dyDescent="0.2">
      <c r="A133" s="8">
        <v>65.5</v>
      </c>
      <c r="B133" s="8">
        <v>131</v>
      </c>
      <c r="D133">
        <v>565.84789156627005</v>
      </c>
      <c r="E133">
        <v>233.04819277108001</v>
      </c>
      <c r="F133">
        <v>141.73403456048001</v>
      </c>
      <c r="G133">
        <v>118.37114951165</v>
      </c>
      <c r="I133" s="9">
        <f t="shared" si="15"/>
        <v>114.67704325943001</v>
      </c>
      <c r="J133" s="9">
        <f t="shared" si="16"/>
        <v>424.11385700579001</v>
      </c>
      <c r="K133" s="9">
        <f t="shared" si="17"/>
        <v>114.67704325943001</v>
      </c>
      <c r="L133" s="10">
        <f t="shared" si="14"/>
        <v>0.27039211609127978</v>
      </c>
      <c r="M133" s="10">
        <f t="shared" si="18"/>
        <v>0.29326105767615979</v>
      </c>
      <c r="P133" s="8">
        <f t="shared" si="19"/>
        <v>-11.105325686106751</v>
      </c>
      <c r="X133" s="8">
        <v>-13</v>
      </c>
    </row>
    <row r="134" spans="1:24" x14ac:dyDescent="0.2">
      <c r="A134" s="8">
        <v>66</v>
      </c>
      <c r="B134" s="8">
        <v>132</v>
      </c>
      <c r="D134">
        <v>577.24849397590003</v>
      </c>
      <c r="E134">
        <v>239.58283132529999</v>
      </c>
      <c r="F134">
        <v>141.78061607814001</v>
      </c>
      <c r="G134">
        <v>118.55071374905999</v>
      </c>
      <c r="I134" s="9">
        <f t="shared" si="15"/>
        <v>121.03211757624</v>
      </c>
      <c r="J134" s="9">
        <f t="shared" si="16"/>
        <v>435.46787789775999</v>
      </c>
      <c r="K134" s="9">
        <f t="shared" si="17"/>
        <v>121.03211757624</v>
      </c>
      <c r="L134" s="10">
        <f t="shared" si="14"/>
        <v>0.27793581046787602</v>
      </c>
      <c r="M134" s="10">
        <f t="shared" si="18"/>
        <v>0.30097932412592304</v>
      </c>
      <c r="P134" s="8">
        <f t="shared" si="19"/>
        <v>-8.7657283738812399</v>
      </c>
      <c r="X134" s="8">
        <v>-13</v>
      </c>
    </row>
    <row r="135" spans="1:24" x14ac:dyDescent="0.2">
      <c r="A135" s="8">
        <v>66.5</v>
      </c>
      <c r="B135" s="8">
        <v>133</v>
      </c>
      <c r="D135">
        <v>578.46010439969996</v>
      </c>
      <c r="E135">
        <v>237.42580164057</v>
      </c>
      <c r="F135">
        <v>142.14800901577999</v>
      </c>
      <c r="G135">
        <v>118.27873779113</v>
      </c>
      <c r="I135" s="9">
        <f t="shared" si="15"/>
        <v>119.14706384944</v>
      </c>
      <c r="J135" s="9">
        <f t="shared" si="16"/>
        <v>436.31209538392</v>
      </c>
      <c r="K135" s="9">
        <f t="shared" si="17"/>
        <v>119.14706384944</v>
      </c>
      <c r="L135" s="10">
        <f t="shared" si="14"/>
        <v>0.27307760914718637</v>
      </c>
      <c r="M135" s="10">
        <f t="shared" si="18"/>
        <v>0.29629569487840046</v>
      </c>
      <c r="P135" s="8">
        <f t="shared" si="19"/>
        <v>-10.185452151271788</v>
      </c>
      <c r="X135" s="8">
        <v>-13</v>
      </c>
    </row>
    <row r="136" spans="1:24" x14ac:dyDescent="0.2">
      <c r="A136" s="8">
        <v>67</v>
      </c>
      <c r="B136" s="8">
        <v>134</v>
      </c>
      <c r="D136">
        <v>552.56152125280005</v>
      </c>
      <c r="E136">
        <v>229.28262490679001</v>
      </c>
      <c r="F136">
        <v>141.98647633357999</v>
      </c>
      <c r="G136">
        <v>117.97896318558</v>
      </c>
      <c r="I136" s="9">
        <f t="shared" si="15"/>
        <v>111.30366172121001</v>
      </c>
      <c r="J136" s="9">
        <f t="shared" si="16"/>
        <v>410.57504491922009</v>
      </c>
      <c r="K136" s="9">
        <f t="shared" si="17"/>
        <v>111.30366172121001</v>
      </c>
      <c r="L136" s="10">
        <f t="shared" si="14"/>
        <v>0.27109212578448066</v>
      </c>
      <c r="M136" s="10">
        <f t="shared" si="18"/>
        <v>0.29448478358886176</v>
      </c>
      <c r="P136" s="8">
        <f t="shared" si="19"/>
        <v>-10.734384118477132</v>
      </c>
      <c r="X136" s="8">
        <v>-13</v>
      </c>
    </row>
    <row r="137" spans="1:24" x14ac:dyDescent="0.2">
      <c r="A137" s="8">
        <v>67.5</v>
      </c>
      <c r="B137" s="8">
        <v>135</v>
      </c>
      <c r="D137">
        <v>518.74347501863997</v>
      </c>
      <c r="E137">
        <v>220.82699478001999</v>
      </c>
      <c r="F137">
        <v>142.14124718257</v>
      </c>
      <c r="G137">
        <v>118.43726521412999</v>
      </c>
      <c r="I137" s="9">
        <f t="shared" si="15"/>
        <v>102.38972956588999</v>
      </c>
      <c r="J137" s="9">
        <f t="shared" si="16"/>
        <v>376.60222783606997</v>
      </c>
      <c r="K137" s="9">
        <f t="shared" si="17"/>
        <v>102.38972956588999</v>
      </c>
      <c r="L137" s="10">
        <f t="shared" si="14"/>
        <v>0.27187765232886224</v>
      </c>
      <c r="M137" s="10">
        <f t="shared" si="18"/>
        <v>0.29544488220641035</v>
      </c>
      <c r="P137" s="8">
        <f t="shared" si="19"/>
        <v>-10.443354499364023</v>
      </c>
      <c r="X137" s="8">
        <v>-13</v>
      </c>
    </row>
    <row r="138" spans="1:24" x14ac:dyDescent="0.2">
      <c r="A138" s="8">
        <v>68</v>
      </c>
      <c r="B138" s="8">
        <v>136</v>
      </c>
      <c r="D138">
        <v>510.86079759218001</v>
      </c>
      <c r="E138">
        <v>222.1956358164</v>
      </c>
      <c r="F138">
        <v>141.3298271976</v>
      </c>
      <c r="G138">
        <v>118.28700225394</v>
      </c>
      <c r="I138" s="9">
        <f t="shared" si="15"/>
        <v>103.90863356246</v>
      </c>
      <c r="J138" s="9">
        <f t="shared" si="16"/>
        <v>369.53097039457998</v>
      </c>
      <c r="K138" s="9">
        <f t="shared" si="17"/>
        <v>103.90863356246</v>
      </c>
      <c r="L138" s="10">
        <f t="shared" si="14"/>
        <v>0.2811905953417323</v>
      </c>
      <c r="M138" s="10">
        <f t="shared" si="18"/>
        <v>0.30493239729244742</v>
      </c>
      <c r="P138" s="8">
        <f t="shared" si="19"/>
        <v>-7.5674541997997142</v>
      </c>
      <c r="X138" s="8">
        <v>-13</v>
      </c>
    </row>
    <row r="139" spans="1:24" x14ac:dyDescent="0.2">
      <c r="A139" s="8">
        <v>68.5</v>
      </c>
      <c r="B139" s="8">
        <v>137</v>
      </c>
      <c r="D139">
        <v>491.90142964634998</v>
      </c>
      <c r="E139">
        <v>215.57712565839</v>
      </c>
      <c r="F139">
        <v>142.42749812170999</v>
      </c>
      <c r="G139">
        <v>118.35687453043001</v>
      </c>
      <c r="I139" s="9">
        <f t="shared" si="15"/>
        <v>97.220251127959997</v>
      </c>
      <c r="J139" s="9">
        <f t="shared" si="16"/>
        <v>349.47393152463997</v>
      </c>
      <c r="K139" s="9">
        <f t="shared" si="17"/>
        <v>97.220251127959997</v>
      </c>
      <c r="L139" s="10">
        <f t="shared" si="14"/>
        <v>0.27819028075662178</v>
      </c>
      <c r="M139" s="10">
        <f t="shared" si="18"/>
        <v>0.30210665478050391</v>
      </c>
      <c r="P139" s="8">
        <f t="shared" si="19"/>
        <v>-8.4240065913263322</v>
      </c>
      <c r="X139" s="8">
        <v>-13</v>
      </c>
    </row>
    <row r="140" spans="1:24" x14ac:dyDescent="0.2">
      <c r="A140" s="8">
        <v>69</v>
      </c>
      <c r="B140" s="8">
        <v>138</v>
      </c>
      <c r="D140">
        <v>505.79157261098999</v>
      </c>
      <c r="E140">
        <v>220.29270127916001</v>
      </c>
      <c r="F140">
        <v>142.20736288505</v>
      </c>
      <c r="G140">
        <v>117.87903831705999</v>
      </c>
      <c r="I140" s="9">
        <f t="shared" si="15"/>
        <v>102.41366296210002</v>
      </c>
      <c r="J140" s="9">
        <f t="shared" si="16"/>
        <v>363.58420972594001</v>
      </c>
      <c r="K140" s="9">
        <f t="shared" si="17"/>
        <v>102.41366296210002</v>
      </c>
      <c r="L140" s="10">
        <f t="shared" si="14"/>
        <v>0.2816779723170505</v>
      </c>
      <c r="M140" s="10">
        <f t="shared" si="18"/>
        <v>0.3057689184140997</v>
      </c>
      <c r="P140" s="8">
        <f t="shared" si="19"/>
        <v>-7.3138839738200732</v>
      </c>
      <c r="X140" s="8">
        <v>-13</v>
      </c>
    </row>
    <row r="141" spans="1:24" x14ac:dyDescent="0.2">
      <c r="A141" s="8">
        <v>69.5</v>
      </c>
      <c r="B141" s="8">
        <v>139</v>
      </c>
      <c r="D141">
        <v>494.82091798344999</v>
      </c>
      <c r="E141">
        <v>219.20466516178001</v>
      </c>
      <c r="F141">
        <v>142.09466566491</v>
      </c>
      <c r="G141">
        <v>118.32757325319</v>
      </c>
      <c r="I141" s="9">
        <f t="shared" si="15"/>
        <v>100.87709190859002</v>
      </c>
      <c r="J141" s="9">
        <f t="shared" si="16"/>
        <v>352.72625231853999</v>
      </c>
      <c r="K141" s="9">
        <f t="shared" si="17"/>
        <v>100.87709190859002</v>
      </c>
      <c r="L141" s="10">
        <f t="shared" si="14"/>
        <v>0.2859925827621414</v>
      </c>
      <c r="M141" s="10">
        <f t="shared" si="18"/>
        <v>0.31025810093235762</v>
      </c>
      <c r="P141" s="8">
        <f t="shared" si="19"/>
        <v>-5.9531018056781422</v>
      </c>
      <c r="X141" s="8">
        <v>-13</v>
      </c>
    </row>
    <row r="142" spans="1:24" x14ac:dyDescent="0.2">
      <c r="A142" s="8">
        <v>70</v>
      </c>
      <c r="B142" s="8">
        <v>140</v>
      </c>
      <c r="D142">
        <v>492.10383747178003</v>
      </c>
      <c r="E142">
        <v>217.5914221219</v>
      </c>
      <c r="F142">
        <v>141.71374906086001</v>
      </c>
      <c r="G142">
        <v>118.06611570248</v>
      </c>
      <c r="I142" s="9">
        <f t="shared" si="15"/>
        <v>99.525306419419991</v>
      </c>
      <c r="J142" s="9">
        <f t="shared" si="16"/>
        <v>350.39008841092004</v>
      </c>
      <c r="K142" s="9">
        <f t="shared" si="17"/>
        <v>99.525306419419991</v>
      </c>
      <c r="L142" s="10">
        <f t="shared" si="14"/>
        <v>0.28404144326908493</v>
      </c>
      <c r="M142" s="10">
        <f t="shared" si="18"/>
        <v>0.30848153351246815</v>
      </c>
      <c r="P142" s="8">
        <f t="shared" si="19"/>
        <v>-6.4916232972092214</v>
      </c>
      <c r="X142" s="8">
        <v>-13</v>
      </c>
    </row>
    <row r="143" spans="1:24" x14ac:dyDescent="0.2">
      <c r="A143" s="8">
        <v>70.5</v>
      </c>
      <c r="B143" s="8">
        <v>141</v>
      </c>
      <c r="D143">
        <v>512.72460496613996</v>
      </c>
      <c r="E143">
        <v>222.71783295711001</v>
      </c>
      <c r="F143">
        <v>142.35987978963001</v>
      </c>
      <c r="G143">
        <v>118.04432757325</v>
      </c>
      <c r="I143" s="9">
        <f t="shared" si="15"/>
        <v>104.67350538386</v>
      </c>
      <c r="J143" s="9">
        <f t="shared" si="16"/>
        <v>370.36472517650998</v>
      </c>
      <c r="K143" s="9">
        <f t="shared" si="17"/>
        <v>104.67350538386</v>
      </c>
      <c r="L143" s="10">
        <f t="shared" si="14"/>
        <v>0.28262277227933696</v>
      </c>
      <c r="M143" s="10">
        <f t="shared" si="18"/>
        <v>0.3072374345958872</v>
      </c>
      <c r="P143" s="8">
        <f t="shared" si="19"/>
        <v>-6.8687404258184248</v>
      </c>
      <c r="X143" s="8">
        <v>-13</v>
      </c>
    </row>
    <row r="144" spans="1:24" x14ac:dyDescent="0.2">
      <c r="A144" s="8">
        <v>71</v>
      </c>
      <c r="B144" s="8">
        <v>142</v>
      </c>
      <c r="D144">
        <v>550.04694485842003</v>
      </c>
      <c r="E144">
        <v>232.43815201192001</v>
      </c>
      <c r="F144">
        <v>142.01277235161999</v>
      </c>
      <c r="G144">
        <v>118.31930879038001</v>
      </c>
      <c r="I144" s="9">
        <f t="shared" si="15"/>
        <v>114.11884322154</v>
      </c>
      <c r="J144" s="9">
        <f t="shared" si="16"/>
        <v>408.03417250680002</v>
      </c>
      <c r="K144" s="9">
        <f t="shared" si="17"/>
        <v>114.11884322154</v>
      </c>
      <c r="L144" s="10">
        <f t="shared" si="14"/>
        <v>0.2796796222248718</v>
      </c>
      <c r="M144" s="10">
        <f t="shared" si="18"/>
        <v>0.30446885661458906</v>
      </c>
      <c r="P144" s="8">
        <f t="shared" si="19"/>
        <v>-7.707964835326929</v>
      </c>
    </row>
    <row r="145" spans="1:16" x14ac:dyDescent="0.2">
      <c r="A145" s="8">
        <v>71.5</v>
      </c>
      <c r="B145" s="8">
        <v>143</v>
      </c>
      <c r="D145">
        <v>563.31073025335002</v>
      </c>
      <c r="E145">
        <v>237.46646795826999</v>
      </c>
      <c r="F145">
        <v>142.15777610819001</v>
      </c>
      <c r="G145">
        <v>117.89932381668</v>
      </c>
      <c r="I145" s="9">
        <f t="shared" si="15"/>
        <v>119.56714414158999</v>
      </c>
      <c r="J145" s="9">
        <f t="shared" si="16"/>
        <v>421.15295414516004</v>
      </c>
      <c r="K145" s="9">
        <f t="shared" si="17"/>
        <v>119.56714414158999</v>
      </c>
      <c r="L145" s="10">
        <f t="shared" si="14"/>
        <v>0.28390432256205528</v>
      </c>
      <c r="M145" s="10">
        <f t="shared" si="18"/>
        <v>0.3088681290249396</v>
      </c>
      <c r="P145" s="8">
        <f t="shared" si="19"/>
        <v>-6.3744366429541888</v>
      </c>
    </row>
    <row r="146" spans="1:16" x14ac:dyDescent="0.2">
      <c r="A146" s="8">
        <v>72</v>
      </c>
      <c r="B146" s="8">
        <v>144</v>
      </c>
      <c r="D146">
        <v>549.86810730253001</v>
      </c>
      <c r="E146">
        <v>233.16244411325999</v>
      </c>
      <c r="F146">
        <v>141.54921111946001</v>
      </c>
      <c r="G146">
        <v>118.37114951165</v>
      </c>
      <c r="I146" s="9">
        <f t="shared" si="15"/>
        <v>114.79129460160999</v>
      </c>
      <c r="J146" s="9">
        <f t="shared" si="16"/>
        <v>408.31889618307002</v>
      </c>
      <c r="K146" s="9">
        <f t="shared" si="17"/>
        <v>114.79129460160999</v>
      </c>
      <c r="L146" s="10">
        <f t="shared" si="14"/>
        <v>0.28113147756488654</v>
      </c>
      <c r="M146" s="10">
        <f t="shared" si="18"/>
        <v>0.30626985610093788</v>
      </c>
      <c r="P146" s="8">
        <f t="shared" si="19"/>
        <v>-7.1620373806313902</v>
      </c>
    </row>
    <row r="147" spans="1:16" x14ac:dyDescent="0.2">
      <c r="A147" s="8">
        <v>72.5</v>
      </c>
      <c r="B147" s="8">
        <v>145</v>
      </c>
      <c r="D147">
        <v>509.67090501121999</v>
      </c>
      <c r="E147">
        <v>223.39267015707</v>
      </c>
      <c r="F147">
        <v>141.70848985724999</v>
      </c>
      <c r="G147">
        <v>118.00676183321001</v>
      </c>
      <c r="I147" s="9">
        <f t="shared" si="15"/>
        <v>105.38590832385999</v>
      </c>
      <c r="J147" s="9">
        <f t="shared" si="16"/>
        <v>367.96241515397003</v>
      </c>
      <c r="K147" s="9">
        <f t="shared" si="17"/>
        <v>105.38590832385999</v>
      </c>
      <c r="L147" s="10">
        <f t="shared" si="14"/>
        <v>0.28640400210375389</v>
      </c>
      <c r="M147" s="10">
        <f t="shared" si="18"/>
        <v>0.31171695271297223</v>
      </c>
      <c r="P147" s="8">
        <f t="shared" si="19"/>
        <v>-5.510887776520593</v>
      </c>
    </row>
    <row r="148" spans="1:16" x14ac:dyDescent="0.2">
      <c r="A148" s="8">
        <v>73</v>
      </c>
      <c r="B148" s="8">
        <v>146</v>
      </c>
      <c r="D148">
        <v>511.20269259536002</v>
      </c>
      <c r="E148">
        <v>222.76514584892001</v>
      </c>
      <c r="F148">
        <v>141.89932381668001</v>
      </c>
      <c r="G148">
        <v>117.98196844477999</v>
      </c>
      <c r="I148" s="9">
        <f t="shared" si="15"/>
        <v>104.78317740414002</v>
      </c>
      <c r="J148" s="9">
        <f t="shared" si="16"/>
        <v>369.30336877868001</v>
      </c>
      <c r="K148" s="9">
        <f t="shared" si="17"/>
        <v>104.78317740414002</v>
      </c>
      <c r="L148" s="10">
        <f t="shared" si="14"/>
        <v>0.28373198368232483</v>
      </c>
      <c r="M148" s="10">
        <f t="shared" si="18"/>
        <v>0.30921950636471018</v>
      </c>
      <c r="P148" s="8">
        <f t="shared" si="19"/>
        <v>-6.2679254872361287</v>
      </c>
    </row>
    <row r="149" spans="1:16" x14ac:dyDescent="0.2">
      <c r="A149" s="8">
        <v>73.5</v>
      </c>
      <c r="B149" s="8">
        <v>147</v>
      </c>
      <c r="D149">
        <v>484.63383458647002</v>
      </c>
      <c r="E149">
        <v>217.46015037594</v>
      </c>
      <c r="F149">
        <v>141.41247182570001</v>
      </c>
      <c r="G149">
        <v>117.86250939144</v>
      </c>
      <c r="I149" s="9">
        <f t="shared" si="15"/>
        <v>99.597640984500003</v>
      </c>
      <c r="J149" s="9">
        <f t="shared" si="16"/>
        <v>343.22136276077003</v>
      </c>
      <c r="K149" s="9">
        <f t="shared" si="17"/>
        <v>99.597640984500003</v>
      </c>
      <c r="L149" s="10">
        <f t="shared" si="14"/>
        <v>0.29018485383126025</v>
      </c>
      <c r="M149" s="10">
        <f t="shared" si="18"/>
        <v>0.31584694858681261</v>
      </c>
      <c r="P149" s="8">
        <f t="shared" si="19"/>
        <v>-4.2589839573364552</v>
      </c>
    </row>
    <row r="150" spans="1:16" x14ac:dyDescent="0.2">
      <c r="A150" s="8">
        <v>74</v>
      </c>
      <c r="B150" s="8">
        <v>148</v>
      </c>
      <c r="D150">
        <v>473.83308270677003</v>
      </c>
      <c r="E150">
        <v>214.44586466165001</v>
      </c>
      <c r="F150">
        <v>141.87302779865001</v>
      </c>
      <c r="G150">
        <v>117.93388429752</v>
      </c>
      <c r="I150" s="9">
        <f t="shared" si="15"/>
        <v>96.511980364130011</v>
      </c>
      <c r="J150" s="9">
        <f t="shared" si="16"/>
        <v>331.96005490812001</v>
      </c>
      <c r="K150" s="9">
        <f t="shared" si="17"/>
        <v>96.511980364130011</v>
      </c>
      <c r="L150" s="10">
        <f t="shared" si="14"/>
        <v>0.29073371611184551</v>
      </c>
      <c r="M150" s="10">
        <f t="shared" si="18"/>
        <v>0.31657038294056494</v>
      </c>
      <c r="P150" s="8">
        <f t="shared" si="19"/>
        <v>-4.0396931255639323</v>
      </c>
    </row>
    <row r="151" spans="1:16" x14ac:dyDescent="0.2">
      <c r="A151" s="8">
        <v>74.5</v>
      </c>
      <c r="B151" s="8">
        <v>149</v>
      </c>
      <c r="D151">
        <v>493.86390977444</v>
      </c>
      <c r="E151">
        <v>219.32481203008001</v>
      </c>
      <c r="F151">
        <v>141.79564237416</v>
      </c>
      <c r="G151">
        <v>117.65214124718</v>
      </c>
      <c r="I151" s="9">
        <f t="shared" si="15"/>
        <v>101.67267078290001</v>
      </c>
      <c r="J151" s="9">
        <f t="shared" si="16"/>
        <v>352.06826740027998</v>
      </c>
      <c r="K151" s="9">
        <f t="shared" si="17"/>
        <v>101.67267078290001</v>
      </c>
      <c r="L151" s="10">
        <f t="shared" si="14"/>
        <v>0.2887868069839547</v>
      </c>
      <c r="M151" s="10">
        <f t="shared" si="18"/>
        <v>0.31479804588584115</v>
      </c>
      <c r="P151" s="8">
        <f t="shared" si="19"/>
        <v>-4.5769322888629205</v>
      </c>
    </row>
    <row r="152" spans="1:16" x14ac:dyDescent="0.2">
      <c r="A152" s="8">
        <v>75</v>
      </c>
      <c r="B152" s="8">
        <v>150</v>
      </c>
      <c r="D152">
        <v>487.41503759399001</v>
      </c>
      <c r="E152">
        <v>217.01654135338001</v>
      </c>
      <c r="F152">
        <v>141.76408715252001</v>
      </c>
      <c r="G152">
        <v>118.13448534936001</v>
      </c>
      <c r="I152" s="9">
        <f t="shared" si="15"/>
        <v>98.882056004020001</v>
      </c>
      <c r="J152" s="9">
        <f t="shared" si="16"/>
        <v>345.65095044147</v>
      </c>
      <c r="K152" s="9">
        <f t="shared" si="17"/>
        <v>98.882056004020001</v>
      </c>
      <c r="L152" s="10">
        <f t="shared" si="14"/>
        <v>0.28607488530763919</v>
      </c>
      <c r="M152" s="10">
        <f t="shared" si="18"/>
        <v>0.31226069628269265</v>
      </c>
      <c r="P152" s="8">
        <f t="shared" si="19"/>
        <v>-5.3460656623142571</v>
      </c>
    </row>
    <row r="153" spans="1:16" x14ac:dyDescent="0.2">
      <c r="A153" s="8">
        <v>75.5</v>
      </c>
      <c r="B153" s="8">
        <v>151</v>
      </c>
      <c r="D153">
        <v>503.41879699248</v>
      </c>
      <c r="E153">
        <v>224.86992481203001</v>
      </c>
      <c r="F153">
        <v>141.44778362133999</v>
      </c>
      <c r="G153">
        <v>117.84898572502</v>
      </c>
      <c r="I153" s="9">
        <f t="shared" si="15"/>
        <v>107.02093908701001</v>
      </c>
      <c r="J153" s="9">
        <f t="shared" si="16"/>
        <v>361.97101337113997</v>
      </c>
      <c r="K153" s="9">
        <f t="shared" si="17"/>
        <v>107.02093908701001</v>
      </c>
      <c r="L153" s="10">
        <f t="shared" si="14"/>
        <v>0.29566162795825357</v>
      </c>
      <c r="M153" s="10">
        <f t="shared" si="18"/>
        <v>0.32202201100647404</v>
      </c>
      <c r="P153" s="8">
        <f t="shared" si="19"/>
        <v>-2.3871699257921355</v>
      </c>
    </row>
    <row r="154" spans="1:16" x14ac:dyDescent="0.2">
      <c r="A154" s="8">
        <v>76</v>
      </c>
      <c r="B154" s="8">
        <v>152</v>
      </c>
      <c r="D154">
        <v>523.21428571428999</v>
      </c>
      <c r="E154">
        <v>227.26240601504</v>
      </c>
      <c r="F154">
        <v>141.45154019533999</v>
      </c>
      <c r="G154">
        <v>117.68745304283</v>
      </c>
      <c r="I154" s="9">
        <f t="shared" si="15"/>
        <v>109.57495297221</v>
      </c>
      <c r="J154" s="9">
        <f t="shared" si="16"/>
        <v>381.76274551895</v>
      </c>
      <c r="K154" s="9">
        <f t="shared" si="17"/>
        <v>109.57495297221</v>
      </c>
      <c r="L154" s="10">
        <f t="shared" si="14"/>
        <v>0.28702369274733464</v>
      </c>
      <c r="M154" s="10">
        <f t="shared" si="18"/>
        <v>0.31355864786872212</v>
      </c>
      <c r="P154" s="8">
        <f t="shared" si="19"/>
        <v>-4.9526244586659285</v>
      </c>
    </row>
    <row r="155" spans="1:16" x14ac:dyDescent="0.2">
      <c r="A155" s="8">
        <v>76.5</v>
      </c>
      <c r="B155" s="8">
        <v>153</v>
      </c>
      <c r="D155">
        <v>539.47368421053</v>
      </c>
      <c r="E155">
        <v>232.41503759399001</v>
      </c>
      <c r="F155">
        <v>141.63561232155999</v>
      </c>
      <c r="G155">
        <v>118.27648384673</v>
      </c>
      <c r="I155" s="9">
        <f t="shared" si="15"/>
        <v>114.13855374726</v>
      </c>
      <c r="J155" s="9">
        <f t="shared" si="16"/>
        <v>397.83807188897003</v>
      </c>
      <c r="K155" s="9">
        <f t="shared" si="17"/>
        <v>114.13855374726</v>
      </c>
      <c r="L155" s="10">
        <f t="shared" si="14"/>
        <v>0.28689701115159782</v>
      </c>
      <c r="M155" s="10">
        <f t="shared" si="18"/>
        <v>0.31360653834615237</v>
      </c>
      <c r="P155" s="8">
        <f t="shared" si="19"/>
        <v>-4.9381076713787433</v>
      </c>
    </row>
    <row r="156" spans="1:16" x14ac:dyDescent="0.2">
      <c r="A156" s="8">
        <v>77</v>
      </c>
      <c r="B156" s="8">
        <v>154</v>
      </c>
      <c r="D156">
        <v>514.15674453655004</v>
      </c>
      <c r="E156">
        <v>222.81461944234999</v>
      </c>
      <c r="F156">
        <v>141.99398948159001</v>
      </c>
      <c r="G156">
        <v>117.93989481593</v>
      </c>
      <c r="I156" s="9">
        <f t="shared" si="15"/>
        <v>104.87472462641999</v>
      </c>
      <c r="J156" s="9">
        <f t="shared" si="16"/>
        <v>372.16275505496003</v>
      </c>
      <c r="K156" s="9">
        <f t="shared" si="17"/>
        <v>104.87472462641999</v>
      </c>
      <c r="L156" s="10">
        <f t="shared" si="14"/>
        <v>0.28179801229957135</v>
      </c>
      <c r="M156" s="10">
        <f t="shared" si="18"/>
        <v>0.30868211156729292</v>
      </c>
      <c r="P156" s="8">
        <f t="shared" si="19"/>
        <v>-6.4308231316521187</v>
      </c>
    </row>
    <row r="157" spans="1:16" x14ac:dyDescent="0.2">
      <c r="A157" s="8">
        <v>77.5</v>
      </c>
      <c r="B157" s="8">
        <v>155</v>
      </c>
      <c r="D157">
        <v>513.72720422005</v>
      </c>
      <c r="E157">
        <v>225.66767143934001</v>
      </c>
      <c r="F157">
        <v>141.93538692711999</v>
      </c>
      <c r="G157">
        <v>117.87753568745001</v>
      </c>
      <c r="I157" s="9">
        <f t="shared" si="15"/>
        <v>107.79013575189001</v>
      </c>
      <c r="J157" s="9">
        <f t="shared" si="16"/>
        <v>371.79181729292998</v>
      </c>
      <c r="K157" s="9">
        <f t="shared" si="17"/>
        <v>107.79013575189001</v>
      </c>
      <c r="L157" s="10">
        <f t="shared" si="14"/>
        <v>0.28992067802009625</v>
      </c>
      <c r="M157" s="10">
        <f t="shared" si="18"/>
        <v>0.31697934936098482</v>
      </c>
      <c r="P157" s="8">
        <f t="shared" si="19"/>
        <v>-3.9157252962291236</v>
      </c>
    </row>
    <row r="158" spans="1:16" x14ac:dyDescent="0.2">
      <c r="A158" s="8">
        <v>78</v>
      </c>
      <c r="B158" s="8">
        <v>156</v>
      </c>
      <c r="D158">
        <v>521.35342878673998</v>
      </c>
      <c r="E158">
        <v>228.60813865863</v>
      </c>
      <c r="F158">
        <v>141.85800150263</v>
      </c>
      <c r="G158">
        <v>117.55447032307001</v>
      </c>
      <c r="I158" s="9">
        <f t="shared" si="15"/>
        <v>111.05366833555999</v>
      </c>
      <c r="J158" s="9">
        <f t="shared" si="16"/>
        <v>379.49542728410995</v>
      </c>
      <c r="K158" s="9">
        <f t="shared" si="17"/>
        <v>111.05366833555999</v>
      </c>
      <c r="L158" s="10">
        <f t="shared" si="14"/>
        <v>0.29263506316880983</v>
      </c>
      <c r="M158" s="10">
        <f t="shared" si="18"/>
        <v>0.31986830658286541</v>
      </c>
      <c r="P158" s="8">
        <f t="shared" si="19"/>
        <v>-3.0400109638153161</v>
      </c>
    </row>
    <row r="159" spans="1:16" x14ac:dyDescent="0.2">
      <c r="A159" s="8">
        <v>78.5</v>
      </c>
      <c r="B159" s="8">
        <v>157</v>
      </c>
      <c r="D159">
        <v>488.69103240392002</v>
      </c>
      <c r="E159">
        <v>217.23888470233999</v>
      </c>
      <c r="F159">
        <v>141.40045078887999</v>
      </c>
      <c r="G159">
        <v>117.69797145004</v>
      </c>
      <c r="I159" s="9">
        <f t="shared" si="15"/>
        <v>99.540913252299987</v>
      </c>
      <c r="J159" s="9">
        <f t="shared" si="16"/>
        <v>347.29058161504003</v>
      </c>
      <c r="K159" s="9">
        <f t="shared" si="17"/>
        <v>99.540913252299987</v>
      </c>
      <c r="L159" s="10">
        <f t="shared" si="14"/>
        <v>0.28662140156348309</v>
      </c>
      <c r="M159" s="10">
        <f t="shared" si="18"/>
        <v>0.31402921705070569</v>
      </c>
      <c r="P159" s="8">
        <f t="shared" si="19"/>
        <v>-4.8099833098340303</v>
      </c>
    </row>
    <row r="160" spans="1:16" x14ac:dyDescent="0.2">
      <c r="A160" s="8">
        <v>79</v>
      </c>
      <c r="B160" s="8">
        <v>158</v>
      </c>
      <c r="D160">
        <v>486.75129533679001</v>
      </c>
      <c r="E160">
        <v>216.89045151740001</v>
      </c>
      <c r="F160">
        <v>141.33508640119999</v>
      </c>
      <c r="G160">
        <v>117.63786626597</v>
      </c>
      <c r="I160" s="9">
        <f t="shared" si="15"/>
        <v>99.252585251430006</v>
      </c>
      <c r="J160" s="9">
        <f t="shared" si="16"/>
        <v>345.41620893559002</v>
      </c>
      <c r="K160" s="9">
        <f t="shared" si="17"/>
        <v>99.252585251430006</v>
      </c>
      <c r="L160" s="10">
        <f t="shared" si="14"/>
        <v>0.28734200273137067</v>
      </c>
      <c r="M160" s="10">
        <f t="shared" si="18"/>
        <v>0.31492439029176034</v>
      </c>
      <c r="P160" s="8">
        <f t="shared" si="19"/>
        <v>-4.5386341769193601</v>
      </c>
    </row>
    <row r="161" spans="1:16" x14ac:dyDescent="0.2">
      <c r="A161" s="8">
        <v>79.5</v>
      </c>
      <c r="B161" s="8">
        <v>159</v>
      </c>
      <c r="D161">
        <v>495.00370096224998</v>
      </c>
      <c r="E161">
        <v>220.46113989637001</v>
      </c>
      <c r="F161">
        <v>142.02854996242999</v>
      </c>
      <c r="G161">
        <v>117.9188580015</v>
      </c>
      <c r="I161" s="9">
        <f t="shared" si="15"/>
        <v>102.54228189487002</v>
      </c>
      <c r="J161" s="9">
        <f t="shared" si="16"/>
        <v>352.97515099982002</v>
      </c>
      <c r="K161" s="9">
        <f t="shared" si="17"/>
        <v>102.54228189487002</v>
      </c>
      <c r="L161" s="10">
        <f t="shared" si="14"/>
        <v>0.29050850068174433</v>
      </c>
      <c r="M161" s="10">
        <f t="shared" si="18"/>
        <v>0.31826546031530101</v>
      </c>
      <c r="P161" s="8">
        <f t="shared" si="19"/>
        <v>-3.5258732806856283</v>
      </c>
    </row>
    <row r="162" spans="1:16" x14ac:dyDescent="0.2">
      <c r="A162" s="8">
        <v>80</v>
      </c>
      <c r="B162" s="4">
        <v>160</v>
      </c>
      <c r="C162" s="4" t="s">
        <v>7</v>
      </c>
      <c r="D162">
        <v>484.95114729829999</v>
      </c>
      <c r="E162">
        <v>217.83937823834</v>
      </c>
      <c r="F162">
        <v>142.31480090158001</v>
      </c>
      <c r="G162">
        <v>118.09767092412</v>
      </c>
      <c r="H162" s="4"/>
      <c r="I162" s="5">
        <f t="shared" si="15"/>
        <v>99.741707314220008</v>
      </c>
      <c r="J162" s="5">
        <f t="shared" si="16"/>
        <v>342.63634639672</v>
      </c>
      <c r="K162" s="9">
        <f t="shared" si="17"/>
        <v>99.741707314220008</v>
      </c>
      <c r="L162" s="6">
        <f t="shared" si="14"/>
        <v>0.29110077889616098</v>
      </c>
      <c r="M162" s="6">
        <f t="shared" si="18"/>
        <v>0.31903231060288467</v>
      </c>
      <c r="N162" s="4"/>
      <c r="O162" s="4"/>
      <c r="P162" s="4">
        <f t="shared" si="19"/>
        <v>-3.2934220063758213</v>
      </c>
    </row>
    <row r="163" spans="1:16" x14ac:dyDescent="0.2">
      <c r="A163" s="8">
        <v>80.5</v>
      </c>
      <c r="B163" s="8">
        <v>161</v>
      </c>
      <c r="D163">
        <v>530.91339748334997</v>
      </c>
      <c r="E163">
        <v>231.69207994078999</v>
      </c>
      <c r="F163">
        <v>141.89181066866999</v>
      </c>
      <c r="G163">
        <v>118.17054845980999</v>
      </c>
      <c r="I163" s="9">
        <f t="shared" si="15"/>
        <v>113.52153148098</v>
      </c>
      <c r="J163" s="9">
        <f t="shared" si="16"/>
        <v>389.02158681467995</v>
      </c>
      <c r="K163" s="9">
        <f t="shared" si="17"/>
        <v>113.52153148098</v>
      </c>
      <c r="L163" s="10">
        <f t="shared" si="14"/>
        <v>0.29181293616762399</v>
      </c>
      <c r="M163" s="10">
        <f t="shared" si="18"/>
        <v>0.31991903994751469</v>
      </c>
      <c r="P163" s="8">
        <f t="shared" si="19"/>
        <v>-3.0246324271521701</v>
      </c>
    </row>
    <row r="164" spans="1:16" x14ac:dyDescent="0.2">
      <c r="A164" s="8">
        <v>81</v>
      </c>
      <c r="B164" s="8">
        <v>162</v>
      </c>
      <c r="D164">
        <v>540.36935603256995</v>
      </c>
      <c r="E164">
        <v>236.74093264249001</v>
      </c>
      <c r="F164">
        <v>142.05484598046999</v>
      </c>
      <c r="G164">
        <v>117.70398196844999</v>
      </c>
      <c r="I164" s="9">
        <f t="shared" si="15"/>
        <v>119.03695067404001</v>
      </c>
      <c r="J164" s="9">
        <f t="shared" si="16"/>
        <v>398.31451005209999</v>
      </c>
      <c r="K164" s="9">
        <f t="shared" si="17"/>
        <v>119.03695067404001</v>
      </c>
      <c r="L164" s="10">
        <f t="shared" si="14"/>
        <v>0.29885165533756186</v>
      </c>
      <c r="M164" s="10">
        <f t="shared" si="18"/>
        <v>0.32713233119061957</v>
      </c>
      <c r="P164" s="8">
        <f t="shared" si="19"/>
        <v>-0.83810558015719083</v>
      </c>
    </row>
    <row r="165" spans="1:16" x14ac:dyDescent="0.2">
      <c r="A165" s="8">
        <v>81.5</v>
      </c>
      <c r="B165" s="8">
        <v>163</v>
      </c>
      <c r="D165">
        <v>587.70858433734998</v>
      </c>
      <c r="E165">
        <v>294.83207831325001</v>
      </c>
      <c r="F165">
        <v>141.63486100675999</v>
      </c>
      <c r="G165">
        <v>117.830202855</v>
      </c>
      <c r="I165" s="9">
        <f t="shared" si="15"/>
        <v>177.00187545825003</v>
      </c>
      <c r="J165" s="9">
        <f t="shared" si="16"/>
        <v>446.07372333058998</v>
      </c>
      <c r="K165" s="9">
        <f t="shared" si="17"/>
        <v>177.00187545825003</v>
      </c>
      <c r="L165" s="10">
        <f t="shared" si="14"/>
        <v>0.39679960105399897</v>
      </c>
      <c r="M165" s="10">
        <f t="shared" si="18"/>
        <v>0.42525484898022375</v>
      </c>
      <c r="P165" s="8">
        <f t="shared" si="19"/>
        <v>28.905254588031781</v>
      </c>
    </row>
    <row r="166" spans="1:16" x14ac:dyDescent="0.2">
      <c r="A166" s="8">
        <v>82</v>
      </c>
      <c r="B166" s="8">
        <v>164</v>
      </c>
      <c r="D166">
        <v>605.20045045045003</v>
      </c>
      <c r="E166">
        <v>335.07432432432</v>
      </c>
      <c r="F166">
        <v>141.59278737791001</v>
      </c>
      <c r="G166">
        <v>118.08489857249999</v>
      </c>
      <c r="I166" s="9">
        <f t="shared" si="15"/>
        <v>216.98942575182002</v>
      </c>
      <c r="J166" s="9">
        <f t="shared" si="16"/>
        <v>463.60766307254005</v>
      </c>
      <c r="K166" s="9">
        <f t="shared" si="17"/>
        <v>216.98942575182002</v>
      </c>
      <c r="L166" s="10">
        <f t="shared" si="14"/>
        <v>0.4680453819803837</v>
      </c>
      <c r="M166" s="10">
        <f t="shared" si="18"/>
        <v>0.49667520197977549</v>
      </c>
      <c r="P166" s="8">
        <f t="shared" si="19"/>
        <v>50.554528683910362</v>
      </c>
    </row>
    <row r="167" spans="1:16" x14ac:dyDescent="0.2">
      <c r="A167" s="8">
        <v>82.5</v>
      </c>
      <c r="B167" s="8">
        <v>165</v>
      </c>
      <c r="D167">
        <v>586.75075075074994</v>
      </c>
      <c r="E167">
        <v>358.44144144144002</v>
      </c>
      <c r="F167">
        <v>141.66341096919999</v>
      </c>
      <c r="G167">
        <v>117.92712246431</v>
      </c>
      <c r="I167" s="9">
        <f t="shared" si="15"/>
        <v>240.51431897713002</v>
      </c>
      <c r="J167" s="9">
        <f t="shared" si="16"/>
        <v>445.08733978154999</v>
      </c>
      <c r="K167" s="9">
        <f t="shared" si="17"/>
        <v>240.51431897713002</v>
      </c>
      <c r="L167" s="10">
        <f t="shared" si="14"/>
        <v>0.54037555661586567</v>
      </c>
      <c r="M167" s="10">
        <f t="shared" si="18"/>
        <v>0.56917994868842448</v>
      </c>
      <c r="P167" s="8">
        <f t="shared" si="19"/>
        <v>72.532509313012611</v>
      </c>
    </row>
    <row r="168" spans="1:16" x14ac:dyDescent="0.2">
      <c r="A168" s="8">
        <v>83</v>
      </c>
      <c r="B168" s="8">
        <v>166</v>
      </c>
      <c r="D168">
        <v>562.35617469880003</v>
      </c>
      <c r="E168">
        <v>361.46084337348998</v>
      </c>
      <c r="F168">
        <v>142.07813673928999</v>
      </c>
      <c r="G168">
        <v>117.68595041322</v>
      </c>
      <c r="I168" s="9">
        <f t="shared" si="15"/>
        <v>243.77489296026999</v>
      </c>
      <c r="J168" s="9">
        <f t="shared" si="16"/>
        <v>420.27803795951002</v>
      </c>
      <c r="K168" s="9">
        <f t="shared" si="17"/>
        <v>243.77489296026999</v>
      </c>
      <c r="L168" s="10">
        <f t="shared" si="14"/>
        <v>0.5800324331573935</v>
      </c>
      <c r="M168" s="10">
        <f t="shared" si="18"/>
        <v>0.60901139730311937</v>
      </c>
      <c r="P168" s="8">
        <f t="shared" si="19"/>
        <v>84.606405793205653</v>
      </c>
    </row>
    <row r="169" spans="1:16" x14ac:dyDescent="0.2">
      <c r="A169" s="8">
        <v>83.5</v>
      </c>
      <c r="B169" s="8">
        <v>167</v>
      </c>
      <c r="D169">
        <v>579.14457831325001</v>
      </c>
      <c r="E169">
        <v>373.35165662651002</v>
      </c>
      <c r="F169">
        <v>141.91284748309999</v>
      </c>
      <c r="G169">
        <v>118.14500375657001</v>
      </c>
      <c r="I169" s="9">
        <f t="shared" si="15"/>
        <v>255.20665286994</v>
      </c>
      <c r="J169" s="9">
        <f t="shared" si="16"/>
        <v>437.23173083015001</v>
      </c>
      <c r="K169" s="9">
        <f t="shared" si="17"/>
        <v>255.20665286994</v>
      </c>
      <c r="L169" s="10">
        <f t="shared" si="14"/>
        <v>0.58368740161056454</v>
      </c>
      <c r="M169" s="10">
        <f t="shared" si="18"/>
        <v>0.61284093782945737</v>
      </c>
      <c r="P169" s="8">
        <f t="shared" si="19"/>
        <v>85.767234171027965</v>
      </c>
    </row>
    <row r="170" spans="1:16" x14ac:dyDescent="0.2">
      <c r="A170" s="8">
        <v>84</v>
      </c>
      <c r="B170" s="8">
        <v>168</v>
      </c>
      <c r="D170">
        <v>585.80873493976003</v>
      </c>
      <c r="E170">
        <v>382.17545180722999</v>
      </c>
      <c r="F170">
        <v>141.77986476333999</v>
      </c>
      <c r="G170">
        <v>118.21262208866</v>
      </c>
      <c r="I170" s="9">
        <f t="shared" si="15"/>
        <v>263.96282971856999</v>
      </c>
      <c r="J170" s="9">
        <f t="shared" si="16"/>
        <v>444.02887017642001</v>
      </c>
      <c r="K170" s="9">
        <f t="shared" si="17"/>
        <v>263.96282971856999</v>
      </c>
      <c r="L170" s="10">
        <f t="shared" si="14"/>
        <v>0.59447222342478134</v>
      </c>
      <c r="M170" s="10">
        <f t="shared" si="18"/>
        <v>0.62380033171684124</v>
      </c>
      <c r="P170" s="8">
        <f t="shared" si="19"/>
        <v>89.089297311687034</v>
      </c>
    </row>
    <row r="171" spans="1:16" x14ac:dyDescent="0.2">
      <c r="A171" s="8">
        <v>84.5</v>
      </c>
      <c r="B171" s="8">
        <v>169</v>
      </c>
      <c r="D171">
        <v>594.85015060241005</v>
      </c>
      <c r="E171">
        <v>386.29367469879998</v>
      </c>
      <c r="F171">
        <v>141.89481592787001</v>
      </c>
      <c r="G171">
        <v>117.97670924117</v>
      </c>
      <c r="I171" s="9">
        <f t="shared" si="15"/>
        <v>268.31696545762998</v>
      </c>
      <c r="J171" s="9">
        <f t="shared" si="16"/>
        <v>452.95533467454004</v>
      </c>
      <c r="K171" s="9">
        <f t="shared" si="17"/>
        <v>268.31696545762998</v>
      </c>
      <c r="L171" s="10">
        <f t="shared" si="14"/>
        <v>0.59236958904661663</v>
      </c>
      <c r="M171" s="10">
        <f t="shared" si="18"/>
        <v>0.62187226941184348</v>
      </c>
      <c r="P171" s="8">
        <f t="shared" si="19"/>
        <v>88.504853976394486</v>
      </c>
    </row>
    <row r="172" spans="1:16" x14ac:dyDescent="0.2">
      <c r="A172" s="8">
        <v>85</v>
      </c>
      <c r="B172" s="8">
        <v>170</v>
      </c>
      <c r="D172">
        <v>620.47740963854994</v>
      </c>
      <c r="E172">
        <v>399.45557228915999</v>
      </c>
      <c r="F172">
        <v>141.59654395192001</v>
      </c>
      <c r="G172">
        <v>117.75056348610001</v>
      </c>
      <c r="I172" s="9">
        <f t="shared" si="15"/>
        <v>281.70500880305997</v>
      </c>
      <c r="J172" s="9">
        <f t="shared" si="16"/>
        <v>478.88086568662993</v>
      </c>
      <c r="K172" s="9">
        <f t="shared" si="17"/>
        <v>281.70500880305997</v>
      </c>
      <c r="L172" s="10">
        <f t="shared" si="14"/>
        <v>0.58825697368205576</v>
      </c>
      <c r="M172" s="10">
        <f t="shared" si="18"/>
        <v>0.61793422612044968</v>
      </c>
      <c r="P172" s="8">
        <f t="shared" si="19"/>
        <v>87.311135728917407</v>
      </c>
    </row>
    <row r="173" spans="1:16" x14ac:dyDescent="0.2">
      <c r="A173" s="8">
        <v>85.5</v>
      </c>
      <c r="B173" s="8">
        <v>171</v>
      </c>
      <c r="D173">
        <v>652.16841317365004</v>
      </c>
      <c r="E173">
        <v>416.80164670659002</v>
      </c>
      <c r="F173">
        <v>142.12997746056001</v>
      </c>
      <c r="G173">
        <v>117.96168294515</v>
      </c>
      <c r="I173" s="9">
        <f t="shared" si="15"/>
        <v>298.83996376144</v>
      </c>
      <c r="J173" s="9">
        <f t="shared" si="16"/>
        <v>510.03843571309005</v>
      </c>
      <c r="K173" s="9">
        <f t="shared" si="17"/>
        <v>298.83996376144</v>
      </c>
      <c r="L173" s="10">
        <f t="shared" si="14"/>
        <v>0.5859165561584172</v>
      </c>
      <c r="M173" s="10">
        <f t="shared" si="18"/>
        <v>0.61576838066997819</v>
      </c>
      <c r="P173" s="8">
        <f t="shared" si="19"/>
        <v>86.654614445595499</v>
      </c>
    </row>
    <row r="174" spans="1:16" x14ac:dyDescent="0.2">
      <c r="A174" s="8">
        <v>86</v>
      </c>
      <c r="B174" s="8">
        <v>172</v>
      </c>
      <c r="D174">
        <v>517.25244913337997</v>
      </c>
      <c r="E174">
        <v>343.70308967595997</v>
      </c>
      <c r="F174">
        <v>141.43501126972001</v>
      </c>
      <c r="G174">
        <v>118.28024042074</v>
      </c>
      <c r="I174" s="9">
        <f t="shared" si="15"/>
        <v>225.42284925521997</v>
      </c>
      <c r="J174" s="9">
        <f t="shared" si="16"/>
        <v>375.81743786365996</v>
      </c>
      <c r="K174" s="9">
        <f t="shared" si="17"/>
        <v>225.42284925521997</v>
      </c>
      <c r="L174" s="10">
        <f t="shared" si="14"/>
        <v>0.59982008960691036</v>
      </c>
      <c r="M174" s="10">
        <f t="shared" si="18"/>
        <v>0.6298464861916383</v>
      </c>
      <c r="P174" s="8">
        <f t="shared" si="19"/>
        <v>90.922036159277525</v>
      </c>
    </row>
    <row r="175" spans="1:16" x14ac:dyDescent="0.2">
      <c r="A175" s="8">
        <v>86.5</v>
      </c>
      <c r="B175" s="8">
        <v>173</v>
      </c>
      <c r="D175">
        <v>498.88997739261998</v>
      </c>
      <c r="E175">
        <v>333.45968349661001</v>
      </c>
      <c r="F175">
        <v>142.09090909091</v>
      </c>
      <c r="G175">
        <v>118.05935386927</v>
      </c>
      <c r="I175" s="9">
        <f t="shared" si="15"/>
        <v>215.40032962734</v>
      </c>
      <c r="J175" s="9">
        <f t="shared" si="16"/>
        <v>356.79906830171001</v>
      </c>
      <c r="K175" s="9">
        <f t="shared" si="17"/>
        <v>215.40032962734</v>
      </c>
      <c r="L175" s="10">
        <f t="shared" si="14"/>
        <v>0.60370205183718995</v>
      </c>
      <c r="M175" s="10">
        <f t="shared" si="18"/>
        <v>0.63390302049508496</v>
      </c>
      <c r="P175" s="8">
        <f t="shared" si="19"/>
        <v>92.151671960926407</v>
      </c>
    </row>
    <row r="176" spans="1:16" x14ac:dyDescent="0.2">
      <c r="A176" s="8">
        <v>87</v>
      </c>
      <c r="B176" s="8">
        <v>174</v>
      </c>
      <c r="D176">
        <v>474.12358703843</v>
      </c>
      <c r="E176">
        <v>313.88696307459998</v>
      </c>
      <c r="F176">
        <v>141.67167543201001</v>
      </c>
      <c r="G176">
        <v>117.94665664914</v>
      </c>
      <c r="I176" s="9">
        <f t="shared" si="15"/>
        <v>195.94030642545999</v>
      </c>
      <c r="J176" s="9">
        <f t="shared" si="16"/>
        <v>332.45191160642003</v>
      </c>
      <c r="K176" s="9">
        <f t="shared" si="17"/>
        <v>195.94030642545999</v>
      </c>
      <c r="L176" s="10">
        <f t="shared" si="14"/>
        <v>0.58937939468799905</v>
      </c>
      <c r="M176" s="10">
        <f t="shared" si="18"/>
        <v>0.61975493541906101</v>
      </c>
      <c r="P176" s="8">
        <f t="shared" si="19"/>
        <v>87.863037714823292</v>
      </c>
    </row>
    <row r="177" spans="1:16" x14ac:dyDescent="0.2">
      <c r="A177" s="8">
        <v>87.5</v>
      </c>
      <c r="B177" s="8">
        <v>175</v>
      </c>
      <c r="D177">
        <v>492.48231753198002</v>
      </c>
      <c r="E177">
        <v>316.24228743416</v>
      </c>
      <c r="F177">
        <v>142.15477084899001</v>
      </c>
      <c r="G177">
        <v>118.33208114200001</v>
      </c>
      <c r="I177" s="9">
        <f t="shared" si="15"/>
        <v>197.91020629216001</v>
      </c>
      <c r="J177" s="9">
        <f t="shared" si="16"/>
        <v>350.32754668299003</v>
      </c>
      <c r="K177" s="9">
        <f t="shared" si="17"/>
        <v>197.91020629216001</v>
      </c>
      <c r="L177" s="10">
        <f t="shared" si="14"/>
        <v>0.56492904473552052</v>
      </c>
      <c r="M177" s="10">
        <f t="shared" si="18"/>
        <v>0.59547915753974956</v>
      </c>
      <c r="P177" s="8">
        <f t="shared" si="19"/>
        <v>80.50444948153384</v>
      </c>
    </row>
    <row r="178" spans="1:16" x14ac:dyDescent="0.2">
      <c r="A178" s="8">
        <v>88</v>
      </c>
      <c r="B178" s="8">
        <v>176</v>
      </c>
      <c r="D178">
        <v>471.00075244545002</v>
      </c>
      <c r="E178">
        <v>298.67870579382998</v>
      </c>
      <c r="F178">
        <v>141.58602554469999</v>
      </c>
      <c r="G178">
        <v>118.0022539444</v>
      </c>
      <c r="I178" s="9">
        <f t="shared" si="15"/>
        <v>180.67645184942998</v>
      </c>
      <c r="J178" s="9">
        <f t="shared" si="16"/>
        <v>329.41472690075</v>
      </c>
      <c r="K178" s="9">
        <f t="shared" si="17"/>
        <v>180.67645184942998</v>
      </c>
      <c r="L178" s="10">
        <f t="shared" si="14"/>
        <v>0.54847715385798868</v>
      </c>
      <c r="M178" s="10">
        <f t="shared" si="18"/>
        <v>0.57920183873538478</v>
      </c>
      <c r="P178" s="8">
        <f t="shared" si="19"/>
        <v>75.570391869918524</v>
      </c>
    </row>
    <row r="179" spans="1:16" x14ac:dyDescent="0.2">
      <c r="A179" s="8">
        <v>88.5</v>
      </c>
      <c r="B179" s="8">
        <v>177</v>
      </c>
      <c r="D179">
        <v>442.61926260346002</v>
      </c>
      <c r="E179">
        <v>281.94732881866003</v>
      </c>
      <c r="F179">
        <v>142.08940646131001</v>
      </c>
      <c r="G179">
        <v>117.89631855748</v>
      </c>
      <c r="I179" s="9">
        <f t="shared" si="15"/>
        <v>164.05101026118001</v>
      </c>
      <c r="J179" s="9">
        <f t="shared" si="16"/>
        <v>300.52985614215004</v>
      </c>
      <c r="K179" s="9">
        <f t="shared" si="17"/>
        <v>164.05101026118001</v>
      </c>
      <c r="L179" s="10">
        <f t="shared" si="14"/>
        <v>0.54587258772580716</v>
      </c>
      <c r="M179" s="10">
        <f t="shared" si="18"/>
        <v>0.57677184467637022</v>
      </c>
      <c r="P179" s="8">
        <f t="shared" si="19"/>
        <v>74.833800615107819</v>
      </c>
    </row>
    <row r="180" spans="1:16" x14ac:dyDescent="0.2">
      <c r="A180" s="8">
        <v>89</v>
      </c>
      <c r="B180" s="8">
        <v>178</v>
      </c>
      <c r="D180">
        <v>467.77426636568998</v>
      </c>
      <c r="E180">
        <v>287.51467268623003</v>
      </c>
      <c r="F180">
        <v>141.84598046581999</v>
      </c>
      <c r="G180">
        <v>117.90007513147999</v>
      </c>
      <c r="I180" s="9">
        <f t="shared" si="15"/>
        <v>169.61459755475005</v>
      </c>
      <c r="J180" s="9">
        <f t="shared" si="16"/>
        <v>325.92828589986999</v>
      </c>
      <c r="K180" s="9">
        <f t="shared" si="17"/>
        <v>169.61459755475005</v>
      </c>
      <c r="L180" s="10">
        <f t="shared" si="14"/>
        <v>0.52040465615450804</v>
      </c>
      <c r="M180" s="10">
        <f t="shared" si="18"/>
        <v>0.55147848517823816</v>
      </c>
      <c r="P180" s="8">
        <f t="shared" si="19"/>
        <v>67.166758244369447</v>
      </c>
    </row>
    <row r="181" spans="1:16" x14ac:dyDescent="0.2">
      <c r="A181" s="8">
        <v>89.5</v>
      </c>
      <c r="B181" s="8">
        <v>179</v>
      </c>
      <c r="D181">
        <v>474.02395209580999</v>
      </c>
      <c r="E181">
        <v>283.55688622755002</v>
      </c>
      <c r="F181">
        <v>141.86701728023999</v>
      </c>
      <c r="G181">
        <v>117.88730277987</v>
      </c>
      <c r="I181" s="9">
        <f t="shared" si="15"/>
        <v>165.66958344768003</v>
      </c>
      <c r="J181" s="9">
        <f t="shared" si="16"/>
        <v>332.15693481557003</v>
      </c>
      <c r="K181" s="9">
        <f t="shared" si="17"/>
        <v>165.66958344768003</v>
      </c>
      <c r="L181" s="10">
        <f t="shared" si="14"/>
        <v>0.49876900369299221</v>
      </c>
      <c r="M181" s="10">
        <f t="shared" si="18"/>
        <v>0.53001740478988935</v>
      </c>
      <c r="P181" s="8">
        <f t="shared" si="19"/>
        <v>60.661374383777719</v>
      </c>
    </row>
    <row r="182" spans="1:16" x14ac:dyDescent="0.2">
      <c r="A182" s="8">
        <v>90</v>
      </c>
      <c r="B182" s="8">
        <v>180</v>
      </c>
      <c r="D182">
        <v>507.96359583953</v>
      </c>
      <c r="E182">
        <v>296.65676077265999</v>
      </c>
      <c r="F182">
        <v>142.4177310293</v>
      </c>
      <c r="G182">
        <v>117.69872276484</v>
      </c>
      <c r="I182" s="9">
        <f t="shared" si="15"/>
        <v>178.95803800781999</v>
      </c>
      <c r="J182" s="9">
        <f t="shared" si="16"/>
        <v>365.54586481023</v>
      </c>
      <c r="K182" s="9">
        <f t="shared" si="17"/>
        <v>178.95803800781999</v>
      </c>
      <c r="L182" s="10">
        <f t="shared" si="14"/>
        <v>0.48956384201124675</v>
      </c>
      <c r="M182" s="10">
        <f>L182+ABS($N$2)*A182</f>
        <v>0.52098681518131085</v>
      </c>
      <c r="P182" s="8">
        <f t="shared" si="19"/>
        <v>57.923979489009611</v>
      </c>
    </row>
    <row r="183" spans="1:16" x14ac:dyDescent="0.2">
      <c r="A183" s="8">
        <v>90.5</v>
      </c>
      <c r="B183" s="8">
        <v>181</v>
      </c>
      <c r="D183">
        <v>464.90193164932998</v>
      </c>
      <c r="E183">
        <v>276.58469539376</v>
      </c>
      <c r="F183">
        <v>142.53944402705</v>
      </c>
      <c r="G183">
        <v>118.162283997</v>
      </c>
      <c r="I183" s="9">
        <f t="shared" si="15"/>
        <v>158.42241139676</v>
      </c>
      <c r="J183" s="9">
        <f t="shared" si="16"/>
        <v>322.36248762228001</v>
      </c>
      <c r="K183" s="9">
        <f t="shared" si="17"/>
        <v>158.42241139676</v>
      </c>
      <c r="L183" s="10">
        <f t="shared" si="14"/>
        <v>0.49144183172574163</v>
      </c>
      <c r="M183" s="10">
        <f t="shared" ref="M183:M241" si="20">L183+ABS($N$2)*A183</f>
        <v>0.52303937696897285</v>
      </c>
      <c r="P183" s="8">
        <f t="shared" si="19"/>
        <v>58.546161694411204</v>
      </c>
    </row>
    <row r="184" spans="1:16" x14ac:dyDescent="0.2">
      <c r="A184" s="8">
        <v>91</v>
      </c>
      <c r="B184" s="8">
        <v>182</v>
      </c>
      <c r="D184">
        <v>454.78454680534998</v>
      </c>
      <c r="E184">
        <v>274.25185735513003</v>
      </c>
      <c r="F184">
        <v>142.04057099925001</v>
      </c>
      <c r="G184">
        <v>118.00751314801001</v>
      </c>
      <c r="I184" s="9">
        <f t="shared" si="15"/>
        <v>156.24434420712004</v>
      </c>
      <c r="J184" s="9">
        <f t="shared" si="16"/>
        <v>312.74397580609997</v>
      </c>
      <c r="K184" s="9">
        <f t="shared" si="17"/>
        <v>156.24434420712004</v>
      </c>
      <c r="L184" s="10">
        <f t="shared" si="14"/>
        <v>0.49959185881806056</v>
      </c>
      <c r="M184" s="10">
        <f t="shared" si="20"/>
        <v>0.53136397613445874</v>
      </c>
      <c r="P184" s="8">
        <f t="shared" si="19"/>
        <v>61.069553437841215</v>
      </c>
    </row>
    <row r="185" spans="1:16" x14ac:dyDescent="0.2">
      <c r="A185" s="8">
        <v>91.5</v>
      </c>
      <c r="B185" s="8">
        <v>183</v>
      </c>
      <c r="D185">
        <v>475.52108433734998</v>
      </c>
      <c r="E185">
        <v>275.50225903615001</v>
      </c>
      <c r="F185">
        <v>141.87002253943999</v>
      </c>
      <c r="G185">
        <v>117.90984222389</v>
      </c>
      <c r="I185" s="9">
        <f t="shared" si="15"/>
        <v>157.59241681226001</v>
      </c>
      <c r="J185" s="9">
        <f t="shared" si="16"/>
        <v>333.65106179790996</v>
      </c>
      <c r="K185" s="9">
        <f t="shared" si="17"/>
        <v>157.59241681226001</v>
      </c>
      <c r="L185" s="10">
        <f t="shared" si="14"/>
        <v>0.47232703520575819</v>
      </c>
      <c r="M185" s="10">
        <f t="shared" si="20"/>
        <v>0.50427372459532338</v>
      </c>
      <c r="P185" s="8">
        <f t="shared" si="19"/>
        <v>52.857828680604037</v>
      </c>
    </row>
    <row r="186" spans="1:16" x14ac:dyDescent="0.2">
      <c r="A186" s="8">
        <v>92</v>
      </c>
      <c r="B186" s="8">
        <v>184</v>
      </c>
      <c r="D186">
        <v>472.10090361445998</v>
      </c>
      <c r="E186">
        <v>270.42771084336999</v>
      </c>
      <c r="F186">
        <v>142.21412471826</v>
      </c>
      <c r="G186">
        <v>117.73328324568</v>
      </c>
      <c r="I186" s="9">
        <f t="shared" si="15"/>
        <v>152.69442759768998</v>
      </c>
      <c r="J186" s="9">
        <f t="shared" si="16"/>
        <v>329.88677889619998</v>
      </c>
      <c r="K186" s="9">
        <f t="shared" si="17"/>
        <v>152.69442759768998</v>
      </c>
      <c r="L186" s="10">
        <f t="shared" si="14"/>
        <v>0.46286919442059787</v>
      </c>
      <c r="M186" s="10">
        <f t="shared" si="20"/>
        <v>0.49499045588333013</v>
      </c>
      <c r="P186" s="8">
        <f t="shared" si="19"/>
        <v>50.043840504811939</v>
      </c>
    </row>
    <row r="187" spans="1:16" x14ac:dyDescent="0.2">
      <c r="A187" s="8">
        <v>92.5</v>
      </c>
      <c r="B187" s="8">
        <v>185</v>
      </c>
      <c r="D187">
        <v>492.86521084336999</v>
      </c>
      <c r="E187">
        <v>274.81475903615001</v>
      </c>
      <c r="F187">
        <v>141.93163035312</v>
      </c>
      <c r="G187">
        <v>117.92712246431</v>
      </c>
      <c r="I187" s="9">
        <f t="shared" si="15"/>
        <v>156.88763657184001</v>
      </c>
      <c r="J187" s="9">
        <f t="shared" si="16"/>
        <v>350.93358049024999</v>
      </c>
      <c r="K187" s="9">
        <f t="shared" si="17"/>
        <v>156.88763657184001</v>
      </c>
      <c r="L187" s="10">
        <f t="shared" si="14"/>
        <v>0.44705792005618233</v>
      </c>
      <c r="M187" s="10">
        <f t="shared" si="20"/>
        <v>0.4793537535920816</v>
      </c>
      <c r="P187" s="8">
        <f t="shared" si="19"/>
        <v>45.303969590690073</v>
      </c>
    </row>
    <row r="188" spans="1:16" x14ac:dyDescent="0.2">
      <c r="A188" s="8">
        <v>93</v>
      </c>
      <c r="B188" s="8">
        <v>186</v>
      </c>
      <c r="D188">
        <v>478.34111445782997</v>
      </c>
      <c r="E188">
        <v>271.77635542169003</v>
      </c>
      <c r="F188">
        <v>141.83170548460001</v>
      </c>
      <c r="G188">
        <v>117.90308039068</v>
      </c>
      <c r="I188" s="9">
        <f t="shared" si="15"/>
        <v>153.87327503101002</v>
      </c>
      <c r="J188" s="9">
        <f t="shared" si="16"/>
        <v>336.50940897322994</v>
      </c>
      <c r="K188" s="9">
        <f t="shared" si="17"/>
        <v>153.87327503101002</v>
      </c>
      <c r="L188" s="10">
        <f t="shared" si="14"/>
        <v>0.45726292022714582</v>
      </c>
      <c r="M188" s="10">
        <f t="shared" si="20"/>
        <v>0.4897333258362121</v>
      </c>
      <c r="P188" s="8">
        <f t="shared" si="19"/>
        <v>48.450274461411801</v>
      </c>
    </row>
    <row r="189" spans="1:16" x14ac:dyDescent="0.2">
      <c r="A189" s="8">
        <v>93.5</v>
      </c>
      <c r="B189" s="8">
        <v>187</v>
      </c>
      <c r="D189">
        <v>450.58734939759</v>
      </c>
      <c r="E189">
        <v>261.96234939759</v>
      </c>
      <c r="F189">
        <v>141.64613072878001</v>
      </c>
      <c r="G189">
        <v>118.13373403456001</v>
      </c>
      <c r="I189" s="9">
        <f t="shared" si="15"/>
        <v>143.82861536303</v>
      </c>
      <c r="J189" s="9">
        <f t="shared" si="16"/>
        <v>308.94121866881</v>
      </c>
      <c r="K189" s="9">
        <f t="shared" si="17"/>
        <v>143.82861536303</v>
      </c>
      <c r="L189" s="10">
        <f t="shared" si="14"/>
        <v>0.46555333724250181</v>
      </c>
      <c r="M189" s="10">
        <f t="shared" si="20"/>
        <v>0.4981983149247351</v>
      </c>
      <c r="P189" s="8">
        <f t="shared" si="19"/>
        <v>51.016221860148491</v>
      </c>
    </row>
    <row r="190" spans="1:16" x14ac:dyDescent="0.2">
      <c r="A190" s="8">
        <v>94</v>
      </c>
      <c r="B190" s="8">
        <v>188</v>
      </c>
      <c r="D190">
        <v>440.87876506024003</v>
      </c>
      <c r="E190">
        <v>256.45783132529999</v>
      </c>
      <c r="F190">
        <v>142.23666416227999</v>
      </c>
      <c r="G190">
        <v>117.85649887303001</v>
      </c>
      <c r="I190" s="9">
        <f t="shared" si="15"/>
        <v>138.60133245226999</v>
      </c>
      <c r="J190" s="9">
        <f t="shared" si="16"/>
        <v>298.64210089796006</v>
      </c>
      <c r="K190" s="9">
        <f t="shared" si="17"/>
        <v>138.60133245226999</v>
      </c>
      <c r="L190" s="10">
        <f t="shared" si="14"/>
        <v>0.46410513465958786</v>
      </c>
      <c r="M190" s="10">
        <f t="shared" si="20"/>
        <v>0.49692468441498816</v>
      </c>
      <c r="P190" s="8">
        <f t="shared" si="19"/>
        <v>50.630152975798978</v>
      </c>
    </row>
    <row r="191" spans="1:16" x14ac:dyDescent="0.2">
      <c r="A191" s="8">
        <v>94.5</v>
      </c>
      <c r="B191" s="8">
        <v>189</v>
      </c>
      <c r="D191">
        <v>439.66866118175</v>
      </c>
      <c r="E191">
        <v>247.65818997756</v>
      </c>
      <c r="F191">
        <v>142.03531179564001</v>
      </c>
      <c r="G191">
        <v>117.62584522915</v>
      </c>
      <c r="I191" s="9">
        <f t="shared" si="15"/>
        <v>130.03234474841</v>
      </c>
      <c r="J191" s="9">
        <f t="shared" si="16"/>
        <v>297.63334938611001</v>
      </c>
      <c r="K191" s="9">
        <f t="shared" si="17"/>
        <v>130.03234474841</v>
      </c>
      <c r="L191" s="10">
        <f t="shared" si="14"/>
        <v>0.43688768418126184</v>
      </c>
      <c r="M191" s="10">
        <f t="shared" si="20"/>
        <v>0.46988180600982921</v>
      </c>
      <c r="P191" s="8">
        <f t="shared" si="19"/>
        <v>42.432788186262357</v>
      </c>
    </row>
    <row r="192" spans="1:16" x14ac:dyDescent="0.2">
      <c r="A192" s="8">
        <v>95</v>
      </c>
      <c r="B192" s="8">
        <v>190</v>
      </c>
      <c r="D192">
        <v>440.09199700823001</v>
      </c>
      <c r="E192">
        <v>248.80703066567</v>
      </c>
      <c r="F192">
        <v>141.84072126221</v>
      </c>
      <c r="G192">
        <v>117.81066867017</v>
      </c>
      <c r="I192" s="9">
        <f t="shared" si="15"/>
        <v>130.9963619955</v>
      </c>
      <c r="J192" s="9">
        <f t="shared" si="16"/>
        <v>298.25127574602004</v>
      </c>
      <c r="K192" s="9">
        <f t="shared" si="17"/>
        <v>130.9963619955</v>
      </c>
      <c r="L192" s="10">
        <f t="shared" si="14"/>
        <v>0.43921475832026863</v>
      </c>
      <c r="M192" s="10">
        <f t="shared" si="20"/>
        <v>0.47238345222200301</v>
      </c>
      <c r="P192" s="8">
        <f t="shared" si="19"/>
        <v>43.191098979526103</v>
      </c>
    </row>
    <row r="193" spans="1:16" x14ac:dyDescent="0.2">
      <c r="A193" s="8">
        <v>95.5</v>
      </c>
      <c r="B193" s="8">
        <v>191</v>
      </c>
      <c r="D193">
        <v>455.56320119671</v>
      </c>
      <c r="E193">
        <v>254.22887060583</v>
      </c>
      <c r="F193">
        <v>142.14725770097999</v>
      </c>
      <c r="G193">
        <v>118.04883546206</v>
      </c>
      <c r="I193" s="9">
        <f t="shared" si="15"/>
        <v>136.18003514377</v>
      </c>
      <c r="J193" s="9">
        <f t="shared" si="16"/>
        <v>313.41594349573</v>
      </c>
      <c r="K193" s="9">
        <f t="shared" si="17"/>
        <v>136.18003514377</v>
      </c>
      <c r="L193" s="10">
        <f t="shared" si="14"/>
        <v>0.43450257707015894</v>
      </c>
      <c r="M193" s="10">
        <f t="shared" si="20"/>
        <v>0.46784584304506033</v>
      </c>
      <c r="P193" s="8">
        <f t="shared" si="19"/>
        <v>41.815637494307424</v>
      </c>
    </row>
    <row r="194" spans="1:16" x14ac:dyDescent="0.2">
      <c r="A194" s="8">
        <v>96</v>
      </c>
      <c r="B194" s="8">
        <v>192</v>
      </c>
      <c r="D194">
        <v>432.32909498878001</v>
      </c>
      <c r="E194">
        <v>241.37771129394</v>
      </c>
      <c r="F194">
        <v>142.60180315552</v>
      </c>
      <c r="G194">
        <v>117.86326070624</v>
      </c>
      <c r="I194" s="9">
        <f t="shared" si="15"/>
        <v>123.5144505877</v>
      </c>
      <c r="J194" s="9">
        <f t="shared" si="16"/>
        <v>289.72729183325998</v>
      </c>
      <c r="K194" s="9">
        <f t="shared" si="17"/>
        <v>123.5144505877</v>
      </c>
      <c r="L194" s="10">
        <f t="shared" ref="L194:L257" si="21">K194/J194</f>
        <v>0.42631279161227031</v>
      </c>
      <c r="M194" s="10">
        <f t="shared" si="20"/>
        <v>0.45983062966033872</v>
      </c>
      <c r="P194" s="8">
        <f t="shared" si="19"/>
        <v>39.386028227270025</v>
      </c>
    </row>
    <row r="195" spans="1:16" x14ac:dyDescent="0.2">
      <c r="A195" s="8">
        <v>96.5</v>
      </c>
      <c r="B195" s="8">
        <v>193</v>
      </c>
      <c r="D195">
        <v>424.67090501121999</v>
      </c>
      <c r="E195">
        <v>235.01421091997</v>
      </c>
      <c r="F195">
        <v>141.88805409467</v>
      </c>
      <c r="G195">
        <v>117.99173553719</v>
      </c>
      <c r="I195" s="9">
        <f t="shared" ref="I195:I241" si="22">E195-G195</f>
        <v>117.02247538278</v>
      </c>
      <c r="J195" s="9">
        <f t="shared" ref="J195:J241" si="23">D195-F195</f>
        <v>282.78285091654999</v>
      </c>
      <c r="K195" s="9">
        <f t="shared" ref="K195:K258" si="24">I195*1</f>
        <v>117.02247538278</v>
      </c>
      <c r="L195" s="10">
        <f t="shared" si="21"/>
        <v>0.41382451235458284</v>
      </c>
      <c r="M195" s="10">
        <f t="shared" si="20"/>
        <v>0.44751692247581831</v>
      </c>
      <c r="P195" s="8">
        <f t="shared" ref="P195:P241" si="25">(M195-$O$2)/$O$2*100</f>
        <v>35.653439255387674</v>
      </c>
    </row>
    <row r="196" spans="1:16" x14ac:dyDescent="0.2">
      <c r="A196" s="8">
        <v>97</v>
      </c>
      <c r="B196" s="8">
        <v>194</v>
      </c>
      <c r="D196">
        <v>428.45100972325997</v>
      </c>
      <c r="E196">
        <v>236.44427823485</v>
      </c>
      <c r="F196">
        <v>141.87002253943999</v>
      </c>
      <c r="G196">
        <v>117.80916604057001</v>
      </c>
      <c r="I196" s="9">
        <f t="shared" si="22"/>
        <v>118.63511219428</v>
      </c>
      <c r="J196" s="9">
        <f t="shared" si="23"/>
        <v>286.58098718381996</v>
      </c>
      <c r="K196" s="9">
        <f t="shared" si="24"/>
        <v>118.63511219428</v>
      </c>
      <c r="L196" s="10">
        <f t="shared" si="21"/>
        <v>0.41396714192412415</v>
      </c>
      <c r="M196" s="10">
        <f t="shared" si="20"/>
        <v>0.44783412411852663</v>
      </c>
      <c r="P196" s="8">
        <f t="shared" si="25"/>
        <v>35.749590912698842</v>
      </c>
    </row>
    <row r="197" spans="1:16" x14ac:dyDescent="0.2">
      <c r="A197" s="8">
        <v>97.5</v>
      </c>
      <c r="B197" s="8">
        <v>195</v>
      </c>
      <c r="D197">
        <v>445.05235602094001</v>
      </c>
      <c r="E197">
        <v>236.66118175019</v>
      </c>
      <c r="F197">
        <v>142.15401953419001</v>
      </c>
      <c r="G197">
        <v>117.99474079639</v>
      </c>
      <c r="I197" s="9">
        <f t="shared" si="22"/>
        <v>118.66644095379999</v>
      </c>
      <c r="J197" s="9">
        <f t="shared" si="23"/>
        <v>302.89833648675</v>
      </c>
      <c r="K197" s="9">
        <f t="shared" si="24"/>
        <v>118.66644095379999</v>
      </c>
      <c r="L197" s="10">
        <f t="shared" si="21"/>
        <v>0.39176986684768716</v>
      </c>
      <c r="M197" s="10">
        <f t="shared" si="20"/>
        <v>0.42581142111525666</v>
      </c>
      <c r="P197" s="8">
        <f t="shared" si="25"/>
        <v>29.073965357432929</v>
      </c>
    </row>
    <row r="198" spans="1:16" x14ac:dyDescent="0.2">
      <c r="A198" s="8">
        <v>98</v>
      </c>
      <c r="B198" s="8">
        <v>196</v>
      </c>
      <c r="D198">
        <v>427.88332086761</v>
      </c>
      <c r="E198">
        <v>231.13014210919999</v>
      </c>
      <c r="F198">
        <v>141.84072126221</v>
      </c>
      <c r="G198">
        <v>118.1667918858</v>
      </c>
      <c r="I198" s="9">
        <f t="shared" si="22"/>
        <v>112.9633502234</v>
      </c>
      <c r="J198" s="9">
        <f t="shared" si="23"/>
        <v>286.04259960540003</v>
      </c>
      <c r="K198" s="9">
        <f t="shared" si="24"/>
        <v>112.9633502234</v>
      </c>
      <c r="L198" s="10">
        <f t="shared" si="21"/>
        <v>0.39491792613839549</v>
      </c>
      <c r="M198" s="10">
        <f t="shared" si="20"/>
        <v>0.429134052479132</v>
      </c>
      <c r="P198" s="8">
        <f t="shared" si="25"/>
        <v>30.081137040224128</v>
      </c>
    </row>
    <row r="199" spans="1:16" x14ac:dyDescent="0.2">
      <c r="A199" s="8">
        <v>98.5</v>
      </c>
      <c r="B199" s="8">
        <v>197</v>
      </c>
      <c r="D199">
        <v>438.33881824981</v>
      </c>
      <c r="E199">
        <v>235.32759910247</v>
      </c>
      <c r="F199">
        <v>141.93613824191999</v>
      </c>
      <c r="G199">
        <v>118.26070623591001</v>
      </c>
      <c r="I199" s="9">
        <f t="shared" si="22"/>
        <v>117.06689286656</v>
      </c>
      <c r="J199" s="9">
        <f t="shared" si="23"/>
        <v>296.40268000789001</v>
      </c>
      <c r="K199" s="9">
        <f t="shared" si="24"/>
        <v>117.06689286656</v>
      </c>
      <c r="L199" s="10">
        <f t="shared" si="21"/>
        <v>0.39495895537598974</v>
      </c>
      <c r="M199" s="10">
        <f t="shared" si="20"/>
        <v>0.42934965378989326</v>
      </c>
      <c r="P199" s="8">
        <f t="shared" si="25"/>
        <v>30.146491125944351</v>
      </c>
    </row>
    <row r="200" spans="1:16" x14ac:dyDescent="0.2">
      <c r="A200" s="8">
        <v>99</v>
      </c>
      <c r="B200" s="8">
        <v>198</v>
      </c>
      <c r="D200">
        <v>450.47943156320002</v>
      </c>
      <c r="E200">
        <v>236.10396409872999</v>
      </c>
      <c r="F200">
        <v>142.08414725770001</v>
      </c>
      <c r="G200">
        <v>117.90833959429</v>
      </c>
      <c r="I200" s="9">
        <f t="shared" si="22"/>
        <v>118.19562450443999</v>
      </c>
      <c r="J200" s="9">
        <f t="shared" si="23"/>
        <v>308.39528430550001</v>
      </c>
      <c r="K200" s="9">
        <f t="shared" si="24"/>
        <v>118.19562450443999</v>
      </c>
      <c r="L200" s="10">
        <f t="shared" si="21"/>
        <v>0.38326015513049805</v>
      </c>
      <c r="M200" s="10">
        <f t="shared" si="20"/>
        <v>0.41782542561756864</v>
      </c>
      <c r="P200" s="8">
        <f t="shared" si="25"/>
        <v>26.653212754054088</v>
      </c>
    </row>
    <row r="201" spans="1:16" x14ac:dyDescent="0.2">
      <c r="A201" s="8">
        <v>99.5</v>
      </c>
      <c r="B201" s="8">
        <v>199</v>
      </c>
      <c r="D201">
        <v>460.34554973821997</v>
      </c>
      <c r="E201">
        <v>238.75691847420001</v>
      </c>
      <c r="F201">
        <v>141.67167543201001</v>
      </c>
      <c r="G201">
        <v>118.08489857249999</v>
      </c>
      <c r="I201" s="9">
        <f t="shared" si="22"/>
        <v>120.67201990170001</v>
      </c>
      <c r="J201" s="9">
        <f t="shared" si="23"/>
        <v>318.67387430621</v>
      </c>
      <c r="K201" s="9">
        <f t="shared" si="24"/>
        <v>120.67201990170001</v>
      </c>
      <c r="L201" s="10">
        <f t="shared" si="21"/>
        <v>0.37866932193427216</v>
      </c>
      <c r="M201" s="10">
        <f t="shared" si="20"/>
        <v>0.41340916449450976</v>
      </c>
      <c r="P201" s="8">
        <f t="shared" si="25"/>
        <v>25.314534862995863</v>
      </c>
    </row>
    <row r="202" spans="1:16" x14ac:dyDescent="0.2">
      <c r="A202" s="8">
        <v>100</v>
      </c>
      <c r="B202" s="8">
        <v>200</v>
      </c>
      <c r="D202">
        <v>434.01350337584</v>
      </c>
      <c r="E202">
        <v>230.96174043510999</v>
      </c>
      <c r="F202">
        <v>141.64087152517001</v>
      </c>
      <c r="G202">
        <v>117.498121713</v>
      </c>
      <c r="I202" s="9">
        <f t="shared" si="22"/>
        <v>113.46361872210998</v>
      </c>
      <c r="J202" s="9">
        <f t="shared" si="23"/>
        <v>292.37263185067002</v>
      </c>
      <c r="K202" s="9">
        <f t="shared" si="24"/>
        <v>113.46361872210998</v>
      </c>
      <c r="L202" s="10">
        <f t="shared" si="21"/>
        <v>0.38807879521384814</v>
      </c>
      <c r="M202" s="10">
        <f t="shared" si="20"/>
        <v>0.42299320984725275</v>
      </c>
      <c r="P202" s="8">
        <f t="shared" si="25"/>
        <v>28.219695872073576</v>
      </c>
    </row>
    <row r="203" spans="1:16" x14ac:dyDescent="0.2">
      <c r="A203" s="8">
        <v>100.5</v>
      </c>
      <c r="B203" s="8">
        <v>201</v>
      </c>
      <c r="D203">
        <v>405.71792948236998</v>
      </c>
      <c r="E203">
        <v>219.21005251312999</v>
      </c>
      <c r="F203">
        <v>142.05334335085999</v>
      </c>
      <c r="G203">
        <v>118.0826446281</v>
      </c>
      <c r="I203" s="9">
        <f t="shared" si="22"/>
        <v>101.12740788503</v>
      </c>
      <c r="J203" s="9">
        <f t="shared" si="23"/>
        <v>263.66458613150996</v>
      </c>
      <c r="K203" s="9">
        <f t="shared" si="24"/>
        <v>101.12740788503</v>
      </c>
      <c r="L203" s="10">
        <f t="shared" si="21"/>
        <v>0.3835456606773498</v>
      </c>
      <c r="M203" s="10">
        <f t="shared" si="20"/>
        <v>0.41863464738392142</v>
      </c>
      <c r="P203" s="8">
        <f t="shared" si="25"/>
        <v>26.898507870758881</v>
      </c>
    </row>
    <row r="204" spans="1:16" x14ac:dyDescent="0.2">
      <c r="A204" s="8">
        <v>101</v>
      </c>
      <c r="B204" s="8">
        <v>202</v>
      </c>
      <c r="D204">
        <v>463.35933983496</v>
      </c>
      <c r="E204">
        <v>234.06751687921999</v>
      </c>
      <c r="F204">
        <v>141.49135987979</v>
      </c>
      <c r="G204">
        <v>117.77535687453</v>
      </c>
      <c r="I204" s="9">
        <f t="shared" si="22"/>
        <v>116.29216000468999</v>
      </c>
      <c r="J204" s="9">
        <f t="shared" si="23"/>
        <v>321.86797995516997</v>
      </c>
      <c r="K204" s="9">
        <f t="shared" si="24"/>
        <v>116.29216000468999</v>
      </c>
      <c r="L204" s="10">
        <f t="shared" si="21"/>
        <v>0.3613039110659198</v>
      </c>
      <c r="M204" s="10">
        <f t="shared" si="20"/>
        <v>0.39656746984565844</v>
      </c>
      <c r="P204" s="8">
        <f t="shared" si="25"/>
        <v>20.209400984781031</v>
      </c>
    </row>
    <row r="205" spans="1:16" x14ac:dyDescent="0.2">
      <c r="A205" s="8">
        <v>101.5</v>
      </c>
      <c r="B205" s="8">
        <v>203</v>
      </c>
      <c r="D205">
        <v>404.78619654914002</v>
      </c>
      <c r="E205">
        <v>216.02625656414</v>
      </c>
      <c r="F205">
        <v>141.89406461306999</v>
      </c>
      <c r="G205">
        <v>118.07888805410001</v>
      </c>
      <c r="I205" s="9">
        <f t="shared" si="22"/>
        <v>97.947368510039993</v>
      </c>
      <c r="J205" s="9">
        <f t="shared" si="23"/>
        <v>262.89213193607003</v>
      </c>
      <c r="K205" s="9">
        <f t="shared" si="24"/>
        <v>97.947368510039993</v>
      </c>
      <c r="L205" s="10">
        <f t="shared" si="21"/>
        <v>0.37257626460216309</v>
      </c>
      <c r="M205" s="10">
        <f t="shared" si="20"/>
        <v>0.40801439545506879</v>
      </c>
      <c r="P205" s="8">
        <f t="shared" si="25"/>
        <v>23.679247039375749</v>
      </c>
    </row>
    <row r="206" spans="1:16" x14ac:dyDescent="0.2">
      <c r="A206" s="8">
        <v>102</v>
      </c>
      <c r="B206" s="8">
        <v>204</v>
      </c>
      <c r="D206">
        <v>408.30532633157998</v>
      </c>
      <c r="E206">
        <v>218.71492873218</v>
      </c>
      <c r="F206">
        <v>141.58527422989999</v>
      </c>
      <c r="G206">
        <v>117.54244928625</v>
      </c>
      <c r="I206" s="9">
        <f t="shared" si="22"/>
        <v>101.17247944592999</v>
      </c>
      <c r="J206" s="9">
        <f t="shared" si="23"/>
        <v>266.72005210167998</v>
      </c>
      <c r="K206" s="9">
        <f t="shared" si="24"/>
        <v>101.17247944592999</v>
      </c>
      <c r="L206" s="10">
        <f t="shared" si="21"/>
        <v>0.37932085963810719</v>
      </c>
      <c r="M206" s="10">
        <f t="shared" si="20"/>
        <v>0.4149335625641799</v>
      </c>
      <c r="P206" s="8">
        <f t="shared" si="25"/>
        <v>25.77661759229467</v>
      </c>
    </row>
    <row r="207" spans="1:16" x14ac:dyDescent="0.2">
      <c r="A207" s="8">
        <v>102.5</v>
      </c>
      <c r="B207" s="8">
        <v>205</v>
      </c>
      <c r="D207">
        <v>434.49587396849</v>
      </c>
      <c r="E207">
        <v>225.35108777194</v>
      </c>
      <c r="F207">
        <v>141.94590533434001</v>
      </c>
      <c r="G207">
        <v>117.90608564989</v>
      </c>
      <c r="I207" s="9">
        <f t="shared" si="22"/>
        <v>107.44500212205</v>
      </c>
      <c r="J207" s="9">
        <f t="shared" si="23"/>
        <v>292.54996863414999</v>
      </c>
      <c r="K207" s="9">
        <f t="shared" si="24"/>
        <v>107.44500212205</v>
      </c>
      <c r="L207" s="10">
        <f t="shared" si="21"/>
        <v>0.36727059867306278</v>
      </c>
      <c r="M207" s="10">
        <f t="shared" si="20"/>
        <v>0.4030578736723025</v>
      </c>
      <c r="P207" s="8">
        <f t="shared" si="25"/>
        <v>22.176802790213699</v>
      </c>
    </row>
    <row r="208" spans="1:16" x14ac:dyDescent="0.2">
      <c r="A208" s="8">
        <v>103</v>
      </c>
      <c r="B208" s="8">
        <v>206</v>
      </c>
      <c r="D208">
        <v>440.70112359551001</v>
      </c>
      <c r="E208">
        <v>225.65617977528001</v>
      </c>
      <c r="F208">
        <v>141.46356123216</v>
      </c>
      <c r="G208">
        <v>117.99098422239</v>
      </c>
      <c r="I208" s="9">
        <f t="shared" si="22"/>
        <v>107.66519555289001</v>
      </c>
      <c r="J208" s="9">
        <f t="shared" si="23"/>
        <v>299.23756236334998</v>
      </c>
      <c r="K208" s="9">
        <f t="shared" si="24"/>
        <v>107.66519555289001</v>
      </c>
      <c r="L208" s="10">
        <f t="shared" si="21"/>
        <v>0.35979839797704699</v>
      </c>
      <c r="M208" s="10">
        <f t="shared" si="20"/>
        <v>0.39576024504945373</v>
      </c>
      <c r="P208" s="8">
        <f t="shared" si="25"/>
        <v>19.964711199081776</v>
      </c>
    </row>
    <row r="209" spans="1:16" x14ac:dyDescent="0.2">
      <c r="A209" s="8">
        <v>103.5</v>
      </c>
      <c r="B209" s="8">
        <v>207</v>
      </c>
      <c r="D209">
        <v>442.1797752809</v>
      </c>
      <c r="E209">
        <v>229.29887640448999</v>
      </c>
      <c r="F209">
        <v>141.91435011269999</v>
      </c>
      <c r="G209">
        <v>117.70698722765</v>
      </c>
      <c r="I209" s="9">
        <f t="shared" si="22"/>
        <v>111.59188917683998</v>
      </c>
      <c r="J209" s="9">
        <f t="shared" si="23"/>
        <v>300.26542516820001</v>
      </c>
      <c r="K209" s="9">
        <f t="shared" si="24"/>
        <v>111.59188917683998</v>
      </c>
      <c r="L209" s="10">
        <f t="shared" si="21"/>
        <v>0.37164415155134639</v>
      </c>
      <c r="M209" s="10">
        <f t="shared" si="20"/>
        <v>0.40778057069692014</v>
      </c>
      <c r="P209" s="8">
        <f t="shared" si="25"/>
        <v>23.608368976373256</v>
      </c>
    </row>
    <row r="210" spans="1:16" x14ac:dyDescent="0.2">
      <c r="A210" s="8">
        <v>104</v>
      </c>
      <c r="B210" s="8">
        <v>208</v>
      </c>
      <c r="D210">
        <v>449.89588014981001</v>
      </c>
      <c r="E210">
        <v>230.58801498126999</v>
      </c>
      <c r="F210">
        <v>141.86100676183</v>
      </c>
      <c r="G210">
        <v>117.90157776108001</v>
      </c>
      <c r="I210" s="9">
        <f t="shared" si="22"/>
        <v>112.68643722018999</v>
      </c>
      <c r="J210" s="9">
        <f t="shared" si="23"/>
        <v>308.03487338798004</v>
      </c>
      <c r="K210" s="9">
        <f t="shared" si="24"/>
        <v>112.68643722018999</v>
      </c>
      <c r="L210" s="10">
        <f t="shared" si="21"/>
        <v>0.36582363542408952</v>
      </c>
      <c r="M210" s="10">
        <f t="shared" si="20"/>
        <v>0.40213462664283028</v>
      </c>
      <c r="P210" s="8">
        <f t="shared" si="25"/>
        <v>21.896943798206543</v>
      </c>
    </row>
    <row r="211" spans="1:16" x14ac:dyDescent="0.2">
      <c r="A211" s="8">
        <v>104.5</v>
      </c>
      <c r="B211" s="8">
        <v>209</v>
      </c>
      <c r="D211">
        <v>439.58006042296</v>
      </c>
      <c r="E211">
        <v>230.09969788519999</v>
      </c>
      <c r="F211">
        <v>141.87528174305001</v>
      </c>
      <c r="G211">
        <v>117.52667167542999</v>
      </c>
      <c r="I211" s="9">
        <f t="shared" si="22"/>
        <v>112.57302620976999</v>
      </c>
      <c r="J211" s="9">
        <f t="shared" si="23"/>
        <v>297.70477867990996</v>
      </c>
      <c r="K211" s="9">
        <f t="shared" si="24"/>
        <v>112.57302620976999</v>
      </c>
      <c r="L211" s="10">
        <f t="shared" si="21"/>
        <v>0.37813644345564135</v>
      </c>
      <c r="M211" s="10">
        <f t="shared" si="20"/>
        <v>0.41462200674754918</v>
      </c>
      <c r="P211" s="8">
        <f t="shared" si="25"/>
        <v>25.682177324400079</v>
      </c>
    </row>
    <row r="212" spans="1:16" x14ac:dyDescent="0.2">
      <c r="A212" s="8">
        <v>105</v>
      </c>
      <c r="B212" s="8">
        <v>210</v>
      </c>
      <c r="D212">
        <v>441.04758308157</v>
      </c>
      <c r="E212">
        <v>229.50679758307999</v>
      </c>
      <c r="F212">
        <v>141.79864763335999</v>
      </c>
      <c r="G212">
        <v>117.80090157776</v>
      </c>
      <c r="I212" s="9">
        <f t="shared" si="22"/>
        <v>111.70589600531999</v>
      </c>
      <c r="J212" s="9">
        <f t="shared" si="23"/>
        <v>299.24893544820998</v>
      </c>
      <c r="K212" s="9">
        <f t="shared" si="24"/>
        <v>111.70589600531999</v>
      </c>
      <c r="L212" s="10">
        <f t="shared" si="21"/>
        <v>0.37328753012273475</v>
      </c>
      <c r="M212" s="10">
        <f t="shared" si="20"/>
        <v>0.40994766548780959</v>
      </c>
      <c r="P212" s="8">
        <f t="shared" si="25"/>
        <v>24.265268965652371</v>
      </c>
    </row>
    <row r="213" spans="1:16" x14ac:dyDescent="0.2">
      <c r="A213" s="8">
        <v>105.5</v>
      </c>
      <c r="B213" s="8">
        <v>211</v>
      </c>
      <c r="D213">
        <v>444.85120845921</v>
      </c>
      <c r="E213">
        <v>230.20921450150999</v>
      </c>
      <c r="F213">
        <v>141.65890308038999</v>
      </c>
      <c r="G213">
        <v>117.80691209617</v>
      </c>
      <c r="I213" s="9">
        <f t="shared" si="22"/>
        <v>112.40230240534</v>
      </c>
      <c r="J213" s="9">
        <f t="shared" si="23"/>
        <v>303.19230537882004</v>
      </c>
      <c r="K213" s="9">
        <f t="shared" si="24"/>
        <v>112.40230240534</v>
      </c>
      <c r="L213" s="10">
        <f t="shared" si="21"/>
        <v>0.37072940312551889</v>
      </c>
      <c r="M213" s="10">
        <f t="shared" si="20"/>
        <v>0.40756411056376074</v>
      </c>
      <c r="P213" s="8">
        <f t="shared" si="25"/>
        <v>23.54275456035899</v>
      </c>
    </row>
    <row r="214" spans="1:16" x14ac:dyDescent="0.2">
      <c r="A214" s="8">
        <v>106</v>
      </c>
      <c r="B214" s="8">
        <v>212</v>
      </c>
      <c r="D214">
        <v>443.87462235650003</v>
      </c>
      <c r="E214">
        <v>227.30211480362999</v>
      </c>
      <c r="F214">
        <v>141.29376408715001</v>
      </c>
      <c r="G214">
        <v>117.86401202104</v>
      </c>
      <c r="I214" s="9">
        <f t="shared" si="22"/>
        <v>109.43810278258999</v>
      </c>
      <c r="J214" s="9">
        <f t="shared" si="23"/>
        <v>302.58085826935002</v>
      </c>
      <c r="K214" s="9">
        <f t="shared" si="24"/>
        <v>109.43810278258999</v>
      </c>
      <c r="L214" s="10">
        <f t="shared" si="21"/>
        <v>0.36168217450547019</v>
      </c>
      <c r="M214" s="10">
        <f t="shared" si="20"/>
        <v>0.39869145401687905</v>
      </c>
      <c r="P214" s="8">
        <f t="shared" si="25"/>
        <v>20.853233079791135</v>
      </c>
    </row>
    <row r="215" spans="1:16" x14ac:dyDescent="0.2">
      <c r="A215" s="8">
        <v>106.5</v>
      </c>
      <c r="B215" s="8">
        <v>213</v>
      </c>
      <c r="D215">
        <v>417.18580060423</v>
      </c>
      <c r="E215">
        <v>213.58157099697999</v>
      </c>
      <c r="F215">
        <v>141.77535687452999</v>
      </c>
      <c r="G215">
        <v>118.38993238166999</v>
      </c>
      <c r="I215" s="9">
        <f t="shared" si="22"/>
        <v>95.191638615309998</v>
      </c>
      <c r="J215" s="9">
        <f t="shared" si="23"/>
        <v>275.41044372969998</v>
      </c>
      <c r="K215" s="9">
        <f t="shared" si="24"/>
        <v>95.191638615309998</v>
      </c>
      <c r="L215" s="10">
        <f t="shared" si="21"/>
        <v>0.34563554426692439</v>
      </c>
      <c r="M215" s="10">
        <f t="shared" si="20"/>
        <v>0.38281939585150027</v>
      </c>
      <c r="P215" s="8">
        <f t="shared" si="25"/>
        <v>16.042019983572334</v>
      </c>
    </row>
    <row r="216" spans="1:16" x14ac:dyDescent="0.2">
      <c r="A216" s="8">
        <v>107</v>
      </c>
      <c r="B216" s="8">
        <v>214</v>
      </c>
      <c r="D216">
        <v>419.32738095238</v>
      </c>
      <c r="E216">
        <v>215.84449404762</v>
      </c>
      <c r="F216">
        <v>141.7468069121</v>
      </c>
      <c r="G216">
        <v>117.87528174305</v>
      </c>
      <c r="I216" s="9">
        <f t="shared" si="22"/>
        <v>97.969212304570007</v>
      </c>
      <c r="J216" s="9">
        <f t="shared" si="23"/>
        <v>277.58057404028</v>
      </c>
      <c r="K216" s="9">
        <f t="shared" si="24"/>
        <v>97.969212304570007</v>
      </c>
      <c r="L216" s="10">
        <f t="shared" si="21"/>
        <v>0.35293972801696705</v>
      </c>
      <c r="M216" s="10">
        <f t="shared" si="20"/>
        <v>0.39029815167470999</v>
      </c>
      <c r="P216" s="8">
        <f t="shared" si="25"/>
        <v>18.309015705559755</v>
      </c>
    </row>
    <row r="217" spans="1:16" x14ac:dyDescent="0.2">
      <c r="A217" s="8">
        <v>107.5</v>
      </c>
      <c r="B217" s="8">
        <v>215</v>
      </c>
      <c r="D217">
        <v>444.62351190475999</v>
      </c>
      <c r="E217">
        <v>223.45461309524001</v>
      </c>
      <c r="F217">
        <v>142.12847483095001</v>
      </c>
      <c r="G217">
        <v>117.62885048836</v>
      </c>
      <c r="I217" s="9">
        <f t="shared" si="22"/>
        <v>105.82576260688001</v>
      </c>
      <c r="J217" s="9">
        <f t="shared" si="23"/>
        <v>302.49503707380995</v>
      </c>
      <c r="K217" s="9">
        <f t="shared" si="24"/>
        <v>105.82576260688001</v>
      </c>
      <c r="L217" s="10">
        <f t="shared" si="21"/>
        <v>0.3498429714106619</v>
      </c>
      <c r="M217" s="10">
        <f t="shared" si="20"/>
        <v>0.38737596714157185</v>
      </c>
      <c r="P217" s="8">
        <f t="shared" si="25"/>
        <v>17.423229353915126</v>
      </c>
    </row>
    <row r="218" spans="1:16" x14ac:dyDescent="0.2">
      <c r="A218" s="8">
        <v>108</v>
      </c>
      <c r="B218" s="8">
        <v>216</v>
      </c>
      <c r="D218">
        <v>466.47023809524001</v>
      </c>
      <c r="E218">
        <v>232.23883928570999</v>
      </c>
      <c r="F218">
        <v>141.28399699473999</v>
      </c>
      <c r="G218">
        <v>117.44853493614001</v>
      </c>
      <c r="I218" s="9">
        <f t="shared" si="22"/>
        <v>114.79030434956998</v>
      </c>
      <c r="J218" s="9">
        <f t="shared" si="23"/>
        <v>325.18624110050001</v>
      </c>
      <c r="K218" s="9">
        <f t="shared" si="24"/>
        <v>114.79030434956998</v>
      </c>
      <c r="L218" s="10">
        <f t="shared" si="21"/>
        <v>0.35299865074578479</v>
      </c>
      <c r="M218" s="10">
        <f t="shared" si="20"/>
        <v>0.39070621854986176</v>
      </c>
      <c r="P218" s="8">
        <f t="shared" si="25"/>
        <v>18.4327108604922</v>
      </c>
    </row>
    <row r="219" spans="1:16" x14ac:dyDescent="0.2">
      <c r="A219" s="8">
        <v>108.5</v>
      </c>
      <c r="B219" s="8">
        <v>217</v>
      </c>
      <c r="D219">
        <v>446.73165307635003</v>
      </c>
      <c r="E219">
        <v>227.25945144552</v>
      </c>
      <c r="F219">
        <v>142.18632607062</v>
      </c>
      <c r="G219">
        <v>117.81667918858</v>
      </c>
      <c r="I219" s="9">
        <f t="shared" si="22"/>
        <v>109.44277225694</v>
      </c>
      <c r="J219" s="9">
        <f t="shared" si="23"/>
        <v>304.54532700573003</v>
      </c>
      <c r="K219" s="9">
        <f t="shared" si="24"/>
        <v>109.44277225694</v>
      </c>
      <c r="L219" s="10">
        <f t="shared" si="21"/>
        <v>0.35936447731105997</v>
      </c>
      <c r="M219" s="10">
        <f t="shared" si="20"/>
        <v>0.39724661718830395</v>
      </c>
      <c r="P219" s="8">
        <f t="shared" si="25"/>
        <v>20.415267328966035</v>
      </c>
    </row>
    <row r="220" spans="1:16" x14ac:dyDescent="0.2">
      <c r="A220" s="8">
        <v>109</v>
      </c>
      <c r="B220" s="8">
        <v>218</v>
      </c>
      <c r="D220">
        <v>454.82722513088999</v>
      </c>
      <c r="E220">
        <v>231.12864622289001</v>
      </c>
      <c r="F220">
        <v>141.69797145004</v>
      </c>
      <c r="G220">
        <v>117.77160030053</v>
      </c>
      <c r="I220" s="9">
        <f t="shared" si="22"/>
        <v>113.35704592236002</v>
      </c>
      <c r="J220" s="9">
        <f t="shared" si="23"/>
        <v>313.12925368084996</v>
      </c>
      <c r="K220" s="9">
        <f t="shared" si="24"/>
        <v>113.35704592236002</v>
      </c>
      <c r="L220" s="10">
        <f t="shared" si="21"/>
        <v>0.36201359211840572</v>
      </c>
      <c r="M220" s="10">
        <f t="shared" si="20"/>
        <v>0.40007030406881672</v>
      </c>
      <c r="P220" s="8">
        <f t="shared" si="25"/>
        <v>21.271196607802572</v>
      </c>
    </row>
    <row r="221" spans="1:16" x14ac:dyDescent="0.2">
      <c r="A221" s="8">
        <v>109.5</v>
      </c>
      <c r="B221" s="8">
        <v>219</v>
      </c>
      <c r="D221">
        <v>466.81899775617001</v>
      </c>
      <c r="E221">
        <v>236.40164547494001</v>
      </c>
      <c r="F221">
        <v>141.88730277987</v>
      </c>
      <c r="G221">
        <v>117.82870022538999</v>
      </c>
      <c r="I221" s="9">
        <f t="shared" si="22"/>
        <v>118.57294524955002</v>
      </c>
      <c r="J221" s="9">
        <f t="shared" si="23"/>
        <v>324.93169497630004</v>
      </c>
      <c r="K221" s="9">
        <f t="shared" si="24"/>
        <v>118.57294524955002</v>
      </c>
      <c r="L221" s="10">
        <f t="shared" si="21"/>
        <v>0.36491652578920786</v>
      </c>
      <c r="M221" s="10">
        <f t="shared" si="20"/>
        <v>0.40314780981278592</v>
      </c>
      <c r="P221" s="8">
        <f t="shared" si="25"/>
        <v>22.204064657100062</v>
      </c>
    </row>
    <row r="222" spans="1:16" x14ac:dyDescent="0.2">
      <c r="A222" s="8">
        <v>110</v>
      </c>
      <c r="B222" s="8">
        <v>220</v>
      </c>
      <c r="D222">
        <v>449.28272251308999</v>
      </c>
      <c r="E222">
        <v>224.57217651459001</v>
      </c>
      <c r="F222">
        <v>142.03906836965001</v>
      </c>
      <c r="G222">
        <v>117.79413974454999</v>
      </c>
      <c r="I222" s="9">
        <f t="shared" si="22"/>
        <v>106.77803677004002</v>
      </c>
      <c r="J222" s="9">
        <f t="shared" si="23"/>
        <v>307.24365414343998</v>
      </c>
      <c r="K222" s="9">
        <f t="shared" si="24"/>
        <v>106.77803677004002</v>
      </c>
      <c r="L222" s="10">
        <f t="shared" si="21"/>
        <v>0.3475353691770296</v>
      </c>
      <c r="M222" s="10">
        <f t="shared" si="20"/>
        <v>0.38594122527377467</v>
      </c>
      <c r="P222" s="8">
        <f t="shared" si="25"/>
        <v>16.988323635191378</v>
      </c>
    </row>
    <row r="223" spans="1:16" x14ac:dyDescent="0.2">
      <c r="A223" s="8">
        <v>110.5</v>
      </c>
      <c r="B223" s="8">
        <v>221</v>
      </c>
      <c r="D223">
        <v>465.68181818182001</v>
      </c>
      <c r="E223">
        <v>231.73030303030001</v>
      </c>
      <c r="F223">
        <v>141.50713749061001</v>
      </c>
      <c r="G223">
        <v>118.17280240421</v>
      </c>
      <c r="I223" s="9">
        <f t="shared" si="22"/>
        <v>113.55750062609</v>
      </c>
      <c r="J223" s="9">
        <f t="shared" si="23"/>
        <v>324.17468069121003</v>
      </c>
      <c r="K223" s="9">
        <f t="shared" si="24"/>
        <v>113.55750062609</v>
      </c>
      <c r="L223" s="10">
        <f t="shared" si="21"/>
        <v>0.35029725450476584</v>
      </c>
      <c r="M223" s="10">
        <f t="shared" si="20"/>
        <v>0.38887768267467793</v>
      </c>
      <c r="P223" s="8">
        <f t="shared" si="25"/>
        <v>17.878436445799085</v>
      </c>
    </row>
    <row r="224" spans="1:16" x14ac:dyDescent="0.2">
      <c r="A224" s="8">
        <v>111</v>
      </c>
      <c r="B224" s="8">
        <v>222</v>
      </c>
      <c r="D224">
        <v>455.34913468773999</v>
      </c>
      <c r="E224">
        <v>228.00526711813001</v>
      </c>
      <c r="F224">
        <v>141.36589030804001</v>
      </c>
      <c r="G224">
        <v>117.64162283997</v>
      </c>
      <c r="I224" s="9">
        <f t="shared" si="22"/>
        <v>110.36364427816001</v>
      </c>
      <c r="J224" s="9">
        <f t="shared" si="23"/>
        <v>313.98324437969995</v>
      </c>
      <c r="K224" s="9">
        <f t="shared" si="24"/>
        <v>110.36364427816001</v>
      </c>
      <c r="L224" s="10">
        <f t="shared" si="21"/>
        <v>0.35149533057470178</v>
      </c>
      <c r="M224" s="10">
        <f t="shared" si="20"/>
        <v>0.39025033081778088</v>
      </c>
      <c r="P224" s="8">
        <f t="shared" si="25"/>
        <v>18.294520021967088</v>
      </c>
    </row>
    <row r="225" spans="1:16" x14ac:dyDescent="0.2">
      <c r="A225" s="8">
        <v>111.5</v>
      </c>
      <c r="B225" s="8">
        <v>223</v>
      </c>
      <c r="D225">
        <v>479.85929270128003</v>
      </c>
      <c r="E225">
        <v>239.06621519940001</v>
      </c>
      <c r="F225">
        <v>141.39519158527</v>
      </c>
      <c r="G225">
        <v>118.09767092412</v>
      </c>
      <c r="I225" s="9">
        <f t="shared" si="22"/>
        <v>120.96854427528001</v>
      </c>
      <c r="J225" s="9">
        <f t="shared" si="23"/>
        <v>338.46410111601006</v>
      </c>
      <c r="K225" s="9">
        <f t="shared" si="24"/>
        <v>120.96854427528001</v>
      </c>
      <c r="L225" s="10">
        <f t="shared" si="21"/>
        <v>0.35740435655188585</v>
      </c>
      <c r="M225" s="10">
        <f t="shared" si="20"/>
        <v>0.39633392886813201</v>
      </c>
      <c r="P225" s="8">
        <f t="shared" si="25"/>
        <v>20.138608942698564</v>
      </c>
    </row>
    <row r="226" spans="1:16" x14ac:dyDescent="0.2">
      <c r="A226" s="8">
        <v>112</v>
      </c>
      <c r="B226" s="8">
        <v>224</v>
      </c>
      <c r="D226">
        <v>433.34988713318</v>
      </c>
      <c r="E226">
        <v>223.95485327314</v>
      </c>
      <c r="F226">
        <v>141.92186326071001</v>
      </c>
      <c r="G226">
        <v>117.62434259955</v>
      </c>
      <c r="I226" s="9">
        <f t="shared" si="22"/>
        <v>106.33051067359</v>
      </c>
      <c r="J226" s="9">
        <f t="shared" si="23"/>
        <v>291.42802387247002</v>
      </c>
      <c r="K226" s="9">
        <f t="shared" si="24"/>
        <v>106.33051067359</v>
      </c>
      <c r="L226" s="10">
        <f t="shared" si="21"/>
        <v>0.3648602809732554</v>
      </c>
      <c r="M226" s="10">
        <f t="shared" si="20"/>
        <v>0.40396442536266858</v>
      </c>
      <c r="P226" s="8">
        <f t="shared" si="25"/>
        <v>22.451601012324705</v>
      </c>
    </row>
    <row r="227" spans="1:16" x14ac:dyDescent="0.2">
      <c r="A227" s="8">
        <v>112.5</v>
      </c>
      <c r="B227" s="8">
        <v>225</v>
      </c>
      <c r="D227">
        <v>441.30022573362999</v>
      </c>
      <c r="E227">
        <v>225.01956358164</v>
      </c>
      <c r="F227">
        <v>141.30954169796999</v>
      </c>
      <c r="G227">
        <v>117.77235161533</v>
      </c>
      <c r="I227" s="9">
        <f t="shared" si="22"/>
        <v>107.24721196631</v>
      </c>
      <c r="J227" s="9">
        <f t="shared" si="23"/>
        <v>299.99068403566002</v>
      </c>
      <c r="K227" s="9">
        <f t="shared" si="24"/>
        <v>107.24721196631</v>
      </c>
      <c r="L227" s="10">
        <f t="shared" si="21"/>
        <v>0.3575018081346869</v>
      </c>
      <c r="M227" s="10">
        <f t="shared" si="20"/>
        <v>0.39678052459726709</v>
      </c>
      <c r="P227" s="8">
        <f t="shared" si="25"/>
        <v>20.273983145485754</v>
      </c>
    </row>
    <row r="228" spans="1:16" x14ac:dyDescent="0.2">
      <c r="A228" s="8">
        <v>113</v>
      </c>
      <c r="B228" s="8">
        <v>226</v>
      </c>
      <c r="D228">
        <v>473.07894736842002</v>
      </c>
      <c r="E228">
        <v>238.33308270677</v>
      </c>
      <c r="F228">
        <v>141.20210368144001</v>
      </c>
      <c r="G228">
        <v>117.27197595793</v>
      </c>
      <c r="I228" s="9">
        <f t="shared" si="22"/>
        <v>121.06110674884</v>
      </c>
      <c r="J228" s="9">
        <f t="shared" si="23"/>
        <v>331.87684368698001</v>
      </c>
      <c r="K228" s="9">
        <f t="shared" si="24"/>
        <v>121.06110674884</v>
      </c>
      <c r="L228" s="10">
        <f t="shared" si="21"/>
        <v>0.36477720290428745</v>
      </c>
      <c r="M228" s="10">
        <f t="shared" si="20"/>
        <v>0.40423049144003464</v>
      </c>
      <c r="P228" s="8">
        <f t="shared" si="25"/>
        <v>22.532252216002586</v>
      </c>
    </row>
    <row r="229" spans="1:16" x14ac:dyDescent="0.2">
      <c r="A229" s="8">
        <v>113.5</v>
      </c>
      <c r="B229" s="8">
        <v>227</v>
      </c>
      <c r="D229">
        <v>448.62330827068001</v>
      </c>
      <c r="E229">
        <v>223.56390977443999</v>
      </c>
      <c r="F229">
        <v>141.98647633357999</v>
      </c>
      <c r="G229">
        <v>117.92111194591</v>
      </c>
      <c r="I229" s="9">
        <f t="shared" si="22"/>
        <v>105.64279782852999</v>
      </c>
      <c r="J229" s="9">
        <f t="shared" si="23"/>
        <v>306.63683193710006</v>
      </c>
      <c r="K229" s="9">
        <f t="shared" si="24"/>
        <v>105.64279782852999</v>
      </c>
      <c r="L229" s="10">
        <f t="shared" si="21"/>
        <v>0.34452090168411453</v>
      </c>
      <c r="M229" s="10">
        <f t="shared" si="20"/>
        <v>0.38414876229302874</v>
      </c>
      <c r="P229" s="8">
        <f t="shared" si="25"/>
        <v>16.444983806317559</v>
      </c>
    </row>
    <row r="230" spans="1:16" x14ac:dyDescent="0.2">
      <c r="A230" s="8">
        <v>114</v>
      </c>
      <c r="B230" s="8">
        <v>228</v>
      </c>
      <c r="D230">
        <v>499.81729323308002</v>
      </c>
      <c r="E230">
        <v>244.92481203008001</v>
      </c>
      <c r="F230">
        <v>141.38542449286001</v>
      </c>
      <c r="G230">
        <v>117.45229151014</v>
      </c>
      <c r="I230" s="9">
        <f t="shared" si="22"/>
        <v>127.47252051994001</v>
      </c>
      <c r="J230" s="9">
        <f t="shared" si="23"/>
        <v>358.43186874022001</v>
      </c>
      <c r="K230" s="9">
        <f t="shared" si="24"/>
        <v>127.47252051994001</v>
      </c>
      <c r="L230" s="10">
        <f t="shared" si="21"/>
        <v>0.3556394719252155</v>
      </c>
      <c r="M230" s="10">
        <f t="shared" si="20"/>
        <v>0.39544190460729678</v>
      </c>
      <c r="P230" s="8">
        <f t="shared" si="25"/>
        <v>19.868214343513134</v>
      </c>
    </row>
    <row r="231" spans="1:16" x14ac:dyDescent="0.2">
      <c r="A231" s="8">
        <v>114.5</v>
      </c>
      <c r="B231" s="8">
        <v>229</v>
      </c>
      <c r="D231">
        <v>439.71374906085998</v>
      </c>
      <c r="E231">
        <v>220.60856498873</v>
      </c>
      <c r="F231">
        <v>141.40420736288999</v>
      </c>
      <c r="G231">
        <v>117.71675432006001</v>
      </c>
      <c r="I231" s="9">
        <f t="shared" si="22"/>
        <v>102.89181066866999</v>
      </c>
      <c r="J231" s="9">
        <f t="shared" si="23"/>
        <v>298.30954169796996</v>
      </c>
      <c r="K231" s="9">
        <f t="shared" si="24"/>
        <v>102.89181066866999</v>
      </c>
      <c r="L231" s="10">
        <f t="shared" si="21"/>
        <v>0.34491625739831366</v>
      </c>
      <c r="M231" s="10">
        <f t="shared" si="20"/>
        <v>0.38489326215356195</v>
      </c>
      <c r="P231" s="8">
        <f t="shared" si="25"/>
        <v>16.670660113813941</v>
      </c>
    </row>
    <row r="232" spans="1:16" x14ac:dyDescent="0.2">
      <c r="A232" s="8">
        <v>115</v>
      </c>
      <c r="B232" s="8">
        <v>230</v>
      </c>
      <c r="D232">
        <v>399.80390683696999</v>
      </c>
      <c r="E232">
        <v>207.20060105184001</v>
      </c>
      <c r="F232">
        <v>141.47332832456999</v>
      </c>
      <c r="G232">
        <v>118.00751314801001</v>
      </c>
      <c r="I232" s="9">
        <f t="shared" si="22"/>
        <v>89.193087903830005</v>
      </c>
      <c r="J232" s="9">
        <f t="shared" si="23"/>
        <v>258.3305785124</v>
      </c>
      <c r="K232" s="9">
        <f t="shared" si="24"/>
        <v>89.193087903830005</v>
      </c>
      <c r="L232" s="10">
        <f t="shared" si="21"/>
        <v>0.34526724794815061</v>
      </c>
      <c r="M232" s="10">
        <f t="shared" si="20"/>
        <v>0.38541882477656592</v>
      </c>
      <c r="P232" s="8">
        <f t="shared" si="25"/>
        <v>16.829971133741733</v>
      </c>
    </row>
    <row r="233" spans="1:16" x14ac:dyDescent="0.2">
      <c r="A233" s="8">
        <v>115.5</v>
      </c>
      <c r="B233" s="8">
        <v>231</v>
      </c>
      <c r="D233">
        <v>464.93383458647003</v>
      </c>
      <c r="E233">
        <v>229.37669172931999</v>
      </c>
      <c r="F233">
        <v>141.42975206611999</v>
      </c>
      <c r="G233">
        <v>117.62659654395</v>
      </c>
      <c r="I233" s="9">
        <f t="shared" si="22"/>
        <v>111.75009518536999</v>
      </c>
      <c r="J233" s="9">
        <f t="shared" si="23"/>
        <v>323.50408252035004</v>
      </c>
      <c r="K233" s="9">
        <f t="shared" si="24"/>
        <v>111.75009518536999</v>
      </c>
      <c r="L233" s="10">
        <f t="shared" si="21"/>
        <v>0.34543642947176822</v>
      </c>
      <c r="M233" s="10">
        <f t="shared" si="20"/>
        <v>0.38576257837335054</v>
      </c>
      <c r="P233" s="8">
        <f t="shared" si="25"/>
        <v>16.934171344545522</v>
      </c>
    </row>
    <row r="234" spans="1:16" x14ac:dyDescent="0.2">
      <c r="A234" s="8">
        <v>116</v>
      </c>
      <c r="B234" s="8">
        <v>232</v>
      </c>
      <c r="D234">
        <v>456.15639097744003</v>
      </c>
      <c r="E234">
        <v>224.66390977443999</v>
      </c>
      <c r="F234">
        <v>141.48309541698001</v>
      </c>
      <c r="G234">
        <v>117.61457550714</v>
      </c>
      <c r="I234" s="9">
        <f t="shared" si="22"/>
        <v>107.04933426729998</v>
      </c>
      <c r="J234" s="9">
        <f t="shared" si="23"/>
        <v>314.67329556046002</v>
      </c>
      <c r="K234" s="9">
        <f t="shared" si="24"/>
        <v>107.04933426729998</v>
      </c>
      <c r="L234" s="10">
        <f t="shared" si="21"/>
        <v>0.34019198889005176</v>
      </c>
      <c r="M234" s="10">
        <f t="shared" si="20"/>
        <v>0.38069270986480108</v>
      </c>
      <c r="P234" s="8">
        <f t="shared" si="25"/>
        <v>15.397368901517282</v>
      </c>
    </row>
    <row r="235" spans="1:16" x14ac:dyDescent="0.2">
      <c r="A235" s="8">
        <v>116.5</v>
      </c>
      <c r="B235" s="8">
        <v>233</v>
      </c>
      <c r="D235">
        <v>448.92255639097999</v>
      </c>
      <c r="E235">
        <v>225.14436090225999</v>
      </c>
      <c r="F235">
        <v>141.65289256198</v>
      </c>
      <c r="G235">
        <v>117.56724267468</v>
      </c>
      <c r="I235" s="9">
        <f t="shared" si="22"/>
        <v>107.57711822757999</v>
      </c>
      <c r="J235" s="9">
        <f t="shared" si="23"/>
        <v>307.26966382900002</v>
      </c>
      <c r="K235" s="9">
        <f t="shared" si="24"/>
        <v>107.57711822757999</v>
      </c>
      <c r="L235" s="10">
        <f t="shared" si="21"/>
        <v>0.35010653797391533</v>
      </c>
      <c r="M235" s="10">
        <f t="shared" si="20"/>
        <v>0.39078183102183173</v>
      </c>
      <c r="P235" s="8">
        <f t="shared" si="25"/>
        <v>18.455630869453159</v>
      </c>
    </row>
    <row r="236" spans="1:16" x14ac:dyDescent="0.2">
      <c r="A236" s="8">
        <v>117</v>
      </c>
      <c r="B236" s="8">
        <v>234</v>
      </c>
      <c r="D236">
        <v>449.54887218045002</v>
      </c>
      <c r="E236">
        <v>226.43759398495999</v>
      </c>
      <c r="F236">
        <v>141.74079639369</v>
      </c>
      <c r="G236">
        <v>117.43576258452001</v>
      </c>
      <c r="I236" s="9">
        <f t="shared" si="22"/>
        <v>109.00183140043998</v>
      </c>
      <c r="J236" s="9">
        <f t="shared" si="23"/>
        <v>307.80807578676001</v>
      </c>
      <c r="K236" s="9">
        <f t="shared" si="24"/>
        <v>109.00183140043998</v>
      </c>
      <c r="L236" s="10">
        <f t="shared" si="21"/>
        <v>0.35412271468781442</v>
      </c>
      <c r="M236" s="10">
        <f t="shared" si="20"/>
        <v>0.39497257980889783</v>
      </c>
      <c r="P236" s="8">
        <f t="shared" si="25"/>
        <v>19.725950398099769</v>
      </c>
    </row>
    <row r="237" spans="1:16" x14ac:dyDescent="0.2">
      <c r="A237" s="8">
        <v>117.5</v>
      </c>
      <c r="B237" s="8">
        <v>235</v>
      </c>
      <c r="D237">
        <v>433.73759398495997</v>
      </c>
      <c r="E237">
        <v>222.98796992480999</v>
      </c>
      <c r="F237">
        <v>141.47032306535999</v>
      </c>
      <c r="G237">
        <v>117.64913598798</v>
      </c>
      <c r="I237" s="9">
        <f t="shared" si="22"/>
        <v>105.33883393682999</v>
      </c>
      <c r="J237" s="9">
        <f t="shared" si="23"/>
        <v>292.26727091959998</v>
      </c>
      <c r="K237" s="9">
        <f t="shared" si="24"/>
        <v>105.33883393682999</v>
      </c>
      <c r="L237" s="10">
        <f t="shared" si="21"/>
        <v>0.36041953519252495</v>
      </c>
      <c r="M237" s="10">
        <f t="shared" si="20"/>
        <v>0.40144397238677537</v>
      </c>
      <c r="P237" s="8">
        <f t="shared" si="25"/>
        <v>21.687589424182214</v>
      </c>
    </row>
    <row r="238" spans="1:16" x14ac:dyDescent="0.2">
      <c r="A238" s="8">
        <v>118</v>
      </c>
      <c r="B238" s="8">
        <v>236</v>
      </c>
      <c r="D238">
        <v>433.91804511278002</v>
      </c>
      <c r="E238">
        <v>222.47067669173001</v>
      </c>
      <c r="F238">
        <v>141.12171299775</v>
      </c>
      <c r="G238">
        <v>117.76033057850999</v>
      </c>
      <c r="I238" s="9">
        <f t="shared" si="22"/>
        <v>104.71034611322001</v>
      </c>
      <c r="J238" s="9">
        <f t="shared" si="23"/>
        <v>292.79633211503005</v>
      </c>
      <c r="K238" s="9">
        <f t="shared" si="24"/>
        <v>104.71034611322001</v>
      </c>
      <c r="L238" s="10">
        <f t="shared" si="21"/>
        <v>0.35762178220211704</v>
      </c>
      <c r="M238" s="10">
        <f t="shared" si="20"/>
        <v>0.39882079146953447</v>
      </c>
      <c r="P238" s="8">
        <f t="shared" si="25"/>
        <v>20.892438458171405</v>
      </c>
    </row>
    <row r="239" spans="1:16" x14ac:dyDescent="0.2">
      <c r="A239" s="8">
        <v>118.5</v>
      </c>
      <c r="B239" s="8">
        <v>237</v>
      </c>
      <c r="D239">
        <v>477.92044609664998</v>
      </c>
      <c r="E239">
        <v>234.99479553903001</v>
      </c>
      <c r="F239">
        <v>140.98121712998</v>
      </c>
      <c r="G239">
        <v>117.38166791886</v>
      </c>
      <c r="I239" s="9">
        <f t="shared" si="22"/>
        <v>117.61312762017</v>
      </c>
      <c r="J239" s="9">
        <f t="shared" si="23"/>
        <v>336.93922896666999</v>
      </c>
      <c r="K239" s="9">
        <f t="shared" si="24"/>
        <v>117.61312762017</v>
      </c>
      <c r="L239" s="10">
        <f t="shared" si="21"/>
        <v>0.3490633251012879</v>
      </c>
      <c r="M239" s="10">
        <f t="shared" si="20"/>
        <v>0.39043690644187234</v>
      </c>
      <c r="P239" s="8">
        <f t="shared" si="25"/>
        <v>18.35107570470911</v>
      </c>
    </row>
    <row r="240" spans="1:16" x14ac:dyDescent="0.2">
      <c r="A240" s="8">
        <v>119</v>
      </c>
      <c r="B240" s="8">
        <v>238</v>
      </c>
      <c r="D240">
        <v>503.17731029301001</v>
      </c>
      <c r="E240">
        <v>240.71525169046001</v>
      </c>
      <c r="F240">
        <v>141.29000751314999</v>
      </c>
      <c r="G240">
        <v>117.68670172802</v>
      </c>
      <c r="I240" s="9">
        <f t="shared" si="22"/>
        <v>123.02854996244001</v>
      </c>
      <c r="J240" s="9">
        <f t="shared" si="23"/>
        <v>361.88730277986002</v>
      </c>
      <c r="K240" s="9">
        <f t="shared" si="24"/>
        <v>123.02854996244001</v>
      </c>
      <c r="L240" s="10">
        <f t="shared" si="21"/>
        <v>0.3399637097444107</v>
      </c>
      <c r="M240" s="10">
        <f t="shared" si="20"/>
        <v>0.38151186315816221</v>
      </c>
      <c r="P240" s="8">
        <f t="shared" si="25"/>
        <v>15.645674509508723</v>
      </c>
    </row>
    <row r="241" spans="1:16" x14ac:dyDescent="0.2">
      <c r="A241" s="8">
        <v>119.5</v>
      </c>
      <c r="B241" s="8">
        <v>239</v>
      </c>
      <c r="D241">
        <v>518.70022539444005</v>
      </c>
      <c r="E241">
        <v>242.8369646882</v>
      </c>
      <c r="F241">
        <v>140.96243425995999</v>
      </c>
      <c r="G241">
        <v>117.4169797145</v>
      </c>
      <c r="I241" s="9">
        <f t="shared" si="22"/>
        <v>125.4199849737</v>
      </c>
      <c r="J241" s="9">
        <f t="shared" si="23"/>
        <v>377.73779113448006</v>
      </c>
      <c r="K241" s="9">
        <f t="shared" si="24"/>
        <v>125.4199849737</v>
      </c>
      <c r="L241" s="10">
        <f t="shared" si="21"/>
        <v>0.33202922216762976</v>
      </c>
      <c r="M241" s="10">
        <f t="shared" si="20"/>
        <v>0.37375194765454828</v>
      </c>
      <c r="P241" s="8">
        <f t="shared" si="25"/>
        <v>13.293452339735209</v>
      </c>
    </row>
    <row r="242" spans="1:16" x14ac:dyDescent="0.2">
      <c r="A242" s="8">
        <v>120</v>
      </c>
      <c r="B242" s="8">
        <v>240</v>
      </c>
      <c r="D242">
        <v>512.90833959429006</v>
      </c>
      <c r="E242">
        <v>238.06536438768001</v>
      </c>
      <c r="F242">
        <v>141.24267468068999</v>
      </c>
      <c r="G242">
        <v>117.41172051089001</v>
      </c>
      <c r="I242" s="9">
        <f>E242-G242</f>
        <v>120.65364387679</v>
      </c>
      <c r="J242" s="9">
        <f>D242-F242</f>
        <v>371.66566491360004</v>
      </c>
      <c r="K242" s="9">
        <f t="shared" si="24"/>
        <v>120.65364387679</v>
      </c>
      <c r="L242" s="10">
        <f t="shared" si="21"/>
        <v>0.32462951320735528</v>
      </c>
      <c r="M242" s="10">
        <f>L242+ABS($N$2)*A242</f>
        <v>0.36652681076744081</v>
      </c>
      <c r="O242" s="11"/>
      <c r="P242" s="8">
        <f>(M242-$O$2)/$O$2*100</f>
        <v>11.103334785286631</v>
      </c>
    </row>
    <row r="243" spans="1:16" x14ac:dyDescent="0.2">
      <c r="A243" s="8">
        <v>120.5</v>
      </c>
      <c r="B243" s="8">
        <v>241</v>
      </c>
      <c r="D243">
        <v>526.49512378095005</v>
      </c>
      <c r="E243">
        <v>240.40735183795999</v>
      </c>
      <c r="F243">
        <v>141.04132231405001</v>
      </c>
      <c r="G243">
        <v>117.8369646882</v>
      </c>
      <c r="I243" s="9">
        <f t="shared" ref="I243:I274" si="26">E243-G243</f>
        <v>122.57038714975999</v>
      </c>
      <c r="J243" s="9">
        <f t="shared" ref="J243:J274" si="27">D243-F243</f>
        <v>385.45380146690002</v>
      </c>
      <c r="K243" s="9">
        <f t="shared" si="24"/>
        <v>122.57038714975999</v>
      </c>
      <c r="L243" s="10">
        <f t="shared" si="21"/>
        <v>0.3179898257153016</v>
      </c>
      <c r="M243" s="10">
        <f t="shared" ref="M243:M274" si="28">L243+ABS($N$2)*A243</f>
        <v>0.36006169534855414</v>
      </c>
      <c r="P243" s="8">
        <f t="shared" ref="P243:P274" si="29">(M243-$O$2)/$O$2*100</f>
        <v>9.1435985212297055</v>
      </c>
    </row>
    <row r="244" spans="1:16" x14ac:dyDescent="0.2">
      <c r="A244" s="8">
        <v>121</v>
      </c>
      <c r="B244" s="8">
        <v>242</v>
      </c>
      <c r="D244">
        <v>550.78919729933</v>
      </c>
      <c r="E244">
        <v>246.03450862715999</v>
      </c>
      <c r="F244">
        <v>141.37565740045</v>
      </c>
      <c r="G244">
        <v>117.56348610068</v>
      </c>
      <c r="I244" s="9">
        <f t="shared" si="26"/>
        <v>128.47102252648</v>
      </c>
      <c r="J244" s="9">
        <f t="shared" si="27"/>
        <v>409.41353989888</v>
      </c>
      <c r="K244" s="9">
        <f t="shared" si="24"/>
        <v>128.47102252648</v>
      </c>
      <c r="L244" s="10">
        <f t="shared" si="21"/>
        <v>0.31379280362396106</v>
      </c>
      <c r="M244" s="10">
        <f t="shared" si="28"/>
        <v>0.35603924533038062</v>
      </c>
      <c r="N244" s="1"/>
      <c r="P244" s="8">
        <f t="shared" si="29"/>
        <v>7.9242945088152466</v>
      </c>
    </row>
    <row r="245" spans="1:16" x14ac:dyDescent="0.2">
      <c r="A245" s="8">
        <v>121.5</v>
      </c>
      <c r="B245" s="8">
        <v>243</v>
      </c>
      <c r="D245">
        <v>547.31582895724</v>
      </c>
      <c r="E245">
        <v>243.69617404351001</v>
      </c>
      <c r="F245">
        <v>141.39969947407999</v>
      </c>
      <c r="G245">
        <v>117.55822689707</v>
      </c>
      <c r="I245" s="9">
        <f t="shared" si="26"/>
        <v>126.13794714644001</v>
      </c>
      <c r="J245" s="9">
        <f t="shared" si="27"/>
        <v>405.91612948316003</v>
      </c>
      <c r="K245" s="9">
        <f t="shared" si="24"/>
        <v>126.13794714644001</v>
      </c>
      <c r="L245" s="10">
        <f t="shared" si="21"/>
        <v>0.31074879263124483</v>
      </c>
      <c r="M245" s="10">
        <f t="shared" si="28"/>
        <v>0.3531698064108314</v>
      </c>
      <c r="P245" s="8">
        <f t="shared" si="29"/>
        <v>7.0544966562186255</v>
      </c>
    </row>
    <row r="246" spans="1:16" x14ac:dyDescent="0.2">
      <c r="A246" s="8">
        <v>122</v>
      </c>
      <c r="B246" s="8">
        <v>244</v>
      </c>
      <c r="D246">
        <v>556.0352588147</v>
      </c>
      <c r="E246">
        <v>247.07876969242</v>
      </c>
      <c r="F246">
        <v>141.06761833208</v>
      </c>
      <c r="G246">
        <v>117.32607062359</v>
      </c>
      <c r="I246" s="9">
        <f t="shared" si="26"/>
        <v>129.75269906883</v>
      </c>
      <c r="J246" s="9">
        <f t="shared" si="27"/>
        <v>414.96764048262003</v>
      </c>
      <c r="K246" s="9">
        <f t="shared" si="24"/>
        <v>129.75269906883</v>
      </c>
      <c r="L246" s="10">
        <f t="shared" si="21"/>
        <v>0.31268148744784929</v>
      </c>
      <c r="M246" s="10">
        <f t="shared" si="28"/>
        <v>0.35527707330060293</v>
      </c>
      <c r="P246" s="8">
        <f t="shared" si="29"/>
        <v>7.6932613300661465</v>
      </c>
    </row>
    <row r="247" spans="1:16" x14ac:dyDescent="0.2">
      <c r="A247" s="8">
        <v>122.5</v>
      </c>
      <c r="B247" s="8">
        <v>245</v>
      </c>
      <c r="D247">
        <v>552.90097524380997</v>
      </c>
      <c r="E247">
        <v>245.77044261065001</v>
      </c>
      <c r="F247">
        <v>141.15326821938001</v>
      </c>
      <c r="G247">
        <v>117.65740045079001</v>
      </c>
      <c r="I247" s="9">
        <f t="shared" si="26"/>
        <v>128.11304215986002</v>
      </c>
      <c r="J247" s="9">
        <f t="shared" si="27"/>
        <v>411.74770702442993</v>
      </c>
      <c r="K247" s="9">
        <f t="shared" si="24"/>
        <v>128.11304215986002</v>
      </c>
      <c r="L247" s="10">
        <f t="shared" si="21"/>
        <v>0.31114451877751143</v>
      </c>
      <c r="M247" s="10">
        <f t="shared" si="28"/>
        <v>0.35391467670343207</v>
      </c>
      <c r="P247" s="8">
        <f t="shared" si="29"/>
        <v>7.2802852508296114</v>
      </c>
    </row>
    <row r="248" spans="1:16" x14ac:dyDescent="0.2">
      <c r="A248" s="8">
        <v>123</v>
      </c>
      <c r="B248" s="8">
        <v>246</v>
      </c>
      <c r="D248">
        <v>590.72289156627005</v>
      </c>
      <c r="E248">
        <v>255.91265060241</v>
      </c>
      <c r="F248">
        <v>141.01202103681001</v>
      </c>
      <c r="G248">
        <v>117.54019534184999</v>
      </c>
      <c r="I248" s="9">
        <f t="shared" si="26"/>
        <v>138.37245526056</v>
      </c>
      <c r="J248" s="9">
        <f t="shared" si="27"/>
        <v>449.71087052946007</v>
      </c>
      <c r="K248" s="9">
        <f t="shared" si="24"/>
        <v>138.37245526056</v>
      </c>
      <c r="L248" s="10">
        <f t="shared" si="21"/>
        <v>0.30769204021608226</v>
      </c>
      <c r="M248" s="10">
        <f t="shared" si="28"/>
        <v>0.35063677021516992</v>
      </c>
      <c r="P248" s="8">
        <f t="shared" si="29"/>
        <v>6.2866707831793116</v>
      </c>
    </row>
    <row r="249" spans="1:16" x14ac:dyDescent="0.2">
      <c r="A249" s="8">
        <v>123.5</v>
      </c>
      <c r="B249" s="8">
        <v>247</v>
      </c>
      <c r="D249">
        <v>602.04066265059998</v>
      </c>
      <c r="E249">
        <v>263.40286144577999</v>
      </c>
      <c r="F249">
        <v>142.04958677686</v>
      </c>
      <c r="G249">
        <v>117.57851239669</v>
      </c>
      <c r="I249" s="9">
        <f t="shared" si="26"/>
        <v>145.82434904908999</v>
      </c>
      <c r="J249" s="9">
        <f t="shared" si="27"/>
        <v>459.99107587373999</v>
      </c>
      <c r="K249" s="9">
        <f t="shared" si="24"/>
        <v>145.82434904908999</v>
      </c>
      <c r="L249" s="10">
        <f t="shared" si="21"/>
        <v>0.31701560464428746</v>
      </c>
      <c r="M249" s="10">
        <f t="shared" si="28"/>
        <v>0.36013490671654214</v>
      </c>
      <c r="P249" s="8">
        <f t="shared" si="29"/>
        <v>9.1657906962322038</v>
      </c>
    </row>
    <row r="250" spans="1:16" x14ac:dyDescent="0.2">
      <c r="A250" s="8">
        <v>124</v>
      </c>
      <c r="B250" s="8">
        <v>248</v>
      </c>
      <c r="D250">
        <v>643.38328313252998</v>
      </c>
      <c r="E250">
        <v>277.20783132529999</v>
      </c>
      <c r="F250">
        <v>140.78737791135001</v>
      </c>
      <c r="G250">
        <v>117.56724267468</v>
      </c>
      <c r="I250" s="9">
        <f t="shared" si="26"/>
        <v>159.64058865061997</v>
      </c>
      <c r="J250" s="9">
        <f t="shared" si="27"/>
        <v>502.59590522117998</v>
      </c>
      <c r="K250" s="9">
        <f t="shared" si="24"/>
        <v>159.64058865061997</v>
      </c>
      <c r="L250" s="10">
        <f t="shared" si="21"/>
        <v>0.31763209169077117</v>
      </c>
      <c r="M250" s="10">
        <f t="shared" si="28"/>
        <v>0.36092596583619285</v>
      </c>
      <c r="P250" s="8">
        <f t="shared" si="29"/>
        <v>9.4055802658450887</v>
      </c>
    </row>
    <row r="251" spans="1:16" x14ac:dyDescent="0.2">
      <c r="A251" s="8">
        <v>124.5</v>
      </c>
      <c r="B251" s="8">
        <v>249</v>
      </c>
      <c r="D251">
        <v>630.28614457830997</v>
      </c>
      <c r="E251">
        <v>274.17469879518001</v>
      </c>
      <c r="F251">
        <v>141.17355371900999</v>
      </c>
      <c r="G251">
        <v>117.66791885799999</v>
      </c>
      <c r="I251" s="9">
        <f t="shared" si="26"/>
        <v>156.50677993718</v>
      </c>
      <c r="J251" s="9">
        <f t="shared" si="27"/>
        <v>489.11259085929998</v>
      </c>
      <c r="K251" s="9">
        <f t="shared" si="24"/>
        <v>156.50677993718</v>
      </c>
      <c r="L251" s="10">
        <f t="shared" si="21"/>
        <v>0.31998108996176167</v>
      </c>
      <c r="M251" s="10">
        <f t="shared" si="28"/>
        <v>0.36344953618035042</v>
      </c>
      <c r="P251" s="8">
        <f t="shared" si="29"/>
        <v>10.170536805351981</v>
      </c>
    </row>
    <row r="252" spans="1:16" x14ac:dyDescent="0.2">
      <c r="A252" s="8">
        <v>125</v>
      </c>
      <c r="B252" s="8">
        <v>250</v>
      </c>
      <c r="D252">
        <v>636.24096385541998</v>
      </c>
      <c r="E252">
        <v>278.01430722892002</v>
      </c>
      <c r="F252">
        <v>140.57700976709</v>
      </c>
      <c r="G252">
        <v>117.34936138242</v>
      </c>
      <c r="I252" s="9">
        <f t="shared" si="26"/>
        <v>160.66494584650002</v>
      </c>
      <c r="J252" s="9">
        <f t="shared" si="27"/>
        <v>495.66395408833</v>
      </c>
      <c r="K252" s="9">
        <f t="shared" si="24"/>
        <v>160.66494584650002</v>
      </c>
      <c r="L252" s="10">
        <f t="shared" si="21"/>
        <v>0.32414087109079681</v>
      </c>
      <c r="M252" s="10">
        <f t="shared" si="28"/>
        <v>0.36778388938255258</v>
      </c>
      <c r="P252" s="8">
        <f t="shared" si="29"/>
        <v>11.484386381304265</v>
      </c>
    </row>
    <row r="253" spans="1:16" x14ac:dyDescent="0.2">
      <c r="A253" s="8">
        <v>125.5</v>
      </c>
      <c r="B253" s="8">
        <v>251</v>
      </c>
      <c r="D253">
        <v>627.67996987951994</v>
      </c>
      <c r="E253">
        <v>272.85993975904</v>
      </c>
      <c r="F253">
        <v>141.68670172802001</v>
      </c>
      <c r="G253">
        <v>117.49286250938999</v>
      </c>
      <c r="I253" s="9">
        <f t="shared" si="26"/>
        <v>155.36707724965001</v>
      </c>
      <c r="J253" s="9">
        <f t="shared" si="27"/>
        <v>485.99326815149993</v>
      </c>
      <c r="K253" s="9">
        <f t="shared" si="24"/>
        <v>155.36707724965001</v>
      </c>
      <c r="L253" s="10">
        <f t="shared" si="21"/>
        <v>0.31968977233079088</v>
      </c>
      <c r="M253" s="10">
        <f t="shared" si="28"/>
        <v>0.36350736269571365</v>
      </c>
      <c r="P253" s="8">
        <f t="shared" si="29"/>
        <v>10.18806545129855</v>
      </c>
    </row>
    <row r="254" spans="1:16" x14ac:dyDescent="0.2">
      <c r="A254" s="8">
        <v>126</v>
      </c>
      <c r="B254" s="8">
        <v>252</v>
      </c>
      <c r="D254">
        <v>621.25677710843001</v>
      </c>
      <c r="E254">
        <v>272.48719879518001</v>
      </c>
      <c r="F254">
        <v>141.22539444027001</v>
      </c>
      <c r="G254">
        <v>117.5792637115</v>
      </c>
      <c r="I254" s="9">
        <f t="shared" si="26"/>
        <v>154.90793508368</v>
      </c>
      <c r="J254" s="9">
        <f t="shared" si="27"/>
        <v>480.03138266816001</v>
      </c>
      <c r="K254" s="9">
        <f t="shared" si="24"/>
        <v>154.90793508368</v>
      </c>
      <c r="L254" s="10">
        <f t="shared" si="21"/>
        <v>0.32270376620514835</v>
      </c>
      <c r="M254" s="10">
        <f t="shared" si="28"/>
        <v>0.36669592864323813</v>
      </c>
      <c r="P254" s="8">
        <f t="shared" si="29"/>
        <v>11.154598593065232</v>
      </c>
    </row>
    <row r="255" spans="1:16" x14ac:dyDescent="0.2">
      <c r="A255" s="8">
        <v>126.5</v>
      </c>
      <c r="B255" s="8">
        <v>253</v>
      </c>
      <c r="D255">
        <v>610.47438752784001</v>
      </c>
      <c r="E255">
        <v>267.48626577580001</v>
      </c>
      <c r="F255">
        <v>140.88730277987</v>
      </c>
      <c r="G255">
        <v>117.42073628851</v>
      </c>
      <c r="I255" s="9">
        <f t="shared" si="26"/>
        <v>150.06552948729001</v>
      </c>
      <c r="J255" s="9">
        <f t="shared" si="27"/>
        <v>469.58708474797004</v>
      </c>
      <c r="K255" s="9">
        <f t="shared" si="24"/>
        <v>150.06552948729001</v>
      </c>
      <c r="L255" s="10">
        <f t="shared" si="21"/>
        <v>0.31956911584957876</v>
      </c>
      <c r="M255" s="10">
        <f t="shared" si="28"/>
        <v>0.36373585036083556</v>
      </c>
      <c r="P255" s="8">
        <f t="shared" si="29"/>
        <v>10.257325709502291</v>
      </c>
    </row>
    <row r="256" spans="1:16" x14ac:dyDescent="0.2">
      <c r="A256" s="8">
        <v>127</v>
      </c>
      <c r="B256" s="8">
        <v>254</v>
      </c>
      <c r="D256">
        <v>617.22494432071005</v>
      </c>
      <c r="E256">
        <v>269.99406087602</v>
      </c>
      <c r="F256">
        <v>140.80916604057001</v>
      </c>
      <c r="G256">
        <v>117.55146506385999</v>
      </c>
      <c r="I256" s="9">
        <f t="shared" si="26"/>
        <v>152.44259581215999</v>
      </c>
      <c r="J256" s="9">
        <f t="shared" si="27"/>
        <v>476.41577828014005</v>
      </c>
      <c r="K256" s="9">
        <f t="shared" si="24"/>
        <v>152.44259581215999</v>
      </c>
      <c r="L256" s="10">
        <f t="shared" si="21"/>
        <v>0.31997805858252099</v>
      </c>
      <c r="M256" s="10">
        <f t="shared" si="28"/>
        <v>0.36431936516694485</v>
      </c>
      <c r="P256" s="8">
        <f t="shared" si="29"/>
        <v>10.434203468375074</v>
      </c>
    </row>
    <row r="257" spans="1:16" x14ac:dyDescent="0.2">
      <c r="A257" s="8">
        <v>127.5</v>
      </c>
      <c r="B257" s="8">
        <v>255</v>
      </c>
      <c r="D257">
        <v>618.99627143921998</v>
      </c>
      <c r="E257">
        <v>270.31170768084002</v>
      </c>
      <c r="F257">
        <v>140.84598046581999</v>
      </c>
      <c r="G257">
        <v>117.15702479338999</v>
      </c>
      <c r="I257" s="9">
        <f t="shared" si="26"/>
        <v>153.15468288745001</v>
      </c>
      <c r="J257" s="9">
        <f t="shared" si="27"/>
        <v>478.15029097339999</v>
      </c>
      <c r="K257" s="9">
        <f t="shared" si="24"/>
        <v>153.15468288745001</v>
      </c>
      <c r="L257" s="10">
        <f t="shared" si="21"/>
        <v>0.32030657677874375</v>
      </c>
      <c r="M257" s="10">
        <f t="shared" si="28"/>
        <v>0.36482245543633463</v>
      </c>
      <c r="P257" s="8">
        <f t="shared" si="29"/>
        <v>10.586702562534647</v>
      </c>
    </row>
    <row r="258" spans="1:16" x14ac:dyDescent="0.2">
      <c r="A258" s="8">
        <v>128</v>
      </c>
      <c r="B258" s="8">
        <v>256</v>
      </c>
      <c r="D258">
        <v>604.32214765101003</v>
      </c>
      <c r="E258">
        <v>267.75540641313</v>
      </c>
      <c r="F258">
        <v>141.12246431254999</v>
      </c>
      <c r="G258">
        <v>117.20435762584999</v>
      </c>
      <c r="I258" s="9">
        <f t="shared" si="26"/>
        <v>150.55104878728002</v>
      </c>
      <c r="J258" s="9">
        <f t="shared" si="27"/>
        <v>463.19968333846003</v>
      </c>
      <c r="K258" s="9">
        <f t="shared" si="24"/>
        <v>150.55104878728002</v>
      </c>
      <c r="L258" s="10">
        <f t="shared" ref="L258:L321" si="30">K258/J258</f>
        <v>0.32502407536680539</v>
      </c>
      <c r="M258" s="10">
        <f t="shared" si="28"/>
        <v>0.36971452609756328</v>
      </c>
      <c r="P258" s="8">
        <f t="shared" si="29"/>
        <v>12.069610083896377</v>
      </c>
    </row>
    <row r="259" spans="1:16" x14ac:dyDescent="0.2">
      <c r="A259" s="8">
        <v>128.5</v>
      </c>
      <c r="B259" s="8">
        <v>257</v>
      </c>
      <c r="D259">
        <v>615.06785980612005</v>
      </c>
      <c r="E259">
        <v>276.27442207308002</v>
      </c>
      <c r="F259">
        <v>140.72351615327</v>
      </c>
      <c r="G259">
        <v>117.32456799399</v>
      </c>
      <c r="I259" s="9">
        <f t="shared" si="26"/>
        <v>158.94985407909002</v>
      </c>
      <c r="J259" s="9">
        <f t="shared" si="27"/>
        <v>474.34434365285006</v>
      </c>
      <c r="K259" s="9">
        <f t="shared" ref="K259:K322" si="31">I259*1</f>
        <v>158.94985407909002</v>
      </c>
      <c r="L259" s="10">
        <f t="shared" si="30"/>
        <v>0.3350938115020885</v>
      </c>
      <c r="M259" s="10">
        <f t="shared" si="28"/>
        <v>0.3799588343060134</v>
      </c>
      <c r="P259" s="8">
        <f t="shared" si="29"/>
        <v>15.174913082451811</v>
      </c>
    </row>
    <row r="260" spans="1:16" x14ac:dyDescent="0.2">
      <c r="A260" s="8">
        <v>129</v>
      </c>
      <c r="B260" s="8">
        <v>258</v>
      </c>
      <c r="D260">
        <v>623.62788963460002</v>
      </c>
      <c r="E260">
        <v>280.11931394482002</v>
      </c>
      <c r="F260">
        <v>141.07588279488999</v>
      </c>
      <c r="G260">
        <v>117.35462058602999</v>
      </c>
      <c r="I260" s="9">
        <f t="shared" si="26"/>
        <v>162.76469335879003</v>
      </c>
      <c r="J260" s="9">
        <f t="shared" si="27"/>
        <v>482.55200683971003</v>
      </c>
      <c r="K260" s="9">
        <f t="shared" si="31"/>
        <v>162.76469335879003</v>
      </c>
      <c r="L260" s="10">
        <f t="shared" si="30"/>
        <v>0.3372997957769468</v>
      </c>
      <c r="M260" s="10">
        <f t="shared" si="28"/>
        <v>0.38233939065403877</v>
      </c>
      <c r="P260" s="8">
        <f t="shared" si="29"/>
        <v>15.896518545244867</v>
      </c>
    </row>
    <row r="261" spans="1:16" x14ac:dyDescent="0.2">
      <c r="A261" s="8">
        <v>129.5</v>
      </c>
      <c r="B261" s="8">
        <v>259</v>
      </c>
      <c r="D261">
        <v>633.32960477255995</v>
      </c>
      <c r="E261">
        <v>286.44444444444002</v>
      </c>
      <c r="F261">
        <v>141.06536438768001</v>
      </c>
      <c r="G261">
        <v>117.47633358377</v>
      </c>
      <c r="I261" s="9">
        <f t="shared" si="26"/>
        <v>168.96811086067004</v>
      </c>
      <c r="J261" s="9">
        <f t="shared" si="27"/>
        <v>492.26424038487994</v>
      </c>
      <c r="K261" s="9">
        <f t="shared" si="31"/>
        <v>168.96811086067004</v>
      </c>
      <c r="L261" s="10">
        <f t="shared" si="30"/>
        <v>0.34324677073549203</v>
      </c>
      <c r="M261" s="10">
        <f t="shared" si="28"/>
        <v>0.38846093768575102</v>
      </c>
      <c r="P261" s="8">
        <f t="shared" si="29"/>
        <v>17.752110740108172</v>
      </c>
    </row>
    <row r="262" spans="1:16" x14ac:dyDescent="0.2">
      <c r="A262" s="8">
        <v>130</v>
      </c>
      <c r="B262" s="8">
        <v>260</v>
      </c>
      <c r="D262">
        <v>620.74496644295004</v>
      </c>
      <c r="E262">
        <v>281.13870246085003</v>
      </c>
      <c r="F262">
        <v>140.96543951915999</v>
      </c>
      <c r="G262">
        <v>117.46431254696</v>
      </c>
      <c r="I262" s="9">
        <f t="shared" si="26"/>
        <v>163.67438991389002</v>
      </c>
      <c r="J262" s="9">
        <f t="shared" si="27"/>
        <v>479.77952692379006</v>
      </c>
      <c r="K262" s="9">
        <f t="shared" si="31"/>
        <v>163.67438991389002</v>
      </c>
      <c r="L262" s="10">
        <f t="shared" si="30"/>
        <v>0.34114500667280173</v>
      </c>
      <c r="M262" s="10">
        <f t="shared" si="28"/>
        <v>0.38653374569622773</v>
      </c>
      <c r="P262" s="8">
        <f t="shared" si="29"/>
        <v>17.167931218945164</v>
      </c>
    </row>
    <row r="263" spans="1:16" x14ac:dyDescent="0.2">
      <c r="A263" s="8">
        <v>130.5</v>
      </c>
      <c r="B263" s="8">
        <v>261</v>
      </c>
      <c r="D263">
        <v>638.08715251691001</v>
      </c>
      <c r="E263">
        <v>283.41848234410003</v>
      </c>
      <c r="F263">
        <v>140.92787377911</v>
      </c>
      <c r="G263">
        <v>117.51990984222</v>
      </c>
      <c r="I263" s="9">
        <f t="shared" si="26"/>
        <v>165.89857250188004</v>
      </c>
      <c r="J263" s="9">
        <f t="shared" si="27"/>
        <v>497.15927873780004</v>
      </c>
      <c r="K263" s="9">
        <f t="shared" si="31"/>
        <v>165.89857250188004</v>
      </c>
      <c r="L263" s="10">
        <f t="shared" si="30"/>
        <v>0.33369300261893398</v>
      </c>
      <c r="M263" s="10">
        <f t="shared" si="28"/>
        <v>0.37925631371552698</v>
      </c>
      <c r="P263" s="8">
        <f t="shared" si="29"/>
        <v>14.961961729193526</v>
      </c>
    </row>
    <row r="264" spans="1:16" x14ac:dyDescent="0.2">
      <c r="A264" s="8">
        <v>131</v>
      </c>
      <c r="B264" s="8">
        <v>262</v>
      </c>
      <c r="D264">
        <v>627.19008264463002</v>
      </c>
      <c r="E264">
        <v>278.29151014274998</v>
      </c>
      <c r="F264">
        <v>141.09316303531</v>
      </c>
      <c r="G264">
        <v>117.12997746056</v>
      </c>
      <c r="I264" s="9">
        <f t="shared" si="26"/>
        <v>161.16153268219</v>
      </c>
      <c r="J264" s="9">
        <f t="shared" si="27"/>
        <v>486.09691960932003</v>
      </c>
      <c r="K264" s="9">
        <f t="shared" si="31"/>
        <v>161.16153268219</v>
      </c>
      <c r="L264" s="10">
        <f t="shared" si="30"/>
        <v>0.33154197482205156</v>
      </c>
      <c r="M264" s="10">
        <f t="shared" si="28"/>
        <v>0.37727985799181157</v>
      </c>
      <c r="P264" s="8">
        <f t="shared" si="29"/>
        <v>14.362849152679777</v>
      </c>
    </row>
    <row r="265" spans="1:16" x14ac:dyDescent="0.2">
      <c r="A265" s="8">
        <v>131.5</v>
      </c>
      <c r="B265" s="8">
        <v>263</v>
      </c>
      <c r="D265">
        <v>620.68444778362004</v>
      </c>
      <c r="E265">
        <v>280.80015026296002</v>
      </c>
      <c r="F265">
        <v>140.85725018783</v>
      </c>
      <c r="G265">
        <v>117.35837716003</v>
      </c>
      <c r="I265" s="9">
        <f t="shared" si="26"/>
        <v>163.44177310293003</v>
      </c>
      <c r="J265" s="9">
        <f t="shared" si="27"/>
        <v>479.82719759579004</v>
      </c>
      <c r="K265" s="9">
        <f t="shared" si="31"/>
        <v>163.44177310293003</v>
      </c>
      <c r="L265" s="10">
        <f t="shared" si="30"/>
        <v>0.34062632114616931</v>
      </c>
      <c r="M265" s="10">
        <f t="shared" si="28"/>
        <v>0.38653877638909639</v>
      </c>
      <c r="P265" s="8">
        <f t="shared" si="29"/>
        <v>17.169456146283547</v>
      </c>
    </row>
    <row r="266" spans="1:16" x14ac:dyDescent="0.2">
      <c r="A266" s="8">
        <v>132</v>
      </c>
      <c r="B266" s="8">
        <v>264</v>
      </c>
      <c r="D266">
        <v>611.86401202104003</v>
      </c>
      <c r="E266">
        <v>283.39143501127</v>
      </c>
      <c r="F266">
        <v>140.71750563486</v>
      </c>
      <c r="G266">
        <v>117.02103681443</v>
      </c>
      <c r="I266" s="9">
        <f t="shared" si="26"/>
        <v>166.37039819684</v>
      </c>
      <c r="J266" s="9">
        <f t="shared" si="27"/>
        <v>471.14650638618002</v>
      </c>
      <c r="K266" s="9">
        <f t="shared" si="31"/>
        <v>166.37039819684</v>
      </c>
      <c r="L266" s="10">
        <f t="shared" si="30"/>
        <v>0.35311818286194147</v>
      </c>
      <c r="M266" s="10">
        <f t="shared" si="28"/>
        <v>0.39920521017803556</v>
      </c>
      <c r="P266" s="8">
        <f t="shared" si="29"/>
        <v>21.008965269344909</v>
      </c>
    </row>
    <row r="267" spans="1:16" x14ac:dyDescent="0.2">
      <c r="A267" s="8">
        <v>132.5</v>
      </c>
      <c r="B267" s="8">
        <v>265</v>
      </c>
      <c r="D267">
        <v>603.89105935386999</v>
      </c>
      <c r="E267">
        <v>281.41172051089001</v>
      </c>
      <c r="F267">
        <v>141.50112697220001</v>
      </c>
      <c r="G267">
        <v>117.46581517656</v>
      </c>
      <c r="I267" s="9">
        <f t="shared" si="26"/>
        <v>163.94590533433001</v>
      </c>
      <c r="J267" s="9">
        <f t="shared" si="27"/>
        <v>462.38993238166995</v>
      </c>
      <c r="K267" s="9">
        <f t="shared" si="31"/>
        <v>163.94590533433001</v>
      </c>
      <c r="L267" s="10">
        <f t="shared" si="30"/>
        <v>0.35456201325552295</v>
      </c>
      <c r="M267" s="10">
        <f t="shared" si="28"/>
        <v>0.40082361264478406</v>
      </c>
      <c r="P267" s="8">
        <f t="shared" si="29"/>
        <v>21.499543054647987</v>
      </c>
    </row>
    <row r="268" spans="1:16" x14ac:dyDescent="0.2">
      <c r="A268" s="8">
        <v>133</v>
      </c>
      <c r="B268" s="8">
        <v>266</v>
      </c>
      <c r="D268">
        <v>618.29827197596001</v>
      </c>
      <c r="E268">
        <v>285.88955672426999</v>
      </c>
      <c r="F268">
        <v>140.89331329826999</v>
      </c>
      <c r="G268">
        <v>116.89782118708</v>
      </c>
      <c r="I268" s="9">
        <f t="shared" si="26"/>
        <v>168.99173553718998</v>
      </c>
      <c r="J268" s="9">
        <f t="shared" si="27"/>
        <v>477.40495867769005</v>
      </c>
      <c r="K268" s="9">
        <f t="shared" si="31"/>
        <v>168.99173553718998</v>
      </c>
      <c r="L268" s="10">
        <f t="shared" si="30"/>
        <v>0.35397984973859731</v>
      </c>
      <c r="M268" s="10">
        <f t="shared" si="28"/>
        <v>0.40041602120102543</v>
      </c>
      <c r="P268" s="8">
        <f t="shared" si="29"/>
        <v>21.375992014720747</v>
      </c>
    </row>
    <row r="269" spans="1:16" x14ac:dyDescent="0.2">
      <c r="A269" s="8">
        <v>133.5</v>
      </c>
      <c r="B269" s="8">
        <v>267</v>
      </c>
      <c r="D269">
        <v>620.38166791885999</v>
      </c>
      <c r="E269">
        <v>285.49887302780002</v>
      </c>
      <c r="F269">
        <v>141.12096168295</v>
      </c>
      <c r="G269">
        <v>117.26521412472</v>
      </c>
      <c r="I269" s="9">
        <f t="shared" si="26"/>
        <v>168.23365890308003</v>
      </c>
      <c r="J269" s="9">
        <f t="shared" si="27"/>
        <v>479.26070623590999</v>
      </c>
      <c r="K269" s="9">
        <f t="shared" si="31"/>
        <v>168.23365890308003</v>
      </c>
      <c r="L269" s="10">
        <f t="shared" si="30"/>
        <v>0.35102744020969068</v>
      </c>
      <c r="M269" s="10">
        <f t="shared" si="28"/>
        <v>0.39763818374528581</v>
      </c>
      <c r="P269" s="8">
        <f t="shared" si="29"/>
        <v>20.533960829667901</v>
      </c>
    </row>
    <row r="270" spans="1:16" x14ac:dyDescent="0.2">
      <c r="A270" s="8">
        <v>134</v>
      </c>
      <c r="B270" s="8">
        <v>268</v>
      </c>
      <c r="D270">
        <v>626.94290007512996</v>
      </c>
      <c r="E270">
        <v>288.94064613072999</v>
      </c>
      <c r="F270">
        <v>140.31630353118001</v>
      </c>
      <c r="G270">
        <v>117.59128474831</v>
      </c>
      <c r="I270" s="9">
        <f t="shared" si="26"/>
        <v>171.34936138242</v>
      </c>
      <c r="J270" s="9">
        <f t="shared" si="27"/>
        <v>486.62659654394997</v>
      </c>
      <c r="K270" s="9">
        <f t="shared" si="31"/>
        <v>171.34936138242</v>
      </c>
      <c r="L270" s="10">
        <f t="shared" si="30"/>
        <v>0.3521167207040326</v>
      </c>
      <c r="M270" s="10">
        <f t="shared" si="28"/>
        <v>0.39890203631279475</v>
      </c>
      <c r="P270" s="8">
        <f t="shared" si="29"/>
        <v>20.917065778070391</v>
      </c>
    </row>
    <row r="271" spans="1:16" x14ac:dyDescent="0.2">
      <c r="A271" s="8">
        <v>134.5</v>
      </c>
      <c r="B271" s="8">
        <v>269</v>
      </c>
      <c r="D271">
        <v>620.20060105183995</v>
      </c>
      <c r="E271">
        <v>287.60030052591998</v>
      </c>
      <c r="F271">
        <v>140.91660405709999</v>
      </c>
      <c r="G271">
        <v>117.29075882795</v>
      </c>
      <c r="I271" s="9">
        <f t="shared" si="26"/>
        <v>170.30954169796996</v>
      </c>
      <c r="J271" s="9">
        <f t="shared" si="27"/>
        <v>479.28399699473994</v>
      </c>
      <c r="K271" s="9">
        <f t="shared" si="31"/>
        <v>170.30954169796996</v>
      </c>
      <c r="L271" s="10">
        <f t="shared" si="30"/>
        <v>0.35534159864686465</v>
      </c>
      <c r="M271" s="10">
        <f t="shared" si="28"/>
        <v>0.40230148632879387</v>
      </c>
      <c r="P271" s="8">
        <f t="shared" si="29"/>
        <v>21.947523092837031</v>
      </c>
    </row>
    <row r="272" spans="1:16" x14ac:dyDescent="0.2">
      <c r="A272" s="8">
        <v>135</v>
      </c>
      <c r="B272" s="8">
        <v>270</v>
      </c>
      <c r="D272">
        <v>605.19383921863005</v>
      </c>
      <c r="E272">
        <v>282.65514650639</v>
      </c>
      <c r="F272">
        <v>141.41247182570001</v>
      </c>
      <c r="G272">
        <v>117.35912847483</v>
      </c>
      <c r="I272" s="9">
        <f t="shared" si="26"/>
        <v>165.29601803155998</v>
      </c>
      <c r="J272" s="9">
        <f t="shared" si="27"/>
        <v>463.78136739293006</v>
      </c>
      <c r="K272" s="9">
        <f t="shared" si="31"/>
        <v>165.29601803155998</v>
      </c>
      <c r="L272" s="10">
        <f t="shared" si="30"/>
        <v>0.35640935503887122</v>
      </c>
      <c r="M272" s="10">
        <f t="shared" si="28"/>
        <v>0.40354381479396745</v>
      </c>
      <c r="P272" s="8">
        <f t="shared" si="29"/>
        <v>22.32410355386925</v>
      </c>
    </row>
    <row r="273" spans="1:16" x14ac:dyDescent="0.2">
      <c r="A273" s="8">
        <v>135.5</v>
      </c>
      <c r="B273" s="8">
        <v>271</v>
      </c>
      <c r="D273">
        <v>581.91573452647003</v>
      </c>
      <c r="E273">
        <v>280.60626398210002</v>
      </c>
      <c r="F273">
        <v>140.9984973704</v>
      </c>
      <c r="G273">
        <v>117.52742299022999</v>
      </c>
      <c r="I273" s="9">
        <f t="shared" si="26"/>
        <v>163.07884099187004</v>
      </c>
      <c r="J273" s="9">
        <f t="shared" si="27"/>
        <v>440.91723715607003</v>
      </c>
      <c r="K273" s="9">
        <f t="shared" si="31"/>
        <v>163.07884099187004</v>
      </c>
      <c r="L273" s="10">
        <f t="shared" si="30"/>
        <v>0.36986270267802107</v>
      </c>
      <c r="M273" s="10">
        <f t="shared" si="28"/>
        <v>0.41717173450628431</v>
      </c>
      <c r="P273" s="8">
        <f t="shared" si="29"/>
        <v>26.455062822726777</v>
      </c>
    </row>
    <row r="274" spans="1:16" x14ac:dyDescent="0.2">
      <c r="A274" s="8">
        <v>136</v>
      </c>
      <c r="B274" s="8">
        <v>272</v>
      </c>
      <c r="D274">
        <v>540.70096942580005</v>
      </c>
      <c r="E274">
        <v>260.79940343027999</v>
      </c>
      <c r="F274">
        <v>140.75582268970999</v>
      </c>
      <c r="G274">
        <v>117.50864012021</v>
      </c>
      <c r="I274" s="9">
        <f t="shared" si="26"/>
        <v>143.29076331006999</v>
      </c>
      <c r="J274" s="9">
        <f t="shared" si="27"/>
        <v>399.94514673609007</v>
      </c>
      <c r="K274" s="9">
        <f t="shared" si="31"/>
        <v>143.29076331006999</v>
      </c>
      <c r="L274" s="10">
        <f t="shared" si="30"/>
        <v>0.35827603980058442</v>
      </c>
      <c r="M274" s="10">
        <f t="shared" si="28"/>
        <v>0.40575964370201467</v>
      </c>
      <c r="P274" s="8">
        <f t="shared" si="29"/>
        <v>22.995776058486904</v>
      </c>
    </row>
    <row r="275" spans="1:16" x14ac:dyDescent="0.2">
      <c r="A275" s="8">
        <v>136.5</v>
      </c>
      <c r="B275" s="8">
        <v>273</v>
      </c>
      <c r="D275">
        <v>531.71812080536995</v>
      </c>
      <c r="E275">
        <v>256.56226696495003</v>
      </c>
      <c r="F275">
        <v>141.01652892562001</v>
      </c>
      <c r="G275">
        <v>117.29601803156</v>
      </c>
      <c r="I275" s="9">
        <f>E275-G275</f>
        <v>139.26624893339005</v>
      </c>
      <c r="J275" s="9">
        <f>D275-F275</f>
        <v>390.70159187974991</v>
      </c>
      <c r="K275" s="9">
        <f t="shared" si="31"/>
        <v>139.26624893339005</v>
      </c>
      <c r="L275" s="10">
        <f t="shared" si="30"/>
        <v>0.35645170592561443</v>
      </c>
      <c r="M275" s="10">
        <f>L275+ABS($N$2)*A275</f>
        <v>0.40410988190021169</v>
      </c>
      <c r="O275" s="11"/>
      <c r="P275" s="8">
        <f>(M275-$O$2)/$O$2*100</f>
        <v>22.49569248370581</v>
      </c>
    </row>
    <row r="276" spans="1:16" x14ac:dyDescent="0.2">
      <c r="A276" s="8">
        <v>137</v>
      </c>
      <c r="B276" s="8">
        <v>274</v>
      </c>
      <c r="D276">
        <v>524.02684563757998</v>
      </c>
      <c r="E276">
        <v>251.51081282625</v>
      </c>
      <c r="F276">
        <v>140.19759579263999</v>
      </c>
      <c r="G276">
        <v>117.09842223891999</v>
      </c>
      <c r="I276" s="9">
        <f t="shared" ref="I276:I291" si="32">E276-G276</f>
        <v>134.41239058733001</v>
      </c>
      <c r="J276" s="9">
        <f t="shared" ref="J276:J291" si="33">D276-F276</f>
        <v>383.82924984494002</v>
      </c>
      <c r="K276" s="9">
        <f t="shared" si="31"/>
        <v>134.41239058733001</v>
      </c>
      <c r="L276" s="10">
        <f t="shared" si="30"/>
        <v>0.35018798239485432</v>
      </c>
      <c r="M276" s="10">
        <f t="shared" ref="M276:M291" si="34">L276+ABS($N$2)*A276</f>
        <v>0.39802073044261865</v>
      </c>
      <c r="P276" s="8">
        <f t="shared" ref="P276:P291" si="35">(M276-$O$2)/$O$2*100</f>
        <v>20.649920187990926</v>
      </c>
    </row>
    <row r="277" spans="1:16" x14ac:dyDescent="0.2">
      <c r="A277" s="8">
        <v>137.5</v>
      </c>
      <c r="B277" s="8">
        <v>275</v>
      </c>
      <c r="D277">
        <v>568.75730337079005</v>
      </c>
      <c r="E277">
        <v>272.34007490636998</v>
      </c>
      <c r="F277">
        <v>140.54395191584999</v>
      </c>
      <c r="G277">
        <v>117.22990232908001</v>
      </c>
      <c r="I277" s="9">
        <f t="shared" si="32"/>
        <v>155.11017257728997</v>
      </c>
      <c r="J277" s="9">
        <f t="shared" si="33"/>
        <v>428.21335145494004</v>
      </c>
      <c r="K277" s="9">
        <f t="shared" si="31"/>
        <v>155.11017257728997</v>
      </c>
      <c r="L277" s="10">
        <f t="shared" si="30"/>
        <v>0.36222638096236914</v>
      </c>
      <c r="M277" s="10">
        <f t="shared" si="34"/>
        <v>0.41023370108330048</v>
      </c>
      <c r="N277" s="1"/>
      <c r="P277" s="8">
        <f t="shared" si="35"/>
        <v>24.351973423805905</v>
      </c>
    </row>
    <row r="278" spans="1:16" x14ac:dyDescent="0.2">
      <c r="A278" s="8">
        <v>138</v>
      </c>
      <c r="B278" s="8">
        <v>276</v>
      </c>
      <c r="D278">
        <v>589.97378277153996</v>
      </c>
      <c r="E278">
        <v>281.60074906366998</v>
      </c>
      <c r="F278">
        <v>140.63410969195999</v>
      </c>
      <c r="G278">
        <v>117.16153268219</v>
      </c>
      <c r="I278" s="9">
        <f t="shared" si="32"/>
        <v>164.43921638147998</v>
      </c>
      <c r="J278" s="9">
        <f t="shared" si="33"/>
        <v>449.33967307957994</v>
      </c>
      <c r="K278" s="9">
        <f t="shared" si="31"/>
        <v>164.43921638147998</v>
      </c>
      <c r="L278" s="10">
        <f t="shared" si="30"/>
        <v>0.36595748435584297</v>
      </c>
      <c r="M278" s="10">
        <f t="shared" si="34"/>
        <v>0.41413937654994132</v>
      </c>
      <c r="P278" s="8">
        <f t="shared" si="35"/>
        <v>25.53588018365329</v>
      </c>
    </row>
    <row r="279" spans="1:16" x14ac:dyDescent="0.2">
      <c r="A279" s="8">
        <v>138.5</v>
      </c>
      <c r="B279" s="8">
        <v>277</v>
      </c>
      <c r="D279">
        <v>599.82172284644003</v>
      </c>
      <c r="E279">
        <v>292.28913857677998</v>
      </c>
      <c r="F279">
        <v>140.11945905333999</v>
      </c>
      <c r="G279">
        <v>117.27047332833</v>
      </c>
      <c r="I279" s="9">
        <f t="shared" si="32"/>
        <v>175.01866524844996</v>
      </c>
      <c r="J279" s="9">
        <f t="shared" si="33"/>
        <v>459.70226379310003</v>
      </c>
      <c r="K279" s="9">
        <f t="shared" si="31"/>
        <v>175.01866524844996</v>
      </c>
      <c r="L279" s="10">
        <f t="shared" si="30"/>
        <v>0.38072178240832266</v>
      </c>
      <c r="M279" s="10">
        <f t="shared" si="34"/>
        <v>0.42907824667558803</v>
      </c>
      <c r="P279" s="8">
        <f t="shared" si="35"/>
        <v>30.064220921970385</v>
      </c>
    </row>
    <row r="280" spans="1:16" x14ac:dyDescent="0.2">
      <c r="A280" s="8">
        <v>139</v>
      </c>
      <c r="B280" s="8">
        <v>278</v>
      </c>
      <c r="D280">
        <v>617.29104477611997</v>
      </c>
      <c r="E280">
        <v>291.83805970149001</v>
      </c>
      <c r="F280">
        <v>140.12246431254999</v>
      </c>
      <c r="G280">
        <v>117.29151014275</v>
      </c>
      <c r="I280" s="9">
        <f t="shared" si="32"/>
        <v>174.54654955874003</v>
      </c>
      <c r="J280" s="9">
        <f t="shared" si="33"/>
        <v>477.16858046356998</v>
      </c>
      <c r="K280" s="9">
        <f t="shared" si="31"/>
        <v>174.54654955874003</v>
      </c>
      <c r="L280" s="10">
        <f t="shared" si="30"/>
        <v>0.3657964013245964</v>
      </c>
      <c r="M280" s="10">
        <f t="shared" si="34"/>
        <v>0.41432743766502877</v>
      </c>
      <c r="P280" s="8">
        <f t="shared" si="35"/>
        <v>25.592886155429024</v>
      </c>
    </row>
    <row r="281" spans="1:16" x14ac:dyDescent="0.2">
      <c r="A281" s="8">
        <v>139.5</v>
      </c>
      <c r="B281" s="8">
        <v>279</v>
      </c>
      <c r="D281">
        <v>608.53582089552003</v>
      </c>
      <c r="E281">
        <v>286.46417910448002</v>
      </c>
      <c r="F281">
        <v>140.61607813673999</v>
      </c>
      <c r="G281">
        <v>117.23365890308</v>
      </c>
      <c r="I281" s="9">
        <f t="shared" si="32"/>
        <v>169.23052020140003</v>
      </c>
      <c r="J281" s="9">
        <f t="shared" si="33"/>
        <v>467.91974275878005</v>
      </c>
      <c r="K281" s="9">
        <f t="shared" si="31"/>
        <v>169.23052020140003</v>
      </c>
      <c r="L281" s="10">
        <f t="shared" si="30"/>
        <v>0.36166569763362388</v>
      </c>
      <c r="M281" s="10">
        <f t="shared" si="34"/>
        <v>0.41037130604722333</v>
      </c>
      <c r="P281" s="8">
        <f t="shared" si="35"/>
        <v>24.393684889176821</v>
      </c>
    </row>
    <row r="282" spans="1:16" x14ac:dyDescent="0.2">
      <c r="A282" s="8">
        <v>140</v>
      </c>
      <c r="B282" s="8">
        <v>280</v>
      </c>
      <c r="D282">
        <v>576.51567164179005</v>
      </c>
      <c r="E282">
        <v>273.98358208955</v>
      </c>
      <c r="F282">
        <v>140.75432006010999</v>
      </c>
      <c r="G282">
        <v>117.19909842224</v>
      </c>
      <c r="I282" s="9">
        <f t="shared" si="32"/>
        <v>156.78448366730998</v>
      </c>
      <c r="J282" s="9">
        <f t="shared" si="33"/>
        <v>435.76135158168006</v>
      </c>
      <c r="K282" s="9">
        <f t="shared" si="31"/>
        <v>156.78448366730998</v>
      </c>
      <c r="L282" s="10">
        <f t="shared" si="30"/>
        <v>0.35979437620667915</v>
      </c>
      <c r="M282" s="10">
        <f t="shared" si="34"/>
        <v>0.4086745566934456</v>
      </c>
      <c r="P282" s="8">
        <f t="shared" si="35"/>
        <v>23.879358226129249</v>
      </c>
    </row>
    <row r="283" spans="1:16" x14ac:dyDescent="0.2">
      <c r="A283" s="8">
        <v>140.5</v>
      </c>
      <c r="B283" s="8">
        <v>281</v>
      </c>
      <c r="D283">
        <v>582.06492537313</v>
      </c>
      <c r="E283">
        <v>275.39925373134002</v>
      </c>
      <c r="F283">
        <v>140.94139744552999</v>
      </c>
      <c r="G283">
        <v>117.15777610819001</v>
      </c>
      <c r="I283" s="9">
        <f t="shared" si="32"/>
        <v>158.24147762315002</v>
      </c>
      <c r="J283" s="9">
        <f t="shared" si="33"/>
        <v>441.12352792759998</v>
      </c>
      <c r="K283" s="9">
        <f t="shared" si="31"/>
        <v>158.24147762315002</v>
      </c>
      <c r="L283" s="10">
        <f t="shared" si="30"/>
        <v>0.3587237306669383</v>
      </c>
      <c r="M283" s="10">
        <f t="shared" si="34"/>
        <v>0.40777848322687177</v>
      </c>
      <c r="P283" s="8">
        <f t="shared" si="35"/>
        <v>23.6077362126113</v>
      </c>
    </row>
    <row r="284" spans="1:16" x14ac:dyDescent="0.2">
      <c r="A284" s="8">
        <v>141</v>
      </c>
      <c r="B284" s="8">
        <v>282</v>
      </c>
      <c r="D284">
        <v>579.60223880597005</v>
      </c>
      <c r="E284">
        <v>277.68208955223997</v>
      </c>
      <c r="F284">
        <v>140.93313298272</v>
      </c>
      <c r="G284">
        <v>116.84072126221</v>
      </c>
      <c r="I284" s="9">
        <f t="shared" si="32"/>
        <v>160.84136829002998</v>
      </c>
      <c r="J284" s="9">
        <f t="shared" si="33"/>
        <v>438.66910582325005</v>
      </c>
      <c r="K284" s="9">
        <f t="shared" si="31"/>
        <v>160.84136829002998</v>
      </c>
      <c r="L284" s="10">
        <f t="shared" si="30"/>
        <v>0.36665761539823755</v>
      </c>
      <c r="M284" s="10">
        <f t="shared" si="34"/>
        <v>0.41588694003133803</v>
      </c>
      <c r="P284" s="8">
        <f t="shared" si="35"/>
        <v>26.065609864616125</v>
      </c>
    </row>
    <row r="285" spans="1:16" x14ac:dyDescent="0.2">
      <c r="A285" s="8">
        <v>141.5</v>
      </c>
      <c r="B285" s="8">
        <v>283</v>
      </c>
      <c r="D285">
        <v>602.29367469880003</v>
      </c>
      <c r="E285">
        <v>286.83433734940002</v>
      </c>
      <c r="F285">
        <v>140.74229902329</v>
      </c>
      <c r="G285">
        <v>116.98121712998</v>
      </c>
      <c r="I285" s="9">
        <f t="shared" si="32"/>
        <v>169.85312021942002</v>
      </c>
      <c r="J285" s="9">
        <f t="shared" si="33"/>
        <v>461.55137567551003</v>
      </c>
      <c r="K285" s="9">
        <f t="shared" si="31"/>
        <v>169.85312021942002</v>
      </c>
      <c r="L285" s="10">
        <f t="shared" si="30"/>
        <v>0.3680047968025858</v>
      </c>
      <c r="M285" s="10">
        <f t="shared" si="34"/>
        <v>0.41740869350885335</v>
      </c>
      <c r="P285" s="8">
        <f t="shared" si="35"/>
        <v>26.526890952673643</v>
      </c>
    </row>
    <row r="286" spans="1:16" x14ac:dyDescent="0.2">
      <c r="A286" s="8">
        <v>142</v>
      </c>
      <c r="B286" s="8">
        <v>284</v>
      </c>
      <c r="D286">
        <v>630.39156626505996</v>
      </c>
      <c r="E286">
        <v>299.76731927711</v>
      </c>
      <c r="F286">
        <v>140.28625093913999</v>
      </c>
      <c r="G286">
        <v>117.61607813674</v>
      </c>
      <c r="I286" s="9">
        <f t="shared" si="32"/>
        <v>182.15124114037002</v>
      </c>
      <c r="J286" s="9">
        <f t="shared" si="33"/>
        <v>490.10531532591995</v>
      </c>
      <c r="K286" s="9">
        <f t="shared" si="31"/>
        <v>182.15124114037002</v>
      </c>
      <c r="L286" s="10">
        <f t="shared" si="30"/>
        <v>0.37165734678727058</v>
      </c>
      <c r="M286" s="10">
        <f t="shared" si="34"/>
        <v>0.42123581556670514</v>
      </c>
      <c r="P286" s="8">
        <f t="shared" si="35"/>
        <v>27.686986232927108</v>
      </c>
    </row>
    <row r="287" spans="1:16" x14ac:dyDescent="0.2">
      <c r="A287" s="8">
        <v>142.5</v>
      </c>
      <c r="B287" s="8">
        <v>285</v>
      </c>
      <c r="D287">
        <v>631.40799396681996</v>
      </c>
      <c r="E287">
        <v>299.59728506787002</v>
      </c>
      <c r="F287">
        <v>139.99173553719001</v>
      </c>
      <c r="G287">
        <v>117.04282494365</v>
      </c>
      <c r="I287" s="9">
        <f t="shared" si="32"/>
        <v>182.55446012422001</v>
      </c>
      <c r="J287" s="9">
        <f t="shared" si="33"/>
        <v>491.41625842962992</v>
      </c>
      <c r="K287" s="9">
        <f t="shared" si="31"/>
        <v>182.55446012422001</v>
      </c>
      <c r="L287" s="10">
        <f t="shared" si="30"/>
        <v>0.37148640687548912</v>
      </c>
      <c r="M287" s="10">
        <f t="shared" si="34"/>
        <v>0.42123944772809069</v>
      </c>
      <c r="P287" s="8">
        <f t="shared" si="35"/>
        <v>27.688087230809277</v>
      </c>
    </row>
    <row r="288" spans="1:16" x14ac:dyDescent="0.2">
      <c r="A288" s="8">
        <v>143</v>
      </c>
      <c r="B288" s="8">
        <v>286</v>
      </c>
      <c r="D288">
        <v>597.15686274510006</v>
      </c>
      <c r="E288">
        <v>283.35143288084998</v>
      </c>
      <c r="F288">
        <v>139.85424492863001</v>
      </c>
      <c r="G288">
        <v>117.18707738542</v>
      </c>
      <c r="I288" s="9">
        <f t="shared" si="32"/>
        <v>166.16435549542999</v>
      </c>
      <c r="J288" s="9">
        <f t="shared" si="33"/>
        <v>457.30261781647005</v>
      </c>
      <c r="K288" s="9">
        <f t="shared" si="31"/>
        <v>166.16435549542999</v>
      </c>
      <c r="L288" s="10">
        <f t="shared" si="30"/>
        <v>0.36335754273358867</v>
      </c>
      <c r="M288" s="10">
        <f t="shared" si="34"/>
        <v>0.41328515565935725</v>
      </c>
      <c r="P288" s="8">
        <f t="shared" si="35"/>
        <v>25.276944720273605</v>
      </c>
    </row>
    <row r="289" spans="1:16" x14ac:dyDescent="0.2">
      <c r="A289" s="8">
        <v>143.5</v>
      </c>
      <c r="B289" s="8">
        <v>287</v>
      </c>
      <c r="D289">
        <v>552.40391861341004</v>
      </c>
      <c r="E289">
        <v>267.48982667670998</v>
      </c>
      <c r="F289">
        <v>140.42599549210999</v>
      </c>
      <c r="G289">
        <v>117.35837716003</v>
      </c>
      <c r="I289" s="9">
        <f t="shared" si="32"/>
        <v>150.13144951667999</v>
      </c>
      <c r="J289" s="9">
        <f t="shared" si="33"/>
        <v>411.97792312130002</v>
      </c>
      <c r="K289" s="9">
        <f t="shared" si="31"/>
        <v>150.13144951667999</v>
      </c>
      <c r="L289" s="10">
        <f t="shared" si="30"/>
        <v>0.36441624924759936</v>
      </c>
      <c r="M289" s="10">
        <f t="shared" si="34"/>
        <v>0.41451843424653495</v>
      </c>
      <c r="P289" s="8">
        <f t="shared" si="35"/>
        <v>25.650781939624164</v>
      </c>
    </row>
    <row r="290" spans="1:16" x14ac:dyDescent="0.2">
      <c r="A290" s="8">
        <v>144</v>
      </c>
      <c r="B290" s="8">
        <v>288</v>
      </c>
      <c r="D290">
        <v>520.39939713640001</v>
      </c>
      <c r="E290">
        <v>254.69178598342</v>
      </c>
      <c r="F290">
        <v>140.50563486101001</v>
      </c>
      <c r="G290">
        <v>117.2464312547</v>
      </c>
      <c r="I290" s="9">
        <f t="shared" si="32"/>
        <v>137.44535472872002</v>
      </c>
      <c r="J290" s="9">
        <f t="shared" si="33"/>
        <v>379.89376227539003</v>
      </c>
      <c r="K290" s="9">
        <f t="shared" si="31"/>
        <v>137.44535472872002</v>
      </c>
      <c r="L290" s="10">
        <f t="shared" si="30"/>
        <v>0.36179945126101876</v>
      </c>
      <c r="M290" s="10">
        <f t="shared" si="34"/>
        <v>0.41207620833312142</v>
      </c>
      <c r="P290" s="8">
        <f t="shared" si="35"/>
        <v>24.910482907443814</v>
      </c>
    </row>
    <row r="291" spans="1:16" x14ac:dyDescent="0.2">
      <c r="A291" s="8">
        <v>144.5</v>
      </c>
      <c r="B291" s="8">
        <v>289</v>
      </c>
      <c r="D291">
        <v>532.05108940646005</v>
      </c>
      <c r="E291">
        <v>263.87002253944001</v>
      </c>
      <c r="F291">
        <v>140.38016528925999</v>
      </c>
      <c r="G291">
        <v>117.30803906836999</v>
      </c>
      <c r="I291" s="9">
        <f t="shared" si="32"/>
        <v>146.56198347107002</v>
      </c>
      <c r="J291" s="9">
        <f t="shared" si="33"/>
        <v>391.67092411720006</v>
      </c>
      <c r="K291" s="9">
        <f t="shared" si="31"/>
        <v>146.56198347107002</v>
      </c>
      <c r="L291" s="10">
        <f t="shared" si="30"/>
        <v>0.37419674131137226</v>
      </c>
      <c r="M291" s="10">
        <f t="shared" si="34"/>
        <v>0.42464807045664194</v>
      </c>
      <c r="P291" s="8">
        <f t="shared" si="35"/>
        <v>28.721325021447342</v>
      </c>
    </row>
    <row r="292" spans="1:16" x14ac:dyDescent="0.2">
      <c r="A292" s="8">
        <v>145</v>
      </c>
      <c r="B292" s="8">
        <v>290</v>
      </c>
      <c r="D292">
        <v>546.28399699474005</v>
      </c>
      <c r="E292">
        <v>268.64763335838001</v>
      </c>
      <c r="F292">
        <v>140.29000751314999</v>
      </c>
      <c r="G292">
        <v>117.10894064612999</v>
      </c>
      <c r="I292" s="9">
        <f>E292-G292</f>
        <v>151.53869271225</v>
      </c>
      <c r="J292" s="9">
        <f>D292-F292</f>
        <v>405.99398948159006</v>
      </c>
      <c r="K292" s="9">
        <f t="shared" si="31"/>
        <v>151.53869271225</v>
      </c>
      <c r="L292" s="10">
        <f t="shared" si="30"/>
        <v>0.37325353733868905</v>
      </c>
      <c r="M292" s="10">
        <f>L292+ABS($N$2)*A292</f>
        <v>0.42387943855712573</v>
      </c>
      <c r="O292" s="11"/>
      <c r="P292" s="8">
        <f>(M292-$O$2)/$O$2*100</f>
        <v>28.488333696529551</v>
      </c>
    </row>
    <row r="293" spans="1:16" x14ac:dyDescent="0.2">
      <c r="A293" s="8">
        <v>145.5</v>
      </c>
      <c r="B293" s="8">
        <v>291</v>
      </c>
      <c r="D293">
        <v>541.26070623590999</v>
      </c>
      <c r="E293">
        <v>268.11645379414</v>
      </c>
      <c r="F293">
        <v>140.12847483095001</v>
      </c>
      <c r="G293">
        <v>117.28249436514</v>
      </c>
      <c r="I293" s="9">
        <f t="shared" ref="I293:I301" si="36">E293-G293</f>
        <v>150.833959429</v>
      </c>
      <c r="J293" s="9">
        <f t="shared" ref="J293:J301" si="37">D293-F293</f>
        <v>401.13223140495995</v>
      </c>
      <c r="K293" s="9">
        <f t="shared" si="31"/>
        <v>150.833959429</v>
      </c>
      <c r="L293" s="10">
        <f t="shared" si="30"/>
        <v>0.37602054290353631</v>
      </c>
      <c r="M293" s="10">
        <f t="shared" ref="M293:M301" si="38">L293+ABS($N$2)*A293</f>
        <v>0.42682101619514001</v>
      </c>
      <c r="P293" s="8">
        <f t="shared" ref="P293:P301" si="39">(M293-$O$2)/$O$2*100</f>
        <v>29.379998577548523</v>
      </c>
    </row>
    <row r="294" spans="1:16" x14ac:dyDescent="0.2">
      <c r="A294" s="8">
        <v>146</v>
      </c>
      <c r="B294" s="8">
        <v>292</v>
      </c>
      <c r="D294">
        <v>566.43951915852995</v>
      </c>
      <c r="E294">
        <v>278.67768595041002</v>
      </c>
      <c r="F294">
        <v>140.43951915853</v>
      </c>
      <c r="G294">
        <v>117.26746806912</v>
      </c>
      <c r="I294" s="9">
        <f t="shared" si="36"/>
        <v>161.41021788129001</v>
      </c>
      <c r="J294" s="9">
        <f t="shared" si="37"/>
        <v>425.99999999999994</v>
      </c>
      <c r="K294" s="9">
        <f t="shared" si="31"/>
        <v>161.41021788129001</v>
      </c>
      <c r="L294" s="10">
        <f t="shared" si="30"/>
        <v>0.37889722507345075</v>
      </c>
      <c r="M294" s="10">
        <f t="shared" si="38"/>
        <v>0.42987227043822146</v>
      </c>
      <c r="N294" s="1"/>
      <c r="P294" s="8">
        <f t="shared" si="39"/>
        <v>30.304909148140315</v>
      </c>
    </row>
    <row r="295" spans="1:16" x14ac:dyDescent="0.2">
      <c r="A295" s="8">
        <v>146.5</v>
      </c>
      <c r="B295" s="8">
        <v>293</v>
      </c>
      <c r="D295">
        <v>557.54545454545996</v>
      </c>
      <c r="E295">
        <v>274.69421487603</v>
      </c>
      <c r="F295">
        <v>140.32757325319</v>
      </c>
      <c r="G295">
        <v>117.13148009016</v>
      </c>
      <c r="I295" s="9">
        <f t="shared" si="36"/>
        <v>157.56273478587002</v>
      </c>
      <c r="J295" s="9">
        <f t="shared" si="37"/>
        <v>417.21788129226996</v>
      </c>
      <c r="K295" s="9">
        <f t="shared" si="31"/>
        <v>157.56273478587002</v>
      </c>
      <c r="L295" s="10">
        <f t="shared" si="30"/>
        <v>0.37765096332363085</v>
      </c>
      <c r="M295" s="10">
        <f t="shared" si="38"/>
        <v>0.42880058076156857</v>
      </c>
      <c r="P295" s="8">
        <f t="shared" si="39"/>
        <v>29.980053521121398</v>
      </c>
    </row>
    <row r="296" spans="1:16" x14ac:dyDescent="0.2">
      <c r="A296" s="8">
        <v>147</v>
      </c>
      <c r="B296" s="8">
        <v>294</v>
      </c>
      <c r="D296">
        <v>547.27573253192998</v>
      </c>
      <c r="E296">
        <v>272.25544703230997</v>
      </c>
      <c r="F296">
        <v>140.00300525919999</v>
      </c>
      <c r="G296">
        <v>117.17205108941</v>
      </c>
      <c r="I296" s="9">
        <f t="shared" si="36"/>
        <v>155.08339594289998</v>
      </c>
      <c r="J296" s="9">
        <f t="shared" si="37"/>
        <v>407.27272727272998</v>
      </c>
      <c r="K296" s="9">
        <f t="shared" si="31"/>
        <v>155.08339594289998</v>
      </c>
      <c r="L296" s="10">
        <f t="shared" si="30"/>
        <v>0.38078512396693937</v>
      </c>
      <c r="M296" s="10">
        <f t="shared" si="38"/>
        <v>0.43210931347804415</v>
      </c>
      <c r="P296" s="8">
        <f t="shared" si="39"/>
        <v>30.98301218039084</v>
      </c>
    </row>
    <row r="297" spans="1:16" x14ac:dyDescent="0.2">
      <c r="A297" s="8">
        <v>147.5</v>
      </c>
      <c r="B297" s="8">
        <v>295</v>
      </c>
      <c r="D297">
        <v>559.83846731781</v>
      </c>
      <c r="E297">
        <v>276.30728775356999</v>
      </c>
      <c r="F297">
        <v>140.08189331329999</v>
      </c>
      <c r="G297">
        <v>117.35161532682</v>
      </c>
      <c r="I297" s="9">
        <f t="shared" si="36"/>
        <v>158.95567242675</v>
      </c>
      <c r="J297" s="9">
        <f t="shared" si="37"/>
        <v>419.75657400451001</v>
      </c>
      <c r="K297" s="9">
        <f t="shared" si="31"/>
        <v>158.95567242675</v>
      </c>
      <c r="L297" s="10">
        <f t="shared" si="30"/>
        <v>0.37868536735541902</v>
      </c>
      <c r="M297" s="10">
        <f t="shared" si="38"/>
        <v>0.43018412893969082</v>
      </c>
      <c r="P297" s="8">
        <f t="shared" si="39"/>
        <v>30.399441167290131</v>
      </c>
    </row>
    <row r="298" spans="1:16" x14ac:dyDescent="0.2">
      <c r="A298" s="8">
        <v>148</v>
      </c>
      <c r="B298" s="8">
        <v>296</v>
      </c>
      <c r="D298">
        <v>558.33884297521001</v>
      </c>
      <c r="E298">
        <v>277.65740045079002</v>
      </c>
      <c r="F298">
        <v>140.71450037566001</v>
      </c>
      <c r="G298">
        <v>117.05860255447</v>
      </c>
      <c r="I298" s="9">
        <f t="shared" si="36"/>
        <v>160.59879789632004</v>
      </c>
      <c r="J298" s="9">
        <f t="shared" si="37"/>
        <v>417.62434259955</v>
      </c>
      <c r="K298" s="9">
        <f t="shared" si="31"/>
        <v>160.59879789632004</v>
      </c>
      <c r="L298" s="10">
        <f t="shared" si="30"/>
        <v>0.38455324921113226</v>
      </c>
      <c r="M298" s="10">
        <f t="shared" si="38"/>
        <v>0.43622658286857108</v>
      </c>
      <c r="P298" s="8">
        <f t="shared" si="39"/>
        <v>32.231058287956955</v>
      </c>
    </row>
    <row r="299" spans="1:16" x14ac:dyDescent="0.2">
      <c r="A299" s="8">
        <v>148.5</v>
      </c>
      <c r="B299" s="8">
        <v>297</v>
      </c>
      <c r="D299">
        <v>567.21412471826</v>
      </c>
      <c r="E299">
        <v>279.57250187828998</v>
      </c>
      <c r="F299">
        <v>140.89782118708001</v>
      </c>
      <c r="G299">
        <v>116.97445529677</v>
      </c>
      <c r="I299" s="9">
        <f t="shared" si="36"/>
        <v>162.59804658151998</v>
      </c>
      <c r="J299" s="9">
        <f t="shared" si="37"/>
        <v>426.31630353117998</v>
      </c>
      <c r="K299" s="9">
        <f t="shared" si="31"/>
        <v>162.59804658151998</v>
      </c>
      <c r="L299" s="10">
        <f t="shared" si="30"/>
        <v>0.3814023654144108</v>
      </c>
      <c r="M299" s="10">
        <f t="shared" si="38"/>
        <v>0.43325027114501663</v>
      </c>
      <c r="P299" s="8">
        <f t="shared" si="39"/>
        <v>31.328864647183273</v>
      </c>
    </row>
    <row r="300" spans="1:16" x14ac:dyDescent="0.2">
      <c r="A300" s="8">
        <v>149</v>
      </c>
      <c r="B300" s="8">
        <v>298</v>
      </c>
      <c r="D300">
        <v>578.88730277986997</v>
      </c>
      <c r="E300">
        <v>288.46130728775</v>
      </c>
      <c r="F300">
        <v>140.72877535687999</v>
      </c>
      <c r="G300">
        <v>117.0803906837</v>
      </c>
      <c r="I300" s="9">
        <f t="shared" si="36"/>
        <v>171.38091660405001</v>
      </c>
      <c r="J300" s="9">
        <f t="shared" si="37"/>
        <v>438.15852742299001</v>
      </c>
      <c r="K300" s="9">
        <f t="shared" si="31"/>
        <v>171.38091660405001</v>
      </c>
      <c r="L300" s="10">
        <f t="shared" si="30"/>
        <v>0.39113906469427695</v>
      </c>
      <c r="M300" s="10">
        <f t="shared" si="38"/>
        <v>0.44316154249804984</v>
      </c>
      <c r="P300" s="8">
        <f t="shared" si="39"/>
        <v>34.333215944099884</v>
      </c>
    </row>
    <row r="301" spans="1:16" x14ac:dyDescent="0.2">
      <c r="A301" s="8">
        <v>149.5</v>
      </c>
      <c r="B301" s="8">
        <v>299</v>
      </c>
      <c r="D301">
        <v>574.37134283571004</v>
      </c>
      <c r="E301">
        <v>287.55288822206001</v>
      </c>
      <c r="F301">
        <v>140.54921111946001</v>
      </c>
      <c r="G301">
        <v>117.03756574005</v>
      </c>
      <c r="I301" s="9">
        <f t="shared" si="36"/>
        <v>170.51532248200999</v>
      </c>
      <c r="J301" s="9">
        <f t="shared" si="37"/>
        <v>433.82213171625006</v>
      </c>
      <c r="K301" s="9">
        <f t="shared" si="31"/>
        <v>170.51532248200999</v>
      </c>
      <c r="L301" s="10">
        <f t="shared" si="30"/>
        <v>0.39305353511456836</v>
      </c>
      <c r="M301" s="10">
        <f t="shared" si="38"/>
        <v>0.44525058499150827</v>
      </c>
      <c r="P301" s="8">
        <f t="shared" si="39"/>
        <v>34.966456353022295</v>
      </c>
    </row>
    <row r="302" spans="1:16" x14ac:dyDescent="0.2">
      <c r="A302" s="8">
        <v>150</v>
      </c>
      <c r="B302" s="8">
        <v>300</v>
      </c>
      <c r="D302">
        <v>588.97524381095002</v>
      </c>
      <c r="E302">
        <v>297.85671417855002</v>
      </c>
      <c r="F302">
        <v>140.65514650639</v>
      </c>
      <c r="G302">
        <v>117.13298271975999</v>
      </c>
      <c r="I302" s="9">
        <f>E302-G302</f>
        <v>180.72373145879004</v>
      </c>
      <c r="J302" s="9">
        <f>D302-F302</f>
        <v>448.32009730456002</v>
      </c>
      <c r="K302" s="9">
        <f t="shared" si="31"/>
        <v>180.72373145879004</v>
      </c>
      <c r="L302" s="10">
        <f t="shared" si="30"/>
        <v>0.40311316076472453</v>
      </c>
      <c r="M302" s="10">
        <f>L302+ABS($N$2)*A302</f>
        <v>0.45548478271483145</v>
      </c>
      <c r="O302" s="11"/>
      <c r="P302" s="8">
        <f>(M302-$O$2)/$O$2*100</f>
        <v>38.068694613662515</v>
      </c>
    </row>
    <row r="303" spans="1:16" x14ac:dyDescent="0.2">
      <c r="A303" s="8">
        <v>150.5</v>
      </c>
      <c r="B303" s="8">
        <v>301</v>
      </c>
      <c r="D303">
        <v>603.97032640949999</v>
      </c>
      <c r="E303">
        <v>303.58902077150998</v>
      </c>
      <c r="F303">
        <v>140.25845229151</v>
      </c>
      <c r="G303">
        <v>117.30879038317001</v>
      </c>
      <c r="I303" s="9">
        <f t="shared" ref="I303:I309" si="40">E303-G303</f>
        <v>186.28023038833999</v>
      </c>
      <c r="J303" s="9">
        <f t="shared" ref="J303:J309" si="41">D303-F303</f>
        <v>463.71187411798996</v>
      </c>
      <c r="K303" s="9">
        <f t="shared" si="31"/>
        <v>186.28023038833999</v>
      </c>
      <c r="L303" s="10">
        <f t="shared" si="30"/>
        <v>0.40171546338479486</v>
      </c>
      <c r="M303" s="10">
        <f t="shared" ref="M303:M309" si="42">L303+ABS($N$2)*A303</f>
        <v>0.45426165740806879</v>
      </c>
      <c r="P303" s="8">
        <f t="shared" ref="P303:P309" si="43">(M303-$O$2)/$O$2*100</f>
        <v>37.69793510453664</v>
      </c>
    </row>
    <row r="304" spans="1:16" x14ac:dyDescent="0.2">
      <c r="A304" s="8">
        <v>151</v>
      </c>
      <c r="B304" s="8">
        <v>302</v>
      </c>
      <c r="D304">
        <v>603.21513353115995</v>
      </c>
      <c r="E304">
        <v>302.91839762610999</v>
      </c>
      <c r="F304">
        <v>140.72051089407</v>
      </c>
      <c r="G304">
        <v>116.9120961683</v>
      </c>
      <c r="I304" s="9">
        <f t="shared" si="40"/>
        <v>186.00630145781</v>
      </c>
      <c r="J304" s="9">
        <f t="shared" si="41"/>
        <v>462.49462263708995</v>
      </c>
      <c r="K304" s="9">
        <f t="shared" si="31"/>
        <v>186.00630145781</v>
      </c>
      <c r="L304" s="10">
        <f t="shared" si="30"/>
        <v>0.40218046297970761</v>
      </c>
      <c r="M304" s="10">
        <f t="shared" si="42"/>
        <v>0.45490122907614855</v>
      </c>
      <c r="N304" s="1"/>
      <c r="P304" s="8">
        <f t="shared" si="43"/>
        <v>37.891805083676964</v>
      </c>
    </row>
    <row r="305" spans="1:16" x14ac:dyDescent="0.2">
      <c r="A305" s="8">
        <v>151.5</v>
      </c>
      <c r="B305" s="8">
        <v>303</v>
      </c>
      <c r="D305">
        <v>571.42210682492998</v>
      </c>
      <c r="E305">
        <v>283.21142433234002</v>
      </c>
      <c r="F305">
        <v>140.71224643126001</v>
      </c>
      <c r="G305">
        <v>117.12697220135</v>
      </c>
      <c r="I305" s="9">
        <f t="shared" si="40"/>
        <v>166.08445213099003</v>
      </c>
      <c r="J305" s="9">
        <f t="shared" si="41"/>
        <v>430.70986039366994</v>
      </c>
      <c r="K305" s="9">
        <f t="shared" si="31"/>
        <v>166.08445213099003</v>
      </c>
      <c r="L305" s="10">
        <f t="shared" si="30"/>
        <v>0.38560633828811908</v>
      </c>
      <c r="M305" s="10">
        <f t="shared" si="42"/>
        <v>0.43850167645772709</v>
      </c>
      <c r="P305" s="8">
        <f t="shared" si="43"/>
        <v>32.920695382101862</v>
      </c>
    </row>
    <row r="306" spans="1:16" x14ac:dyDescent="0.2">
      <c r="A306" s="8">
        <v>152</v>
      </c>
      <c r="B306" s="8">
        <v>304</v>
      </c>
      <c r="D306">
        <v>583.81008902076996</v>
      </c>
      <c r="E306">
        <v>287.32566765579003</v>
      </c>
      <c r="F306">
        <v>140.51089406461</v>
      </c>
      <c r="G306">
        <v>117.24417731029</v>
      </c>
      <c r="I306" s="9">
        <f t="shared" si="40"/>
        <v>170.08149034550001</v>
      </c>
      <c r="J306" s="9">
        <f t="shared" si="41"/>
        <v>443.29919495615997</v>
      </c>
      <c r="K306" s="9">
        <f t="shared" si="31"/>
        <v>170.08149034550001</v>
      </c>
      <c r="L306" s="10">
        <f t="shared" si="30"/>
        <v>0.38367200365053722</v>
      </c>
      <c r="M306" s="10">
        <f t="shared" si="42"/>
        <v>0.43674191389331224</v>
      </c>
      <c r="P306" s="8">
        <f t="shared" si="43"/>
        <v>32.387267857584831</v>
      </c>
    </row>
    <row r="307" spans="1:16" x14ac:dyDescent="0.2">
      <c r="A307" s="8">
        <v>152.5</v>
      </c>
      <c r="B307" s="8">
        <v>305</v>
      </c>
      <c r="D307">
        <v>592.75445103857999</v>
      </c>
      <c r="E307">
        <v>287.38278931751</v>
      </c>
      <c r="F307">
        <v>140.04207362885001</v>
      </c>
      <c r="G307">
        <v>117.0826446281</v>
      </c>
      <c r="I307" s="9">
        <f t="shared" si="40"/>
        <v>170.30014468940999</v>
      </c>
      <c r="J307" s="9">
        <f t="shared" si="41"/>
        <v>452.71237740972998</v>
      </c>
      <c r="K307" s="9">
        <f t="shared" si="31"/>
        <v>170.30014468940999</v>
      </c>
      <c r="L307" s="10">
        <f t="shared" si="30"/>
        <v>0.37617735495506199</v>
      </c>
      <c r="M307" s="10">
        <f t="shared" si="42"/>
        <v>0.42942183727100403</v>
      </c>
      <c r="P307" s="8">
        <f t="shared" si="43"/>
        <v>30.168371723030891</v>
      </c>
    </row>
    <row r="308" spans="1:16" x14ac:dyDescent="0.2">
      <c r="A308" s="8">
        <v>153</v>
      </c>
      <c r="B308" s="8">
        <v>306</v>
      </c>
      <c r="D308">
        <v>608.36053412463002</v>
      </c>
      <c r="E308">
        <v>286.66765578635</v>
      </c>
      <c r="F308">
        <v>140.41021788129001</v>
      </c>
      <c r="G308">
        <v>116.81442524418</v>
      </c>
      <c r="I308" s="9">
        <f t="shared" si="40"/>
        <v>169.85323054217</v>
      </c>
      <c r="J308" s="9">
        <f t="shared" si="41"/>
        <v>467.95031624334001</v>
      </c>
      <c r="K308" s="9">
        <f t="shared" si="31"/>
        <v>169.85323054217</v>
      </c>
      <c r="L308" s="10">
        <f t="shared" si="30"/>
        <v>0.36297278716624309</v>
      </c>
      <c r="M308" s="10">
        <f t="shared" si="42"/>
        <v>0.41639184155535214</v>
      </c>
      <c r="P308" s="8">
        <f t="shared" si="43"/>
        <v>26.218657994816162</v>
      </c>
    </row>
    <row r="309" spans="1:16" x14ac:dyDescent="0.2">
      <c r="A309" s="8">
        <v>153.5</v>
      </c>
      <c r="B309" s="8">
        <v>307</v>
      </c>
      <c r="D309">
        <v>569.50741839762998</v>
      </c>
      <c r="E309">
        <v>269.41320474778001</v>
      </c>
      <c r="F309">
        <v>139.78211870774001</v>
      </c>
      <c r="G309">
        <v>117.00525920361</v>
      </c>
      <c r="I309" s="9">
        <f t="shared" si="40"/>
        <v>152.40794554417002</v>
      </c>
      <c r="J309" s="9">
        <f t="shared" si="41"/>
        <v>429.72529968988999</v>
      </c>
      <c r="K309" s="9">
        <f t="shared" si="31"/>
        <v>152.40794554417002</v>
      </c>
      <c r="L309" s="10">
        <f t="shared" si="30"/>
        <v>0.35466365525640398</v>
      </c>
      <c r="M309" s="10">
        <f t="shared" si="42"/>
        <v>0.40825728171868003</v>
      </c>
      <c r="P309" s="8">
        <f t="shared" si="43"/>
        <v>23.752871868632429</v>
      </c>
    </row>
    <row r="310" spans="1:16" x14ac:dyDescent="0.2">
      <c r="A310" s="8">
        <v>154</v>
      </c>
      <c r="B310" s="8">
        <v>308</v>
      </c>
      <c r="D310">
        <v>524.54138702461</v>
      </c>
      <c r="E310">
        <v>252.83370618941001</v>
      </c>
      <c r="F310">
        <v>140.08264462810001</v>
      </c>
      <c r="G310">
        <v>117.28399699473999</v>
      </c>
      <c r="I310" s="9">
        <f>E310-G310</f>
        <v>135.54970919467002</v>
      </c>
      <c r="J310" s="9">
        <f>D310-F310</f>
        <v>384.45874239650999</v>
      </c>
      <c r="K310" s="9">
        <f t="shared" si="31"/>
        <v>135.54970919467002</v>
      </c>
      <c r="L310" s="10">
        <f t="shared" si="30"/>
        <v>0.35257283616370821</v>
      </c>
      <c r="M310" s="10">
        <f>L310+ABS($N$2)*A310</f>
        <v>0.40634103469915128</v>
      </c>
      <c r="O310" s="11"/>
      <c r="P310" s="8">
        <f>(M310-$O$2)/$O$2*100</f>
        <v>23.172010038371678</v>
      </c>
    </row>
    <row r="311" spans="1:16" x14ac:dyDescent="0.2">
      <c r="A311" s="8">
        <v>154.5</v>
      </c>
      <c r="B311" s="8">
        <v>309</v>
      </c>
      <c r="D311">
        <v>537.01203912716005</v>
      </c>
      <c r="E311">
        <v>253.37998495108999</v>
      </c>
      <c r="F311">
        <v>140.20586025545001</v>
      </c>
      <c r="G311">
        <v>117.13148009016</v>
      </c>
      <c r="I311" s="9">
        <f t="shared" ref="I311:I319" si="44">E311-G311</f>
        <v>136.24850486092998</v>
      </c>
      <c r="J311" s="9">
        <f t="shared" ref="J311:J319" si="45">D311-F311</f>
        <v>396.80617887171002</v>
      </c>
      <c r="K311" s="9">
        <f t="shared" si="31"/>
        <v>136.24850486092998</v>
      </c>
      <c r="L311" s="10">
        <f t="shared" si="30"/>
        <v>0.34336286105307851</v>
      </c>
      <c r="M311" s="10">
        <f t="shared" ref="M311:M319" si="46">L311+ABS($N$2)*A311</f>
        <v>0.39730563166168864</v>
      </c>
      <c r="P311" s="8">
        <f t="shared" ref="P311:P319" si="47">(M311-$O$2)/$O$2*100</f>
        <v>20.433156074348421</v>
      </c>
    </row>
    <row r="312" spans="1:16" x14ac:dyDescent="0.2">
      <c r="A312" s="8">
        <v>155</v>
      </c>
      <c r="B312" s="8">
        <v>310</v>
      </c>
      <c r="D312">
        <v>555.64860797591996</v>
      </c>
      <c r="E312">
        <v>261.12114371707997</v>
      </c>
      <c r="F312">
        <v>140.23741547709</v>
      </c>
      <c r="G312">
        <v>116.32081141998999</v>
      </c>
      <c r="I312" s="9">
        <f t="shared" si="44"/>
        <v>144.80033229708999</v>
      </c>
      <c r="J312" s="9">
        <f t="shared" si="45"/>
        <v>415.41119249882996</v>
      </c>
      <c r="K312" s="9">
        <f t="shared" si="31"/>
        <v>144.80033229708999</v>
      </c>
      <c r="L312" s="10">
        <f t="shared" si="30"/>
        <v>0.34857109031191508</v>
      </c>
      <c r="M312" s="10">
        <f t="shared" si="46"/>
        <v>0.40268843299369222</v>
      </c>
      <c r="N312" s="1"/>
      <c r="P312" s="8">
        <f t="shared" si="47"/>
        <v>22.064816190071138</v>
      </c>
    </row>
    <row r="313" spans="1:16" x14ac:dyDescent="0.2">
      <c r="A313" s="8">
        <v>155.5</v>
      </c>
      <c r="B313" s="8">
        <v>311</v>
      </c>
      <c r="D313">
        <v>564.73223635004001</v>
      </c>
      <c r="E313">
        <v>259.85340314135999</v>
      </c>
      <c r="F313">
        <v>140.50788880541</v>
      </c>
      <c r="G313">
        <v>116.85574755822999</v>
      </c>
      <c r="I313" s="9">
        <f t="shared" si="44"/>
        <v>142.99765558312998</v>
      </c>
      <c r="J313" s="9">
        <f t="shared" si="45"/>
        <v>424.22434754463001</v>
      </c>
      <c r="K313" s="9">
        <f t="shared" si="31"/>
        <v>142.99765558312998</v>
      </c>
      <c r="L313" s="10">
        <f t="shared" si="30"/>
        <v>0.33708026522001094</v>
      </c>
      <c r="M313" s="10">
        <f t="shared" si="46"/>
        <v>0.3913721799749551</v>
      </c>
      <c r="P313" s="8">
        <f t="shared" si="47"/>
        <v>18.634580227186849</v>
      </c>
    </row>
    <row r="314" spans="1:16" x14ac:dyDescent="0.2">
      <c r="A314" s="8">
        <v>156</v>
      </c>
      <c r="B314" s="8">
        <v>312</v>
      </c>
      <c r="D314">
        <v>574.89229618548995</v>
      </c>
      <c r="E314">
        <v>262.29244577411998</v>
      </c>
      <c r="F314">
        <v>140.27873779113</v>
      </c>
      <c r="G314">
        <v>116.97520661157</v>
      </c>
      <c r="I314" s="9">
        <f t="shared" si="44"/>
        <v>145.31723916254998</v>
      </c>
      <c r="J314" s="9">
        <f t="shared" si="45"/>
        <v>434.61355839435998</v>
      </c>
      <c r="K314" s="9">
        <f t="shared" si="31"/>
        <v>145.31723916254998</v>
      </c>
      <c r="L314" s="10">
        <f t="shared" si="30"/>
        <v>0.33435965435457471</v>
      </c>
      <c r="M314" s="10">
        <f t="shared" si="46"/>
        <v>0.38882614118268588</v>
      </c>
      <c r="P314" s="8">
        <f t="shared" si="47"/>
        <v>17.862812945766073</v>
      </c>
    </row>
    <row r="315" spans="1:16" x14ac:dyDescent="0.2">
      <c r="A315" s="8">
        <v>156.5</v>
      </c>
      <c r="B315" s="8">
        <v>313</v>
      </c>
      <c r="D315">
        <v>579.81626506023997</v>
      </c>
      <c r="E315">
        <v>266.92319277107998</v>
      </c>
      <c r="F315">
        <v>140.01502629602001</v>
      </c>
      <c r="G315">
        <v>117.00826446281</v>
      </c>
      <c r="I315" s="9">
        <f t="shared" si="44"/>
        <v>149.91492830826996</v>
      </c>
      <c r="J315" s="9">
        <f t="shared" si="45"/>
        <v>439.80123876421999</v>
      </c>
      <c r="K315" s="9">
        <f t="shared" si="31"/>
        <v>149.91492830826996</v>
      </c>
      <c r="L315" s="10">
        <f t="shared" si="30"/>
        <v>0.34086972726477527</v>
      </c>
      <c r="M315" s="10">
        <f t="shared" si="46"/>
        <v>0.39551078616605351</v>
      </c>
      <c r="P315" s="8">
        <f t="shared" si="47"/>
        <v>19.889094046329575</v>
      </c>
    </row>
    <row r="316" spans="1:16" x14ac:dyDescent="0.2">
      <c r="A316" s="8">
        <v>157</v>
      </c>
      <c r="B316" s="8">
        <v>314</v>
      </c>
      <c r="D316">
        <v>533.61596385541998</v>
      </c>
      <c r="E316">
        <v>249.64307228915999</v>
      </c>
      <c r="F316">
        <v>139.92787377911</v>
      </c>
      <c r="G316">
        <v>117.02178812923</v>
      </c>
      <c r="I316" s="9">
        <f t="shared" si="44"/>
        <v>132.62128415992998</v>
      </c>
      <c r="J316" s="9">
        <f t="shared" si="45"/>
        <v>393.68809007631</v>
      </c>
      <c r="K316" s="9">
        <f t="shared" si="31"/>
        <v>132.62128415992998</v>
      </c>
      <c r="L316" s="10">
        <f t="shared" si="30"/>
        <v>0.33686892619541403</v>
      </c>
      <c r="M316" s="10">
        <f t="shared" si="46"/>
        <v>0.39168455716985928</v>
      </c>
      <c r="P316" s="8">
        <f t="shared" si="47"/>
        <v>18.729269475135883</v>
      </c>
    </row>
    <row r="317" spans="1:16" x14ac:dyDescent="0.2">
      <c r="A317" s="8">
        <v>157.5</v>
      </c>
      <c r="B317" s="8">
        <v>315</v>
      </c>
      <c r="D317">
        <v>544.90957045968003</v>
      </c>
      <c r="E317">
        <v>258.40693293141999</v>
      </c>
      <c r="F317">
        <v>140.57475582269001</v>
      </c>
      <c r="G317">
        <v>117.03155522164001</v>
      </c>
      <c r="I317" s="9">
        <f t="shared" si="44"/>
        <v>141.37537770977997</v>
      </c>
      <c r="J317" s="9">
        <f t="shared" si="45"/>
        <v>404.33481463699002</v>
      </c>
      <c r="K317" s="9">
        <f t="shared" si="31"/>
        <v>141.37537770977997</v>
      </c>
      <c r="L317" s="10">
        <f t="shared" si="30"/>
        <v>0.34964928220862246</v>
      </c>
      <c r="M317" s="10">
        <f t="shared" si="46"/>
        <v>0.40463948525623472</v>
      </c>
      <c r="P317" s="8">
        <f t="shared" si="47"/>
        <v>22.656228349675441</v>
      </c>
    </row>
    <row r="318" spans="1:16" x14ac:dyDescent="0.2">
      <c r="A318" s="8">
        <v>158</v>
      </c>
      <c r="B318" s="8">
        <v>316</v>
      </c>
      <c r="D318">
        <v>537.39412207988005</v>
      </c>
      <c r="E318">
        <v>252.95704596835</v>
      </c>
      <c r="F318">
        <v>140.21262208866</v>
      </c>
      <c r="G318">
        <v>117.05559729527</v>
      </c>
      <c r="I318" s="9">
        <f t="shared" si="44"/>
        <v>135.90144867307998</v>
      </c>
      <c r="J318" s="9">
        <f t="shared" si="45"/>
        <v>397.18149999122005</v>
      </c>
      <c r="K318" s="9">
        <f t="shared" si="31"/>
        <v>135.90144867307998</v>
      </c>
      <c r="L318" s="10">
        <f t="shared" si="30"/>
        <v>0.34216459899588519</v>
      </c>
      <c r="M318" s="10">
        <f t="shared" si="46"/>
        <v>0.39732937411666447</v>
      </c>
      <c r="P318" s="8">
        <f t="shared" si="47"/>
        <v>20.440352999228981</v>
      </c>
    </row>
    <row r="319" spans="1:16" x14ac:dyDescent="0.2">
      <c r="A319" s="8">
        <v>158.5</v>
      </c>
      <c r="B319" s="8">
        <v>317</v>
      </c>
      <c r="D319">
        <v>536.32780708364999</v>
      </c>
      <c r="E319">
        <v>254.85154483797999</v>
      </c>
      <c r="F319">
        <v>140.61081893312999</v>
      </c>
      <c r="G319">
        <v>117.03155522164001</v>
      </c>
      <c r="I319" s="9">
        <f t="shared" si="44"/>
        <v>137.81998961633997</v>
      </c>
      <c r="J319" s="9">
        <f t="shared" si="45"/>
        <v>395.71698815052002</v>
      </c>
      <c r="K319" s="9">
        <f t="shared" si="31"/>
        <v>137.81998961633997</v>
      </c>
      <c r="L319" s="10">
        <f t="shared" si="30"/>
        <v>0.34827918371782657</v>
      </c>
      <c r="M319" s="10">
        <f t="shared" si="46"/>
        <v>0.40361853091177285</v>
      </c>
      <c r="P319" s="8">
        <f t="shared" si="47"/>
        <v>22.346751855730197</v>
      </c>
    </row>
    <row r="320" spans="1:16" x14ac:dyDescent="0.2">
      <c r="A320" s="8">
        <v>159</v>
      </c>
      <c r="B320" s="8">
        <v>318</v>
      </c>
      <c r="D320">
        <v>565.85466867469995</v>
      </c>
      <c r="E320">
        <v>264.43975903615001</v>
      </c>
      <c r="F320">
        <v>140.06611570248</v>
      </c>
      <c r="G320">
        <v>116.71600300526001</v>
      </c>
      <c r="I320" s="9">
        <f>E320-G320</f>
        <v>147.72375603089</v>
      </c>
      <c r="J320" s="9">
        <f>D320-F320</f>
        <v>425.78855297221992</v>
      </c>
      <c r="K320" s="9">
        <f t="shared" si="31"/>
        <v>147.72375603089</v>
      </c>
      <c r="L320" s="10">
        <f t="shared" si="30"/>
        <v>0.34694158638061851</v>
      </c>
      <c r="M320" s="10">
        <f>L320+ABS($N$2)*A320</f>
        <v>0.4024555056477318</v>
      </c>
      <c r="O320" s="11"/>
      <c r="P320" s="8">
        <f>(M320-$O$2)/$O$2*100</f>
        <v>21.994210154881781</v>
      </c>
    </row>
    <row r="321" spans="1:16" x14ac:dyDescent="0.2">
      <c r="A321" s="8">
        <v>159.5</v>
      </c>
      <c r="B321" s="8">
        <v>319</v>
      </c>
      <c r="D321">
        <v>582.76254681648004</v>
      </c>
      <c r="E321">
        <v>271.2</v>
      </c>
      <c r="F321">
        <v>140.21938392185999</v>
      </c>
      <c r="G321">
        <v>116.77084898573</v>
      </c>
      <c r="I321" s="9">
        <f t="shared" ref="I321" si="48">E321-G321</f>
        <v>154.42915101426999</v>
      </c>
      <c r="J321" s="9">
        <f t="shared" ref="J321" si="49">D321-F321</f>
        <v>442.54316289462008</v>
      </c>
      <c r="K321" s="9">
        <f t="shared" si="31"/>
        <v>154.42915101426999</v>
      </c>
      <c r="L321" s="10">
        <f t="shared" si="30"/>
        <v>0.3489583931297639</v>
      </c>
      <c r="M321" s="10">
        <f t="shared" ref="M321" si="50">L321+ABS($N$2)*A321</f>
        <v>0.40464688447004427</v>
      </c>
      <c r="P321" s="8">
        <f t="shared" ref="P321" si="51">(M321-$O$2)/$O$2*100</f>
        <v>22.658471234247266</v>
      </c>
    </row>
    <row r="322" spans="1:16" x14ac:dyDescent="0.2">
      <c r="A322" s="8">
        <v>160</v>
      </c>
      <c r="B322" s="8">
        <v>320</v>
      </c>
      <c r="D322">
        <v>562.71289355322006</v>
      </c>
      <c r="E322">
        <v>262.63868065967</v>
      </c>
      <c r="F322">
        <v>139.87828700225</v>
      </c>
      <c r="G322">
        <v>116.85725018783</v>
      </c>
      <c r="I322" s="9">
        <f>E322-G322</f>
        <v>145.78143047184</v>
      </c>
      <c r="J322" s="9">
        <f>D322-F322</f>
        <v>422.83460655097008</v>
      </c>
      <c r="K322" s="9">
        <f t="shared" si="31"/>
        <v>145.78143047184</v>
      </c>
      <c r="L322" s="10">
        <f t="shared" ref="L322" si="52">K322/J322</f>
        <v>0.34477175759327766</v>
      </c>
      <c r="M322" s="10">
        <f>L322+ABS($N$2)*A322</f>
        <v>0.40063482100672504</v>
      </c>
      <c r="O322" s="11"/>
      <c r="P322" s="8">
        <f>(M322-$O$2)/$O$2*100</f>
        <v>21.442315643305239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BFF5-1367-7548-9747-747F7C4BE18B}">
  <dimension ref="A1:Y798"/>
  <sheetViews>
    <sheetView topLeftCell="F1" zoomScale="70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932.96240601503996</v>
      </c>
      <c r="E2">
        <v>311.14097744360998</v>
      </c>
      <c r="F2">
        <v>138.88617121355</v>
      </c>
      <c r="G2">
        <v>117.56726246472</v>
      </c>
      <c r="H2" s="4"/>
      <c r="I2" s="5">
        <f>E2-G2</f>
        <v>193.57371497889</v>
      </c>
      <c r="J2" s="5">
        <f>D2-F2</f>
        <v>794.07623480148993</v>
      </c>
      <c r="K2" s="9">
        <f>I2*1</f>
        <v>193.57371497889</v>
      </c>
      <c r="L2" s="6">
        <f t="shared" ref="L2:L65" si="0">K2/J2</f>
        <v>0.24377220535668245</v>
      </c>
      <c r="M2" s="6">
        <f>L2+ABS($N$2)*A2</f>
        <v>0.24377220535668245</v>
      </c>
      <c r="N2" s="4">
        <f>LINEST(V64:V103,U64:U103)</f>
        <v>-5.4713955033088815E-4</v>
      </c>
      <c r="O2" s="7">
        <f>AVERAGE(M62:M81)</f>
        <v>0.41910459737016953</v>
      </c>
      <c r="P2" s="4">
        <f>(M2-$O$2)/$O$2*100</f>
        <v>-41.834996111633359</v>
      </c>
    </row>
    <row r="3" spans="1:16" x14ac:dyDescent="0.2">
      <c r="A3" s="8">
        <v>0.5</v>
      </c>
      <c r="B3" s="8">
        <v>1</v>
      </c>
      <c r="D3">
        <v>932.77631578947</v>
      </c>
      <c r="E3">
        <v>315.79417293233001</v>
      </c>
      <c r="F3">
        <v>138.80620884289999</v>
      </c>
      <c r="G3">
        <v>117.73565380997</v>
      </c>
      <c r="I3" s="9">
        <f t="shared" ref="I3:I66" si="1">E3-G3</f>
        <v>198.05851912236</v>
      </c>
      <c r="J3" s="9">
        <f t="shared" ref="J3:J66" si="2">D3-F3</f>
        <v>793.97010694657001</v>
      </c>
      <c r="K3" s="9">
        <f t="shared" ref="K3:K66" si="3">I3*1</f>
        <v>198.05851912236</v>
      </c>
      <c r="L3" s="10">
        <f t="shared" si="0"/>
        <v>0.24945337033411547</v>
      </c>
      <c r="M3" s="10">
        <f t="shared" ref="M3:M66" si="4">L3+ABS($N$2)*A3</f>
        <v>0.2497269401092809</v>
      </c>
      <c r="P3" s="8">
        <f t="shared" ref="P3:P66" si="5">(M3-$O$2)/$O$2*100</f>
        <v>-40.414173054581809</v>
      </c>
    </row>
    <row r="4" spans="1:16" ht="16" x14ac:dyDescent="0.2">
      <c r="A4" s="8">
        <v>1</v>
      </c>
      <c r="B4" s="8">
        <v>2</v>
      </c>
      <c r="D4">
        <v>868.92669172932005</v>
      </c>
      <c r="E4">
        <v>305.37030075188</v>
      </c>
      <c r="F4">
        <v>138.12888052681001</v>
      </c>
      <c r="G4">
        <v>117.64534336782999</v>
      </c>
      <c r="I4" s="9">
        <f t="shared" si="1"/>
        <v>187.72495738405001</v>
      </c>
      <c r="J4" s="9">
        <f t="shared" si="2"/>
        <v>730.79781120251005</v>
      </c>
      <c r="K4" s="9">
        <f t="shared" si="3"/>
        <v>187.72495738405001</v>
      </c>
      <c r="L4" s="10">
        <f t="shared" si="0"/>
        <v>0.25687673732239724</v>
      </c>
      <c r="M4" s="10">
        <f t="shared" si="4"/>
        <v>0.25742387687272811</v>
      </c>
      <c r="N4" s="1" t="s">
        <v>8</v>
      </c>
      <c r="P4" s="8">
        <f t="shared" si="5"/>
        <v>-38.57765376757218</v>
      </c>
    </row>
    <row r="5" spans="1:16" x14ac:dyDescent="0.2">
      <c r="A5" s="8">
        <v>1.5</v>
      </c>
      <c r="B5" s="8">
        <v>3</v>
      </c>
      <c r="D5">
        <v>666.12875939850005</v>
      </c>
      <c r="E5">
        <v>272.85338345865</v>
      </c>
      <c r="F5">
        <v>138.70649106303</v>
      </c>
      <c r="G5">
        <v>117.81185324553</v>
      </c>
      <c r="I5" s="9">
        <f t="shared" si="1"/>
        <v>155.04153021311998</v>
      </c>
      <c r="J5" s="9">
        <f t="shared" si="2"/>
        <v>527.42226833547011</v>
      </c>
      <c r="K5" s="9">
        <f t="shared" si="3"/>
        <v>155.04153021311998</v>
      </c>
      <c r="L5" s="10">
        <f t="shared" si="0"/>
        <v>0.29396091049099371</v>
      </c>
      <c r="M5" s="10">
        <f t="shared" si="4"/>
        <v>0.29478161981649004</v>
      </c>
      <c r="N5" s="8">
        <f>RSQ(V64:V83,U64:U83)</f>
        <v>0.94017140096672325</v>
      </c>
      <c r="P5" s="8">
        <f t="shared" si="5"/>
        <v>-29.663949843020355</v>
      </c>
    </row>
    <row r="6" spans="1:16" x14ac:dyDescent="0.2">
      <c r="A6" s="8">
        <v>2</v>
      </c>
      <c r="B6" s="8">
        <v>4</v>
      </c>
      <c r="D6">
        <v>620.74812030074997</v>
      </c>
      <c r="E6">
        <v>269.90507518797</v>
      </c>
      <c r="F6">
        <v>138.57290686735999</v>
      </c>
      <c r="G6">
        <v>117.55126999059</v>
      </c>
      <c r="I6" s="9">
        <f t="shared" si="1"/>
        <v>152.35380519737998</v>
      </c>
      <c r="J6" s="9">
        <f t="shared" si="2"/>
        <v>482.17521343339001</v>
      </c>
      <c r="K6" s="9">
        <f t="shared" si="3"/>
        <v>152.35380519737998</v>
      </c>
      <c r="L6" s="10">
        <f t="shared" si="0"/>
        <v>0.31597187278152544</v>
      </c>
      <c r="M6" s="10">
        <f t="shared" si="4"/>
        <v>0.31706615188218723</v>
      </c>
      <c r="P6" s="8">
        <f t="shared" si="5"/>
        <v>-24.346773127343667</v>
      </c>
    </row>
    <row r="7" spans="1:16" x14ac:dyDescent="0.2">
      <c r="A7" s="8">
        <v>2.5</v>
      </c>
      <c r="B7" s="8">
        <v>5</v>
      </c>
      <c r="D7">
        <v>647.80733082707002</v>
      </c>
      <c r="E7">
        <v>285.97932330827001</v>
      </c>
      <c r="F7">
        <v>139.66980244590999</v>
      </c>
      <c r="G7">
        <v>118.18344308560999</v>
      </c>
      <c r="I7" s="9">
        <f t="shared" si="1"/>
        <v>167.79588022266</v>
      </c>
      <c r="J7" s="9">
        <f t="shared" si="2"/>
        <v>508.13752838116</v>
      </c>
      <c r="K7" s="9">
        <f t="shared" si="3"/>
        <v>167.79588022266</v>
      </c>
      <c r="L7" s="10">
        <f t="shared" si="0"/>
        <v>0.33021745265937991</v>
      </c>
      <c r="M7" s="10">
        <f t="shared" si="4"/>
        <v>0.3315853015352071</v>
      </c>
      <c r="P7" s="8">
        <f t="shared" si="5"/>
        <v>-20.882447098918835</v>
      </c>
    </row>
    <row r="8" spans="1:16" x14ac:dyDescent="0.2">
      <c r="A8" s="8">
        <v>3</v>
      </c>
      <c r="B8" s="8">
        <v>6</v>
      </c>
      <c r="D8">
        <v>769.84774436090004</v>
      </c>
      <c r="E8">
        <v>325.99530075188</v>
      </c>
      <c r="F8">
        <v>139.22201317027</v>
      </c>
      <c r="G8">
        <v>117.59642521167</v>
      </c>
      <c r="I8" s="9">
        <f t="shared" si="1"/>
        <v>208.39887554020999</v>
      </c>
      <c r="J8" s="9">
        <f t="shared" si="2"/>
        <v>630.62573119063006</v>
      </c>
      <c r="K8" s="9">
        <f t="shared" si="3"/>
        <v>208.39887554020999</v>
      </c>
      <c r="L8" s="10">
        <f t="shared" si="0"/>
        <v>0.33046364147994728</v>
      </c>
      <c r="M8" s="10">
        <f t="shared" si="4"/>
        <v>0.33210506013093993</v>
      </c>
      <c r="P8" s="8">
        <f t="shared" si="5"/>
        <v>-20.758430660303212</v>
      </c>
    </row>
    <row r="9" spans="1:16" x14ac:dyDescent="0.2">
      <c r="A9" s="8">
        <v>3.5</v>
      </c>
      <c r="B9" s="8">
        <v>7</v>
      </c>
      <c r="D9">
        <v>1023.515037594</v>
      </c>
      <c r="E9">
        <v>406.88157894736997</v>
      </c>
      <c r="F9">
        <v>139.34148635936</v>
      </c>
      <c r="G9">
        <v>117.81843838194</v>
      </c>
      <c r="I9" s="9">
        <f t="shared" si="1"/>
        <v>289.06314056542999</v>
      </c>
      <c r="J9" s="9">
        <f t="shared" si="2"/>
        <v>884.17355123463994</v>
      </c>
      <c r="K9" s="9">
        <f t="shared" si="3"/>
        <v>289.06314056542999</v>
      </c>
      <c r="L9" s="10">
        <f t="shared" si="0"/>
        <v>0.32693031833149583</v>
      </c>
      <c r="M9" s="10">
        <f t="shared" si="4"/>
        <v>0.32884530675765394</v>
      </c>
      <c r="P9" s="8">
        <f t="shared" si="5"/>
        <v>-21.536220594782705</v>
      </c>
    </row>
    <row r="10" spans="1:16" x14ac:dyDescent="0.2">
      <c r="A10" s="8">
        <v>4</v>
      </c>
      <c r="B10" s="8">
        <v>8</v>
      </c>
      <c r="D10">
        <v>1097.3186504217001</v>
      </c>
      <c r="E10">
        <v>442.89503280225</v>
      </c>
      <c r="F10">
        <v>138.86829727187001</v>
      </c>
      <c r="G10">
        <v>117.7243650047</v>
      </c>
      <c r="I10" s="9">
        <f t="shared" si="1"/>
        <v>325.17066779754998</v>
      </c>
      <c r="J10" s="9">
        <f t="shared" si="2"/>
        <v>958.45035314983011</v>
      </c>
      <c r="K10" s="9">
        <f t="shared" si="3"/>
        <v>325.17066779754998</v>
      </c>
      <c r="L10" s="10">
        <f t="shared" si="0"/>
        <v>0.33926709581661302</v>
      </c>
      <c r="M10" s="10">
        <f t="shared" si="4"/>
        <v>0.34145565401793659</v>
      </c>
      <c r="P10" s="8">
        <f t="shared" si="5"/>
        <v>-18.527342300578571</v>
      </c>
    </row>
    <row r="11" spans="1:16" x14ac:dyDescent="0.2">
      <c r="A11" s="8">
        <v>4.5</v>
      </c>
      <c r="B11" s="8">
        <v>9</v>
      </c>
      <c r="D11">
        <v>1084.2800378429999</v>
      </c>
      <c r="E11">
        <v>460.07473982970998</v>
      </c>
      <c r="F11">
        <v>139.10442144872999</v>
      </c>
      <c r="G11">
        <v>117.73000940734001</v>
      </c>
      <c r="I11" s="9">
        <f t="shared" si="1"/>
        <v>342.34473042236999</v>
      </c>
      <c r="J11" s="9">
        <f t="shared" si="2"/>
        <v>945.17561639426992</v>
      </c>
      <c r="K11" s="9">
        <f t="shared" si="3"/>
        <v>342.34473042236999</v>
      </c>
      <c r="L11" s="10">
        <f t="shared" si="0"/>
        <v>0.36220224525932387</v>
      </c>
      <c r="M11" s="10">
        <f t="shared" si="4"/>
        <v>0.36466437323581286</v>
      </c>
      <c r="P11" s="8">
        <f t="shared" si="5"/>
        <v>-12.989650907187006</v>
      </c>
    </row>
    <row r="12" spans="1:16" x14ac:dyDescent="0.2">
      <c r="A12" s="8">
        <v>5</v>
      </c>
      <c r="B12" s="8">
        <v>10</v>
      </c>
      <c r="D12">
        <v>1164.8987701041001</v>
      </c>
      <c r="E12">
        <v>515.17880794702</v>
      </c>
      <c r="F12">
        <v>139.05926622766</v>
      </c>
      <c r="G12">
        <v>118.14675446849</v>
      </c>
      <c r="I12" s="9">
        <f t="shared" si="1"/>
        <v>397.03205347852997</v>
      </c>
      <c r="J12" s="9">
        <f t="shared" si="2"/>
        <v>1025.8395038764402</v>
      </c>
      <c r="K12" s="9">
        <f t="shared" si="3"/>
        <v>397.03205347852997</v>
      </c>
      <c r="L12" s="10">
        <f t="shared" si="0"/>
        <v>0.38703135527363303</v>
      </c>
      <c r="M12" s="10">
        <f t="shared" si="4"/>
        <v>0.38976705302528747</v>
      </c>
      <c r="P12" s="8">
        <f t="shared" si="5"/>
        <v>-7.0000530962846961</v>
      </c>
    </row>
    <row r="13" spans="1:16" x14ac:dyDescent="0.2">
      <c r="A13" s="8">
        <v>5.5</v>
      </c>
      <c r="B13" s="8">
        <v>11</v>
      </c>
      <c r="D13">
        <v>1170.8770104068001</v>
      </c>
      <c r="E13">
        <v>544.69725638600005</v>
      </c>
      <c r="F13">
        <v>139.27469426152001</v>
      </c>
      <c r="G13">
        <v>117.80903104421</v>
      </c>
      <c r="I13" s="9">
        <f t="shared" si="1"/>
        <v>426.88822534179008</v>
      </c>
      <c r="J13" s="9">
        <f t="shared" si="2"/>
        <v>1031.6023161452802</v>
      </c>
      <c r="K13" s="9">
        <f t="shared" si="3"/>
        <v>426.88822534179008</v>
      </c>
      <c r="L13" s="10">
        <f t="shared" si="0"/>
        <v>0.41381084421845327</v>
      </c>
      <c r="M13" s="10">
        <f t="shared" si="4"/>
        <v>0.41682011174527317</v>
      </c>
      <c r="P13" s="8">
        <f t="shared" si="5"/>
        <v>-0.5450872262512102</v>
      </c>
    </row>
    <row r="14" spans="1:16" x14ac:dyDescent="0.2">
      <c r="A14" s="8">
        <v>6</v>
      </c>
      <c r="B14" s="8">
        <v>12</v>
      </c>
      <c r="D14">
        <v>1183.5037664782999</v>
      </c>
      <c r="E14">
        <v>552.88700564971998</v>
      </c>
      <c r="F14">
        <v>139.13264346189999</v>
      </c>
      <c r="G14">
        <v>118.18626528692</v>
      </c>
      <c r="I14" s="9">
        <f t="shared" si="1"/>
        <v>434.70074036279999</v>
      </c>
      <c r="J14" s="9">
        <f t="shared" si="2"/>
        <v>1044.3711230163999</v>
      </c>
      <c r="K14" s="9">
        <f t="shared" si="3"/>
        <v>434.70074036279999</v>
      </c>
      <c r="L14" s="10">
        <f t="shared" si="0"/>
        <v>0.41623205657705054</v>
      </c>
      <c r="M14" s="10">
        <f t="shared" si="4"/>
        <v>0.41951489387903584</v>
      </c>
      <c r="P14" s="8">
        <f t="shared" si="5"/>
        <v>9.7898355551543803E-2</v>
      </c>
    </row>
    <row r="15" spans="1:16" x14ac:dyDescent="0.2">
      <c r="A15" s="8">
        <v>6.5</v>
      </c>
      <c r="B15" s="8">
        <v>13</v>
      </c>
      <c r="D15">
        <v>1225.2080979284001</v>
      </c>
      <c r="E15">
        <v>578.61770244821003</v>
      </c>
      <c r="F15">
        <v>139.27469426152001</v>
      </c>
      <c r="G15">
        <v>117.55973659454</v>
      </c>
      <c r="I15" s="9">
        <f t="shared" si="1"/>
        <v>461.05796585367</v>
      </c>
      <c r="J15" s="9">
        <f t="shared" si="2"/>
        <v>1085.9334036668802</v>
      </c>
      <c r="K15" s="9">
        <f t="shared" si="3"/>
        <v>461.05796585367</v>
      </c>
      <c r="L15" s="10">
        <f t="shared" si="0"/>
        <v>0.42457296579772924</v>
      </c>
      <c r="M15" s="10">
        <f t="shared" si="4"/>
        <v>0.42812937287488001</v>
      </c>
      <c r="P15" s="8">
        <f t="shared" si="5"/>
        <v>2.153346816365139</v>
      </c>
    </row>
    <row r="16" spans="1:16" x14ac:dyDescent="0.2">
      <c r="A16" s="8">
        <v>7</v>
      </c>
      <c r="B16" s="8">
        <v>14</v>
      </c>
      <c r="D16">
        <v>1246.4976613658</v>
      </c>
      <c r="E16">
        <v>597.47708138447001</v>
      </c>
      <c r="F16">
        <v>139.58513640640001</v>
      </c>
      <c r="G16">
        <v>117.95296331138</v>
      </c>
      <c r="I16" s="9">
        <f t="shared" si="1"/>
        <v>479.52411807308999</v>
      </c>
      <c r="J16" s="9">
        <f t="shared" si="2"/>
        <v>1106.9125249593999</v>
      </c>
      <c r="K16" s="9">
        <f t="shared" si="3"/>
        <v>479.52411807308999</v>
      </c>
      <c r="L16" s="10">
        <f t="shared" si="0"/>
        <v>0.43320868384850764</v>
      </c>
      <c r="M16" s="10">
        <f t="shared" si="4"/>
        <v>0.43703866070082387</v>
      </c>
      <c r="P16" s="8">
        <f t="shared" si="5"/>
        <v>4.2791378198159622</v>
      </c>
    </row>
    <row r="17" spans="1:16" x14ac:dyDescent="0.2">
      <c r="A17" s="8">
        <v>7.5</v>
      </c>
      <c r="B17" s="8">
        <v>15</v>
      </c>
      <c r="D17">
        <v>1177.1300280636001</v>
      </c>
      <c r="E17">
        <v>576.32273152479002</v>
      </c>
      <c r="F17">
        <v>139.43461900282</v>
      </c>
      <c r="G17">
        <v>117.92568203198999</v>
      </c>
      <c r="I17" s="9">
        <f t="shared" si="1"/>
        <v>458.39704949280002</v>
      </c>
      <c r="J17" s="9">
        <f t="shared" si="2"/>
        <v>1037.6954090607801</v>
      </c>
      <c r="K17" s="9">
        <f t="shared" si="3"/>
        <v>458.39704949280002</v>
      </c>
      <c r="L17" s="10">
        <f t="shared" si="0"/>
        <v>0.44174528044572925</v>
      </c>
      <c r="M17" s="10">
        <f t="shared" si="4"/>
        <v>0.44584882707321088</v>
      </c>
      <c r="P17" s="8">
        <f t="shared" si="5"/>
        <v>6.3812780558500553</v>
      </c>
    </row>
    <row r="18" spans="1:16" x14ac:dyDescent="0.2">
      <c r="A18" s="8">
        <v>8</v>
      </c>
      <c r="B18" s="8">
        <v>16</v>
      </c>
      <c r="D18">
        <v>1199.3788587465001</v>
      </c>
      <c r="E18">
        <v>596.08980355471999</v>
      </c>
      <c r="F18">
        <v>139.33960489181999</v>
      </c>
      <c r="G18">
        <v>117.90310442145</v>
      </c>
      <c r="I18" s="9">
        <f t="shared" si="1"/>
        <v>478.18669913327</v>
      </c>
      <c r="J18" s="9">
        <f t="shared" si="2"/>
        <v>1060.0392538546801</v>
      </c>
      <c r="K18" s="9">
        <f t="shared" si="3"/>
        <v>478.18669913327</v>
      </c>
      <c r="L18" s="10">
        <f t="shared" si="0"/>
        <v>0.4511028222723007</v>
      </c>
      <c r="M18" s="10">
        <f t="shared" si="4"/>
        <v>0.45547993867494779</v>
      </c>
      <c r="P18" s="8">
        <f t="shared" si="5"/>
        <v>8.6792990420599327</v>
      </c>
    </row>
    <row r="19" spans="1:16" x14ac:dyDescent="0.2">
      <c r="A19" s="8">
        <v>8.5</v>
      </c>
      <c r="B19" s="8">
        <v>17</v>
      </c>
      <c r="D19">
        <v>1206.2578796562</v>
      </c>
      <c r="E19">
        <v>613.14135625596998</v>
      </c>
      <c r="F19">
        <v>139.43461900282</v>
      </c>
      <c r="G19">
        <v>117.63123236124</v>
      </c>
      <c r="I19" s="9">
        <f t="shared" si="1"/>
        <v>495.51012389472999</v>
      </c>
      <c r="J19" s="9">
        <f t="shared" si="2"/>
        <v>1066.82326065338</v>
      </c>
      <c r="K19" s="9">
        <f t="shared" si="3"/>
        <v>495.51012389472999</v>
      </c>
      <c r="L19" s="10">
        <f t="shared" si="0"/>
        <v>0.46447255339300808</v>
      </c>
      <c r="M19" s="10">
        <f t="shared" si="4"/>
        <v>0.46912323957082064</v>
      </c>
      <c r="P19" s="8">
        <f t="shared" si="5"/>
        <v>11.934644123331505</v>
      </c>
    </row>
    <row r="20" spans="1:16" x14ac:dyDescent="0.2">
      <c r="A20" s="8">
        <v>9</v>
      </c>
      <c r="B20" s="8">
        <v>18</v>
      </c>
      <c r="D20">
        <v>1187.2469252602</v>
      </c>
      <c r="E20">
        <v>621.74834437085997</v>
      </c>
      <c r="F20">
        <v>139.16274694262</v>
      </c>
      <c r="G20">
        <v>117.78739416745</v>
      </c>
      <c r="I20" s="9">
        <f t="shared" si="1"/>
        <v>503.96095020340999</v>
      </c>
      <c r="J20" s="9">
        <f t="shared" si="2"/>
        <v>1048.0841783175799</v>
      </c>
      <c r="K20" s="9">
        <f t="shared" si="3"/>
        <v>503.96095020340999</v>
      </c>
      <c r="L20" s="10">
        <f t="shared" si="0"/>
        <v>0.48084014684048099</v>
      </c>
      <c r="M20" s="10">
        <f t="shared" si="4"/>
        <v>0.485764402793459</v>
      </c>
      <c r="P20" s="8">
        <f t="shared" si="5"/>
        <v>15.905290908658998</v>
      </c>
    </row>
    <row r="21" spans="1:16" x14ac:dyDescent="0.2">
      <c r="A21" s="8">
        <v>9.5</v>
      </c>
      <c r="B21" s="8">
        <v>19</v>
      </c>
      <c r="D21">
        <v>1147.6124176858</v>
      </c>
      <c r="E21">
        <v>629.81749764817005</v>
      </c>
      <c r="F21">
        <v>139.41392285983</v>
      </c>
      <c r="G21">
        <v>117.7958607714</v>
      </c>
      <c r="I21" s="9">
        <f t="shared" si="1"/>
        <v>512.02163687677</v>
      </c>
      <c r="J21" s="9">
        <f t="shared" si="2"/>
        <v>1008.19849482597</v>
      </c>
      <c r="K21" s="9">
        <f t="shared" si="3"/>
        <v>512.02163687677</v>
      </c>
      <c r="L21" s="10">
        <f t="shared" si="0"/>
        <v>0.50785796597043376</v>
      </c>
      <c r="M21" s="10">
        <f t="shared" si="4"/>
        <v>0.51305579169857718</v>
      </c>
      <c r="P21" s="8">
        <f t="shared" si="5"/>
        <v>22.417123295220332</v>
      </c>
    </row>
    <row r="22" spans="1:16" x14ac:dyDescent="0.2">
      <c r="A22" s="8">
        <v>10</v>
      </c>
      <c r="B22" s="8">
        <v>20</v>
      </c>
      <c r="D22">
        <v>1160.1605975724001</v>
      </c>
      <c r="E22">
        <v>634.82446311857996</v>
      </c>
      <c r="F22">
        <v>139.28410159924999</v>
      </c>
      <c r="G22">
        <v>118.0442144873</v>
      </c>
      <c r="I22" s="9">
        <f t="shared" si="1"/>
        <v>516.78024863127996</v>
      </c>
      <c r="J22" s="9">
        <f t="shared" si="2"/>
        <v>1020.8764959731501</v>
      </c>
      <c r="K22" s="9">
        <f t="shared" si="3"/>
        <v>516.78024863127996</v>
      </c>
      <c r="L22" s="10">
        <f t="shared" si="0"/>
        <v>0.50621230939268458</v>
      </c>
      <c r="M22" s="10">
        <f t="shared" si="4"/>
        <v>0.51168370489599346</v>
      </c>
      <c r="P22" s="8">
        <f t="shared" si="5"/>
        <v>22.089738004962626</v>
      </c>
    </row>
    <row r="23" spans="1:16" x14ac:dyDescent="0.2">
      <c r="A23" s="8">
        <v>10.5</v>
      </c>
      <c r="B23" s="8">
        <v>21</v>
      </c>
      <c r="D23">
        <v>1166.5854341736999</v>
      </c>
      <c r="E23">
        <v>634.69467787115002</v>
      </c>
      <c r="F23">
        <v>139.00846660395001</v>
      </c>
      <c r="G23">
        <v>117.73095014111</v>
      </c>
      <c r="I23" s="9">
        <f t="shared" si="1"/>
        <v>516.96372773003998</v>
      </c>
      <c r="J23" s="9">
        <f t="shared" si="2"/>
        <v>1027.57696756975</v>
      </c>
      <c r="K23" s="9">
        <f t="shared" si="3"/>
        <v>516.96372773003998</v>
      </c>
      <c r="L23" s="10">
        <f t="shared" si="0"/>
        <v>0.50309003028033461</v>
      </c>
      <c r="M23" s="10">
        <f t="shared" si="4"/>
        <v>0.50883499555880896</v>
      </c>
      <c r="P23" s="8">
        <f t="shared" si="5"/>
        <v>21.410024788963611</v>
      </c>
    </row>
    <row r="24" spans="1:16" x14ac:dyDescent="0.2">
      <c r="A24" s="8">
        <v>11</v>
      </c>
      <c r="B24" s="8">
        <v>22</v>
      </c>
      <c r="D24">
        <v>1241.9046270066001</v>
      </c>
      <c r="E24">
        <v>657.89612842303995</v>
      </c>
      <c r="F24">
        <v>138.83349012229999</v>
      </c>
      <c r="G24">
        <v>117.66133584196</v>
      </c>
      <c r="I24" s="9">
        <f t="shared" si="1"/>
        <v>540.23479258108</v>
      </c>
      <c r="J24" s="9">
        <f t="shared" si="2"/>
        <v>1103.0711368843001</v>
      </c>
      <c r="K24" s="9">
        <f t="shared" si="3"/>
        <v>540.23479258108</v>
      </c>
      <c r="L24" s="10">
        <f t="shared" si="0"/>
        <v>0.48975517037551186</v>
      </c>
      <c r="M24" s="10">
        <f t="shared" si="4"/>
        <v>0.49577370542915161</v>
      </c>
      <c r="P24" s="8">
        <f t="shared" si="5"/>
        <v>18.293549758239692</v>
      </c>
    </row>
    <row r="25" spans="1:16" x14ac:dyDescent="0.2">
      <c r="A25" s="8">
        <v>11.5</v>
      </c>
      <c r="B25" s="8">
        <v>23</v>
      </c>
      <c r="D25">
        <v>1250.2555023923001</v>
      </c>
      <c r="E25">
        <v>655.11196172249004</v>
      </c>
      <c r="F25">
        <v>139.06302916275001</v>
      </c>
      <c r="G25">
        <v>117.76011288805</v>
      </c>
      <c r="I25" s="9">
        <f t="shared" si="1"/>
        <v>537.35184883444003</v>
      </c>
      <c r="J25" s="9">
        <f t="shared" si="2"/>
        <v>1111.1924732295502</v>
      </c>
      <c r="K25" s="9">
        <f t="shared" si="3"/>
        <v>537.35184883444003</v>
      </c>
      <c r="L25" s="10">
        <f t="shared" si="0"/>
        <v>0.48358125327531254</v>
      </c>
      <c r="M25" s="10">
        <f t="shared" si="4"/>
        <v>0.48987335810411775</v>
      </c>
      <c r="P25" s="8">
        <f t="shared" si="5"/>
        <v>16.885703754626793</v>
      </c>
    </row>
    <row r="26" spans="1:16" x14ac:dyDescent="0.2">
      <c r="A26" s="8">
        <v>12</v>
      </c>
      <c r="B26" s="8">
        <v>24</v>
      </c>
      <c r="D26">
        <v>1107.1981308411</v>
      </c>
      <c r="E26">
        <v>590.86542056074995</v>
      </c>
      <c r="F26">
        <v>139.09689557855</v>
      </c>
      <c r="G26">
        <v>117.86359360301</v>
      </c>
      <c r="I26" s="9">
        <f t="shared" si="1"/>
        <v>473.00182695773992</v>
      </c>
      <c r="J26" s="9">
        <f t="shared" si="2"/>
        <v>968.10123526255006</v>
      </c>
      <c r="K26" s="9">
        <f t="shared" si="3"/>
        <v>473.00182695773992</v>
      </c>
      <c r="L26" s="10">
        <f t="shared" si="0"/>
        <v>0.48858715362496291</v>
      </c>
      <c r="M26" s="10">
        <f t="shared" si="4"/>
        <v>0.49515282822893358</v>
      </c>
      <c r="P26" s="8">
        <f t="shared" si="5"/>
        <v>18.145406024166157</v>
      </c>
    </row>
    <row r="27" spans="1:16" x14ac:dyDescent="0.2">
      <c r="A27" s="8">
        <v>12.5</v>
      </c>
      <c r="B27" s="8">
        <v>25</v>
      </c>
      <c r="D27">
        <v>1077.8345794392999</v>
      </c>
      <c r="E27">
        <v>586.60560747663999</v>
      </c>
      <c r="F27">
        <v>139.44873000941001</v>
      </c>
      <c r="G27">
        <v>117.62746942615</v>
      </c>
      <c r="I27" s="9">
        <f t="shared" si="1"/>
        <v>468.97813805048997</v>
      </c>
      <c r="J27" s="9">
        <f t="shared" si="2"/>
        <v>938.38584942988984</v>
      </c>
      <c r="K27" s="9">
        <f t="shared" si="3"/>
        <v>468.97813805048997</v>
      </c>
      <c r="L27" s="10">
        <f t="shared" si="0"/>
        <v>0.49977111050365325</v>
      </c>
      <c r="M27" s="10">
        <f t="shared" si="4"/>
        <v>0.50661035488278938</v>
      </c>
      <c r="P27" s="8">
        <f t="shared" si="5"/>
        <v>20.879216802131939</v>
      </c>
    </row>
    <row r="28" spans="1:16" x14ac:dyDescent="0.2">
      <c r="A28" s="8">
        <v>13</v>
      </c>
      <c r="B28" s="8">
        <v>26</v>
      </c>
      <c r="D28">
        <v>1148.4009345794</v>
      </c>
      <c r="E28">
        <v>609.31962616822</v>
      </c>
      <c r="F28">
        <v>138.91345249294</v>
      </c>
      <c r="G28">
        <v>117.89651928504</v>
      </c>
      <c r="I28" s="9">
        <f t="shared" si="1"/>
        <v>491.42310688318003</v>
      </c>
      <c r="J28" s="9">
        <f t="shared" si="2"/>
        <v>1009.48748208646</v>
      </c>
      <c r="K28" s="9">
        <f t="shared" si="3"/>
        <v>491.42310688318003</v>
      </c>
      <c r="L28" s="10">
        <f t="shared" si="0"/>
        <v>0.4868045573655671</v>
      </c>
      <c r="M28" s="10">
        <f t="shared" si="4"/>
        <v>0.49391737151986864</v>
      </c>
      <c r="P28" s="8">
        <f t="shared" si="5"/>
        <v>17.85062120986985</v>
      </c>
    </row>
    <row r="29" spans="1:16" x14ac:dyDescent="0.2">
      <c r="A29" s="8">
        <v>13.5</v>
      </c>
      <c r="B29" s="8">
        <v>27</v>
      </c>
      <c r="D29">
        <v>1077.7396226415001</v>
      </c>
      <c r="E29">
        <v>574.19245283018995</v>
      </c>
      <c r="F29">
        <v>139.67920978363</v>
      </c>
      <c r="G29">
        <v>117.59642521167</v>
      </c>
      <c r="I29" s="9">
        <f t="shared" si="1"/>
        <v>456.59602761851994</v>
      </c>
      <c r="J29" s="9">
        <f t="shared" si="2"/>
        <v>938.06041285787012</v>
      </c>
      <c r="K29" s="9">
        <f t="shared" si="3"/>
        <v>456.59602761851994</v>
      </c>
      <c r="L29" s="10">
        <f t="shared" si="0"/>
        <v>0.48674479954597649</v>
      </c>
      <c r="M29" s="10">
        <f t="shared" si="4"/>
        <v>0.49413118347544349</v>
      </c>
      <c r="P29" s="8">
        <f t="shared" si="5"/>
        <v>17.901637580703404</v>
      </c>
    </row>
    <row r="30" spans="1:16" x14ac:dyDescent="0.2">
      <c r="A30" s="8">
        <v>14</v>
      </c>
      <c r="B30" s="8">
        <v>28</v>
      </c>
      <c r="D30">
        <v>1092.5381715363001</v>
      </c>
      <c r="E30">
        <v>577.08576814326</v>
      </c>
      <c r="F30">
        <v>138.72060206961001</v>
      </c>
      <c r="G30">
        <v>117.32267168391</v>
      </c>
      <c r="I30" s="9">
        <f t="shared" si="1"/>
        <v>459.76309645934998</v>
      </c>
      <c r="J30" s="9">
        <f t="shared" si="2"/>
        <v>953.81756946669009</v>
      </c>
      <c r="K30" s="9">
        <f t="shared" si="3"/>
        <v>459.76309645934998</v>
      </c>
      <c r="L30" s="10">
        <f t="shared" si="0"/>
        <v>0.4820241429568321</v>
      </c>
      <c r="M30" s="10">
        <f t="shared" si="4"/>
        <v>0.48968409666146456</v>
      </c>
      <c r="P30" s="8">
        <f t="shared" si="5"/>
        <v>16.840545232424748</v>
      </c>
    </row>
    <row r="31" spans="1:16" x14ac:dyDescent="0.2">
      <c r="A31" s="8">
        <v>14.5</v>
      </c>
      <c r="B31" s="8">
        <v>29</v>
      </c>
      <c r="D31">
        <v>1124.4681647939999</v>
      </c>
      <c r="E31">
        <v>592.14981273408</v>
      </c>
      <c r="F31">
        <v>139.06020696143</v>
      </c>
      <c r="G31">
        <v>117.61335841957001</v>
      </c>
      <c r="I31" s="9">
        <f t="shared" si="1"/>
        <v>474.53645431451002</v>
      </c>
      <c r="J31" s="9">
        <f t="shared" si="2"/>
        <v>985.40795783256988</v>
      </c>
      <c r="K31" s="9">
        <f t="shared" si="3"/>
        <v>474.53645431451002</v>
      </c>
      <c r="L31" s="10">
        <f t="shared" si="0"/>
        <v>0.48156344846074223</v>
      </c>
      <c r="M31" s="10">
        <f t="shared" si="4"/>
        <v>0.48949697194054009</v>
      </c>
      <c r="P31" s="8">
        <f t="shared" si="5"/>
        <v>16.795896540404033</v>
      </c>
    </row>
    <row r="32" spans="1:16" x14ac:dyDescent="0.2">
      <c r="A32" s="8">
        <v>15</v>
      </c>
      <c r="B32" s="8">
        <v>30</v>
      </c>
      <c r="D32">
        <v>1135.2303370786999</v>
      </c>
      <c r="E32">
        <v>596.37734082397003</v>
      </c>
      <c r="F32">
        <v>139.25305738476001</v>
      </c>
      <c r="G32">
        <v>117.54750705550001</v>
      </c>
      <c r="I32" s="9">
        <f t="shared" si="1"/>
        <v>478.82983376847005</v>
      </c>
      <c r="J32" s="9">
        <f t="shared" si="2"/>
        <v>995.97727969393986</v>
      </c>
      <c r="K32" s="9">
        <f t="shared" si="3"/>
        <v>478.82983376847005</v>
      </c>
      <c r="L32" s="10">
        <f t="shared" si="0"/>
        <v>0.48076381211789559</v>
      </c>
      <c r="M32" s="10">
        <f t="shared" si="4"/>
        <v>0.48897090537285892</v>
      </c>
      <c r="P32" s="8">
        <f t="shared" si="5"/>
        <v>16.670374994951619</v>
      </c>
    </row>
    <row r="33" spans="1:16" x14ac:dyDescent="0.2">
      <c r="A33" s="8">
        <v>15.5</v>
      </c>
      <c r="B33" s="8">
        <v>31</v>
      </c>
      <c r="D33">
        <v>1131.1189138576999</v>
      </c>
      <c r="E33">
        <v>593.5702247191</v>
      </c>
      <c r="F33">
        <v>139.33301975540999</v>
      </c>
      <c r="G33">
        <v>117.89651928504</v>
      </c>
      <c r="I33" s="9">
        <f t="shared" si="1"/>
        <v>475.67370543406003</v>
      </c>
      <c r="J33" s="9">
        <f t="shared" si="2"/>
        <v>991.78589410228994</v>
      </c>
      <c r="K33" s="9">
        <f t="shared" si="3"/>
        <v>475.67370543406003</v>
      </c>
      <c r="L33" s="10">
        <f t="shared" si="0"/>
        <v>0.47961329986913526</v>
      </c>
      <c r="M33" s="10">
        <f t="shared" si="4"/>
        <v>0.48809396289926404</v>
      </c>
      <c r="P33" s="8">
        <f t="shared" si="5"/>
        <v>16.461133082766072</v>
      </c>
    </row>
    <row r="34" spans="1:16" x14ac:dyDescent="0.2">
      <c r="A34" s="8">
        <v>16</v>
      </c>
      <c r="B34" s="8">
        <v>32</v>
      </c>
      <c r="D34">
        <v>1131.6966292135</v>
      </c>
      <c r="E34">
        <v>586.20131086141998</v>
      </c>
      <c r="F34">
        <v>139.79303857009</v>
      </c>
      <c r="G34">
        <v>117.71589840075001</v>
      </c>
      <c r="I34" s="9">
        <f t="shared" si="1"/>
        <v>468.48541246066998</v>
      </c>
      <c r="J34" s="9">
        <f t="shared" si="2"/>
        <v>991.9035906434101</v>
      </c>
      <c r="K34" s="9">
        <f t="shared" si="3"/>
        <v>468.48541246066998</v>
      </c>
      <c r="L34" s="10">
        <f t="shared" si="0"/>
        <v>0.47230942289137329</v>
      </c>
      <c r="M34" s="10">
        <f t="shared" si="4"/>
        <v>0.48106365569666748</v>
      </c>
      <c r="P34" s="8">
        <f t="shared" si="5"/>
        <v>14.783674222445548</v>
      </c>
    </row>
    <row r="35" spans="1:16" x14ac:dyDescent="0.2">
      <c r="A35" s="8">
        <v>16.5</v>
      </c>
      <c r="B35" s="8">
        <v>33</v>
      </c>
      <c r="D35">
        <v>1046.8333333333001</v>
      </c>
      <c r="E35">
        <v>543.41947565543001</v>
      </c>
      <c r="F35">
        <v>139.67544684853999</v>
      </c>
      <c r="G35">
        <v>117.55503292568</v>
      </c>
      <c r="I35" s="9">
        <f t="shared" si="1"/>
        <v>425.86444272975001</v>
      </c>
      <c r="J35" s="9">
        <f t="shared" si="2"/>
        <v>907.15788648476007</v>
      </c>
      <c r="K35" s="9">
        <f t="shared" si="3"/>
        <v>425.86444272975001</v>
      </c>
      <c r="L35" s="10">
        <f t="shared" si="0"/>
        <v>0.46944908827279913</v>
      </c>
      <c r="M35" s="10">
        <f t="shared" si="4"/>
        <v>0.47847689085325878</v>
      </c>
      <c r="P35" s="8">
        <f t="shared" si="5"/>
        <v>14.166461989594767</v>
      </c>
    </row>
    <row r="36" spans="1:16" x14ac:dyDescent="0.2">
      <c r="A36" s="8">
        <v>17</v>
      </c>
      <c r="B36" s="8">
        <v>34</v>
      </c>
      <c r="D36">
        <v>1011.9048964219</v>
      </c>
      <c r="E36">
        <v>532.27589453861003</v>
      </c>
      <c r="F36">
        <v>139.72248353716</v>
      </c>
      <c r="G36">
        <v>118.01317027281</v>
      </c>
      <c r="I36" s="9">
        <f t="shared" si="1"/>
        <v>414.26272426580005</v>
      </c>
      <c r="J36" s="9">
        <f t="shared" si="2"/>
        <v>872.18241288474007</v>
      </c>
      <c r="K36" s="9">
        <f t="shared" si="3"/>
        <v>414.26272426580005</v>
      </c>
      <c r="L36" s="10">
        <f t="shared" si="0"/>
        <v>0.47497257241822571</v>
      </c>
      <c r="M36" s="10">
        <f t="shared" si="4"/>
        <v>0.48427394477385083</v>
      </c>
      <c r="P36" s="8">
        <f t="shared" si="5"/>
        <v>15.549661781953967</v>
      </c>
    </row>
    <row r="37" spans="1:16" x14ac:dyDescent="0.2">
      <c r="A37" s="8">
        <v>17.5</v>
      </c>
      <c r="B37" s="8">
        <v>35</v>
      </c>
      <c r="D37">
        <v>961.11676082863005</v>
      </c>
      <c r="E37">
        <v>525.82391713747995</v>
      </c>
      <c r="F37">
        <v>139.42897460019</v>
      </c>
      <c r="G37">
        <v>117.75729068674001</v>
      </c>
      <c r="I37" s="9">
        <f t="shared" si="1"/>
        <v>408.06662645073993</v>
      </c>
      <c r="J37" s="9">
        <f t="shared" si="2"/>
        <v>821.68778622844002</v>
      </c>
      <c r="K37" s="9">
        <f t="shared" si="3"/>
        <v>408.06662645073993</v>
      </c>
      <c r="L37" s="10">
        <f t="shared" si="0"/>
        <v>0.49662004631196022</v>
      </c>
      <c r="M37" s="10">
        <f t="shared" si="4"/>
        <v>0.50619498844275079</v>
      </c>
      <c r="P37" s="8">
        <f t="shared" si="5"/>
        <v>20.780108741126416</v>
      </c>
    </row>
    <row r="38" spans="1:16" x14ac:dyDescent="0.2">
      <c r="A38" s="8">
        <v>18</v>
      </c>
      <c r="B38" s="8">
        <v>36</v>
      </c>
      <c r="D38">
        <v>1092.4595623216001</v>
      </c>
      <c r="E38">
        <v>575.70504281637</v>
      </c>
      <c r="F38">
        <v>139.01128880527</v>
      </c>
      <c r="G38">
        <v>117.80150517404</v>
      </c>
      <c r="I38" s="9">
        <f t="shared" si="1"/>
        <v>457.90353764232998</v>
      </c>
      <c r="J38" s="9">
        <f t="shared" si="2"/>
        <v>953.44827351633012</v>
      </c>
      <c r="K38" s="9">
        <f t="shared" si="3"/>
        <v>457.90353764232998</v>
      </c>
      <c r="L38" s="10">
        <f t="shared" si="0"/>
        <v>0.48026049274133725</v>
      </c>
      <c r="M38" s="10">
        <f t="shared" si="4"/>
        <v>0.49010900464729323</v>
      </c>
      <c r="P38" s="8">
        <f t="shared" si="5"/>
        <v>16.941929943662689</v>
      </c>
    </row>
    <row r="39" spans="1:16" x14ac:dyDescent="0.2">
      <c r="A39" s="8">
        <v>18.5</v>
      </c>
      <c r="B39" s="8">
        <v>37</v>
      </c>
      <c r="D39">
        <v>1080.6260704091001</v>
      </c>
      <c r="E39">
        <v>576.70409134158001</v>
      </c>
      <c r="F39">
        <v>139.10630291627999</v>
      </c>
      <c r="G39">
        <v>117.54844778928</v>
      </c>
      <c r="I39" s="9">
        <f t="shared" si="1"/>
        <v>459.15564355230003</v>
      </c>
      <c r="J39" s="9">
        <f t="shared" si="2"/>
        <v>941.51976749282005</v>
      </c>
      <c r="K39" s="9">
        <f t="shared" si="3"/>
        <v>459.15564355230003</v>
      </c>
      <c r="L39" s="10">
        <f t="shared" si="0"/>
        <v>0.48767499037751377</v>
      </c>
      <c r="M39" s="10">
        <f t="shared" si="4"/>
        <v>0.49779707205863521</v>
      </c>
      <c r="P39" s="8">
        <f t="shared" si="5"/>
        <v>18.776332968488394</v>
      </c>
    </row>
    <row r="40" spans="1:16" x14ac:dyDescent="0.2">
      <c r="A40" s="8">
        <v>19</v>
      </c>
      <c r="B40" s="8">
        <v>38</v>
      </c>
      <c r="D40">
        <v>1165.2435775452</v>
      </c>
      <c r="E40">
        <v>612.61465271170005</v>
      </c>
      <c r="F40">
        <v>138.94167450611999</v>
      </c>
      <c r="G40">
        <v>117.60395108183999</v>
      </c>
      <c r="I40" s="9">
        <f t="shared" si="1"/>
        <v>495.01070162986002</v>
      </c>
      <c r="J40" s="9">
        <f t="shared" si="2"/>
        <v>1026.3019030390799</v>
      </c>
      <c r="K40" s="9">
        <f t="shared" si="3"/>
        <v>495.01070162986002</v>
      </c>
      <c r="L40" s="10">
        <f t="shared" si="0"/>
        <v>0.48232464556875215</v>
      </c>
      <c r="M40" s="10">
        <f t="shared" si="4"/>
        <v>0.49272029702503906</v>
      </c>
      <c r="P40" s="8">
        <f t="shared" si="5"/>
        <v>17.56499454236463</v>
      </c>
    </row>
    <row r="41" spans="1:16" x14ac:dyDescent="0.2">
      <c r="A41" s="8">
        <v>19.5</v>
      </c>
      <c r="B41" s="8">
        <v>39</v>
      </c>
      <c r="D41">
        <v>1171.4626865672001</v>
      </c>
      <c r="E41">
        <v>605.08208955223995</v>
      </c>
      <c r="F41">
        <v>139.47318908749</v>
      </c>
      <c r="G41">
        <v>117.68861712136</v>
      </c>
      <c r="I41" s="9">
        <f t="shared" si="1"/>
        <v>487.39347243087997</v>
      </c>
      <c r="J41" s="9">
        <f t="shared" si="2"/>
        <v>1031.9894974797101</v>
      </c>
      <c r="K41" s="9">
        <f t="shared" si="3"/>
        <v>487.39347243087997</v>
      </c>
      <c r="L41" s="10">
        <f t="shared" si="0"/>
        <v>0.47228530292331061</v>
      </c>
      <c r="M41" s="10">
        <f t="shared" si="4"/>
        <v>0.48295452415476292</v>
      </c>
      <c r="P41" s="8">
        <f t="shared" si="5"/>
        <v>15.234842849552098</v>
      </c>
    </row>
    <row r="42" spans="1:16" x14ac:dyDescent="0.2">
      <c r="A42" s="8">
        <v>20</v>
      </c>
      <c r="B42" s="8">
        <v>40</v>
      </c>
      <c r="D42">
        <v>1156.1470588234999</v>
      </c>
      <c r="E42">
        <v>603.65275142314999</v>
      </c>
      <c r="F42">
        <v>139.98777046096001</v>
      </c>
      <c r="G42">
        <v>118.16086547507</v>
      </c>
      <c r="I42" s="9">
        <f t="shared" si="1"/>
        <v>485.49188594807998</v>
      </c>
      <c r="J42" s="9">
        <f t="shared" si="2"/>
        <v>1016.1592883625399</v>
      </c>
      <c r="K42" s="9">
        <f t="shared" si="3"/>
        <v>485.49188594807998</v>
      </c>
      <c r="L42" s="10">
        <f t="shared" si="0"/>
        <v>0.47777143948603928</v>
      </c>
      <c r="M42" s="10">
        <f t="shared" si="4"/>
        <v>0.48871423049265705</v>
      </c>
      <c r="P42" s="8">
        <f t="shared" si="5"/>
        <v>16.609131362261241</v>
      </c>
    </row>
    <row r="43" spans="1:16" x14ac:dyDescent="0.2">
      <c r="A43" s="8">
        <v>20.5</v>
      </c>
      <c r="B43" s="8">
        <v>41</v>
      </c>
      <c r="D43">
        <v>1170.8406072106</v>
      </c>
      <c r="E43">
        <v>601.94592030361002</v>
      </c>
      <c r="F43">
        <v>139.41110065851001</v>
      </c>
      <c r="G43">
        <v>117.85512699906</v>
      </c>
      <c r="I43" s="9">
        <f t="shared" si="1"/>
        <v>484.09079330455</v>
      </c>
      <c r="J43" s="9">
        <f t="shared" si="2"/>
        <v>1031.4295065520901</v>
      </c>
      <c r="K43" s="9">
        <f t="shared" si="3"/>
        <v>484.09079330455</v>
      </c>
      <c r="L43" s="10">
        <f t="shared" si="0"/>
        <v>0.46933967879471566</v>
      </c>
      <c r="M43" s="10">
        <f t="shared" si="4"/>
        <v>0.48055603957649889</v>
      </c>
      <c r="P43" s="8">
        <f t="shared" si="5"/>
        <v>14.662555026103199</v>
      </c>
    </row>
    <row r="44" spans="1:16" x14ac:dyDescent="0.2">
      <c r="A44" s="8">
        <v>21</v>
      </c>
      <c r="B44" s="8">
        <v>42</v>
      </c>
      <c r="D44">
        <v>1206.2569245463001</v>
      </c>
      <c r="E44">
        <v>610.61318051575995</v>
      </c>
      <c r="F44">
        <v>139.13264346189999</v>
      </c>
      <c r="G44">
        <v>118.17779868297001</v>
      </c>
      <c r="I44" s="9">
        <f t="shared" si="1"/>
        <v>492.43538183278997</v>
      </c>
      <c r="J44" s="9">
        <f t="shared" si="2"/>
        <v>1067.1242810844001</v>
      </c>
      <c r="K44" s="9">
        <f t="shared" si="3"/>
        <v>492.43538183278997</v>
      </c>
      <c r="L44" s="10">
        <f t="shared" si="0"/>
        <v>0.46146019780599734</v>
      </c>
      <c r="M44" s="10">
        <f t="shared" si="4"/>
        <v>0.47295012836294598</v>
      </c>
      <c r="P44" s="8">
        <f t="shared" si="5"/>
        <v>12.847754792157046</v>
      </c>
    </row>
    <row r="45" spans="1:16" x14ac:dyDescent="0.2">
      <c r="A45" s="8">
        <v>21.5</v>
      </c>
      <c r="B45" s="8">
        <v>43</v>
      </c>
      <c r="D45">
        <v>1180.7172874881001</v>
      </c>
      <c r="E45">
        <v>600.45463228271001</v>
      </c>
      <c r="F45">
        <v>139.02445907808001</v>
      </c>
      <c r="G45">
        <v>118.06302916275</v>
      </c>
      <c r="I45" s="9">
        <f t="shared" si="1"/>
        <v>482.39160311996</v>
      </c>
      <c r="J45" s="9">
        <f t="shared" si="2"/>
        <v>1041.69282841002</v>
      </c>
      <c r="K45" s="9">
        <f t="shared" si="3"/>
        <v>482.39160311996</v>
      </c>
      <c r="L45" s="10">
        <f t="shared" si="0"/>
        <v>0.46308430850604471</v>
      </c>
      <c r="M45" s="10">
        <f t="shared" si="4"/>
        <v>0.4748478088381588</v>
      </c>
      <c r="P45" s="8">
        <f t="shared" si="5"/>
        <v>13.300548793253796</v>
      </c>
    </row>
    <row r="46" spans="1:16" x14ac:dyDescent="0.2">
      <c r="A46" s="8">
        <v>22</v>
      </c>
      <c r="B46" s="8">
        <v>44</v>
      </c>
      <c r="D46">
        <v>1151.2221180880999</v>
      </c>
      <c r="E46">
        <v>589.40955951265005</v>
      </c>
      <c r="F46">
        <v>139.18438381938</v>
      </c>
      <c r="G46">
        <v>117.71589840075001</v>
      </c>
      <c r="I46" s="9">
        <f t="shared" si="1"/>
        <v>471.69366111190004</v>
      </c>
      <c r="J46" s="9">
        <f t="shared" si="2"/>
        <v>1012.03773426872</v>
      </c>
      <c r="K46" s="9">
        <f t="shared" si="3"/>
        <v>471.69366111190004</v>
      </c>
      <c r="L46" s="10">
        <f t="shared" si="0"/>
        <v>0.4660830768852085</v>
      </c>
      <c r="M46" s="10">
        <f t="shared" si="4"/>
        <v>0.47812014699248806</v>
      </c>
      <c r="P46" s="8">
        <f t="shared" si="5"/>
        <v>14.081341505827885</v>
      </c>
    </row>
    <row r="47" spans="1:16" x14ac:dyDescent="0.2">
      <c r="A47" s="8">
        <v>22.5</v>
      </c>
      <c r="B47" s="8">
        <v>45</v>
      </c>
      <c r="D47">
        <v>1135.6972820993001</v>
      </c>
      <c r="E47">
        <v>574.86223055295</v>
      </c>
      <c r="F47">
        <v>139.45437441204001</v>
      </c>
      <c r="G47">
        <v>117.74035747883001</v>
      </c>
      <c r="I47" s="9">
        <f t="shared" si="1"/>
        <v>457.12187307412</v>
      </c>
      <c r="J47" s="9">
        <f t="shared" si="2"/>
        <v>996.24290768726007</v>
      </c>
      <c r="K47" s="9">
        <f t="shared" si="3"/>
        <v>457.12187307412</v>
      </c>
      <c r="L47" s="10">
        <f t="shared" si="0"/>
        <v>0.45884579909864653</v>
      </c>
      <c r="M47" s="10">
        <f t="shared" si="4"/>
        <v>0.4711564389810915</v>
      </c>
      <c r="P47" s="8">
        <f t="shared" si="5"/>
        <v>12.419773473624712</v>
      </c>
    </row>
    <row r="48" spans="1:16" x14ac:dyDescent="0.2">
      <c r="A48" s="8">
        <v>23</v>
      </c>
      <c r="B48" s="8">
        <v>46</v>
      </c>
      <c r="D48">
        <v>1155.3149015933</v>
      </c>
      <c r="E48">
        <v>578.91377694470998</v>
      </c>
      <c r="F48">
        <v>139.39887111946999</v>
      </c>
      <c r="G48">
        <v>118.16180620884001</v>
      </c>
      <c r="I48" s="9">
        <f t="shared" si="1"/>
        <v>460.75197073586997</v>
      </c>
      <c r="J48" s="9">
        <f t="shared" si="2"/>
        <v>1015.91603047383</v>
      </c>
      <c r="K48" s="9">
        <f t="shared" si="3"/>
        <v>460.75197073586997</v>
      </c>
      <c r="L48" s="10">
        <f t="shared" si="0"/>
        <v>0.45353351745121318</v>
      </c>
      <c r="M48" s="10">
        <f t="shared" si="4"/>
        <v>0.4661177271088236</v>
      </c>
      <c r="P48" s="8">
        <f t="shared" si="5"/>
        <v>11.217517067017578</v>
      </c>
    </row>
    <row r="49" spans="1:25" x14ac:dyDescent="0.2">
      <c r="A49" s="8">
        <v>23.5</v>
      </c>
      <c r="B49" s="8">
        <v>47</v>
      </c>
      <c r="D49">
        <v>1146.0290534208</v>
      </c>
      <c r="E49">
        <v>572.54639175258001</v>
      </c>
      <c r="F49">
        <v>139.0714957667</v>
      </c>
      <c r="G49">
        <v>118.27939793039</v>
      </c>
      <c r="I49" s="9">
        <f t="shared" si="1"/>
        <v>454.26699382218999</v>
      </c>
      <c r="J49" s="9">
        <f t="shared" si="2"/>
        <v>1006.9575576541</v>
      </c>
      <c r="K49" s="9">
        <f t="shared" si="3"/>
        <v>454.26699382218999</v>
      </c>
      <c r="L49" s="10">
        <f t="shared" si="0"/>
        <v>0.45112824306169541</v>
      </c>
      <c r="M49" s="10">
        <f t="shared" si="4"/>
        <v>0.4639860224944713</v>
      </c>
      <c r="P49" s="8">
        <f t="shared" si="5"/>
        <v>10.708883988848431</v>
      </c>
    </row>
    <row r="50" spans="1:25" x14ac:dyDescent="0.2">
      <c r="A50" s="8">
        <v>24</v>
      </c>
      <c r="B50" s="8">
        <v>48</v>
      </c>
      <c r="D50">
        <v>1169.3795688846999</v>
      </c>
      <c r="E50">
        <v>582.16307403936003</v>
      </c>
      <c r="F50">
        <v>139.82126058326</v>
      </c>
      <c r="G50">
        <v>117.45249294449999</v>
      </c>
      <c r="I50" s="9">
        <f t="shared" si="1"/>
        <v>464.71058109486</v>
      </c>
      <c r="J50" s="9">
        <f t="shared" si="2"/>
        <v>1029.5583083014399</v>
      </c>
      <c r="K50" s="9">
        <f t="shared" si="3"/>
        <v>464.71058109486</v>
      </c>
      <c r="L50" s="10">
        <f t="shared" si="0"/>
        <v>0.45136888056543117</v>
      </c>
      <c r="M50" s="10">
        <f t="shared" si="4"/>
        <v>0.46450022977337246</v>
      </c>
      <c r="P50" s="8">
        <f t="shared" si="5"/>
        <v>10.831575861504508</v>
      </c>
    </row>
    <row r="51" spans="1:25" x14ac:dyDescent="0.2">
      <c r="A51" s="8">
        <v>24.5</v>
      </c>
      <c r="B51" s="8">
        <v>49</v>
      </c>
      <c r="D51">
        <v>1145.8378378378</v>
      </c>
      <c r="E51">
        <v>576.83131407269002</v>
      </c>
      <c r="F51">
        <v>139.68015051739999</v>
      </c>
      <c r="G51">
        <v>117.87676387582</v>
      </c>
      <c r="I51" s="9">
        <f t="shared" si="1"/>
        <v>458.95455019687</v>
      </c>
      <c r="J51" s="9">
        <f t="shared" si="2"/>
        <v>1006.1576873204</v>
      </c>
      <c r="K51" s="9">
        <f t="shared" si="3"/>
        <v>458.95455019687</v>
      </c>
      <c r="L51" s="10">
        <f t="shared" si="0"/>
        <v>0.4561457473123901</v>
      </c>
      <c r="M51" s="10">
        <f t="shared" si="4"/>
        <v>0.46955066629549685</v>
      </c>
      <c r="P51" s="8">
        <f t="shared" si="5"/>
        <v>12.036629815532992</v>
      </c>
    </row>
    <row r="52" spans="1:25" x14ac:dyDescent="0.2">
      <c r="A52" s="8">
        <v>25</v>
      </c>
      <c r="B52" s="8">
        <v>50</v>
      </c>
      <c r="D52">
        <v>1129.0764212488</v>
      </c>
      <c r="E52">
        <v>569.64119291706004</v>
      </c>
      <c r="F52">
        <v>139.59266227658</v>
      </c>
      <c r="G52">
        <v>118.41580432738</v>
      </c>
      <c r="I52" s="9">
        <f t="shared" si="1"/>
        <v>451.22538858968005</v>
      </c>
      <c r="J52" s="9">
        <f t="shared" si="2"/>
        <v>989.48375897222002</v>
      </c>
      <c r="K52" s="9">
        <f t="shared" si="3"/>
        <v>451.22538858968005</v>
      </c>
      <c r="L52" s="10">
        <f t="shared" si="0"/>
        <v>0.45602101550243668</v>
      </c>
      <c r="M52" s="10">
        <f t="shared" si="4"/>
        <v>0.46969950426070889</v>
      </c>
      <c r="P52" s="8">
        <f t="shared" si="5"/>
        <v>12.072143137540428</v>
      </c>
    </row>
    <row r="53" spans="1:25" x14ac:dyDescent="0.2">
      <c r="A53" s="8">
        <v>25.5</v>
      </c>
      <c r="B53" s="8">
        <v>51</v>
      </c>
      <c r="D53">
        <v>1138.9784037559</v>
      </c>
      <c r="E53">
        <v>568.67793427230004</v>
      </c>
      <c r="F53">
        <v>139.41110065851001</v>
      </c>
      <c r="G53">
        <v>117.70366886171</v>
      </c>
      <c r="I53" s="9">
        <f t="shared" si="1"/>
        <v>450.97426541059002</v>
      </c>
      <c r="J53" s="9">
        <f t="shared" si="2"/>
        <v>999.56730309738998</v>
      </c>
      <c r="K53" s="9">
        <f t="shared" si="3"/>
        <v>450.97426541059002</v>
      </c>
      <c r="L53" s="10">
        <f t="shared" si="0"/>
        <v>0.45116948504932303</v>
      </c>
      <c r="M53" s="10">
        <f t="shared" si="4"/>
        <v>0.4651215435827607</v>
      </c>
      <c r="P53" s="8">
        <f t="shared" si="5"/>
        <v>10.979823772237747</v>
      </c>
      <c r="S53" s="11"/>
      <c r="U53" s="12"/>
    </row>
    <row r="54" spans="1:25" x14ac:dyDescent="0.2">
      <c r="A54" s="8">
        <v>26</v>
      </c>
      <c r="B54" s="8">
        <v>52</v>
      </c>
      <c r="D54">
        <v>1122.3051643193</v>
      </c>
      <c r="E54">
        <v>555.96244131455001</v>
      </c>
      <c r="F54">
        <v>139.38005644403</v>
      </c>
      <c r="G54">
        <v>117.91439322671999</v>
      </c>
      <c r="I54" s="9">
        <f t="shared" si="1"/>
        <v>438.04804808783001</v>
      </c>
      <c r="J54" s="9">
        <f t="shared" si="2"/>
        <v>982.92510787526999</v>
      </c>
      <c r="K54" s="9">
        <f t="shared" si="3"/>
        <v>438.04804808783001</v>
      </c>
      <c r="L54" s="10">
        <f t="shared" si="0"/>
        <v>0.44565760359375917</v>
      </c>
      <c r="M54" s="10">
        <f t="shared" si="4"/>
        <v>0.45988323190236224</v>
      </c>
      <c r="P54" s="8">
        <f t="shared" si="5"/>
        <v>9.7299420688948999</v>
      </c>
      <c r="S54" s="11"/>
    </row>
    <row r="55" spans="1:25" x14ac:dyDescent="0.2">
      <c r="A55" s="8">
        <v>26.5</v>
      </c>
      <c r="B55" s="8">
        <v>53</v>
      </c>
      <c r="D55">
        <v>1124.3192488263001</v>
      </c>
      <c r="E55">
        <v>556.46572769953002</v>
      </c>
      <c r="F55">
        <v>139.47224835372</v>
      </c>
      <c r="G55">
        <v>117.93885230479999</v>
      </c>
      <c r="I55" s="9">
        <f t="shared" si="1"/>
        <v>438.52687539473004</v>
      </c>
      <c r="J55" s="9">
        <f t="shared" si="2"/>
        <v>984.84700047258002</v>
      </c>
      <c r="K55" s="9">
        <f t="shared" si="3"/>
        <v>438.52687539473004</v>
      </c>
      <c r="L55" s="10">
        <f t="shared" si="0"/>
        <v>0.44527411383118637</v>
      </c>
      <c r="M55" s="10">
        <f t="shared" si="4"/>
        <v>0.45977331191495491</v>
      </c>
      <c r="P55" s="8">
        <f t="shared" si="5"/>
        <v>9.7037147289666166</v>
      </c>
      <c r="S55" s="11"/>
    </row>
    <row r="56" spans="1:25" x14ac:dyDescent="0.2">
      <c r="A56" s="8">
        <v>27</v>
      </c>
      <c r="B56" s="8">
        <v>54</v>
      </c>
      <c r="D56">
        <v>1119.1830985915999</v>
      </c>
      <c r="E56">
        <v>550.68732394365998</v>
      </c>
      <c r="F56">
        <v>139.48635936030001</v>
      </c>
      <c r="G56">
        <v>118.00470366886</v>
      </c>
      <c r="I56" s="9">
        <f t="shared" si="1"/>
        <v>432.6826202748</v>
      </c>
      <c r="J56" s="9">
        <f t="shared" si="2"/>
        <v>979.69673923129994</v>
      </c>
      <c r="K56" s="9">
        <f t="shared" si="3"/>
        <v>432.6826202748</v>
      </c>
      <c r="L56" s="10">
        <f t="shared" si="0"/>
        <v>0.44164954617925545</v>
      </c>
      <c r="M56" s="10">
        <f t="shared" si="4"/>
        <v>0.45642231403818945</v>
      </c>
      <c r="P56" s="8">
        <f t="shared" si="5"/>
        <v>8.9041534982398343</v>
      </c>
      <c r="S56" s="11"/>
    </row>
    <row r="57" spans="1:25" x14ac:dyDescent="0.2">
      <c r="A57" s="8">
        <v>27.5</v>
      </c>
      <c r="B57" s="8">
        <v>55</v>
      </c>
      <c r="D57">
        <v>1115.1624413146001</v>
      </c>
      <c r="E57">
        <v>546.62065727699996</v>
      </c>
      <c r="F57">
        <v>139.77140169332</v>
      </c>
      <c r="G57">
        <v>118.31326434619</v>
      </c>
      <c r="I57" s="9">
        <f t="shared" si="1"/>
        <v>428.30739293080995</v>
      </c>
      <c r="J57" s="9">
        <f t="shared" si="2"/>
        <v>975.39103962128002</v>
      </c>
      <c r="K57" s="9">
        <f t="shared" si="3"/>
        <v>428.30739293080995</v>
      </c>
      <c r="L57" s="10">
        <f t="shared" si="0"/>
        <v>0.4391135201499401</v>
      </c>
      <c r="M57" s="10">
        <f t="shared" si="4"/>
        <v>0.4541598577840395</v>
      </c>
      <c r="P57" s="8">
        <f t="shared" si="5"/>
        <v>8.364322566213179</v>
      </c>
      <c r="S57" s="11"/>
    </row>
    <row r="58" spans="1:25" x14ac:dyDescent="0.2">
      <c r="A58" s="8">
        <v>28</v>
      </c>
      <c r="B58" s="8">
        <v>56</v>
      </c>
      <c r="D58">
        <v>1117.7370892019001</v>
      </c>
      <c r="E58">
        <v>548.67230046947998</v>
      </c>
      <c r="F58">
        <v>139.69896519285001</v>
      </c>
      <c r="G58">
        <v>117.97836312324</v>
      </c>
      <c r="I58" s="9">
        <f t="shared" si="1"/>
        <v>430.69393734623998</v>
      </c>
      <c r="J58" s="9">
        <f t="shared" si="2"/>
        <v>978.03812400905008</v>
      </c>
      <c r="K58" s="9">
        <f t="shared" si="3"/>
        <v>430.69393734623998</v>
      </c>
      <c r="L58" s="10">
        <f t="shared" si="0"/>
        <v>0.44036518288345849</v>
      </c>
      <c r="M58" s="10">
        <f t="shared" si="4"/>
        <v>0.45568509029272336</v>
      </c>
      <c r="P58" s="8">
        <f t="shared" si="5"/>
        <v>8.7282490223423892</v>
      </c>
      <c r="S58" s="11"/>
    </row>
    <row r="59" spans="1:25" x14ac:dyDescent="0.2">
      <c r="A59" s="8">
        <v>28.5</v>
      </c>
      <c r="B59" s="8">
        <v>57</v>
      </c>
      <c r="D59">
        <v>1133.2948356807999</v>
      </c>
      <c r="E59">
        <v>548.78685446009001</v>
      </c>
      <c r="F59">
        <v>140.37347130762001</v>
      </c>
      <c r="G59">
        <v>118.04327375353</v>
      </c>
      <c r="I59" s="9">
        <f t="shared" si="1"/>
        <v>430.74358070656001</v>
      </c>
      <c r="J59" s="9">
        <f t="shared" si="2"/>
        <v>992.92136437317993</v>
      </c>
      <c r="K59" s="9">
        <f t="shared" si="3"/>
        <v>430.74358070656001</v>
      </c>
      <c r="L59" s="10">
        <f t="shared" si="0"/>
        <v>0.43381439473656969</v>
      </c>
      <c r="M59" s="10">
        <f t="shared" si="4"/>
        <v>0.44940787192100001</v>
      </c>
      <c r="P59" s="8">
        <f t="shared" si="5"/>
        <v>7.2304801094953035</v>
      </c>
      <c r="R59" s="1"/>
      <c r="S59" s="11"/>
    </row>
    <row r="60" spans="1:25" x14ac:dyDescent="0.2">
      <c r="A60" s="8">
        <v>29</v>
      </c>
      <c r="B60" s="8">
        <v>58</v>
      </c>
      <c r="D60">
        <v>1158.5154929578</v>
      </c>
      <c r="E60">
        <v>559.12676056338</v>
      </c>
      <c r="F60">
        <v>139.76669802446</v>
      </c>
      <c r="G60">
        <v>117.74412041392</v>
      </c>
      <c r="I60" s="9">
        <f t="shared" si="1"/>
        <v>441.38264014946003</v>
      </c>
      <c r="J60" s="9">
        <f t="shared" si="2"/>
        <v>1018.74879493334</v>
      </c>
      <c r="K60" s="9">
        <f t="shared" si="3"/>
        <v>441.38264014946003</v>
      </c>
      <c r="L60" s="10">
        <f t="shared" si="0"/>
        <v>0.43325954577285275</v>
      </c>
      <c r="M60" s="10">
        <f t="shared" si="4"/>
        <v>0.44912659273244848</v>
      </c>
      <c r="P60" s="8">
        <f t="shared" si="5"/>
        <v>7.1633657923733915</v>
      </c>
      <c r="S60" s="11"/>
    </row>
    <row r="61" spans="1:25" x14ac:dyDescent="0.2">
      <c r="A61" s="8">
        <v>29.5</v>
      </c>
      <c r="B61" s="8">
        <v>59</v>
      </c>
      <c r="C61" s="2"/>
      <c r="D61">
        <v>1173.7107981221</v>
      </c>
      <c r="E61">
        <v>559.92769953052004</v>
      </c>
      <c r="F61">
        <v>139.60395108183999</v>
      </c>
      <c r="G61">
        <v>118.15145813735001</v>
      </c>
      <c r="I61" s="9">
        <f t="shared" si="1"/>
        <v>441.77624139317004</v>
      </c>
      <c r="J61" s="9">
        <f t="shared" si="2"/>
        <v>1034.1068470402599</v>
      </c>
      <c r="K61" s="9">
        <f t="shared" si="3"/>
        <v>441.77624139317004</v>
      </c>
      <c r="L61" s="10">
        <f t="shared" si="0"/>
        <v>0.4272056051631295</v>
      </c>
      <c r="M61" s="10">
        <f t="shared" si="4"/>
        <v>0.44334622189789069</v>
      </c>
      <c r="P61" s="8">
        <f t="shared" si="5"/>
        <v>5.7841466497467247</v>
      </c>
      <c r="S61" s="11"/>
    </row>
    <row r="62" spans="1:25" x14ac:dyDescent="0.2">
      <c r="A62" s="8">
        <v>30</v>
      </c>
      <c r="B62" s="8">
        <v>60</v>
      </c>
      <c r="D62">
        <v>1184.3395696913001</v>
      </c>
      <c r="E62">
        <v>559.87371375117004</v>
      </c>
      <c r="F62">
        <v>140.21542803387001</v>
      </c>
      <c r="G62">
        <v>117.87111947319001</v>
      </c>
      <c r="I62" s="9">
        <f t="shared" si="1"/>
        <v>442.00259427798005</v>
      </c>
      <c r="J62" s="9">
        <f t="shared" si="2"/>
        <v>1044.1241416574301</v>
      </c>
      <c r="K62" s="9">
        <f t="shared" si="3"/>
        <v>442.00259427798005</v>
      </c>
      <c r="L62" s="10">
        <f t="shared" si="0"/>
        <v>0.42332379517281388</v>
      </c>
      <c r="M62" s="10">
        <f t="shared" si="4"/>
        <v>0.43973798168274053</v>
      </c>
      <c r="P62" s="8">
        <f t="shared" si="5"/>
        <v>4.9232063885824644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1191.2188961646</v>
      </c>
      <c r="E63">
        <v>558.78391019645005</v>
      </c>
      <c r="F63">
        <v>139.58795860770999</v>
      </c>
      <c r="G63">
        <v>117.73565380997</v>
      </c>
      <c r="I63" s="9">
        <f t="shared" si="1"/>
        <v>441.04825638648003</v>
      </c>
      <c r="J63" s="9">
        <f t="shared" si="2"/>
        <v>1051.6309375568899</v>
      </c>
      <c r="K63" s="9">
        <f t="shared" si="3"/>
        <v>441.04825638648003</v>
      </c>
      <c r="L63" s="10">
        <f t="shared" si="0"/>
        <v>0.41939452391074289</v>
      </c>
      <c r="M63" s="10">
        <f t="shared" si="4"/>
        <v>0.436082280195835</v>
      </c>
      <c r="P63" s="8">
        <f t="shared" si="5"/>
        <v>4.0509416819090918</v>
      </c>
    </row>
    <row r="64" spans="1:25" x14ac:dyDescent="0.2">
      <c r="A64" s="8">
        <v>31</v>
      </c>
      <c r="B64" s="8">
        <v>62</v>
      </c>
      <c r="D64">
        <v>1163.1075771748999</v>
      </c>
      <c r="E64">
        <v>552.75865294667994</v>
      </c>
      <c r="F64">
        <v>139.34054562559001</v>
      </c>
      <c r="G64">
        <v>117.88052681091</v>
      </c>
      <c r="I64" s="9">
        <f t="shared" si="1"/>
        <v>434.87812613576995</v>
      </c>
      <c r="J64" s="9">
        <f t="shared" si="2"/>
        <v>1023.7670315493099</v>
      </c>
      <c r="K64" s="9">
        <f t="shared" si="3"/>
        <v>434.87812613576995</v>
      </c>
      <c r="L64" s="10">
        <f t="shared" si="0"/>
        <v>0.42478231153590729</v>
      </c>
      <c r="M64" s="10">
        <f t="shared" si="4"/>
        <v>0.44174363759616481</v>
      </c>
      <c r="P64" s="8">
        <f t="shared" si="5"/>
        <v>5.4017637525459055</v>
      </c>
      <c r="U64" s="8">
        <v>30.5</v>
      </c>
      <c r="V64" s="10">
        <f>L62</f>
        <v>0.42332379517281388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1171.2288135593001</v>
      </c>
      <c r="E65">
        <v>551.06308851224003</v>
      </c>
      <c r="F65">
        <v>139.70837253056999</v>
      </c>
      <c r="G65">
        <v>118.34524929445</v>
      </c>
      <c r="I65" s="9">
        <f t="shared" si="1"/>
        <v>432.71783921779002</v>
      </c>
      <c r="J65" s="9">
        <f t="shared" si="2"/>
        <v>1031.5204410287301</v>
      </c>
      <c r="K65" s="9">
        <f t="shared" si="3"/>
        <v>432.71783921779002</v>
      </c>
      <c r="L65" s="10">
        <f t="shared" si="0"/>
        <v>0.41949516655844715</v>
      </c>
      <c r="M65" s="10">
        <f t="shared" si="4"/>
        <v>0.43673006239387013</v>
      </c>
      <c r="P65" s="8">
        <f t="shared" si="5"/>
        <v>4.2055050539407723</v>
      </c>
      <c r="U65" s="8">
        <v>31</v>
      </c>
      <c r="V65" s="10">
        <f t="shared" ref="V65:V83" si="6">L63</f>
        <v>0.41939452391074289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1122.7514124294</v>
      </c>
      <c r="E66">
        <v>531.77589453861003</v>
      </c>
      <c r="F66">
        <v>139.54562558795999</v>
      </c>
      <c r="G66">
        <v>118.04515522107</v>
      </c>
      <c r="I66" s="9">
        <f t="shared" si="1"/>
        <v>413.73073931754004</v>
      </c>
      <c r="J66" s="9">
        <f t="shared" si="2"/>
        <v>983.20578684144004</v>
      </c>
      <c r="K66" s="9">
        <f t="shared" si="3"/>
        <v>413.73073931754004</v>
      </c>
      <c r="L66" s="10">
        <f t="shared" ref="L66:L129" si="7">K66/J66</f>
        <v>0.4207977056834204</v>
      </c>
      <c r="M66" s="10">
        <f t="shared" si="4"/>
        <v>0.43830617129400884</v>
      </c>
      <c r="P66" s="8">
        <f t="shared" si="5"/>
        <v>4.5815708165281066</v>
      </c>
      <c r="U66" s="8">
        <v>31.5</v>
      </c>
      <c r="V66" s="10">
        <f t="shared" si="6"/>
        <v>0.42478231153590729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1115.0187617260999</v>
      </c>
      <c r="E67">
        <v>527.37335834896999</v>
      </c>
      <c r="F67">
        <v>140.00282220131999</v>
      </c>
      <c r="G67">
        <v>118.04703668862</v>
      </c>
      <c r="I67" s="9">
        <f t="shared" ref="I67:I130" si="8">E67-G67</f>
        <v>409.32632166035</v>
      </c>
      <c r="J67" s="9">
        <f t="shared" ref="J67:J130" si="9">D67-F67</f>
        <v>975.01593952477992</v>
      </c>
      <c r="K67" s="9">
        <f t="shared" ref="K67:K130" si="10">I67*1</f>
        <v>409.32632166035</v>
      </c>
      <c r="L67" s="10">
        <f t="shared" si="7"/>
        <v>0.41981500513710013</v>
      </c>
      <c r="M67" s="10">
        <f t="shared" ref="M67:M130" si="11">L67+ABS($N$2)*A67</f>
        <v>0.43759704052285398</v>
      </c>
      <c r="P67" s="8">
        <f t="shared" ref="P67:P130" si="12">(M67-$O$2)/$O$2*100</f>
        <v>4.4123694344376752</v>
      </c>
      <c r="U67" s="8">
        <v>32</v>
      </c>
      <c r="V67" s="10">
        <f t="shared" si="6"/>
        <v>0.41949516655844715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1076.4812382739001</v>
      </c>
      <c r="E68">
        <v>511.50187617261003</v>
      </c>
      <c r="F68">
        <v>139.83160865475</v>
      </c>
      <c r="G68">
        <v>117.65475070555</v>
      </c>
      <c r="I68" s="9">
        <f t="shared" si="8"/>
        <v>393.84712546706004</v>
      </c>
      <c r="J68" s="9">
        <f t="shared" si="9"/>
        <v>936.64962961915012</v>
      </c>
      <c r="K68" s="9">
        <f t="shared" si="10"/>
        <v>393.84712546706004</v>
      </c>
      <c r="L68" s="10">
        <f t="shared" si="7"/>
        <v>0.42048500635953029</v>
      </c>
      <c r="M68" s="10">
        <f t="shared" si="11"/>
        <v>0.4385406115204496</v>
      </c>
      <c r="P68" s="8">
        <f t="shared" si="12"/>
        <v>4.637509173661825</v>
      </c>
      <c r="U68" s="8">
        <v>32.5</v>
      </c>
      <c r="V68" s="10">
        <f t="shared" si="6"/>
        <v>0.4207977056834204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1079.4214953271</v>
      </c>
      <c r="E69">
        <v>507.78130841121998</v>
      </c>
      <c r="F69">
        <v>139.85136406397001</v>
      </c>
      <c r="G69">
        <v>117.97365945436999</v>
      </c>
      <c r="I69" s="9">
        <f t="shared" si="8"/>
        <v>389.80764895685002</v>
      </c>
      <c r="J69" s="9">
        <f t="shared" si="9"/>
        <v>939.57013126313007</v>
      </c>
      <c r="K69" s="9">
        <f t="shared" si="10"/>
        <v>389.80764895685002</v>
      </c>
      <c r="L69" s="10">
        <f t="shared" si="7"/>
        <v>0.4148787152618445</v>
      </c>
      <c r="M69" s="10">
        <f t="shared" si="11"/>
        <v>0.43320789019792927</v>
      </c>
      <c r="P69" s="8">
        <f t="shared" si="12"/>
        <v>3.3651009595829278</v>
      </c>
      <c r="U69" s="8">
        <v>33</v>
      </c>
      <c r="V69" s="10">
        <f t="shared" si="6"/>
        <v>0.41981500513710013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1079.7373831775999</v>
      </c>
      <c r="E70">
        <v>505.34018691589</v>
      </c>
      <c r="F70">
        <v>139.93038570085</v>
      </c>
      <c r="G70">
        <v>118.09783631232</v>
      </c>
      <c r="I70" s="9">
        <f t="shared" si="8"/>
        <v>387.24235060357</v>
      </c>
      <c r="J70" s="9">
        <f t="shared" si="9"/>
        <v>939.80699747674987</v>
      </c>
      <c r="K70" s="9">
        <f t="shared" si="10"/>
        <v>387.24235060357</v>
      </c>
      <c r="L70" s="10">
        <f t="shared" si="7"/>
        <v>0.41204454919282518</v>
      </c>
      <c r="M70" s="10">
        <f t="shared" si="11"/>
        <v>0.43064729390407536</v>
      </c>
      <c r="P70" s="8">
        <f t="shared" si="12"/>
        <v>2.7541326452477128</v>
      </c>
      <c r="U70" s="8">
        <v>33.5</v>
      </c>
      <c r="V70" s="10">
        <f t="shared" si="6"/>
        <v>0.42048500635953029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1072.1644859813</v>
      </c>
      <c r="E71">
        <v>496.61869158879</v>
      </c>
      <c r="F71">
        <v>140.13452492945001</v>
      </c>
      <c r="G71">
        <v>118.05926622766</v>
      </c>
      <c r="I71" s="9">
        <f t="shared" si="8"/>
        <v>378.55942536113002</v>
      </c>
      <c r="J71" s="9">
        <f t="shared" si="9"/>
        <v>932.02996105185002</v>
      </c>
      <c r="K71" s="9">
        <f t="shared" si="10"/>
        <v>378.55942536113002</v>
      </c>
      <c r="L71" s="10">
        <f t="shared" si="7"/>
        <v>0.40616658388739318</v>
      </c>
      <c r="M71" s="10">
        <f t="shared" si="11"/>
        <v>0.42504289837380882</v>
      </c>
      <c r="P71" s="8">
        <f t="shared" si="12"/>
        <v>1.4169019001226444</v>
      </c>
      <c r="U71" s="8">
        <v>34</v>
      </c>
      <c r="V71" s="10">
        <f t="shared" si="6"/>
        <v>0.4148787152618445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1072.5728971962999</v>
      </c>
      <c r="E72">
        <v>489.77570093458002</v>
      </c>
      <c r="F72">
        <v>140.04609595484999</v>
      </c>
      <c r="G72">
        <v>117.95484477893</v>
      </c>
      <c r="I72" s="9">
        <f t="shared" si="8"/>
        <v>371.82085615565001</v>
      </c>
      <c r="J72" s="9">
        <f t="shared" si="9"/>
        <v>932.5268012414499</v>
      </c>
      <c r="K72" s="9">
        <f t="shared" si="10"/>
        <v>371.82085615565001</v>
      </c>
      <c r="L72" s="10">
        <f t="shared" si="7"/>
        <v>0.3987240427413497</v>
      </c>
      <c r="M72" s="10">
        <f t="shared" si="11"/>
        <v>0.4178739270029308</v>
      </c>
      <c r="P72" s="8">
        <f t="shared" si="12"/>
        <v>-0.29364277437208652</v>
      </c>
      <c r="U72" s="8">
        <v>34.5</v>
      </c>
      <c r="V72" s="10">
        <f t="shared" si="6"/>
        <v>0.41204454919282518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1107.5887850467</v>
      </c>
      <c r="E73">
        <v>497.62710280374</v>
      </c>
      <c r="F73">
        <v>140.33490122295001</v>
      </c>
      <c r="G73">
        <v>117.66133584196</v>
      </c>
      <c r="I73" s="9">
        <f t="shared" si="8"/>
        <v>379.96576696177999</v>
      </c>
      <c r="J73" s="9">
        <f t="shared" si="9"/>
        <v>967.2538838237499</v>
      </c>
      <c r="K73" s="9">
        <f t="shared" si="10"/>
        <v>379.96576696177999</v>
      </c>
      <c r="L73" s="10">
        <f t="shared" si="7"/>
        <v>0.3928294042715017</v>
      </c>
      <c r="M73" s="10">
        <f t="shared" si="11"/>
        <v>0.4122528583082482</v>
      </c>
      <c r="P73" s="8">
        <f t="shared" si="12"/>
        <v>-1.6348518018926912</v>
      </c>
      <c r="U73" s="8">
        <v>35</v>
      </c>
      <c r="V73" s="10">
        <f t="shared" si="6"/>
        <v>0.40616658388739318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1111.3457943925</v>
      </c>
      <c r="E74">
        <v>495.73177570093998</v>
      </c>
      <c r="F74">
        <v>139.87582314205</v>
      </c>
      <c r="G74">
        <v>118.40921919097001</v>
      </c>
      <c r="I74" s="9">
        <f t="shared" si="8"/>
        <v>377.32255650996996</v>
      </c>
      <c r="J74" s="9">
        <f t="shared" si="9"/>
        <v>971.46997125045004</v>
      </c>
      <c r="K74" s="9">
        <f t="shared" si="10"/>
        <v>377.32255650996996</v>
      </c>
      <c r="L74" s="10">
        <f t="shared" si="7"/>
        <v>0.38840372597857092</v>
      </c>
      <c r="M74" s="10">
        <f t="shared" si="11"/>
        <v>0.40810074979048289</v>
      </c>
      <c r="P74" s="8">
        <f t="shared" si="12"/>
        <v>-2.6255611722549572</v>
      </c>
      <c r="U74" s="8">
        <v>35.5</v>
      </c>
      <c r="V74" s="10">
        <f t="shared" si="6"/>
        <v>0.3987240427413497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1164.3</v>
      </c>
      <c r="E75">
        <v>510.17809523810001</v>
      </c>
      <c r="F75">
        <v>140.21542803387001</v>
      </c>
      <c r="G75">
        <v>118.21072436500999</v>
      </c>
      <c r="I75" s="9">
        <f t="shared" si="8"/>
        <v>391.96737087309003</v>
      </c>
      <c r="J75" s="9">
        <f t="shared" si="9"/>
        <v>1024.0845719661299</v>
      </c>
      <c r="K75" s="9">
        <f t="shared" si="10"/>
        <v>391.96737087309003</v>
      </c>
      <c r="L75" s="10">
        <f t="shared" si="7"/>
        <v>0.38274902444878717</v>
      </c>
      <c r="M75" s="10">
        <f t="shared" si="11"/>
        <v>0.40271961803586459</v>
      </c>
      <c r="P75" s="8">
        <f t="shared" si="12"/>
        <v>-3.9095203052218217</v>
      </c>
      <c r="U75" s="8">
        <v>36</v>
      </c>
      <c r="V75" s="10">
        <f t="shared" si="6"/>
        <v>0.3928294042715017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1160.0819047619</v>
      </c>
      <c r="E76">
        <v>508.42761904762</v>
      </c>
      <c r="F76">
        <v>140.28316086548</v>
      </c>
      <c r="G76">
        <v>118.18908748824001</v>
      </c>
      <c r="I76" s="9">
        <f t="shared" si="8"/>
        <v>390.23853155938002</v>
      </c>
      <c r="J76" s="9">
        <f t="shared" si="9"/>
        <v>1019.79874389642</v>
      </c>
      <c r="K76" s="9">
        <f t="shared" si="10"/>
        <v>390.23853155938002</v>
      </c>
      <c r="L76" s="10">
        <f t="shared" si="7"/>
        <v>0.38266229870843632</v>
      </c>
      <c r="M76" s="10">
        <f t="shared" si="11"/>
        <v>0.40290646207067921</v>
      </c>
      <c r="P76" s="8">
        <f t="shared" si="12"/>
        <v>-3.8649385860073249</v>
      </c>
      <c r="U76" s="8">
        <v>36.5</v>
      </c>
      <c r="V76" s="10">
        <f t="shared" si="6"/>
        <v>0.38840372597857092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1183.8438095238</v>
      </c>
      <c r="E77">
        <v>512.76095238095002</v>
      </c>
      <c r="F77">
        <v>140.51175917214999</v>
      </c>
      <c r="G77">
        <v>118.13358419567</v>
      </c>
      <c r="I77" s="9">
        <f t="shared" si="8"/>
        <v>394.62736818528003</v>
      </c>
      <c r="J77" s="9">
        <f t="shared" si="9"/>
        <v>1043.33205035165</v>
      </c>
      <c r="K77" s="9">
        <f t="shared" si="10"/>
        <v>394.62736818528003</v>
      </c>
      <c r="L77" s="10">
        <f t="shared" si="7"/>
        <v>0.3782375592240963</v>
      </c>
      <c r="M77" s="10">
        <f t="shared" si="11"/>
        <v>0.39875529236150459</v>
      </c>
      <c r="P77" s="8">
        <f t="shared" si="12"/>
        <v>-4.8554239529593239</v>
      </c>
      <c r="U77" s="8">
        <v>37</v>
      </c>
      <c r="V77" s="10">
        <f t="shared" si="6"/>
        <v>0.38274902444878717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1176.2220131703</v>
      </c>
      <c r="E78">
        <v>508.66698024458998</v>
      </c>
      <c r="F78">
        <v>139.87582314205</v>
      </c>
      <c r="G78">
        <v>118.00470366886</v>
      </c>
      <c r="I78" s="9">
        <f t="shared" si="8"/>
        <v>390.66227657572995</v>
      </c>
      <c r="J78" s="9">
        <f t="shared" si="9"/>
        <v>1036.34619002825</v>
      </c>
      <c r="K78" s="9">
        <f t="shared" si="10"/>
        <v>390.66227657572995</v>
      </c>
      <c r="L78" s="10">
        <f t="shared" si="7"/>
        <v>0.37696117410831681</v>
      </c>
      <c r="M78" s="10">
        <f t="shared" si="11"/>
        <v>0.39775247702089056</v>
      </c>
      <c r="P78" s="8">
        <f t="shared" si="12"/>
        <v>-5.0946996246905742</v>
      </c>
      <c r="U78" s="8">
        <v>37.5</v>
      </c>
      <c r="V78" s="10">
        <f t="shared" si="6"/>
        <v>0.38266229870843632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1166.7685794920001</v>
      </c>
      <c r="E79">
        <v>506.00094073376999</v>
      </c>
      <c r="F79">
        <v>139.89087488241</v>
      </c>
      <c r="G79">
        <v>117.85418626529</v>
      </c>
      <c r="I79" s="9">
        <f t="shared" si="8"/>
        <v>388.14675446848003</v>
      </c>
      <c r="J79" s="9">
        <f t="shared" si="9"/>
        <v>1026.8777046095902</v>
      </c>
      <c r="K79" s="9">
        <f t="shared" si="10"/>
        <v>388.14675446848003</v>
      </c>
      <c r="L79" s="10">
        <f t="shared" si="7"/>
        <v>0.37798732285851894</v>
      </c>
      <c r="M79" s="10">
        <f t="shared" si="11"/>
        <v>0.39905219554625815</v>
      </c>
      <c r="P79" s="8">
        <f t="shared" si="12"/>
        <v>-4.7845816890909258</v>
      </c>
      <c r="U79" s="8">
        <v>38</v>
      </c>
      <c r="V79" s="10">
        <f t="shared" si="6"/>
        <v>0.3782375592240963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1148.6378174977001</v>
      </c>
      <c r="E80">
        <v>492.98024459077999</v>
      </c>
      <c r="F80">
        <v>140.21542803387001</v>
      </c>
      <c r="G80">
        <v>118.25493885231</v>
      </c>
      <c r="I80" s="9">
        <f t="shared" si="8"/>
        <v>374.72530573846996</v>
      </c>
      <c r="J80" s="9">
        <f t="shared" si="9"/>
        <v>1008.4223894638301</v>
      </c>
      <c r="K80" s="9">
        <f t="shared" si="10"/>
        <v>374.72530573846996</v>
      </c>
      <c r="L80" s="10">
        <f t="shared" si="7"/>
        <v>0.37159558301527629</v>
      </c>
      <c r="M80" s="10">
        <f t="shared" si="11"/>
        <v>0.3929340254781809</v>
      </c>
      <c r="P80" s="8">
        <f t="shared" si="12"/>
        <v>-6.2444010531513587</v>
      </c>
      <c r="U80" s="8">
        <v>38.5</v>
      </c>
      <c r="V80" s="10">
        <f t="shared" si="6"/>
        <v>0.37696117410831681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1187.3390639924</v>
      </c>
      <c r="E81">
        <v>506.30181470869002</v>
      </c>
      <c r="F81">
        <v>140.03762935089</v>
      </c>
      <c r="G81">
        <v>118.28033866416</v>
      </c>
      <c r="I81" s="9">
        <f t="shared" si="8"/>
        <v>388.02147604453</v>
      </c>
      <c r="J81" s="9">
        <f t="shared" si="9"/>
        <v>1047.30143464151</v>
      </c>
      <c r="K81" s="9">
        <f t="shared" si="10"/>
        <v>388.02147604453</v>
      </c>
      <c r="L81" s="10">
        <f t="shared" si="7"/>
        <v>0.37049646186854435</v>
      </c>
      <c r="M81" s="10">
        <f t="shared" si="11"/>
        <v>0.39210847410661442</v>
      </c>
      <c r="P81" s="8">
        <f t="shared" si="12"/>
        <v>-6.4413808469180491</v>
      </c>
      <c r="U81" s="8">
        <v>39</v>
      </c>
      <c r="V81" s="10">
        <f t="shared" si="6"/>
        <v>0.37798732285851894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1137.9637058262001</v>
      </c>
      <c r="E82">
        <v>489.39063992359002</v>
      </c>
      <c r="F82">
        <v>140.65945437440999</v>
      </c>
      <c r="G82">
        <v>118.19379115709999</v>
      </c>
      <c r="H82" s="13"/>
      <c r="I82" s="14">
        <f t="shared" si="8"/>
        <v>371.19684876649001</v>
      </c>
      <c r="J82" s="14">
        <f t="shared" si="9"/>
        <v>997.30425145179015</v>
      </c>
      <c r="K82" s="9">
        <f t="shared" si="10"/>
        <v>371.19684876649001</v>
      </c>
      <c r="L82" s="15">
        <f t="shared" si="7"/>
        <v>0.37220020693397565</v>
      </c>
      <c r="M82" s="15">
        <f t="shared" si="11"/>
        <v>0.39408578894721119</v>
      </c>
      <c r="N82" s="13"/>
      <c r="O82" s="13"/>
      <c r="P82" s="13">
        <f t="shared" si="12"/>
        <v>-5.9695857740402571</v>
      </c>
      <c r="U82" s="8">
        <v>39.5</v>
      </c>
      <c r="V82" s="10">
        <f t="shared" si="6"/>
        <v>0.37159558301527629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1172.2101241642999</v>
      </c>
      <c r="E83">
        <v>494.14517669532</v>
      </c>
      <c r="F83">
        <v>140.51740357478999</v>
      </c>
      <c r="G83">
        <v>118.24929444967</v>
      </c>
      <c r="I83" s="9">
        <f t="shared" si="8"/>
        <v>375.89588224565</v>
      </c>
      <c r="J83" s="9">
        <f t="shared" si="9"/>
        <v>1031.6927205895099</v>
      </c>
      <c r="K83" s="9">
        <f t="shared" si="10"/>
        <v>375.89588224565</v>
      </c>
      <c r="L83" s="10">
        <f t="shared" si="7"/>
        <v>0.36434868129229686</v>
      </c>
      <c r="M83" s="10">
        <f t="shared" si="11"/>
        <v>0.3865078330806978</v>
      </c>
      <c r="P83" s="8">
        <f t="shared" si="12"/>
        <v>-7.7777157525859799</v>
      </c>
      <c r="U83" s="8">
        <v>40</v>
      </c>
      <c r="V83" s="10">
        <f t="shared" si="6"/>
        <v>0.37049646186854435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1181.8691499521999</v>
      </c>
      <c r="E84">
        <v>487.01623686724002</v>
      </c>
      <c r="F84">
        <v>140.37817497648001</v>
      </c>
      <c r="G84">
        <v>118.32549388523</v>
      </c>
      <c r="I84" s="9">
        <f t="shared" si="8"/>
        <v>368.69074298201002</v>
      </c>
      <c r="J84" s="9">
        <f t="shared" si="9"/>
        <v>1041.4909749757198</v>
      </c>
      <c r="K84" s="9">
        <f t="shared" si="10"/>
        <v>368.69074298201002</v>
      </c>
      <c r="L84" s="10">
        <f t="shared" si="7"/>
        <v>0.35400282080274892</v>
      </c>
      <c r="M84" s="10">
        <f t="shared" si="11"/>
        <v>0.37643554236631532</v>
      </c>
      <c r="P84" s="8">
        <f t="shared" si="12"/>
        <v>-10.181003804682016</v>
      </c>
      <c r="U84" s="8">
        <v>150.5</v>
      </c>
      <c r="V84" s="10">
        <f>L302</f>
        <v>0.35354689524882327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1167.4608208955001</v>
      </c>
      <c r="E85">
        <v>484.46735074626997</v>
      </c>
      <c r="F85">
        <v>140.27469426152001</v>
      </c>
      <c r="G85">
        <v>118.326434619</v>
      </c>
      <c r="I85" s="9">
        <f t="shared" si="8"/>
        <v>366.14091612726997</v>
      </c>
      <c r="J85" s="9">
        <f t="shared" si="9"/>
        <v>1027.1861266339802</v>
      </c>
      <c r="K85" s="9">
        <f t="shared" si="10"/>
        <v>366.14091612726997</v>
      </c>
      <c r="L85" s="10">
        <f t="shared" si="7"/>
        <v>0.35645041013851025</v>
      </c>
      <c r="M85" s="10">
        <f t="shared" si="11"/>
        <v>0.37915670147724212</v>
      </c>
      <c r="P85" s="8">
        <f t="shared" si="12"/>
        <v>-9.5317245727189839</v>
      </c>
      <c r="U85" s="8">
        <v>151</v>
      </c>
      <c r="V85" s="10">
        <f t="shared" ref="V85:V103" si="13">L303</f>
        <v>0.35021539064673157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1125.044634378</v>
      </c>
      <c r="E86">
        <v>465.70465337131998</v>
      </c>
      <c r="F86">
        <v>140.38381937912001</v>
      </c>
      <c r="G86">
        <v>118.33113828787</v>
      </c>
      <c r="I86" s="9">
        <f t="shared" si="8"/>
        <v>347.37351508345</v>
      </c>
      <c r="J86" s="9">
        <f t="shared" si="9"/>
        <v>984.66081499887991</v>
      </c>
      <c r="K86" s="9">
        <f t="shared" si="10"/>
        <v>347.37351508345</v>
      </c>
      <c r="L86" s="10">
        <f t="shared" si="7"/>
        <v>0.35278494867681431</v>
      </c>
      <c r="M86" s="10">
        <f t="shared" si="11"/>
        <v>0.37576480979071164</v>
      </c>
      <c r="P86" s="8">
        <f t="shared" si="12"/>
        <v>-10.341043226776751</v>
      </c>
      <c r="U86" s="8">
        <v>151.5</v>
      </c>
      <c r="V86" s="10">
        <f t="shared" si="13"/>
        <v>0.3529398082704806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1147.7939221273</v>
      </c>
      <c r="E87">
        <v>471.83285849953</v>
      </c>
      <c r="F87">
        <v>140.46472248353999</v>
      </c>
      <c r="G87">
        <v>118.3367826905</v>
      </c>
      <c r="I87" s="9">
        <f t="shared" si="8"/>
        <v>353.49607580903</v>
      </c>
      <c r="J87" s="9">
        <f t="shared" si="9"/>
        <v>1007.32919964376</v>
      </c>
      <c r="K87" s="9">
        <f t="shared" si="10"/>
        <v>353.49607580903</v>
      </c>
      <c r="L87" s="10">
        <f t="shared" si="7"/>
        <v>0.3509240831438652</v>
      </c>
      <c r="M87" s="10">
        <f t="shared" si="11"/>
        <v>0.37417751403292793</v>
      </c>
      <c r="P87" s="8">
        <f t="shared" si="12"/>
        <v>-10.719778217455403</v>
      </c>
      <c r="U87" s="8">
        <v>152</v>
      </c>
      <c r="V87" s="10">
        <f t="shared" si="13"/>
        <v>0.34650869535511425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1138.7274453941</v>
      </c>
      <c r="E88">
        <v>451.47103513770003</v>
      </c>
      <c r="F88">
        <v>140.31702728127999</v>
      </c>
      <c r="G88">
        <v>118.80809031043999</v>
      </c>
      <c r="I88" s="9">
        <f t="shared" si="8"/>
        <v>332.66294482726005</v>
      </c>
      <c r="J88" s="9">
        <f t="shared" si="9"/>
        <v>998.41041811282003</v>
      </c>
      <c r="K88" s="9">
        <f t="shared" si="10"/>
        <v>332.66294482726005</v>
      </c>
      <c r="L88" s="10">
        <f t="shared" si="7"/>
        <v>0.33319258172010507</v>
      </c>
      <c r="M88" s="10">
        <f t="shared" si="11"/>
        <v>0.35671958238433327</v>
      </c>
      <c r="P88" s="8">
        <f t="shared" si="12"/>
        <v>-14.885309151294129</v>
      </c>
      <c r="U88" s="8">
        <v>152.5</v>
      </c>
      <c r="V88" s="10">
        <f t="shared" si="13"/>
        <v>0.34748278475354699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1127.2697056029999</v>
      </c>
      <c r="E89">
        <v>435.71794871794998</v>
      </c>
      <c r="F89">
        <v>141.23518344308999</v>
      </c>
      <c r="G89">
        <v>118.24929444967</v>
      </c>
      <c r="I89" s="9">
        <f t="shared" si="8"/>
        <v>317.46865426827998</v>
      </c>
      <c r="J89" s="9">
        <f t="shared" si="9"/>
        <v>986.0345221599099</v>
      </c>
      <c r="K89" s="9">
        <f t="shared" si="10"/>
        <v>317.46865426827998</v>
      </c>
      <c r="L89" s="10">
        <f t="shared" si="7"/>
        <v>0.32196505003989562</v>
      </c>
      <c r="M89" s="10">
        <f t="shared" si="11"/>
        <v>0.34576562047928927</v>
      </c>
      <c r="P89" s="8">
        <f t="shared" si="12"/>
        <v>-17.498967406006386</v>
      </c>
      <c r="U89" s="8">
        <v>153</v>
      </c>
      <c r="V89" s="10">
        <f t="shared" si="13"/>
        <v>0.34949585794727467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1130.0555555556</v>
      </c>
      <c r="E90">
        <v>431.63465160074998</v>
      </c>
      <c r="F90">
        <v>141.31232361241999</v>
      </c>
      <c r="G90">
        <v>118.40357478833999</v>
      </c>
      <c r="I90" s="9">
        <f t="shared" si="8"/>
        <v>313.23107681240998</v>
      </c>
      <c r="J90" s="9">
        <f t="shared" si="9"/>
        <v>988.74323194318004</v>
      </c>
      <c r="K90" s="9">
        <f t="shared" si="10"/>
        <v>313.23107681240998</v>
      </c>
      <c r="L90" s="10">
        <f t="shared" si="7"/>
        <v>0.31679718929333756</v>
      </c>
      <c r="M90" s="10">
        <f t="shared" si="11"/>
        <v>0.34087132950789661</v>
      </c>
      <c r="P90" s="8">
        <f t="shared" si="12"/>
        <v>-18.666764419473605</v>
      </c>
      <c r="U90" s="8">
        <v>153.5</v>
      </c>
      <c r="V90" s="10">
        <f t="shared" si="13"/>
        <v>0.34562948190639509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1130.0734463276999</v>
      </c>
      <c r="E91">
        <v>424.01694915254001</v>
      </c>
      <c r="F91">
        <v>140.673565381</v>
      </c>
      <c r="G91">
        <v>118.52869238005999</v>
      </c>
      <c r="I91" s="9">
        <f t="shared" si="8"/>
        <v>305.48825677247999</v>
      </c>
      <c r="J91" s="9">
        <f t="shared" si="9"/>
        <v>989.39988094669991</v>
      </c>
      <c r="K91" s="9">
        <f t="shared" si="10"/>
        <v>305.48825677247999</v>
      </c>
      <c r="L91" s="10">
        <f t="shared" si="7"/>
        <v>0.30876116184709446</v>
      </c>
      <c r="M91" s="10">
        <f t="shared" si="11"/>
        <v>0.33310887183681898</v>
      </c>
      <c r="P91" s="8">
        <f t="shared" si="12"/>
        <v>-20.518917251913553</v>
      </c>
      <c r="U91" s="8">
        <v>154</v>
      </c>
      <c r="V91" s="10">
        <f t="shared" si="13"/>
        <v>0.33803638729864827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1108.3634651601001</v>
      </c>
      <c r="E92">
        <v>413.22410546139002</v>
      </c>
      <c r="F92">
        <v>140.93320790216001</v>
      </c>
      <c r="G92">
        <v>118.52681091251</v>
      </c>
      <c r="I92" s="9">
        <f t="shared" si="8"/>
        <v>294.69729454888</v>
      </c>
      <c r="J92" s="9">
        <f t="shared" si="9"/>
        <v>967.43025725794007</v>
      </c>
      <c r="K92" s="9">
        <f t="shared" si="10"/>
        <v>294.69729454888</v>
      </c>
      <c r="L92" s="10">
        <f t="shared" si="7"/>
        <v>0.30461864546614714</v>
      </c>
      <c r="M92" s="10">
        <f t="shared" si="11"/>
        <v>0.32923992523103712</v>
      </c>
      <c r="P92" s="8">
        <f t="shared" si="12"/>
        <v>-21.442063079961976</v>
      </c>
      <c r="U92" s="8">
        <v>154.5</v>
      </c>
      <c r="V92" s="10">
        <f t="shared" si="13"/>
        <v>0.34022163258030602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1100.4911297853</v>
      </c>
      <c r="E93">
        <v>401.77030812325</v>
      </c>
      <c r="F93">
        <v>140.39887111946999</v>
      </c>
      <c r="G93">
        <v>118.44590780809</v>
      </c>
      <c r="I93" s="9">
        <f t="shared" si="8"/>
        <v>283.32440031516001</v>
      </c>
      <c r="J93" s="9">
        <f t="shared" si="9"/>
        <v>960.09225866583006</v>
      </c>
      <c r="K93" s="9">
        <f t="shared" si="10"/>
        <v>283.32440031516001</v>
      </c>
      <c r="L93" s="10">
        <f t="shared" si="7"/>
        <v>0.2951012236145672</v>
      </c>
      <c r="M93" s="10">
        <f t="shared" si="11"/>
        <v>0.31999607315462258</v>
      </c>
      <c r="P93" s="8">
        <f t="shared" si="12"/>
        <v>-23.647682425208625</v>
      </c>
      <c r="U93" s="8">
        <v>155</v>
      </c>
      <c r="V93" s="10">
        <f t="shared" si="13"/>
        <v>0.33617765873793692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1097.5247432306001</v>
      </c>
      <c r="E94">
        <v>393.65266106442999</v>
      </c>
      <c r="F94">
        <v>140.84571966134001</v>
      </c>
      <c r="G94">
        <v>118.59548447789</v>
      </c>
      <c r="I94" s="9">
        <f t="shared" si="8"/>
        <v>275.05717658653998</v>
      </c>
      <c r="J94" s="9">
        <f t="shared" si="9"/>
        <v>956.67902356926004</v>
      </c>
      <c r="K94" s="9">
        <f t="shared" si="10"/>
        <v>275.05717658653998</v>
      </c>
      <c r="L94" s="10">
        <f t="shared" si="7"/>
        <v>0.28751249876926654</v>
      </c>
      <c r="M94" s="10">
        <f t="shared" si="11"/>
        <v>0.31268091808448739</v>
      </c>
      <c r="P94" s="8">
        <f t="shared" si="12"/>
        <v>-25.393107103448116</v>
      </c>
      <c r="U94" s="8">
        <v>155.5</v>
      </c>
      <c r="V94" s="10">
        <f t="shared" si="13"/>
        <v>0.32893116286930774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1123.0513538749001</v>
      </c>
      <c r="E95">
        <v>390.19421101773997</v>
      </c>
      <c r="F95">
        <v>140.97554092191999</v>
      </c>
      <c r="G95">
        <v>118.86829727187001</v>
      </c>
      <c r="I95" s="9">
        <f t="shared" si="8"/>
        <v>271.32591374586997</v>
      </c>
      <c r="J95" s="9">
        <f t="shared" si="9"/>
        <v>982.07581295298007</v>
      </c>
      <c r="K95" s="9">
        <f t="shared" si="10"/>
        <v>271.32591374586997</v>
      </c>
      <c r="L95" s="10">
        <f t="shared" si="7"/>
        <v>0.27627797178919072</v>
      </c>
      <c r="M95" s="10">
        <f t="shared" si="11"/>
        <v>0.30171996087957703</v>
      </c>
      <c r="P95" s="8">
        <f t="shared" si="12"/>
        <v>-28.008434464133021</v>
      </c>
      <c r="U95" s="8">
        <v>156</v>
      </c>
      <c r="V95" s="10">
        <f t="shared" si="13"/>
        <v>0.33276348850946413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1152.5412757974</v>
      </c>
      <c r="E96">
        <v>393.22701688554997</v>
      </c>
      <c r="F96">
        <v>141.30667920977999</v>
      </c>
      <c r="G96">
        <v>118.21919096896001</v>
      </c>
      <c r="I96" s="9">
        <f t="shared" si="8"/>
        <v>275.00782591658998</v>
      </c>
      <c r="J96" s="9">
        <f t="shared" si="9"/>
        <v>1011.23459658762</v>
      </c>
      <c r="K96" s="9">
        <f t="shared" si="10"/>
        <v>275.00782591658998</v>
      </c>
      <c r="L96" s="10">
        <f t="shared" si="7"/>
        <v>0.27195254874051522</v>
      </c>
      <c r="M96" s="10">
        <f t="shared" si="11"/>
        <v>0.29766810760606699</v>
      </c>
      <c r="P96" s="8">
        <f t="shared" si="12"/>
        <v>-28.975222540172972</v>
      </c>
      <c r="U96" s="8">
        <v>156.5</v>
      </c>
      <c r="V96" s="10">
        <f t="shared" si="13"/>
        <v>0.33059876933026394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1159.4446529080999</v>
      </c>
      <c r="E97">
        <v>383.37054409005998</v>
      </c>
      <c r="F97">
        <v>141.01411100659001</v>
      </c>
      <c r="G97">
        <v>118.69614299153</v>
      </c>
      <c r="I97" s="9">
        <f t="shared" si="8"/>
        <v>264.67440109852998</v>
      </c>
      <c r="J97" s="9">
        <f t="shared" si="9"/>
        <v>1018.4305419015099</v>
      </c>
      <c r="K97" s="9">
        <f t="shared" si="10"/>
        <v>264.67440109852998</v>
      </c>
      <c r="L97" s="10">
        <f t="shared" si="7"/>
        <v>0.25988458732232922</v>
      </c>
      <c r="M97" s="10">
        <f t="shared" si="11"/>
        <v>0.28587371596304639</v>
      </c>
      <c r="P97" s="8">
        <f t="shared" si="12"/>
        <v>-31.789410625206866</v>
      </c>
      <c r="U97" s="8">
        <v>157</v>
      </c>
      <c r="V97" s="10">
        <f t="shared" si="13"/>
        <v>0.32517817503807039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1188.1716697935999</v>
      </c>
      <c r="E98">
        <v>391.30956848030002</v>
      </c>
      <c r="F98">
        <v>141.34430856067999</v>
      </c>
      <c r="G98">
        <v>118.11382878645</v>
      </c>
      <c r="I98" s="9">
        <f t="shared" si="8"/>
        <v>273.19573969384999</v>
      </c>
      <c r="J98" s="9">
        <f t="shared" si="9"/>
        <v>1046.8273612329199</v>
      </c>
      <c r="K98" s="9">
        <f t="shared" si="10"/>
        <v>273.19573969384999</v>
      </c>
      <c r="L98" s="10">
        <f t="shared" si="7"/>
        <v>0.26097497047850254</v>
      </c>
      <c r="M98" s="10">
        <f t="shared" si="11"/>
        <v>0.28723766889438518</v>
      </c>
      <c r="P98" s="8">
        <f t="shared" si="12"/>
        <v>-31.463966108516424</v>
      </c>
      <c r="U98" s="8">
        <v>157.5</v>
      </c>
      <c r="V98" s="10">
        <f t="shared" si="13"/>
        <v>0.3263745519820081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1176.7664165102999</v>
      </c>
      <c r="E99">
        <v>375.75797373358</v>
      </c>
      <c r="F99">
        <v>141.32173095013999</v>
      </c>
      <c r="G99">
        <v>118.8127939793</v>
      </c>
      <c r="I99" s="9">
        <f t="shared" si="8"/>
        <v>256.94517975427999</v>
      </c>
      <c r="J99" s="9">
        <f t="shared" si="9"/>
        <v>1035.44468556016</v>
      </c>
      <c r="K99" s="9">
        <f t="shared" si="10"/>
        <v>256.94517975427999</v>
      </c>
      <c r="L99" s="10">
        <f t="shared" si="7"/>
        <v>0.24814959537435505</v>
      </c>
      <c r="M99" s="10">
        <f t="shared" si="11"/>
        <v>0.27468586356540314</v>
      </c>
      <c r="P99" s="8">
        <f t="shared" si="12"/>
        <v>-34.458876068403072</v>
      </c>
      <c r="U99" s="8">
        <v>158</v>
      </c>
      <c r="V99" s="10">
        <f t="shared" si="13"/>
        <v>0.32373731631476438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1177.2276119403</v>
      </c>
      <c r="E100">
        <v>378.59048507463001</v>
      </c>
      <c r="F100">
        <v>141.52492944497001</v>
      </c>
      <c r="G100">
        <v>119.20319849483</v>
      </c>
      <c r="I100" s="9">
        <f t="shared" si="8"/>
        <v>259.38728657979999</v>
      </c>
      <c r="J100" s="9">
        <f t="shared" si="9"/>
        <v>1035.70268249533</v>
      </c>
      <c r="K100" s="9">
        <f t="shared" si="10"/>
        <v>259.38728657979999</v>
      </c>
      <c r="L100" s="10">
        <f t="shared" si="7"/>
        <v>0.25044570315764297</v>
      </c>
      <c r="M100" s="10">
        <f t="shared" si="11"/>
        <v>0.27725554112385647</v>
      </c>
      <c r="P100" s="8">
        <f t="shared" si="12"/>
        <v>-33.845740928732035</v>
      </c>
      <c r="U100" s="8">
        <v>158.5</v>
      </c>
      <c r="V100" s="10">
        <f t="shared" si="13"/>
        <v>0.32550761490816732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1175.1529850746001</v>
      </c>
      <c r="E101">
        <v>375.49440298508</v>
      </c>
      <c r="F101">
        <v>141.34901222953999</v>
      </c>
      <c r="G101">
        <v>119.00846660395</v>
      </c>
      <c r="I101" s="9">
        <f t="shared" si="8"/>
        <v>256.48593638112999</v>
      </c>
      <c r="J101" s="9">
        <f t="shared" si="9"/>
        <v>1033.8039728450601</v>
      </c>
      <c r="K101" s="9">
        <f t="shared" si="10"/>
        <v>256.48593638112999</v>
      </c>
      <c r="L101" s="10">
        <f t="shared" si="7"/>
        <v>0.2480991978346464</v>
      </c>
      <c r="M101" s="10">
        <f t="shared" si="11"/>
        <v>0.27518260557602536</v>
      </c>
      <c r="P101" s="8">
        <f t="shared" si="12"/>
        <v>-34.340351477229596</v>
      </c>
      <c r="U101" s="8">
        <v>159</v>
      </c>
      <c r="V101" s="10">
        <f t="shared" si="13"/>
        <v>0.32115353543177028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1147.9458955224</v>
      </c>
      <c r="E102">
        <v>364.86007462687002</v>
      </c>
      <c r="F102">
        <v>141.39604891816001</v>
      </c>
      <c r="G102">
        <v>118.68955785513</v>
      </c>
      <c r="I102" s="9">
        <f t="shared" si="8"/>
        <v>246.17051677174001</v>
      </c>
      <c r="J102" s="9">
        <f t="shared" si="9"/>
        <v>1006.54984660424</v>
      </c>
      <c r="K102" s="9">
        <f t="shared" si="10"/>
        <v>246.17051677174001</v>
      </c>
      <c r="L102" s="10">
        <f t="shared" si="7"/>
        <v>0.24456862976258592</v>
      </c>
      <c r="M102" s="10">
        <f t="shared" si="11"/>
        <v>0.27192560727913034</v>
      </c>
      <c r="P102" s="8">
        <f t="shared" si="12"/>
        <v>-35.117484039681138</v>
      </c>
      <c r="U102" s="8">
        <v>159.5</v>
      </c>
      <c r="V102" s="10">
        <f t="shared" si="13"/>
        <v>0.32207433960272591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1113.8534080299</v>
      </c>
      <c r="E103">
        <v>356.74976657330001</v>
      </c>
      <c r="F103">
        <v>141.72718720602001</v>
      </c>
      <c r="G103">
        <v>118.9012229539</v>
      </c>
      <c r="I103" s="9">
        <f t="shared" si="8"/>
        <v>237.8485436194</v>
      </c>
      <c r="J103" s="9">
        <f t="shared" si="9"/>
        <v>972.12622082387998</v>
      </c>
      <c r="K103" s="9">
        <f t="shared" si="10"/>
        <v>237.8485436194</v>
      </c>
      <c r="L103" s="10">
        <f t="shared" si="7"/>
        <v>0.2446683759006342</v>
      </c>
      <c r="M103" s="10">
        <f t="shared" si="11"/>
        <v>0.27229892319234406</v>
      </c>
      <c r="P103" s="8">
        <f t="shared" si="12"/>
        <v>-35.028409399231904</v>
      </c>
      <c r="U103" s="8">
        <v>160</v>
      </c>
      <c r="V103" s="10">
        <f t="shared" si="13"/>
        <v>0.31792138411763982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1096.6650898769999</v>
      </c>
      <c r="E104">
        <v>348.88836329233999</v>
      </c>
      <c r="F104">
        <v>142.05550329256999</v>
      </c>
      <c r="G104">
        <v>118.68391345249</v>
      </c>
      <c r="I104" s="9">
        <f t="shared" si="8"/>
        <v>230.20444983984999</v>
      </c>
      <c r="J104" s="9">
        <f t="shared" si="9"/>
        <v>954.60958658442996</v>
      </c>
      <c r="K104" s="9">
        <f t="shared" si="10"/>
        <v>230.20444983984999</v>
      </c>
      <c r="L104" s="10">
        <f t="shared" si="7"/>
        <v>0.24115036458361575</v>
      </c>
      <c r="M104" s="10">
        <f t="shared" si="11"/>
        <v>0.26905448165049106</v>
      </c>
      <c r="P104" s="8">
        <f t="shared" si="12"/>
        <v>-35.802545870702616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1088.0756859035</v>
      </c>
      <c r="E105">
        <v>344.12393566698</v>
      </c>
      <c r="F105">
        <v>141.73377234243</v>
      </c>
      <c r="G105">
        <v>118.64440263406</v>
      </c>
      <c r="I105" s="9">
        <f t="shared" si="8"/>
        <v>225.47953303292002</v>
      </c>
      <c r="J105" s="9">
        <f t="shared" si="9"/>
        <v>946.34191356106999</v>
      </c>
      <c r="K105" s="9">
        <f t="shared" si="10"/>
        <v>225.47953303292002</v>
      </c>
      <c r="L105" s="10">
        <f t="shared" si="7"/>
        <v>0.2382643416737657</v>
      </c>
      <c r="M105" s="10">
        <f t="shared" si="11"/>
        <v>0.26644202851580645</v>
      </c>
      <c r="P105" s="8">
        <f t="shared" si="12"/>
        <v>-36.425887430560813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1009</v>
      </c>
      <c r="E106">
        <v>329.17975402080998</v>
      </c>
      <c r="F106">
        <v>141.52304797741999</v>
      </c>
      <c r="G106">
        <v>119.31984948260001</v>
      </c>
      <c r="I106" s="9">
        <f t="shared" si="8"/>
        <v>209.85990453820997</v>
      </c>
      <c r="J106" s="9">
        <f t="shared" si="9"/>
        <v>867.47695202258001</v>
      </c>
      <c r="K106" s="9">
        <f t="shared" si="10"/>
        <v>209.85990453820997</v>
      </c>
      <c r="L106" s="10">
        <f t="shared" si="7"/>
        <v>0.24191986201928212</v>
      </c>
      <c r="M106" s="10">
        <f t="shared" si="11"/>
        <v>0.27037111863648833</v>
      </c>
      <c r="P106" s="8">
        <f t="shared" si="12"/>
        <v>-35.488391124069203</v>
      </c>
      <c r="X106" s="8">
        <v>-13</v>
      </c>
    </row>
    <row r="107" spans="1:25" x14ac:dyDescent="0.2">
      <c r="A107" s="8">
        <v>52.5</v>
      </c>
      <c r="B107" s="8">
        <v>105</v>
      </c>
      <c r="D107">
        <v>1084.7904761904999</v>
      </c>
      <c r="E107">
        <v>336.18380952381</v>
      </c>
      <c r="F107">
        <v>141.70272812793999</v>
      </c>
      <c r="G107">
        <v>118.84571966134</v>
      </c>
      <c r="I107" s="9">
        <f t="shared" si="8"/>
        <v>217.33808986246999</v>
      </c>
      <c r="J107" s="9">
        <f t="shared" si="9"/>
        <v>943.08774806255997</v>
      </c>
      <c r="K107" s="9">
        <f t="shared" si="10"/>
        <v>217.33808986246999</v>
      </c>
      <c r="L107" s="10">
        <f t="shared" si="7"/>
        <v>0.23045373064061139</v>
      </c>
      <c r="M107" s="10">
        <f t="shared" si="11"/>
        <v>0.25917855703298304</v>
      </c>
      <c r="P107" s="8">
        <f t="shared" si="12"/>
        <v>-38.15898020224617</v>
      </c>
      <c r="X107" s="8">
        <v>-13</v>
      </c>
    </row>
    <row r="108" spans="1:25" x14ac:dyDescent="0.2">
      <c r="A108" s="8">
        <v>53</v>
      </c>
      <c r="B108" s="8">
        <v>106</v>
      </c>
      <c r="D108">
        <v>1095.7228571429</v>
      </c>
      <c r="E108">
        <v>336.03142857143001</v>
      </c>
      <c r="F108">
        <v>141.57290686735999</v>
      </c>
      <c r="G108">
        <v>118.83160865475</v>
      </c>
      <c r="I108" s="9">
        <f t="shared" si="8"/>
        <v>217.19981991668001</v>
      </c>
      <c r="J108" s="9">
        <f t="shared" si="9"/>
        <v>954.14995027554005</v>
      </c>
      <c r="K108" s="9">
        <f t="shared" si="10"/>
        <v>217.19981991668001</v>
      </c>
      <c r="L108" s="10">
        <f t="shared" si="7"/>
        <v>0.22763698709406935</v>
      </c>
      <c r="M108" s="10">
        <f t="shared" si="11"/>
        <v>0.2566353832616064</v>
      </c>
      <c r="P108" s="8">
        <f t="shared" si="12"/>
        <v>-38.765791434414638</v>
      </c>
      <c r="X108" s="8">
        <v>-13</v>
      </c>
    </row>
    <row r="109" spans="1:25" x14ac:dyDescent="0.2">
      <c r="A109" s="8">
        <v>53.5</v>
      </c>
      <c r="B109" s="8">
        <v>107</v>
      </c>
      <c r="D109">
        <v>1124.5523809524</v>
      </c>
      <c r="E109">
        <v>338.43047619048002</v>
      </c>
      <c r="F109">
        <v>142.08278457197</v>
      </c>
      <c r="G109">
        <v>119.10253998119001</v>
      </c>
      <c r="I109" s="9">
        <f t="shared" si="8"/>
        <v>219.32793620929002</v>
      </c>
      <c r="J109" s="9">
        <f t="shared" si="9"/>
        <v>982.46959638042995</v>
      </c>
      <c r="K109" s="9">
        <f t="shared" si="10"/>
        <v>219.32793620929002</v>
      </c>
      <c r="L109" s="10">
        <f t="shared" si="7"/>
        <v>0.22324144891335881</v>
      </c>
      <c r="M109" s="10">
        <f t="shared" si="11"/>
        <v>0.25251341485606132</v>
      </c>
      <c r="P109" s="8">
        <f t="shared" si="12"/>
        <v>-39.749309255839151</v>
      </c>
      <c r="X109" s="8">
        <v>-13</v>
      </c>
    </row>
    <row r="110" spans="1:25" x14ac:dyDescent="0.2">
      <c r="A110" s="8">
        <v>54</v>
      </c>
      <c r="B110" s="8">
        <v>108</v>
      </c>
      <c r="D110">
        <v>1128.824906367</v>
      </c>
      <c r="E110">
        <v>338.45880149813001</v>
      </c>
      <c r="F110">
        <v>141.55597365944999</v>
      </c>
      <c r="G110">
        <v>118.91157102539999</v>
      </c>
      <c r="I110" s="9">
        <f t="shared" si="8"/>
        <v>219.54723047273001</v>
      </c>
      <c r="J110" s="9">
        <f t="shared" si="9"/>
        <v>987.26893270754999</v>
      </c>
      <c r="K110" s="9">
        <f t="shared" si="10"/>
        <v>219.54723047273001</v>
      </c>
      <c r="L110" s="10">
        <f t="shared" si="7"/>
        <v>0.22237834413631302</v>
      </c>
      <c r="M110" s="10">
        <f t="shared" si="11"/>
        <v>0.25192387985418097</v>
      </c>
      <c r="P110" s="8">
        <f t="shared" si="12"/>
        <v>-39.889974618514628</v>
      </c>
      <c r="X110" s="8">
        <v>-13</v>
      </c>
    </row>
    <row r="111" spans="1:25" x14ac:dyDescent="0.2">
      <c r="A111" s="8">
        <v>54.5</v>
      </c>
      <c r="B111" s="8">
        <v>109</v>
      </c>
      <c r="D111">
        <v>1050.4606741573</v>
      </c>
      <c r="E111">
        <v>322.95411985019001</v>
      </c>
      <c r="F111">
        <v>142.23518344308999</v>
      </c>
      <c r="G111">
        <v>119.27281279397999</v>
      </c>
      <c r="I111" s="9">
        <f t="shared" si="8"/>
        <v>203.68130705621002</v>
      </c>
      <c r="J111" s="9">
        <f t="shared" si="9"/>
        <v>908.22549071420997</v>
      </c>
      <c r="K111" s="9">
        <f t="shared" si="10"/>
        <v>203.68130705621002</v>
      </c>
      <c r="L111" s="10">
        <f t="shared" si="7"/>
        <v>0.22426292714603199</v>
      </c>
      <c r="M111" s="10">
        <f t="shared" si="11"/>
        <v>0.25408203263906537</v>
      </c>
      <c r="P111" s="8">
        <f t="shared" si="12"/>
        <v>-39.375030903168494</v>
      </c>
      <c r="X111" s="8">
        <v>-13</v>
      </c>
    </row>
    <row r="112" spans="1:25" x14ac:dyDescent="0.2">
      <c r="A112" s="8">
        <v>55</v>
      </c>
      <c r="B112" s="8">
        <v>110</v>
      </c>
      <c r="D112">
        <v>1045.396780303</v>
      </c>
      <c r="E112">
        <v>320.52746212121002</v>
      </c>
      <c r="F112">
        <v>141.86641580432999</v>
      </c>
      <c r="G112">
        <v>119.23894637818</v>
      </c>
      <c r="I112" s="9">
        <f t="shared" si="8"/>
        <v>201.28851574303002</v>
      </c>
      <c r="J112" s="9">
        <f t="shared" si="9"/>
        <v>903.53036449867</v>
      </c>
      <c r="K112" s="9">
        <f t="shared" si="10"/>
        <v>201.28851574303002</v>
      </c>
      <c r="L112" s="10">
        <f t="shared" si="7"/>
        <v>0.2227800233971288</v>
      </c>
      <c r="M112" s="10">
        <f t="shared" si="11"/>
        <v>0.25287269866532763</v>
      </c>
      <c r="P112" s="8">
        <f t="shared" si="12"/>
        <v>-39.663582730403554</v>
      </c>
      <c r="X112" s="8">
        <v>-13</v>
      </c>
    </row>
    <row r="113" spans="1:24" x14ac:dyDescent="0.2">
      <c r="A113" s="8">
        <v>55.5</v>
      </c>
      <c r="B113" s="8">
        <v>111</v>
      </c>
      <c r="D113">
        <v>1041.8958333333001</v>
      </c>
      <c r="E113">
        <v>321.75189393939002</v>
      </c>
      <c r="F113">
        <v>142.28786453434</v>
      </c>
      <c r="G113">
        <v>119.20225776105001</v>
      </c>
      <c r="I113" s="9">
        <f t="shared" si="8"/>
        <v>202.54963617833999</v>
      </c>
      <c r="J113" s="9">
        <f t="shared" si="9"/>
        <v>899.60796879896009</v>
      </c>
      <c r="K113" s="9">
        <f t="shared" si="10"/>
        <v>202.54963617833999</v>
      </c>
      <c r="L113" s="10">
        <f t="shared" si="7"/>
        <v>0.22515322585321026</v>
      </c>
      <c r="M113" s="10">
        <f t="shared" si="11"/>
        <v>0.25551947089657456</v>
      </c>
      <c r="P113" s="8">
        <f t="shared" si="12"/>
        <v>-39.032052499560201</v>
      </c>
      <c r="X113" s="8">
        <v>-13</v>
      </c>
    </row>
    <row r="114" spans="1:24" x14ac:dyDescent="0.2">
      <c r="A114" s="8">
        <v>56</v>
      </c>
      <c r="B114" s="8">
        <v>112</v>
      </c>
      <c r="D114">
        <v>1079.7189849624001</v>
      </c>
      <c r="E114">
        <v>322.10902255639002</v>
      </c>
      <c r="F114">
        <v>142.05550329256999</v>
      </c>
      <c r="G114">
        <v>118.50799623707</v>
      </c>
      <c r="I114" s="9">
        <f t="shared" si="8"/>
        <v>203.60102631932</v>
      </c>
      <c r="J114" s="9">
        <f t="shared" si="9"/>
        <v>937.66348166983016</v>
      </c>
      <c r="K114" s="9">
        <f t="shared" si="10"/>
        <v>203.60102631932</v>
      </c>
      <c r="L114" s="10">
        <f t="shared" si="7"/>
        <v>0.21713656370272499</v>
      </c>
      <c r="M114" s="10">
        <f t="shared" si="11"/>
        <v>0.24777637852125473</v>
      </c>
      <c r="P114" s="8">
        <f t="shared" si="12"/>
        <v>-40.879584696512175</v>
      </c>
      <c r="X114" s="8">
        <v>-13</v>
      </c>
    </row>
    <row r="115" spans="1:24" x14ac:dyDescent="0.2">
      <c r="A115" s="8">
        <v>56.5</v>
      </c>
      <c r="B115" s="8">
        <v>113</v>
      </c>
      <c r="D115">
        <v>1086.1494360902</v>
      </c>
      <c r="E115">
        <v>324.82706766916999</v>
      </c>
      <c r="F115">
        <v>142.789275635</v>
      </c>
      <c r="G115">
        <v>119.22201317027</v>
      </c>
      <c r="I115" s="9">
        <f t="shared" si="8"/>
        <v>205.60505449889999</v>
      </c>
      <c r="J115" s="9">
        <f t="shared" si="9"/>
        <v>943.3601604552</v>
      </c>
      <c r="K115" s="9">
        <f t="shared" si="10"/>
        <v>205.60505449889999</v>
      </c>
      <c r="L115" s="10">
        <f t="shared" si="7"/>
        <v>0.21794968996749797</v>
      </c>
      <c r="M115" s="10">
        <f t="shared" si="11"/>
        <v>0.24886307456119316</v>
      </c>
      <c r="P115" s="8">
        <f t="shared" si="12"/>
        <v>-40.620294761074263</v>
      </c>
      <c r="X115" s="8">
        <v>-13</v>
      </c>
    </row>
    <row r="116" spans="1:24" x14ac:dyDescent="0.2">
      <c r="A116" s="8">
        <v>57</v>
      </c>
      <c r="B116" s="8">
        <v>114</v>
      </c>
      <c r="D116">
        <v>1072.7584586466</v>
      </c>
      <c r="E116">
        <v>321.51315789474</v>
      </c>
      <c r="F116">
        <v>142.30009407338</v>
      </c>
      <c r="G116">
        <v>119.34619002821999</v>
      </c>
      <c r="I116" s="9">
        <f t="shared" si="8"/>
        <v>202.16696786652</v>
      </c>
      <c r="J116" s="9">
        <f t="shared" si="9"/>
        <v>930.45836457322002</v>
      </c>
      <c r="K116" s="9">
        <f t="shared" si="10"/>
        <v>202.16696786652</v>
      </c>
      <c r="L116" s="10">
        <f t="shared" si="7"/>
        <v>0.21727674828228274</v>
      </c>
      <c r="M116" s="10">
        <f t="shared" si="11"/>
        <v>0.24846370265114337</v>
      </c>
      <c r="P116" s="8">
        <f t="shared" si="12"/>
        <v>-40.715586464519134</v>
      </c>
      <c r="X116" s="8">
        <v>-13</v>
      </c>
    </row>
    <row r="117" spans="1:24" x14ac:dyDescent="0.2">
      <c r="A117" s="8">
        <v>57.5</v>
      </c>
      <c r="B117" s="8">
        <v>115</v>
      </c>
      <c r="D117">
        <v>1085.0921052632</v>
      </c>
      <c r="E117">
        <v>322.53477443609</v>
      </c>
      <c r="F117">
        <v>142.52398871119999</v>
      </c>
      <c r="G117">
        <v>119.06302916275</v>
      </c>
      <c r="I117" s="9">
        <f t="shared" si="8"/>
        <v>203.47174527333999</v>
      </c>
      <c r="J117" s="9">
        <f t="shared" si="9"/>
        <v>942.56811655199999</v>
      </c>
      <c r="K117" s="9">
        <f t="shared" si="10"/>
        <v>203.47174527333999</v>
      </c>
      <c r="L117" s="10">
        <f t="shared" si="7"/>
        <v>0.21586953950623555</v>
      </c>
      <c r="M117" s="10">
        <f t="shared" si="11"/>
        <v>0.24733006365026161</v>
      </c>
      <c r="P117" s="8">
        <f t="shared" si="12"/>
        <v>-40.986077174474403</v>
      </c>
      <c r="X117" s="8">
        <v>-13</v>
      </c>
    </row>
    <row r="118" spans="1:24" x14ac:dyDescent="0.2">
      <c r="A118" s="8">
        <v>58</v>
      </c>
      <c r="B118" s="8">
        <v>116</v>
      </c>
      <c r="D118">
        <v>1063.2706766916999</v>
      </c>
      <c r="E118">
        <v>315.36936090225998</v>
      </c>
      <c r="F118">
        <v>142.49670743179999</v>
      </c>
      <c r="G118">
        <v>118.95108184384</v>
      </c>
      <c r="I118" s="9">
        <f t="shared" si="8"/>
        <v>196.41827905841998</v>
      </c>
      <c r="J118" s="9">
        <f t="shared" si="9"/>
        <v>920.7739692598999</v>
      </c>
      <c r="K118" s="9">
        <f t="shared" si="10"/>
        <v>196.41827905841998</v>
      </c>
      <c r="L118" s="10">
        <f t="shared" si="7"/>
        <v>0.21331867061391532</v>
      </c>
      <c r="M118" s="10">
        <f t="shared" si="11"/>
        <v>0.24505276453310684</v>
      </c>
      <c r="P118" s="8">
        <f t="shared" si="12"/>
        <v>-41.529449671804322</v>
      </c>
      <c r="X118" s="8">
        <v>-13</v>
      </c>
    </row>
    <row r="119" spans="1:24" x14ac:dyDescent="0.2">
      <c r="A119" s="8">
        <v>58.5</v>
      </c>
      <c r="B119" s="8">
        <v>117</v>
      </c>
      <c r="D119">
        <v>1038.1992481202999</v>
      </c>
      <c r="E119">
        <v>311.02067669172999</v>
      </c>
      <c r="F119">
        <v>142.46378174976999</v>
      </c>
      <c r="G119">
        <v>118.98024459078</v>
      </c>
      <c r="I119" s="9">
        <f t="shared" si="8"/>
        <v>192.04043210095</v>
      </c>
      <c r="J119" s="9">
        <f t="shared" si="9"/>
        <v>895.73546637052993</v>
      </c>
      <c r="K119" s="9">
        <f t="shared" si="10"/>
        <v>192.04043210095</v>
      </c>
      <c r="L119" s="10">
        <f t="shared" si="7"/>
        <v>0.2143941367858159</v>
      </c>
      <c r="M119" s="10">
        <f t="shared" si="11"/>
        <v>0.24640180048017285</v>
      </c>
      <c r="P119" s="8">
        <f t="shared" si="12"/>
        <v>-41.207564406042252</v>
      </c>
      <c r="X119" s="8">
        <v>-13</v>
      </c>
    </row>
    <row r="120" spans="1:24" x14ac:dyDescent="0.2">
      <c r="A120" s="8">
        <v>59</v>
      </c>
      <c r="B120" s="8">
        <v>118</v>
      </c>
      <c r="D120">
        <v>1035.1146616541</v>
      </c>
      <c r="E120">
        <v>308.19548872181002</v>
      </c>
      <c r="F120">
        <v>142.68767638758001</v>
      </c>
      <c r="G120">
        <v>119.01599247413</v>
      </c>
      <c r="I120" s="9">
        <f t="shared" si="8"/>
        <v>189.17949624768002</v>
      </c>
      <c r="J120" s="9">
        <f t="shared" si="9"/>
        <v>892.42698526651998</v>
      </c>
      <c r="K120" s="9">
        <f t="shared" si="10"/>
        <v>189.17949624768002</v>
      </c>
      <c r="L120" s="10">
        <f t="shared" si="7"/>
        <v>0.21198316430467673</v>
      </c>
      <c r="M120" s="10">
        <f t="shared" si="11"/>
        <v>0.24426439777419912</v>
      </c>
      <c r="P120" s="8">
        <f t="shared" si="12"/>
        <v>-41.71755707121121</v>
      </c>
      <c r="X120" s="8">
        <v>-13</v>
      </c>
    </row>
    <row r="121" spans="1:24" x14ac:dyDescent="0.2">
      <c r="A121" s="8">
        <v>59.5</v>
      </c>
      <c r="B121" s="8">
        <v>119</v>
      </c>
      <c r="D121">
        <v>1072.3721804510999</v>
      </c>
      <c r="E121">
        <v>315.40883458646999</v>
      </c>
      <c r="F121">
        <v>142.56914393227001</v>
      </c>
      <c r="G121">
        <v>118.87488240828</v>
      </c>
      <c r="I121" s="9">
        <f t="shared" si="8"/>
        <v>196.53395217818999</v>
      </c>
      <c r="J121" s="9">
        <f t="shared" si="9"/>
        <v>929.80303651882991</v>
      </c>
      <c r="K121" s="9">
        <f t="shared" si="10"/>
        <v>196.53395217818999</v>
      </c>
      <c r="L121" s="10">
        <f t="shared" si="7"/>
        <v>0.21137159641251599</v>
      </c>
      <c r="M121" s="10">
        <f t="shared" si="11"/>
        <v>0.24392639965720384</v>
      </c>
      <c r="P121" s="8">
        <f t="shared" si="12"/>
        <v>-41.798204747022012</v>
      </c>
      <c r="X121" s="8">
        <v>-13</v>
      </c>
    </row>
    <row r="122" spans="1:24" x14ac:dyDescent="0.2">
      <c r="A122" s="8">
        <v>60</v>
      </c>
      <c r="B122" s="8">
        <v>120</v>
      </c>
      <c r="D122">
        <v>1091.3486842105001</v>
      </c>
      <c r="E122">
        <v>316.69548872181002</v>
      </c>
      <c r="F122">
        <v>142.51081843838</v>
      </c>
      <c r="G122">
        <v>119.31232361242</v>
      </c>
      <c r="I122" s="9">
        <f t="shared" si="8"/>
        <v>197.38316510939001</v>
      </c>
      <c r="J122" s="9">
        <f t="shared" si="9"/>
        <v>948.83786577212004</v>
      </c>
      <c r="K122" s="9">
        <f t="shared" si="10"/>
        <v>197.38316510939001</v>
      </c>
      <c r="L122" s="10">
        <f t="shared" si="7"/>
        <v>0.20802623106611454</v>
      </c>
      <c r="M122" s="10">
        <f t="shared" si="11"/>
        <v>0.24085460408596782</v>
      </c>
      <c r="P122" s="8">
        <f t="shared" si="12"/>
        <v>-42.531147213058219</v>
      </c>
      <c r="X122" s="8">
        <v>-13</v>
      </c>
    </row>
    <row r="123" spans="1:24" x14ac:dyDescent="0.2">
      <c r="A123" s="8">
        <v>60.5</v>
      </c>
      <c r="B123" s="8">
        <v>121</v>
      </c>
      <c r="D123">
        <v>1097.2185114504</v>
      </c>
      <c r="E123">
        <v>315.16221374046</v>
      </c>
      <c r="F123">
        <v>142.88993414864001</v>
      </c>
      <c r="G123">
        <v>119.70272812794001</v>
      </c>
      <c r="I123" s="9">
        <f t="shared" si="8"/>
        <v>195.45948561251998</v>
      </c>
      <c r="J123" s="9">
        <f t="shared" si="9"/>
        <v>954.32857730175999</v>
      </c>
      <c r="K123" s="9">
        <f t="shared" si="10"/>
        <v>195.45948561251998</v>
      </c>
      <c r="L123" s="10">
        <f t="shared" si="7"/>
        <v>0.2048136147878504</v>
      </c>
      <c r="M123" s="10">
        <f t="shared" si="11"/>
        <v>0.23791555758286914</v>
      </c>
      <c r="P123" s="8">
        <f t="shared" si="12"/>
        <v>-43.232415231004296</v>
      </c>
      <c r="X123" s="8">
        <v>-13</v>
      </c>
    </row>
    <row r="124" spans="1:24" x14ac:dyDescent="0.2">
      <c r="A124" s="8">
        <v>61</v>
      </c>
      <c r="B124" s="8">
        <v>122</v>
      </c>
      <c r="D124">
        <v>1099.7318702289999</v>
      </c>
      <c r="E124">
        <v>316.70896946565</v>
      </c>
      <c r="F124">
        <v>142.60018814675001</v>
      </c>
      <c r="G124">
        <v>119.45437441204</v>
      </c>
      <c r="I124" s="9">
        <f t="shared" si="8"/>
        <v>197.25459505360999</v>
      </c>
      <c r="J124" s="9">
        <f t="shared" si="9"/>
        <v>957.13168208224988</v>
      </c>
      <c r="K124" s="9">
        <f t="shared" si="10"/>
        <v>197.25459505360999</v>
      </c>
      <c r="L124" s="10">
        <f t="shared" si="7"/>
        <v>0.20608929653700375</v>
      </c>
      <c r="M124" s="10">
        <f t="shared" si="11"/>
        <v>0.23946480910718793</v>
      </c>
      <c r="P124" s="8">
        <f t="shared" si="12"/>
        <v>-42.862757743579877</v>
      </c>
      <c r="X124" s="8">
        <v>-13</v>
      </c>
    </row>
    <row r="125" spans="1:24" x14ac:dyDescent="0.2">
      <c r="A125" s="8">
        <v>61.5</v>
      </c>
      <c r="B125" s="8">
        <v>123</v>
      </c>
      <c r="D125">
        <v>1106.9895038167999</v>
      </c>
      <c r="E125">
        <v>317.05534351145002</v>
      </c>
      <c r="F125">
        <v>142.84666039511001</v>
      </c>
      <c r="G125">
        <v>119.64910630292</v>
      </c>
      <c r="I125" s="9">
        <f t="shared" si="8"/>
        <v>197.40623720853</v>
      </c>
      <c r="J125" s="9">
        <f t="shared" si="9"/>
        <v>964.14284342168992</v>
      </c>
      <c r="K125" s="9">
        <f t="shared" si="10"/>
        <v>197.40623720853</v>
      </c>
      <c r="L125" s="10">
        <f t="shared" si="7"/>
        <v>0.20474791526527969</v>
      </c>
      <c r="M125" s="10">
        <f t="shared" si="11"/>
        <v>0.23839699761062932</v>
      </c>
      <c r="P125" s="8">
        <f t="shared" si="12"/>
        <v>-43.117541752931956</v>
      </c>
      <c r="X125" s="8">
        <v>-13</v>
      </c>
    </row>
    <row r="126" spans="1:24" x14ac:dyDescent="0.2">
      <c r="A126" s="8">
        <v>62</v>
      </c>
      <c r="B126" s="8">
        <v>124</v>
      </c>
      <c r="D126">
        <v>1110.2175572519</v>
      </c>
      <c r="E126">
        <v>315.05820610686999</v>
      </c>
      <c r="F126">
        <v>142.62182502351999</v>
      </c>
      <c r="G126">
        <v>119.21919096896001</v>
      </c>
      <c r="I126" s="9">
        <f t="shared" si="8"/>
        <v>195.83901513791</v>
      </c>
      <c r="J126" s="9">
        <f t="shared" si="9"/>
        <v>967.59573222838003</v>
      </c>
      <c r="K126" s="9">
        <f t="shared" si="10"/>
        <v>195.83901513791</v>
      </c>
      <c r="L126" s="10">
        <f t="shared" si="7"/>
        <v>0.20239755986406774</v>
      </c>
      <c r="M126" s="10">
        <f t="shared" si="11"/>
        <v>0.23632021198458281</v>
      </c>
      <c r="P126" s="8">
        <f t="shared" si="12"/>
        <v>-43.613070945185655</v>
      </c>
      <c r="X126" s="8">
        <v>-13</v>
      </c>
    </row>
    <row r="127" spans="1:24" x14ac:dyDescent="0.2">
      <c r="A127" s="8">
        <v>62.5</v>
      </c>
      <c r="B127" s="8">
        <v>125</v>
      </c>
      <c r="D127">
        <v>1090.9260299626001</v>
      </c>
      <c r="E127">
        <v>312.59737827715003</v>
      </c>
      <c r="F127">
        <v>142.95860771401999</v>
      </c>
      <c r="G127">
        <v>119.47224835372</v>
      </c>
      <c r="I127" s="9">
        <f t="shared" si="8"/>
        <v>193.12512992343002</v>
      </c>
      <c r="J127" s="9">
        <f t="shared" si="9"/>
        <v>947.96742224858008</v>
      </c>
      <c r="K127" s="9">
        <f t="shared" si="10"/>
        <v>193.12512992343002</v>
      </c>
      <c r="L127" s="10">
        <f t="shared" si="7"/>
        <v>0.20372549244924149</v>
      </c>
      <c r="M127" s="10">
        <f t="shared" si="11"/>
        <v>0.23792171434492199</v>
      </c>
      <c r="P127" s="8">
        <f t="shared" si="12"/>
        <v>-43.23094620344137</v>
      </c>
      <c r="X127" s="8">
        <v>-13</v>
      </c>
    </row>
    <row r="128" spans="1:24" x14ac:dyDescent="0.2">
      <c r="A128" s="8">
        <v>63</v>
      </c>
      <c r="B128" s="8">
        <v>126</v>
      </c>
      <c r="D128">
        <v>1071.4850187265999</v>
      </c>
      <c r="E128">
        <v>312.53464419476001</v>
      </c>
      <c r="F128">
        <v>143.06867356538001</v>
      </c>
      <c r="G128">
        <v>119.51458137346999</v>
      </c>
      <c r="I128" s="9">
        <f t="shared" si="8"/>
        <v>193.02006282129003</v>
      </c>
      <c r="J128" s="9">
        <f t="shared" si="9"/>
        <v>928.41634516121997</v>
      </c>
      <c r="K128" s="9">
        <f t="shared" si="10"/>
        <v>193.02006282129003</v>
      </c>
      <c r="L128" s="10">
        <f t="shared" si="7"/>
        <v>0.20790248235857156</v>
      </c>
      <c r="M128" s="10">
        <f t="shared" si="11"/>
        <v>0.24237227402941752</v>
      </c>
      <c r="P128" s="8">
        <f t="shared" si="12"/>
        <v>-42.169025214642332</v>
      </c>
      <c r="X128" s="8">
        <v>-13</v>
      </c>
    </row>
    <row r="129" spans="1:24" x14ac:dyDescent="0.2">
      <c r="A129" s="8">
        <v>63.5</v>
      </c>
      <c r="B129" s="8">
        <v>127</v>
      </c>
      <c r="D129">
        <v>1073.9794007491</v>
      </c>
      <c r="E129">
        <v>310.30805243446002</v>
      </c>
      <c r="F129">
        <v>142.48165569144001</v>
      </c>
      <c r="G129">
        <v>119.38287864534</v>
      </c>
      <c r="I129" s="9">
        <f t="shared" si="8"/>
        <v>190.92517378912004</v>
      </c>
      <c r="J129" s="9">
        <f t="shared" si="9"/>
        <v>931.49774505766004</v>
      </c>
      <c r="K129" s="9">
        <f t="shared" si="10"/>
        <v>190.92517378912004</v>
      </c>
      <c r="L129" s="10">
        <f t="shared" si="7"/>
        <v>0.20496579278063815</v>
      </c>
      <c r="M129" s="10">
        <f t="shared" si="11"/>
        <v>0.23970915422664954</v>
      </c>
      <c r="P129" s="8">
        <f t="shared" si="12"/>
        <v>-42.80445604014001</v>
      </c>
      <c r="X129" s="8">
        <v>-13</v>
      </c>
    </row>
    <row r="130" spans="1:24" x14ac:dyDescent="0.2">
      <c r="A130" s="8">
        <v>64</v>
      </c>
      <c r="B130" s="8">
        <v>128</v>
      </c>
      <c r="D130">
        <v>1075.425093633</v>
      </c>
      <c r="E130">
        <v>311.66292134832003</v>
      </c>
      <c r="F130">
        <v>142.61241768580001</v>
      </c>
      <c r="G130">
        <v>119.34524929445</v>
      </c>
      <c r="I130" s="9">
        <f t="shared" si="8"/>
        <v>192.31767205387001</v>
      </c>
      <c r="J130" s="9">
        <f t="shared" si="9"/>
        <v>932.81267594719998</v>
      </c>
      <c r="K130" s="9">
        <f t="shared" si="10"/>
        <v>192.31767205387001</v>
      </c>
      <c r="L130" s="10">
        <f t="shared" ref="L130:L193" si="14">K130/J130</f>
        <v>0.20616965979647106</v>
      </c>
      <c r="M130" s="10">
        <f t="shared" si="11"/>
        <v>0.24118659101764789</v>
      </c>
      <c r="P130" s="8">
        <f t="shared" si="12"/>
        <v>-42.451933829630015</v>
      </c>
      <c r="X130" s="8">
        <v>-13</v>
      </c>
    </row>
    <row r="131" spans="1:24" x14ac:dyDescent="0.2">
      <c r="A131" s="8">
        <v>64.5</v>
      </c>
      <c r="B131" s="8">
        <v>129</v>
      </c>
      <c r="D131">
        <v>1078.0215355805001</v>
      </c>
      <c r="E131">
        <v>310.85018726592</v>
      </c>
      <c r="F131">
        <v>143.62935089370001</v>
      </c>
      <c r="G131">
        <v>119.50799623707</v>
      </c>
      <c r="I131" s="9">
        <f t="shared" ref="I131:I194" si="15">E131-G131</f>
        <v>191.34219102884998</v>
      </c>
      <c r="J131" s="9">
        <f t="shared" ref="J131:J194" si="16">D131-F131</f>
        <v>934.39218468680008</v>
      </c>
      <c r="K131" s="9">
        <f t="shared" ref="K131:K194" si="17">I131*1</f>
        <v>191.34219102884998</v>
      </c>
      <c r="L131" s="10">
        <f t="shared" si="14"/>
        <v>0.20477717404387985</v>
      </c>
      <c r="M131" s="10">
        <f t="shared" ref="M131:M181" si="18">L131+ABS($N$2)*A131</f>
        <v>0.24006767504022214</v>
      </c>
      <c r="P131" s="8">
        <f t="shared" ref="P131:P194" si="19">(M131-$O$2)/$O$2*100</f>
        <v>-42.718911568468194</v>
      </c>
      <c r="X131" s="8">
        <v>-13</v>
      </c>
    </row>
    <row r="132" spans="1:24" x14ac:dyDescent="0.2">
      <c r="A132" s="8">
        <v>65</v>
      </c>
      <c r="B132" s="8">
        <v>130</v>
      </c>
      <c r="D132">
        <v>1074.3061797753001</v>
      </c>
      <c r="E132">
        <v>309.01779026217002</v>
      </c>
      <c r="F132">
        <v>143.63217309500999</v>
      </c>
      <c r="G132">
        <v>119.22483537159</v>
      </c>
      <c r="I132" s="9">
        <f t="shared" si="15"/>
        <v>189.79295489058001</v>
      </c>
      <c r="J132" s="9">
        <f t="shared" si="16"/>
        <v>930.67400668029006</v>
      </c>
      <c r="K132" s="9">
        <f t="shared" si="17"/>
        <v>189.79295489058001</v>
      </c>
      <c r="L132" s="10">
        <f t="shared" si="14"/>
        <v>0.20393064975304362</v>
      </c>
      <c r="M132" s="10">
        <f t="shared" si="18"/>
        <v>0.23949472052455134</v>
      </c>
      <c r="P132" s="8">
        <f t="shared" si="19"/>
        <v>-42.855620762131544</v>
      </c>
      <c r="X132" s="8">
        <v>-13</v>
      </c>
    </row>
    <row r="133" spans="1:24" x14ac:dyDescent="0.2">
      <c r="A133" s="8">
        <v>65.5</v>
      </c>
      <c r="B133" s="8">
        <v>131</v>
      </c>
      <c r="D133">
        <v>1079.3623595506001</v>
      </c>
      <c r="E133">
        <v>311.32584269662999</v>
      </c>
      <c r="F133">
        <v>143.08278457197</v>
      </c>
      <c r="G133">
        <v>119.38946378175</v>
      </c>
      <c r="I133" s="9">
        <f t="shared" si="15"/>
        <v>191.93637891487998</v>
      </c>
      <c r="J133" s="9">
        <f t="shared" si="16"/>
        <v>936.27957497863008</v>
      </c>
      <c r="K133" s="9">
        <f t="shared" si="17"/>
        <v>191.93637891487998</v>
      </c>
      <c r="L133" s="10">
        <f t="shared" si="14"/>
        <v>0.20499900248198921</v>
      </c>
      <c r="M133" s="10">
        <f t="shared" si="18"/>
        <v>0.24083664302866239</v>
      </c>
      <c r="P133" s="8">
        <f t="shared" si="19"/>
        <v>-42.535432791746238</v>
      </c>
      <c r="X133" s="8">
        <v>-13</v>
      </c>
    </row>
    <row r="134" spans="1:24" x14ac:dyDescent="0.2">
      <c r="A134" s="8">
        <v>66</v>
      </c>
      <c r="B134" s="8">
        <v>132</v>
      </c>
      <c r="D134">
        <v>1094.3183520599</v>
      </c>
      <c r="E134">
        <v>313.56460674157</v>
      </c>
      <c r="F134">
        <v>143.27657572907</v>
      </c>
      <c r="G134">
        <v>120.11759172153999</v>
      </c>
      <c r="I134" s="9">
        <f t="shared" si="15"/>
        <v>193.44701502002999</v>
      </c>
      <c r="J134" s="9">
        <f t="shared" si="16"/>
        <v>951.04177633082998</v>
      </c>
      <c r="K134" s="9">
        <f t="shared" si="17"/>
        <v>193.44701502002999</v>
      </c>
      <c r="L134" s="10">
        <f t="shared" si="14"/>
        <v>0.20340538116670218</v>
      </c>
      <c r="M134" s="10">
        <f t="shared" si="18"/>
        <v>0.23951659148854079</v>
      </c>
      <c r="P134" s="8">
        <f t="shared" si="19"/>
        <v>-42.850402264380222</v>
      </c>
      <c r="X134" s="8">
        <v>-13</v>
      </c>
    </row>
    <row r="135" spans="1:24" x14ac:dyDescent="0.2">
      <c r="A135" s="8">
        <v>66.5</v>
      </c>
      <c r="B135" s="8">
        <v>133</v>
      </c>
      <c r="D135">
        <v>1110.0823970038</v>
      </c>
      <c r="E135">
        <v>316.65730337078998</v>
      </c>
      <c r="F135">
        <v>143.31326434619001</v>
      </c>
      <c r="G135">
        <v>119.72906867357</v>
      </c>
      <c r="I135" s="9">
        <f t="shared" si="15"/>
        <v>196.92823469721998</v>
      </c>
      <c r="J135" s="9">
        <f t="shared" si="16"/>
        <v>966.76913265761004</v>
      </c>
      <c r="K135" s="9">
        <f t="shared" si="17"/>
        <v>196.92823469721998</v>
      </c>
      <c r="L135" s="10">
        <f t="shared" si="14"/>
        <v>0.20369727171147062</v>
      </c>
      <c r="M135" s="10">
        <f t="shared" si="18"/>
        <v>0.24008205180847469</v>
      </c>
      <c r="P135" s="8">
        <f t="shared" si="19"/>
        <v>-42.715481215200114</v>
      </c>
      <c r="X135" s="8">
        <v>-13</v>
      </c>
    </row>
    <row r="136" spans="1:24" x14ac:dyDescent="0.2">
      <c r="A136" s="8">
        <v>67</v>
      </c>
      <c r="B136" s="8">
        <v>134</v>
      </c>
      <c r="D136">
        <v>1108.4840823970001</v>
      </c>
      <c r="E136">
        <v>315.36423220974001</v>
      </c>
      <c r="F136">
        <v>143.71119473189</v>
      </c>
      <c r="G136">
        <v>119.42897460019</v>
      </c>
      <c r="I136" s="9">
        <f t="shared" si="15"/>
        <v>195.93525760955001</v>
      </c>
      <c r="J136" s="9">
        <f t="shared" si="16"/>
        <v>964.77288766511003</v>
      </c>
      <c r="K136" s="9">
        <f t="shared" si="17"/>
        <v>195.93525760955001</v>
      </c>
      <c r="L136" s="10">
        <f t="shared" si="14"/>
        <v>0.20308951476004025</v>
      </c>
      <c r="M136" s="10">
        <f t="shared" si="18"/>
        <v>0.23974786463220976</v>
      </c>
      <c r="P136" s="8">
        <f t="shared" si="19"/>
        <v>-42.795219585612159</v>
      </c>
      <c r="X136" s="8">
        <v>-13</v>
      </c>
    </row>
    <row r="137" spans="1:24" x14ac:dyDescent="0.2">
      <c r="A137" s="8">
        <v>67.5</v>
      </c>
      <c r="B137" s="8">
        <v>135</v>
      </c>
      <c r="D137">
        <v>1115.5084269663</v>
      </c>
      <c r="E137">
        <v>317.92509363296</v>
      </c>
      <c r="F137">
        <v>143.47601128881001</v>
      </c>
      <c r="G137">
        <v>119.34995296331</v>
      </c>
      <c r="I137" s="9">
        <f t="shared" si="15"/>
        <v>198.57514066965001</v>
      </c>
      <c r="J137" s="9">
        <f t="shared" si="16"/>
        <v>972.03241567749001</v>
      </c>
      <c r="K137" s="9">
        <f t="shared" si="17"/>
        <v>198.57514066965001</v>
      </c>
      <c r="L137" s="10">
        <f t="shared" si="14"/>
        <v>0.20428859929660528</v>
      </c>
      <c r="M137" s="10">
        <f t="shared" si="18"/>
        <v>0.24122051894394023</v>
      </c>
      <c r="P137" s="8">
        <f t="shared" si="19"/>
        <v>-42.443838493404826</v>
      </c>
      <c r="X137" s="8">
        <v>-13</v>
      </c>
    </row>
    <row r="138" spans="1:24" x14ac:dyDescent="0.2">
      <c r="A138" s="8">
        <v>68</v>
      </c>
      <c r="B138" s="8">
        <v>136</v>
      </c>
      <c r="D138">
        <v>1108.8970037453</v>
      </c>
      <c r="E138">
        <v>318.08146067415998</v>
      </c>
      <c r="F138">
        <v>143.25399811853001</v>
      </c>
      <c r="G138">
        <v>119.93979303857</v>
      </c>
      <c r="I138" s="9">
        <f t="shared" si="15"/>
        <v>198.14166763558998</v>
      </c>
      <c r="J138" s="9">
        <f t="shared" si="16"/>
        <v>965.64300562676999</v>
      </c>
      <c r="K138" s="9">
        <f t="shared" si="17"/>
        <v>198.14166763558998</v>
      </c>
      <c r="L138" s="10">
        <f t="shared" si="14"/>
        <v>0.20519142838608576</v>
      </c>
      <c r="M138" s="10">
        <f t="shared" si="18"/>
        <v>0.24239691780858616</v>
      </c>
      <c r="P138" s="8">
        <f t="shared" si="19"/>
        <v>-42.163145112318645</v>
      </c>
      <c r="X138" s="8">
        <v>-13</v>
      </c>
    </row>
    <row r="139" spans="1:24" x14ac:dyDescent="0.2">
      <c r="A139" s="8">
        <v>68.5</v>
      </c>
      <c r="B139" s="8">
        <v>137</v>
      </c>
      <c r="D139">
        <v>1104.3314606741999</v>
      </c>
      <c r="E139">
        <v>316.39887640449001</v>
      </c>
      <c r="F139">
        <v>143.9557855127</v>
      </c>
      <c r="G139">
        <v>119.67638758231</v>
      </c>
      <c r="I139" s="9">
        <f t="shared" si="15"/>
        <v>196.72248882218003</v>
      </c>
      <c r="J139" s="9">
        <f t="shared" si="16"/>
        <v>960.37567516149988</v>
      </c>
      <c r="K139" s="9">
        <f t="shared" si="17"/>
        <v>196.72248882218003</v>
      </c>
      <c r="L139" s="10">
        <f t="shared" si="14"/>
        <v>0.20483909985443824</v>
      </c>
      <c r="M139" s="10">
        <f t="shared" si="18"/>
        <v>0.24231815905210408</v>
      </c>
      <c r="P139" s="8">
        <f t="shared" si="19"/>
        <v>-42.181937260382945</v>
      </c>
      <c r="X139" s="8">
        <v>-13</v>
      </c>
    </row>
    <row r="140" spans="1:24" x14ac:dyDescent="0.2">
      <c r="A140" s="8">
        <v>69</v>
      </c>
      <c r="B140" s="8">
        <v>138</v>
      </c>
      <c r="D140">
        <v>1097.675093633</v>
      </c>
      <c r="E140">
        <v>316.51498127341</v>
      </c>
      <c r="F140">
        <v>143.87582314205</v>
      </c>
      <c r="G140">
        <v>119.60583254939</v>
      </c>
      <c r="I140" s="9">
        <f t="shared" si="15"/>
        <v>196.90914872401999</v>
      </c>
      <c r="J140" s="9">
        <f t="shared" si="16"/>
        <v>953.79927049094999</v>
      </c>
      <c r="K140" s="9">
        <f t="shared" si="17"/>
        <v>196.90914872401999</v>
      </c>
      <c r="L140" s="10">
        <f t="shared" si="14"/>
        <v>0.20644715803007979</v>
      </c>
      <c r="M140" s="10">
        <f t="shared" si="18"/>
        <v>0.24419978700291106</v>
      </c>
      <c r="P140" s="8">
        <f t="shared" si="19"/>
        <v>-41.732973454542119</v>
      </c>
      <c r="X140" s="8">
        <v>-13</v>
      </c>
    </row>
    <row r="141" spans="1:24" x14ac:dyDescent="0.2">
      <c r="A141" s="8">
        <v>69.5</v>
      </c>
      <c r="B141" s="8">
        <v>139</v>
      </c>
      <c r="D141">
        <v>1082.3014981273</v>
      </c>
      <c r="E141">
        <v>314.73970037453</v>
      </c>
      <c r="F141">
        <v>143.93038570085</v>
      </c>
      <c r="G141">
        <v>119.52587017874001</v>
      </c>
      <c r="I141" s="9">
        <f t="shared" si="15"/>
        <v>195.21383019579</v>
      </c>
      <c r="J141" s="9">
        <f t="shared" si="16"/>
        <v>938.37111242644994</v>
      </c>
      <c r="K141" s="9">
        <f t="shared" si="17"/>
        <v>195.21383019579</v>
      </c>
      <c r="L141" s="10">
        <f t="shared" si="14"/>
        <v>0.20803478241247644</v>
      </c>
      <c r="M141" s="10">
        <f t="shared" si="18"/>
        <v>0.24606098116047317</v>
      </c>
      <c r="P141" s="8">
        <f t="shared" si="19"/>
        <v>-41.288885231878638</v>
      </c>
      <c r="X141" s="8">
        <v>-13</v>
      </c>
    </row>
    <row r="142" spans="1:24" x14ac:dyDescent="0.2">
      <c r="A142" s="8">
        <v>70</v>
      </c>
      <c r="B142" s="8">
        <v>140</v>
      </c>
      <c r="D142">
        <v>1074.8155430712</v>
      </c>
      <c r="E142">
        <v>312.68352059925002</v>
      </c>
      <c r="F142">
        <v>143.80244590781001</v>
      </c>
      <c r="G142">
        <v>119.72530573848</v>
      </c>
      <c r="I142" s="9">
        <f t="shared" si="15"/>
        <v>192.95821486077</v>
      </c>
      <c r="J142" s="9">
        <f t="shared" si="16"/>
        <v>931.01309716338994</v>
      </c>
      <c r="K142" s="9">
        <f t="shared" si="17"/>
        <v>192.95821486077</v>
      </c>
      <c r="L142" s="10">
        <f t="shared" si="14"/>
        <v>0.2072561765765433</v>
      </c>
      <c r="M142" s="10">
        <f t="shared" si="18"/>
        <v>0.24555594509970546</v>
      </c>
      <c r="P142" s="8">
        <f t="shared" si="19"/>
        <v>-41.409388815933013</v>
      </c>
      <c r="X142" s="8">
        <v>-13</v>
      </c>
    </row>
    <row r="143" spans="1:24" x14ac:dyDescent="0.2">
      <c r="A143" s="8">
        <v>70.5</v>
      </c>
      <c r="B143" s="8">
        <v>141</v>
      </c>
      <c r="D143">
        <v>1079.4316479401</v>
      </c>
      <c r="E143">
        <v>312.87359550562002</v>
      </c>
      <c r="F143">
        <v>144.12323612418001</v>
      </c>
      <c r="G143">
        <v>119.96801505174</v>
      </c>
      <c r="I143" s="9">
        <f t="shared" si="15"/>
        <v>192.90558045388002</v>
      </c>
      <c r="J143" s="9">
        <f t="shared" si="16"/>
        <v>935.30841181591995</v>
      </c>
      <c r="K143" s="9">
        <f t="shared" si="17"/>
        <v>192.90558045388002</v>
      </c>
      <c r="L143" s="10">
        <f t="shared" si="14"/>
        <v>0.20624809743702613</v>
      </c>
      <c r="M143" s="10">
        <f t="shared" si="18"/>
        <v>0.24482143573535375</v>
      </c>
      <c r="P143" s="8">
        <f t="shared" si="19"/>
        <v>-41.584645629855046</v>
      </c>
      <c r="X143" s="8">
        <v>-13</v>
      </c>
    </row>
    <row r="144" spans="1:24" x14ac:dyDescent="0.2">
      <c r="A144" s="8">
        <v>71</v>
      </c>
      <c r="B144" s="8">
        <v>142</v>
      </c>
      <c r="D144">
        <v>1068.6938202246999</v>
      </c>
      <c r="E144">
        <v>312.32303370787002</v>
      </c>
      <c r="F144">
        <v>143.326434619</v>
      </c>
      <c r="G144">
        <v>119.77422389464</v>
      </c>
      <c r="I144" s="9">
        <f t="shared" si="15"/>
        <v>192.54880981323004</v>
      </c>
      <c r="J144" s="9">
        <f t="shared" si="16"/>
        <v>925.36738560569995</v>
      </c>
      <c r="K144" s="9">
        <f t="shared" si="17"/>
        <v>192.54880981323004</v>
      </c>
      <c r="L144" s="10">
        <f t="shared" si="14"/>
        <v>0.20807823228738179</v>
      </c>
      <c r="M144" s="10">
        <f t="shared" si="18"/>
        <v>0.24692514036087485</v>
      </c>
      <c r="P144" s="8">
        <f t="shared" si="19"/>
        <v>-41.082693458792832</v>
      </c>
    </row>
    <row r="145" spans="1:16" x14ac:dyDescent="0.2">
      <c r="A145" s="8">
        <v>71.5</v>
      </c>
      <c r="B145" s="8">
        <v>143</v>
      </c>
      <c r="D145">
        <v>1039.888576779</v>
      </c>
      <c r="E145">
        <v>308.32958801498</v>
      </c>
      <c r="F145">
        <v>143.40169332079</v>
      </c>
      <c r="G145">
        <v>119.82972718721</v>
      </c>
      <c r="I145" s="9">
        <f t="shared" si="15"/>
        <v>188.49986082777002</v>
      </c>
      <c r="J145" s="9">
        <f t="shared" si="16"/>
        <v>896.48688345821006</v>
      </c>
      <c r="K145" s="9">
        <f t="shared" si="17"/>
        <v>188.49986082777002</v>
      </c>
      <c r="L145" s="10">
        <f t="shared" si="14"/>
        <v>0.21026505162086623</v>
      </c>
      <c r="M145" s="10">
        <f t="shared" si="18"/>
        <v>0.24938552946952475</v>
      </c>
      <c r="P145" s="8">
        <f t="shared" si="19"/>
        <v>-40.495634971701897</v>
      </c>
    </row>
    <row r="146" spans="1:16" x14ac:dyDescent="0.2">
      <c r="A146" s="8">
        <v>72</v>
      </c>
      <c r="B146" s="8">
        <v>144</v>
      </c>
      <c r="D146">
        <v>1048.0299625468001</v>
      </c>
      <c r="E146">
        <v>311.11423220974001</v>
      </c>
      <c r="F146">
        <v>143.20225776104999</v>
      </c>
      <c r="G146">
        <v>119.85983066791999</v>
      </c>
      <c r="I146" s="9">
        <f t="shared" si="15"/>
        <v>191.25440154182002</v>
      </c>
      <c r="J146" s="9">
        <f t="shared" si="16"/>
        <v>904.82770478575014</v>
      </c>
      <c r="K146" s="9">
        <f t="shared" si="17"/>
        <v>191.25440154182002</v>
      </c>
      <c r="L146" s="10">
        <f t="shared" si="14"/>
        <v>0.21137107156450988</v>
      </c>
      <c r="M146" s="10">
        <f t="shared" si="18"/>
        <v>0.25076511918833383</v>
      </c>
      <c r="P146" s="8">
        <f t="shared" si="19"/>
        <v>-40.166459456218206</v>
      </c>
    </row>
    <row r="147" spans="1:16" x14ac:dyDescent="0.2">
      <c r="A147" s="8">
        <v>72.5</v>
      </c>
      <c r="B147" s="8">
        <v>145</v>
      </c>
      <c r="D147">
        <v>1096.9462264151</v>
      </c>
      <c r="E147">
        <v>317.80188679244998</v>
      </c>
      <c r="F147">
        <v>143.56914393227001</v>
      </c>
      <c r="G147">
        <v>120.14299153339999</v>
      </c>
      <c r="I147" s="9">
        <f t="shared" si="15"/>
        <v>197.65889525904998</v>
      </c>
      <c r="J147" s="9">
        <f t="shared" si="16"/>
        <v>953.37708248283002</v>
      </c>
      <c r="K147" s="9">
        <f t="shared" si="17"/>
        <v>197.65889525904998</v>
      </c>
      <c r="L147" s="10">
        <f t="shared" si="14"/>
        <v>0.20732499122414111</v>
      </c>
      <c r="M147" s="10">
        <f t="shared" si="18"/>
        <v>0.24699260862313049</v>
      </c>
      <c r="P147" s="8">
        <f t="shared" si="19"/>
        <v>-41.066595266914483</v>
      </c>
    </row>
    <row r="148" spans="1:16" x14ac:dyDescent="0.2">
      <c r="A148" s="8">
        <v>73</v>
      </c>
      <c r="B148" s="8">
        <v>146</v>
      </c>
      <c r="D148">
        <v>1117.3613207547</v>
      </c>
      <c r="E148">
        <v>320.89150943395998</v>
      </c>
      <c r="F148">
        <v>143.89087488241</v>
      </c>
      <c r="G148">
        <v>119.68767638758</v>
      </c>
      <c r="I148" s="9">
        <f t="shared" si="15"/>
        <v>201.20383304638</v>
      </c>
      <c r="J148" s="9">
        <f t="shared" si="16"/>
        <v>973.47044587229004</v>
      </c>
      <c r="K148" s="9">
        <f t="shared" si="17"/>
        <v>201.20383304638</v>
      </c>
      <c r="L148" s="10">
        <f t="shared" si="14"/>
        <v>0.20668715100650936</v>
      </c>
      <c r="M148" s="10">
        <f t="shared" si="18"/>
        <v>0.24662833818066421</v>
      </c>
      <c r="P148" s="8">
        <f t="shared" si="19"/>
        <v>-41.153511622581313</v>
      </c>
    </row>
    <row r="149" spans="1:16" x14ac:dyDescent="0.2">
      <c r="A149" s="8">
        <v>73.5</v>
      </c>
      <c r="B149" s="8">
        <v>147</v>
      </c>
      <c r="D149">
        <v>1125.7424528301999</v>
      </c>
      <c r="E149">
        <v>320.39622641508998</v>
      </c>
      <c r="F149">
        <v>144.34430856067999</v>
      </c>
      <c r="G149">
        <v>119.77798682973</v>
      </c>
      <c r="I149" s="9">
        <f t="shared" si="15"/>
        <v>200.61823958535999</v>
      </c>
      <c r="J149" s="9">
        <f t="shared" si="16"/>
        <v>981.39814426951989</v>
      </c>
      <c r="K149" s="9">
        <f t="shared" si="17"/>
        <v>200.61823958535999</v>
      </c>
      <c r="L149" s="10">
        <f t="shared" si="14"/>
        <v>0.20442084668367225</v>
      </c>
      <c r="M149" s="10">
        <f t="shared" si="18"/>
        <v>0.24463560363299253</v>
      </c>
      <c r="P149" s="8">
        <f t="shared" si="19"/>
        <v>-41.628985898018954</v>
      </c>
    </row>
    <row r="150" spans="1:16" x14ac:dyDescent="0.2">
      <c r="A150" s="8">
        <v>74</v>
      </c>
      <c r="B150" s="8">
        <v>148</v>
      </c>
      <c r="D150">
        <v>1125.3149532709999</v>
      </c>
      <c r="E150">
        <v>323.27663551401997</v>
      </c>
      <c r="F150">
        <v>143.82878645343001</v>
      </c>
      <c r="G150">
        <v>119.85230479774</v>
      </c>
      <c r="I150" s="9">
        <f t="shared" si="15"/>
        <v>203.42433071627997</v>
      </c>
      <c r="J150" s="9">
        <f t="shared" si="16"/>
        <v>981.48616681756994</v>
      </c>
      <c r="K150" s="9">
        <f t="shared" si="17"/>
        <v>203.42433071627997</v>
      </c>
      <c r="L150" s="10">
        <f t="shared" si="14"/>
        <v>0.20726153622304766</v>
      </c>
      <c r="M150" s="10">
        <f t="shared" si="18"/>
        <v>0.24774986294753337</v>
      </c>
      <c r="P150" s="8">
        <f t="shared" si="19"/>
        <v>-40.885911416354368</v>
      </c>
    </row>
    <row r="151" spans="1:16" x14ac:dyDescent="0.2">
      <c r="A151" s="8">
        <v>74.5</v>
      </c>
      <c r="B151" s="8">
        <v>149</v>
      </c>
      <c r="D151">
        <v>1137.9317757009001</v>
      </c>
      <c r="E151">
        <v>324.46635514018999</v>
      </c>
      <c r="F151">
        <v>144.22013170272999</v>
      </c>
      <c r="G151">
        <v>120.11571025400001</v>
      </c>
      <c r="I151" s="9">
        <f t="shared" si="15"/>
        <v>204.35064488618997</v>
      </c>
      <c r="J151" s="9">
        <f t="shared" si="16"/>
        <v>993.71164399817008</v>
      </c>
      <c r="K151" s="9">
        <f t="shared" si="17"/>
        <v>204.35064488618997</v>
      </c>
      <c r="L151" s="10">
        <f t="shared" si="14"/>
        <v>0.20564380635009072</v>
      </c>
      <c r="M151" s="10">
        <f t="shared" si="18"/>
        <v>0.24640570284974189</v>
      </c>
      <c r="P151" s="8">
        <f t="shared" si="19"/>
        <v>-41.206633285364141</v>
      </c>
    </row>
    <row r="152" spans="1:16" x14ac:dyDescent="0.2">
      <c r="A152" s="8">
        <v>75</v>
      </c>
      <c r="B152" s="8">
        <v>150</v>
      </c>
      <c r="D152">
        <v>1138.4626168223999</v>
      </c>
      <c r="E152">
        <v>325.36822429906999</v>
      </c>
      <c r="F152">
        <v>144.18626528691999</v>
      </c>
      <c r="G152">
        <v>119.77328316086999</v>
      </c>
      <c r="I152" s="9">
        <f t="shared" si="15"/>
        <v>205.5949411382</v>
      </c>
      <c r="J152" s="9">
        <f t="shared" si="16"/>
        <v>994.27635153547999</v>
      </c>
      <c r="K152" s="9">
        <f t="shared" si="17"/>
        <v>205.5949411382</v>
      </c>
      <c r="L152" s="10">
        <f t="shared" si="14"/>
        <v>0.20677846840136124</v>
      </c>
      <c r="M152" s="10">
        <f t="shared" si="18"/>
        <v>0.24781393467617785</v>
      </c>
      <c r="P152" s="8">
        <f t="shared" si="19"/>
        <v>-40.870623650711494</v>
      </c>
    </row>
    <row r="153" spans="1:16" x14ac:dyDescent="0.2">
      <c r="A153" s="8">
        <v>75.5</v>
      </c>
      <c r="B153" s="8">
        <v>151</v>
      </c>
      <c r="D153">
        <v>1146.9613572102</v>
      </c>
      <c r="E153">
        <v>329.65598491988999</v>
      </c>
      <c r="F153">
        <v>144.31796801505001</v>
      </c>
      <c r="G153">
        <v>119.72718720602001</v>
      </c>
      <c r="I153" s="9">
        <f t="shared" si="15"/>
        <v>209.92879771386998</v>
      </c>
      <c r="J153" s="9">
        <f t="shared" si="16"/>
        <v>1002.64338919515</v>
      </c>
      <c r="K153" s="9">
        <f t="shared" si="17"/>
        <v>209.92879771386998</v>
      </c>
      <c r="L153" s="10">
        <f t="shared" si="14"/>
        <v>0.20937533720975882</v>
      </c>
      <c r="M153" s="10">
        <f t="shared" si="18"/>
        <v>0.25068437325974086</v>
      </c>
      <c r="P153" s="8">
        <f t="shared" si="19"/>
        <v>-40.185725751338722</v>
      </c>
    </row>
    <row r="154" spans="1:16" x14ac:dyDescent="0.2">
      <c r="A154" s="8">
        <v>76</v>
      </c>
      <c r="B154" s="8">
        <v>152</v>
      </c>
      <c r="D154">
        <v>1145.1451460886001</v>
      </c>
      <c r="E154">
        <v>328.60980207351997</v>
      </c>
      <c r="F154">
        <v>144.13170272812999</v>
      </c>
      <c r="G154">
        <v>119.78363123235999</v>
      </c>
      <c r="I154" s="9">
        <f t="shared" si="15"/>
        <v>208.82617084115998</v>
      </c>
      <c r="J154" s="9">
        <f t="shared" si="16"/>
        <v>1001.0134433604701</v>
      </c>
      <c r="K154" s="9">
        <f t="shared" si="17"/>
        <v>208.82617084115998</v>
      </c>
      <c r="L154" s="10">
        <f t="shared" si="14"/>
        <v>0.20861475160624851</v>
      </c>
      <c r="M154" s="10">
        <f t="shared" si="18"/>
        <v>0.25019735743139604</v>
      </c>
      <c r="P154" s="8">
        <f t="shared" si="19"/>
        <v>-40.301929637290051</v>
      </c>
    </row>
    <row r="155" spans="1:16" x14ac:dyDescent="0.2">
      <c r="A155" s="8">
        <v>76.5</v>
      </c>
      <c r="B155" s="8">
        <v>153</v>
      </c>
      <c r="D155">
        <v>1120.7285579642</v>
      </c>
      <c r="E155">
        <v>325.76248821866</v>
      </c>
      <c r="F155">
        <v>144.83819379115999</v>
      </c>
      <c r="G155">
        <v>120.07055503293</v>
      </c>
      <c r="I155" s="9">
        <f t="shared" si="15"/>
        <v>205.69193318572999</v>
      </c>
      <c r="J155" s="9">
        <f t="shared" si="16"/>
        <v>975.8903641730401</v>
      </c>
      <c r="K155" s="9">
        <f t="shared" si="17"/>
        <v>205.69193318572999</v>
      </c>
      <c r="L155" s="10">
        <f t="shared" si="14"/>
        <v>0.21077360811942367</v>
      </c>
      <c r="M155" s="10">
        <f t="shared" si="18"/>
        <v>0.2526297837197366</v>
      </c>
      <c r="P155" s="8">
        <f t="shared" si="19"/>
        <v>-39.721543188751014</v>
      </c>
    </row>
    <row r="156" spans="1:16" x14ac:dyDescent="0.2">
      <c r="A156" s="8">
        <v>77</v>
      </c>
      <c r="B156" s="8">
        <v>154</v>
      </c>
      <c r="D156">
        <v>1138.1557454890999</v>
      </c>
      <c r="E156">
        <v>329.52136752137</v>
      </c>
      <c r="F156">
        <v>144.38758231420999</v>
      </c>
      <c r="G156">
        <v>120.04327375353</v>
      </c>
      <c r="I156" s="9">
        <f t="shared" si="15"/>
        <v>209.47809376783999</v>
      </c>
      <c r="J156" s="9">
        <f t="shared" si="16"/>
        <v>993.76816317488988</v>
      </c>
      <c r="K156" s="9">
        <f t="shared" si="17"/>
        <v>209.47809376783999</v>
      </c>
      <c r="L156" s="10">
        <f t="shared" si="14"/>
        <v>0.21079171332939417</v>
      </c>
      <c r="M156" s="10">
        <f t="shared" si="18"/>
        <v>0.25292145870487254</v>
      </c>
      <c r="P156" s="8">
        <f t="shared" si="19"/>
        <v>-39.651948393808134</v>
      </c>
    </row>
    <row r="157" spans="1:16" x14ac:dyDescent="0.2">
      <c r="A157" s="8">
        <v>77.5</v>
      </c>
      <c r="B157" s="8">
        <v>155</v>
      </c>
      <c r="D157">
        <v>1134.2507122507</v>
      </c>
      <c r="E157">
        <v>328.70560303894001</v>
      </c>
      <c r="F157">
        <v>144.35841956726</v>
      </c>
      <c r="G157">
        <v>119.76293508937</v>
      </c>
      <c r="I157" s="9">
        <f t="shared" si="15"/>
        <v>208.94266794957002</v>
      </c>
      <c r="J157" s="9">
        <f t="shared" si="16"/>
        <v>989.89229268344002</v>
      </c>
      <c r="K157" s="9">
        <f t="shared" si="17"/>
        <v>208.94266794957002</v>
      </c>
      <c r="L157" s="10">
        <f t="shared" si="14"/>
        <v>0.21107616403715984</v>
      </c>
      <c r="M157" s="10">
        <f t="shared" si="18"/>
        <v>0.25347947918780367</v>
      </c>
      <c r="P157" s="8">
        <f t="shared" si="19"/>
        <v>-39.518802518904202</v>
      </c>
    </row>
    <row r="158" spans="1:16" x14ac:dyDescent="0.2">
      <c r="A158" s="8">
        <v>78</v>
      </c>
      <c r="B158" s="8">
        <v>156</v>
      </c>
      <c r="D158">
        <v>1095.264957265</v>
      </c>
      <c r="E158">
        <v>321.69610636277002</v>
      </c>
      <c r="F158">
        <v>144.29068673565001</v>
      </c>
      <c r="G158">
        <v>119.77704609596</v>
      </c>
      <c r="I158" s="9">
        <f t="shared" si="15"/>
        <v>201.91906026681002</v>
      </c>
      <c r="J158" s="9">
        <f t="shared" si="16"/>
        <v>950.97427052934995</v>
      </c>
      <c r="K158" s="9">
        <f t="shared" si="17"/>
        <v>201.91906026681002</v>
      </c>
      <c r="L158" s="10">
        <f t="shared" si="14"/>
        <v>0.21232862604622718</v>
      </c>
      <c r="M158" s="10">
        <f t="shared" si="18"/>
        <v>0.25500551097203644</v>
      </c>
      <c r="P158" s="8">
        <f t="shared" si="19"/>
        <v>-39.15468535249552</v>
      </c>
    </row>
    <row r="159" spans="1:16" x14ac:dyDescent="0.2">
      <c r="A159" s="8">
        <v>78.5</v>
      </c>
      <c r="B159" s="8">
        <v>157</v>
      </c>
      <c r="D159">
        <v>1141.2072829132001</v>
      </c>
      <c r="E159">
        <v>329.92250233427001</v>
      </c>
      <c r="F159">
        <v>144.66698024459001</v>
      </c>
      <c r="G159">
        <v>119.50423330197999</v>
      </c>
      <c r="I159" s="9">
        <f t="shared" si="15"/>
        <v>210.41826903229003</v>
      </c>
      <c r="J159" s="9">
        <f t="shared" si="16"/>
        <v>996.54030266861002</v>
      </c>
      <c r="K159" s="9">
        <f t="shared" si="17"/>
        <v>210.41826903229003</v>
      </c>
      <c r="L159" s="10">
        <f t="shared" si="14"/>
        <v>0.21114877990264547</v>
      </c>
      <c r="M159" s="10">
        <f t="shared" si="18"/>
        <v>0.25409923460362016</v>
      </c>
      <c r="P159" s="8">
        <f t="shared" si="19"/>
        <v>-39.370926446986743</v>
      </c>
    </row>
    <row r="160" spans="1:16" x14ac:dyDescent="0.2">
      <c r="A160" s="8">
        <v>79</v>
      </c>
      <c r="B160" s="8">
        <v>158</v>
      </c>
      <c r="D160">
        <v>1141.0849673202999</v>
      </c>
      <c r="E160">
        <v>329.32959850607</v>
      </c>
      <c r="F160">
        <v>144.27469426152001</v>
      </c>
      <c r="G160">
        <v>119.81373471308</v>
      </c>
      <c r="I160" s="9">
        <f t="shared" si="15"/>
        <v>209.51586379298999</v>
      </c>
      <c r="J160" s="9">
        <f t="shared" si="16"/>
        <v>996.8102730587799</v>
      </c>
      <c r="K160" s="9">
        <f t="shared" si="17"/>
        <v>209.51586379298999</v>
      </c>
      <c r="L160" s="10">
        <f t="shared" si="14"/>
        <v>0.21018630069900499</v>
      </c>
      <c r="M160" s="10">
        <f t="shared" si="18"/>
        <v>0.25341032517514517</v>
      </c>
      <c r="P160" s="8">
        <f t="shared" si="19"/>
        <v>-39.535302937437528</v>
      </c>
    </row>
    <row r="161" spans="1:16" x14ac:dyDescent="0.2">
      <c r="A161" s="8">
        <v>79.5</v>
      </c>
      <c r="B161" s="8">
        <v>159</v>
      </c>
      <c r="D161">
        <v>1111.1204481793</v>
      </c>
      <c r="E161">
        <v>328.77030812325</v>
      </c>
      <c r="F161">
        <v>144.27563499530001</v>
      </c>
      <c r="G161">
        <v>120.03574788335</v>
      </c>
      <c r="I161" s="9">
        <f t="shared" si="15"/>
        <v>208.73456023990002</v>
      </c>
      <c r="J161" s="9">
        <f t="shared" si="16"/>
        <v>966.84481318399992</v>
      </c>
      <c r="K161" s="9">
        <f t="shared" si="17"/>
        <v>208.73456023990002</v>
      </c>
      <c r="L161" s="10">
        <f t="shared" si="14"/>
        <v>0.21589251697229286</v>
      </c>
      <c r="M161" s="10">
        <f t="shared" si="18"/>
        <v>0.25939011122359845</v>
      </c>
      <c r="P161" s="8">
        <f t="shared" si="19"/>
        <v>-38.108502542983324</v>
      </c>
    </row>
    <row r="162" spans="1:16" x14ac:dyDescent="0.2">
      <c r="A162" s="8">
        <v>80</v>
      </c>
      <c r="B162" s="4">
        <v>160</v>
      </c>
      <c r="C162" s="4" t="s">
        <v>7</v>
      </c>
      <c r="D162">
        <v>1090.2215854823</v>
      </c>
      <c r="E162">
        <v>324.95510983763</v>
      </c>
      <c r="F162">
        <v>144.57290686735999</v>
      </c>
      <c r="G162">
        <v>119.92097836312</v>
      </c>
      <c r="H162" s="4"/>
      <c r="I162" s="5">
        <f t="shared" si="15"/>
        <v>205.03413147450999</v>
      </c>
      <c r="J162" s="5">
        <f t="shared" si="16"/>
        <v>945.64867861494008</v>
      </c>
      <c r="K162" s="9">
        <f t="shared" si="17"/>
        <v>205.03413147450999</v>
      </c>
      <c r="L162" s="6">
        <f t="shared" si="14"/>
        <v>0.21681850364853955</v>
      </c>
      <c r="M162" s="6">
        <f t="shared" si="18"/>
        <v>0.26058966767501057</v>
      </c>
      <c r="N162" s="4"/>
      <c r="O162" s="4"/>
      <c r="P162" s="4">
        <f t="shared" si="19"/>
        <v>-37.82228367090719</v>
      </c>
    </row>
    <row r="163" spans="1:16" x14ac:dyDescent="0.2">
      <c r="A163" s="8">
        <v>80.5</v>
      </c>
      <c r="B163" s="8">
        <v>161</v>
      </c>
      <c r="D163">
        <v>1146.4785100286999</v>
      </c>
      <c r="E163">
        <v>334.24832855777998</v>
      </c>
      <c r="F163">
        <v>144.95108184384</v>
      </c>
      <c r="G163">
        <v>120.11100658514</v>
      </c>
      <c r="I163" s="9">
        <f t="shared" si="15"/>
        <v>214.13732197264</v>
      </c>
      <c r="J163" s="9">
        <f t="shared" si="16"/>
        <v>1001.5274281848599</v>
      </c>
      <c r="K163" s="9">
        <f t="shared" si="17"/>
        <v>214.13732197264</v>
      </c>
      <c r="L163" s="10">
        <f t="shared" si="14"/>
        <v>0.21381074141996934</v>
      </c>
      <c r="M163" s="10">
        <f t="shared" si="18"/>
        <v>0.25785547522160585</v>
      </c>
      <c r="P163" s="8">
        <f t="shared" si="19"/>
        <v>-38.47467270948168</v>
      </c>
    </row>
    <row r="164" spans="1:16" x14ac:dyDescent="0.2">
      <c r="A164" s="8">
        <v>81</v>
      </c>
      <c r="B164" s="8">
        <v>162</v>
      </c>
      <c r="D164">
        <v>1138.5587392550001</v>
      </c>
      <c r="E164">
        <v>331.34574976122002</v>
      </c>
      <c r="F164">
        <v>144.22107243650001</v>
      </c>
      <c r="G164">
        <v>119.99341486359</v>
      </c>
      <c r="I164" s="9">
        <f t="shared" si="15"/>
        <v>211.35233489763002</v>
      </c>
      <c r="J164" s="9">
        <f t="shared" si="16"/>
        <v>994.33766681850011</v>
      </c>
      <c r="K164" s="9">
        <f t="shared" si="17"/>
        <v>211.35233489763002</v>
      </c>
      <c r="L164" s="10">
        <f t="shared" si="14"/>
        <v>0.21255589720731044</v>
      </c>
      <c r="M164" s="10">
        <f t="shared" si="18"/>
        <v>0.25687420078411238</v>
      </c>
      <c r="P164" s="8">
        <f t="shared" si="19"/>
        <v>-38.708808637278899</v>
      </c>
    </row>
    <row r="165" spans="1:16" x14ac:dyDescent="0.2">
      <c r="A165" s="8">
        <v>81.5</v>
      </c>
      <c r="B165" s="8">
        <v>163</v>
      </c>
      <c r="D165">
        <v>1088.0802292264</v>
      </c>
      <c r="E165">
        <v>400.72588347660002</v>
      </c>
      <c r="F165">
        <v>144.77798682973</v>
      </c>
      <c r="G165">
        <v>120.41862652869</v>
      </c>
      <c r="I165" s="9">
        <f t="shared" si="15"/>
        <v>280.30725694790999</v>
      </c>
      <c r="J165" s="9">
        <f t="shared" si="16"/>
        <v>943.30224239666995</v>
      </c>
      <c r="K165" s="9">
        <f t="shared" si="17"/>
        <v>280.30725694790999</v>
      </c>
      <c r="L165" s="10">
        <f t="shared" si="14"/>
        <v>0.29715529588451611</v>
      </c>
      <c r="M165" s="10">
        <f t="shared" si="18"/>
        <v>0.34174716923648352</v>
      </c>
      <c r="P165" s="8">
        <f t="shared" si="19"/>
        <v>-18.457785626570189</v>
      </c>
    </row>
    <row r="166" spans="1:16" x14ac:dyDescent="0.2">
      <c r="A166" s="8">
        <v>82</v>
      </c>
      <c r="B166" s="8">
        <v>164</v>
      </c>
      <c r="D166">
        <v>1142.9762131304001</v>
      </c>
      <c r="E166">
        <v>468.80494766889001</v>
      </c>
      <c r="F166">
        <v>144.09125117592001</v>
      </c>
      <c r="G166">
        <v>119.82878645343</v>
      </c>
      <c r="I166" s="9">
        <f t="shared" si="15"/>
        <v>348.97616121546002</v>
      </c>
      <c r="J166" s="9">
        <f t="shared" si="16"/>
        <v>998.8849619544801</v>
      </c>
      <c r="K166" s="9">
        <f t="shared" si="17"/>
        <v>348.97616121546002</v>
      </c>
      <c r="L166" s="10">
        <f t="shared" si="14"/>
        <v>0.34936571728202981</v>
      </c>
      <c r="M166" s="10">
        <f t="shared" si="18"/>
        <v>0.39423116040916262</v>
      </c>
      <c r="P166" s="8">
        <f t="shared" si="19"/>
        <v>-5.9348995733009637</v>
      </c>
    </row>
    <row r="167" spans="1:16" x14ac:dyDescent="0.2">
      <c r="A167" s="8">
        <v>82.5</v>
      </c>
      <c r="B167" s="8">
        <v>165</v>
      </c>
      <c r="D167">
        <v>1172.5290199809999</v>
      </c>
      <c r="E167">
        <v>519.95242626070001</v>
      </c>
      <c r="F167">
        <v>144.98494825963999</v>
      </c>
      <c r="G167">
        <v>120.11100658514</v>
      </c>
      <c r="I167" s="9">
        <f t="shared" si="15"/>
        <v>399.84141967556002</v>
      </c>
      <c r="J167" s="9">
        <f t="shared" si="16"/>
        <v>1027.5440717213598</v>
      </c>
      <c r="K167" s="9">
        <f t="shared" si="17"/>
        <v>399.84141967556002</v>
      </c>
      <c r="L167" s="10">
        <f t="shared" si="14"/>
        <v>0.38912337745838838</v>
      </c>
      <c r="M167" s="10">
        <f t="shared" si="18"/>
        <v>0.43426239036068665</v>
      </c>
      <c r="P167" s="8">
        <f t="shared" si="19"/>
        <v>3.6167088325039685</v>
      </c>
    </row>
    <row r="168" spans="1:16" x14ac:dyDescent="0.2">
      <c r="A168" s="8">
        <v>83</v>
      </c>
      <c r="B168" s="8">
        <v>166</v>
      </c>
      <c r="D168">
        <v>1182.1947318908999</v>
      </c>
      <c r="E168">
        <v>549.27845719661002</v>
      </c>
      <c r="F168">
        <v>144.88240827845999</v>
      </c>
      <c r="G168">
        <v>120.28316086548</v>
      </c>
      <c r="I168" s="9">
        <f t="shared" si="15"/>
        <v>428.99529633113002</v>
      </c>
      <c r="J168" s="9">
        <f t="shared" si="16"/>
        <v>1037.31232361244</v>
      </c>
      <c r="K168" s="9">
        <f t="shared" si="17"/>
        <v>428.99529633113002</v>
      </c>
      <c r="L168" s="10">
        <f t="shared" si="14"/>
        <v>0.41356425308546801</v>
      </c>
      <c r="M168" s="10">
        <f t="shared" si="18"/>
        <v>0.45897683576293175</v>
      </c>
      <c r="P168" s="8">
        <f t="shared" si="19"/>
        <v>9.5136723965701329</v>
      </c>
    </row>
    <row r="169" spans="1:16" x14ac:dyDescent="0.2">
      <c r="A169" s="8">
        <v>83.5</v>
      </c>
      <c r="B169" s="8">
        <v>167</v>
      </c>
      <c r="D169">
        <v>1246.7559129612</v>
      </c>
      <c r="E169">
        <v>607.59697256386005</v>
      </c>
      <c r="F169">
        <v>144.90404515521999</v>
      </c>
      <c r="G169">
        <v>120.07243650047</v>
      </c>
      <c r="I169" s="9">
        <f t="shared" si="15"/>
        <v>487.52453606339003</v>
      </c>
      <c r="J169" s="9">
        <f t="shared" si="16"/>
        <v>1101.85186780598</v>
      </c>
      <c r="K169" s="9">
        <f t="shared" si="17"/>
        <v>487.52453606339003</v>
      </c>
      <c r="L169" s="10">
        <f t="shared" si="14"/>
        <v>0.44245923640729895</v>
      </c>
      <c r="M169" s="10">
        <f t="shared" si="18"/>
        <v>0.48814538885992809</v>
      </c>
      <c r="P169" s="8">
        <f t="shared" si="19"/>
        <v>16.47340351859205</v>
      </c>
    </row>
    <row r="170" spans="1:16" x14ac:dyDescent="0.2">
      <c r="A170" s="8">
        <v>84</v>
      </c>
      <c r="B170" s="8">
        <v>168</v>
      </c>
      <c r="D170">
        <v>1203.6026490065999</v>
      </c>
      <c r="E170">
        <v>629.47776726585005</v>
      </c>
      <c r="F170">
        <v>144.88899341486001</v>
      </c>
      <c r="G170">
        <v>120.24082784572001</v>
      </c>
      <c r="I170" s="9">
        <f t="shared" si="15"/>
        <v>509.23693942013006</v>
      </c>
      <c r="J170" s="9">
        <f t="shared" si="16"/>
        <v>1058.71365559174</v>
      </c>
      <c r="K170" s="9">
        <f t="shared" si="17"/>
        <v>509.23693942013006</v>
      </c>
      <c r="L170" s="10">
        <f t="shared" si="14"/>
        <v>0.48099591115173207</v>
      </c>
      <c r="M170" s="10">
        <f t="shared" si="18"/>
        <v>0.52695563337952667</v>
      </c>
      <c r="P170" s="8">
        <f t="shared" si="19"/>
        <v>25.733680013559692</v>
      </c>
    </row>
    <row r="171" spans="1:16" x14ac:dyDescent="0.2">
      <c r="A171" s="8">
        <v>84.5</v>
      </c>
      <c r="B171" s="8">
        <v>169</v>
      </c>
      <c r="D171">
        <v>1228.9952830189</v>
      </c>
      <c r="E171">
        <v>665.57924528301999</v>
      </c>
      <c r="F171">
        <v>144.98871119473</v>
      </c>
      <c r="G171">
        <v>120.23894637818</v>
      </c>
      <c r="I171" s="9">
        <f t="shared" si="15"/>
        <v>545.34029890483998</v>
      </c>
      <c r="J171" s="9">
        <f t="shared" si="16"/>
        <v>1084.0065718241699</v>
      </c>
      <c r="K171" s="9">
        <f t="shared" si="17"/>
        <v>545.34029890483998</v>
      </c>
      <c r="L171" s="10">
        <f t="shared" si="14"/>
        <v>0.50307840660701852</v>
      </c>
      <c r="M171" s="10">
        <f t="shared" si="18"/>
        <v>0.54931169860997853</v>
      </c>
      <c r="P171" s="8">
        <f t="shared" si="19"/>
        <v>31.067924822787141</v>
      </c>
    </row>
    <row r="172" spans="1:16" x14ac:dyDescent="0.2">
      <c r="A172" s="8">
        <v>85</v>
      </c>
      <c r="B172" s="8">
        <v>170</v>
      </c>
      <c r="D172">
        <v>1221.5754716981</v>
      </c>
      <c r="E172">
        <v>686.43962264151003</v>
      </c>
      <c r="F172">
        <v>144.83725305739</v>
      </c>
      <c r="G172">
        <v>119.95860771402</v>
      </c>
      <c r="I172" s="9">
        <f t="shared" si="15"/>
        <v>566.48101492749004</v>
      </c>
      <c r="J172" s="9">
        <f t="shared" si="16"/>
        <v>1076.7382186407101</v>
      </c>
      <c r="K172" s="9">
        <f t="shared" si="17"/>
        <v>566.48101492749004</v>
      </c>
      <c r="L172" s="10">
        <f t="shared" si="14"/>
        <v>0.52610839396285558</v>
      </c>
      <c r="M172" s="10">
        <f t="shared" si="18"/>
        <v>0.57261525574098104</v>
      </c>
      <c r="P172" s="8">
        <f t="shared" si="19"/>
        <v>36.628244914055408</v>
      </c>
    </row>
    <row r="173" spans="1:16" x14ac:dyDescent="0.2">
      <c r="A173" s="8">
        <v>85.5</v>
      </c>
      <c r="B173" s="8">
        <v>171</v>
      </c>
      <c r="D173">
        <v>1248.3009433962</v>
      </c>
      <c r="E173">
        <v>724.4</v>
      </c>
      <c r="F173">
        <v>145.32267168390999</v>
      </c>
      <c r="G173">
        <v>120.19096895579</v>
      </c>
      <c r="I173" s="9">
        <f t="shared" si="15"/>
        <v>604.20903104420995</v>
      </c>
      <c r="J173" s="9">
        <f t="shared" si="16"/>
        <v>1102.9782717122901</v>
      </c>
      <c r="K173" s="9">
        <f t="shared" si="17"/>
        <v>604.20903104420995</v>
      </c>
      <c r="L173" s="10">
        <f t="shared" si="14"/>
        <v>0.54779776405406544</v>
      </c>
      <c r="M173" s="10">
        <f t="shared" si="18"/>
        <v>0.59457819560735636</v>
      </c>
      <c r="P173" s="8">
        <f t="shared" si="19"/>
        <v>41.868688470196311</v>
      </c>
    </row>
    <row r="174" spans="1:16" x14ac:dyDescent="0.2">
      <c r="A174" s="8">
        <v>86</v>
      </c>
      <c r="B174" s="8">
        <v>172</v>
      </c>
      <c r="D174">
        <v>1205.4632075472</v>
      </c>
      <c r="E174">
        <v>730.05943396225996</v>
      </c>
      <c r="F174">
        <v>145.13640639699</v>
      </c>
      <c r="G174">
        <v>120.72248353716</v>
      </c>
      <c r="I174" s="9">
        <f t="shared" si="15"/>
        <v>609.33695042509999</v>
      </c>
      <c r="J174" s="9">
        <f t="shared" si="16"/>
        <v>1060.32680115021</v>
      </c>
      <c r="K174" s="9">
        <f t="shared" si="17"/>
        <v>609.33695042509999</v>
      </c>
      <c r="L174" s="10">
        <f t="shared" si="14"/>
        <v>0.57466900748345695</v>
      </c>
      <c r="M174" s="10">
        <f t="shared" si="18"/>
        <v>0.62172300881191334</v>
      </c>
      <c r="P174" s="8">
        <f t="shared" si="19"/>
        <v>48.345547319964929</v>
      </c>
    </row>
    <row r="175" spans="1:16" x14ac:dyDescent="0.2">
      <c r="A175" s="8">
        <v>86.5</v>
      </c>
      <c r="B175" s="8">
        <v>173</v>
      </c>
      <c r="D175">
        <v>1187.5009363296001</v>
      </c>
      <c r="E175">
        <v>730.75280898875997</v>
      </c>
      <c r="F175">
        <v>144.82502351834</v>
      </c>
      <c r="G175">
        <v>120.52963311383</v>
      </c>
      <c r="I175" s="9">
        <f t="shared" si="15"/>
        <v>610.22317587493001</v>
      </c>
      <c r="J175" s="9">
        <f t="shared" si="16"/>
        <v>1042.6759128112601</v>
      </c>
      <c r="K175" s="9">
        <f t="shared" si="17"/>
        <v>610.22317587493001</v>
      </c>
      <c r="L175" s="10">
        <f t="shared" si="14"/>
        <v>0.5852472166827446</v>
      </c>
      <c r="M175" s="10">
        <f t="shared" si="18"/>
        <v>0.63257478778636644</v>
      </c>
      <c r="P175" s="8">
        <f t="shared" si="19"/>
        <v>50.934824326837848</v>
      </c>
    </row>
    <row r="176" spans="1:16" x14ac:dyDescent="0.2">
      <c r="A176" s="8">
        <v>87</v>
      </c>
      <c r="B176" s="8">
        <v>174</v>
      </c>
      <c r="D176">
        <v>1147.4971910111999</v>
      </c>
      <c r="E176">
        <v>721.29307116104997</v>
      </c>
      <c r="F176">
        <v>145.40921919096999</v>
      </c>
      <c r="G176">
        <v>120.20602069614</v>
      </c>
      <c r="I176" s="9">
        <f t="shared" si="15"/>
        <v>601.08705046490991</v>
      </c>
      <c r="J176" s="9">
        <f t="shared" si="16"/>
        <v>1002.0879718202299</v>
      </c>
      <c r="K176" s="9">
        <f t="shared" si="17"/>
        <v>601.08705046490991</v>
      </c>
      <c r="L176" s="10">
        <f t="shared" si="14"/>
        <v>0.5998346126968005</v>
      </c>
      <c r="M176" s="10">
        <f t="shared" si="18"/>
        <v>0.6474357535755878</v>
      </c>
      <c r="P176" s="8">
        <f t="shared" si="19"/>
        <v>54.480709025424332</v>
      </c>
    </row>
    <row r="177" spans="1:16" x14ac:dyDescent="0.2">
      <c r="A177" s="8">
        <v>87.5</v>
      </c>
      <c r="B177" s="8">
        <v>175</v>
      </c>
      <c r="D177">
        <v>1159.9082397003999</v>
      </c>
      <c r="E177">
        <v>722.77902621723001</v>
      </c>
      <c r="F177">
        <v>145.06396989652001</v>
      </c>
      <c r="G177">
        <v>120.67826904986001</v>
      </c>
      <c r="I177" s="9">
        <f t="shared" si="15"/>
        <v>602.10075716737003</v>
      </c>
      <c r="J177" s="9">
        <f t="shared" si="16"/>
        <v>1014.8442698038799</v>
      </c>
      <c r="K177" s="9">
        <f t="shared" si="17"/>
        <v>602.10075716737003</v>
      </c>
      <c r="L177" s="10">
        <f t="shared" si="14"/>
        <v>0.59329374474738561</v>
      </c>
      <c r="M177" s="10">
        <f t="shared" si="18"/>
        <v>0.64116845540133838</v>
      </c>
      <c r="P177" s="8">
        <f t="shared" si="19"/>
        <v>52.9853071105859</v>
      </c>
    </row>
    <row r="178" spans="1:16" x14ac:dyDescent="0.2">
      <c r="A178" s="8">
        <v>88</v>
      </c>
      <c r="B178" s="8">
        <v>176</v>
      </c>
      <c r="D178">
        <v>1175.4216981131999</v>
      </c>
      <c r="E178">
        <v>726.11981132076005</v>
      </c>
      <c r="F178">
        <v>145.37158984007999</v>
      </c>
      <c r="G178">
        <v>120.55126999059</v>
      </c>
      <c r="I178" s="9">
        <f t="shared" si="15"/>
        <v>605.56854133017009</v>
      </c>
      <c r="J178" s="9">
        <f t="shared" si="16"/>
        <v>1030.0501082731198</v>
      </c>
      <c r="K178" s="9">
        <f t="shared" si="17"/>
        <v>605.56854133017009</v>
      </c>
      <c r="L178" s="10">
        <f t="shared" si="14"/>
        <v>0.58790202191756136</v>
      </c>
      <c r="M178" s="10">
        <f t="shared" si="18"/>
        <v>0.63605030234667947</v>
      </c>
      <c r="P178" s="8">
        <f t="shared" si="19"/>
        <v>51.764095726417203</v>
      </c>
    </row>
    <row r="179" spans="1:16" x14ac:dyDescent="0.2">
      <c r="A179" s="8">
        <v>88.5</v>
      </c>
      <c r="B179" s="8">
        <v>177</v>
      </c>
      <c r="D179">
        <v>1179.0594339623001</v>
      </c>
      <c r="E179">
        <v>722.48490566038004</v>
      </c>
      <c r="F179">
        <v>145.75729068673999</v>
      </c>
      <c r="G179">
        <v>120.24270931325999</v>
      </c>
      <c r="I179" s="9">
        <f t="shared" si="15"/>
        <v>602.24219634712006</v>
      </c>
      <c r="J179" s="9">
        <f t="shared" si="16"/>
        <v>1033.3021432755602</v>
      </c>
      <c r="K179" s="9">
        <f t="shared" si="17"/>
        <v>602.24219634712006</v>
      </c>
      <c r="L179" s="10">
        <f t="shared" si="14"/>
        <v>0.58283262090023036</v>
      </c>
      <c r="M179" s="10">
        <f t="shared" si="18"/>
        <v>0.63125447110451394</v>
      </c>
      <c r="P179" s="8">
        <f t="shared" si="19"/>
        <v>50.619791590347397</v>
      </c>
    </row>
    <row r="180" spans="1:16" x14ac:dyDescent="0.2">
      <c r="A180" s="8">
        <v>89</v>
      </c>
      <c r="B180" s="8">
        <v>178</v>
      </c>
      <c r="D180">
        <v>1165.408490566</v>
      </c>
      <c r="E180">
        <v>709.45566037736</v>
      </c>
      <c r="F180">
        <v>145.77516462841001</v>
      </c>
      <c r="G180">
        <v>119.82502351834</v>
      </c>
      <c r="I180" s="9">
        <f t="shared" si="15"/>
        <v>589.63063685902</v>
      </c>
      <c r="J180" s="9">
        <f t="shared" si="16"/>
        <v>1019.6333259375899</v>
      </c>
      <c r="K180" s="9">
        <f t="shared" si="17"/>
        <v>589.63063685902</v>
      </c>
      <c r="L180" s="10">
        <f t="shared" si="14"/>
        <v>0.57827713341640063</v>
      </c>
      <c r="M180" s="10">
        <f t="shared" si="18"/>
        <v>0.62697255339584967</v>
      </c>
      <c r="P180" s="8">
        <f t="shared" si="19"/>
        <v>49.598109238129659</v>
      </c>
    </row>
    <row r="181" spans="1:16" x14ac:dyDescent="0.2">
      <c r="A181" s="8">
        <v>89.5</v>
      </c>
      <c r="B181" s="8">
        <v>179</v>
      </c>
      <c r="D181">
        <v>1165.3943661972</v>
      </c>
      <c r="E181">
        <v>701.14366197183006</v>
      </c>
      <c r="F181">
        <v>145.41298212606</v>
      </c>
      <c r="G181">
        <v>120.89181561618</v>
      </c>
      <c r="I181" s="9">
        <f t="shared" si="15"/>
        <v>580.25184635565006</v>
      </c>
      <c r="J181" s="9">
        <f t="shared" si="16"/>
        <v>1019.98138407114</v>
      </c>
      <c r="K181" s="9">
        <f t="shared" si="17"/>
        <v>580.25184635565006</v>
      </c>
      <c r="L181" s="10">
        <f t="shared" si="14"/>
        <v>0.5688847418367976</v>
      </c>
      <c r="M181" s="10">
        <f t="shared" si="18"/>
        <v>0.6178537315914121</v>
      </c>
      <c r="P181" s="8">
        <f t="shared" si="19"/>
        <v>47.422322605948317</v>
      </c>
    </row>
    <row r="182" spans="1:16" x14ac:dyDescent="0.2">
      <c r="A182" s="8">
        <v>90</v>
      </c>
      <c r="B182" s="8">
        <v>180</v>
      </c>
      <c r="D182">
        <v>1135.5774647886999</v>
      </c>
      <c r="E182">
        <v>678.43192488263003</v>
      </c>
      <c r="F182">
        <v>144.99717779868001</v>
      </c>
      <c r="G182">
        <v>120.62652869238001</v>
      </c>
      <c r="I182" s="9">
        <f t="shared" si="15"/>
        <v>557.80539619025001</v>
      </c>
      <c r="J182" s="9">
        <f t="shared" si="16"/>
        <v>990.58028699001989</v>
      </c>
      <c r="K182" s="9">
        <f t="shared" si="17"/>
        <v>557.80539619025001</v>
      </c>
      <c r="L182" s="10">
        <f t="shared" si="14"/>
        <v>0.56310972822324079</v>
      </c>
      <c r="M182" s="10">
        <f>L182+ABS($N$2)*A182</f>
        <v>0.61235228775302075</v>
      </c>
      <c r="P182" s="8">
        <f t="shared" si="19"/>
        <v>46.109656538118884</v>
      </c>
    </row>
    <row r="183" spans="1:16" x14ac:dyDescent="0.2">
      <c r="A183" s="8">
        <v>90.5</v>
      </c>
      <c r="B183" s="8">
        <v>181</v>
      </c>
      <c r="D183">
        <v>1230.1244064576999</v>
      </c>
      <c r="E183">
        <v>720.62298195632002</v>
      </c>
      <c r="F183">
        <v>145.93132643461999</v>
      </c>
      <c r="G183">
        <v>120.91815616181</v>
      </c>
      <c r="I183" s="9">
        <f t="shared" si="15"/>
        <v>599.70482579451004</v>
      </c>
      <c r="J183" s="9">
        <f t="shared" si="16"/>
        <v>1084.19308002308</v>
      </c>
      <c r="K183" s="9">
        <f t="shared" si="17"/>
        <v>599.70482579451004</v>
      </c>
      <c r="L183" s="10">
        <f t="shared" si="14"/>
        <v>0.55313471082267351</v>
      </c>
      <c r="M183" s="10">
        <f t="shared" ref="M183:M241" si="20">L183+ABS($N$2)*A183</f>
        <v>0.60265084012761894</v>
      </c>
      <c r="P183" s="8">
        <f t="shared" si="19"/>
        <v>43.794853100915567</v>
      </c>
    </row>
    <row r="184" spans="1:16" x14ac:dyDescent="0.2">
      <c r="A184" s="8">
        <v>91</v>
      </c>
      <c r="B184" s="8">
        <v>182</v>
      </c>
      <c r="D184">
        <v>1179.1314072693001</v>
      </c>
      <c r="E184">
        <v>700.06430568500002</v>
      </c>
      <c r="F184">
        <v>146.0103480715</v>
      </c>
      <c r="G184">
        <v>120.52587017874001</v>
      </c>
      <c r="I184" s="9">
        <f t="shared" si="15"/>
        <v>579.53843550626004</v>
      </c>
      <c r="J184" s="9">
        <f t="shared" si="16"/>
        <v>1033.1210591978002</v>
      </c>
      <c r="K184" s="9">
        <f t="shared" si="17"/>
        <v>579.53843550626004</v>
      </c>
      <c r="L184" s="10">
        <f t="shared" si="14"/>
        <v>0.56095888313056086</v>
      </c>
      <c r="M184" s="10">
        <f t="shared" si="20"/>
        <v>0.61074858221067163</v>
      </c>
      <c r="P184" s="8">
        <f t="shared" si="19"/>
        <v>45.727006108509627</v>
      </c>
    </row>
    <row r="185" spans="1:16" x14ac:dyDescent="0.2">
      <c r="A185" s="8">
        <v>91.5</v>
      </c>
      <c r="B185" s="8">
        <v>183</v>
      </c>
      <c r="D185">
        <v>1190.8769804287001</v>
      </c>
      <c r="E185">
        <v>703.45386766076001</v>
      </c>
      <c r="F185">
        <v>145.97365945436999</v>
      </c>
      <c r="G185">
        <v>120.32737535278</v>
      </c>
      <c r="I185" s="9">
        <f t="shared" si="15"/>
        <v>583.12649230798002</v>
      </c>
      <c r="J185" s="9">
        <f t="shared" si="16"/>
        <v>1044.9033209743302</v>
      </c>
      <c r="K185" s="9">
        <f t="shared" si="17"/>
        <v>583.12649230798002</v>
      </c>
      <c r="L185" s="10">
        <f t="shared" si="14"/>
        <v>0.55806741217382494</v>
      </c>
      <c r="M185" s="10">
        <f t="shared" si="20"/>
        <v>0.60813068102910117</v>
      </c>
      <c r="P185" s="8">
        <f t="shared" si="19"/>
        <v>45.102364623305824</v>
      </c>
    </row>
    <row r="186" spans="1:16" x14ac:dyDescent="0.2">
      <c r="A186" s="8">
        <v>92</v>
      </c>
      <c r="B186" s="8">
        <v>184</v>
      </c>
      <c r="D186">
        <v>1114.4492078285</v>
      </c>
      <c r="E186">
        <v>667.35228331780002</v>
      </c>
      <c r="F186">
        <v>145.93697083724999</v>
      </c>
      <c r="G186">
        <v>120.34336782691</v>
      </c>
      <c r="I186" s="9">
        <f t="shared" si="15"/>
        <v>547.00891549088999</v>
      </c>
      <c r="J186" s="9">
        <f t="shared" si="16"/>
        <v>968.51223699125001</v>
      </c>
      <c r="K186" s="9">
        <f t="shared" si="17"/>
        <v>547.00891549088999</v>
      </c>
      <c r="L186" s="10">
        <f t="shared" si="14"/>
        <v>0.56479298309147941</v>
      </c>
      <c r="M186" s="10">
        <f t="shared" si="20"/>
        <v>0.6151298217219211</v>
      </c>
      <c r="P186" s="8">
        <f t="shared" si="19"/>
        <v>46.772387032207725</v>
      </c>
    </row>
    <row r="187" spans="1:16" x14ac:dyDescent="0.2">
      <c r="A187" s="8">
        <v>92.5</v>
      </c>
      <c r="B187" s="8">
        <v>185</v>
      </c>
      <c r="D187">
        <v>1124.7387218045001</v>
      </c>
      <c r="E187">
        <v>662.85902255638996</v>
      </c>
      <c r="F187">
        <v>146.01881467544999</v>
      </c>
      <c r="G187">
        <v>120.72812793979</v>
      </c>
      <c r="I187" s="9">
        <f t="shared" si="15"/>
        <v>542.13089461660002</v>
      </c>
      <c r="J187" s="9">
        <f t="shared" si="16"/>
        <v>978.71990712905006</v>
      </c>
      <c r="K187" s="9">
        <f t="shared" si="17"/>
        <v>542.13089461660002</v>
      </c>
      <c r="L187" s="10">
        <f t="shared" si="14"/>
        <v>0.55391832808108687</v>
      </c>
      <c r="M187" s="10">
        <f t="shared" si="20"/>
        <v>0.60452873648669403</v>
      </c>
      <c r="P187" s="8">
        <f t="shared" si="19"/>
        <v>44.242926534339752</v>
      </c>
    </row>
    <row r="188" spans="1:16" x14ac:dyDescent="0.2">
      <c r="A188" s="8">
        <v>93</v>
      </c>
      <c r="B188" s="8">
        <v>186</v>
      </c>
      <c r="D188">
        <v>1159.3768796992999</v>
      </c>
      <c r="E188">
        <v>674.04887218044996</v>
      </c>
      <c r="F188">
        <v>146.52587017874001</v>
      </c>
      <c r="G188">
        <v>121.11571025400001</v>
      </c>
      <c r="I188" s="9">
        <f t="shared" si="15"/>
        <v>552.93316192645</v>
      </c>
      <c r="J188" s="9">
        <f t="shared" si="16"/>
        <v>1012.85100952056</v>
      </c>
      <c r="K188" s="9">
        <f t="shared" si="17"/>
        <v>552.93316192645</v>
      </c>
      <c r="L188" s="10">
        <f t="shared" si="14"/>
        <v>0.54591757003647035</v>
      </c>
      <c r="M188" s="10">
        <f t="shared" si="20"/>
        <v>0.59680154821724296</v>
      </c>
      <c r="P188" s="8">
        <f t="shared" si="19"/>
        <v>42.399189119398891</v>
      </c>
    </row>
    <row r="189" spans="1:16" x14ac:dyDescent="0.2">
      <c r="A189" s="8">
        <v>93.5</v>
      </c>
      <c r="B189" s="8">
        <v>187</v>
      </c>
      <c r="D189">
        <v>1193.0450281425999</v>
      </c>
      <c r="E189">
        <v>698.11069418387001</v>
      </c>
      <c r="F189">
        <v>145.71119473189</v>
      </c>
      <c r="G189">
        <v>120.39416745061</v>
      </c>
      <c r="I189" s="9">
        <f t="shared" si="15"/>
        <v>577.71652673326003</v>
      </c>
      <c r="J189" s="9">
        <f t="shared" si="16"/>
        <v>1047.33383341071</v>
      </c>
      <c r="K189" s="9">
        <f t="shared" si="17"/>
        <v>577.71652673326003</v>
      </c>
      <c r="L189" s="10">
        <f t="shared" si="14"/>
        <v>0.55160685953578814</v>
      </c>
      <c r="M189" s="10">
        <f t="shared" si="20"/>
        <v>0.60276440749172622</v>
      </c>
      <c r="P189" s="8">
        <f t="shared" si="19"/>
        <v>43.821950719223722</v>
      </c>
    </row>
    <row r="190" spans="1:16" x14ac:dyDescent="0.2">
      <c r="A190" s="8">
        <v>94</v>
      </c>
      <c r="B190" s="8">
        <v>188</v>
      </c>
      <c r="D190">
        <v>1184.3461538462</v>
      </c>
      <c r="E190">
        <v>689.64727954972</v>
      </c>
      <c r="F190">
        <v>145.60206961430001</v>
      </c>
      <c r="G190">
        <v>121.06396989652001</v>
      </c>
      <c r="I190" s="9">
        <f t="shared" si="15"/>
        <v>568.58330965319999</v>
      </c>
      <c r="J190" s="9">
        <f t="shared" si="16"/>
        <v>1038.7440842318999</v>
      </c>
      <c r="K190" s="9">
        <f t="shared" si="17"/>
        <v>568.58330965319999</v>
      </c>
      <c r="L190" s="10">
        <f t="shared" si="14"/>
        <v>0.54737573795535921</v>
      </c>
      <c r="M190" s="10">
        <f t="shared" si="20"/>
        <v>0.59880685568646275</v>
      </c>
      <c r="P190" s="8">
        <f t="shared" si="19"/>
        <v>42.877663343209086</v>
      </c>
    </row>
    <row r="191" spans="1:16" x14ac:dyDescent="0.2">
      <c r="A191" s="8">
        <v>94.5</v>
      </c>
      <c r="B191" s="8">
        <v>189</v>
      </c>
      <c r="D191">
        <v>1156.7016885554001</v>
      </c>
      <c r="E191">
        <v>663.98030018761995</v>
      </c>
      <c r="F191">
        <v>146.06961429915</v>
      </c>
      <c r="G191">
        <v>121.11194731891</v>
      </c>
      <c r="I191" s="9">
        <f t="shared" si="15"/>
        <v>542.86835286870996</v>
      </c>
      <c r="J191" s="9">
        <f t="shared" si="16"/>
        <v>1010.6320742562501</v>
      </c>
      <c r="K191" s="9">
        <f t="shared" si="17"/>
        <v>542.86835286870996</v>
      </c>
      <c r="L191" s="10">
        <f t="shared" si="14"/>
        <v>0.53715725702473927</v>
      </c>
      <c r="M191" s="10">
        <f t="shared" si="20"/>
        <v>0.58886194453100815</v>
      </c>
      <c r="P191" s="8">
        <f t="shared" si="19"/>
        <v>40.504768553255047</v>
      </c>
    </row>
    <row r="192" spans="1:16" x14ac:dyDescent="0.2">
      <c r="A192" s="8">
        <v>95</v>
      </c>
      <c r="B192" s="8">
        <v>190</v>
      </c>
      <c r="D192">
        <v>1158.7014218009999</v>
      </c>
      <c r="E192">
        <v>657.17251184834004</v>
      </c>
      <c r="F192">
        <v>145.65192850423</v>
      </c>
      <c r="G192">
        <v>121.14016933208001</v>
      </c>
      <c r="I192" s="9">
        <f t="shared" si="15"/>
        <v>536.03234251626009</v>
      </c>
      <c r="J192" s="9">
        <f t="shared" si="16"/>
        <v>1013.0494932967699</v>
      </c>
      <c r="K192" s="9">
        <f t="shared" si="17"/>
        <v>536.03234251626009</v>
      </c>
      <c r="L192" s="10">
        <f t="shared" si="14"/>
        <v>0.52912749679371385</v>
      </c>
      <c r="M192" s="10">
        <f t="shared" si="20"/>
        <v>0.5811057540751482</v>
      </c>
      <c r="P192" s="8">
        <f t="shared" si="19"/>
        <v>38.654111102936177</v>
      </c>
    </row>
    <row r="193" spans="1:16" x14ac:dyDescent="0.2">
      <c r="A193" s="8">
        <v>95.5</v>
      </c>
      <c r="B193" s="8">
        <v>191</v>
      </c>
      <c r="D193">
        <v>1171.1601895735</v>
      </c>
      <c r="E193">
        <v>651.57156398103996</v>
      </c>
      <c r="F193">
        <v>145.88711194731999</v>
      </c>
      <c r="G193">
        <v>120.87958607714</v>
      </c>
      <c r="I193" s="9">
        <f t="shared" si="15"/>
        <v>530.6919779038999</v>
      </c>
      <c r="J193" s="9">
        <f t="shared" si="16"/>
        <v>1025.2730776261801</v>
      </c>
      <c r="K193" s="9">
        <f t="shared" si="17"/>
        <v>530.6919779038999</v>
      </c>
      <c r="L193" s="10">
        <f t="shared" si="14"/>
        <v>0.51761037082199968</v>
      </c>
      <c r="M193" s="10">
        <f t="shared" si="20"/>
        <v>0.56986219787859949</v>
      </c>
      <c r="P193" s="8">
        <f t="shared" si="19"/>
        <v>35.97135451493866</v>
      </c>
    </row>
    <row r="194" spans="1:16" x14ac:dyDescent="0.2">
      <c r="A194" s="8">
        <v>96</v>
      </c>
      <c r="B194" s="8">
        <v>192</v>
      </c>
      <c r="D194">
        <v>1169.5232227488</v>
      </c>
      <c r="E194">
        <v>646.50521327013996</v>
      </c>
      <c r="F194">
        <v>146.06208842897999</v>
      </c>
      <c r="G194">
        <v>120.99435559737</v>
      </c>
      <c r="I194" s="9">
        <f t="shared" si="15"/>
        <v>525.51085767276993</v>
      </c>
      <c r="J194" s="9">
        <f t="shared" si="16"/>
        <v>1023.46113431982</v>
      </c>
      <c r="K194" s="9">
        <f t="shared" si="17"/>
        <v>525.51085767276993</v>
      </c>
      <c r="L194" s="10">
        <f t="shared" ref="L194:L257" si="21">K194/J194</f>
        <v>0.51346440040638985</v>
      </c>
      <c r="M194" s="10">
        <f t="shared" si="20"/>
        <v>0.56598979723815512</v>
      </c>
      <c r="P194" s="8">
        <f t="shared" si="19"/>
        <v>35.047384540678486</v>
      </c>
    </row>
    <row r="195" spans="1:16" x14ac:dyDescent="0.2">
      <c r="A195" s="8">
        <v>96.5</v>
      </c>
      <c r="B195" s="8">
        <v>193</v>
      </c>
      <c r="D195">
        <v>1191.2900473934001</v>
      </c>
      <c r="E195">
        <v>647.12511848341001</v>
      </c>
      <c r="F195">
        <v>145.82031984948</v>
      </c>
      <c r="G195">
        <v>120.52210724365</v>
      </c>
      <c r="I195" s="9">
        <f t="shared" ref="I195:I241" si="22">E195-G195</f>
        <v>526.60301123976001</v>
      </c>
      <c r="J195" s="9">
        <f t="shared" ref="J195:J241" si="23">D195-F195</f>
        <v>1045.46972754392</v>
      </c>
      <c r="K195" s="9">
        <f t="shared" ref="K195:K258" si="24">I195*1</f>
        <v>526.60301123976001</v>
      </c>
      <c r="L195" s="10">
        <f t="shared" si="21"/>
        <v>0.50369991341297593</v>
      </c>
      <c r="M195" s="10">
        <f t="shared" si="20"/>
        <v>0.55649888001990666</v>
      </c>
      <c r="P195" s="8">
        <f t="shared" ref="P195:P241" si="25">(M195-$O$2)/$O$2*100</f>
        <v>32.782814483990293</v>
      </c>
    </row>
    <row r="196" spans="1:16" x14ac:dyDescent="0.2">
      <c r="A196" s="8">
        <v>97</v>
      </c>
      <c r="B196" s="8">
        <v>194</v>
      </c>
      <c r="D196">
        <v>1184.890037594</v>
      </c>
      <c r="E196">
        <v>633.96992481202994</v>
      </c>
      <c r="F196">
        <v>146.52681091251</v>
      </c>
      <c r="G196">
        <v>120.8400752587</v>
      </c>
      <c r="I196" s="9">
        <f t="shared" si="22"/>
        <v>513.1298495533299</v>
      </c>
      <c r="J196" s="9">
        <f t="shared" si="23"/>
        <v>1038.36322668149</v>
      </c>
      <c r="K196" s="9">
        <f t="shared" si="24"/>
        <v>513.1298495533299</v>
      </c>
      <c r="L196" s="10">
        <f t="shared" si="21"/>
        <v>0.49417182385516872</v>
      </c>
      <c r="M196" s="10">
        <f t="shared" si="20"/>
        <v>0.54724436023726486</v>
      </c>
      <c r="P196" s="8">
        <f t="shared" si="25"/>
        <v>30.574649782215889</v>
      </c>
    </row>
    <row r="197" spans="1:16" x14ac:dyDescent="0.2">
      <c r="A197" s="8">
        <v>97.5</v>
      </c>
      <c r="B197" s="8">
        <v>195</v>
      </c>
      <c r="D197">
        <v>1192.7340225564001</v>
      </c>
      <c r="E197">
        <v>635.42199248120005</v>
      </c>
      <c r="F197">
        <v>146.32737535278</v>
      </c>
      <c r="G197">
        <v>121.05174035748</v>
      </c>
      <c r="I197" s="9">
        <f t="shared" si="22"/>
        <v>514.37025212372009</v>
      </c>
      <c r="J197" s="9">
        <f t="shared" si="23"/>
        <v>1046.4066472036202</v>
      </c>
      <c r="K197" s="9">
        <f t="shared" si="24"/>
        <v>514.37025212372009</v>
      </c>
      <c r="L197" s="10">
        <f t="shared" si="21"/>
        <v>0.49155866268463105</v>
      </c>
      <c r="M197" s="10">
        <f t="shared" si="20"/>
        <v>0.54490476884189265</v>
      </c>
      <c r="P197" s="8">
        <f t="shared" si="25"/>
        <v>30.016414103091194</v>
      </c>
    </row>
    <row r="198" spans="1:16" x14ac:dyDescent="0.2">
      <c r="A198" s="8">
        <v>98</v>
      </c>
      <c r="B198" s="8">
        <v>196</v>
      </c>
      <c r="D198">
        <v>1174.8060548722999</v>
      </c>
      <c r="E198">
        <v>617.63576158939998</v>
      </c>
      <c r="F198">
        <v>145.60301034807</v>
      </c>
      <c r="G198">
        <v>120.57384760113</v>
      </c>
      <c r="I198" s="9">
        <f t="shared" si="22"/>
        <v>497.06191398826996</v>
      </c>
      <c r="J198" s="9">
        <f t="shared" si="23"/>
        <v>1029.2030445242299</v>
      </c>
      <c r="K198" s="9">
        <f t="shared" si="24"/>
        <v>497.06191398826996</v>
      </c>
      <c r="L198" s="10">
        <f t="shared" si="21"/>
        <v>0.48295806802441688</v>
      </c>
      <c r="M198" s="10">
        <f t="shared" si="20"/>
        <v>0.53657774395684388</v>
      </c>
      <c r="P198" s="8">
        <f t="shared" si="25"/>
        <v>28.029553320055207</v>
      </c>
    </row>
    <row r="199" spans="1:16" x14ac:dyDescent="0.2">
      <c r="A199" s="8">
        <v>98.5</v>
      </c>
      <c r="B199" s="8">
        <v>197</v>
      </c>
      <c r="D199">
        <v>1143.3651844844001</v>
      </c>
      <c r="E199">
        <v>603.83443708609002</v>
      </c>
      <c r="F199">
        <v>146.05550329256999</v>
      </c>
      <c r="G199">
        <v>121.20319849483</v>
      </c>
      <c r="I199" s="9">
        <f t="shared" si="22"/>
        <v>482.63123859126</v>
      </c>
      <c r="J199" s="9">
        <f t="shared" si="23"/>
        <v>997.30968119183012</v>
      </c>
      <c r="K199" s="9">
        <f t="shared" si="24"/>
        <v>482.63123859126</v>
      </c>
      <c r="L199" s="10">
        <f t="shared" si="21"/>
        <v>0.48393317310877187</v>
      </c>
      <c r="M199" s="10">
        <f t="shared" si="20"/>
        <v>0.53782641881636439</v>
      </c>
      <c r="P199" s="8">
        <f t="shared" si="25"/>
        <v>28.327492036870961</v>
      </c>
    </row>
    <row r="200" spans="1:16" x14ac:dyDescent="0.2">
      <c r="A200" s="8">
        <v>99</v>
      </c>
      <c r="B200" s="8">
        <v>198</v>
      </c>
      <c r="D200">
        <v>1200.6478873239</v>
      </c>
      <c r="E200">
        <v>620.99530516432003</v>
      </c>
      <c r="F200">
        <v>145.91909689558</v>
      </c>
      <c r="G200">
        <v>120.75258701787</v>
      </c>
      <c r="I200" s="9">
        <f t="shared" si="22"/>
        <v>500.24271814645004</v>
      </c>
      <c r="J200" s="9">
        <f t="shared" si="23"/>
        <v>1054.7287904283201</v>
      </c>
      <c r="K200" s="9">
        <f t="shared" si="24"/>
        <v>500.24271814645004</v>
      </c>
      <c r="L200" s="10">
        <f t="shared" si="21"/>
        <v>0.47428563881649993</v>
      </c>
      <c r="M200" s="10">
        <f t="shared" si="20"/>
        <v>0.52845245429925791</v>
      </c>
      <c r="P200" s="8">
        <f t="shared" si="25"/>
        <v>26.090827353179353</v>
      </c>
    </row>
    <row r="201" spans="1:16" x14ac:dyDescent="0.2">
      <c r="A201" s="8">
        <v>99.5</v>
      </c>
      <c r="B201" s="8">
        <v>199</v>
      </c>
      <c r="D201">
        <v>1160.8075117371</v>
      </c>
      <c r="E201">
        <v>602.93896713615004</v>
      </c>
      <c r="F201">
        <v>146.16180620884001</v>
      </c>
      <c r="G201">
        <v>120.70555032926001</v>
      </c>
      <c r="I201" s="9">
        <f t="shared" si="22"/>
        <v>482.23341680689003</v>
      </c>
      <c r="J201" s="9">
        <f t="shared" si="23"/>
        <v>1014.6457055282599</v>
      </c>
      <c r="K201" s="9">
        <f t="shared" si="24"/>
        <v>482.23341680689003</v>
      </c>
      <c r="L201" s="10">
        <f t="shared" si="21"/>
        <v>0.47527271261235221</v>
      </c>
      <c r="M201" s="10">
        <f t="shared" si="20"/>
        <v>0.52971309787027554</v>
      </c>
      <c r="P201" s="8">
        <f t="shared" si="25"/>
        <v>26.391621851480735</v>
      </c>
    </row>
    <row r="202" spans="1:16" x14ac:dyDescent="0.2">
      <c r="A202" s="8">
        <v>100</v>
      </c>
      <c r="B202" s="8">
        <v>200</v>
      </c>
      <c r="D202">
        <v>1178.3258215962001</v>
      </c>
      <c r="E202">
        <v>619.45539906102999</v>
      </c>
      <c r="F202">
        <v>146.95390404515999</v>
      </c>
      <c r="G202">
        <v>120.58795860770999</v>
      </c>
      <c r="I202" s="9">
        <f t="shared" si="22"/>
        <v>498.86744045332</v>
      </c>
      <c r="J202" s="9">
        <f t="shared" si="23"/>
        <v>1031.37191755104</v>
      </c>
      <c r="K202" s="9">
        <f t="shared" si="24"/>
        <v>498.86744045332</v>
      </c>
      <c r="L202" s="10">
        <f t="shared" si="21"/>
        <v>0.48369306160464881</v>
      </c>
      <c r="M202" s="10">
        <f t="shared" si="20"/>
        <v>0.5384070166377376</v>
      </c>
      <c r="P202" s="8">
        <f t="shared" si="25"/>
        <v>28.466024953239899</v>
      </c>
    </row>
    <row r="203" spans="1:16" x14ac:dyDescent="0.2">
      <c r="A203" s="8">
        <v>100.5</v>
      </c>
      <c r="B203" s="8">
        <v>201</v>
      </c>
      <c r="D203">
        <v>1205.7434456929</v>
      </c>
      <c r="E203">
        <v>641.19194756553998</v>
      </c>
      <c r="F203">
        <v>145.93979303857</v>
      </c>
      <c r="G203">
        <v>121.326434619</v>
      </c>
      <c r="I203" s="9">
        <f t="shared" si="22"/>
        <v>519.86551294653998</v>
      </c>
      <c r="J203" s="9">
        <f t="shared" si="23"/>
        <v>1059.8036526543299</v>
      </c>
      <c r="K203" s="9">
        <f t="shared" si="24"/>
        <v>519.86551294653998</v>
      </c>
      <c r="L203" s="10">
        <f t="shared" si="21"/>
        <v>0.49053002567457799</v>
      </c>
      <c r="M203" s="10">
        <f t="shared" si="20"/>
        <v>0.54551755048283224</v>
      </c>
      <c r="P203" s="8">
        <f t="shared" si="25"/>
        <v>30.162626204982875</v>
      </c>
    </row>
    <row r="204" spans="1:16" x14ac:dyDescent="0.2">
      <c r="A204" s="8">
        <v>101</v>
      </c>
      <c r="B204" s="8">
        <v>202</v>
      </c>
      <c r="D204">
        <v>1196.436329588</v>
      </c>
      <c r="E204">
        <v>630.39044943819999</v>
      </c>
      <c r="F204">
        <v>146.40639698965001</v>
      </c>
      <c r="G204">
        <v>120.89651928504</v>
      </c>
      <c r="I204" s="9">
        <f t="shared" si="22"/>
        <v>509.49393015316002</v>
      </c>
      <c r="J204" s="9">
        <f t="shared" si="23"/>
        <v>1050.0299325983501</v>
      </c>
      <c r="K204" s="9">
        <f t="shared" si="24"/>
        <v>509.49393015316002</v>
      </c>
      <c r="L204" s="10">
        <f t="shared" si="21"/>
        <v>0.4852184821935433</v>
      </c>
      <c r="M204" s="10">
        <f t="shared" si="20"/>
        <v>0.54047957677696301</v>
      </c>
      <c r="P204" s="8">
        <f t="shared" si="25"/>
        <v>28.960545927772387</v>
      </c>
    </row>
    <row r="205" spans="1:16" x14ac:dyDescent="0.2">
      <c r="A205" s="8">
        <v>101.5</v>
      </c>
      <c r="B205" s="8">
        <v>203</v>
      </c>
      <c r="D205">
        <v>1166.0234082397001</v>
      </c>
      <c r="E205">
        <v>608.26591760300005</v>
      </c>
      <c r="F205">
        <v>146.24741298212999</v>
      </c>
      <c r="G205">
        <v>121.06679209783999</v>
      </c>
      <c r="I205" s="9">
        <f t="shared" si="22"/>
        <v>487.19912550516005</v>
      </c>
      <c r="J205" s="9">
        <f t="shared" si="23"/>
        <v>1019.7759952575701</v>
      </c>
      <c r="K205" s="9">
        <f t="shared" si="24"/>
        <v>487.19912550516005</v>
      </c>
      <c r="L205" s="10">
        <f t="shared" si="21"/>
        <v>0.47775112159029165</v>
      </c>
      <c r="M205" s="10">
        <f t="shared" si="20"/>
        <v>0.53328578594887677</v>
      </c>
      <c r="P205" s="8">
        <f t="shared" si="25"/>
        <v>27.244079233484992</v>
      </c>
    </row>
    <row r="206" spans="1:16" x14ac:dyDescent="0.2">
      <c r="A206" s="8">
        <v>102</v>
      </c>
      <c r="B206" s="8">
        <v>204</v>
      </c>
      <c r="D206">
        <v>1185.6185080263999</v>
      </c>
      <c r="E206">
        <v>615.88101983003003</v>
      </c>
      <c r="F206">
        <v>146.43461900282</v>
      </c>
      <c r="G206">
        <v>120.87582314205</v>
      </c>
      <c r="I206" s="9">
        <f t="shared" si="22"/>
        <v>495.00519668798006</v>
      </c>
      <c r="J206" s="9">
        <f t="shared" si="23"/>
        <v>1039.1838890235799</v>
      </c>
      <c r="K206" s="9">
        <f t="shared" si="24"/>
        <v>495.00519668798006</v>
      </c>
      <c r="L206" s="10">
        <f t="shared" si="21"/>
        <v>0.47634033005754961</v>
      </c>
      <c r="M206" s="10">
        <f t="shared" si="20"/>
        <v>0.53214856419130019</v>
      </c>
      <c r="P206" s="8">
        <f t="shared" si="25"/>
        <v>26.97273366373641</v>
      </c>
    </row>
    <row r="207" spans="1:16" x14ac:dyDescent="0.2">
      <c r="A207" s="8">
        <v>102.5</v>
      </c>
      <c r="B207" s="8">
        <v>205</v>
      </c>
      <c r="D207">
        <v>1159.1098696462</v>
      </c>
      <c r="E207">
        <v>600.88081936685001</v>
      </c>
      <c r="F207">
        <v>146.72060206961001</v>
      </c>
      <c r="G207">
        <v>121.25211665099</v>
      </c>
      <c r="I207" s="9">
        <f t="shared" si="22"/>
        <v>479.62870271586002</v>
      </c>
      <c r="J207" s="9">
        <f t="shared" si="23"/>
        <v>1012.38926757659</v>
      </c>
      <c r="K207" s="9">
        <f t="shared" si="24"/>
        <v>479.62870271586002</v>
      </c>
      <c r="L207" s="10">
        <f t="shared" si="21"/>
        <v>0.47375917354791081</v>
      </c>
      <c r="M207" s="10">
        <f t="shared" si="20"/>
        <v>0.5298409774568269</v>
      </c>
      <c r="P207" s="8">
        <f t="shared" si="25"/>
        <v>26.422134422174015</v>
      </c>
    </row>
    <row r="208" spans="1:16" x14ac:dyDescent="0.2">
      <c r="A208" s="8">
        <v>103</v>
      </c>
      <c r="B208" s="8">
        <v>206</v>
      </c>
      <c r="D208">
        <v>1193.1033519553</v>
      </c>
      <c r="E208">
        <v>620.56610800745</v>
      </c>
      <c r="F208">
        <v>145.87017873942</v>
      </c>
      <c r="G208">
        <v>121.04703668862</v>
      </c>
      <c r="I208" s="9">
        <f t="shared" si="22"/>
        <v>499.51907131883002</v>
      </c>
      <c r="J208" s="9">
        <f t="shared" si="23"/>
        <v>1047.23317321588</v>
      </c>
      <c r="K208" s="9">
        <f t="shared" si="24"/>
        <v>499.51907131883002</v>
      </c>
      <c r="L208" s="10">
        <f t="shared" si="21"/>
        <v>0.4769893506953084</v>
      </c>
      <c r="M208" s="10">
        <f t="shared" si="20"/>
        <v>0.53334472437938985</v>
      </c>
      <c r="P208" s="8">
        <f t="shared" si="25"/>
        <v>27.258142174069018</v>
      </c>
    </row>
    <row r="209" spans="1:16" x14ac:dyDescent="0.2">
      <c r="A209" s="8">
        <v>103.5</v>
      </c>
      <c r="B209" s="8">
        <v>207</v>
      </c>
      <c r="D209">
        <v>1223.9590316573999</v>
      </c>
      <c r="E209">
        <v>628.74674115456003</v>
      </c>
      <c r="F209">
        <v>146.58795860770999</v>
      </c>
      <c r="G209">
        <v>120.77986829727</v>
      </c>
      <c r="I209" s="9">
        <f t="shared" si="22"/>
        <v>507.96687285729001</v>
      </c>
      <c r="J209" s="9">
        <f t="shared" si="23"/>
        <v>1077.37107304969</v>
      </c>
      <c r="K209" s="9">
        <f t="shared" si="24"/>
        <v>507.96687285729001</v>
      </c>
      <c r="L209" s="10">
        <f t="shared" si="21"/>
        <v>0.47148738773856219</v>
      </c>
      <c r="M209" s="10">
        <f t="shared" si="20"/>
        <v>0.5281163311978091</v>
      </c>
      <c r="P209" s="8">
        <f t="shared" si="25"/>
        <v>26.010627063428789</v>
      </c>
    </row>
    <row r="210" spans="1:16" x14ac:dyDescent="0.2">
      <c r="A210" s="8">
        <v>104</v>
      </c>
      <c r="B210" s="8">
        <v>208</v>
      </c>
      <c r="D210">
        <v>1198.4764150942999</v>
      </c>
      <c r="E210">
        <v>609.96698113208004</v>
      </c>
      <c r="F210">
        <v>146.40639698965001</v>
      </c>
      <c r="G210">
        <v>120.9557855127</v>
      </c>
      <c r="I210" s="9">
        <f t="shared" si="22"/>
        <v>489.01119561938003</v>
      </c>
      <c r="J210" s="9">
        <f t="shared" si="23"/>
        <v>1052.07001810465</v>
      </c>
      <c r="K210" s="9">
        <f t="shared" si="24"/>
        <v>489.01119561938003</v>
      </c>
      <c r="L210" s="10">
        <f t="shared" si="21"/>
        <v>0.46480860323379902</v>
      </c>
      <c r="M210" s="10">
        <f t="shared" si="20"/>
        <v>0.52171111646821133</v>
      </c>
      <c r="P210" s="8">
        <f t="shared" si="25"/>
        <v>24.482317717792945</v>
      </c>
    </row>
    <row r="211" spans="1:16" x14ac:dyDescent="0.2">
      <c r="A211" s="8">
        <v>104.5</v>
      </c>
      <c r="B211" s="8">
        <v>209</v>
      </c>
      <c r="D211">
        <v>1149.8547169811</v>
      </c>
      <c r="E211">
        <v>593.61981132076005</v>
      </c>
      <c r="F211">
        <v>146.14769520226</v>
      </c>
      <c r="G211">
        <v>120.75446848542001</v>
      </c>
      <c r="I211" s="9">
        <f t="shared" si="22"/>
        <v>472.86534283534002</v>
      </c>
      <c r="J211" s="9">
        <f t="shared" si="23"/>
        <v>1003.7070217788399</v>
      </c>
      <c r="K211" s="9">
        <f t="shared" si="24"/>
        <v>472.86534283534002</v>
      </c>
      <c r="L211" s="10">
        <f t="shared" si="21"/>
        <v>0.4711188948317756</v>
      </c>
      <c r="M211" s="10">
        <f t="shared" si="20"/>
        <v>0.52829497784135337</v>
      </c>
      <c r="P211" s="8">
        <f t="shared" si="25"/>
        <v>26.053252852948937</v>
      </c>
    </row>
    <row r="212" spans="1:16" x14ac:dyDescent="0.2">
      <c r="A212" s="8">
        <v>105</v>
      </c>
      <c r="B212" s="8">
        <v>210</v>
      </c>
      <c r="D212">
        <v>1151.5363288719</v>
      </c>
      <c r="E212">
        <v>591.17973231357996</v>
      </c>
      <c r="F212">
        <v>146.69238005643999</v>
      </c>
      <c r="G212">
        <v>120.91909689558</v>
      </c>
      <c r="I212" s="9">
        <f t="shared" si="22"/>
        <v>470.26063541799999</v>
      </c>
      <c r="J212" s="9">
        <f t="shared" si="23"/>
        <v>1004.84394881546</v>
      </c>
      <c r="K212" s="9">
        <f t="shared" si="24"/>
        <v>470.26063541799999</v>
      </c>
      <c r="L212" s="10">
        <f t="shared" si="21"/>
        <v>0.46799369789941736</v>
      </c>
      <c r="M212" s="10">
        <f t="shared" si="20"/>
        <v>0.52544335068416059</v>
      </c>
      <c r="P212" s="8">
        <f t="shared" si="25"/>
        <v>25.372843433656854</v>
      </c>
    </row>
    <row r="213" spans="1:16" x14ac:dyDescent="0.2">
      <c r="A213" s="8">
        <v>105.5</v>
      </c>
      <c r="B213" s="8">
        <v>211</v>
      </c>
      <c r="D213">
        <v>1131.3413001911999</v>
      </c>
      <c r="E213">
        <v>576.72275334608003</v>
      </c>
      <c r="F213">
        <v>146.36500470367</v>
      </c>
      <c r="G213">
        <v>120.75446848542001</v>
      </c>
      <c r="I213" s="9">
        <f t="shared" si="22"/>
        <v>455.96828486065999</v>
      </c>
      <c r="J213" s="9">
        <f t="shared" si="23"/>
        <v>984.97629548752991</v>
      </c>
      <c r="K213" s="9">
        <f t="shared" si="24"/>
        <v>455.96828486065999</v>
      </c>
      <c r="L213" s="10">
        <f t="shared" si="21"/>
        <v>0.46292310479915777</v>
      </c>
      <c r="M213" s="10">
        <f t="shared" si="20"/>
        <v>0.52064632735906646</v>
      </c>
      <c r="P213" s="8">
        <f t="shared" si="25"/>
        <v>24.228254861926825</v>
      </c>
    </row>
    <row r="214" spans="1:16" x14ac:dyDescent="0.2">
      <c r="A214" s="8">
        <v>106</v>
      </c>
      <c r="B214" s="8">
        <v>212</v>
      </c>
      <c r="D214">
        <v>1135.0485527543999</v>
      </c>
      <c r="E214">
        <v>577.85527544350998</v>
      </c>
      <c r="F214">
        <v>145.75917215428001</v>
      </c>
      <c r="G214">
        <v>121.03574788335</v>
      </c>
      <c r="I214" s="9">
        <f t="shared" si="22"/>
        <v>456.81952756016</v>
      </c>
      <c r="J214" s="9">
        <f t="shared" si="23"/>
        <v>989.2893806001199</v>
      </c>
      <c r="K214" s="9">
        <f t="shared" si="24"/>
        <v>456.81952756016</v>
      </c>
      <c r="L214" s="10">
        <f t="shared" si="21"/>
        <v>0.46176532015641919</v>
      </c>
      <c r="M214" s="10">
        <f t="shared" si="20"/>
        <v>0.51976211249149329</v>
      </c>
      <c r="P214" s="8">
        <f t="shared" si="25"/>
        <v>24.017277728027192</v>
      </c>
    </row>
    <row r="215" spans="1:16" x14ac:dyDescent="0.2">
      <c r="A215" s="8">
        <v>106.5</v>
      </c>
      <c r="B215" s="8">
        <v>213</v>
      </c>
      <c r="D215">
        <v>1154.7684407096001</v>
      </c>
      <c r="E215">
        <v>576.76937441642997</v>
      </c>
      <c r="F215">
        <v>146.62276575729001</v>
      </c>
      <c r="G215">
        <v>121.06773283161</v>
      </c>
      <c r="I215" s="9">
        <f t="shared" si="22"/>
        <v>455.70164158481998</v>
      </c>
      <c r="J215" s="9">
        <f t="shared" si="23"/>
        <v>1008.1456749523101</v>
      </c>
      <c r="K215" s="9">
        <f t="shared" si="24"/>
        <v>455.70164158481998</v>
      </c>
      <c r="L215" s="10">
        <f t="shared" si="21"/>
        <v>0.45201963655339472</v>
      </c>
      <c r="M215" s="10">
        <f t="shared" si="20"/>
        <v>0.51028999866363434</v>
      </c>
      <c r="P215" s="8">
        <f t="shared" si="25"/>
        <v>21.757194234003187</v>
      </c>
    </row>
    <row r="216" spans="1:16" x14ac:dyDescent="0.2">
      <c r="A216" s="8">
        <v>107</v>
      </c>
      <c r="B216" s="8">
        <v>214</v>
      </c>
      <c r="D216">
        <v>1170.8132586367999</v>
      </c>
      <c r="E216">
        <v>580.32306255835999</v>
      </c>
      <c r="F216">
        <v>146.35465663216999</v>
      </c>
      <c r="G216">
        <v>121.09971777987001</v>
      </c>
      <c r="I216" s="9">
        <f t="shared" si="22"/>
        <v>459.22334477849</v>
      </c>
      <c r="J216" s="9">
        <f t="shared" si="23"/>
        <v>1024.4586020046299</v>
      </c>
      <c r="K216" s="9">
        <f t="shared" si="24"/>
        <v>459.22334477849</v>
      </c>
      <c r="L216" s="10">
        <f t="shared" si="21"/>
        <v>0.44825954302096299</v>
      </c>
      <c r="M216" s="10">
        <f t="shared" si="20"/>
        <v>0.50680347490636801</v>
      </c>
      <c r="P216" s="8">
        <f t="shared" si="25"/>
        <v>20.925295996870062</v>
      </c>
    </row>
    <row r="217" spans="1:16" x14ac:dyDescent="0.2">
      <c r="A217" s="8">
        <v>107.5</v>
      </c>
      <c r="B217" s="8">
        <v>215</v>
      </c>
      <c r="D217">
        <v>1157.3669467786999</v>
      </c>
      <c r="E217">
        <v>572.99066293184001</v>
      </c>
      <c r="F217">
        <v>146.65663217310001</v>
      </c>
      <c r="G217">
        <v>121.09407337723</v>
      </c>
      <c r="I217" s="9">
        <f t="shared" si="22"/>
        <v>451.89658955460999</v>
      </c>
      <c r="J217" s="9">
        <f t="shared" si="23"/>
        <v>1010.7103146055999</v>
      </c>
      <c r="K217" s="9">
        <f t="shared" si="24"/>
        <v>451.89658955460999</v>
      </c>
      <c r="L217" s="10">
        <f t="shared" si="21"/>
        <v>0.44710792303623553</v>
      </c>
      <c r="M217" s="10">
        <f t="shared" si="20"/>
        <v>0.50592542469680601</v>
      </c>
      <c r="P217" s="8">
        <f t="shared" si="25"/>
        <v>20.715789774539971</v>
      </c>
    </row>
    <row r="218" spans="1:16" x14ac:dyDescent="0.2">
      <c r="A218" s="8">
        <v>108</v>
      </c>
      <c r="B218" s="8">
        <v>216</v>
      </c>
      <c r="D218">
        <v>1132.3632119515</v>
      </c>
      <c r="E218">
        <v>562.16246498599003</v>
      </c>
      <c r="F218">
        <v>146.77328316086999</v>
      </c>
      <c r="G218">
        <v>120.92662276576</v>
      </c>
      <c r="I218" s="9">
        <f t="shared" si="22"/>
        <v>441.23584222023004</v>
      </c>
      <c r="J218" s="9">
        <f t="shared" si="23"/>
        <v>985.58992879062998</v>
      </c>
      <c r="K218" s="9">
        <f t="shared" si="24"/>
        <v>441.23584222023004</v>
      </c>
      <c r="L218" s="10">
        <f t="shared" si="21"/>
        <v>0.44768704440968599</v>
      </c>
      <c r="M218" s="10">
        <f t="shared" si="20"/>
        <v>0.50677811584542187</v>
      </c>
      <c r="P218" s="8">
        <f t="shared" si="25"/>
        <v>20.919245225510057</v>
      </c>
    </row>
    <row r="219" spans="1:16" x14ac:dyDescent="0.2">
      <c r="A219" s="8">
        <v>108.5</v>
      </c>
      <c r="B219" s="8">
        <v>217</v>
      </c>
      <c r="D219">
        <v>1149.3650943396001</v>
      </c>
      <c r="E219">
        <v>567.33396226415005</v>
      </c>
      <c r="F219">
        <v>146.69143932266999</v>
      </c>
      <c r="G219">
        <v>121.25305738476</v>
      </c>
      <c r="I219" s="9">
        <f t="shared" si="22"/>
        <v>446.08090487939006</v>
      </c>
      <c r="J219" s="9">
        <f t="shared" si="23"/>
        <v>1002.6736550169301</v>
      </c>
      <c r="K219" s="9">
        <f t="shared" si="24"/>
        <v>446.08090487939006</v>
      </c>
      <c r="L219" s="10">
        <f t="shared" si="21"/>
        <v>0.4448914187057782</v>
      </c>
      <c r="M219" s="10">
        <f t="shared" si="20"/>
        <v>0.50425605991667954</v>
      </c>
      <c r="P219" s="8">
        <f t="shared" si="25"/>
        <v>20.317472793385019</v>
      </c>
    </row>
    <row r="220" spans="1:16" x14ac:dyDescent="0.2">
      <c r="A220" s="8">
        <v>109</v>
      </c>
      <c r="B220" s="8">
        <v>218</v>
      </c>
      <c r="D220">
        <v>1156.6433962264</v>
      </c>
      <c r="E220">
        <v>568.48018867924998</v>
      </c>
      <c r="F220">
        <v>146.37723424270999</v>
      </c>
      <c r="G220">
        <v>121.43650047037001</v>
      </c>
      <c r="I220" s="9">
        <f t="shared" si="22"/>
        <v>447.04368820887998</v>
      </c>
      <c r="J220" s="9">
        <f t="shared" si="23"/>
        <v>1010.26616198369</v>
      </c>
      <c r="K220" s="9">
        <f t="shared" si="24"/>
        <v>447.04368820887998</v>
      </c>
      <c r="L220" s="10">
        <f t="shared" si="21"/>
        <v>0.442500902268265</v>
      </c>
      <c r="M220" s="10">
        <f t="shared" si="20"/>
        <v>0.5021391132543318</v>
      </c>
      <c r="P220" s="8">
        <f t="shared" si="25"/>
        <v>19.81236102042158</v>
      </c>
    </row>
    <row r="221" spans="1:16" x14ac:dyDescent="0.2">
      <c r="A221" s="8">
        <v>109.5</v>
      </c>
      <c r="B221" s="8">
        <v>219</v>
      </c>
      <c r="D221">
        <v>1127.0433962264001</v>
      </c>
      <c r="E221">
        <v>552.18962264151003</v>
      </c>
      <c r="F221">
        <v>146.18814675447001</v>
      </c>
      <c r="G221">
        <v>121.09689557855</v>
      </c>
      <c r="I221" s="9">
        <f t="shared" si="22"/>
        <v>431.09272706296002</v>
      </c>
      <c r="J221" s="9">
        <f t="shared" si="23"/>
        <v>980.85524947193005</v>
      </c>
      <c r="K221" s="9">
        <f t="shared" si="24"/>
        <v>431.09272706296002</v>
      </c>
      <c r="L221" s="10">
        <f t="shared" si="21"/>
        <v>0.43950697852211162</v>
      </c>
      <c r="M221" s="10">
        <f t="shared" si="20"/>
        <v>0.49941875928334389</v>
      </c>
      <c r="P221" s="8">
        <f t="shared" si="25"/>
        <v>19.163273898004455</v>
      </c>
    </row>
    <row r="222" spans="1:16" x14ac:dyDescent="0.2">
      <c r="A222" s="8">
        <v>110</v>
      </c>
      <c r="B222" s="8">
        <v>220</v>
      </c>
      <c r="D222">
        <v>1141.0169811321</v>
      </c>
      <c r="E222">
        <v>558.33018867925</v>
      </c>
      <c r="F222">
        <v>146.19755409218999</v>
      </c>
      <c r="G222">
        <v>120.99059266227999</v>
      </c>
      <c r="I222" s="9">
        <f t="shared" si="22"/>
        <v>437.33959601697001</v>
      </c>
      <c r="J222" s="9">
        <f t="shared" si="23"/>
        <v>994.81942703991001</v>
      </c>
      <c r="K222" s="9">
        <f t="shared" si="24"/>
        <v>437.33959601697001</v>
      </c>
      <c r="L222" s="10">
        <f t="shared" si="21"/>
        <v>0.43961706429304065</v>
      </c>
      <c r="M222" s="10">
        <f t="shared" si="20"/>
        <v>0.49980241482943832</v>
      </c>
      <c r="P222" s="8">
        <f t="shared" si="25"/>
        <v>19.254815615394776</v>
      </c>
    </row>
    <row r="223" spans="1:16" x14ac:dyDescent="0.2">
      <c r="A223" s="8">
        <v>110.5</v>
      </c>
      <c r="B223" s="8">
        <v>221</v>
      </c>
      <c r="D223">
        <v>1186.1613207547</v>
      </c>
      <c r="E223">
        <v>568.42264150943004</v>
      </c>
      <c r="F223">
        <v>146.75917215428001</v>
      </c>
      <c r="G223">
        <v>121.08748824083</v>
      </c>
      <c r="I223" s="9">
        <f t="shared" si="22"/>
        <v>447.33515326860004</v>
      </c>
      <c r="J223" s="9">
        <f t="shared" si="23"/>
        <v>1039.4021486004199</v>
      </c>
      <c r="K223" s="9">
        <f t="shared" si="24"/>
        <v>447.33515326860004</v>
      </c>
      <c r="L223" s="10">
        <f t="shared" si="21"/>
        <v>0.4303773605538026</v>
      </c>
      <c r="M223" s="10">
        <f t="shared" si="20"/>
        <v>0.49083628086536574</v>
      </c>
      <c r="P223" s="8">
        <f t="shared" si="25"/>
        <v>17.115460900525505</v>
      </c>
    </row>
    <row r="224" spans="1:16" x14ac:dyDescent="0.2">
      <c r="A224" s="8">
        <v>111</v>
      </c>
      <c r="B224" s="8">
        <v>222</v>
      </c>
      <c r="D224">
        <v>1185.1622641509</v>
      </c>
      <c r="E224">
        <v>570.54433962264</v>
      </c>
      <c r="F224">
        <v>146.65380997177999</v>
      </c>
      <c r="G224">
        <v>121.31984948260001</v>
      </c>
      <c r="I224" s="9">
        <f t="shared" si="22"/>
        <v>449.22449014003996</v>
      </c>
      <c r="J224" s="9">
        <f t="shared" si="23"/>
        <v>1038.50845417912</v>
      </c>
      <c r="K224" s="9">
        <f t="shared" si="24"/>
        <v>449.22449014003996</v>
      </c>
      <c r="L224" s="10">
        <f t="shared" si="21"/>
        <v>0.43256700350612509</v>
      </c>
      <c r="M224" s="10">
        <f t="shared" si="20"/>
        <v>0.49329949359285369</v>
      </c>
      <c r="P224" s="8">
        <f t="shared" si="25"/>
        <v>17.703193114140987</v>
      </c>
    </row>
    <row r="225" spans="1:16" x14ac:dyDescent="0.2">
      <c r="A225" s="8">
        <v>111.5</v>
      </c>
      <c r="B225" s="8">
        <v>223</v>
      </c>
      <c r="D225">
        <v>1138.9381443299001</v>
      </c>
      <c r="E225">
        <v>548.81068416120002</v>
      </c>
      <c r="F225">
        <v>147.05174035748001</v>
      </c>
      <c r="G225">
        <v>120.57666980245</v>
      </c>
      <c r="I225" s="9">
        <f t="shared" si="22"/>
        <v>428.23401435875002</v>
      </c>
      <c r="J225" s="9">
        <f t="shared" si="23"/>
        <v>991.88640397242011</v>
      </c>
      <c r="K225" s="9">
        <f t="shared" si="24"/>
        <v>428.23401435875002</v>
      </c>
      <c r="L225" s="10">
        <f t="shared" si="21"/>
        <v>0.43173695359036018</v>
      </c>
      <c r="M225" s="10">
        <f t="shared" si="20"/>
        <v>0.49274301345225424</v>
      </c>
      <c r="P225" s="8">
        <f t="shared" si="25"/>
        <v>17.570414770956187</v>
      </c>
    </row>
    <row r="226" spans="1:16" x14ac:dyDescent="0.2">
      <c r="A226" s="8">
        <v>112</v>
      </c>
      <c r="B226" s="8">
        <v>224</v>
      </c>
      <c r="D226">
        <v>1152.8313027178999</v>
      </c>
      <c r="E226">
        <v>561.58762886598004</v>
      </c>
      <c r="F226">
        <v>146.55315145814001</v>
      </c>
      <c r="G226">
        <v>121.46472248354</v>
      </c>
      <c r="I226" s="9">
        <f t="shared" si="22"/>
        <v>440.12290638244002</v>
      </c>
      <c r="J226" s="9">
        <f t="shared" si="23"/>
        <v>1006.2781512597599</v>
      </c>
      <c r="K226" s="9">
        <f t="shared" si="24"/>
        <v>440.12290638244002</v>
      </c>
      <c r="L226" s="10">
        <f t="shared" si="21"/>
        <v>0.43737698749739329</v>
      </c>
      <c r="M226" s="10">
        <f t="shared" si="20"/>
        <v>0.49865661713445275</v>
      </c>
      <c r="P226" s="8">
        <f t="shared" si="25"/>
        <v>18.981423793359102</v>
      </c>
    </row>
    <row r="227" spans="1:16" x14ac:dyDescent="0.2">
      <c r="A227" s="8">
        <v>112.5</v>
      </c>
      <c r="B227" s="8">
        <v>225</v>
      </c>
      <c r="D227">
        <v>1160.5032802249</v>
      </c>
      <c r="E227">
        <v>563.82005623243003</v>
      </c>
      <c r="F227">
        <v>147.10912511759</v>
      </c>
      <c r="G227">
        <v>121.11759172153999</v>
      </c>
      <c r="I227" s="9">
        <f t="shared" si="22"/>
        <v>442.70246451089002</v>
      </c>
      <c r="J227" s="9">
        <f t="shared" si="23"/>
        <v>1013.39415510731</v>
      </c>
      <c r="K227" s="9">
        <f t="shared" si="24"/>
        <v>442.70246451089002</v>
      </c>
      <c r="L227" s="10">
        <f t="shared" si="21"/>
        <v>0.43685121162358742</v>
      </c>
      <c r="M227" s="10">
        <f t="shared" si="20"/>
        <v>0.49840441103581234</v>
      </c>
      <c r="P227" s="8">
        <f t="shared" si="25"/>
        <v>18.921246429468805</v>
      </c>
    </row>
    <row r="228" spans="1:16" x14ac:dyDescent="0.2">
      <c r="A228" s="8">
        <v>113</v>
      </c>
      <c r="B228" s="8">
        <v>226</v>
      </c>
      <c r="D228">
        <v>1171.6969981238001</v>
      </c>
      <c r="E228">
        <v>575.42213883677005</v>
      </c>
      <c r="F228">
        <v>146.51834430855999</v>
      </c>
      <c r="G228">
        <v>120.95014111007001</v>
      </c>
      <c r="I228" s="9">
        <f t="shared" si="22"/>
        <v>454.47199772670001</v>
      </c>
      <c r="J228" s="9">
        <f t="shared" si="23"/>
        <v>1025.1786538152401</v>
      </c>
      <c r="K228" s="9">
        <f t="shared" si="24"/>
        <v>454.47199772670001</v>
      </c>
      <c r="L228" s="10">
        <f t="shared" si="21"/>
        <v>0.44331004750768632</v>
      </c>
      <c r="M228" s="10">
        <f t="shared" si="20"/>
        <v>0.50513681669507671</v>
      </c>
      <c r="P228" s="8">
        <f t="shared" si="25"/>
        <v>20.527624813650082</v>
      </c>
    </row>
    <row r="229" spans="1:16" x14ac:dyDescent="0.2">
      <c r="A229" s="8">
        <v>113.5</v>
      </c>
      <c r="B229" s="8">
        <v>227</v>
      </c>
      <c r="D229">
        <v>1188.6491557223001</v>
      </c>
      <c r="E229">
        <v>580.60318949343002</v>
      </c>
      <c r="F229">
        <v>147.53245531515</v>
      </c>
      <c r="G229">
        <v>121.30573847601001</v>
      </c>
      <c r="I229" s="9">
        <f t="shared" si="22"/>
        <v>459.29745101742003</v>
      </c>
      <c r="J229" s="9">
        <f t="shared" si="23"/>
        <v>1041.1167004071501</v>
      </c>
      <c r="K229" s="9">
        <f t="shared" si="24"/>
        <v>459.29745101742003</v>
      </c>
      <c r="L229" s="10">
        <f t="shared" si="21"/>
        <v>0.44115847035956901</v>
      </c>
      <c r="M229" s="10">
        <f t="shared" si="20"/>
        <v>0.50325880932212486</v>
      </c>
      <c r="P229" s="8">
        <f t="shared" si="25"/>
        <v>20.079524891879686</v>
      </c>
    </row>
    <row r="230" spans="1:16" x14ac:dyDescent="0.2">
      <c r="A230" s="8">
        <v>114</v>
      </c>
      <c r="B230" s="8">
        <v>228</v>
      </c>
      <c r="D230">
        <v>1111.5262664165</v>
      </c>
      <c r="E230">
        <v>552.92120075047001</v>
      </c>
      <c r="F230">
        <v>147.41486359359999</v>
      </c>
      <c r="G230">
        <v>121.33866415804</v>
      </c>
      <c r="I230" s="9">
        <f t="shared" si="22"/>
        <v>431.58253659243002</v>
      </c>
      <c r="J230" s="9">
        <f t="shared" si="23"/>
        <v>964.1114028229</v>
      </c>
      <c r="K230" s="9">
        <f t="shared" si="24"/>
        <v>431.58253659243002</v>
      </c>
      <c r="L230" s="10">
        <f t="shared" si="21"/>
        <v>0.4476479951681564</v>
      </c>
      <c r="M230" s="10">
        <f t="shared" si="20"/>
        <v>0.51002190390587765</v>
      </c>
      <c r="P230" s="8">
        <f t="shared" si="25"/>
        <v>21.693225773757476</v>
      </c>
    </row>
    <row r="231" spans="1:16" x14ac:dyDescent="0.2">
      <c r="A231" s="8">
        <v>114.5</v>
      </c>
      <c r="B231" s="8">
        <v>229</v>
      </c>
      <c r="D231">
        <v>1120.2212885153999</v>
      </c>
      <c r="E231">
        <v>560.52287581698999</v>
      </c>
      <c r="F231">
        <v>146.87958607714</v>
      </c>
      <c r="G231">
        <v>120.73189087487999</v>
      </c>
      <c r="I231" s="9">
        <f t="shared" si="22"/>
        <v>439.79098494211001</v>
      </c>
      <c r="J231" s="9">
        <f t="shared" si="23"/>
        <v>973.34170243825997</v>
      </c>
      <c r="K231" s="9">
        <f t="shared" si="24"/>
        <v>439.79098494211001</v>
      </c>
      <c r="L231" s="10">
        <f t="shared" si="21"/>
        <v>0.45183616795665488</v>
      </c>
      <c r="M231" s="10">
        <f t="shared" si="20"/>
        <v>0.51448364646954159</v>
      </c>
      <c r="P231" s="8">
        <f t="shared" si="25"/>
        <v>22.757815041367717</v>
      </c>
    </row>
    <row r="232" spans="1:16" x14ac:dyDescent="0.2">
      <c r="A232" s="8">
        <v>115</v>
      </c>
      <c r="B232" s="8">
        <v>230</v>
      </c>
      <c r="D232">
        <v>1161.7637721755</v>
      </c>
      <c r="E232">
        <v>573.31559290382995</v>
      </c>
      <c r="F232">
        <v>145.99717779868001</v>
      </c>
      <c r="G232">
        <v>121.03762935089</v>
      </c>
      <c r="I232" s="9">
        <f t="shared" si="22"/>
        <v>452.27796355293992</v>
      </c>
      <c r="J232" s="9">
        <f t="shared" si="23"/>
        <v>1015.76659437682</v>
      </c>
      <c r="K232" s="9">
        <f t="shared" si="24"/>
        <v>452.27796355293992</v>
      </c>
      <c r="L232" s="10">
        <f t="shared" si="21"/>
        <v>0.44525776497938058</v>
      </c>
      <c r="M232" s="10">
        <f t="shared" si="20"/>
        <v>0.50817881326743275</v>
      </c>
      <c r="P232" s="8">
        <f t="shared" si="25"/>
        <v>21.253457121728829</v>
      </c>
    </row>
    <row r="233" spans="1:16" x14ac:dyDescent="0.2">
      <c r="A233" s="8">
        <v>115.5</v>
      </c>
      <c r="B233" s="8">
        <v>231</v>
      </c>
      <c r="D233">
        <v>1110.2511671335001</v>
      </c>
      <c r="E233">
        <v>550.70401493931001</v>
      </c>
      <c r="F233">
        <v>147.28504233301999</v>
      </c>
      <c r="G233">
        <v>120.87958607714</v>
      </c>
      <c r="I233" s="9">
        <f t="shared" si="22"/>
        <v>429.82442886217001</v>
      </c>
      <c r="J233" s="9">
        <f t="shared" si="23"/>
        <v>962.96612480048009</v>
      </c>
      <c r="K233" s="9">
        <f t="shared" si="24"/>
        <v>429.82442886217001</v>
      </c>
      <c r="L233" s="10">
        <f t="shared" si="21"/>
        <v>0.44635467208280732</v>
      </c>
      <c r="M233" s="10">
        <f t="shared" si="20"/>
        <v>0.5095492901460249</v>
      </c>
      <c r="P233" s="8">
        <f t="shared" si="25"/>
        <v>21.58045827781056</v>
      </c>
    </row>
    <row r="234" spans="1:16" x14ac:dyDescent="0.2">
      <c r="A234" s="8">
        <v>116</v>
      </c>
      <c r="B234" s="8">
        <v>232</v>
      </c>
      <c r="D234">
        <v>1174.9803921569001</v>
      </c>
      <c r="E234">
        <v>576.27824463118998</v>
      </c>
      <c r="F234">
        <v>146.39604891816001</v>
      </c>
      <c r="G234">
        <v>121.43367826905001</v>
      </c>
      <c r="I234" s="9">
        <f t="shared" si="22"/>
        <v>454.84456636213997</v>
      </c>
      <c r="J234" s="9">
        <f t="shared" si="23"/>
        <v>1028.5843432387401</v>
      </c>
      <c r="K234" s="9">
        <f t="shared" si="24"/>
        <v>454.84456636213997</v>
      </c>
      <c r="L234" s="10">
        <f t="shared" si="21"/>
        <v>0.44220444278779775</v>
      </c>
      <c r="M234" s="10">
        <f t="shared" si="20"/>
        <v>0.50567263062618073</v>
      </c>
      <c r="P234" s="8">
        <f t="shared" si="25"/>
        <v>20.655472118228982</v>
      </c>
    </row>
    <row r="235" spans="1:16" x14ac:dyDescent="0.2">
      <c r="A235" s="8">
        <v>116.5</v>
      </c>
      <c r="B235" s="8">
        <v>233</v>
      </c>
      <c r="D235">
        <v>1132.1531279178</v>
      </c>
      <c r="E235">
        <v>558.43137254902001</v>
      </c>
      <c r="F235">
        <v>146.39981185324999</v>
      </c>
      <c r="G235">
        <v>121.01881467545</v>
      </c>
      <c r="I235" s="9">
        <f t="shared" si="22"/>
        <v>437.41255787356999</v>
      </c>
      <c r="J235" s="9">
        <f t="shared" si="23"/>
        <v>985.75331606455006</v>
      </c>
      <c r="K235" s="9">
        <f t="shared" si="24"/>
        <v>437.41255787356999</v>
      </c>
      <c r="L235" s="10">
        <f t="shared" si="21"/>
        <v>0.44373430019983512</v>
      </c>
      <c r="M235" s="10">
        <f t="shared" si="20"/>
        <v>0.50747605781338356</v>
      </c>
      <c r="P235" s="8">
        <f t="shared" si="25"/>
        <v>21.085776915293753</v>
      </c>
    </row>
    <row r="236" spans="1:16" x14ac:dyDescent="0.2">
      <c r="A236" s="8">
        <v>117</v>
      </c>
      <c r="B236" s="8">
        <v>234</v>
      </c>
      <c r="D236">
        <v>1146.7667910447999</v>
      </c>
      <c r="E236">
        <v>564.48694029851004</v>
      </c>
      <c r="F236">
        <v>146.23047977421999</v>
      </c>
      <c r="G236">
        <v>121.52775164628</v>
      </c>
      <c r="I236" s="9">
        <f t="shared" si="22"/>
        <v>442.95918865223007</v>
      </c>
      <c r="J236" s="9">
        <f t="shared" si="23"/>
        <v>1000.53631127058</v>
      </c>
      <c r="K236" s="9">
        <f t="shared" si="24"/>
        <v>442.95918865223007</v>
      </c>
      <c r="L236" s="10">
        <f t="shared" si="21"/>
        <v>0.44272175198690855</v>
      </c>
      <c r="M236" s="10">
        <f t="shared" si="20"/>
        <v>0.50673707937562251</v>
      </c>
      <c r="P236" s="8">
        <f t="shared" si="25"/>
        <v>20.909453762935595</v>
      </c>
    </row>
    <row r="237" spans="1:16" x14ac:dyDescent="0.2">
      <c r="A237" s="8">
        <v>117.5</v>
      </c>
      <c r="B237" s="8">
        <v>235</v>
      </c>
      <c r="D237">
        <v>1163.6016791044999</v>
      </c>
      <c r="E237">
        <v>563.68003731343003</v>
      </c>
      <c r="F237">
        <v>146.65851364064</v>
      </c>
      <c r="G237">
        <v>121.50517403575</v>
      </c>
      <c r="I237" s="9">
        <f t="shared" si="22"/>
        <v>442.17486327768006</v>
      </c>
      <c r="J237" s="9">
        <f t="shared" si="23"/>
        <v>1016.9431654638599</v>
      </c>
      <c r="K237" s="9">
        <f t="shared" si="24"/>
        <v>442.17486327768006</v>
      </c>
      <c r="L237" s="10">
        <f t="shared" si="21"/>
        <v>0.43480784206459572</v>
      </c>
      <c r="M237" s="10">
        <f t="shared" si="20"/>
        <v>0.49909673922847508</v>
      </c>
      <c r="P237" s="8">
        <f t="shared" si="25"/>
        <v>19.086438650457794</v>
      </c>
    </row>
    <row r="238" spans="1:16" x14ac:dyDescent="0.2">
      <c r="A238" s="8">
        <v>118</v>
      </c>
      <c r="B238" s="8">
        <v>236</v>
      </c>
      <c r="D238">
        <v>1172.0549348231</v>
      </c>
      <c r="E238">
        <v>562.99534450652004</v>
      </c>
      <c r="F238">
        <v>146.27375352774999</v>
      </c>
      <c r="G238">
        <v>121.46001881468</v>
      </c>
      <c r="I238" s="9">
        <f t="shared" si="22"/>
        <v>441.53532569184006</v>
      </c>
      <c r="J238" s="9">
        <f t="shared" si="23"/>
        <v>1025.7811812953501</v>
      </c>
      <c r="K238" s="9">
        <f t="shared" si="24"/>
        <v>441.53532569184006</v>
      </c>
      <c r="L238" s="10">
        <f t="shared" si="21"/>
        <v>0.43043812242126728</v>
      </c>
      <c r="M238" s="10">
        <f t="shared" si="20"/>
        <v>0.4950005893603121</v>
      </c>
      <c r="P238" s="8">
        <f t="shared" si="25"/>
        <v>18.109081233272246</v>
      </c>
    </row>
    <row r="239" spans="1:16" x14ac:dyDescent="0.2">
      <c r="A239" s="8">
        <v>118.5</v>
      </c>
      <c r="B239" s="8">
        <v>237</v>
      </c>
      <c r="D239">
        <v>1151.6852886406</v>
      </c>
      <c r="E239">
        <v>550.02513966480001</v>
      </c>
      <c r="F239">
        <v>146.17591721542999</v>
      </c>
      <c r="G239">
        <v>121.02822201316999</v>
      </c>
      <c r="I239" s="9">
        <f t="shared" si="22"/>
        <v>428.99691765163004</v>
      </c>
      <c r="J239" s="9">
        <f t="shared" si="23"/>
        <v>1005.50937142517</v>
      </c>
      <c r="K239" s="9">
        <f t="shared" si="24"/>
        <v>428.99691765163004</v>
      </c>
      <c r="L239" s="10">
        <f t="shared" si="21"/>
        <v>0.42664636436315501</v>
      </c>
      <c r="M239" s="10">
        <f t="shared" si="20"/>
        <v>0.49148240107736524</v>
      </c>
      <c r="P239" s="8">
        <f t="shared" si="25"/>
        <v>17.269627716173392</v>
      </c>
    </row>
    <row r="240" spans="1:16" x14ac:dyDescent="0.2">
      <c r="A240" s="8">
        <v>119</v>
      </c>
      <c r="B240" s="8">
        <v>238</v>
      </c>
      <c r="D240">
        <v>1109.7821229050001</v>
      </c>
      <c r="E240">
        <v>531.08752327747004</v>
      </c>
      <c r="F240">
        <v>146.80244590781001</v>
      </c>
      <c r="G240">
        <v>121.04327375353</v>
      </c>
      <c r="I240" s="9">
        <f t="shared" si="22"/>
        <v>410.04424952394004</v>
      </c>
      <c r="J240" s="9">
        <f t="shared" si="23"/>
        <v>962.97967699719004</v>
      </c>
      <c r="K240" s="9">
        <f t="shared" si="24"/>
        <v>410.04424952394004</v>
      </c>
      <c r="L240" s="10">
        <f t="shared" si="21"/>
        <v>0.42580779150247483</v>
      </c>
      <c r="M240" s="10">
        <f t="shared" si="20"/>
        <v>0.49091739799185052</v>
      </c>
      <c r="P240" s="8">
        <f t="shared" si="25"/>
        <v>17.134815764918258</v>
      </c>
    </row>
    <row r="241" spans="1:16" x14ac:dyDescent="0.2">
      <c r="A241" s="8">
        <v>119.5</v>
      </c>
      <c r="B241" s="8">
        <v>239</v>
      </c>
      <c r="D241">
        <v>1108.9061611374</v>
      </c>
      <c r="E241">
        <v>537.20284360189999</v>
      </c>
      <c r="F241">
        <v>146.67638758231001</v>
      </c>
      <c r="G241">
        <v>121.40921919097001</v>
      </c>
      <c r="I241" s="9">
        <f t="shared" si="22"/>
        <v>415.79362441092997</v>
      </c>
      <c r="J241" s="9">
        <f t="shared" si="23"/>
        <v>962.22977355508999</v>
      </c>
      <c r="K241" s="9">
        <f t="shared" si="24"/>
        <v>415.79362441092997</v>
      </c>
      <c r="L241" s="10">
        <f t="shared" si="21"/>
        <v>0.43211469426343291</v>
      </c>
      <c r="M241" s="10">
        <f t="shared" si="20"/>
        <v>0.49749787052797406</v>
      </c>
      <c r="P241" s="8">
        <f t="shared" si="25"/>
        <v>18.704942310275957</v>
      </c>
    </row>
    <row r="242" spans="1:16" x14ac:dyDescent="0.2">
      <c r="A242" s="8">
        <v>120</v>
      </c>
      <c r="B242" s="8">
        <v>240</v>
      </c>
      <c r="D242">
        <v>1090.4303317536001</v>
      </c>
      <c r="E242">
        <v>526.44834123222995</v>
      </c>
      <c r="F242">
        <v>146.37911571025001</v>
      </c>
      <c r="G242">
        <v>121.49200376294</v>
      </c>
      <c r="I242" s="9">
        <f>E242-G242</f>
        <v>404.95633746928996</v>
      </c>
      <c r="J242" s="9">
        <f>D242-F242</f>
        <v>944.05121604335</v>
      </c>
      <c r="K242" s="9">
        <f t="shared" si="24"/>
        <v>404.95633746928996</v>
      </c>
      <c r="L242" s="10">
        <f t="shared" si="21"/>
        <v>0.42895589835318293</v>
      </c>
      <c r="M242" s="10">
        <f>L242+ABS($N$2)*A242</f>
        <v>0.49461264439288949</v>
      </c>
      <c r="O242" s="11"/>
      <c r="P242" s="8">
        <f>(M242-$O$2)/$O$2*100</f>
        <v>18.016516043136672</v>
      </c>
    </row>
    <row r="243" spans="1:16" x14ac:dyDescent="0.2">
      <c r="A243" s="8">
        <v>120.5</v>
      </c>
      <c r="B243" s="8">
        <v>241</v>
      </c>
      <c r="D243">
        <v>1118.4075829384001</v>
      </c>
      <c r="E243">
        <v>537.70047393364996</v>
      </c>
      <c r="F243">
        <v>147.00376293509001</v>
      </c>
      <c r="G243">
        <v>120.94355597366</v>
      </c>
      <c r="I243" s="9">
        <f t="shared" ref="I243:I274" si="26">E243-G243</f>
        <v>416.75691795998995</v>
      </c>
      <c r="J243" s="9">
        <f t="shared" ref="J243:J274" si="27">D243-F243</f>
        <v>971.4038200033101</v>
      </c>
      <c r="K243" s="9">
        <f t="shared" si="24"/>
        <v>416.75691795998995</v>
      </c>
      <c r="L243" s="10">
        <f t="shared" si="21"/>
        <v>0.42902540568408493</v>
      </c>
      <c r="M243" s="10">
        <f t="shared" ref="M243:M274" si="28">L243+ABS($N$2)*A243</f>
        <v>0.49495572149895695</v>
      </c>
      <c r="P243" s="8">
        <f t="shared" ref="P243:P274" si="29">(M243-$O$2)/$O$2*100</f>
        <v>18.09837558565189</v>
      </c>
    </row>
    <row r="244" spans="1:16" x14ac:dyDescent="0.2">
      <c r="A244" s="8">
        <v>121</v>
      </c>
      <c r="B244" s="8">
        <v>242</v>
      </c>
      <c r="D244">
        <v>1135.710550887</v>
      </c>
      <c r="E244">
        <v>537.29971988796001</v>
      </c>
      <c r="F244">
        <v>146.62276575729001</v>
      </c>
      <c r="G244">
        <v>121.52587017874001</v>
      </c>
      <c r="I244" s="9">
        <f t="shared" si="26"/>
        <v>415.77384970922003</v>
      </c>
      <c r="J244" s="9">
        <f t="shared" si="27"/>
        <v>989.08778512970991</v>
      </c>
      <c r="K244" s="9">
        <f t="shared" si="24"/>
        <v>415.77384970922003</v>
      </c>
      <c r="L244" s="10">
        <f t="shared" si="21"/>
        <v>0.42036091837358508</v>
      </c>
      <c r="M244" s="10">
        <f t="shared" si="28"/>
        <v>0.48656480396362256</v>
      </c>
      <c r="N244" s="1"/>
      <c r="P244" s="8">
        <f t="shared" si="29"/>
        <v>16.096269765771513</v>
      </c>
    </row>
    <row r="245" spans="1:16" x14ac:dyDescent="0.2">
      <c r="A245" s="8">
        <v>121.5</v>
      </c>
      <c r="B245" s="8">
        <v>243</v>
      </c>
      <c r="D245">
        <v>1143.4397759103999</v>
      </c>
      <c r="E245">
        <v>542.36134453781995</v>
      </c>
      <c r="F245">
        <v>146.77892756349999</v>
      </c>
      <c r="G245">
        <v>121.01881467545</v>
      </c>
      <c r="I245" s="9">
        <f t="shared" si="26"/>
        <v>421.34252986236993</v>
      </c>
      <c r="J245" s="9">
        <f t="shared" si="27"/>
        <v>996.66084834689991</v>
      </c>
      <c r="K245" s="9">
        <f t="shared" si="24"/>
        <v>421.34252986236993</v>
      </c>
      <c r="L245" s="10">
        <f t="shared" si="21"/>
        <v>0.42275417014847616</v>
      </c>
      <c r="M245" s="10">
        <f t="shared" si="28"/>
        <v>0.48923162551367905</v>
      </c>
      <c r="P245" s="8">
        <f t="shared" si="29"/>
        <v>16.732583842684644</v>
      </c>
    </row>
    <row r="246" spans="1:16" x14ac:dyDescent="0.2">
      <c r="A246" s="8">
        <v>122</v>
      </c>
      <c r="B246" s="8">
        <v>244</v>
      </c>
      <c r="D246">
        <v>1113.8692810458001</v>
      </c>
      <c r="E246">
        <v>528.28104575163002</v>
      </c>
      <c r="F246">
        <v>146.53715898401001</v>
      </c>
      <c r="G246">
        <v>121.29068673565</v>
      </c>
      <c r="I246" s="9">
        <f t="shared" si="26"/>
        <v>406.99035901598</v>
      </c>
      <c r="J246" s="9">
        <f t="shared" si="27"/>
        <v>967.33212206179007</v>
      </c>
      <c r="K246" s="9">
        <f t="shared" si="24"/>
        <v>406.99035901598</v>
      </c>
      <c r="L246" s="10">
        <f t="shared" si="21"/>
        <v>0.42073487454186159</v>
      </c>
      <c r="M246" s="10">
        <f t="shared" si="28"/>
        <v>0.48748589968222994</v>
      </c>
      <c r="P246" s="8">
        <f t="shared" si="29"/>
        <v>16.316046815316458</v>
      </c>
    </row>
    <row r="247" spans="1:16" x14ac:dyDescent="0.2">
      <c r="A247" s="8">
        <v>122.5</v>
      </c>
      <c r="B247" s="8">
        <v>245</v>
      </c>
      <c r="D247">
        <v>1117.53125</v>
      </c>
      <c r="E247">
        <v>532.93844696969995</v>
      </c>
      <c r="F247">
        <v>146.88052681091</v>
      </c>
      <c r="G247">
        <v>121.38570084666</v>
      </c>
      <c r="I247" s="9">
        <f t="shared" si="26"/>
        <v>411.55274612303992</v>
      </c>
      <c r="J247" s="9">
        <f t="shared" si="27"/>
        <v>970.65072318909006</v>
      </c>
      <c r="K247" s="9">
        <f t="shared" si="24"/>
        <v>411.55274612303992</v>
      </c>
      <c r="L247" s="10">
        <f t="shared" si="21"/>
        <v>0.42399674392749237</v>
      </c>
      <c r="M247" s="10">
        <f t="shared" si="28"/>
        <v>0.49102133884302618</v>
      </c>
      <c r="P247" s="8">
        <f t="shared" si="29"/>
        <v>17.159616459500914</v>
      </c>
    </row>
    <row r="248" spans="1:16" x14ac:dyDescent="0.2">
      <c r="A248" s="8">
        <v>123</v>
      </c>
      <c r="B248" s="8">
        <v>246</v>
      </c>
      <c r="D248">
        <v>1134.3636363636001</v>
      </c>
      <c r="E248">
        <v>536.68371212120996</v>
      </c>
      <c r="F248">
        <v>146.86453433678</v>
      </c>
      <c r="G248">
        <v>121.27751646284</v>
      </c>
      <c r="I248" s="9">
        <f t="shared" si="26"/>
        <v>415.40619565836994</v>
      </c>
      <c r="J248" s="9">
        <f t="shared" si="27"/>
        <v>987.49910202682008</v>
      </c>
      <c r="K248" s="9">
        <f t="shared" si="24"/>
        <v>415.40619565836994</v>
      </c>
      <c r="L248" s="10">
        <f t="shared" si="21"/>
        <v>0.42066488445990269</v>
      </c>
      <c r="M248" s="10">
        <f t="shared" si="28"/>
        <v>0.48796304915060196</v>
      </c>
      <c r="P248" s="8">
        <f t="shared" si="29"/>
        <v>16.429896549097972</v>
      </c>
    </row>
    <row r="249" spans="1:16" x14ac:dyDescent="0.2">
      <c r="A249" s="8">
        <v>123.5</v>
      </c>
      <c r="B249" s="8">
        <v>247</v>
      </c>
      <c r="D249">
        <v>1113.5359848485</v>
      </c>
      <c r="E249">
        <v>528.60606060606005</v>
      </c>
      <c r="F249">
        <v>147.33019755409001</v>
      </c>
      <c r="G249">
        <v>120.98212605833</v>
      </c>
      <c r="I249" s="9">
        <f t="shared" si="26"/>
        <v>407.62393454773007</v>
      </c>
      <c r="J249" s="9">
        <f t="shared" si="27"/>
        <v>966.20578729441002</v>
      </c>
      <c r="K249" s="9">
        <f t="shared" si="24"/>
        <v>407.62393454773007</v>
      </c>
      <c r="L249" s="10">
        <f t="shared" si="21"/>
        <v>0.4218810732744287</v>
      </c>
      <c r="M249" s="10">
        <f t="shared" si="28"/>
        <v>0.48945280774029337</v>
      </c>
      <c r="P249" s="8">
        <f t="shared" si="29"/>
        <v>16.785358789082803</v>
      </c>
    </row>
    <row r="250" spans="1:16" x14ac:dyDescent="0.2">
      <c r="A250" s="8">
        <v>124</v>
      </c>
      <c r="B250" s="8">
        <v>248</v>
      </c>
      <c r="D250">
        <v>1138.1204481793</v>
      </c>
      <c r="E250">
        <v>550.98225957049999</v>
      </c>
      <c r="F250">
        <v>146.74600188146999</v>
      </c>
      <c r="G250">
        <v>121.66698024458999</v>
      </c>
      <c r="I250" s="9">
        <f t="shared" si="26"/>
        <v>429.31527932591001</v>
      </c>
      <c r="J250" s="9">
        <f t="shared" si="27"/>
        <v>991.37444629782999</v>
      </c>
      <c r="K250" s="9">
        <f t="shared" si="24"/>
        <v>429.31527932591001</v>
      </c>
      <c r="L250" s="10">
        <f t="shared" si="21"/>
        <v>0.43305058036258337</v>
      </c>
      <c r="M250" s="10">
        <f t="shared" si="28"/>
        <v>0.50089588460361356</v>
      </c>
      <c r="P250" s="8">
        <f t="shared" si="29"/>
        <v>19.515721790377494</v>
      </c>
    </row>
    <row r="251" spans="1:16" x14ac:dyDescent="0.2">
      <c r="A251" s="8">
        <v>124.5</v>
      </c>
      <c r="B251" s="8">
        <v>249</v>
      </c>
      <c r="D251">
        <v>1145.9859943977999</v>
      </c>
      <c r="E251">
        <v>556.37535014006005</v>
      </c>
      <c r="F251">
        <v>146.9557855127</v>
      </c>
      <c r="G251">
        <v>121.36970837253</v>
      </c>
      <c r="I251" s="9">
        <f t="shared" si="26"/>
        <v>435.00564176753005</v>
      </c>
      <c r="J251" s="9">
        <f t="shared" si="27"/>
        <v>999.03020888509991</v>
      </c>
      <c r="K251" s="9">
        <f t="shared" si="24"/>
        <v>435.00564176753005</v>
      </c>
      <c r="L251" s="10">
        <f t="shared" si="21"/>
        <v>0.43542791589154112</v>
      </c>
      <c r="M251" s="10">
        <f t="shared" si="28"/>
        <v>0.50354678990773671</v>
      </c>
      <c r="P251" s="8">
        <f t="shared" si="29"/>
        <v>20.148238188612506</v>
      </c>
    </row>
    <row r="252" spans="1:16" x14ac:dyDescent="0.2">
      <c r="A252" s="8">
        <v>125</v>
      </c>
      <c r="B252" s="8">
        <v>250</v>
      </c>
      <c r="D252">
        <v>1157.6073446328001</v>
      </c>
      <c r="E252">
        <v>559.26177024482001</v>
      </c>
      <c r="F252">
        <v>146.65192850423</v>
      </c>
      <c r="G252">
        <v>121.48730009406999</v>
      </c>
      <c r="I252" s="9">
        <f t="shared" si="26"/>
        <v>437.77447015075001</v>
      </c>
      <c r="J252" s="9">
        <f t="shared" si="27"/>
        <v>1010.9554161285701</v>
      </c>
      <c r="K252" s="9">
        <f t="shared" si="24"/>
        <v>437.77447015075001</v>
      </c>
      <c r="L252" s="10">
        <f t="shared" si="21"/>
        <v>0.43303044146812825</v>
      </c>
      <c r="M252" s="10">
        <f t="shared" si="28"/>
        <v>0.5014228852594893</v>
      </c>
      <c r="P252" s="8">
        <f t="shared" si="29"/>
        <v>19.641466212935157</v>
      </c>
    </row>
    <row r="253" spans="1:16" x14ac:dyDescent="0.2">
      <c r="A253" s="8">
        <v>125.5</v>
      </c>
      <c r="B253" s="8">
        <v>251</v>
      </c>
      <c r="D253">
        <v>1197.2645951036</v>
      </c>
      <c r="E253">
        <v>571.5988700565</v>
      </c>
      <c r="F253">
        <v>146.79868297272</v>
      </c>
      <c r="G253">
        <v>121.09219190969</v>
      </c>
      <c r="I253" s="9">
        <f t="shared" si="26"/>
        <v>450.50667814681003</v>
      </c>
      <c r="J253" s="9">
        <f t="shared" si="27"/>
        <v>1050.46591213088</v>
      </c>
      <c r="K253" s="9">
        <f t="shared" si="24"/>
        <v>450.50667814681003</v>
      </c>
      <c r="L253" s="10">
        <f t="shared" si="21"/>
        <v>0.42886368129066937</v>
      </c>
      <c r="M253" s="10">
        <f t="shared" si="28"/>
        <v>0.49752969485719584</v>
      </c>
      <c r="P253" s="8">
        <f t="shared" si="29"/>
        <v>18.712535719993117</v>
      </c>
    </row>
    <row r="254" spans="1:16" x14ac:dyDescent="0.2">
      <c r="A254" s="8">
        <v>126</v>
      </c>
      <c r="B254" s="8">
        <v>252</v>
      </c>
      <c r="D254">
        <v>1186.8634651601001</v>
      </c>
      <c r="E254">
        <v>578.14218455744003</v>
      </c>
      <c r="F254">
        <v>146.76857949199999</v>
      </c>
      <c r="G254">
        <v>121.07525870179001</v>
      </c>
      <c r="I254" s="9">
        <f t="shared" si="26"/>
        <v>457.06692585565003</v>
      </c>
      <c r="J254" s="9">
        <f t="shared" si="27"/>
        <v>1040.0948856681</v>
      </c>
      <c r="K254" s="9">
        <f t="shared" si="24"/>
        <v>457.06692585565003</v>
      </c>
      <c r="L254" s="10">
        <f t="shared" si="21"/>
        <v>0.43944733519389939</v>
      </c>
      <c r="M254" s="10">
        <f t="shared" si="28"/>
        <v>0.50838691853559126</v>
      </c>
      <c r="P254" s="8">
        <f t="shared" si="29"/>
        <v>21.303111854572212</v>
      </c>
    </row>
    <row r="255" spans="1:16" x14ac:dyDescent="0.2">
      <c r="A255" s="8">
        <v>126.5</v>
      </c>
      <c r="B255" s="8">
        <v>253</v>
      </c>
      <c r="D255">
        <v>1140.6522556391001</v>
      </c>
      <c r="E255">
        <v>562.59210526315997</v>
      </c>
      <c r="F255">
        <v>146.65757290687</v>
      </c>
      <c r="G255">
        <v>120.89840075259001</v>
      </c>
      <c r="I255" s="9">
        <f t="shared" si="26"/>
        <v>441.69370451056994</v>
      </c>
      <c r="J255" s="9">
        <f t="shared" si="27"/>
        <v>993.9946827322301</v>
      </c>
      <c r="K255" s="9">
        <f t="shared" si="24"/>
        <v>441.69370451056994</v>
      </c>
      <c r="L255" s="10">
        <f t="shared" si="21"/>
        <v>0.44436224074807928</v>
      </c>
      <c r="M255" s="10">
        <f t="shared" si="28"/>
        <v>0.51357539386493667</v>
      </c>
      <c r="P255" s="8">
        <f t="shared" si="29"/>
        <v>22.541102409174204</v>
      </c>
    </row>
    <row r="256" spans="1:16" x14ac:dyDescent="0.2">
      <c r="A256" s="8">
        <v>127</v>
      </c>
      <c r="B256" s="8">
        <v>254</v>
      </c>
      <c r="D256">
        <v>1037.2039473683999</v>
      </c>
      <c r="E256">
        <v>511.24248120301002</v>
      </c>
      <c r="F256">
        <v>146.91533396048999</v>
      </c>
      <c r="G256">
        <v>120.84195672625</v>
      </c>
      <c r="I256" s="9">
        <f t="shared" si="26"/>
        <v>390.40052447675998</v>
      </c>
      <c r="J256" s="9">
        <f t="shared" si="27"/>
        <v>890.28861340790991</v>
      </c>
      <c r="K256" s="9">
        <f t="shared" si="24"/>
        <v>390.40052447675998</v>
      </c>
      <c r="L256" s="10">
        <f t="shared" si="21"/>
        <v>0.43851007257338398</v>
      </c>
      <c r="M256" s="10">
        <f t="shared" si="28"/>
        <v>0.50799679546540677</v>
      </c>
      <c r="P256" s="8">
        <f t="shared" si="29"/>
        <v>21.210026960578574</v>
      </c>
    </row>
    <row r="257" spans="1:16" x14ac:dyDescent="0.2">
      <c r="A257" s="8">
        <v>127.5</v>
      </c>
      <c r="B257" s="8">
        <v>255</v>
      </c>
      <c r="D257">
        <v>1096.8037383178</v>
      </c>
      <c r="E257">
        <v>534.30654205608005</v>
      </c>
      <c r="F257">
        <v>146.73283160866001</v>
      </c>
      <c r="G257">
        <v>121.00470366886</v>
      </c>
      <c r="I257" s="9">
        <f t="shared" si="26"/>
        <v>413.30183838722007</v>
      </c>
      <c r="J257" s="9">
        <f t="shared" si="27"/>
        <v>950.07090670913999</v>
      </c>
      <c r="K257" s="9">
        <f t="shared" si="24"/>
        <v>413.30183838722007</v>
      </c>
      <c r="L257" s="10">
        <f t="shared" si="21"/>
        <v>0.43502209726515773</v>
      </c>
      <c r="M257" s="10">
        <f t="shared" si="28"/>
        <v>0.50478238993234592</v>
      </c>
      <c r="P257" s="8">
        <f t="shared" si="29"/>
        <v>20.443057198559533</v>
      </c>
    </row>
    <row r="258" spans="1:16" x14ac:dyDescent="0.2">
      <c r="A258" s="8">
        <v>128</v>
      </c>
      <c r="B258" s="8">
        <v>256</v>
      </c>
      <c r="D258">
        <v>1070.8845789971999</v>
      </c>
      <c r="E258">
        <v>517.77672658466997</v>
      </c>
      <c r="F258">
        <v>146.67638758231001</v>
      </c>
      <c r="G258">
        <v>121.11194731891</v>
      </c>
      <c r="I258" s="9">
        <f t="shared" si="26"/>
        <v>396.66477926575999</v>
      </c>
      <c r="J258" s="9">
        <f t="shared" si="27"/>
        <v>924.20819141488994</v>
      </c>
      <c r="K258" s="9">
        <f t="shared" si="24"/>
        <v>396.66477926575999</v>
      </c>
      <c r="L258" s="10">
        <f t="shared" ref="L258:L321" si="30">K258/J258</f>
        <v>0.42919418259915815</v>
      </c>
      <c r="M258" s="10">
        <f t="shared" si="28"/>
        <v>0.49922804504151186</v>
      </c>
      <c r="P258" s="8">
        <f t="shared" si="29"/>
        <v>19.117768732222753</v>
      </c>
    </row>
    <row r="259" spans="1:16" x14ac:dyDescent="0.2">
      <c r="A259" s="8">
        <v>128.5</v>
      </c>
      <c r="B259" s="8">
        <v>257</v>
      </c>
      <c r="D259">
        <v>1055.6972563859999</v>
      </c>
      <c r="E259">
        <v>504.70293282876003</v>
      </c>
      <c r="F259">
        <v>147.32173095013999</v>
      </c>
      <c r="G259">
        <v>121.5136406397</v>
      </c>
      <c r="I259" s="9">
        <f t="shared" si="26"/>
        <v>383.18929218906004</v>
      </c>
      <c r="J259" s="9">
        <f t="shared" si="27"/>
        <v>908.37552543585991</v>
      </c>
      <c r="K259" s="9">
        <f t="shared" ref="K259:K322" si="31">I259*1</f>
        <v>383.18929218906004</v>
      </c>
      <c r="L259" s="10">
        <f t="shared" si="30"/>
        <v>0.42184017673219104</v>
      </c>
      <c r="M259" s="10">
        <f t="shared" si="28"/>
        <v>0.49214760894971016</v>
      </c>
      <c r="P259" s="8">
        <f t="shared" si="29"/>
        <v>17.428348922411413</v>
      </c>
    </row>
    <row r="260" spans="1:16" x14ac:dyDescent="0.2">
      <c r="A260" s="8">
        <v>129</v>
      </c>
      <c r="B260" s="8">
        <v>258</v>
      </c>
      <c r="D260">
        <v>1065.2802607076001</v>
      </c>
      <c r="E260">
        <v>498.89757914338998</v>
      </c>
      <c r="F260">
        <v>146.74129821260999</v>
      </c>
      <c r="G260">
        <v>120.89840075259001</v>
      </c>
      <c r="I260" s="9">
        <f t="shared" si="26"/>
        <v>377.99917839079995</v>
      </c>
      <c r="J260" s="9">
        <f t="shared" si="27"/>
        <v>918.53896249499007</v>
      </c>
      <c r="K260" s="9">
        <f t="shared" si="31"/>
        <v>377.99917839079995</v>
      </c>
      <c r="L260" s="10">
        <f t="shared" si="30"/>
        <v>0.41152220409252555</v>
      </c>
      <c r="M260" s="10">
        <f t="shared" si="28"/>
        <v>0.48210320608521012</v>
      </c>
      <c r="P260" s="8">
        <f t="shared" si="29"/>
        <v>15.031715020629507</v>
      </c>
    </row>
    <row r="261" spans="1:16" x14ac:dyDescent="0.2">
      <c r="A261" s="8">
        <v>129.5</v>
      </c>
      <c r="B261" s="8">
        <v>259</v>
      </c>
      <c r="D261">
        <v>1064.9627560521001</v>
      </c>
      <c r="E261">
        <v>498.60428305400001</v>
      </c>
      <c r="F261">
        <v>146.63499529633</v>
      </c>
      <c r="G261">
        <v>120.87111947319001</v>
      </c>
      <c r="I261" s="9">
        <f t="shared" si="26"/>
        <v>377.73316358081001</v>
      </c>
      <c r="J261" s="9">
        <f t="shared" si="27"/>
        <v>918.3277607557701</v>
      </c>
      <c r="K261" s="9">
        <f t="shared" si="31"/>
        <v>377.73316358081001</v>
      </c>
      <c r="L261" s="10">
        <f t="shared" si="30"/>
        <v>0.41132717502729227</v>
      </c>
      <c r="M261" s="10">
        <f t="shared" si="28"/>
        <v>0.48218174679514225</v>
      </c>
      <c r="P261" s="8">
        <f t="shared" si="29"/>
        <v>15.050455141932151</v>
      </c>
    </row>
    <row r="262" spans="1:16" x14ac:dyDescent="0.2">
      <c r="A262" s="8">
        <v>130</v>
      </c>
      <c r="B262" s="8">
        <v>260</v>
      </c>
      <c r="D262">
        <v>1137.3383886255999</v>
      </c>
      <c r="E262">
        <v>518.65023696682999</v>
      </c>
      <c r="F262">
        <v>146.66603951082001</v>
      </c>
      <c r="G262">
        <v>121.51458137346999</v>
      </c>
      <c r="I262" s="9">
        <f t="shared" si="26"/>
        <v>397.13565559336001</v>
      </c>
      <c r="J262" s="9">
        <f t="shared" si="27"/>
        <v>990.67234911477988</v>
      </c>
      <c r="K262" s="9">
        <f t="shared" si="31"/>
        <v>397.13565559336001</v>
      </c>
      <c r="L262" s="10">
        <f t="shared" si="30"/>
        <v>0.40087487648991366</v>
      </c>
      <c r="M262" s="10">
        <f t="shared" si="28"/>
        <v>0.4720030180329291</v>
      </c>
      <c r="P262" s="8">
        <f t="shared" si="29"/>
        <v>12.621770554341502</v>
      </c>
    </row>
    <row r="263" spans="1:16" x14ac:dyDescent="0.2">
      <c r="A263" s="8">
        <v>130.5</v>
      </c>
      <c r="B263" s="8">
        <v>261</v>
      </c>
      <c r="D263">
        <v>1105.6644549763</v>
      </c>
      <c r="E263">
        <v>505.90521327014</v>
      </c>
      <c r="F263">
        <v>146.47412982125999</v>
      </c>
      <c r="G263">
        <v>120.93697083725</v>
      </c>
      <c r="I263" s="9">
        <f t="shared" si="26"/>
        <v>384.96824243289001</v>
      </c>
      <c r="J263" s="9">
        <f t="shared" si="27"/>
        <v>959.19032515504</v>
      </c>
      <c r="K263" s="9">
        <f t="shared" si="31"/>
        <v>384.96824243289001</v>
      </c>
      <c r="L263" s="10">
        <f t="shared" si="30"/>
        <v>0.40134708653432793</v>
      </c>
      <c r="M263" s="10">
        <f t="shared" si="28"/>
        <v>0.47274879785250884</v>
      </c>
      <c r="P263" s="8">
        <f t="shared" si="29"/>
        <v>12.799716543065898</v>
      </c>
    </row>
    <row r="264" spans="1:16" x14ac:dyDescent="0.2">
      <c r="A264" s="8">
        <v>131</v>
      </c>
      <c r="B264" s="8">
        <v>262</v>
      </c>
      <c r="D264">
        <v>1084.5279620853</v>
      </c>
      <c r="E264">
        <v>494.73838862559001</v>
      </c>
      <c r="F264">
        <v>146.68015051739999</v>
      </c>
      <c r="G264">
        <v>121.22671683914</v>
      </c>
      <c r="I264" s="9">
        <f t="shared" si="26"/>
        <v>373.51167178644999</v>
      </c>
      <c r="J264" s="9">
        <f t="shared" si="27"/>
        <v>937.84781156790007</v>
      </c>
      <c r="K264" s="9">
        <f t="shared" si="31"/>
        <v>373.51167178644999</v>
      </c>
      <c r="L264" s="10">
        <f t="shared" si="30"/>
        <v>0.3982646941000062</v>
      </c>
      <c r="M264" s="10">
        <f t="shared" si="28"/>
        <v>0.46993997519335257</v>
      </c>
      <c r="P264" s="8">
        <f t="shared" si="29"/>
        <v>12.129520444817084</v>
      </c>
    </row>
    <row r="265" spans="1:16" x14ac:dyDescent="0.2">
      <c r="A265" s="8">
        <v>131.5</v>
      </c>
      <c r="B265" s="8">
        <v>263</v>
      </c>
      <c r="D265">
        <v>1127.2436018957001</v>
      </c>
      <c r="E265">
        <v>508.84360189573999</v>
      </c>
      <c r="F265">
        <v>146.83913452492999</v>
      </c>
      <c r="G265">
        <v>120.88052681091</v>
      </c>
      <c r="I265" s="9">
        <f t="shared" si="26"/>
        <v>387.96307508483</v>
      </c>
      <c r="J265" s="9">
        <f t="shared" si="27"/>
        <v>980.40446737077013</v>
      </c>
      <c r="K265" s="9">
        <f t="shared" si="31"/>
        <v>387.96307508483</v>
      </c>
      <c r="L265" s="10">
        <f t="shared" si="30"/>
        <v>0.39571736767505955</v>
      </c>
      <c r="M265" s="10">
        <f t="shared" si="28"/>
        <v>0.46766621854357138</v>
      </c>
      <c r="P265" s="8">
        <f t="shared" si="29"/>
        <v>11.58699319409048</v>
      </c>
    </row>
    <row r="266" spans="1:16" x14ac:dyDescent="0.2">
      <c r="A266" s="8">
        <v>132</v>
      </c>
      <c r="B266" s="8">
        <v>264</v>
      </c>
      <c r="D266">
        <v>1091.1594339623</v>
      </c>
      <c r="E266">
        <v>498.56320754717001</v>
      </c>
      <c r="F266">
        <v>147.33960489181999</v>
      </c>
      <c r="G266">
        <v>121.11194731891</v>
      </c>
      <c r="I266" s="9">
        <f t="shared" si="26"/>
        <v>377.45126022826003</v>
      </c>
      <c r="J266" s="9">
        <f t="shared" si="27"/>
        <v>943.81982907047995</v>
      </c>
      <c r="K266" s="9">
        <f t="shared" si="31"/>
        <v>377.45126022826003</v>
      </c>
      <c r="L266" s="10">
        <f t="shared" si="30"/>
        <v>0.39991876479220884</v>
      </c>
      <c r="M266" s="10">
        <f t="shared" si="28"/>
        <v>0.47214118543588607</v>
      </c>
      <c r="P266" s="8">
        <f t="shared" si="29"/>
        <v>12.654737838361758</v>
      </c>
    </row>
    <row r="267" spans="1:16" x14ac:dyDescent="0.2">
      <c r="A267" s="8">
        <v>132.5</v>
      </c>
      <c r="B267" s="8">
        <v>265</v>
      </c>
      <c r="D267">
        <v>1048.4920782852</v>
      </c>
      <c r="E267">
        <v>477.80708294501</v>
      </c>
      <c r="F267">
        <v>146.51646284102</v>
      </c>
      <c r="G267">
        <v>121.22201317027</v>
      </c>
      <c r="I267" s="9">
        <f t="shared" si="26"/>
        <v>356.58506977473996</v>
      </c>
      <c r="J267" s="9">
        <f t="shared" si="27"/>
        <v>901.97561544417999</v>
      </c>
      <c r="K267" s="9">
        <f t="shared" si="31"/>
        <v>356.58506977473996</v>
      </c>
      <c r="L267" s="10">
        <f t="shared" si="30"/>
        <v>0.39533781586671701</v>
      </c>
      <c r="M267" s="10">
        <f t="shared" si="28"/>
        <v>0.46783380628555971</v>
      </c>
      <c r="P267" s="8">
        <f t="shared" si="29"/>
        <v>11.626980286343802</v>
      </c>
    </row>
    <row r="268" spans="1:16" x14ac:dyDescent="0.2">
      <c r="A268" s="8">
        <v>133</v>
      </c>
      <c r="B268" s="8">
        <v>266</v>
      </c>
      <c r="D268">
        <v>1062.0075901328</v>
      </c>
      <c r="E268">
        <v>481.67931688804998</v>
      </c>
      <c r="F268">
        <v>146.22859830668</v>
      </c>
      <c r="G268">
        <v>121.30291627469001</v>
      </c>
      <c r="I268" s="9">
        <f t="shared" si="26"/>
        <v>360.37640061335998</v>
      </c>
      <c r="J268" s="9">
        <f t="shared" si="27"/>
        <v>915.77899182612009</v>
      </c>
      <c r="K268" s="9">
        <f t="shared" si="31"/>
        <v>360.37640061335998</v>
      </c>
      <c r="L268" s="10">
        <f t="shared" si="30"/>
        <v>0.39351896454268631</v>
      </c>
      <c r="M268" s="10">
        <f t="shared" si="28"/>
        <v>0.46628852473669447</v>
      </c>
      <c r="P268" s="8">
        <f t="shared" si="29"/>
        <v>11.258270050626587</v>
      </c>
    </row>
    <row r="269" spans="1:16" x14ac:dyDescent="0.2">
      <c r="A269" s="8">
        <v>133.5</v>
      </c>
      <c r="B269" s="8">
        <v>267</v>
      </c>
      <c r="D269">
        <v>1047.2485768501001</v>
      </c>
      <c r="E269">
        <v>478.26660341555998</v>
      </c>
      <c r="F269">
        <v>146.56538099718</v>
      </c>
      <c r="G269">
        <v>121.36594543744</v>
      </c>
      <c r="I269" s="9">
        <f t="shared" si="26"/>
        <v>356.90065797811997</v>
      </c>
      <c r="J269" s="9">
        <f t="shared" si="27"/>
        <v>900.68319585292011</v>
      </c>
      <c r="K269" s="9">
        <f t="shared" si="31"/>
        <v>356.90065797811997</v>
      </c>
      <c r="L269" s="10">
        <f t="shared" si="30"/>
        <v>0.39625548652558762</v>
      </c>
      <c r="M269" s="10">
        <f t="shared" si="28"/>
        <v>0.46929861649476118</v>
      </c>
      <c r="P269" s="8">
        <f t="shared" si="29"/>
        <v>11.976489744935519</v>
      </c>
    </row>
    <row r="270" spans="1:16" x14ac:dyDescent="0.2">
      <c r="A270" s="8">
        <v>134</v>
      </c>
      <c r="B270" s="8">
        <v>268</v>
      </c>
      <c r="D270">
        <v>1061.2865275142001</v>
      </c>
      <c r="E270">
        <v>487.63851992410002</v>
      </c>
      <c r="F270">
        <v>147.05079962370999</v>
      </c>
      <c r="G270">
        <v>120.54938852305</v>
      </c>
      <c r="I270" s="9">
        <f t="shared" si="26"/>
        <v>367.08913140105005</v>
      </c>
      <c r="J270" s="9">
        <f t="shared" si="27"/>
        <v>914.23572789049012</v>
      </c>
      <c r="K270" s="9">
        <f t="shared" si="31"/>
        <v>367.08913140105005</v>
      </c>
      <c r="L270" s="10">
        <f t="shared" si="30"/>
        <v>0.40152568993127458</v>
      </c>
      <c r="M270" s="10">
        <f t="shared" si="28"/>
        <v>0.4748423896756136</v>
      </c>
      <c r="P270" s="8">
        <f t="shared" si="29"/>
        <v>13.299255759825101</v>
      </c>
    </row>
    <row r="271" spans="1:16" x14ac:dyDescent="0.2">
      <c r="A271" s="8">
        <v>134.5</v>
      </c>
      <c r="B271" s="8">
        <v>269</v>
      </c>
      <c r="D271">
        <v>1078.6451612902999</v>
      </c>
      <c r="E271">
        <v>494.20018975331999</v>
      </c>
      <c r="F271">
        <v>146.71589840075001</v>
      </c>
      <c r="G271">
        <v>121.16650987771</v>
      </c>
      <c r="I271" s="9">
        <f t="shared" si="26"/>
        <v>373.03367987561001</v>
      </c>
      <c r="J271" s="9">
        <f t="shared" si="27"/>
        <v>931.92926288954993</v>
      </c>
      <c r="K271" s="9">
        <f t="shared" si="31"/>
        <v>373.03367987561001</v>
      </c>
      <c r="L271" s="10">
        <f t="shared" si="30"/>
        <v>0.40028111009088579</v>
      </c>
      <c r="M271" s="10">
        <f t="shared" si="28"/>
        <v>0.47387137961039028</v>
      </c>
      <c r="P271" s="8">
        <f t="shared" si="29"/>
        <v>13.067568951492218</v>
      </c>
    </row>
    <row r="272" spans="1:16" x14ac:dyDescent="0.2">
      <c r="A272" s="8">
        <v>135</v>
      </c>
      <c r="B272" s="8">
        <v>270</v>
      </c>
      <c r="D272">
        <v>1091.8926553671999</v>
      </c>
      <c r="E272">
        <v>489.07344632768002</v>
      </c>
      <c r="F272">
        <v>147.09219190969</v>
      </c>
      <c r="G272">
        <v>121.11100658514</v>
      </c>
      <c r="I272" s="9">
        <f t="shared" si="26"/>
        <v>367.96243974254003</v>
      </c>
      <c r="J272" s="9">
        <f t="shared" si="27"/>
        <v>944.80046345750998</v>
      </c>
      <c r="K272" s="9">
        <f t="shared" si="31"/>
        <v>367.96243974254003</v>
      </c>
      <c r="L272" s="10">
        <f t="shared" si="30"/>
        <v>0.38946047760812535</v>
      </c>
      <c r="M272" s="10">
        <f t="shared" si="28"/>
        <v>0.46332431690279524</v>
      </c>
      <c r="P272" s="8">
        <f t="shared" si="29"/>
        <v>10.550998440508428</v>
      </c>
    </row>
    <row r="273" spans="1:16" x14ac:dyDescent="0.2">
      <c r="A273" s="8">
        <v>135.5</v>
      </c>
      <c r="B273" s="8">
        <v>271</v>
      </c>
      <c r="D273">
        <v>1095.5781544255999</v>
      </c>
      <c r="E273">
        <v>488.92184557438998</v>
      </c>
      <c r="F273">
        <v>146.57855126998999</v>
      </c>
      <c r="G273">
        <v>121.14111006585</v>
      </c>
      <c r="I273" s="9">
        <f t="shared" si="26"/>
        <v>367.78073550853998</v>
      </c>
      <c r="J273" s="9">
        <f t="shared" si="27"/>
        <v>948.99960315560998</v>
      </c>
      <c r="K273" s="9">
        <f t="shared" si="31"/>
        <v>367.78073550853998</v>
      </c>
      <c r="L273" s="10">
        <f t="shared" si="30"/>
        <v>0.38754572107890967</v>
      </c>
      <c r="M273" s="10">
        <f t="shared" si="28"/>
        <v>0.46168313014874501</v>
      </c>
      <c r="P273" s="8">
        <f t="shared" si="29"/>
        <v>10.159404846845062</v>
      </c>
    </row>
    <row r="274" spans="1:16" x14ac:dyDescent="0.2">
      <c r="A274" s="8">
        <v>136</v>
      </c>
      <c r="B274" s="8">
        <v>272</v>
      </c>
      <c r="D274">
        <v>1103.8757062146999</v>
      </c>
      <c r="E274">
        <v>498.85404896422</v>
      </c>
      <c r="F274">
        <v>146.31232361241999</v>
      </c>
      <c r="G274">
        <v>120.89275634995001</v>
      </c>
      <c r="I274" s="9">
        <f t="shared" si="26"/>
        <v>377.96129261427001</v>
      </c>
      <c r="J274" s="9">
        <f t="shared" si="27"/>
        <v>957.56338260227994</v>
      </c>
      <c r="K274" s="9">
        <f t="shared" si="31"/>
        <v>377.96129261427001</v>
      </c>
      <c r="L274" s="10">
        <f t="shared" si="30"/>
        <v>0.39471151412151972</v>
      </c>
      <c r="M274" s="10">
        <f t="shared" si="28"/>
        <v>0.46912249296652053</v>
      </c>
      <c r="P274" s="8">
        <f t="shared" si="29"/>
        <v>11.934465980618496</v>
      </c>
    </row>
    <row r="275" spans="1:16" x14ac:dyDescent="0.2">
      <c r="A275" s="8">
        <v>136.5</v>
      </c>
      <c r="B275" s="8">
        <v>273</v>
      </c>
      <c r="D275">
        <v>1107.6761095372999</v>
      </c>
      <c r="E275">
        <v>498.44287063267001</v>
      </c>
      <c r="F275">
        <v>146.81561618062</v>
      </c>
      <c r="G275">
        <v>120.68955785513</v>
      </c>
      <c r="I275" s="9">
        <f>E275-G275</f>
        <v>377.75331277754003</v>
      </c>
      <c r="J275" s="9">
        <f>D275-F275</f>
        <v>960.86049335667985</v>
      </c>
      <c r="K275" s="9">
        <f t="shared" si="31"/>
        <v>377.75331277754003</v>
      </c>
      <c r="L275" s="10">
        <f t="shared" si="30"/>
        <v>0.39314064360986761</v>
      </c>
      <c r="M275" s="10">
        <f>L275+ABS($N$2)*A275</f>
        <v>0.46782519223003383</v>
      </c>
      <c r="O275" s="11"/>
      <c r="P275" s="8">
        <f>(M275-$O$2)/$O$2*100</f>
        <v>11.624924938924583</v>
      </c>
    </row>
    <row r="276" spans="1:16" x14ac:dyDescent="0.2">
      <c r="A276" s="8">
        <v>137</v>
      </c>
      <c r="B276" s="8">
        <v>274</v>
      </c>
      <c r="D276">
        <v>1143.7771482531</v>
      </c>
      <c r="E276">
        <v>512.14542020774002</v>
      </c>
      <c r="F276">
        <v>146.43085606772999</v>
      </c>
      <c r="G276">
        <v>120.99623706491001</v>
      </c>
      <c r="I276" s="9">
        <f t="shared" ref="I276:I291" si="32">E276-G276</f>
        <v>391.14918314283</v>
      </c>
      <c r="J276" s="9">
        <f t="shared" ref="J276:J291" si="33">D276-F276</f>
        <v>997.34629218536998</v>
      </c>
      <c r="K276" s="9">
        <f t="shared" si="31"/>
        <v>391.14918314283</v>
      </c>
      <c r="L276" s="10">
        <f t="shared" si="30"/>
        <v>0.3921899406531606</v>
      </c>
      <c r="M276" s="10">
        <f t="shared" ref="M276:M291" si="34">L276+ABS($N$2)*A276</f>
        <v>0.46714805904849227</v>
      </c>
      <c r="P276" s="8">
        <f t="shared" ref="P276:P291" si="35">(M276-$O$2)/$O$2*100</f>
        <v>11.463358307159986</v>
      </c>
    </row>
    <row r="277" spans="1:16" x14ac:dyDescent="0.2">
      <c r="A277" s="8">
        <v>137.5</v>
      </c>
      <c r="B277" s="8">
        <v>275</v>
      </c>
      <c r="D277">
        <v>1116.4508886809999</v>
      </c>
      <c r="E277">
        <v>498.47521047708</v>
      </c>
      <c r="F277">
        <v>147.34336782691</v>
      </c>
      <c r="G277">
        <v>121.16933207901999</v>
      </c>
      <c r="I277" s="9">
        <f t="shared" si="32"/>
        <v>377.30587839806003</v>
      </c>
      <c r="J277" s="9">
        <f t="shared" si="33"/>
        <v>969.1075208540899</v>
      </c>
      <c r="K277" s="9">
        <f t="shared" si="31"/>
        <v>377.30587839806003</v>
      </c>
      <c r="L277" s="10">
        <f t="shared" si="30"/>
        <v>0.38933335081904469</v>
      </c>
      <c r="M277" s="10">
        <f t="shared" si="34"/>
        <v>0.46456503898954182</v>
      </c>
      <c r="N277" s="1"/>
      <c r="P277" s="8">
        <f t="shared" si="35"/>
        <v>10.847039594562084</v>
      </c>
    </row>
    <row r="278" spans="1:16" x14ac:dyDescent="0.2">
      <c r="A278" s="8">
        <v>138</v>
      </c>
      <c r="B278" s="8">
        <v>276</v>
      </c>
      <c r="D278">
        <v>1083.8044901777</v>
      </c>
      <c r="E278">
        <v>482.87558465856</v>
      </c>
      <c r="F278">
        <v>146.30479774224</v>
      </c>
      <c r="G278">
        <v>120.91721542803</v>
      </c>
      <c r="I278" s="9">
        <f t="shared" si="32"/>
        <v>361.95836923053002</v>
      </c>
      <c r="J278" s="9">
        <f t="shared" si="33"/>
        <v>937.49969243546002</v>
      </c>
      <c r="K278" s="9">
        <f t="shared" si="31"/>
        <v>361.95836923053002</v>
      </c>
      <c r="L278" s="10">
        <f t="shared" si="30"/>
        <v>0.38608905384302106</v>
      </c>
      <c r="M278" s="10">
        <f t="shared" si="34"/>
        <v>0.4615943117886836</v>
      </c>
      <c r="P278" s="8">
        <f t="shared" si="35"/>
        <v>10.13821243792883</v>
      </c>
    </row>
    <row r="279" spans="1:16" x14ac:dyDescent="0.2">
      <c r="A279" s="8">
        <v>138.5</v>
      </c>
      <c r="B279" s="8">
        <v>277</v>
      </c>
      <c r="D279">
        <v>1111.7736202057999</v>
      </c>
      <c r="E279">
        <v>494.50046772684999</v>
      </c>
      <c r="F279">
        <v>146.78551269990999</v>
      </c>
      <c r="G279">
        <v>121.00094073376999</v>
      </c>
      <c r="I279" s="9">
        <f t="shared" si="32"/>
        <v>373.49952699308</v>
      </c>
      <c r="J279" s="9">
        <f t="shared" si="33"/>
        <v>964.98810750588996</v>
      </c>
      <c r="K279" s="9">
        <f t="shared" si="31"/>
        <v>373.49952699308</v>
      </c>
      <c r="L279" s="10">
        <f t="shared" si="30"/>
        <v>0.38705091191064267</v>
      </c>
      <c r="M279" s="10">
        <f t="shared" si="34"/>
        <v>0.46282973963147067</v>
      </c>
      <c r="P279" s="8">
        <f t="shared" si="35"/>
        <v>10.432990364618069</v>
      </c>
    </row>
    <row r="280" spans="1:16" x14ac:dyDescent="0.2">
      <c r="A280" s="8">
        <v>139</v>
      </c>
      <c r="B280" s="8">
        <v>278</v>
      </c>
      <c r="D280">
        <v>1109.4864359214</v>
      </c>
      <c r="E280">
        <v>498.47240411600001</v>
      </c>
      <c r="F280">
        <v>146.55032925681999</v>
      </c>
      <c r="G280">
        <v>120.93791157103</v>
      </c>
      <c r="I280" s="9">
        <f t="shared" si="32"/>
        <v>377.53449254497002</v>
      </c>
      <c r="J280" s="9">
        <f t="shared" si="33"/>
        <v>962.93610666458005</v>
      </c>
      <c r="K280" s="9">
        <f t="shared" si="31"/>
        <v>377.53449254497002</v>
      </c>
      <c r="L280" s="10">
        <f t="shared" si="30"/>
        <v>0.3920659843701102</v>
      </c>
      <c r="M280" s="10">
        <f t="shared" si="34"/>
        <v>0.46811838186610366</v>
      </c>
      <c r="P280" s="8">
        <f t="shared" si="35"/>
        <v>11.69488113551836</v>
      </c>
    </row>
    <row r="281" spans="1:16" x14ac:dyDescent="0.2">
      <c r="A281" s="8">
        <v>139.5</v>
      </c>
      <c r="B281" s="8">
        <v>279</v>
      </c>
      <c r="D281">
        <v>1094.5004677269001</v>
      </c>
      <c r="E281">
        <v>496.1693171188</v>
      </c>
      <c r="F281">
        <v>146.79868297272</v>
      </c>
      <c r="G281">
        <v>120.77046095954999</v>
      </c>
      <c r="I281" s="9">
        <f t="shared" si="32"/>
        <v>375.39885615924999</v>
      </c>
      <c r="J281" s="9">
        <f t="shared" si="33"/>
        <v>947.70178475418004</v>
      </c>
      <c r="K281" s="9">
        <f t="shared" si="31"/>
        <v>375.39885615924999</v>
      </c>
      <c r="L281" s="10">
        <f t="shared" si="30"/>
        <v>0.39611496168768212</v>
      </c>
      <c r="M281" s="10">
        <f t="shared" si="34"/>
        <v>0.47244092895884104</v>
      </c>
      <c r="P281" s="8">
        <f t="shared" si="35"/>
        <v>12.726257818060342</v>
      </c>
    </row>
    <row r="282" spans="1:16" x14ac:dyDescent="0.2">
      <c r="A282" s="8">
        <v>140</v>
      </c>
      <c r="B282" s="8">
        <v>280</v>
      </c>
      <c r="D282">
        <v>1105.5491113190001</v>
      </c>
      <c r="E282">
        <v>507.60149672591001</v>
      </c>
      <c r="F282">
        <v>146.97648165569001</v>
      </c>
      <c r="G282">
        <v>120.5917215428</v>
      </c>
      <c r="I282" s="9">
        <f t="shared" si="32"/>
        <v>387.00977518311004</v>
      </c>
      <c r="J282" s="9">
        <f t="shared" si="33"/>
        <v>958.57262966331007</v>
      </c>
      <c r="K282" s="9">
        <f t="shared" si="31"/>
        <v>387.00977518311004</v>
      </c>
      <c r="L282" s="10">
        <f t="shared" si="30"/>
        <v>0.40373547419045724</v>
      </c>
      <c r="M282" s="10">
        <f t="shared" si="34"/>
        <v>0.48033501123678157</v>
      </c>
      <c r="P282" s="8">
        <f t="shared" si="35"/>
        <v>14.609816797721967</v>
      </c>
    </row>
    <row r="283" spans="1:16" x14ac:dyDescent="0.2">
      <c r="A283" s="8">
        <v>140.5</v>
      </c>
      <c r="B283" s="8">
        <v>281</v>
      </c>
      <c r="D283">
        <v>1091.4396632367</v>
      </c>
      <c r="E283">
        <v>503.23947614592998</v>
      </c>
      <c r="F283">
        <v>146.62935089370001</v>
      </c>
      <c r="G283">
        <v>120.77234242709</v>
      </c>
      <c r="I283" s="9">
        <f t="shared" si="32"/>
        <v>382.46713371883999</v>
      </c>
      <c r="J283" s="9">
        <f t="shared" si="33"/>
        <v>944.81031234299996</v>
      </c>
      <c r="K283" s="9">
        <f t="shared" si="31"/>
        <v>382.46713371883999</v>
      </c>
      <c r="L283" s="10">
        <f t="shared" si="30"/>
        <v>0.40480838187548351</v>
      </c>
      <c r="M283" s="10">
        <f t="shared" si="34"/>
        <v>0.4816814886969733</v>
      </c>
      <c r="P283" s="8">
        <f t="shared" si="35"/>
        <v>14.93109159848548</v>
      </c>
    </row>
    <row r="284" spans="1:16" x14ac:dyDescent="0.2">
      <c r="A284" s="8">
        <v>141</v>
      </c>
      <c r="B284" s="8">
        <v>282</v>
      </c>
      <c r="D284">
        <v>1115.7970065482</v>
      </c>
      <c r="E284">
        <v>508.88961646399002</v>
      </c>
      <c r="F284">
        <v>146.88146754469</v>
      </c>
      <c r="G284">
        <v>120.73471307619999</v>
      </c>
      <c r="I284" s="9">
        <f t="shared" si="32"/>
        <v>388.15490338779</v>
      </c>
      <c r="J284" s="9">
        <f t="shared" si="33"/>
        <v>968.91553900351005</v>
      </c>
      <c r="K284" s="9">
        <f t="shared" si="31"/>
        <v>388.15490338779</v>
      </c>
      <c r="L284" s="10">
        <f t="shared" si="30"/>
        <v>0.40060757389337714</v>
      </c>
      <c r="M284" s="10">
        <f t="shared" si="34"/>
        <v>0.47775425049003239</v>
      </c>
      <c r="P284" s="8">
        <f t="shared" si="35"/>
        <v>13.994037165872749</v>
      </c>
    </row>
    <row r="285" spans="1:16" x14ac:dyDescent="0.2">
      <c r="A285" s="8">
        <v>141.5</v>
      </c>
      <c r="B285" s="8">
        <v>283</v>
      </c>
      <c r="D285">
        <v>1129.5184484389999</v>
      </c>
      <c r="E285">
        <v>516.07000946074004</v>
      </c>
      <c r="F285">
        <v>147.32079021637</v>
      </c>
      <c r="G285">
        <v>121.23518344308999</v>
      </c>
      <c r="I285" s="9">
        <f t="shared" si="32"/>
        <v>394.83482601765002</v>
      </c>
      <c r="J285" s="9">
        <f t="shared" si="33"/>
        <v>982.19765822262991</v>
      </c>
      <c r="K285" s="9">
        <f t="shared" si="31"/>
        <v>394.83482601765002</v>
      </c>
      <c r="L285" s="10">
        <f t="shared" si="30"/>
        <v>0.40199121094641699</v>
      </c>
      <c r="M285" s="10">
        <f t="shared" si="34"/>
        <v>0.47941145731823764</v>
      </c>
      <c r="P285" s="8">
        <f t="shared" si="35"/>
        <v>14.389453212034978</v>
      </c>
    </row>
    <row r="286" spans="1:16" x14ac:dyDescent="0.2">
      <c r="A286" s="8">
        <v>142</v>
      </c>
      <c r="B286" s="8">
        <v>284</v>
      </c>
      <c r="D286">
        <v>1138.8836329234</v>
      </c>
      <c r="E286">
        <v>517.74739829707005</v>
      </c>
      <c r="F286">
        <v>146.41110065851001</v>
      </c>
      <c r="G286">
        <v>120.8946378175</v>
      </c>
      <c r="I286" s="9">
        <f t="shared" si="32"/>
        <v>396.85276047957007</v>
      </c>
      <c r="J286" s="9">
        <f t="shared" si="33"/>
        <v>992.47253226488999</v>
      </c>
      <c r="K286" s="9">
        <f t="shared" si="31"/>
        <v>396.85276047957007</v>
      </c>
      <c r="L286" s="10">
        <f t="shared" si="30"/>
        <v>0.39986271415887453</v>
      </c>
      <c r="M286" s="10">
        <f t="shared" si="34"/>
        <v>0.47755653030586065</v>
      </c>
      <c r="P286" s="8">
        <f t="shared" si="35"/>
        <v>13.946860354782531</v>
      </c>
    </row>
    <row r="287" spans="1:16" x14ac:dyDescent="0.2">
      <c r="A287" s="8">
        <v>142.5</v>
      </c>
      <c r="B287" s="8">
        <v>285</v>
      </c>
      <c r="D287">
        <v>1112.4737827715001</v>
      </c>
      <c r="E287">
        <v>508.01872659176001</v>
      </c>
      <c r="F287">
        <v>146.44026340546</v>
      </c>
      <c r="G287">
        <v>120.64252116650999</v>
      </c>
      <c r="I287" s="9">
        <f t="shared" si="32"/>
        <v>387.37620542525002</v>
      </c>
      <c r="J287" s="9">
        <f t="shared" si="33"/>
        <v>966.03351936604008</v>
      </c>
      <c r="K287" s="9">
        <f t="shared" si="31"/>
        <v>387.37620542525002</v>
      </c>
      <c r="L287" s="10">
        <f t="shared" si="30"/>
        <v>0.40099665038482912</v>
      </c>
      <c r="M287" s="10">
        <f t="shared" si="34"/>
        <v>0.4789640363069807</v>
      </c>
      <c r="P287" s="8">
        <f t="shared" si="35"/>
        <v>14.282696804669259</v>
      </c>
    </row>
    <row r="288" spans="1:16" x14ac:dyDescent="0.2">
      <c r="A288" s="8">
        <v>143</v>
      </c>
      <c r="B288" s="8">
        <v>286</v>
      </c>
      <c r="D288">
        <v>1137.6217228464</v>
      </c>
      <c r="E288">
        <v>526.58146067415998</v>
      </c>
      <c r="F288">
        <v>146.02163687676</v>
      </c>
      <c r="G288">
        <v>120.80809031043999</v>
      </c>
      <c r="I288" s="9">
        <f t="shared" si="32"/>
        <v>405.77337036372001</v>
      </c>
      <c r="J288" s="9">
        <f t="shared" si="33"/>
        <v>991.60008596963996</v>
      </c>
      <c r="K288" s="9">
        <f t="shared" si="31"/>
        <v>405.77337036372001</v>
      </c>
      <c r="L288" s="10">
        <f t="shared" si="30"/>
        <v>0.40921070510692115</v>
      </c>
      <c r="M288" s="10">
        <f t="shared" si="34"/>
        <v>0.48745166080423818</v>
      </c>
      <c r="P288" s="8">
        <f t="shared" si="35"/>
        <v>16.307877284796728</v>
      </c>
    </row>
    <row r="289" spans="1:16" x14ac:dyDescent="0.2">
      <c r="A289" s="8">
        <v>143.5</v>
      </c>
      <c r="B289" s="8">
        <v>287</v>
      </c>
      <c r="D289">
        <v>1145.9012229539001</v>
      </c>
      <c r="E289">
        <v>528.28974600187996</v>
      </c>
      <c r="F289">
        <v>146.28127939793001</v>
      </c>
      <c r="G289">
        <v>120.48918156162</v>
      </c>
      <c r="I289" s="9">
        <f t="shared" si="32"/>
        <v>407.80056444025996</v>
      </c>
      <c r="J289" s="9">
        <f t="shared" si="33"/>
        <v>999.61994355597005</v>
      </c>
      <c r="K289" s="9">
        <f t="shared" si="31"/>
        <v>407.80056444025996</v>
      </c>
      <c r="L289" s="10">
        <f t="shared" si="30"/>
        <v>0.40795561059894625</v>
      </c>
      <c r="M289" s="10">
        <f t="shared" si="34"/>
        <v>0.48647013607142869</v>
      </c>
      <c r="P289" s="8">
        <f t="shared" si="35"/>
        <v>16.073681635555836</v>
      </c>
    </row>
    <row r="290" spans="1:16" x14ac:dyDescent="0.2">
      <c r="A290" s="8">
        <v>144</v>
      </c>
      <c r="B290" s="8">
        <v>288</v>
      </c>
      <c r="D290">
        <v>1108.8417602996001</v>
      </c>
      <c r="E290">
        <v>502.21067415729999</v>
      </c>
      <c r="F290">
        <v>146.42991533396</v>
      </c>
      <c r="G290">
        <v>121.31890874881999</v>
      </c>
      <c r="I290" s="9">
        <f t="shared" si="32"/>
        <v>380.89176540848001</v>
      </c>
      <c r="J290" s="9">
        <f t="shared" si="33"/>
        <v>962.41184496564006</v>
      </c>
      <c r="K290" s="9">
        <f t="shared" si="31"/>
        <v>380.89176540848001</v>
      </c>
      <c r="L290" s="10">
        <f t="shared" si="30"/>
        <v>0.39576795256720743</v>
      </c>
      <c r="M290" s="10">
        <f t="shared" si="34"/>
        <v>0.47455604781485533</v>
      </c>
      <c r="P290" s="8">
        <f t="shared" si="35"/>
        <v>13.230933469266843</v>
      </c>
    </row>
    <row r="291" spans="1:16" x14ac:dyDescent="0.2">
      <c r="A291" s="8">
        <v>144.5</v>
      </c>
      <c r="B291" s="8">
        <v>289</v>
      </c>
      <c r="D291">
        <v>1092.6029962547</v>
      </c>
      <c r="E291">
        <v>489.63857677903002</v>
      </c>
      <c r="F291">
        <v>146.97083725306001</v>
      </c>
      <c r="G291">
        <v>121.34148635936</v>
      </c>
      <c r="I291" s="9">
        <f t="shared" si="32"/>
        <v>368.29709041966998</v>
      </c>
      <c r="J291" s="9">
        <f t="shared" si="33"/>
        <v>945.63215900163993</v>
      </c>
      <c r="K291" s="9">
        <f t="shared" si="31"/>
        <v>368.29709041966998</v>
      </c>
      <c r="L291" s="10">
        <f t="shared" si="30"/>
        <v>0.38947183311585248</v>
      </c>
      <c r="M291" s="10">
        <f t="shared" si="34"/>
        <v>0.46853349813866585</v>
      </c>
      <c r="P291" s="8">
        <f t="shared" si="35"/>
        <v>11.793929505583254</v>
      </c>
    </row>
    <row r="292" spans="1:16" x14ac:dyDescent="0.2">
      <c r="A292" s="8">
        <v>145</v>
      </c>
      <c r="B292" s="8">
        <v>290</v>
      </c>
      <c r="D292">
        <v>1072.5611374407999</v>
      </c>
      <c r="E292">
        <v>481.84265402843999</v>
      </c>
      <c r="F292">
        <v>146.4082784572</v>
      </c>
      <c r="G292">
        <v>120.61053621825</v>
      </c>
      <c r="I292" s="9">
        <f>E292-G292</f>
        <v>361.23211781019</v>
      </c>
      <c r="J292" s="9">
        <f>D292-F292</f>
        <v>926.15285898359991</v>
      </c>
      <c r="K292" s="9">
        <f t="shared" si="31"/>
        <v>361.23211781019</v>
      </c>
      <c r="L292" s="10">
        <f t="shared" si="30"/>
        <v>0.39003509442989975</v>
      </c>
      <c r="M292" s="10">
        <f>L292+ABS($N$2)*A292</f>
        <v>0.46937032922787852</v>
      </c>
      <c r="O292" s="11"/>
      <c r="P292" s="8">
        <f>(M292-$O$2)/$O$2*100</f>
        <v>11.993600684201596</v>
      </c>
    </row>
    <row r="293" spans="1:16" x14ac:dyDescent="0.2">
      <c r="A293" s="8">
        <v>145.5</v>
      </c>
      <c r="B293" s="8">
        <v>291</v>
      </c>
      <c r="D293">
        <v>1062.5440758294001</v>
      </c>
      <c r="E293">
        <v>474.63886255924001</v>
      </c>
      <c r="F293">
        <v>146.42709313264001</v>
      </c>
      <c r="G293">
        <v>121.10159924740999</v>
      </c>
      <c r="I293" s="9">
        <f t="shared" ref="I293:I301" si="36">E293-G293</f>
        <v>353.53726331183003</v>
      </c>
      <c r="J293" s="9">
        <f t="shared" ref="J293:J301" si="37">D293-F293</f>
        <v>916.11698269676003</v>
      </c>
      <c r="K293" s="9">
        <f t="shared" si="31"/>
        <v>353.53726331183003</v>
      </c>
      <c r="L293" s="10">
        <f t="shared" si="30"/>
        <v>0.38590842653208723</v>
      </c>
      <c r="M293" s="10">
        <f t="shared" ref="M293:M301" si="38">L293+ABS($N$2)*A293</f>
        <v>0.46551723110523147</v>
      </c>
      <c r="P293" s="8">
        <f t="shared" ref="P293:P301" si="39">(M293-$O$2)/$O$2*100</f>
        <v>11.0742363663619</v>
      </c>
    </row>
    <row r="294" spans="1:16" x14ac:dyDescent="0.2">
      <c r="A294" s="8">
        <v>146</v>
      </c>
      <c r="B294" s="8">
        <v>292</v>
      </c>
      <c r="D294">
        <v>1056.6549763032999</v>
      </c>
      <c r="E294">
        <v>476.52322274881999</v>
      </c>
      <c r="F294">
        <v>146.22953904044999</v>
      </c>
      <c r="G294">
        <v>120.72624647225</v>
      </c>
      <c r="I294" s="9">
        <f t="shared" si="36"/>
        <v>355.79697627656998</v>
      </c>
      <c r="J294" s="9">
        <f t="shared" si="37"/>
        <v>910.42543726284998</v>
      </c>
      <c r="K294" s="9">
        <f t="shared" si="31"/>
        <v>355.79697627656998</v>
      </c>
      <c r="L294" s="10">
        <f t="shared" si="30"/>
        <v>0.39080298255533846</v>
      </c>
      <c r="M294" s="10">
        <f t="shared" si="38"/>
        <v>0.4706853569036481</v>
      </c>
      <c r="N294" s="1"/>
      <c r="P294" s="8">
        <f t="shared" si="39"/>
        <v>12.307371443105509</v>
      </c>
    </row>
    <row r="295" spans="1:16" x14ac:dyDescent="0.2">
      <c r="A295" s="8">
        <v>146.5</v>
      </c>
      <c r="B295" s="8">
        <v>293</v>
      </c>
      <c r="D295">
        <v>1058.2350710901001</v>
      </c>
      <c r="E295">
        <v>481.25023696683002</v>
      </c>
      <c r="F295">
        <v>146.21448730009001</v>
      </c>
      <c r="G295">
        <v>120.83537158983999</v>
      </c>
      <c r="I295" s="9">
        <f t="shared" si="36"/>
        <v>360.41486537699001</v>
      </c>
      <c r="J295" s="9">
        <f t="shared" si="37"/>
        <v>912.02058379001005</v>
      </c>
      <c r="K295" s="9">
        <f t="shared" si="31"/>
        <v>360.41486537699001</v>
      </c>
      <c r="L295" s="10">
        <f t="shared" si="30"/>
        <v>0.39518281909739705</v>
      </c>
      <c r="M295" s="10">
        <f t="shared" si="38"/>
        <v>0.47533876322087215</v>
      </c>
      <c r="P295" s="8">
        <f t="shared" si="39"/>
        <v>13.417692433718262</v>
      </c>
    </row>
    <row r="296" spans="1:16" x14ac:dyDescent="0.2">
      <c r="A296" s="8">
        <v>147</v>
      </c>
      <c r="B296" s="8">
        <v>294</v>
      </c>
      <c r="D296">
        <v>1045.2687559353999</v>
      </c>
      <c r="E296">
        <v>467.09401709401999</v>
      </c>
      <c r="F296">
        <v>146.22389463782</v>
      </c>
      <c r="G296">
        <v>120.41392285983</v>
      </c>
      <c r="I296" s="9">
        <f t="shared" si="36"/>
        <v>346.68009423418999</v>
      </c>
      <c r="J296" s="9">
        <f t="shared" si="37"/>
        <v>899.04486129757993</v>
      </c>
      <c r="K296" s="9">
        <f t="shared" si="31"/>
        <v>346.68009423418999</v>
      </c>
      <c r="L296" s="10">
        <f t="shared" si="30"/>
        <v>0.38560933848599172</v>
      </c>
      <c r="M296" s="10">
        <f t="shared" si="38"/>
        <v>0.46603885238463227</v>
      </c>
      <c r="P296" s="8">
        <f t="shared" si="39"/>
        <v>11.198697248603212</v>
      </c>
    </row>
    <row r="297" spans="1:16" x14ac:dyDescent="0.2">
      <c r="A297" s="8">
        <v>147.5</v>
      </c>
      <c r="B297" s="8">
        <v>295</v>
      </c>
      <c r="D297">
        <v>1026.7841658811999</v>
      </c>
      <c r="E297">
        <v>454.86804901036999</v>
      </c>
      <c r="F297">
        <v>147.21825023517999</v>
      </c>
      <c r="G297">
        <v>120.32737535278</v>
      </c>
      <c r="I297" s="9">
        <f t="shared" si="36"/>
        <v>334.54067365758999</v>
      </c>
      <c r="J297" s="9">
        <f t="shared" si="37"/>
        <v>879.5659156460199</v>
      </c>
      <c r="K297" s="9">
        <f t="shared" si="31"/>
        <v>334.54067365758999</v>
      </c>
      <c r="L297" s="10">
        <f t="shared" si="30"/>
        <v>0.38034747334641539</v>
      </c>
      <c r="M297" s="10">
        <f t="shared" si="38"/>
        <v>0.46105055702022141</v>
      </c>
      <c r="P297" s="8">
        <f t="shared" si="39"/>
        <v>10.008470418424825</v>
      </c>
    </row>
    <row r="298" spans="1:16" x14ac:dyDescent="0.2">
      <c r="A298" s="8">
        <v>148</v>
      </c>
      <c r="B298" s="8">
        <v>296</v>
      </c>
      <c r="D298">
        <v>1035.8953817153999</v>
      </c>
      <c r="E298">
        <v>452.42035815269003</v>
      </c>
      <c r="F298">
        <v>146.03292568203</v>
      </c>
      <c r="G298">
        <v>120.92097836312</v>
      </c>
      <c r="I298" s="9">
        <f t="shared" si="36"/>
        <v>331.49937978957001</v>
      </c>
      <c r="J298" s="9">
        <f t="shared" si="37"/>
        <v>889.86245603336988</v>
      </c>
      <c r="K298" s="9">
        <f t="shared" si="31"/>
        <v>331.49937978957001</v>
      </c>
      <c r="L298" s="10">
        <f t="shared" si="30"/>
        <v>0.37252878525435706</v>
      </c>
      <c r="M298" s="10">
        <f t="shared" si="38"/>
        <v>0.45350543870332849</v>
      </c>
      <c r="P298" s="8">
        <f t="shared" si="39"/>
        <v>8.2081756079556421</v>
      </c>
    </row>
    <row r="299" spans="1:16" x14ac:dyDescent="0.2">
      <c r="A299" s="8">
        <v>148.5</v>
      </c>
      <c r="B299" s="8">
        <v>297</v>
      </c>
      <c r="D299">
        <v>1059.2441093308</v>
      </c>
      <c r="E299">
        <v>457.18378887841999</v>
      </c>
      <c r="F299">
        <v>146.07431796802001</v>
      </c>
      <c r="G299">
        <v>120.57761053622001</v>
      </c>
      <c r="I299" s="9">
        <f t="shared" si="36"/>
        <v>336.6061783422</v>
      </c>
      <c r="J299" s="9">
        <f t="shared" si="37"/>
        <v>913.16979136277996</v>
      </c>
      <c r="K299" s="9">
        <f t="shared" si="31"/>
        <v>336.6061783422</v>
      </c>
      <c r="L299" s="10">
        <f t="shared" si="30"/>
        <v>0.36861291462550649</v>
      </c>
      <c r="M299" s="10">
        <f t="shared" si="38"/>
        <v>0.44986313784964338</v>
      </c>
      <c r="P299" s="8">
        <f t="shared" si="39"/>
        <v>7.339108344904818</v>
      </c>
    </row>
    <row r="300" spans="1:16" x14ac:dyDescent="0.2">
      <c r="A300" s="8">
        <v>149</v>
      </c>
      <c r="B300" s="8">
        <v>298</v>
      </c>
      <c r="D300">
        <v>1042.0395852969</v>
      </c>
      <c r="E300">
        <v>448.72761545712001</v>
      </c>
      <c r="F300">
        <v>146.47601128881001</v>
      </c>
      <c r="G300">
        <v>120.99247412982</v>
      </c>
      <c r="I300" s="9">
        <f t="shared" si="36"/>
        <v>327.73514132730003</v>
      </c>
      <c r="J300" s="9">
        <f t="shared" si="37"/>
        <v>895.56357400808997</v>
      </c>
      <c r="K300" s="9">
        <f t="shared" si="31"/>
        <v>327.73514132730003</v>
      </c>
      <c r="L300" s="10">
        <f t="shared" si="30"/>
        <v>0.36595407723041162</v>
      </c>
      <c r="M300" s="10">
        <f t="shared" si="38"/>
        <v>0.44747787022971397</v>
      </c>
      <c r="P300" s="8">
        <f t="shared" si="39"/>
        <v>6.7699741395306283</v>
      </c>
    </row>
    <row r="301" spans="1:16" x14ac:dyDescent="0.2">
      <c r="A301" s="8">
        <v>149.5</v>
      </c>
      <c r="B301" s="8">
        <v>299</v>
      </c>
      <c r="D301">
        <v>1022.5645617342</v>
      </c>
      <c r="E301">
        <v>437.93873704052999</v>
      </c>
      <c r="F301">
        <v>146.00940733772001</v>
      </c>
      <c r="G301">
        <v>120.96895578551</v>
      </c>
      <c r="I301" s="9">
        <f t="shared" si="36"/>
        <v>316.96978125502</v>
      </c>
      <c r="J301" s="9">
        <f t="shared" si="37"/>
        <v>876.55515439648002</v>
      </c>
      <c r="K301" s="9">
        <f t="shared" si="31"/>
        <v>316.96978125502</v>
      </c>
      <c r="L301" s="10">
        <f t="shared" si="30"/>
        <v>0.36160848483431479</v>
      </c>
      <c r="M301" s="10">
        <f t="shared" si="38"/>
        <v>0.44340584760878254</v>
      </c>
      <c r="P301" s="8">
        <f t="shared" si="39"/>
        <v>5.7983735781235541</v>
      </c>
    </row>
    <row r="302" spans="1:16" x14ac:dyDescent="0.2">
      <c r="A302" s="8">
        <v>150</v>
      </c>
      <c r="B302" s="8">
        <v>300</v>
      </c>
      <c r="D302">
        <v>1055.4037735848999</v>
      </c>
      <c r="E302">
        <v>441.99245283019002</v>
      </c>
      <c r="F302">
        <v>146.99905926623001</v>
      </c>
      <c r="G302">
        <v>120.82878645343</v>
      </c>
      <c r="I302" s="9">
        <f>E302-G302</f>
        <v>321.16366637676003</v>
      </c>
      <c r="J302" s="9">
        <f>D302-F302</f>
        <v>908.4047143186699</v>
      </c>
      <c r="K302" s="9">
        <f t="shared" si="31"/>
        <v>321.16366637676003</v>
      </c>
      <c r="L302" s="10">
        <f t="shared" si="30"/>
        <v>0.35354689524882327</v>
      </c>
      <c r="M302" s="10">
        <f>L302+ABS($N$2)*A302</f>
        <v>0.43561782779845648</v>
      </c>
      <c r="O302" s="11"/>
      <c r="P302" s="8">
        <f>(M302-$O$2)/$O$2*100</f>
        <v>3.940121519044522</v>
      </c>
    </row>
    <row r="303" spans="1:16" x14ac:dyDescent="0.2">
      <c r="A303" s="8">
        <v>150.5</v>
      </c>
      <c r="B303" s="8">
        <v>301</v>
      </c>
      <c r="D303">
        <v>1068.7877358491</v>
      </c>
      <c r="E303">
        <v>443.88679245282998</v>
      </c>
      <c r="F303">
        <v>146.21166509878</v>
      </c>
      <c r="G303">
        <v>120.78645343367999</v>
      </c>
      <c r="I303" s="9">
        <f t="shared" ref="I303:I309" si="40">E303-G303</f>
        <v>323.10033901915</v>
      </c>
      <c r="J303" s="9">
        <f t="shared" ref="J303:J309" si="41">D303-F303</f>
        <v>922.57607075032001</v>
      </c>
      <c r="K303" s="9">
        <f t="shared" si="31"/>
        <v>323.10033901915</v>
      </c>
      <c r="L303" s="10">
        <f t="shared" si="30"/>
        <v>0.35021539064673157</v>
      </c>
      <c r="M303" s="10">
        <f t="shared" ref="M303:M309" si="42">L303+ABS($N$2)*A303</f>
        <v>0.43255989297153025</v>
      </c>
      <c r="P303" s="8">
        <f t="shared" ref="P303:P309" si="43">(M303-$O$2)/$O$2*100</f>
        <v>3.2104862809406205</v>
      </c>
    </row>
    <row r="304" spans="1:16" x14ac:dyDescent="0.2">
      <c r="A304" s="8">
        <v>151</v>
      </c>
      <c r="B304" s="8">
        <v>302</v>
      </c>
      <c r="D304">
        <v>1045.7952830188999</v>
      </c>
      <c r="E304">
        <v>438.41320754716997</v>
      </c>
      <c r="F304">
        <v>146.23047977421999</v>
      </c>
      <c r="G304">
        <v>120.92097836312</v>
      </c>
      <c r="I304" s="9">
        <f t="shared" si="40"/>
        <v>317.49222918404996</v>
      </c>
      <c r="J304" s="9">
        <f t="shared" si="41"/>
        <v>899.56480324467998</v>
      </c>
      <c r="K304" s="9">
        <f t="shared" si="31"/>
        <v>317.49222918404996</v>
      </c>
      <c r="L304" s="10">
        <f t="shared" si="30"/>
        <v>0.3529398082704806</v>
      </c>
      <c r="M304" s="10">
        <f t="shared" si="42"/>
        <v>0.43555788037044474</v>
      </c>
      <c r="N304" s="1"/>
      <c r="P304" s="8">
        <f t="shared" si="43"/>
        <v>3.92581782770162</v>
      </c>
    </row>
    <row r="305" spans="1:16" x14ac:dyDescent="0.2">
      <c r="A305" s="8">
        <v>151.5</v>
      </c>
      <c r="B305" s="8">
        <v>303</v>
      </c>
      <c r="D305">
        <v>1073.3878326996</v>
      </c>
      <c r="E305">
        <v>442.33745247147999</v>
      </c>
      <c r="F305">
        <v>145.70178739417</v>
      </c>
      <c r="G305">
        <v>120.88617121355</v>
      </c>
      <c r="I305" s="9">
        <f t="shared" si="40"/>
        <v>321.45128125792996</v>
      </c>
      <c r="J305" s="9">
        <f t="shared" si="41"/>
        <v>927.68604530543007</v>
      </c>
      <c r="K305" s="9">
        <f t="shared" si="31"/>
        <v>321.45128125792996</v>
      </c>
      <c r="L305" s="10">
        <f t="shared" si="30"/>
        <v>0.34650869535511425</v>
      </c>
      <c r="M305" s="10">
        <f t="shared" si="42"/>
        <v>0.42940033723024379</v>
      </c>
      <c r="P305" s="8">
        <f t="shared" si="43"/>
        <v>2.4566038942733575</v>
      </c>
    </row>
    <row r="306" spans="1:16" x14ac:dyDescent="0.2">
      <c r="A306" s="8">
        <v>152</v>
      </c>
      <c r="B306" s="8">
        <v>304</v>
      </c>
      <c r="D306">
        <v>1076.9714828896999</v>
      </c>
      <c r="E306">
        <v>444.20532319391998</v>
      </c>
      <c r="F306">
        <v>145.81749764816999</v>
      </c>
      <c r="G306">
        <v>120.64534336782999</v>
      </c>
      <c r="I306" s="9">
        <f t="shared" si="40"/>
        <v>323.55997982609</v>
      </c>
      <c r="J306" s="9">
        <f t="shared" si="41"/>
        <v>931.15398524152988</v>
      </c>
      <c r="K306" s="9">
        <f t="shared" si="31"/>
        <v>323.55997982609</v>
      </c>
      <c r="L306" s="10">
        <f t="shared" si="30"/>
        <v>0.34748278475354699</v>
      </c>
      <c r="M306" s="10">
        <f t="shared" si="42"/>
        <v>0.43064799640384199</v>
      </c>
      <c r="P306" s="8">
        <f t="shared" si="43"/>
        <v>2.7543002644461292</v>
      </c>
    </row>
    <row r="307" spans="1:16" x14ac:dyDescent="0.2">
      <c r="A307" s="8">
        <v>152.5</v>
      </c>
      <c r="B307" s="8">
        <v>305</v>
      </c>
      <c r="D307">
        <v>1040.0912547529001</v>
      </c>
      <c r="E307">
        <v>433.23288973384001</v>
      </c>
      <c r="F307">
        <v>145.91909689558</v>
      </c>
      <c r="G307">
        <v>120.72342427093</v>
      </c>
      <c r="I307" s="9">
        <f t="shared" si="40"/>
        <v>312.50946546291004</v>
      </c>
      <c r="J307" s="9">
        <f t="shared" si="41"/>
        <v>894.17215785732014</v>
      </c>
      <c r="K307" s="9">
        <f t="shared" si="31"/>
        <v>312.50946546291004</v>
      </c>
      <c r="L307" s="10">
        <f t="shared" si="30"/>
        <v>0.34949585794727467</v>
      </c>
      <c r="M307" s="10">
        <f t="shared" si="42"/>
        <v>0.43293463937273513</v>
      </c>
      <c r="P307" s="8">
        <f t="shared" si="43"/>
        <v>3.299902241432672</v>
      </c>
    </row>
    <row r="308" spans="1:16" x14ac:dyDescent="0.2">
      <c r="A308" s="8">
        <v>153</v>
      </c>
      <c r="B308" s="8">
        <v>306</v>
      </c>
      <c r="D308">
        <v>1022.1406844107</v>
      </c>
      <c r="E308">
        <v>423.61977186311998</v>
      </c>
      <c r="F308">
        <v>146.32361241768999</v>
      </c>
      <c r="G308">
        <v>120.91157102539999</v>
      </c>
      <c r="I308" s="9">
        <f t="shared" si="40"/>
        <v>302.70820083771997</v>
      </c>
      <c r="J308" s="9">
        <f t="shared" si="41"/>
        <v>875.81707199301002</v>
      </c>
      <c r="K308" s="9">
        <f t="shared" si="31"/>
        <v>302.70820083771997</v>
      </c>
      <c r="L308" s="10">
        <f t="shared" si="30"/>
        <v>0.34562948190639509</v>
      </c>
      <c r="M308" s="10">
        <f t="shared" si="42"/>
        <v>0.42934183310702095</v>
      </c>
      <c r="P308" s="8">
        <f t="shared" si="43"/>
        <v>2.4426445811114541</v>
      </c>
    </row>
    <row r="309" spans="1:16" x14ac:dyDescent="0.2">
      <c r="A309" s="8">
        <v>153.5</v>
      </c>
      <c r="B309" s="8">
        <v>307</v>
      </c>
      <c r="D309">
        <v>1040.1574507966</v>
      </c>
      <c r="E309">
        <v>423.32614807873</v>
      </c>
      <c r="F309">
        <v>146.19285042332999</v>
      </c>
      <c r="G309">
        <v>121.13358419567</v>
      </c>
      <c r="I309" s="9">
        <f t="shared" si="40"/>
        <v>302.19256388306002</v>
      </c>
      <c r="J309" s="9">
        <f t="shared" si="41"/>
        <v>893.96460037326995</v>
      </c>
      <c r="K309" s="9">
        <f t="shared" si="31"/>
        <v>302.19256388306002</v>
      </c>
      <c r="L309" s="10">
        <f t="shared" si="30"/>
        <v>0.33803638729864827</v>
      </c>
      <c r="M309" s="10">
        <f t="shared" si="42"/>
        <v>0.42202230827443959</v>
      </c>
      <c r="P309" s="8">
        <f t="shared" si="43"/>
        <v>0.69617726042098971</v>
      </c>
    </row>
    <row r="310" spans="1:16" x14ac:dyDescent="0.2">
      <c r="A310" s="8">
        <v>154</v>
      </c>
      <c r="B310" s="8">
        <v>308</v>
      </c>
      <c r="D310">
        <v>1031.4199623351999</v>
      </c>
      <c r="E310">
        <v>421.88512241055003</v>
      </c>
      <c r="F310">
        <v>146.16368767639</v>
      </c>
      <c r="G310">
        <v>120.70178739417</v>
      </c>
      <c r="I310" s="9">
        <f>E310-G310</f>
        <v>301.18333501638006</v>
      </c>
      <c r="J310" s="9">
        <f>D310-F310</f>
        <v>885.25627465880984</v>
      </c>
      <c r="K310" s="9">
        <f t="shared" si="31"/>
        <v>301.18333501638006</v>
      </c>
      <c r="L310" s="10">
        <f t="shared" si="30"/>
        <v>0.34022163258030602</v>
      </c>
      <c r="M310" s="10">
        <f>L310+ABS($N$2)*A310</f>
        <v>0.42448112333126281</v>
      </c>
      <c r="O310" s="11"/>
      <c r="P310" s="8">
        <f>(M310-$O$2)/$O$2*100</f>
        <v>1.282860172575135</v>
      </c>
    </row>
    <row r="311" spans="1:16" x14ac:dyDescent="0.2">
      <c r="A311" s="8">
        <v>154.5</v>
      </c>
      <c r="B311" s="8">
        <v>309</v>
      </c>
      <c r="D311">
        <v>1039.2241054614001</v>
      </c>
      <c r="E311">
        <v>420.85781544256002</v>
      </c>
      <c r="F311">
        <v>146.29633113828999</v>
      </c>
      <c r="G311">
        <v>120.67544684854001</v>
      </c>
      <c r="I311" s="9">
        <f t="shared" ref="I311:I319" si="44">E311-G311</f>
        <v>300.18236859402003</v>
      </c>
      <c r="J311" s="9">
        <f t="shared" ref="J311:J319" si="45">D311-F311</f>
        <v>892.92777432311004</v>
      </c>
      <c r="K311" s="9">
        <f t="shared" si="31"/>
        <v>300.18236859402003</v>
      </c>
      <c r="L311" s="10">
        <f t="shared" si="30"/>
        <v>0.33617765873793692</v>
      </c>
      <c r="M311" s="10">
        <f t="shared" ref="M311:M319" si="46">L311+ABS($N$2)*A311</f>
        <v>0.42071071926405912</v>
      </c>
      <c r="P311" s="8">
        <f t="shared" ref="P311:P319" si="47">(M311-$O$2)/$O$2*100</f>
        <v>0.38322698055993881</v>
      </c>
    </row>
    <row r="312" spans="1:16" x14ac:dyDescent="0.2">
      <c r="A312" s="8">
        <v>155</v>
      </c>
      <c r="B312" s="8">
        <v>310</v>
      </c>
      <c r="D312">
        <v>1035.4591549295999</v>
      </c>
      <c r="E312">
        <v>413.57276995305</v>
      </c>
      <c r="F312">
        <v>146.29727187206001</v>
      </c>
      <c r="G312">
        <v>121.09971777987001</v>
      </c>
      <c r="I312" s="9">
        <f t="shared" si="44"/>
        <v>292.47305217318001</v>
      </c>
      <c r="J312" s="9">
        <f t="shared" si="45"/>
        <v>889.16188305753985</v>
      </c>
      <c r="K312" s="9">
        <f t="shared" si="31"/>
        <v>292.47305217318001</v>
      </c>
      <c r="L312" s="10">
        <f t="shared" si="30"/>
        <v>0.32893116286930774</v>
      </c>
      <c r="M312" s="10">
        <f t="shared" si="46"/>
        <v>0.41373779317059539</v>
      </c>
      <c r="N312" s="1"/>
      <c r="P312" s="8">
        <f t="shared" si="47"/>
        <v>-1.2805405221632458</v>
      </c>
    </row>
    <row r="313" spans="1:16" x14ac:dyDescent="0.2">
      <c r="A313" s="8">
        <v>155.5</v>
      </c>
      <c r="B313" s="8">
        <v>311</v>
      </c>
      <c r="D313">
        <v>1016.9172932331001</v>
      </c>
      <c r="E313">
        <v>410.63909774436001</v>
      </c>
      <c r="F313">
        <v>145.81373471308001</v>
      </c>
      <c r="G313">
        <v>120.76763875823001</v>
      </c>
      <c r="I313" s="9">
        <f t="shared" si="44"/>
        <v>289.87145898612999</v>
      </c>
      <c r="J313" s="9">
        <f t="shared" si="45"/>
        <v>871.10355852001999</v>
      </c>
      <c r="K313" s="9">
        <f t="shared" si="31"/>
        <v>289.87145898612999</v>
      </c>
      <c r="L313" s="10">
        <f t="shared" si="30"/>
        <v>0.33276348850946413</v>
      </c>
      <c r="M313" s="10">
        <f t="shared" si="46"/>
        <v>0.41784368858591725</v>
      </c>
      <c r="P313" s="8">
        <f t="shared" si="47"/>
        <v>-0.30085777921891788</v>
      </c>
    </row>
    <row r="314" spans="1:16" x14ac:dyDescent="0.2">
      <c r="A314" s="8">
        <v>156</v>
      </c>
      <c r="B314" s="8">
        <v>312</v>
      </c>
      <c r="D314">
        <v>1003.0874060150001</v>
      </c>
      <c r="E314">
        <v>403.85432330827001</v>
      </c>
      <c r="F314">
        <v>146.77704609596</v>
      </c>
      <c r="G314">
        <v>120.75917215427999</v>
      </c>
      <c r="I314" s="9">
        <f t="shared" si="44"/>
        <v>283.09515115399</v>
      </c>
      <c r="J314" s="9">
        <f t="shared" si="45"/>
        <v>856.31035991904002</v>
      </c>
      <c r="K314" s="9">
        <f t="shared" si="31"/>
        <v>283.09515115399</v>
      </c>
      <c r="L314" s="10">
        <f t="shared" si="30"/>
        <v>0.33059876933026394</v>
      </c>
      <c r="M314" s="10">
        <f t="shared" si="46"/>
        <v>0.41595253918188246</v>
      </c>
      <c r="P314" s="8">
        <f t="shared" si="47"/>
        <v>-0.75209344112802579</v>
      </c>
    </row>
    <row r="315" spans="1:16" x14ac:dyDescent="0.2">
      <c r="A315" s="8">
        <v>156.5</v>
      </c>
      <c r="B315" s="8">
        <v>313</v>
      </c>
      <c r="D315">
        <v>1002.2640977444</v>
      </c>
      <c r="E315">
        <v>399.04041353384002</v>
      </c>
      <c r="F315">
        <v>146.03198494826</v>
      </c>
      <c r="G315">
        <v>120.6124176858</v>
      </c>
      <c r="I315" s="9">
        <f t="shared" si="44"/>
        <v>278.42799584804004</v>
      </c>
      <c r="J315" s="9">
        <f t="shared" si="45"/>
        <v>856.23211279613997</v>
      </c>
      <c r="K315" s="9">
        <f t="shared" si="31"/>
        <v>278.42799584804004</v>
      </c>
      <c r="L315" s="10">
        <f t="shared" si="30"/>
        <v>0.32517817503807039</v>
      </c>
      <c r="M315" s="10">
        <f t="shared" si="46"/>
        <v>0.41080551466485438</v>
      </c>
      <c r="P315" s="8">
        <f t="shared" si="47"/>
        <v>-1.9801936694063702</v>
      </c>
    </row>
    <row r="316" spans="1:16" x14ac:dyDescent="0.2">
      <c r="A316" s="8">
        <v>157</v>
      </c>
      <c r="B316" s="8">
        <v>314</v>
      </c>
      <c r="D316">
        <v>995.87875939850005</v>
      </c>
      <c r="E316">
        <v>397.74060150375999</v>
      </c>
      <c r="F316">
        <v>145.90028222013001</v>
      </c>
      <c r="G316">
        <v>120.32925682032</v>
      </c>
      <c r="I316" s="9">
        <f t="shared" si="44"/>
        <v>277.41134468344001</v>
      </c>
      <c r="J316" s="9">
        <f t="shared" si="45"/>
        <v>849.97847717836999</v>
      </c>
      <c r="K316" s="9">
        <f t="shared" si="31"/>
        <v>277.41134468344001</v>
      </c>
      <c r="L316" s="10">
        <f t="shared" si="30"/>
        <v>0.3263745519820081</v>
      </c>
      <c r="M316" s="10">
        <f t="shared" si="46"/>
        <v>0.41227546138395754</v>
      </c>
      <c r="P316" s="8">
        <f t="shared" si="47"/>
        <v>-1.629458619414816</v>
      </c>
    </row>
    <row r="317" spans="1:16" x14ac:dyDescent="0.2">
      <c r="A317" s="8">
        <v>157.5</v>
      </c>
      <c r="B317" s="8">
        <v>315</v>
      </c>
      <c r="D317">
        <v>1024.9332706767</v>
      </c>
      <c r="E317">
        <v>405.36184210526</v>
      </c>
      <c r="F317">
        <v>146.05550329256999</v>
      </c>
      <c r="G317">
        <v>120.83631232361</v>
      </c>
      <c r="I317" s="9">
        <f t="shared" si="44"/>
        <v>284.52552978164999</v>
      </c>
      <c r="J317" s="9">
        <f t="shared" si="45"/>
        <v>878.87776738413004</v>
      </c>
      <c r="K317" s="9">
        <f t="shared" si="31"/>
        <v>284.52552978164999</v>
      </c>
      <c r="L317" s="10">
        <f t="shared" si="30"/>
        <v>0.32373731631476438</v>
      </c>
      <c r="M317" s="10">
        <f t="shared" si="46"/>
        <v>0.40991179549187928</v>
      </c>
      <c r="P317" s="8">
        <f t="shared" si="47"/>
        <v>-2.193438567835801</v>
      </c>
    </row>
    <row r="318" spans="1:16" x14ac:dyDescent="0.2">
      <c r="A318" s="8">
        <v>158</v>
      </c>
      <c r="B318" s="8">
        <v>316</v>
      </c>
      <c r="D318">
        <v>1023.5404135338</v>
      </c>
      <c r="E318">
        <v>406.41447368421001</v>
      </c>
      <c r="F318">
        <v>146.05550329256999</v>
      </c>
      <c r="G318">
        <v>120.78645343367999</v>
      </c>
      <c r="I318" s="9">
        <f t="shared" si="44"/>
        <v>285.62802025053003</v>
      </c>
      <c r="J318" s="9">
        <f t="shared" si="45"/>
        <v>877.48491024122995</v>
      </c>
      <c r="K318" s="9">
        <f t="shared" si="31"/>
        <v>285.62802025053003</v>
      </c>
      <c r="L318" s="10">
        <f t="shared" si="30"/>
        <v>0.32550761490816732</v>
      </c>
      <c r="M318" s="10">
        <f t="shared" si="46"/>
        <v>0.41195566386044763</v>
      </c>
      <c r="P318" s="8">
        <f t="shared" si="47"/>
        <v>-1.7057635622659808</v>
      </c>
    </row>
    <row r="319" spans="1:16" x14ac:dyDescent="0.2">
      <c r="A319" s="8">
        <v>158.5</v>
      </c>
      <c r="B319" s="8">
        <v>317</v>
      </c>
      <c r="D319">
        <v>1046.9586466164999</v>
      </c>
      <c r="E319">
        <v>410.62875939849999</v>
      </c>
      <c r="F319">
        <v>145.31890874882001</v>
      </c>
      <c r="G319">
        <v>121.06396989652001</v>
      </c>
      <c r="I319" s="9">
        <f t="shared" si="44"/>
        <v>289.56478950197999</v>
      </c>
      <c r="J319" s="9">
        <f t="shared" si="45"/>
        <v>901.63973786767986</v>
      </c>
      <c r="K319" s="9">
        <f t="shared" si="31"/>
        <v>289.56478950197999</v>
      </c>
      <c r="L319" s="10">
        <f t="shared" si="30"/>
        <v>0.32115353543177028</v>
      </c>
      <c r="M319" s="10">
        <f t="shared" si="46"/>
        <v>0.40787515415921605</v>
      </c>
      <c r="P319" s="8">
        <f t="shared" si="47"/>
        <v>-2.6793891743056211</v>
      </c>
    </row>
    <row r="320" spans="1:16" x14ac:dyDescent="0.2">
      <c r="A320" s="8">
        <v>159</v>
      </c>
      <c r="B320" s="8">
        <v>318</v>
      </c>
      <c r="D320">
        <v>1072.694261524</v>
      </c>
      <c r="E320">
        <v>419.24459078080997</v>
      </c>
      <c r="F320">
        <v>145.77422389463999</v>
      </c>
      <c r="G320">
        <v>120.70743179679999</v>
      </c>
      <c r="I320" s="9">
        <f>E320-G320</f>
        <v>298.53715898400998</v>
      </c>
      <c r="J320" s="9">
        <f>D320-F320</f>
        <v>926.92003762935997</v>
      </c>
      <c r="K320" s="9">
        <f t="shared" si="31"/>
        <v>298.53715898400998</v>
      </c>
      <c r="L320" s="10">
        <f t="shared" si="30"/>
        <v>0.32207433960272591</v>
      </c>
      <c r="M320" s="10">
        <f>L320+ABS($N$2)*A320</f>
        <v>0.40906952810533714</v>
      </c>
      <c r="O320" s="11"/>
      <c r="P320" s="8">
        <f>(M320-$O$2)/$O$2*100</f>
        <v>-2.3944068683095407</v>
      </c>
    </row>
    <row r="321" spans="1:16" x14ac:dyDescent="0.2">
      <c r="A321" s="8">
        <v>159.5</v>
      </c>
      <c r="B321" s="8">
        <v>319</v>
      </c>
      <c r="D321">
        <v>1072.1533396049001</v>
      </c>
      <c r="E321">
        <v>414.97742238946</v>
      </c>
      <c r="F321">
        <v>146.61523988710999</v>
      </c>
      <c r="G321">
        <v>120.72906867357</v>
      </c>
      <c r="I321" s="9">
        <f t="shared" ref="I321" si="48">E321-G321</f>
        <v>294.24835371589</v>
      </c>
      <c r="J321" s="9">
        <f t="shared" ref="J321" si="49">D321-F321</f>
        <v>925.53809971779015</v>
      </c>
      <c r="K321" s="9">
        <f t="shared" si="31"/>
        <v>294.24835371589</v>
      </c>
      <c r="L321" s="10">
        <f t="shared" si="30"/>
        <v>0.31792138411763982</v>
      </c>
      <c r="M321" s="10">
        <f t="shared" ref="M321" si="50">L321+ABS($N$2)*A321</f>
        <v>0.40519014239541651</v>
      </c>
      <c r="P321" s="8">
        <f t="shared" ref="P321" si="51">(M321-$O$2)/$O$2*100</f>
        <v>-3.3200435075311834</v>
      </c>
    </row>
    <row r="322" spans="1:16" x14ac:dyDescent="0.2">
      <c r="A322" s="8">
        <v>160</v>
      </c>
      <c r="B322" s="8">
        <v>320</v>
      </c>
      <c r="D322">
        <v>1064.566321731</v>
      </c>
      <c r="E322">
        <v>408.87770460960002</v>
      </c>
      <c r="F322">
        <v>146.53715898401001</v>
      </c>
      <c r="G322">
        <v>120.45155221072</v>
      </c>
      <c r="I322" s="9">
        <f>E322-G322</f>
        <v>288.42615239888005</v>
      </c>
      <c r="J322" s="9">
        <f>D322-F322</f>
        <v>918.02916274698998</v>
      </c>
      <c r="K322" s="9">
        <f t="shared" si="31"/>
        <v>288.42615239888005</v>
      </c>
      <c r="L322" s="10">
        <f t="shared" ref="L322" si="52">K322/J322</f>
        <v>0.31417972772872649</v>
      </c>
      <c r="M322" s="10">
        <f>L322+ABS($N$2)*A322</f>
        <v>0.40172205578166859</v>
      </c>
      <c r="O322" s="11"/>
      <c r="P322" s="8">
        <f>(M322-$O$2)/$O$2*100</f>
        <v>-4.1475425699394091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4703-7F27-5E4F-BB6E-193B5DC63679}">
  <dimension ref="A1:Y798"/>
  <sheetViews>
    <sheetView tabSelected="1" topLeftCell="E299" zoomScale="70" zoomScaleNormal="70" workbookViewId="0">
      <selection activeCell="G330" sqref="G330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I1" s="1" t="s">
        <v>16</v>
      </c>
      <c r="J1" s="1" t="s">
        <v>17</v>
      </c>
      <c r="K1" s="1" t="s">
        <v>3</v>
      </c>
      <c r="L1" s="1" t="s">
        <v>18</v>
      </c>
      <c r="M1" s="3" t="s">
        <v>19</v>
      </c>
      <c r="N1" s="3" t="s">
        <v>4</v>
      </c>
      <c r="O1" s="1" t="s">
        <v>5</v>
      </c>
      <c r="P1" s="1" t="s">
        <v>6</v>
      </c>
    </row>
    <row r="2" spans="1:16" x14ac:dyDescent="0.2">
      <c r="A2" s="8">
        <v>0</v>
      </c>
      <c r="B2" s="4">
        <v>0</v>
      </c>
      <c r="C2" s="4" t="s">
        <v>7</v>
      </c>
      <c r="D2">
        <v>4266.4694444444003</v>
      </c>
      <c r="E2">
        <v>593.85055555556005</v>
      </c>
      <c r="F2">
        <v>139.52745424292999</v>
      </c>
      <c r="G2">
        <v>117.08596783138999</v>
      </c>
      <c r="H2" s="4"/>
      <c r="I2" s="5">
        <f>E2-G2</f>
        <v>476.76458772417004</v>
      </c>
      <c r="J2" s="5">
        <f>D2-F2</f>
        <v>4126.9419902014706</v>
      </c>
      <c r="K2" s="9">
        <f>I2*1</f>
        <v>476.76458772417004</v>
      </c>
      <c r="L2" s="6">
        <f t="shared" ref="L2:L65" si="0">K2/J2</f>
        <v>0.11552490654245788</v>
      </c>
      <c r="M2" s="6">
        <f>L2+ABS($N$2)*A2</f>
        <v>0.11552490654245788</v>
      </c>
      <c r="N2" s="4">
        <f>LINEST(V64:V103,U64:U103)</f>
        <v>9.5379775414030317E-5</v>
      </c>
      <c r="O2" s="7">
        <f>AVERAGE(M62:M81)</f>
        <v>0.12676090041620233</v>
      </c>
      <c r="P2" s="4">
        <f>(M2-$O$2)/$O$2*100</f>
        <v>-8.863927154866035</v>
      </c>
    </row>
    <row r="3" spans="1:16" x14ac:dyDescent="0.2">
      <c r="A3" s="8">
        <v>0.5</v>
      </c>
      <c r="B3" s="8">
        <v>1</v>
      </c>
      <c r="D3">
        <v>4280.0777777778003</v>
      </c>
      <c r="E3">
        <v>595.77111111111003</v>
      </c>
      <c r="F3">
        <v>139.50360510261001</v>
      </c>
      <c r="G3">
        <v>116.89351081530999</v>
      </c>
      <c r="I3" s="9">
        <f t="shared" ref="I3:I66" si="1">E3-G3</f>
        <v>478.87760029580005</v>
      </c>
      <c r="J3" s="9">
        <f t="shared" ref="J3:J66" si="2">D3-F3</f>
        <v>4140.5741726751903</v>
      </c>
      <c r="K3" s="9">
        <f t="shared" ref="K3:K66" si="3">I3*1</f>
        <v>478.87760029580005</v>
      </c>
      <c r="L3" s="10">
        <f t="shared" si="0"/>
        <v>0.11565487788047552</v>
      </c>
      <c r="M3" s="10">
        <f t="shared" ref="M3:M66" si="4">L3+ABS($N$2)*A3</f>
        <v>0.11570256776818252</v>
      </c>
      <c r="P3" s="8">
        <f t="shared" ref="P3:P66" si="5">(M3-$O$2)/$O$2*100</f>
        <v>-8.7237725605539751</v>
      </c>
    </row>
    <row r="4" spans="1:16" ht="16" x14ac:dyDescent="0.2">
      <c r="A4" s="8">
        <v>1</v>
      </c>
      <c r="B4" s="8">
        <v>2</v>
      </c>
      <c r="D4">
        <v>4330.6338888889004</v>
      </c>
      <c r="E4">
        <v>595.52666666667005</v>
      </c>
      <c r="F4">
        <v>139.04714364947</v>
      </c>
      <c r="G4">
        <v>117.10870770936999</v>
      </c>
      <c r="I4" s="9">
        <f t="shared" si="1"/>
        <v>478.41795895730007</v>
      </c>
      <c r="J4" s="9">
        <f t="shared" si="2"/>
        <v>4191.5867452394305</v>
      </c>
      <c r="K4" s="9">
        <f t="shared" si="3"/>
        <v>478.41795895730007</v>
      </c>
      <c r="L4" s="10">
        <f t="shared" si="0"/>
        <v>0.11413767340033232</v>
      </c>
      <c r="M4" s="10">
        <f t="shared" si="4"/>
        <v>0.11423305317574635</v>
      </c>
      <c r="N4" s="1" t="s">
        <v>8</v>
      </c>
      <c r="P4" s="8">
        <f t="shared" si="5"/>
        <v>-9.8830532122464305</v>
      </c>
    </row>
    <row r="5" spans="1:16" x14ac:dyDescent="0.2">
      <c r="A5" s="8">
        <v>1.5</v>
      </c>
      <c r="B5" s="8">
        <v>3</v>
      </c>
      <c r="D5">
        <v>4196.8042269187999</v>
      </c>
      <c r="E5">
        <v>592.66740823137002</v>
      </c>
      <c r="F5">
        <v>139.33111480865</v>
      </c>
      <c r="G5">
        <v>117.23294509151</v>
      </c>
      <c r="I5" s="9">
        <f t="shared" si="1"/>
        <v>475.43446313985999</v>
      </c>
      <c r="J5" s="9">
        <f t="shared" si="2"/>
        <v>4057.4731121101499</v>
      </c>
      <c r="K5" s="9">
        <f t="shared" si="3"/>
        <v>475.43446313985999</v>
      </c>
      <c r="L5" s="10">
        <f t="shared" si="0"/>
        <v>0.11717501262567903</v>
      </c>
      <c r="M5" s="10">
        <f t="shared" si="4"/>
        <v>0.11731808228880007</v>
      </c>
      <c r="N5" s="8">
        <f>RSQ(V64:V83,U64:U83)</f>
        <v>0.33930843039412584</v>
      </c>
      <c r="P5" s="8">
        <f t="shared" si="5"/>
        <v>-7.4493144939788536</v>
      </c>
    </row>
    <row r="6" spans="1:16" x14ac:dyDescent="0.2">
      <c r="A6" s="8">
        <v>2</v>
      </c>
      <c r="B6" s="8">
        <v>4</v>
      </c>
      <c r="D6">
        <v>4238.8492769743998</v>
      </c>
      <c r="E6">
        <v>601.46329254728005</v>
      </c>
      <c r="F6">
        <v>139.42262895175</v>
      </c>
      <c r="G6">
        <v>117.58125346644999</v>
      </c>
      <c r="I6" s="9">
        <f t="shared" si="1"/>
        <v>483.88203908083005</v>
      </c>
      <c r="J6" s="9">
        <f t="shared" si="2"/>
        <v>4099.4266480226497</v>
      </c>
      <c r="K6" s="9">
        <f t="shared" si="3"/>
        <v>483.88203908083005</v>
      </c>
      <c r="L6" s="10">
        <f t="shared" si="0"/>
        <v>0.1180365159879686</v>
      </c>
      <c r="M6" s="10">
        <f t="shared" si="4"/>
        <v>0.11822727553879667</v>
      </c>
      <c r="P6" s="8">
        <f t="shared" si="5"/>
        <v>-6.7320639482574345</v>
      </c>
    </row>
    <row r="7" spans="1:16" x14ac:dyDescent="0.2">
      <c r="A7" s="8">
        <v>2.5</v>
      </c>
      <c r="B7" s="8">
        <v>5</v>
      </c>
      <c r="D7">
        <v>4186.3231368186998</v>
      </c>
      <c r="E7">
        <v>602.56173526140003</v>
      </c>
      <c r="F7">
        <v>139.6361619523</v>
      </c>
      <c r="G7">
        <v>117.43316694398</v>
      </c>
      <c r="I7" s="9">
        <f t="shared" si="1"/>
        <v>485.12856831742005</v>
      </c>
      <c r="J7" s="9">
        <f t="shared" si="2"/>
        <v>4046.6869748663999</v>
      </c>
      <c r="K7" s="9">
        <f t="shared" si="3"/>
        <v>485.12856831742005</v>
      </c>
      <c r="L7" s="10">
        <f t="shared" si="0"/>
        <v>0.11988289959922992</v>
      </c>
      <c r="M7" s="10">
        <f t="shared" si="4"/>
        <v>0.12012134903776499</v>
      </c>
      <c r="P7" s="8">
        <f t="shared" si="5"/>
        <v>-5.2378543830449864</v>
      </c>
    </row>
    <row r="8" spans="1:16" x14ac:dyDescent="0.2">
      <c r="A8" s="8">
        <v>3</v>
      </c>
      <c r="B8" s="8">
        <v>6</v>
      </c>
      <c r="D8">
        <v>4063.4010011124001</v>
      </c>
      <c r="E8">
        <v>604.02892102336</v>
      </c>
      <c r="F8">
        <v>139.60343871326</v>
      </c>
      <c r="G8">
        <v>117.20354963949001</v>
      </c>
      <c r="I8" s="9">
        <f t="shared" si="1"/>
        <v>486.82537138386999</v>
      </c>
      <c r="J8" s="9">
        <f t="shared" si="2"/>
        <v>3923.7975623991401</v>
      </c>
      <c r="K8" s="9">
        <f t="shared" si="3"/>
        <v>486.82537138386999</v>
      </c>
      <c r="L8" s="10">
        <f t="shared" si="0"/>
        <v>0.12406995102117573</v>
      </c>
      <c r="M8" s="10">
        <f t="shared" si="4"/>
        <v>0.12435609034741782</v>
      </c>
      <c r="P8" s="8">
        <f t="shared" si="5"/>
        <v>-1.8971228990080091</v>
      </c>
    </row>
    <row r="9" spans="1:16" x14ac:dyDescent="0.2">
      <c r="A9" s="8">
        <v>3.5</v>
      </c>
      <c r="B9" s="8">
        <v>7</v>
      </c>
      <c r="D9">
        <v>4415.0049668873999</v>
      </c>
      <c r="E9">
        <v>627.39017660043999</v>
      </c>
      <c r="F9">
        <v>139.72601220189</v>
      </c>
      <c r="G9">
        <v>117.1081530782</v>
      </c>
      <c r="I9" s="9">
        <f t="shared" si="1"/>
        <v>510.28202352223997</v>
      </c>
      <c r="J9" s="9">
        <f t="shared" si="2"/>
        <v>4275.2789546855101</v>
      </c>
      <c r="K9" s="9">
        <f t="shared" si="3"/>
        <v>510.28202352223997</v>
      </c>
      <c r="L9" s="10">
        <f t="shared" si="0"/>
        <v>0.11935642771637023</v>
      </c>
      <c r="M9" s="10">
        <f t="shared" si="4"/>
        <v>0.11969025693031933</v>
      </c>
      <c r="P9" s="8">
        <f t="shared" si="5"/>
        <v>-5.5779372524709885</v>
      </c>
    </row>
    <row r="10" spans="1:16" x14ac:dyDescent="0.2">
      <c r="A10" s="8">
        <v>4</v>
      </c>
      <c r="B10" s="8">
        <v>8</v>
      </c>
      <c r="D10">
        <v>4762.9895143488002</v>
      </c>
      <c r="E10">
        <v>667.60430463575995</v>
      </c>
      <c r="F10">
        <v>139.47254575707001</v>
      </c>
      <c r="G10">
        <v>117.23239046034</v>
      </c>
      <c r="I10" s="9">
        <f t="shared" si="1"/>
        <v>550.37191417541999</v>
      </c>
      <c r="J10" s="9">
        <f t="shared" si="2"/>
        <v>4623.5169685917299</v>
      </c>
      <c r="K10" s="9">
        <f t="shared" si="3"/>
        <v>550.37191417541999</v>
      </c>
      <c r="L10" s="10">
        <f t="shared" si="0"/>
        <v>0.11903750281748332</v>
      </c>
      <c r="M10" s="10">
        <f t="shared" si="4"/>
        <v>0.11941902191913945</v>
      </c>
      <c r="P10" s="8">
        <f t="shared" si="5"/>
        <v>-5.7919109701468026</v>
      </c>
    </row>
    <row r="11" spans="1:16" x14ac:dyDescent="0.2">
      <c r="A11" s="8">
        <v>4.5</v>
      </c>
      <c r="B11" s="8">
        <v>9</v>
      </c>
      <c r="D11">
        <v>4747.6996681416003</v>
      </c>
      <c r="E11">
        <v>673.61172566371999</v>
      </c>
      <c r="F11">
        <v>139.3899057127</v>
      </c>
      <c r="G11">
        <v>117.18746533555</v>
      </c>
      <c r="I11" s="9">
        <f t="shared" si="1"/>
        <v>556.42426032817002</v>
      </c>
      <c r="J11" s="9">
        <f t="shared" si="2"/>
        <v>4608.3097624289003</v>
      </c>
      <c r="K11" s="9">
        <f t="shared" si="3"/>
        <v>556.42426032817002</v>
      </c>
      <c r="L11" s="10">
        <f t="shared" si="0"/>
        <v>0.12074367588408286</v>
      </c>
      <c r="M11" s="10">
        <f t="shared" si="4"/>
        <v>0.12117288487344599</v>
      </c>
      <c r="P11" s="8">
        <f t="shared" si="5"/>
        <v>-4.4083116516282592</v>
      </c>
    </row>
    <row r="12" spans="1:16" x14ac:dyDescent="0.2">
      <c r="A12" s="8">
        <v>5</v>
      </c>
      <c r="B12" s="8">
        <v>10</v>
      </c>
      <c r="D12">
        <v>4978.0481194690001</v>
      </c>
      <c r="E12">
        <v>698.70022123894</v>
      </c>
      <c r="F12">
        <v>139.29284525790001</v>
      </c>
      <c r="G12">
        <v>117.42096505824</v>
      </c>
      <c r="I12" s="9">
        <f t="shared" si="1"/>
        <v>581.27925618070003</v>
      </c>
      <c r="J12" s="9">
        <f t="shared" si="2"/>
        <v>4838.7552742111002</v>
      </c>
      <c r="K12" s="9">
        <f t="shared" si="3"/>
        <v>581.27925618070003</v>
      </c>
      <c r="L12" s="10">
        <f t="shared" si="0"/>
        <v>0.12012991425268361</v>
      </c>
      <c r="M12" s="10">
        <f t="shared" si="4"/>
        <v>0.12060681312975377</v>
      </c>
      <c r="P12" s="8">
        <f t="shared" si="5"/>
        <v>-4.8548781731925583</v>
      </c>
    </row>
    <row r="13" spans="1:16" x14ac:dyDescent="0.2">
      <c r="A13" s="8">
        <v>5.5</v>
      </c>
      <c r="B13" s="8">
        <v>11</v>
      </c>
      <c r="D13">
        <v>4936.1559734513003</v>
      </c>
      <c r="E13">
        <v>692.60342920354003</v>
      </c>
      <c r="F13">
        <v>139.61231281197999</v>
      </c>
      <c r="G13">
        <v>117.29118136439</v>
      </c>
      <c r="I13" s="9">
        <f t="shared" si="1"/>
        <v>575.31224783915002</v>
      </c>
      <c r="J13" s="9">
        <f t="shared" si="2"/>
        <v>4796.5436606393205</v>
      </c>
      <c r="K13" s="9">
        <f t="shared" si="3"/>
        <v>575.31224783915002</v>
      </c>
      <c r="L13" s="10">
        <f t="shared" si="0"/>
        <v>0.11994308580159321</v>
      </c>
      <c r="M13" s="10">
        <f t="shared" si="4"/>
        <v>0.12046767456637038</v>
      </c>
      <c r="P13" s="8">
        <f t="shared" si="5"/>
        <v>-4.9646427480153541</v>
      </c>
    </row>
    <row r="14" spans="1:16" x14ac:dyDescent="0.2">
      <c r="A14" s="8">
        <v>6</v>
      </c>
      <c r="B14" s="8">
        <v>12</v>
      </c>
      <c r="D14">
        <v>4879.9601769911997</v>
      </c>
      <c r="E14">
        <v>686.08738938053</v>
      </c>
      <c r="F14">
        <v>139.29506378259001</v>
      </c>
      <c r="G14">
        <v>117.26788685523999</v>
      </c>
      <c r="I14" s="9">
        <f t="shared" si="1"/>
        <v>568.81950252528998</v>
      </c>
      <c r="J14" s="9">
        <f t="shared" si="2"/>
        <v>4740.6651132086099</v>
      </c>
      <c r="K14" s="9">
        <f t="shared" si="3"/>
        <v>568.81950252528998</v>
      </c>
      <c r="L14" s="10">
        <f t="shared" si="0"/>
        <v>0.11998727793288431</v>
      </c>
      <c r="M14" s="10">
        <f t="shared" si="4"/>
        <v>0.1205595565853685</v>
      </c>
      <c r="P14" s="8">
        <f t="shared" si="5"/>
        <v>-4.8921582368636969</v>
      </c>
    </row>
    <row r="15" spans="1:16" x14ac:dyDescent="0.2">
      <c r="A15" s="8">
        <v>6.5</v>
      </c>
      <c r="B15" s="8">
        <v>13</v>
      </c>
      <c r="D15">
        <v>4791.6823725055001</v>
      </c>
      <c r="E15">
        <v>676.78270509977995</v>
      </c>
      <c r="F15">
        <v>139.34941763726999</v>
      </c>
      <c r="G15">
        <v>117.13921242374001</v>
      </c>
      <c r="I15" s="9">
        <f t="shared" si="1"/>
        <v>559.64349267603995</v>
      </c>
      <c r="J15" s="9">
        <f t="shared" si="2"/>
        <v>4652.3329548682304</v>
      </c>
      <c r="K15" s="9">
        <f t="shared" si="3"/>
        <v>559.64349267603995</v>
      </c>
      <c r="L15" s="10">
        <f t="shared" si="0"/>
        <v>0.12029308695338013</v>
      </c>
      <c r="M15" s="10">
        <f t="shared" si="4"/>
        <v>0.12091305549357133</v>
      </c>
      <c r="P15" s="8">
        <f t="shared" si="5"/>
        <v>-4.6132876174201938</v>
      </c>
    </row>
    <row r="16" spans="1:16" x14ac:dyDescent="0.2">
      <c r="A16" s="8">
        <v>7</v>
      </c>
      <c r="B16" s="8">
        <v>14</v>
      </c>
      <c r="D16">
        <v>4688.2888026607998</v>
      </c>
      <c r="E16">
        <v>670.23835920176998</v>
      </c>
      <c r="F16">
        <v>139.87742651137</v>
      </c>
      <c r="G16">
        <v>117.14198557959</v>
      </c>
      <c r="I16" s="9">
        <f t="shared" si="1"/>
        <v>553.09637362217995</v>
      </c>
      <c r="J16" s="9">
        <f t="shared" si="2"/>
        <v>4548.41137614943</v>
      </c>
      <c r="K16" s="9">
        <f t="shared" si="3"/>
        <v>553.09637362217995</v>
      </c>
      <c r="L16" s="10">
        <f t="shared" si="0"/>
        <v>0.12160209969627184</v>
      </c>
      <c r="M16" s="10">
        <f t="shared" si="4"/>
        <v>0.12226975812417006</v>
      </c>
      <c r="P16" s="8">
        <f t="shared" si="5"/>
        <v>-3.5430028323293823</v>
      </c>
    </row>
    <row r="17" spans="1:16" x14ac:dyDescent="0.2">
      <c r="A17" s="8">
        <v>7.5</v>
      </c>
      <c r="B17" s="8">
        <v>15</v>
      </c>
      <c r="D17">
        <v>4637.8320399112999</v>
      </c>
      <c r="E17">
        <v>666.17572062084002</v>
      </c>
      <c r="F17">
        <v>139.47809206877</v>
      </c>
      <c r="G17">
        <v>117.38713255685001</v>
      </c>
      <c r="I17" s="9">
        <f t="shared" si="1"/>
        <v>548.78858806399001</v>
      </c>
      <c r="J17" s="9">
        <f t="shared" si="2"/>
        <v>4498.35394784253</v>
      </c>
      <c r="K17" s="9">
        <f t="shared" si="3"/>
        <v>548.78858806399001</v>
      </c>
      <c r="L17" s="10">
        <f t="shared" si="0"/>
        <v>0.12199764501128157</v>
      </c>
      <c r="M17" s="10">
        <f t="shared" si="4"/>
        <v>0.1227129933268868</v>
      </c>
      <c r="P17" s="8">
        <f t="shared" si="5"/>
        <v>-3.1933404354377202</v>
      </c>
    </row>
    <row r="18" spans="1:16" x14ac:dyDescent="0.2">
      <c r="A18" s="8">
        <v>8</v>
      </c>
      <c r="B18" s="8">
        <v>16</v>
      </c>
      <c r="D18">
        <v>4822.5593126386002</v>
      </c>
      <c r="E18">
        <v>685.51441241684995</v>
      </c>
      <c r="F18">
        <v>139.22407099278999</v>
      </c>
      <c r="G18">
        <v>116.98557958956999</v>
      </c>
      <c r="I18" s="9">
        <f t="shared" si="1"/>
        <v>568.52883282727998</v>
      </c>
      <c r="J18" s="9">
        <f t="shared" si="2"/>
        <v>4683.3352416458101</v>
      </c>
      <c r="K18" s="9">
        <f t="shared" si="3"/>
        <v>568.52883282727998</v>
      </c>
      <c r="L18" s="10">
        <f t="shared" si="0"/>
        <v>0.12139400736717035</v>
      </c>
      <c r="M18" s="10">
        <f t="shared" si="4"/>
        <v>0.12215704557048258</v>
      </c>
      <c r="P18" s="8">
        <f t="shared" si="5"/>
        <v>-3.631920277154558</v>
      </c>
    </row>
    <row r="19" spans="1:16" x14ac:dyDescent="0.2">
      <c r="A19" s="8">
        <v>8.5</v>
      </c>
      <c r="B19" s="8">
        <v>17</v>
      </c>
      <c r="D19">
        <v>4896.4607734806996</v>
      </c>
      <c r="E19">
        <v>694.28729281768005</v>
      </c>
      <c r="F19">
        <v>139.59844703272</v>
      </c>
      <c r="G19">
        <v>117.17082640044001</v>
      </c>
      <c r="I19" s="9">
        <f t="shared" si="1"/>
        <v>577.11646641724008</v>
      </c>
      <c r="J19" s="9">
        <f t="shared" si="2"/>
        <v>4756.8623264479793</v>
      </c>
      <c r="K19" s="9">
        <f t="shared" si="3"/>
        <v>577.11646641724008</v>
      </c>
      <c r="L19" s="10">
        <f t="shared" si="0"/>
        <v>0.1213229281849285</v>
      </c>
      <c r="M19" s="10">
        <f t="shared" si="4"/>
        <v>0.12213365627594776</v>
      </c>
      <c r="P19" s="8">
        <f t="shared" si="5"/>
        <v>-3.6503717826724498</v>
      </c>
    </row>
    <row r="20" spans="1:16" x14ac:dyDescent="0.2">
      <c r="A20" s="8">
        <v>9</v>
      </c>
      <c r="B20" s="8">
        <v>18</v>
      </c>
      <c r="D20">
        <v>4920.8370165746001</v>
      </c>
      <c r="E20">
        <v>695.52209944750996</v>
      </c>
      <c r="F20">
        <v>139.26844148641001</v>
      </c>
      <c r="G20">
        <v>117.18080976151001</v>
      </c>
      <c r="I20" s="9">
        <f t="shared" si="1"/>
        <v>578.34128968599998</v>
      </c>
      <c r="J20" s="9">
        <f t="shared" si="2"/>
        <v>4781.5685750881903</v>
      </c>
      <c r="K20" s="9">
        <f t="shared" si="3"/>
        <v>578.34128968599998</v>
      </c>
      <c r="L20" s="10">
        <f t="shared" si="0"/>
        <v>0.12095221068231427</v>
      </c>
      <c r="M20" s="10">
        <f t="shared" si="4"/>
        <v>0.12181062866104053</v>
      </c>
      <c r="P20" s="8">
        <f t="shared" si="5"/>
        <v>-3.9052040013192157</v>
      </c>
    </row>
    <row r="21" spans="1:16" x14ac:dyDescent="0.2">
      <c r="A21" s="8">
        <v>9.5</v>
      </c>
      <c r="B21" s="8">
        <v>19</v>
      </c>
      <c r="D21">
        <v>4964.7740331491996</v>
      </c>
      <c r="E21">
        <v>699.58618784529995</v>
      </c>
      <c r="F21">
        <v>139.61508596783</v>
      </c>
      <c r="G21">
        <v>117.36605657238</v>
      </c>
      <c r="I21" s="9">
        <f t="shared" si="1"/>
        <v>582.22013127291996</v>
      </c>
      <c r="J21" s="9">
        <f t="shared" si="2"/>
        <v>4825.1589471813695</v>
      </c>
      <c r="K21" s="9">
        <f t="shared" si="3"/>
        <v>582.22013127291996</v>
      </c>
      <c r="L21" s="10">
        <f t="shared" si="0"/>
        <v>0.12066340977493094</v>
      </c>
      <c r="M21" s="10">
        <f t="shared" si="4"/>
        <v>0.12156951764136423</v>
      </c>
      <c r="P21" s="8">
        <f t="shared" si="5"/>
        <v>-4.0954132999946342</v>
      </c>
    </row>
    <row r="22" spans="1:16" x14ac:dyDescent="0.2">
      <c r="A22" s="8">
        <v>10</v>
      </c>
      <c r="B22" s="8">
        <v>20</v>
      </c>
      <c r="D22">
        <v>4990.7972375690997</v>
      </c>
      <c r="E22">
        <v>701.56132596684995</v>
      </c>
      <c r="F22">
        <v>138.90848585691</v>
      </c>
      <c r="G22">
        <v>116.94120909595</v>
      </c>
      <c r="I22" s="9">
        <f t="shared" si="1"/>
        <v>584.62011687089989</v>
      </c>
      <c r="J22" s="9">
        <f t="shared" si="2"/>
        <v>4851.8887517121893</v>
      </c>
      <c r="K22" s="9">
        <f t="shared" si="3"/>
        <v>584.62011687089989</v>
      </c>
      <c r="L22" s="10">
        <f t="shared" si="0"/>
        <v>0.12049330617166203</v>
      </c>
      <c r="M22" s="10">
        <f t="shared" si="4"/>
        <v>0.12144710392580232</v>
      </c>
      <c r="P22" s="8">
        <f t="shared" si="5"/>
        <v>-4.1919838632834523</v>
      </c>
    </row>
    <row r="23" spans="1:16" x14ac:dyDescent="0.2">
      <c r="A23" s="8">
        <v>10.5</v>
      </c>
      <c r="B23" s="8">
        <v>21</v>
      </c>
      <c r="D23">
        <v>4978.9121546960996</v>
      </c>
      <c r="E23">
        <v>702.27016574586003</v>
      </c>
      <c r="F23">
        <v>139.17304492513</v>
      </c>
      <c r="G23">
        <v>117.0504714365</v>
      </c>
      <c r="I23" s="9">
        <f t="shared" si="1"/>
        <v>585.21969430935997</v>
      </c>
      <c r="J23" s="9">
        <f t="shared" si="2"/>
        <v>4839.7391097709697</v>
      </c>
      <c r="K23" s="9">
        <f t="shared" si="3"/>
        <v>585.21969430935997</v>
      </c>
      <c r="L23" s="10">
        <f t="shared" si="0"/>
        <v>0.12091967790740155</v>
      </c>
      <c r="M23" s="10">
        <f t="shared" si="4"/>
        <v>0.12192116554924887</v>
      </c>
      <c r="P23" s="8">
        <f t="shared" si="5"/>
        <v>-3.8180029102529636</v>
      </c>
    </row>
    <row r="24" spans="1:16" x14ac:dyDescent="0.2">
      <c r="A24" s="8">
        <v>11</v>
      </c>
      <c r="B24" s="8">
        <v>22</v>
      </c>
      <c r="D24">
        <v>4882.8763858092998</v>
      </c>
      <c r="E24">
        <v>695.52161862527998</v>
      </c>
      <c r="F24">
        <v>138.96616749860999</v>
      </c>
      <c r="G24">
        <v>116.90571270105001</v>
      </c>
      <c r="I24" s="9">
        <f t="shared" si="1"/>
        <v>578.61590592422999</v>
      </c>
      <c r="J24" s="9">
        <f t="shared" si="2"/>
        <v>4743.9102183106897</v>
      </c>
      <c r="K24" s="9">
        <f t="shared" si="3"/>
        <v>578.61590592422999</v>
      </c>
      <c r="L24" s="10">
        <f t="shared" si="0"/>
        <v>0.12197024802258497</v>
      </c>
      <c r="M24" s="10">
        <f t="shared" si="4"/>
        <v>0.12301942555213929</v>
      </c>
      <c r="P24" s="8">
        <f t="shared" si="5"/>
        <v>-2.9516001004871448</v>
      </c>
    </row>
    <row r="25" spans="1:16" x14ac:dyDescent="0.2">
      <c r="A25" s="8">
        <v>11.5</v>
      </c>
      <c r="B25" s="8">
        <v>23</v>
      </c>
      <c r="D25">
        <v>4720.2993348114996</v>
      </c>
      <c r="E25">
        <v>679.95399113081999</v>
      </c>
      <c r="F25">
        <v>139.24459234609</v>
      </c>
      <c r="G25">
        <v>117.16084303938</v>
      </c>
      <c r="I25" s="9">
        <f t="shared" si="1"/>
        <v>562.79314809144</v>
      </c>
      <c r="J25" s="9">
        <f t="shared" si="2"/>
        <v>4581.0547424654096</v>
      </c>
      <c r="K25" s="9">
        <f t="shared" si="3"/>
        <v>562.79314809144</v>
      </c>
      <c r="L25" s="10">
        <f t="shared" si="0"/>
        <v>0.12285230797931018</v>
      </c>
      <c r="M25" s="10">
        <f t="shared" si="4"/>
        <v>0.12394917539657153</v>
      </c>
      <c r="P25" s="8">
        <f t="shared" si="5"/>
        <v>-2.2181327289399788</v>
      </c>
    </row>
    <row r="26" spans="1:16" x14ac:dyDescent="0.2">
      <c r="A26" s="8">
        <v>12</v>
      </c>
      <c r="B26" s="8">
        <v>24</v>
      </c>
      <c r="D26">
        <v>4902.7111111110999</v>
      </c>
      <c r="E26">
        <v>697.31333333332998</v>
      </c>
      <c r="F26">
        <v>139.30671103716</v>
      </c>
      <c r="G26">
        <v>116.87742651137</v>
      </c>
      <c r="I26" s="9">
        <f t="shared" si="1"/>
        <v>580.43590682195997</v>
      </c>
      <c r="J26" s="9">
        <f t="shared" si="2"/>
        <v>4763.4044000739395</v>
      </c>
      <c r="K26" s="9">
        <f t="shared" si="3"/>
        <v>580.43590682195997</v>
      </c>
      <c r="L26" s="10">
        <f t="shared" si="0"/>
        <v>0.1218531659442877</v>
      </c>
      <c r="M26" s="10">
        <f t="shared" si="4"/>
        <v>0.12299772324925606</v>
      </c>
      <c r="P26" s="8">
        <f t="shared" si="5"/>
        <v>-2.9687207605739498</v>
      </c>
    </row>
    <row r="27" spans="1:16" x14ac:dyDescent="0.2">
      <c r="A27" s="8">
        <v>12.5</v>
      </c>
      <c r="B27" s="8">
        <v>25</v>
      </c>
      <c r="D27">
        <v>4905.5038888889003</v>
      </c>
      <c r="E27">
        <v>700.13944444443996</v>
      </c>
      <c r="F27">
        <v>139.48363838047999</v>
      </c>
      <c r="G27">
        <v>117.30338325014</v>
      </c>
      <c r="I27" s="9">
        <f t="shared" si="1"/>
        <v>582.83606119429999</v>
      </c>
      <c r="J27" s="9">
        <f t="shared" si="2"/>
        <v>4766.0202505084198</v>
      </c>
      <c r="K27" s="9">
        <f t="shared" si="3"/>
        <v>582.83606119429999</v>
      </c>
      <c r="L27" s="10">
        <f t="shared" si="0"/>
        <v>0.12228988350020657</v>
      </c>
      <c r="M27" s="10">
        <f t="shared" si="4"/>
        <v>0.12348213069288196</v>
      </c>
      <c r="P27" s="8">
        <f t="shared" si="5"/>
        <v>-2.5865781266581243</v>
      </c>
    </row>
    <row r="28" spans="1:16" x14ac:dyDescent="0.2">
      <c r="A28" s="8">
        <v>13</v>
      </c>
      <c r="B28" s="8">
        <v>26</v>
      </c>
      <c r="D28">
        <v>4923.7383333333</v>
      </c>
      <c r="E28">
        <v>698.42666666667003</v>
      </c>
      <c r="F28">
        <v>139.49084858569</v>
      </c>
      <c r="G28">
        <v>117.06045479756</v>
      </c>
      <c r="I28" s="9">
        <f t="shared" si="1"/>
        <v>581.36621186910997</v>
      </c>
      <c r="J28" s="9">
        <f t="shared" si="2"/>
        <v>4784.2474847476096</v>
      </c>
      <c r="K28" s="9">
        <f t="shared" si="3"/>
        <v>581.36621186910997</v>
      </c>
      <c r="L28" s="10">
        <f t="shared" si="0"/>
        <v>0.12151675132244535</v>
      </c>
      <c r="M28" s="10">
        <f t="shared" si="4"/>
        <v>0.12275668840282775</v>
      </c>
      <c r="P28" s="8">
        <f t="shared" si="5"/>
        <v>-3.1588699671801757</v>
      </c>
    </row>
    <row r="29" spans="1:16" x14ac:dyDescent="0.2">
      <c r="A29" s="8">
        <v>13.5</v>
      </c>
      <c r="B29" s="8">
        <v>27</v>
      </c>
      <c r="D29">
        <v>4930.6149999999998</v>
      </c>
      <c r="E29">
        <v>702.01944444443996</v>
      </c>
      <c r="F29">
        <v>139.25790349418</v>
      </c>
      <c r="G29">
        <v>116.94120909595</v>
      </c>
      <c r="I29" s="9">
        <f t="shared" si="1"/>
        <v>585.0782353484899</v>
      </c>
      <c r="J29" s="9">
        <f t="shared" si="2"/>
        <v>4791.3570965058198</v>
      </c>
      <c r="K29" s="9">
        <f t="shared" si="3"/>
        <v>585.0782353484899</v>
      </c>
      <c r="L29" s="10">
        <f t="shared" si="0"/>
        <v>0.12211117300673922</v>
      </c>
      <c r="M29" s="10">
        <f t="shared" si="4"/>
        <v>0.12339879997482864</v>
      </c>
      <c r="P29" s="8">
        <f t="shared" si="5"/>
        <v>-2.652316629445429</v>
      </c>
    </row>
    <row r="30" spans="1:16" x14ac:dyDescent="0.2">
      <c r="A30" s="8">
        <v>14</v>
      </c>
      <c r="B30" s="8">
        <v>28</v>
      </c>
      <c r="D30">
        <v>4941.13</v>
      </c>
      <c r="E30">
        <v>700.76444444443996</v>
      </c>
      <c r="F30">
        <v>139.15252357182999</v>
      </c>
      <c r="G30">
        <v>116.86966167499</v>
      </c>
      <c r="I30" s="9">
        <f t="shared" si="1"/>
        <v>583.89478276944999</v>
      </c>
      <c r="J30" s="9">
        <f t="shared" si="2"/>
        <v>4801.9774764281701</v>
      </c>
      <c r="K30" s="9">
        <f t="shared" si="3"/>
        <v>583.89478276944999</v>
      </c>
      <c r="L30" s="10">
        <f t="shared" si="0"/>
        <v>0.12159465254380272</v>
      </c>
      <c r="M30" s="10">
        <f t="shared" si="4"/>
        <v>0.12292996939959915</v>
      </c>
      <c r="P30" s="8">
        <f t="shared" si="5"/>
        <v>-3.0221708776324885</v>
      </c>
    </row>
    <row r="31" spans="1:16" x14ac:dyDescent="0.2">
      <c r="A31" s="8">
        <v>14.5</v>
      </c>
      <c r="B31" s="8">
        <v>29</v>
      </c>
      <c r="D31">
        <v>4946.4549999999999</v>
      </c>
      <c r="E31">
        <v>701.41444444444005</v>
      </c>
      <c r="F31">
        <v>139.10371602884001</v>
      </c>
      <c r="G31">
        <v>117.01663893511</v>
      </c>
      <c r="I31" s="9">
        <f t="shared" si="1"/>
        <v>584.39780550933006</v>
      </c>
      <c r="J31" s="9">
        <f t="shared" si="2"/>
        <v>4807.3512839711602</v>
      </c>
      <c r="K31" s="9">
        <f t="shared" si="3"/>
        <v>584.39780550933006</v>
      </c>
      <c r="L31" s="10">
        <f t="shared" si="0"/>
        <v>0.12156336639218561</v>
      </c>
      <c r="M31" s="10">
        <f t="shared" si="4"/>
        <v>0.12294637313568905</v>
      </c>
      <c r="P31" s="8">
        <f t="shared" si="5"/>
        <v>-3.0092301869021054</v>
      </c>
    </row>
    <row r="32" spans="1:16" x14ac:dyDescent="0.2">
      <c r="A32" s="8">
        <v>15</v>
      </c>
      <c r="B32" s="8">
        <v>30</v>
      </c>
      <c r="D32">
        <v>4996.9966722130002</v>
      </c>
      <c r="E32">
        <v>705.3377703827</v>
      </c>
      <c r="F32">
        <v>139.49639489738999</v>
      </c>
      <c r="G32">
        <v>117.22628951746999</v>
      </c>
      <c r="I32" s="9">
        <f t="shared" si="1"/>
        <v>588.11148086522996</v>
      </c>
      <c r="J32" s="9">
        <f t="shared" si="2"/>
        <v>4857.5002773156102</v>
      </c>
      <c r="K32" s="9">
        <f t="shared" si="3"/>
        <v>588.11148086522996</v>
      </c>
      <c r="L32" s="10">
        <f t="shared" si="0"/>
        <v>0.12107286614304358</v>
      </c>
      <c r="M32" s="10">
        <f t="shared" si="4"/>
        <v>0.12250356277425403</v>
      </c>
      <c r="P32" s="8">
        <f t="shared" si="5"/>
        <v>-3.3585574321181895</v>
      </c>
    </row>
    <row r="33" spans="1:16" x14ac:dyDescent="0.2">
      <c r="A33" s="8">
        <v>15.5</v>
      </c>
      <c r="B33" s="8">
        <v>31</v>
      </c>
      <c r="D33">
        <v>5014.3854686633003</v>
      </c>
      <c r="E33">
        <v>705.63782584580997</v>
      </c>
      <c r="F33">
        <v>139.41153632833999</v>
      </c>
      <c r="G33">
        <v>117.17249029396</v>
      </c>
      <c r="I33" s="9">
        <f t="shared" si="1"/>
        <v>588.46533555184999</v>
      </c>
      <c r="J33" s="9">
        <f t="shared" si="2"/>
        <v>4874.9739323349604</v>
      </c>
      <c r="K33" s="9">
        <f t="shared" si="3"/>
        <v>588.46533555184999</v>
      </c>
      <c r="L33" s="10">
        <f t="shared" si="0"/>
        <v>0.12071148353197315</v>
      </c>
      <c r="M33" s="10">
        <f t="shared" si="4"/>
        <v>0.12218987005089063</v>
      </c>
      <c r="P33" s="8">
        <f t="shared" si="5"/>
        <v>-3.6060254781271976</v>
      </c>
    </row>
    <row r="34" spans="1:16" x14ac:dyDescent="0.2">
      <c r="A34" s="8">
        <v>16</v>
      </c>
      <c r="B34" s="8">
        <v>32</v>
      </c>
      <c r="D34">
        <v>5051.1142540211004</v>
      </c>
      <c r="E34">
        <v>709.04104270660002</v>
      </c>
      <c r="F34">
        <v>139.11980033277999</v>
      </c>
      <c r="G34">
        <v>117.10926234054</v>
      </c>
      <c r="I34" s="9">
        <f t="shared" si="1"/>
        <v>591.93178036606002</v>
      </c>
      <c r="J34" s="9">
        <f t="shared" si="2"/>
        <v>4911.9944536883204</v>
      </c>
      <c r="K34" s="9">
        <f t="shared" si="3"/>
        <v>591.93178036606002</v>
      </c>
      <c r="L34" s="10">
        <f t="shared" si="0"/>
        <v>0.12050742034563781</v>
      </c>
      <c r="M34" s="10">
        <f t="shared" si="4"/>
        <v>0.1220334967522623</v>
      </c>
      <c r="P34" s="8">
        <f t="shared" si="5"/>
        <v>-3.7293863079374163</v>
      </c>
    </row>
    <row r="35" spans="1:16" x14ac:dyDescent="0.2">
      <c r="A35" s="8">
        <v>16.5</v>
      </c>
      <c r="B35" s="8">
        <v>33</v>
      </c>
      <c r="D35">
        <v>5040.7565169162999</v>
      </c>
      <c r="E35">
        <v>707.95729339988998</v>
      </c>
      <c r="F35">
        <v>138.91569606211999</v>
      </c>
      <c r="G35">
        <v>116.96672212978</v>
      </c>
      <c r="I35" s="9">
        <f t="shared" si="1"/>
        <v>590.99057127010997</v>
      </c>
      <c r="J35" s="9">
        <f t="shared" si="2"/>
        <v>4901.8408208541796</v>
      </c>
      <c r="K35" s="9">
        <f t="shared" si="3"/>
        <v>590.99057127010997</v>
      </c>
      <c r="L35" s="10">
        <f t="shared" si="0"/>
        <v>0.12056502707224299</v>
      </c>
      <c r="M35" s="10">
        <f t="shared" si="4"/>
        <v>0.12213879336657449</v>
      </c>
      <c r="P35" s="8">
        <f t="shared" si="5"/>
        <v>-3.6463191997309727</v>
      </c>
    </row>
    <row r="36" spans="1:16" x14ac:dyDescent="0.2">
      <c r="A36" s="8">
        <v>17</v>
      </c>
      <c r="B36" s="8">
        <v>34</v>
      </c>
      <c r="D36">
        <v>5005.0748752079999</v>
      </c>
      <c r="E36">
        <v>704.74708818635997</v>
      </c>
      <c r="F36">
        <v>139.07487520799</v>
      </c>
      <c r="G36">
        <v>116.97781475319</v>
      </c>
      <c r="I36" s="9">
        <f t="shared" si="1"/>
        <v>587.76927343316993</v>
      </c>
      <c r="J36" s="9">
        <f t="shared" si="2"/>
        <v>4866.00000000001</v>
      </c>
      <c r="K36" s="9">
        <f t="shared" si="3"/>
        <v>587.76927343316993</v>
      </c>
      <c r="L36" s="10">
        <f t="shared" si="0"/>
        <v>0.12079105495954967</v>
      </c>
      <c r="M36" s="10">
        <f t="shared" si="4"/>
        <v>0.12241251114158819</v>
      </c>
      <c r="P36" s="8">
        <f t="shared" si="5"/>
        <v>-3.4303868624605811</v>
      </c>
    </row>
    <row r="37" spans="1:16" x14ac:dyDescent="0.2">
      <c r="A37" s="8">
        <v>17.5</v>
      </c>
      <c r="B37" s="8">
        <v>35</v>
      </c>
      <c r="D37">
        <v>4930.1070438159004</v>
      </c>
      <c r="E37">
        <v>697.91125901275996</v>
      </c>
      <c r="F37">
        <v>139.36217415419</v>
      </c>
      <c r="G37">
        <v>117.22739877981</v>
      </c>
      <c r="I37" s="9">
        <f t="shared" si="1"/>
        <v>580.68386023295</v>
      </c>
      <c r="J37" s="9">
        <f t="shared" si="2"/>
        <v>4790.7448696617103</v>
      </c>
      <c r="K37" s="9">
        <f t="shared" si="3"/>
        <v>580.68386023295</v>
      </c>
      <c r="L37" s="10">
        <f t="shared" si="0"/>
        <v>0.12120951460183976</v>
      </c>
      <c r="M37" s="10">
        <f t="shared" si="4"/>
        <v>0.12287866067158529</v>
      </c>
      <c r="P37" s="8">
        <f t="shared" si="5"/>
        <v>-3.06264765544441</v>
      </c>
    </row>
    <row r="38" spans="1:16" x14ac:dyDescent="0.2">
      <c r="A38" s="8">
        <v>18</v>
      </c>
      <c r="B38" s="8">
        <v>36</v>
      </c>
      <c r="D38">
        <v>4845.1397670549004</v>
      </c>
      <c r="E38">
        <v>689.62007764836005</v>
      </c>
      <c r="F38">
        <v>139.12090959512</v>
      </c>
      <c r="G38">
        <v>117.08596783138999</v>
      </c>
      <c r="I38" s="9">
        <f t="shared" si="1"/>
        <v>572.53410981697004</v>
      </c>
      <c r="J38" s="9">
        <f t="shared" si="2"/>
        <v>4706.0188574597805</v>
      </c>
      <c r="K38" s="9">
        <f t="shared" si="3"/>
        <v>572.53410981697004</v>
      </c>
      <c r="L38" s="10">
        <f t="shared" si="0"/>
        <v>0.12165996931980275</v>
      </c>
      <c r="M38" s="10">
        <f t="shared" si="4"/>
        <v>0.12337680527725529</v>
      </c>
      <c r="P38" s="8">
        <f t="shared" si="5"/>
        <v>-2.6696679558411289</v>
      </c>
    </row>
    <row r="39" spans="1:16" x14ac:dyDescent="0.2">
      <c r="A39" s="8">
        <v>18.5</v>
      </c>
      <c r="B39" s="8">
        <v>37</v>
      </c>
      <c r="D39">
        <v>4929.9156960621003</v>
      </c>
      <c r="E39">
        <v>698.00499168053</v>
      </c>
      <c r="F39">
        <v>139.37603993344001</v>
      </c>
      <c r="G39">
        <v>117.09983361064999</v>
      </c>
      <c r="I39" s="9">
        <f t="shared" si="1"/>
        <v>580.90515806988003</v>
      </c>
      <c r="J39" s="9">
        <f t="shared" si="2"/>
        <v>4790.5396561286607</v>
      </c>
      <c r="K39" s="9">
        <f t="shared" si="3"/>
        <v>580.90515806988003</v>
      </c>
      <c r="L39" s="10">
        <f t="shared" si="0"/>
        <v>0.12126090164533199</v>
      </c>
      <c r="M39" s="10">
        <f t="shared" si="4"/>
        <v>0.12302542749049154</v>
      </c>
      <c r="P39" s="8">
        <f t="shared" si="5"/>
        <v>-2.9468652505984636</v>
      </c>
    </row>
    <row r="40" spans="1:16" x14ac:dyDescent="0.2">
      <c r="A40" s="8">
        <v>19</v>
      </c>
      <c r="B40" s="8">
        <v>38</v>
      </c>
      <c r="D40">
        <v>4963.3000554630999</v>
      </c>
      <c r="E40">
        <v>700.85579589573001</v>
      </c>
      <c r="F40">
        <v>138.89129229062999</v>
      </c>
      <c r="G40">
        <v>117.36439267887</v>
      </c>
      <c r="I40" s="9">
        <f t="shared" si="1"/>
        <v>583.49140321686002</v>
      </c>
      <c r="J40" s="9">
        <f t="shared" si="2"/>
        <v>4824.4087631724697</v>
      </c>
      <c r="K40" s="9">
        <f t="shared" si="3"/>
        <v>583.49140321686002</v>
      </c>
      <c r="L40" s="10">
        <f t="shared" si="0"/>
        <v>0.12094568098602895</v>
      </c>
      <c r="M40" s="10">
        <f t="shared" si="4"/>
        <v>0.12275789671889553</v>
      </c>
      <c r="P40" s="8">
        <f t="shared" si="5"/>
        <v>-3.1579167425945047</v>
      </c>
    </row>
    <row r="41" spans="1:16" x14ac:dyDescent="0.2">
      <c r="A41" s="8">
        <v>19.5</v>
      </c>
      <c r="B41" s="8">
        <v>39</v>
      </c>
      <c r="D41">
        <v>4627.5795895728997</v>
      </c>
      <c r="E41">
        <v>662.35163616194995</v>
      </c>
      <c r="F41">
        <v>139.72878535774001</v>
      </c>
      <c r="G41">
        <v>116.86910704381999</v>
      </c>
      <c r="I41" s="9">
        <f t="shared" si="1"/>
        <v>545.48252911812995</v>
      </c>
      <c r="J41" s="9">
        <f t="shared" si="2"/>
        <v>4487.8508042151598</v>
      </c>
      <c r="K41" s="9">
        <f t="shared" si="3"/>
        <v>545.48252911812995</v>
      </c>
      <c r="L41" s="10">
        <f t="shared" si="0"/>
        <v>0.12154649361467008</v>
      </c>
      <c r="M41" s="10">
        <f t="shared" si="4"/>
        <v>0.12340639923524367</v>
      </c>
      <c r="P41" s="8">
        <f t="shared" si="5"/>
        <v>-2.6463216732798585</v>
      </c>
    </row>
    <row r="42" spans="1:16" x14ac:dyDescent="0.2">
      <c r="A42" s="8">
        <v>20</v>
      </c>
      <c r="B42" s="8">
        <v>40</v>
      </c>
      <c r="D42">
        <v>4571.7768503060997</v>
      </c>
      <c r="E42">
        <v>659.35726210351004</v>
      </c>
      <c r="F42">
        <v>139.80088740987</v>
      </c>
      <c r="G42">
        <v>117.24292845258</v>
      </c>
      <c r="I42" s="9">
        <f t="shared" si="1"/>
        <v>542.11433365093001</v>
      </c>
      <c r="J42" s="9">
        <f t="shared" si="2"/>
        <v>4431.9759628962302</v>
      </c>
      <c r="K42" s="9">
        <f t="shared" si="3"/>
        <v>542.11433365093001</v>
      </c>
      <c r="L42" s="10">
        <f t="shared" si="0"/>
        <v>0.12231887947710492</v>
      </c>
      <c r="M42" s="10">
        <f t="shared" si="4"/>
        <v>0.12422647498538553</v>
      </c>
      <c r="P42" s="8">
        <f t="shared" si="5"/>
        <v>-1.9993747460734037</v>
      </c>
    </row>
    <row r="43" spans="1:16" x14ac:dyDescent="0.2">
      <c r="A43" s="8">
        <v>20.5</v>
      </c>
      <c r="B43" s="8">
        <v>41</v>
      </c>
      <c r="D43">
        <v>4495.9966611017999</v>
      </c>
      <c r="E43">
        <v>652.23817473566999</v>
      </c>
      <c r="F43">
        <v>139.56516916250999</v>
      </c>
      <c r="G43">
        <v>117.16583471990999</v>
      </c>
      <c r="I43" s="9">
        <f t="shared" si="1"/>
        <v>535.07234001576001</v>
      </c>
      <c r="J43" s="9">
        <f t="shared" si="2"/>
        <v>4356.43149193929</v>
      </c>
      <c r="K43" s="9">
        <f t="shared" si="3"/>
        <v>535.07234001576001</v>
      </c>
      <c r="L43" s="10">
        <f t="shared" si="0"/>
        <v>0.12282354055281368</v>
      </c>
      <c r="M43" s="10">
        <f t="shared" si="4"/>
        <v>0.1247788259488013</v>
      </c>
      <c r="P43" s="8">
        <f t="shared" si="5"/>
        <v>-1.5636323668364303</v>
      </c>
    </row>
    <row r="44" spans="1:16" x14ac:dyDescent="0.2">
      <c r="A44" s="8">
        <v>21</v>
      </c>
      <c r="B44" s="8">
        <v>42</v>
      </c>
      <c r="D44">
        <v>4506.9744017807998</v>
      </c>
      <c r="E44">
        <v>652.53478018919998</v>
      </c>
      <c r="F44">
        <v>139.06655574043</v>
      </c>
      <c r="G44">
        <v>117.20632279534</v>
      </c>
      <c r="I44" s="9">
        <f t="shared" si="1"/>
        <v>535.32845739385994</v>
      </c>
      <c r="J44" s="9">
        <f t="shared" si="2"/>
        <v>4367.9078460403698</v>
      </c>
      <c r="K44" s="9">
        <f t="shared" si="3"/>
        <v>535.32845739385994</v>
      </c>
      <c r="L44" s="10">
        <f t="shared" si="0"/>
        <v>0.12255946697207683</v>
      </c>
      <c r="M44" s="10">
        <f t="shared" si="4"/>
        <v>0.12456244225577147</v>
      </c>
      <c r="P44" s="8">
        <f t="shared" si="5"/>
        <v>-1.7343346041346523</v>
      </c>
    </row>
    <row r="45" spans="1:16" x14ac:dyDescent="0.2">
      <c r="A45" s="8">
        <v>21.5</v>
      </c>
      <c r="B45" s="8">
        <v>43</v>
      </c>
      <c r="D45">
        <v>4485.2732331664001</v>
      </c>
      <c r="E45">
        <v>649.65164162492999</v>
      </c>
      <c r="F45">
        <v>139.62340543539</v>
      </c>
      <c r="G45">
        <v>116.94287298946</v>
      </c>
      <c r="I45" s="9">
        <f t="shared" si="1"/>
        <v>532.70876863547005</v>
      </c>
      <c r="J45" s="9">
        <f t="shared" si="2"/>
        <v>4345.6498277310102</v>
      </c>
      <c r="K45" s="9">
        <f t="shared" si="3"/>
        <v>532.70876863547005</v>
      </c>
      <c r="L45" s="10">
        <f t="shared" si="0"/>
        <v>0.12258437512292902</v>
      </c>
      <c r="M45" s="10">
        <f t="shared" si="4"/>
        <v>0.12463504029433067</v>
      </c>
      <c r="P45" s="8">
        <f t="shared" si="5"/>
        <v>-1.6770629704362179</v>
      </c>
    </row>
    <row r="46" spans="1:16" x14ac:dyDescent="0.2">
      <c r="A46" s="8">
        <v>22</v>
      </c>
      <c r="B46" s="8">
        <v>44</v>
      </c>
      <c r="D46">
        <v>4611.3325954620996</v>
      </c>
      <c r="E46">
        <v>659.86164914223002</v>
      </c>
      <c r="F46">
        <v>140.01830282861999</v>
      </c>
      <c r="G46">
        <v>116.88962839712001</v>
      </c>
      <c r="I46" s="9">
        <f t="shared" si="1"/>
        <v>542.97202074511006</v>
      </c>
      <c r="J46" s="9">
        <f t="shared" si="2"/>
        <v>4471.3142926334795</v>
      </c>
      <c r="K46" s="9">
        <f t="shared" si="3"/>
        <v>542.97202074511006</v>
      </c>
      <c r="L46" s="10">
        <f t="shared" si="0"/>
        <v>0.12143454590961322</v>
      </c>
      <c r="M46" s="10">
        <f t="shared" si="4"/>
        <v>0.1235329009687219</v>
      </c>
      <c r="P46" s="8">
        <f t="shared" si="5"/>
        <v>-2.5465261266539887</v>
      </c>
    </row>
    <row r="47" spans="1:16" x14ac:dyDescent="0.2">
      <c r="A47" s="8">
        <v>22.5</v>
      </c>
      <c r="B47" s="8">
        <v>45</v>
      </c>
      <c r="D47">
        <v>4643.5428887659</v>
      </c>
      <c r="E47">
        <v>662.12838959602004</v>
      </c>
      <c r="F47">
        <v>139.65779256793999</v>
      </c>
      <c r="G47">
        <v>116.94287298946</v>
      </c>
      <c r="I47" s="9">
        <f t="shared" si="1"/>
        <v>545.18551660655999</v>
      </c>
      <c r="J47" s="9">
        <f t="shared" si="2"/>
        <v>4503.8850961979597</v>
      </c>
      <c r="K47" s="9">
        <f t="shared" si="3"/>
        <v>545.18551660655999</v>
      </c>
      <c r="L47" s="10">
        <f t="shared" si="0"/>
        <v>0.12104782980959898</v>
      </c>
      <c r="M47" s="10">
        <f t="shared" si="4"/>
        <v>0.12319387475641466</v>
      </c>
      <c r="P47" s="8">
        <f t="shared" si="5"/>
        <v>-2.8139794274700027</v>
      </c>
    </row>
    <row r="48" spans="1:16" x14ac:dyDescent="0.2">
      <c r="A48" s="8">
        <v>23</v>
      </c>
      <c r="B48" s="8">
        <v>46</v>
      </c>
      <c r="D48">
        <v>4641.3320420586997</v>
      </c>
      <c r="E48">
        <v>661.00221361371996</v>
      </c>
      <c r="F48">
        <v>139.13422074320999</v>
      </c>
      <c r="G48">
        <v>117.10482529118001</v>
      </c>
      <c r="I48" s="9">
        <f t="shared" si="1"/>
        <v>543.89738832254</v>
      </c>
      <c r="J48" s="9">
        <f t="shared" si="2"/>
        <v>4502.1978213154898</v>
      </c>
      <c r="K48" s="9">
        <f t="shared" si="3"/>
        <v>543.89738832254</v>
      </c>
      <c r="L48" s="10">
        <f t="shared" si="0"/>
        <v>0.1208070835420598</v>
      </c>
      <c r="M48" s="10">
        <f t="shared" si="4"/>
        <v>0.1230008183765825</v>
      </c>
      <c r="P48" s="8">
        <f t="shared" si="5"/>
        <v>-2.966279055508529</v>
      </c>
    </row>
    <row r="49" spans="1:25" x14ac:dyDescent="0.2">
      <c r="A49" s="8">
        <v>23.5</v>
      </c>
      <c r="B49" s="8">
        <v>47</v>
      </c>
      <c r="D49">
        <v>4626.8002213614</v>
      </c>
      <c r="E49">
        <v>660.21029330381998</v>
      </c>
      <c r="F49">
        <v>139.39767054909001</v>
      </c>
      <c r="G49">
        <v>116.96339434276</v>
      </c>
      <c r="I49" s="9">
        <f t="shared" si="1"/>
        <v>543.24689896105997</v>
      </c>
      <c r="J49" s="9">
        <f t="shared" si="2"/>
        <v>4487.4025508123095</v>
      </c>
      <c r="K49" s="9">
        <f t="shared" si="3"/>
        <v>543.24689896105997</v>
      </c>
      <c r="L49" s="10">
        <f t="shared" si="0"/>
        <v>0.12106043369403563</v>
      </c>
      <c r="M49" s="10">
        <f t="shared" si="4"/>
        <v>0.12330185841626534</v>
      </c>
      <c r="P49" s="8">
        <f t="shared" si="5"/>
        <v>-2.7287925445304442</v>
      </c>
    </row>
    <row r="50" spans="1:25" x14ac:dyDescent="0.2">
      <c r="A50" s="8">
        <v>24</v>
      </c>
      <c r="B50" s="8">
        <v>48</v>
      </c>
      <c r="D50">
        <v>4646.4150525733003</v>
      </c>
      <c r="E50">
        <v>662.24460431654995</v>
      </c>
      <c r="F50">
        <v>139.68441486411999</v>
      </c>
      <c r="G50">
        <v>117.10371602884</v>
      </c>
      <c r="I50" s="9">
        <f t="shared" si="1"/>
        <v>545.14088828770991</v>
      </c>
      <c r="J50" s="9">
        <f t="shared" si="2"/>
        <v>4506.73063770918</v>
      </c>
      <c r="K50" s="9">
        <f t="shared" si="3"/>
        <v>545.14088828770991</v>
      </c>
      <c r="L50" s="10">
        <f t="shared" si="0"/>
        <v>0.12096149783755679</v>
      </c>
      <c r="M50" s="10">
        <f t="shared" si="4"/>
        <v>0.12325061244749351</v>
      </c>
      <c r="P50" s="8">
        <f t="shared" si="5"/>
        <v>-2.769219812405296</v>
      </c>
    </row>
    <row r="51" spans="1:25" x14ac:dyDescent="0.2">
      <c r="A51" s="8">
        <v>24.5</v>
      </c>
      <c r="B51" s="8">
        <v>49</v>
      </c>
      <c r="D51">
        <v>4648.8240177089001</v>
      </c>
      <c r="E51">
        <v>663.07028223575003</v>
      </c>
      <c r="F51">
        <v>139.56350526899999</v>
      </c>
      <c r="G51">
        <v>117.16139767055</v>
      </c>
      <c r="I51" s="9">
        <f t="shared" si="1"/>
        <v>545.90888456519997</v>
      </c>
      <c r="J51" s="9">
        <f t="shared" si="2"/>
        <v>4509.2605124398997</v>
      </c>
      <c r="K51" s="9">
        <f t="shared" si="3"/>
        <v>545.90888456519997</v>
      </c>
      <c r="L51" s="10">
        <f t="shared" si="0"/>
        <v>0.12106394896883349</v>
      </c>
      <c r="M51" s="10">
        <f t="shared" si="4"/>
        <v>0.12340075346647723</v>
      </c>
      <c r="P51" s="8">
        <f t="shared" si="5"/>
        <v>-2.6507755456868081</v>
      </c>
    </row>
    <row r="52" spans="1:25" x14ac:dyDescent="0.2">
      <c r="A52" s="8">
        <v>25</v>
      </c>
      <c r="B52" s="8">
        <v>50</v>
      </c>
      <c r="D52">
        <v>4660.5605976756997</v>
      </c>
      <c r="E52">
        <v>665.57332595462003</v>
      </c>
      <c r="F52">
        <v>139.44370493622</v>
      </c>
      <c r="G52">
        <v>117.38879645036</v>
      </c>
      <c r="I52" s="9">
        <f t="shared" si="1"/>
        <v>548.18452950426001</v>
      </c>
      <c r="J52" s="9">
        <f t="shared" si="2"/>
        <v>4521.1168927394792</v>
      </c>
      <c r="K52" s="9">
        <f t="shared" si="3"/>
        <v>548.18452950426001</v>
      </c>
      <c r="L52" s="10">
        <f t="shared" si="0"/>
        <v>0.12124980231866969</v>
      </c>
      <c r="M52" s="10">
        <f t="shared" si="4"/>
        <v>0.12363429670402044</v>
      </c>
      <c r="P52" s="8">
        <f t="shared" si="5"/>
        <v>-2.4665363703761227</v>
      </c>
    </row>
    <row r="53" spans="1:25" x14ac:dyDescent="0.2">
      <c r="A53" s="8">
        <v>25.5</v>
      </c>
      <c r="B53" s="8">
        <v>51</v>
      </c>
      <c r="D53">
        <v>4673.3342556724001</v>
      </c>
      <c r="E53">
        <v>664.90094078583002</v>
      </c>
      <c r="F53">
        <v>139.79367720466001</v>
      </c>
      <c r="G53">
        <v>117.08874098724</v>
      </c>
      <c r="I53" s="9">
        <f t="shared" si="1"/>
        <v>547.81219979858997</v>
      </c>
      <c r="J53" s="9">
        <f t="shared" si="2"/>
        <v>4533.5405784677405</v>
      </c>
      <c r="K53" s="9">
        <f t="shared" si="3"/>
        <v>547.81219979858997</v>
      </c>
      <c r="L53" s="10">
        <f t="shared" si="0"/>
        <v>0.12083540233442472</v>
      </c>
      <c r="M53" s="10">
        <f t="shared" si="4"/>
        <v>0.12326758660748249</v>
      </c>
      <c r="P53" s="8">
        <f t="shared" si="5"/>
        <v>-2.755829121795454</v>
      </c>
      <c r="S53" s="11"/>
      <c r="U53" s="12"/>
    </row>
    <row r="54" spans="1:25" x14ac:dyDescent="0.2">
      <c r="A54" s="8">
        <v>26</v>
      </c>
      <c r="B54" s="8">
        <v>52</v>
      </c>
      <c r="D54">
        <v>4682.8467072495996</v>
      </c>
      <c r="E54">
        <v>665.94687327061001</v>
      </c>
      <c r="F54">
        <v>139.51026067665001</v>
      </c>
      <c r="G54">
        <v>117.31170271769</v>
      </c>
      <c r="I54" s="9">
        <f t="shared" si="1"/>
        <v>548.63517055292004</v>
      </c>
      <c r="J54" s="9">
        <f t="shared" si="2"/>
        <v>4543.3364465729492</v>
      </c>
      <c r="K54" s="9">
        <f t="shared" si="3"/>
        <v>548.63517055292004</v>
      </c>
      <c r="L54" s="10">
        <f t="shared" si="0"/>
        <v>0.12075600761787234</v>
      </c>
      <c r="M54" s="10">
        <f t="shared" si="4"/>
        <v>0.12323588177863712</v>
      </c>
      <c r="P54" s="8">
        <f t="shared" si="5"/>
        <v>-2.780840642494089</v>
      </c>
      <c r="S54" s="11"/>
    </row>
    <row r="55" spans="1:25" x14ac:dyDescent="0.2">
      <c r="A55" s="8">
        <v>26.5</v>
      </c>
      <c r="B55" s="8">
        <v>53</v>
      </c>
      <c r="D55">
        <v>4690.5705589375002</v>
      </c>
      <c r="E55">
        <v>668.95683453236995</v>
      </c>
      <c r="F55">
        <v>139.73821408763001</v>
      </c>
      <c r="G55">
        <v>117.29395452024001</v>
      </c>
      <c r="I55" s="9">
        <f t="shared" si="1"/>
        <v>551.6628800121299</v>
      </c>
      <c r="J55" s="9">
        <f t="shared" si="2"/>
        <v>4550.8323448498704</v>
      </c>
      <c r="K55" s="9">
        <f t="shared" si="3"/>
        <v>551.6628800121299</v>
      </c>
      <c r="L55" s="10">
        <f t="shared" si="0"/>
        <v>0.1212224134418929</v>
      </c>
      <c r="M55" s="10">
        <f t="shared" si="4"/>
        <v>0.1237499774903647</v>
      </c>
      <c r="P55" s="8">
        <f t="shared" si="5"/>
        <v>-2.3752773260143063</v>
      </c>
      <c r="S55" s="11"/>
    </row>
    <row r="56" spans="1:25" x14ac:dyDescent="0.2">
      <c r="A56" s="8">
        <v>27</v>
      </c>
      <c r="B56" s="8">
        <v>54</v>
      </c>
      <c r="D56">
        <v>4718.0763696735003</v>
      </c>
      <c r="E56">
        <v>673.88765910349002</v>
      </c>
      <c r="F56">
        <v>139.71325568496999</v>
      </c>
      <c r="G56">
        <v>117.4403771492</v>
      </c>
      <c r="I56" s="9">
        <f t="shared" si="1"/>
        <v>556.44728195429002</v>
      </c>
      <c r="J56" s="9">
        <f t="shared" si="2"/>
        <v>4578.3631139885301</v>
      </c>
      <c r="K56" s="9">
        <f t="shared" si="3"/>
        <v>556.44728195429002</v>
      </c>
      <c r="L56" s="10">
        <f t="shared" si="0"/>
        <v>0.12153847742092481</v>
      </c>
      <c r="M56" s="10">
        <f t="shared" si="4"/>
        <v>0.12411373135710363</v>
      </c>
      <c r="P56" s="8">
        <f t="shared" si="5"/>
        <v>-2.0883167052356684</v>
      </c>
      <c r="S56" s="11"/>
    </row>
    <row r="57" spans="1:25" x14ac:dyDescent="0.2">
      <c r="A57" s="8">
        <v>27.5</v>
      </c>
      <c r="B57" s="8">
        <v>55</v>
      </c>
      <c r="D57">
        <v>4743.5262866630001</v>
      </c>
      <c r="E57">
        <v>679.70835639180996</v>
      </c>
      <c r="F57">
        <v>140.07820299501</v>
      </c>
      <c r="G57">
        <v>117.25235718247001</v>
      </c>
      <c r="I57" s="9">
        <f t="shared" si="1"/>
        <v>562.45599920934001</v>
      </c>
      <c r="J57" s="9">
        <f t="shared" si="2"/>
        <v>4603.4480836679904</v>
      </c>
      <c r="K57" s="9">
        <f t="shared" si="3"/>
        <v>562.45599920934001</v>
      </c>
      <c r="L57" s="10">
        <f t="shared" si="0"/>
        <v>0.12218145811284561</v>
      </c>
      <c r="M57" s="10">
        <f t="shared" si="4"/>
        <v>0.12480440193673145</v>
      </c>
      <c r="P57" s="8">
        <f t="shared" si="5"/>
        <v>-1.5434558077821958</v>
      </c>
      <c r="S57" s="11"/>
    </row>
    <row r="58" spans="1:25" x14ac:dyDescent="0.2">
      <c r="A58" s="8">
        <v>28</v>
      </c>
      <c r="B58" s="8">
        <v>56</v>
      </c>
      <c r="D58">
        <v>4795.3929164360998</v>
      </c>
      <c r="E58">
        <v>685.65412285555999</v>
      </c>
      <c r="F58">
        <v>139.68718801996999</v>
      </c>
      <c r="G58">
        <v>117.22296173045</v>
      </c>
      <c r="I58" s="9">
        <f t="shared" si="1"/>
        <v>568.43116112510995</v>
      </c>
      <c r="J58" s="9">
        <f t="shared" si="2"/>
        <v>4655.7057284161301</v>
      </c>
      <c r="K58" s="9">
        <f t="shared" si="3"/>
        <v>568.43116112510995</v>
      </c>
      <c r="L58" s="10">
        <f t="shared" si="0"/>
        <v>0.12209344711279467</v>
      </c>
      <c r="M58" s="10">
        <f t="shared" si="4"/>
        <v>0.12476408082438752</v>
      </c>
      <c r="P58" s="8">
        <f t="shared" si="5"/>
        <v>-1.5752646007235103</v>
      </c>
      <c r="S58" s="11"/>
    </row>
    <row r="59" spans="1:25" x14ac:dyDescent="0.2">
      <c r="A59" s="8">
        <v>28.5</v>
      </c>
      <c r="B59" s="8">
        <v>57</v>
      </c>
      <c r="D59">
        <v>4758.3713337023</v>
      </c>
      <c r="E59">
        <v>685.98173768676997</v>
      </c>
      <c r="F59">
        <v>139.73821408763001</v>
      </c>
      <c r="G59">
        <v>117.1081530782</v>
      </c>
      <c r="I59" s="9">
        <f t="shared" si="1"/>
        <v>568.87358460857001</v>
      </c>
      <c r="J59" s="9">
        <f t="shared" si="2"/>
        <v>4618.6331196146702</v>
      </c>
      <c r="K59" s="9">
        <f t="shared" si="3"/>
        <v>568.87358460857001</v>
      </c>
      <c r="L59" s="10">
        <f t="shared" si="0"/>
        <v>0.12316925156766528</v>
      </c>
      <c r="M59" s="10">
        <f t="shared" si="4"/>
        <v>0.12588757516696514</v>
      </c>
      <c r="P59" s="8">
        <f t="shared" si="5"/>
        <v>-0.68895475368962256</v>
      </c>
      <c r="R59" s="1"/>
      <c r="S59" s="11"/>
    </row>
    <row r="60" spans="1:25" x14ac:dyDescent="0.2">
      <c r="A60" s="8">
        <v>29</v>
      </c>
      <c r="B60" s="8">
        <v>58</v>
      </c>
      <c r="D60">
        <v>4780.1206419480004</v>
      </c>
      <c r="E60">
        <v>689.43718871057001</v>
      </c>
      <c r="F60">
        <v>139.74431503050999</v>
      </c>
      <c r="G60">
        <v>117.05435385469001</v>
      </c>
      <c r="I60" s="9">
        <f t="shared" si="1"/>
        <v>572.38283485587999</v>
      </c>
      <c r="J60" s="9">
        <f t="shared" si="2"/>
        <v>4640.3763269174906</v>
      </c>
      <c r="K60" s="9">
        <f t="shared" si="3"/>
        <v>572.38283485587999</v>
      </c>
      <c r="L60" s="10">
        <f t="shared" si="0"/>
        <v>0.12334836541934142</v>
      </c>
      <c r="M60" s="10">
        <f t="shared" si="4"/>
        <v>0.1261143789063483</v>
      </c>
      <c r="P60" s="8">
        <f t="shared" si="5"/>
        <v>-0.51003227945783358</v>
      </c>
      <c r="S60" s="11"/>
    </row>
    <row r="61" spans="1:25" x14ac:dyDescent="0.2">
      <c r="A61" s="8">
        <v>29.5</v>
      </c>
      <c r="B61" s="8">
        <v>59</v>
      </c>
      <c r="C61" s="2"/>
      <c r="D61">
        <v>4785.4499169894998</v>
      </c>
      <c r="E61">
        <v>691.66961815162995</v>
      </c>
      <c r="F61">
        <v>139.59290072101999</v>
      </c>
      <c r="G61">
        <v>117.11092623405</v>
      </c>
      <c r="I61" s="9">
        <f t="shared" si="1"/>
        <v>574.55869191757995</v>
      </c>
      <c r="J61" s="9">
        <f t="shared" si="2"/>
        <v>4645.85701626848</v>
      </c>
      <c r="K61" s="9">
        <f t="shared" si="3"/>
        <v>574.55869191757995</v>
      </c>
      <c r="L61" s="10">
        <f t="shared" si="0"/>
        <v>0.12367119562776847</v>
      </c>
      <c r="M61" s="10">
        <f t="shared" si="4"/>
        <v>0.12648489900248236</v>
      </c>
      <c r="P61" s="8">
        <f t="shared" si="5"/>
        <v>-0.21773386968202296</v>
      </c>
      <c r="S61" s="11"/>
    </row>
    <row r="62" spans="1:25" x14ac:dyDescent="0.2">
      <c r="A62" s="8">
        <v>30</v>
      </c>
      <c r="B62" s="8">
        <v>60</v>
      </c>
      <c r="D62">
        <v>4861.3962368566999</v>
      </c>
      <c r="E62">
        <v>699.33370226894999</v>
      </c>
      <c r="F62">
        <v>139.83250138657999</v>
      </c>
      <c r="G62">
        <v>117.1996672213</v>
      </c>
      <c r="I62" s="9">
        <f t="shared" si="1"/>
        <v>582.13403504764995</v>
      </c>
      <c r="J62" s="9">
        <f t="shared" si="2"/>
        <v>4721.5637354701203</v>
      </c>
      <c r="K62" s="9">
        <f t="shared" si="3"/>
        <v>582.13403504764995</v>
      </c>
      <c r="L62" s="10">
        <f t="shared" si="0"/>
        <v>0.1232926351654316</v>
      </c>
      <c r="M62" s="10">
        <f t="shared" si="4"/>
        <v>0.1261540284278525</v>
      </c>
      <c r="P62" s="8">
        <f t="shared" si="5"/>
        <v>-0.47875329565918601</v>
      </c>
      <c r="U62" s="1" t="s">
        <v>9</v>
      </c>
      <c r="X62" s="1" t="s">
        <v>10</v>
      </c>
    </row>
    <row r="63" spans="1:25" x14ac:dyDescent="0.2">
      <c r="A63" s="8">
        <v>30.5</v>
      </c>
      <c r="B63" s="8">
        <v>61</v>
      </c>
      <c r="D63">
        <v>4848.7609297177996</v>
      </c>
      <c r="E63">
        <v>698.24847814056</v>
      </c>
      <c r="F63">
        <v>139.58291735995999</v>
      </c>
      <c r="G63">
        <v>116.78813089296</v>
      </c>
      <c r="I63" s="9">
        <f t="shared" si="1"/>
        <v>581.4603472476</v>
      </c>
      <c r="J63" s="9">
        <f t="shared" si="2"/>
        <v>4709.1780123578392</v>
      </c>
      <c r="K63" s="9">
        <f t="shared" si="3"/>
        <v>581.4603472476</v>
      </c>
      <c r="L63" s="10">
        <f t="shared" si="0"/>
        <v>0.12347385164071734</v>
      </c>
      <c r="M63" s="10">
        <f t="shared" si="4"/>
        <v>0.12638293479084525</v>
      </c>
      <c r="P63" s="8">
        <f t="shared" si="5"/>
        <v>-0.29817208943458146</v>
      </c>
    </row>
    <row r="64" spans="1:25" x14ac:dyDescent="0.2">
      <c r="A64" s="8">
        <v>31</v>
      </c>
      <c r="B64" s="8">
        <v>62</v>
      </c>
      <c r="D64">
        <v>4854.8815716657</v>
      </c>
      <c r="E64">
        <v>700.45379081349995</v>
      </c>
      <c r="F64">
        <v>139.68552412646</v>
      </c>
      <c r="G64">
        <v>117.01774819745</v>
      </c>
      <c r="I64" s="9">
        <f t="shared" si="1"/>
        <v>583.43604261604992</v>
      </c>
      <c r="J64" s="9">
        <f t="shared" si="2"/>
        <v>4715.1960475392398</v>
      </c>
      <c r="K64" s="9">
        <f t="shared" si="3"/>
        <v>583.43604261604992</v>
      </c>
      <c r="L64" s="10">
        <f t="shared" si="0"/>
        <v>0.12373526715194223</v>
      </c>
      <c r="M64" s="10">
        <f t="shared" si="4"/>
        <v>0.12669204018977717</v>
      </c>
      <c r="P64" s="8">
        <f t="shared" si="5"/>
        <v>-5.4322923077279386E-2</v>
      </c>
      <c r="U64" s="8">
        <v>30.5</v>
      </c>
      <c r="V64" s="10">
        <f>L62</f>
        <v>0.1232926351654316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4847.8201438849001</v>
      </c>
      <c r="E65">
        <v>699.84394023242999</v>
      </c>
      <c r="F65">
        <v>139.65169162506999</v>
      </c>
      <c r="G65">
        <v>117.0765391015</v>
      </c>
      <c r="I65" s="9">
        <f t="shared" si="1"/>
        <v>582.76740113093001</v>
      </c>
      <c r="J65" s="9">
        <f t="shared" si="2"/>
        <v>4708.1684522598298</v>
      </c>
      <c r="K65" s="9">
        <f t="shared" si="3"/>
        <v>582.76740113093001</v>
      </c>
      <c r="L65" s="10">
        <f t="shared" si="0"/>
        <v>0.12377794189823708</v>
      </c>
      <c r="M65" s="10">
        <f t="shared" si="4"/>
        <v>0.12678240482377903</v>
      </c>
      <c r="P65" s="8">
        <f t="shared" si="5"/>
        <v>1.6964543093409175E-2</v>
      </c>
      <c r="U65" s="8">
        <v>31</v>
      </c>
      <c r="V65" s="10">
        <f t="shared" ref="V65:V83" si="6">L63</f>
        <v>0.12347385164071734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4853.2667404537997</v>
      </c>
      <c r="E66">
        <v>701.47869396789997</v>
      </c>
      <c r="F66">
        <v>139.98557958956999</v>
      </c>
      <c r="G66">
        <v>117.01109262340999</v>
      </c>
      <c r="I66" s="9">
        <f t="shared" si="1"/>
        <v>584.46760134448994</v>
      </c>
      <c r="J66" s="9">
        <f t="shared" si="2"/>
        <v>4713.2811608642296</v>
      </c>
      <c r="K66" s="9">
        <f t="shared" si="3"/>
        <v>584.46760134448994</v>
      </c>
      <c r="L66" s="10">
        <f t="shared" ref="L66:L129" si="7">K66/J66</f>
        <v>0.12400439977939311</v>
      </c>
      <c r="M66" s="10">
        <f t="shared" si="4"/>
        <v>0.12705655259264206</v>
      </c>
      <c r="P66" s="8">
        <f t="shared" si="5"/>
        <v>0.23323609683190732</v>
      </c>
      <c r="U66" s="8">
        <v>31.5</v>
      </c>
      <c r="V66" s="10">
        <f t="shared" si="6"/>
        <v>0.12373526715194223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4847.4382955173996</v>
      </c>
      <c r="E67">
        <v>699.42667404537997</v>
      </c>
      <c r="F67">
        <v>140</v>
      </c>
      <c r="G67">
        <v>117.37603993344</v>
      </c>
      <c r="I67" s="9">
        <f t="shared" ref="I67:I130" si="8">E67-G67</f>
        <v>582.05063411193998</v>
      </c>
      <c r="J67" s="9">
        <f t="shared" ref="J67:J130" si="9">D67-F67</f>
        <v>4707.4382955173996</v>
      </c>
      <c r="K67" s="9">
        <f t="shared" ref="K67:K130" si="10">I67*1</f>
        <v>582.05063411193998</v>
      </c>
      <c r="L67" s="10">
        <f t="shared" si="7"/>
        <v>0.12364487807863367</v>
      </c>
      <c r="M67" s="10">
        <f t="shared" ref="M67:M130" si="11">L67+ABS($N$2)*A67</f>
        <v>0.12674472077958965</v>
      </c>
      <c r="P67" s="8">
        <f t="shared" ref="P67:P130" si="12">(M67-$O$2)/$O$2*100</f>
        <v>-1.2763901612847996E-2</v>
      </c>
      <c r="U67" s="8">
        <v>32</v>
      </c>
      <c r="V67" s="10">
        <f t="shared" si="6"/>
        <v>0.12377794189823708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4853.9247371334004</v>
      </c>
      <c r="E68">
        <v>701.53071389042998</v>
      </c>
      <c r="F68">
        <v>139.62396006655999</v>
      </c>
      <c r="G68">
        <v>117.35163616195</v>
      </c>
      <c r="I68" s="9">
        <f t="shared" si="8"/>
        <v>584.17907772848002</v>
      </c>
      <c r="J68" s="9">
        <f t="shared" si="9"/>
        <v>4714.3007770668401</v>
      </c>
      <c r="K68" s="9">
        <f t="shared" si="10"/>
        <v>584.17907772848002</v>
      </c>
      <c r="L68" s="10">
        <f t="shared" si="7"/>
        <v>0.12391637813401175</v>
      </c>
      <c r="M68" s="10">
        <f t="shared" si="11"/>
        <v>0.12706391072267476</v>
      </c>
      <c r="P68" s="8">
        <f t="shared" si="12"/>
        <v>0.2390408284238513</v>
      </c>
      <c r="U68" s="8">
        <v>32.5</v>
      </c>
      <c r="V68" s="10">
        <f t="shared" si="6"/>
        <v>0.12400439977939311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4843.4543442168997</v>
      </c>
      <c r="E69">
        <v>701.93746541228995</v>
      </c>
      <c r="F69">
        <v>139.86910704382001</v>
      </c>
      <c r="G69">
        <v>116.79811425402001</v>
      </c>
      <c r="I69" s="9">
        <f t="shared" si="8"/>
        <v>585.13935115826996</v>
      </c>
      <c r="J69" s="9">
        <f t="shared" si="9"/>
        <v>4703.5852371730798</v>
      </c>
      <c r="K69" s="9">
        <f t="shared" si="10"/>
        <v>585.13935115826996</v>
      </c>
      <c r="L69" s="10">
        <f t="shared" si="7"/>
        <v>0.12440283776167876</v>
      </c>
      <c r="M69" s="10">
        <f t="shared" si="11"/>
        <v>0.12759806023804879</v>
      </c>
      <c r="P69" s="8">
        <f t="shared" si="12"/>
        <v>0.66042432571696363</v>
      </c>
      <c r="U69" s="8">
        <v>33</v>
      </c>
      <c r="V69" s="10">
        <f t="shared" si="6"/>
        <v>0.12364487807863367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4845.1781959048003</v>
      </c>
      <c r="E70">
        <v>701.35583840619995</v>
      </c>
      <c r="F70">
        <v>139.50360510261001</v>
      </c>
      <c r="G70">
        <v>117.03327787022</v>
      </c>
      <c r="I70" s="9">
        <f t="shared" si="8"/>
        <v>584.32256053597996</v>
      </c>
      <c r="J70" s="9">
        <f t="shared" si="9"/>
        <v>4705.6745908021903</v>
      </c>
      <c r="K70" s="9">
        <f t="shared" si="10"/>
        <v>584.32256053597996</v>
      </c>
      <c r="L70" s="10">
        <f t="shared" si="7"/>
        <v>0.12417402632942555</v>
      </c>
      <c r="M70" s="10">
        <f t="shared" si="11"/>
        <v>0.12741693869350257</v>
      </c>
      <c r="P70" s="8">
        <f t="shared" si="12"/>
        <v>0.51753993159264633</v>
      </c>
      <c r="U70" s="8">
        <v>33.5</v>
      </c>
      <c r="V70" s="10">
        <f t="shared" si="6"/>
        <v>0.12391637813401175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4852.3641394576998</v>
      </c>
      <c r="E71">
        <v>702.50249031544001</v>
      </c>
      <c r="F71">
        <v>139.64281752635</v>
      </c>
      <c r="G71">
        <v>117.23849140322</v>
      </c>
      <c r="I71" s="9">
        <f t="shared" si="8"/>
        <v>585.26399891222002</v>
      </c>
      <c r="J71" s="9">
        <f t="shared" si="9"/>
        <v>4712.7213219313498</v>
      </c>
      <c r="K71" s="9">
        <f t="shared" si="10"/>
        <v>585.26399891222002</v>
      </c>
      <c r="L71" s="10">
        <f t="shared" si="7"/>
        <v>0.12418811954541147</v>
      </c>
      <c r="M71" s="10">
        <f t="shared" si="11"/>
        <v>0.12747872179719552</v>
      </c>
      <c r="P71" s="8">
        <f t="shared" si="12"/>
        <v>0.56627980602561123</v>
      </c>
      <c r="U71" s="8">
        <v>34</v>
      </c>
      <c r="V71" s="10">
        <f t="shared" si="6"/>
        <v>0.12440283776167876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4852.6380741560997</v>
      </c>
      <c r="E72">
        <v>703.96126175981999</v>
      </c>
      <c r="F72">
        <v>140.12368275097</v>
      </c>
      <c r="G72">
        <v>117.30227398780001</v>
      </c>
      <c r="I72" s="9">
        <f t="shared" si="8"/>
        <v>586.65898777201994</v>
      </c>
      <c r="J72" s="9">
        <f t="shared" si="9"/>
        <v>4712.5143914051296</v>
      </c>
      <c r="K72" s="9">
        <f t="shared" si="10"/>
        <v>586.65898777201994</v>
      </c>
      <c r="L72" s="10">
        <f t="shared" si="7"/>
        <v>0.12448959070384842</v>
      </c>
      <c r="M72" s="10">
        <f t="shared" si="11"/>
        <v>0.12782788284333949</v>
      </c>
      <c r="P72" s="8">
        <f t="shared" si="12"/>
        <v>0.84172834338811109</v>
      </c>
      <c r="U72" s="8">
        <v>34.5</v>
      </c>
      <c r="V72" s="10">
        <f t="shared" si="6"/>
        <v>0.12417402632942555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4839.9192030990998</v>
      </c>
      <c r="E73">
        <v>702.95074709462995</v>
      </c>
      <c r="F73">
        <v>139.91347753744</v>
      </c>
      <c r="G73">
        <v>117.21686078758</v>
      </c>
      <c r="I73" s="9">
        <f t="shared" si="8"/>
        <v>585.73388630704994</v>
      </c>
      <c r="J73" s="9">
        <f t="shared" si="9"/>
        <v>4700.0057255616603</v>
      </c>
      <c r="K73" s="9">
        <f t="shared" si="10"/>
        <v>585.73388630704994</v>
      </c>
      <c r="L73" s="10">
        <f t="shared" si="7"/>
        <v>0.12462407931153181</v>
      </c>
      <c r="M73" s="10">
        <f t="shared" si="11"/>
        <v>0.12801006133872989</v>
      </c>
      <c r="P73" s="8">
        <f t="shared" si="12"/>
        <v>0.98544655207252541</v>
      </c>
      <c r="U73" s="8">
        <v>35</v>
      </c>
      <c r="V73" s="10">
        <f t="shared" si="6"/>
        <v>0.12418811954541147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4866.7935805201996</v>
      </c>
      <c r="E74">
        <v>703.34919756502995</v>
      </c>
      <c r="F74">
        <v>140.47088186356001</v>
      </c>
      <c r="G74">
        <v>117.35607321131</v>
      </c>
      <c r="I74" s="9">
        <f t="shared" si="8"/>
        <v>585.99312435371996</v>
      </c>
      <c r="J74" s="9">
        <f t="shared" si="9"/>
        <v>4726.3226986566397</v>
      </c>
      <c r="K74" s="9">
        <f t="shared" si="10"/>
        <v>585.99312435371996</v>
      </c>
      <c r="L74" s="10">
        <f t="shared" si="7"/>
        <v>0.12398500096497357</v>
      </c>
      <c r="M74" s="10">
        <f t="shared" si="11"/>
        <v>0.12741867287987865</v>
      </c>
      <c r="P74" s="8">
        <f t="shared" si="12"/>
        <v>0.51890800831850614</v>
      </c>
      <c r="U74" s="8">
        <v>35.5</v>
      </c>
      <c r="V74" s="10">
        <f t="shared" si="6"/>
        <v>0.12448959070384842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4836.0564471500002</v>
      </c>
      <c r="E75">
        <v>698.67017155506005</v>
      </c>
      <c r="F75">
        <v>140.00776483638001</v>
      </c>
      <c r="G75">
        <v>117.34276206323</v>
      </c>
      <c r="I75" s="9">
        <f t="shared" si="8"/>
        <v>581.32740949183005</v>
      </c>
      <c r="J75" s="9">
        <f t="shared" si="9"/>
        <v>4696.0486823136198</v>
      </c>
      <c r="K75" s="9">
        <f t="shared" si="10"/>
        <v>581.32740949183005</v>
      </c>
      <c r="L75" s="10">
        <f t="shared" si="7"/>
        <v>0.12379075448711603</v>
      </c>
      <c r="M75" s="10">
        <f t="shared" si="11"/>
        <v>0.12727211628972815</v>
      </c>
      <c r="P75" s="8">
        <f t="shared" si="12"/>
        <v>0.40329145016113654</v>
      </c>
      <c r="U75" s="8">
        <v>36</v>
      </c>
      <c r="V75" s="10">
        <f t="shared" si="6"/>
        <v>0.12462407931153181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4859.4078583287001</v>
      </c>
      <c r="E76">
        <v>701.03597122302006</v>
      </c>
      <c r="F76">
        <v>140.30948419301001</v>
      </c>
      <c r="G76">
        <v>117.18080976151001</v>
      </c>
      <c r="I76" s="9">
        <f t="shared" si="8"/>
        <v>583.85516146151008</v>
      </c>
      <c r="J76" s="9">
        <f t="shared" si="9"/>
        <v>4719.0983741356904</v>
      </c>
      <c r="K76" s="9">
        <f t="shared" si="10"/>
        <v>583.85516146151008</v>
      </c>
      <c r="L76" s="10">
        <f t="shared" si="7"/>
        <v>0.12372176105958885</v>
      </c>
      <c r="M76" s="10">
        <f t="shared" si="11"/>
        <v>0.12725081274990796</v>
      </c>
      <c r="P76" s="8">
        <f t="shared" si="12"/>
        <v>0.3864853689876504</v>
      </c>
      <c r="U76" s="8">
        <v>36.5</v>
      </c>
      <c r="V76" s="10">
        <f t="shared" si="6"/>
        <v>0.12398500096497357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4868.2318760376002</v>
      </c>
      <c r="E77">
        <v>700.67459878250997</v>
      </c>
      <c r="F77">
        <v>140.32667775928999</v>
      </c>
      <c r="G77">
        <v>117.46311702718</v>
      </c>
      <c r="I77" s="9">
        <f t="shared" si="8"/>
        <v>583.21148175532994</v>
      </c>
      <c r="J77" s="9">
        <f t="shared" si="9"/>
        <v>4727.9051982783103</v>
      </c>
      <c r="K77" s="9">
        <f t="shared" si="10"/>
        <v>583.21148175532994</v>
      </c>
      <c r="L77" s="10">
        <f t="shared" si="7"/>
        <v>0.12335515567607178</v>
      </c>
      <c r="M77" s="10">
        <f t="shared" si="11"/>
        <v>0.12693189725409793</v>
      </c>
      <c r="P77" s="8">
        <f t="shared" si="12"/>
        <v>0.13489714678118234</v>
      </c>
      <c r="U77" s="8">
        <v>37</v>
      </c>
      <c r="V77" s="10">
        <f t="shared" si="6"/>
        <v>0.12379075448711603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4827.2291090204999</v>
      </c>
      <c r="E78">
        <v>690.01438848920998</v>
      </c>
      <c r="F78">
        <v>140.35940099833999</v>
      </c>
      <c r="G78">
        <v>117.39212423738</v>
      </c>
      <c r="I78" s="9">
        <f t="shared" si="8"/>
        <v>572.62226425182996</v>
      </c>
      <c r="J78" s="9">
        <f t="shared" si="9"/>
        <v>4686.86970802216</v>
      </c>
      <c r="K78" s="9">
        <f t="shared" si="10"/>
        <v>572.62226425182996</v>
      </c>
      <c r="L78" s="10">
        <f t="shared" si="7"/>
        <v>0.12217584441737644</v>
      </c>
      <c r="M78" s="10">
        <f t="shared" si="11"/>
        <v>0.1258002758831096</v>
      </c>
      <c r="P78" s="8">
        <f t="shared" si="12"/>
        <v>-0.75782400561896346</v>
      </c>
      <c r="U78" s="8">
        <v>37.5</v>
      </c>
      <c r="V78" s="10">
        <f t="shared" si="6"/>
        <v>0.12372176105958885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4790.7415605977003</v>
      </c>
      <c r="E79">
        <v>683.20420586607997</v>
      </c>
      <c r="F79">
        <v>139.97004991681001</v>
      </c>
      <c r="G79">
        <v>117.69217970050001</v>
      </c>
      <c r="I79" s="9">
        <f t="shared" si="8"/>
        <v>565.51202616557998</v>
      </c>
      <c r="J79" s="9">
        <f t="shared" si="9"/>
        <v>4650.7715106808901</v>
      </c>
      <c r="K79" s="9">
        <f t="shared" si="10"/>
        <v>565.51202616557998</v>
      </c>
      <c r="L79" s="10">
        <f t="shared" si="7"/>
        <v>0.12159531485621983</v>
      </c>
      <c r="M79" s="10">
        <f t="shared" si="11"/>
        <v>0.12526743620965999</v>
      </c>
      <c r="P79" s="8">
        <f t="shared" si="12"/>
        <v>-1.1781741859191204</v>
      </c>
      <c r="U79" s="8">
        <v>38</v>
      </c>
      <c r="V79" s="10">
        <f t="shared" si="6"/>
        <v>0.12335515567607178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4793.2905368012998</v>
      </c>
      <c r="E80">
        <v>684.90149418926001</v>
      </c>
      <c r="F80">
        <v>139.89129229062999</v>
      </c>
      <c r="G80">
        <v>117.69051580699001</v>
      </c>
      <c r="I80" s="9">
        <f t="shared" si="8"/>
        <v>567.21097838227001</v>
      </c>
      <c r="J80" s="9">
        <f t="shared" si="9"/>
        <v>4653.3992445106696</v>
      </c>
      <c r="K80" s="9">
        <f t="shared" si="10"/>
        <v>567.21097838227001</v>
      </c>
      <c r="L80" s="10">
        <f t="shared" si="7"/>
        <v>0.12189175021923471</v>
      </c>
      <c r="M80" s="10">
        <f t="shared" si="11"/>
        <v>0.12561156146038188</v>
      </c>
      <c r="P80" s="8">
        <f t="shared" si="12"/>
        <v>-0.90669832104911752</v>
      </c>
      <c r="U80" s="8">
        <v>38.5</v>
      </c>
      <c r="V80" s="10">
        <f t="shared" si="6"/>
        <v>0.12217584441737644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4855.8455149501997</v>
      </c>
      <c r="E81">
        <v>686.39368770763997</v>
      </c>
      <c r="F81">
        <v>140.38103161398001</v>
      </c>
      <c r="G81">
        <v>117.28674431503001</v>
      </c>
      <c r="I81" s="9">
        <f t="shared" si="8"/>
        <v>569.10694339260999</v>
      </c>
      <c r="J81" s="9">
        <f t="shared" si="9"/>
        <v>4715.4644833362199</v>
      </c>
      <c r="K81" s="9">
        <f t="shared" si="10"/>
        <v>569.10694339260999</v>
      </c>
      <c r="L81" s="10">
        <f t="shared" si="7"/>
        <v>0.12068947723045161</v>
      </c>
      <c r="M81" s="10">
        <f t="shared" si="11"/>
        <v>0.1244569783593058</v>
      </c>
      <c r="P81" s="8">
        <f t="shared" si="12"/>
        <v>-1.8175336790224046</v>
      </c>
      <c r="U81" s="8">
        <v>39</v>
      </c>
      <c r="V81" s="10">
        <f t="shared" si="6"/>
        <v>0.12159531485621983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11</v>
      </c>
      <c r="D82">
        <v>4876.7890365449002</v>
      </c>
      <c r="E82">
        <v>685.50553709856001</v>
      </c>
      <c r="F82">
        <v>140.30504714365</v>
      </c>
      <c r="G82">
        <v>117.44703272324</v>
      </c>
      <c r="H82" s="13"/>
      <c r="I82" s="14">
        <f t="shared" si="8"/>
        <v>568.05850437532001</v>
      </c>
      <c r="J82" s="14">
        <f t="shared" si="9"/>
        <v>4736.4839894012503</v>
      </c>
      <c r="K82" s="9">
        <f t="shared" si="10"/>
        <v>568.05850437532001</v>
      </c>
      <c r="L82" s="15">
        <f t="shared" si="7"/>
        <v>0.11993252920234818</v>
      </c>
      <c r="M82" s="15">
        <f t="shared" si="11"/>
        <v>0.12374772021890938</v>
      </c>
      <c r="N82" s="13"/>
      <c r="O82" s="13"/>
      <c r="P82" s="13">
        <f t="shared" si="12"/>
        <v>-2.3770580576499367</v>
      </c>
      <c r="U82" s="8">
        <v>39.5</v>
      </c>
      <c r="V82" s="10">
        <f t="shared" si="6"/>
        <v>0.12189175021923471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4788.9612403101</v>
      </c>
      <c r="E83">
        <v>679.12236987818005</v>
      </c>
      <c r="F83">
        <v>140.15529672768</v>
      </c>
      <c r="G83">
        <v>117.83915696062</v>
      </c>
      <c r="I83" s="9">
        <f t="shared" si="8"/>
        <v>561.28321291756004</v>
      </c>
      <c r="J83" s="9">
        <f t="shared" si="9"/>
        <v>4648.8059435824198</v>
      </c>
      <c r="K83" s="9">
        <f t="shared" si="10"/>
        <v>561.28321291756004</v>
      </c>
      <c r="L83" s="10">
        <f t="shared" si="7"/>
        <v>0.12073707092299688</v>
      </c>
      <c r="M83" s="10">
        <f t="shared" si="11"/>
        <v>0.1245999518272651</v>
      </c>
      <c r="P83" s="8">
        <f t="shared" si="12"/>
        <v>-1.7047437986335254</v>
      </c>
      <c r="U83" s="8">
        <v>40</v>
      </c>
      <c r="V83" s="10">
        <f t="shared" si="6"/>
        <v>0.12068947723045161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4788.0880398670997</v>
      </c>
      <c r="E84">
        <v>677.14562569214002</v>
      </c>
      <c r="F84">
        <v>140.04714364947</v>
      </c>
      <c r="G84">
        <v>117.39046034387</v>
      </c>
      <c r="I84" s="9">
        <f t="shared" si="8"/>
        <v>559.75516534827</v>
      </c>
      <c r="J84" s="9">
        <f t="shared" si="9"/>
        <v>4648.0408962176298</v>
      </c>
      <c r="K84" s="9">
        <f t="shared" si="10"/>
        <v>559.75516534827</v>
      </c>
      <c r="L84" s="10">
        <f t="shared" si="7"/>
        <v>0.12042819283362459</v>
      </c>
      <c r="M84" s="10">
        <f t="shared" si="11"/>
        <v>0.12433876362559983</v>
      </c>
      <c r="P84" s="8">
        <f t="shared" si="12"/>
        <v>-1.910791720987896</v>
      </c>
      <c r="U84" s="8">
        <v>150.5</v>
      </c>
      <c r="V84" s="10">
        <f>L302</f>
        <v>0.13907969180106816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4772.7547065338003</v>
      </c>
      <c r="E85">
        <v>678.53986710964</v>
      </c>
      <c r="F85">
        <v>140.83527454243</v>
      </c>
      <c r="G85">
        <v>117.62229617305</v>
      </c>
      <c r="I85" s="9">
        <f t="shared" si="8"/>
        <v>560.91757093658998</v>
      </c>
      <c r="J85" s="9">
        <f t="shared" si="9"/>
        <v>4631.9194319913704</v>
      </c>
      <c r="K85" s="9">
        <f t="shared" si="10"/>
        <v>560.91757093658998</v>
      </c>
      <c r="L85" s="10">
        <f t="shared" si="7"/>
        <v>0.12109830042864939</v>
      </c>
      <c r="M85" s="10">
        <f t="shared" si="11"/>
        <v>0.12505656110833163</v>
      </c>
      <c r="P85" s="8">
        <f t="shared" si="12"/>
        <v>-1.3445307679850269</v>
      </c>
      <c r="U85" s="8">
        <v>151</v>
      </c>
      <c r="V85" s="10">
        <f t="shared" ref="V85:V103" si="13">L303</f>
        <v>0.13954724415515868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4828.3582502769004</v>
      </c>
      <c r="E86">
        <v>681.51605758583003</v>
      </c>
      <c r="F86">
        <v>140.05435385468999</v>
      </c>
      <c r="G86">
        <v>117.74320576816</v>
      </c>
      <c r="I86" s="9">
        <f t="shared" si="8"/>
        <v>563.77285181767002</v>
      </c>
      <c r="J86" s="9">
        <f t="shared" si="9"/>
        <v>4688.3038964222105</v>
      </c>
      <c r="K86" s="9">
        <f t="shared" si="10"/>
        <v>563.77285181767002</v>
      </c>
      <c r="L86" s="10">
        <f t="shared" si="7"/>
        <v>0.12025091894062211</v>
      </c>
      <c r="M86" s="10">
        <f t="shared" si="11"/>
        <v>0.12425686950801137</v>
      </c>
      <c r="P86" s="8">
        <f t="shared" si="12"/>
        <v>-1.9753969086439978</v>
      </c>
      <c r="U86" s="8">
        <v>151.5</v>
      </c>
      <c r="V86" s="10">
        <f t="shared" si="13"/>
        <v>0.13727883374870181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4829.9058693244997</v>
      </c>
      <c r="E87">
        <v>676.20819490586996</v>
      </c>
      <c r="F87">
        <v>140.47587354409001</v>
      </c>
      <c r="G87">
        <v>117.65446478091999</v>
      </c>
      <c r="I87" s="9">
        <f t="shared" si="8"/>
        <v>558.55373012494999</v>
      </c>
      <c r="J87" s="9">
        <f t="shared" si="9"/>
        <v>4689.4299957804096</v>
      </c>
      <c r="K87" s="9">
        <f t="shared" si="10"/>
        <v>558.55373012494999</v>
      </c>
      <c r="L87" s="10">
        <f t="shared" si="7"/>
        <v>0.11910908801870196</v>
      </c>
      <c r="M87" s="10">
        <f t="shared" si="11"/>
        <v>0.12316272847379825</v>
      </c>
      <c r="P87" s="8">
        <f t="shared" si="12"/>
        <v>-2.8385503184262415</v>
      </c>
      <c r="U87" s="8">
        <v>152</v>
      </c>
      <c r="V87" s="10">
        <f t="shared" si="13"/>
        <v>0.13671254237412908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4817.8953488371999</v>
      </c>
      <c r="E88">
        <v>670.43964562568999</v>
      </c>
      <c r="F88">
        <v>140.2612312812</v>
      </c>
      <c r="G88">
        <v>117.33444259567</v>
      </c>
      <c r="I88" s="9">
        <f t="shared" si="8"/>
        <v>553.10520303001999</v>
      </c>
      <c r="J88" s="9">
        <f t="shared" si="9"/>
        <v>4677.6341175560001</v>
      </c>
      <c r="K88" s="9">
        <f t="shared" si="10"/>
        <v>553.10520303001999</v>
      </c>
      <c r="L88" s="10">
        <f t="shared" si="7"/>
        <v>0.11824464871121855</v>
      </c>
      <c r="M88" s="10">
        <f t="shared" si="11"/>
        <v>0.12234597905402185</v>
      </c>
      <c r="P88" s="8">
        <f t="shared" si="12"/>
        <v>-3.4828731475436694</v>
      </c>
      <c r="U88" s="8">
        <v>152.5</v>
      </c>
      <c r="V88" s="10">
        <f t="shared" si="13"/>
        <v>0.13606588380242987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4742.4368070952996</v>
      </c>
      <c r="E89">
        <v>664.58259423503</v>
      </c>
      <c r="F89">
        <v>140.76650027732001</v>
      </c>
      <c r="G89">
        <v>117.76650027732001</v>
      </c>
      <c r="I89" s="9">
        <f t="shared" si="8"/>
        <v>546.81609395771</v>
      </c>
      <c r="J89" s="9">
        <f t="shared" si="9"/>
        <v>4601.6703068179795</v>
      </c>
      <c r="K89" s="9">
        <f t="shared" si="10"/>
        <v>546.81609395771</v>
      </c>
      <c r="L89" s="10">
        <f t="shared" si="7"/>
        <v>0.11882991555208335</v>
      </c>
      <c r="M89" s="10">
        <f t="shared" si="11"/>
        <v>0.12297893578259367</v>
      </c>
      <c r="P89" s="8">
        <f t="shared" si="12"/>
        <v>-2.9835419448671421</v>
      </c>
      <c r="U89" s="8">
        <v>153</v>
      </c>
      <c r="V89" s="10">
        <f t="shared" si="13"/>
        <v>0.13505889152336367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4750.4185144124003</v>
      </c>
      <c r="E90">
        <v>657.89246119734003</v>
      </c>
      <c r="F90">
        <v>140.17526344980999</v>
      </c>
      <c r="G90">
        <v>117.41486411536</v>
      </c>
      <c r="I90" s="9">
        <f t="shared" si="8"/>
        <v>540.47759708197998</v>
      </c>
      <c r="J90" s="9">
        <f t="shared" si="9"/>
        <v>4610.2432509625905</v>
      </c>
      <c r="K90" s="9">
        <f t="shared" si="10"/>
        <v>540.47759708197998</v>
      </c>
      <c r="L90" s="10">
        <f t="shared" si="7"/>
        <v>0.11723407370514161</v>
      </c>
      <c r="M90" s="10">
        <f t="shared" si="11"/>
        <v>0.12143078382335894</v>
      </c>
      <c r="P90" s="8">
        <f t="shared" si="12"/>
        <v>-4.2048585765347797</v>
      </c>
      <c r="U90" s="8">
        <v>153.5</v>
      </c>
      <c r="V90" s="10">
        <f t="shared" si="13"/>
        <v>0.13540284030821181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4718.4351441241997</v>
      </c>
      <c r="E91">
        <v>652.73835920176998</v>
      </c>
      <c r="F91">
        <v>140.81974486966001</v>
      </c>
      <c r="G91">
        <v>117.66444814198999</v>
      </c>
      <c r="I91" s="9">
        <f t="shared" si="8"/>
        <v>535.07391105978002</v>
      </c>
      <c r="J91" s="9">
        <f t="shared" si="9"/>
        <v>4577.6153992545396</v>
      </c>
      <c r="K91" s="9">
        <f t="shared" si="10"/>
        <v>535.07391105978002</v>
      </c>
      <c r="L91" s="10">
        <f t="shared" si="7"/>
        <v>0.11688922384063027</v>
      </c>
      <c r="M91" s="10">
        <f t="shared" si="11"/>
        <v>0.12113362384655463</v>
      </c>
      <c r="P91" s="8">
        <f t="shared" si="12"/>
        <v>-4.439284157158319</v>
      </c>
      <c r="U91" s="8">
        <v>154</v>
      </c>
      <c r="V91" s="10">
        <f t="shared" si="13"/>
        <v>0.13503321655625369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4681.75</v>
      </c>
      <c r="E92">
        <v>647.76385809313001</v>
      </c>
      <c r="F92">
        <v>140.86023294508999</v>
      </c>
      <c r="G92">
        <v>118.19356627843</v>
      </c>
      <c r="I92" s="9">
        <f t="shared" si="8"/>
        <v>529.5702918147</v>
      </c>
      <c r="J92" s="9">
        <f t="shared" si="9"/>
        <v>4540.8897670549104</v>
      </c>
      <c r="K92" s="9">
        <f t="shared" si="10"/>
        <v>529.5702918147</v>
      </c>
      <c r="L92" s="10">
        <f t="shared" si="7"/>
        <v>0.11662258257331888</v>
      </c>
      <c r="M92" s="10">
        <f t="shared" si="11"/>
        <v>0.12091467246695024</v>
      </c>
      <c r="P92" s="8">
        <f t="shared" si="12"/>
        <v>-4.612012008479577</v>
      </c>
      <c r="U92" s="8">
        <v>154.5</v>
      </c>
      <c r="V92" s="10">
        <f t="shared" si="13"/>
        <v>0.13444436103867466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4598.6225055431996</v>
      </c>
      <c r="E93">
        <v>636.25720620843003</v>
      </c>
      <c r="F93">
        <v>140.65723793677</v>
      </c>
      <c r="G93">
        <v>117.89295618414</v>
      </c>
      <c r="I93" s="9">
        <f t="shared" si="8"/>
        <v>518.36425002429007</v>
      </c>
      <c r="J93" s="9">
        <f t="shared" si="9"/>
        <v>4457.9652676064297</v>
      </c>
      <c r="K93" s="9">
        <f t="shared" si="10"/>
        <v>518.36425002429007</v>
      </c>
      <c r="L93" s="10">
        <f t="shared" si="7"/>
        <v>0.11627821638516492</v>
      </c>
      <c r="M93" s="10">
        <f t="shared" si="11"/>
        <v>0.1206179961665033</v>
      </c>
      <c r="P93" s="8">
        <f t="shared" si="12"/>
        <v>-4.8460560232134924</v>
      </c>
      <c r="U93" s="8">
        <v>155</v>
      </c>
      <c r="V93" s="10">
        <f t="shared" si="13"/>
        <v>0.13406819482466806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4730.1502217295001</v>
      </c>
      <c r="E94">
        <v>641.22339246119998</v>
      </c>
      <c r="F94">
        <v>141.12645590682001</v>
      </c>
      <c r="G94">
        <v>117.81641708264</v>
      </c>
      <c r="I94" s="9">
        <f t="shared" si="8"/>
        <v>523.40697537855999</v>
      </c>
      <c r="J94" s="9">
        <f t="shared" si="9"/>
        <v>4589.0237658226797</v>
      </c>
      <c r="K94" s="9">
        <f t="shared" si="10"/>
        <v>523.40697537855999</v>
      </c>
      <c r="L94" s="10">
        <f t="shared" si="7"/>
        <v>0.11405627908852815</v>
      </c>
      <c r="M94" s="10">
        <f t="shared" si="11"/>
        <v>0.11844374875757355</v>
      </c>
      <c r="P94" s="8">
        <f t="shared" si="12"/>
        <v>-6.5612910852798763</v>
      </c>
      <c r="U94" s="8">
        <v>155.5</v>
      </c>
      <c r="V94" s="10">
        <f t="shared" si="13"/>
        <v>0.13431470146435098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4777.0216186253001</v>
      </c>
      <c r="E95">
        <v>645.20177383591999</v>
      </c>
      <c r="F95">
        <v>140.85967831392</v>
      </c>
      <c r="G95">
        <v>118.1231281198</v>
      </c>
      <c r="I95" s="9">
        <f t="shared" si="8"/>
        <v>527.07864571612004</v>
      </c>
      <c r="J95" s="9">
        <f t="shared" si="9"/>
        <v>4636.16194031138</v>
      </c>
      <c r="K95" s="9">
        <f t="shared" si="10"/>
        <v>527.07864571612004</v>
      </c>
      <c r="L95" s="10">
        <f t="shared" si="7"/>
        <v>0.11368857527024168</v>
      </c>
      <c r="M95" s="10">
        <f t="shared" si="11"/>
        <v>0.11812373482699409</v>
      </c>
      <c r="P95" s="8">
        <f t="shared" si="12"/>
        <v>-6.8137458481671169</v>
      </c>
      <c r="U95" s="8">
        <v>156</v>
      </c>
      <c r="V95" s="10">
        <f t="shared" si="13"/>
        <v>0.13450025074571195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4754.5221729490004</v>
      </c>
      <c r="E96">
        <v>641.60864745010997</v>
      </c>
      <c r="F96">
        <v>140.74875207987</v>
      </c>
      <c r="G96">
        <v>117.93732667776</v>
      </c>
      <c r="I96" s="9">
        <f t="shared" si="8"/>
        <v>523.67132077234999</v>
      </c>
      <c r="J96" s="9">
        <f t="shared" si="9"/>
        <v>4613.77342086913</v>
      </c>
      <c r="K96" s="9">
        <f t="shared" si="10"/>
        <v>523.67132077234999</v>
      </c>
      <c r="L96" s="10">
        <f t="shared" si="7"/>
        <v>0.11350174206727781</v>
      </c>
      <c r="M96" s="10">
        <f t="shared" si="11"/>
        <v>0.11798459151173724</v>
      </c>
      <c r="P96" s="8">
        <f t="shared" si="12"/>
        <v>-6.9235141716801234</v>
      </c>
      <c r="U96" s="8">
        <v>156.5</v>
      </c>
      <c r="V96" s="10">
        <f t="shared" si="13"/>
        <v>0.13386035189786269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4709.2078713969004</v>
      </c>
      <c r="E97">
        <v>636.70454545455004</v>
      </c>
      <c r="F97">
        <v>140.93843594009999</v>
      </c>
      <c r="G97">
        <v>117.53521907931</v>
      </c>
      <c r="I97" s="9">
        <f t="shared" si="8"/>
        <v>519.16932637524008</v>
      </c>
      <c r="J97" s="9">
        <f t="shared" si="9"/>
        <v>4568.2694354568002</v>
      </c>
      <c r="K97" s="9">
        <f t="shared" si="10"/>
        <v>519.16932637524008</v>
      </c>
      <c r="L97" s="10">
        <f t="shared" si="7"/>
        <v>0.11364682703381881</v>
      </c>
      <c r="M97" s="10">
        <f t="shared" si="11"/>
        <v>0.11817736636598525</v>
      </c>
      <c r="P97" s="8">
        <f t="shared" si="12"/>
        <v>-6.7714366354563653</v>
      </c>
      <c r="U97" s="8">
        <v>157</v>
      </c>
      <c r="V97" s="10">
        <f t="shared" si="13"/>
        <v>0.13393894864705386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4681.5875831486001</v>
      </c>
      <c r="E98">
        <v>633.93569844788999</v>
      </c>
      <c r="F98">
        <v>141.11924570161</v>
      </c>
      <c r="G98">
        <v>117.71769273433</v>
      </c>
      <c r="I98" s="9">
        <f t="shared" si="8"/>
        <v>516.21800571355993</v>
      </c>
      <c r="J98" s="9">
        <f t="shared" si="9"/>
        <v>4540.4683374469896</v>
      </c>
      <c r="K98" s="9">
        <f t="shared" si="10"/>
        <v>516.21800571355993</v>
      </c>
      <c r="L98" s="10">
        <f t="shared" si="7"/>
        <v>0.11369267823235576</v>
      </c>
      <c r="M98" s="10">
        <f t="shared" si="11"/>
        <v>0.11827090745222922</v>
      </c>
      <c r="P98" s="8">
        <f t="shared" si="12"/>
        <v>-6.6976433080684679</v>
      </c>
      <c r="U98" s="8">
        <v>157.5</v>
      </c>
      <c r="V98" s="10">
        <f t="shared" si="13"/>
        <v>0.1340248520429248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4674.4534368070999</v>
      </c>
      <c r="E99">
        <v>629.93070953436995</v>
      </c>
      <c r="F99">
        <v>140.80199667221001</v>
      </c>
      <c r="G99">
        <v>117.90571270105001</v>
      </c>
      <c r="I99" s="9">
        <f t="shared" si="8"/>
        <v>512.02499683331996</v>
      </c>
      <c r="J99" s="9">
        <f t="shared" si="9"/>
        <v>4533.6514401348895</v>
      </c>
      <c r="K99" s="9">
        <f t="shared" si="10"/>
        <v>512.02499683331996</v>
      </c>
      <c r="L99" s="10">
        <f t="shared" si="7"/>
        <v>0.11293876549496838</v>
      </c>
      <c r="M99" s="10">
        <f t="shared" si="11"/>
        <v>0.11756468460254885</v>
      </c>
      <c r="P99" s="8">
        <f t="shared" si="12"/>
        <v>-7.2547731859421569</v>
      </c>
      <c r="U99" s="8">
        <v>158</v>
      </c>
      <c r="V99" s="10">
        <f t="shared" si="13"/>
        <v>0.13342322135996987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4675.5825942350002</v>
      </c>
      <c r="E100">
        <v>629.38248337028995</v>
      </c>
      <c r="F100">
        <v>141.22129783694001</v>
      </c>
      <c r="G100">
        <v>118.14586799778</v>
      </c>
      <c r="I100" s="9">
        <f t="shared" si="8"/>
        <v>511.23661537250996</v>
      </c>
      <c r="J100" s="9">
        <f t="shared" si="9"/>
        <v>4534.3612963980604</v>
      </c>
      <c r="K100" s="9">
        <f t="shared" si="10"/>
        <v>511.23661537250996</v>
      </c>
      <c r="L100" s="10">
        <f t="shared" si="7"/>
        <v>0.11274721663194739</v>
      </c>
      <c r="M100" s="10">
        <f t="shared" si="11"/>
        <v>0.11742082562723488</v>
      </c>
      <c r="P100" s="8">
        <f t="shared" si="12"/>
        <v>-7.3682616313867868</v>
      </c>
      <c r="U100" s="8">
        <v>158.5</v>
      </c>
      <c r="V100" s="10">
        <f t="shared" si="13"/>
        <v>0.13335123174770616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4666.1607538803</v>
      </c>
      <c r="E101">
        <v>625.67793791574002</v>
      </c>
      <c r="F101">
        <v>141.47920133112001</v>
      </c>
      <c r="G101">
        <v>117.89406544648</v>
      </c>
      <c r="I101" s="9">
        <f t="shared" si="8"/>
        <v>507.78387246926002</v>
      </c>
      <c r="J101" s="9">
        <f t="shared" si="9"/>
        <v>4524.6815525491802</v>
      </c>
      <c r="K101" s="9">
        <f t="shared" si="10"/>
        <v>507.78387246926002</v>
      </c>
      <c r="L101" s="10">
        <f t="shared" si="7"/>
        <v>0.11222532825170368</v>
      </c>
      <c r="M101" s="10">
        <f t="shared" si="11"/>
        <v>0.11694662713469818</v>
      </c>
      <c r="P101" s="8">
        <f t="shared" si="12"/>
        <v>-7.7423505586346488</v>
      </c>
      <c r="U101" s="8">
        <v>159</v>
      </c>
      <c r="V101" s="10">
        <f t="shared" si="13"/>
        <v>0.13333566730062674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4671.3991130820004</v>
      </c>
      <c r="E102">
        <v>623.58314855875994</v>
      </c>
      <c r="F102">
        <v>141.58846367166001</v>
      </c>
      <c r="G102">
        <v>117.73433166944</v>
      </c>
      <c r="I102" s="9">
        <f t="shared" si="8"/>
        <v>505.84881688931995</v>
      </c>
      <c r="J102" s="9">
        <f t="shared" si="9"/>
        <v>4529.8106494103404</v>
      </c>
      <c r="K102" s="9">
        <f t="shared" si="10"/>
        <v>505.84881688931995</v>
      </c>
      <c r="L102" s="10">
        <f t="shared" si="7"/>
        <v>0.11167107326112359</v>
      </c>
      <c r="M102" s="10">
        <f t="shared" si="11"/>
        <v>0.11644006203182511</v>
      </c>
      <c r="P102" s="8">
        <f t="shared" si="12"/>
        <v>-8.1419730772581627</v>
      </c>
      <c r="U102" s="8">
        <v>159.5</v>
      </c>
      <c r="V102" s="10">
        <f t="shared" si="13"/>
        <v>0.13427837324691067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4696.0626385809001</v>
      </c>
      <c r="E103">
        <v>624.45842572061997</v>
      </c>
      <c r="F103">
        <v>141.38269550749001</v>
      </c>
      <c r="G103">
        <v>118.10648918469001</v>
      </c>
      <c r="I103" s="9">
        <f t="shared" si="8"/>
        <v>506.35193653592995</v>
      </c>
      <c r="J103" s="9">
        <f t="shared" si="9"/>
        <v>4554.67994307341</v>
      </c>
      <c r="K103" s="9">
        <f t="shared" si="10"/>
        <v>506.35193653592995</v>
      </c>
      <c r="L103" s="10">
        <f t="shared" si="7"/>
        <v>0.11117179315880832</v>
      </c>
      <c r="M103" s="10">
        <f t="shared" si="11"/>
        <v>0.11598847181721685</v>
      </c>
      <c r="P103" s="8">
        <f t="shared" si="12"/>
        <v>-8.4982266326727487</v>
      </c>
      <c r="U103" s="8">
        <v>160</v>
      </c>
      <c r="V103" s="10">
        <f t="shared" si="13"/>
        <v>0.13274903856414591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4712.6712860309999</v>
      </c>
      <c r="E104">
        <v>625.66352549888995</v>
      </c>
      <c r="F104">
        <v>141.09095951193001</v>
      </c>
      <c r="G104">
        <v>118.09206877427</v>
      </c>
      <c r="I104" s="9">
        <f t="shared" si="8"/>
        <v>507.57145672461996</v>
      </c>
      <c r="J104" s="9">
        <f t="shared" si="9"/>
        <v>4571.5803265190698</v>
      </c>
      <c r="K104" s="9">
        <f t="shared" si="10"/>
        <v>507.57145672461996</v>
      </c>
      <c r="L104" s="10">
        <f t="shared" si="7"/>
        <v>0.11102757043997938</v>
      </c>
      <c r="M104" s="10">
        <f t="shared" si="11"/>
        <v>0.11589193898609493</v>
      </c>
      <c r="P104" s="8">
        <f t="shared" si="12"/>
        <v>-8.5743801080779924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4690.6807925150997</v>
      </c>
      <c r="E105">
        <v>621.87892129884005</v>
      </c>
      <c r="F105">
        <v>141.47476428175</v>
      </c>
      <c r="G105">
        <v>118.05324459235</v>
      </c>
      <c r="I105" s="9">
        <f t="shared" si="8"/>
        <v>503.82567670649007</v>
      </c>
      <c r="J105" s="9">
        <f t="shared" si="9"/>
        <v>4549.2060282333496</v>
      </c>
      <c r="K105" s="9">
        <f t="shared" si="10"/>
        <v>503.82567670649007</v>
      </c>
      <c r="L105" s="10">
        <f t="shared" si="7"/>
        <v>0.11075024379631077</v>
      </c>
      <c r="M105" s="10">
        <f t="shared" si="11"/>
        <v>0.11566230223013332</v>
      </c>
      <c r="P105" s="8">
        <f t="shared" si="12"/>
        <v>-8.7555375116682335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4723.0038525041</v>
      </c>
      <c r="E106">
        <v>625.56962025317</v>
      </c>
      <c r="F106">
        <v>141.64836383804999</v>
      </c>
      <c r="G106">
        <v>118.43926788685999</v>
      </c>
      <c r="I106" s="9">
        <f t="shared" si="8"/>
        <v>507.13035236631003</v>
      </c>
      <c r="J106" s="9">
        <f t="shared" si="9"/>
        <v>4581.3554886660504</v>
      </c>
      <c r="K106" s="9">
        <f t="shared" si="10"/>
        <v>507.13035236631003</v>
      </c>
      <c r="L106" s="10">
        <f t="shared" si="7"/>
        <v>0.11069439025653317</v>
      </c>
      <c r="M106" s="10">
        <f t="shared" si="11"/>
        <v>0.11565413857806275</v>
      </c>
      <c r="P106" s="8">
        <f t="shared" si="12"/>
        <v>-8.7619777089560138</v>
      </c>
      <c r="X106" s="8">
        <v>-13</v>
      </c>
    </row>
    <row r="107" spans="1:25" x14ac:dyDescent="0.2">
      <c r="A107" s="8">
        <v>52.5</v>
      </c>
      <c r="B107" s="8">
        <v>105</v>
      </c>
      <c r="D107">
        <v>4731.7710511833002</v>
      </c>
      <c r="E107">
        <v>624.40121078700997</v>
      </c>
      <c r="F107">
        <v>141.99389905712999</v>
      </c>
      <c r="G107">
        <v>117.81752634498</v>
      </c>
      <c r="I107" s="9">
        <f t="shared" si="8"/>
        <v>506.58368444202995</v>
      </c>
      <c r="J107" s="9">
        <f t="shared" si="9"/>
        <v>4589.7771521261702</v>
      </c>
      <c r="K107" s="9">
        <f t="shared" si="10"/>
        <v>506.58368444202995</v>
      </c>
      <c r="L107" s="10">
        <f t="shared" si="7"/>
        <v>0.11037217443277392</v>
      </c>
      <c r="M107" s="10">
        <f t="shared" si="11"/>
        <v>0.11537961264201051</v>
      </c>
      <c r="P107" s="8">
        <f t="shared" si="12"/>
        <v>-8.9785475937950121</v>
      </c>
      <c r="X107" s="8">
        <v>-13</v>
      </c>
    </row>
    <row r="108" spans="1:25" x14ac:dyDescent="0.2">
      <c r="A108" s="8">
        <v>53</v>
      </c>
      <c r="B108" s="8">
        <v>106</v>
      </c>
      <c r="D108">
        <v>4730.4755090809003</v>
      </c>
      <c r="E108">
        <v>622.72261970280999</v>
      </c>
      <c r="F108">
        <v>141.42872989462001</v>
      </c>
      <c r="G108">
        <v>117.99334442596</v>
      </c>
      <c r="I108" s="9">
        <f t="shared" si="8"/>
        <v>504.72927527684999</v>
      </c>
      <c r="J108" s="9">
        <f t="shared" si="9"/>
        <v>4589.0467791862802</v>
      </c>
      <c r="K108" s="9">
        <f t="shared" si="10"/>
        <v>504.72927527684999</v>
      </c>
      <c r="L108" s="10">
        <f t="shared" si="7"/>
        <v>0.1099856461620876</v>
      </c>
      <c r="M108" s="10">
        <f t="shared" si="11"/>
        <v>0.11504077425903121</v>
      </c>
      <c r="P108" s="8">
        <f t="shared" si="12"/>
        <v>-9.2458527185351844</v>
      </c>
      <c r="X108" s="8">
        <v>-13</v>
      </c>
    </row>
    <row r="109" spans="1:25" x14ac:dyDescent="0.2">
      <c r="A109" s="8">
        <v>53.5</v>
      </c>
      <c r="B109" s="8">
        <v>107</v>
      </c>
      <c r="D109">
        <v>4773.1670366259996</v>
      </c>
      <c r="E109">
        <v>630.21198668146997</v>
      </c>
      <c r="F109">
        <v>141.81198003328001</v>
      </c>
      <c r="G109">
        <v>118.14198557959</v>
      </c>
      <c r="I109" s="9">
        <f t="shared" si="8"/>
        <v>512.07000110187994</v>
      </c>
      <c r="J109" s="9">
        <f t="shared" si="9"/>
        <v>4631.3550565927198</v>
      </c>
      <c r="K109" s="9">
        <f t="shared" si="10"/>
        <v>512.07000110187994</v>
      </c>
      <c r="L109" s="10">
        <f t="shared" si="7"/>
        <v>0.11056591318192066</v>
      </c>
      <c r="M109" s="10">
        <f t="shared" si="11"/>
        <v>0.11566873116657128</v>
      </c>
      <c r="P109" s="8">
        <f t="shared" si="12"/>
        <v>-8.7504658086297962</v>
      </c>
      <c r="X109" s="8">
        <v>-13</v>
      </c>
    </row>
    <row r="110" spans="1:25" x14ac:dyDescent="0.2">
      <c r="A110" s="8">
        <v>54</v>
      </c>
      <c r="B110" s="8">
        <v>108</v>
      </c>
      <c r="D110">
        <v>4588.8035516092996</v>
      </c>
      <c r="E110">
        <v>615.85238623751002</v>
      </c>
      <c r="F110">
        <v>141.62784248475</v>
      </c>
      <c r="G110">
        <v>118.35219079312</v>
      </c>
      <c r="I110" s="9">
        <f t="shared" si="8"/>
        <v>497.50019544438999</v>
      </c>
      <c r="J110" s="9">
        <f t="shared" si="9"/>
        <v>4447.1757091245499</v>
      </c>
      <c r="K110" s="9">
        <f t="shared" si="10"/>
        <v>497.50019544438999</v>
      </c>
      <c r="L110" s="10">
        <f t="shared" si="7"/>
        <v>0.11186879673398953</v>
      </c>
      <c r="M110" s="10">
        <f t="shared" si="11"/>
        <v>0.11701930460634717</v>
      </c>
      <c r="P110" s="8">
        <f t="shared" si="12"/>
        <v>-7.6850162612208841</v>
      </c>
      <c r="X110" s="8">
        <v>-13</v>
      </c>
    </row>
    <row r="111" spans="1:25" x14ac:dyDescent="0.2">
      <c r="A111" s="8">
        <v>54.5</v>
      </c>
      <c r="B111" s="8">
        <v>109</v>
      </c>
      <c r="D111">
        <v>4613.1975582686</v>
      </c>
      <c r="E111">
        <v>619.44173140955002</v>
      </c>
      <c r="F111">
        <v>141.91014975042</v>
      </c>
      <c r="G111">
        <v>118.17637271215</v>
      </c>
      <c r="I111" s="9">
        <f t="shared" si="8"/>
        <v>501.26535869740002</v>
      </c>
      <c r="J111" s="9">
        <f t="shared" si="9"/>
        <v>4471.2874085181802</v>
      </c>
      <c r="K111" s="9">
        <f t="shared" si="10"/>
        <v>501.26535869740002</v>
      </c>
      <c r="L111" s="10">
        <f t="shared" si="7"/>
        <v>0.11210761306518725</v>
      </c>
      <c r="M111" s="10">
        <f t="shared" si="11"/>
        <v>0.1173058108252519</v>
      </c>
      <c r="P111" s="8">
        <f t="shared" si="12"/>
        <v>-7.4589952894827309</v>
      </c>
      <c r="X111" s="8">
        <v>-13</v>
      </c>
    </row>
    <row r="112" spans="1:25" x14ac:dyDescent="0.2">
      <c r="A112" s="8">
        <v>55</v>
      </c>
      <c r="B112" s="8">
        <v>110</v>
      </c>
      <c r="D112">
        <v>4616.8695893452004</v>
      </c>
      <c r="E112">
        <v>617.58657047725001</v>
      </c>
      <c r="F112">
        <v>142.28230726567</v>
      </c>
      <c r="G112">
        <v>118.03327787022</v>
      </c>
      <c r="I112" s="9">
        <f t="shared" si="8"/>
        <v>499.55329260703002</v>
      </c>
      <c r="J112" s="9">
        <f t="shared" si="9"/>
        <v>4474.5872820795303</v>
      </c>
      <c r="K112" s="9">
        <f t="shared" si="10"/>
        <v>499.55329260703002</v>
      </c>
      <c r="L112" s="10">
        <f t="shared" si="7"/>
        <v>0.11164231718257296</v>
      </c>
      <c r="M112" s="10">
        <f t="shared" si="11"/>
        <v>0.11688820483034462</v>
      </c>
      <c r="P112" s="8">
        <f t="shared" si="12"/>
        <v>-7.7884391428603346</v>
      </c>
      <c r="X112" s="8">
        <v>-13</v>
      </c>
    </row>
    <row r="113" spans="1:24" x14ac:dyDescent="0.2">
      <c r="A113" s="8">
        <v>55.5</v>
      </c>
      <c r="B113" s="8">
        <v>111</v>
      </c>
      <c r="D113">
        <v>4642.3917869034003</v>
      </c>
      <c r="E113">
        <v>619.33129855716004</v>
      </c>
      <c r="F113">
        <v>142.31225734885999</v>
      </c>
      <c r="G113">
        <v>118.25901275651999</v>
      </c>
      <c r="I113" s="9">
        <f t="shared" si="8"/>
        <v>501.07228580064003</v>
      </c>
      <c r="J113" s="9">
        <f t="shared" si="9"/>
        <v>4500.0795295545404</v>
      </c>
      <c r="K113" s="9">
        <f t="shared" si="10"/>
        <v>501.07228580064003</v>
      </c>
      <c r="L113" s="10">
        <f t="shared" si="7"/>
        <v>0.11134742897538098</v>
      </c>
      <c r="M113" s="10">
        <f t="shared" si="11"/>
        <v>0.11664100651085967</v>
      </c>
      <c r="P113" s="8">
        <f t="shared" si="12"/>
        <v>-7.983450631949883</v>
      </c>
      <c r="X113" s="8">
        <v>-13</v>
      </c>
    </row>
    <row r="114" spans="1:24" x14ac:dyDescent="0.2">
      <c r="A114" s="8">
        <v>56</v>
      </c>
      <c r="B114" s="8">
        <v>112</v>
      </c>
      <c r="D114">
        <v>4656.5982241952997</v>
      </c>
      <c r="E114">
        <v>621.05160932297997</v>
      </c>
      <c r="F114">
        <v>141.91070438158999</v>
      </c>
      <c r="G114">
        <v>118.39988907377</v>
      </c>
      <c r="I114" s="9">
        <f t="shared" si="8"/>
        <v>502.65172024920997</v>
      </c>
      <c r="J114" s="9">
        <f t="shared" si="9"/>
        <v>4514.6875198137095</v>
      </c>
      <c r="K114" s="9">
        <f t="shared" si="10"/>
        <v>502.65172024920997</v>
      </c>
      <c r="L114" s="10">
        <f t="shared" si="7"/>
        <v>0.11133699022207211</v>
      </c>
      <c r="M114" s="10">
        <f t="shared" si="11"/>
        <v>0.1166782576452578</v>
      </c>
      <c r="P114" s="8">
        <f t="shared" si="12"/>
        <v>-7.9540637040597968</v>
      </c>
      <c r="X114" s="8">
        <v>-13</v>
      </c>
    </row>
    <row r="115" spans="1:24" x14ac:dyDescent="0.2">
      <c r="A115" s="8">
        <v>56.5</v>
      </c>
      <c r="B115" s="8">
        <v>113</v>
      </c>
      <c r="D115">
        <v>4681.6109877913004</v>
      </c>
      <c r="E115">
        <v>621.04772475028005</v>
      </c>
      <c r="F115">
        <v>142.31170271769</v>
      </c>
      <c r="G115">
        <v>118.21686078758</v>
      </c>
      <c r="I115" s="9">
        <f t="shared" si="8"/>
        <v>502.83086396270005</v>
      </c>
      <c r="J115" s="9">
        <f t="shared" si="9"/>
        <v>4539.29928507361</v>
      </c>
      <c r="K115" s="9">
        <f t="shared" si="10"/>
        <v>502.83086396270005</v>
      </c>
      <c r="L115" s="10">
        <f t="shared" si="7"/>
        <v>0.11077279385744358</v>
      </c>
      <c r="M115" s="10">
        <f t="shared" si="11"/>
        <v>0.1161617511683363</v>
      </c>
      <c r="P115" s="8">
        <f t="shared" si="12"/>
        <v>-8.3615288413581457</v>
      </c>
      <c r="X115" s="8">
        <v>-13</v>
      </c>
    </row>
    <row r="116" spans="1:24" x14ac:dyDescent="0.2">
      <c r="A116" s="8">
        <v>57</v>
      </c>
      <c r="B116" s="8">
        <v>114</v>
      </c>
      <c r="D116">
        <v>4698.5443951164998</v>
      </c>
      <c r="E116">
        <v>621.09322974473002</v>
      </c>
      <c r="F116">
        <v>142.19911259013</v>
      </c>
      <c r="G116">
        <v>118.17082640044001</v>
      </c>
      <c r="I116" s="9">
        <f t="shared" si="8"/>
        <v>502.92240334429005</v>
      </c>
      <c r="J116" s="9">
        <f t="shared" si="9"/>
        <v>4556.3452825263694</v>
      </c>
      <c r="K116" s="9">
        <f t="shared" si="10"/>
        <v>502.92240334429005</v>
      </c>
      <c r="L116" s="10">
        <f t="shared" si="7"/>
        <v>0.11037846610813333</v>
      </c>
      <c r="M116" s="10">
        <f t="shared" si="11"/>
        <v>0.11581511330673305</v>
      </c>
      <c r="P116" s="8">
        <f t="shared" si="12"/>
        <v>-8.6349868717642924</v>
      </c>
      <c r="X116" s="8">
        <v>-13</v>
      </c>
    </row>
    <row r="117" spans="1:24" x14ac:dyDescent="0.2">
      <c r="A117" s="8">
        <v>57.5</v>
      </c>
      <c r="B117" s="8">
        <v>115</v>
      </c>
      <c r="D117">
        <v>4722.7352941176996</v>
      </c>
      <c r="E117">
        <v>622.12985571587001</v>
      </c>
      <c r="F117">
        <v>142.71935662784</v>
      </c>
      <c r="G117">
        <v>118.73266777593</v>
      </c>
      <c r="I117" s="9">
        <f t="shared" si="8"/>
        <v>503.39718793994001</v>
      </c>
      <c r="J117" s="9">
        <f t="shared" si="9"/>
        <v>4580.0159374898594</v>
      </c>
      <c r="K117" s="9">
        <f t="shared" si="10"/>
        <v>503.39718793994001</v>
      </c>
      <c r="L117" s="10">
        <f t="shared" si="7"/>
        <v>0.10991166729778537</v>
      </c>
      <c r="M117" s="10">
        <f t="shared" si="11"/>
        <v>0.11539600438409212</v>
      </c>
      <c r="P117" s="8">
        <f t="shared" si="12"/>
        <v>-8.9656163649793523</v>
      </c>
      <c r="X117" s="8">
        <v>-13</v>
      </c>
    </row>
    <row r="118" spans="1:24" x14ac:dyDescent="0.2">
      <c r="A118" s="8">
        <v>58</v>
      </c>
      <c r="B118" s="8">
        <v>116</v>
      </c>
      <c r="D118">
        <v>4724.5388457270001</v>
      </c>
      <c r="E118">
        <v>620.83684794673002</v>
      </c>
      <c r="F118">
        <v>142.31003882418</v>
      </c>
      <c r="G118">
        <v>118.42373821408999</v>
      </c>
      <c r="I118" s="9">
        <f t="shared" si="8"/>
        <v>502.41310973264001</v>
      </c>
      <c r="J118" s="9">
        <f t="shared" si="9"/>
        <v>4582.22880690282</v>
      </c>
      <c r="K118" s="9">
        <f t="shared" si="10"/>
        <v>502.41310973264001</v>
      </c>
      <c r="L118" s="10">
        <f t="shared" si="7"/>
        <v>0.10964382856128624</v>
      </c>
      <c r="M118" s="10">
        <f t="shared" si="11"/>
        <v>0.11517585553529999</v>
      </c>
      <c r="P118" s="8">
        <f t="shared" si="12"/>
        <v>-9.1392888839258841</v>
      </c>
      <c r="X118" s="8">
        <v>-13</v>
      </c>
    </row>
    <row r="119" spans="1:24" x14ac:dyDescent="0.2">
      <c r="A119" s="8">
        <v>58.5</v>
      </c>
      <c r="B119" s="8">
        <v>117</v>
      </c>
      <c r="D119">
        <v>4749.6509433962001</v>
      </c>
      <c r="E119">
        <v>622.99778024417003</v>
      </c>
      <c r="F119">
        <v>142.22739877980999</v>
      </c>
      <c r="G119">
        <v>118.22074320577001</v>
      </c>
      <c r="I119" s="9">
        <f t="shared" si="8"/>
        <v>504.77703703840001</v>
      </c>
      <c r="J119" s="9">
        <f t="shared" si="9"/>
        <v>4607.4235446163902</v>
      </c>
      <c r="K119" s="9">
        <f t="shared" si="10"/>
        <v>504.77703703840001</v>
      </c>
      <c r="L119" s="10">
        <f t="shared" si="7"/>
        <v>0.10955733332313543</v>
      </c>
      <c r="M119" s="10">
        <f t="shared" si="11"/>
        <v>0.1151370501848562</v>
      </c>
      <c r="P119" s="8">
        <f t="shared" si="12"/>
        <v>-9.1699019123253169</v>
      </c>
      <c r="X119" s="8">
        <v>-13</v>
      </c>
    </row>
    <row r="120" spans="1:24" x14ac:dyDescent="0.2">
      <c r="A120" s="8">
        <v>59</v>
      </c>
      <c r="B120" s="8">
        <v>118</v>
      </c>
      <c r="D120">
        <v>4700.9445061042998</v>
      </c>
      <c r="E120">
        <v>617.07269700332995</v>
      </c>
      <c r="F120">
        <v>142.63117027177</v>
      </c>
      <c r="G120">
        <v>118.46866333888001</v>
      </c>
      <c r="I120" s="9">
        <f t="shared" si="8"/>
        <v>498.60403366444996</v>
      </c>
      <c r="J120" s="9">
        <f t="shared" si="9"/>
        <v>4558.3133358325294</v>
      </c>
      <c r="K120" s="9">
        <f t="shared" si="10"/>
        <v>498.60403366444996</v>
      </c>
      <c r="L120" s="10">
        <f t="shared" si="7"/>
        <v>0.10938344886143836</v>
      </c>
      <c r="M120" s="10">
        <f t="shared" si="11"/>
        <v>0.11501085561086614</v>
      </c>
      <c r="P120" s="8">
        <f t="shared" si="12"/>
        <v>-9.2694551448881306</v>
      </c>
      <c r="X120" s="8">
        <v>-13</v>
      </c>
    </row>
    <row r="121" spans="1:24" x14ac:dyDescent="0.2">
      <c r="A121" s="8">
        <v>59.5</v>
      </c>
      <c r="B121" s="8">
        <v>119</v>
      </c>
      <c r="D121">
        <v>4658.2513873473999</v>
      </c>
      <c r="E121">
        <v>616.51220865705</v>
      </c>
      <c r="F121">
        <v>142.16805324459</v>
      </c>
      <c r="G121">
        <v>118.68108707709</v>
      </c>
      <c r="I121" s="9">
        <f t="shared" si="8"/>
        <v>497.83112157995998</v>
      </c>
      <c r="J121" s="9">
        <f t="shared" si="9"/>
        <v>4516.0833341028101</v>
      </c>
      <c r="K121" s="9">
        <f t="shared" si="10"/>
        <v>497.83112157995998</v>
      </c>
      <c r="L121" s="10">
        <f t="shared" si="7"/>
        <v>0.11023514952007896</v>
      </c>
      <c r="M121" s="10">
        <f t="shared" si="11"/>
        <v>0.11591024615721376</v>
      </c>
      <c r="P121" s="8">
        <f t="shared" si="12"/>
        <v>-8.5599378225950655</v>
      </c>
      <c r="X121" s="8">
        <v>-13</v>
      </c>
    </row>
    <row r="122" spans="1:24" x14ac:dyDescent="0.2">
      <c r="A122" s="8">
        <v>60</v>
      </c>
      <c r="B122" s="8">
        <v>120</v>
      </c>
      <c r="D122">
        <v>4652.1892341842004</v>
      </c>
      <c r="E122">
        <v>616.97780244172998</v>
      </c>
      <c r="F122">
        <v>143.37825845813001</v>
      </c>
      <c r="G122">
        <v>118.76428175264</v>
      </c>
      <c r="I122" s="9">
        <f t="shared" si="8"/>
        <v>498.21352068908999</v>
      </c>
      <c r="J122" s="9">
        <f t="shared" si="9"/>
        <v>4508.81097572607</v>
      </c>
      <c r="K122" s="9">
        <f t="shared" si="10"/>
        <v>498.21352068908999</v>
      </c>
      <c r="L122" s="10">
        <f t="shared" si="7"/>
        <v>0.11049776168735059</v>
      </c>
      <c r="M122" s="10">
        <f t="shared" si="11"/>
        <v>0.11622054821219241</v>
      </c>
      <c r="P122" s="8">
        <f t="shared" si="12"/>
        <v>-8.3151446300886924</v>
      </c>
      <c r="X122" s="8">
        <v>-13</v>
      </c>
    </row>
    <row r="123" spans="1:24" x14ac:dyDescent="0.2">
      <c r="A123" s="8">
        <v>60.5</v>
      </c>
      <c r="B123" s="8">
        <v>121</v>
      </c>
      <c r="D123">
        <v>4694.9228634849997</v>
      </c>
      <c r="E123">
        <v>617.21975582686002</v>
      </c>
      <c r="F123">
        <v>142.71214642263001</v>
      </c>
      <c r="G123">
        <v>118.58901830283</v>
      </c>
      <c r="I123" s="9">
        <f t="shared" si="8"/>
        <v>498.63073752403</v>
      </c>
      <c r="J123" s="9">
        <f t="shared" si="9"/>
        <v>4552.2107170623694</v>
      </c>
      <c r="K123" s="9">
        <f t="shared" si="10"/>
        <v>498.63073752403</v>
      </c>
      <c r="L123" s="10">
        <f t="shared" si="7"/>
        <v>0.10953595264276478</v>
      </c>
      <c r="M123" s="10">
        <f t="shared" si="11"/>
        <v>0.11530642905531362</v>
      </c>
      <c r="P123" s="8">
        <f t="shared" si="12"/>
        <v>-9.0362811586849752</v>
      </c>
      <c r="X123" s="8">
        <v>-13</v>
      </c>
    </row>
    <row r="124" spans="1:24" x14ac:dyDescent="0.2">
      <c r="A124" s="8">
        <v>61</v>
      </c>
      <c r="B124" s="8">
        <v>122</v>
      </c>
      <c r="D124">
        <v>4667.1403995561004</v>
      </c>
      <c r="E124">
        <v>616.11875693674006</v>
      </c>
      <c r="F124">
        <v>142.23849140322</v>
      </c>
      <c r="G124">
        <v>118.61120354964</v>
      </c>
      <c r="I124" s="9">
        <f t="shared" si="8"/>
        <v>497.50755338710007</v>
      </c>
      <c r="J124" s="9">
        <f t="shared" si="9"/>
        <v>4524.9019081528804</v>
      </c>
      <c r="K124" s="9">
        <f t="shared" si="10"/>
        <v>497.50755338710007</v>
      </c>
      <c r="L124" s="10">
        <f t="shared" si="7"/>
        <v>0.10994880408141017</v>
      </c>
      <c r="M124" s="10">
        <f t="shared" si="11"/>
        <v>0.11576697038166602</v>
      </c>
      <c r="P124" s="8">
        <f t="shared" si="12"/>
        <v>-8.6729661894474006</v>
      </c>
      <c r="X124" s="8">
        <v>-13</v>
      </c>
    </row>
    <row r="125" spans="1:24" x14ac:dyDescent="0.2">
      <c r="A125" s="8">
        <v>61.5</v>
      </c>
      <c r="B125" s="8">
        <v>123</v>
      </c>
      <c r="D125">
        <v>4521.3695893452004</v>
      </c>
      <c r="E125">
        <v>601.53440621532002</v>
      </c>
      <c r="F125">
        <v>142.57182473655001</v>
      </c>
      <c r="G125">
        <v>118.51747088186001</v>
      </c>
      <c r="I125" s="9">
        <f t="shared" si="8"/>
        <v>483.01693533346003</v>
      </c>
      <c r="J125" s="9">
        <f t="shared" si="9"/>
        <v>4378.7977646086501</v>
      </c>
      <c r="K125" s="9">
        <f t="shared" si="10"/>
        <v>483.01693533346003</v>
      </c>
      <c r="L125" s="10">
        <f t="shared" si="7"/>
        <v>0.11030811681631272</v>
      </c>
      <c r="M125" s="10">
        <f t="shared" si="11"/>
        <v>0.11617397300427559</v>
      </c>
      <c r="P125" s="8">
        <f t="shared" si="12"/>
        <v>-8.3518871964193924</v>
      </c>
      <c r="X125" s="8">
        <v>-13</v>
      </c>
    </row>
    <row r="126" spans="1:24" x14ac:dyDescent="0.2">
      <c r="A126" s="8">
        <v>62</v>
      </c>
      <c r="B126" s="8">
        <v>124</v>
      </c>
      <c r="D126">
        <v>4452.960577457</v>
      </c>
      <c r="E126">
        <v>597.10494169905996</v>
      </c>
      <c r="F126">
        <v>143.23904603438999</v>
      </c>
      <c r="G126">
        <v>118.64725457570999</v>
      </c>
      <c r="I126" s="9">
        <f t="shared" si="8"/>
        <v>478.45768712334996</v>
      </c>
      <c r="J126" s="9">
        <f t="shared" si="9"/>
        <v>4309.7215314226096</v>
      </c>
      <c r="K126" s="9">
        <f t="shared" si="10"/>
        <v>478.45768712334996</v>
      </c>
      <c r="L126" s="10">
        <f t="shared" si="7"/>
        <v>0.1110182371726032</v>
      </c>
      <c r="M126" s="10">
        <f t="shared" si="11"/>
        <v>0.11693178324827308</v>
      </c>
      <c r="P126" s="8">
        <f t="shared" si="12"/>
        <v>-7.754060704567947</v>
      </c>
      <c r="X126" s="8">
        <v>-13</v>
      </c>
    </row>
    <row r="127" spans="1:24" x14ac:dyDescent="0.2">
      <c r="A127" s="8">
        <v>62.5</v>
      </c>
      <c r="B127" s="8">
        <v>125</v>
      </c>
      <c r="D127">
        <v>4391.9972237645998</v>
      </c>
      <c r="E127">
        <v>592.38700721820999</v>
      </c>
      <c r="F127">
        <v>143.10759844703</v>
      </c>
      <c r="G127">
        <v>118.91403216861001</v>
      </c>
      <c r="I127" s="9">
        <f t="shared" si="8"/>
        <v>473.4729750496</v>
      </c>
      <c r="J127" s="9">
        <f t="shared" si="9"/>
        <v>4248.8896253175699</v>
      </c>
      <c r="K127" s="9">
        <f t="shared" si="10"/>
        <v>473.4729750496</v>
      </c>
      <c r="L127" s="10">
        <f t="shared" si="7"/>
        <v>0.11143451979273568</v>
      </c>
      <c r="M127" s="10">
        <f t="shared" si="11"/>
        <v>0.11739575575611258</v>
      </c>
      <c r="P127" s="8">
        <f t="shared" si="12"/>
        <v>-7.3880389215764186</v>
      </c>
      <c r="X127" s="8">
        <v>-13</v>
      </c>
    </row>
    <row r="128" spans="1:24" x14ac:dyDescent="0.2">
      <c r="A128" s="8">
        <v>63</v>
      </c>
      <c r="B128" s="8">
        <v>126</v>
      </c>
      <c r="D128">
        <v>4382.3442531927003</v>
      </c>
      <c r="E128">
        <v>593.63797890061005</v>
      </c>
      <c r="F128">
        <v>143.65058236273001</v>
      </c>
      <c r="G128">
        <v>118.55574043260999</v>
      </c>
      <c r="I128" s="9">
        <f t="shared" si="8"/>
        <v>475.08223846800007</v>
      </c>
      <c r="J128" s="9">
        <f t="shared" si="9"/>
        <v>4238.69367082997</v>
      </c>
      <c r="K128" s="9">
        <f t="shared" si="10"/>
        <v>475.08223846800007</v>
      </c>
      <c r="L128" s="10">
        <f t="shared" si="7"/>
        <v>0.11208222989489476</v>
      </c>
      <c r="M128" s="10">
        <f t="shared" si="11"/>
        <v>0.11809115574597867</v>
      </c>
      <c r="P128" s="8">
        <f t="shared" si="12"/>
        <v>-6.8394470548550244</v>
      </c>
      <c r="X128" s="8">
        <v>-13</v>
      </c>
    </row>
    <row r="129" spans="1:24" x14ac:dyDescent="0.2">
      <c r="A129" s="8">
        <v>63.5</v>
      </c>
      <c r="B129" s="8">
        <v>127</v>
      </c>
      <c r="D129">
        <v>4385.4780677401004</v>
      </c>
      <c r="E129">
        <v>595.01776790672</v>
      </c>
      <c r="F129">
        <v>143.46256239600999</v>
      </c>
      <c r="G129">
        <v>118.47420965057999</v>
      </c>
      <c r="I129" s="9">
        <f t="shared" si="8"/>
        <v>476.54355825613999</v>
      </c>
      <c r="J129" s="9">
        <f t="shared" si="9"/>
        <v>4242.0155053440903</v>
      </c>
      <c r="K129" s="9">
        <f t="shared" si="10"/>
        <v>476.54355825613999</v>
      </c>
      <c r="L129" s="10">
        <f t="shared" si="7"/>
        <v>0.11233894776098544</v>
      </c>
      <c r="M129" s="10">
        <f t="shared" si="11"/>
        <v>0.11839556349977637</v>
      </c>
      <c r="P129" s="8">
        <f t="shared" si="12"/>
        <v>-6.5993037986946348</v>
      </c>
      <c r="X129" s="8">
        <v>-13</v>
      </c>
    </row>
    <row r="130" spans="1:24" x14ac:dyDescent="0.2">
      <c r="A130" s="8">
        <v>64</v>
      </c>
      <c r="B130" s="8">
        <v>128</v>
      </c>
      <c r="D130">
        <v>4385.6607440311</v>
      </c>
      <c r="E130">
        <v>595.46696279845003</v>
      </c>
      <c r="F130">
        <v>143.05823627288001</v>
      </c>
      <c r="G130">
        <v>118.82584581254</v>
      </c>
      <c r="I130" s="9">
        <f t="shared" si="8"/>
        <v>476.64111698591</v>
      </c>
      <c r="J130" s="9">
        <f t="shared" si="9"/>
        <v>4242.6025077582199</v>
      </c>
      <c r="K130" s="9">
        <f t="shared" si="10"/>
        <v>476.64111698591</v>
      </c>
      <c r="L130" s="10">
        <f t="shared" ref="L130:L193" si="14">K130/J130</f>
        <v>0.11234639967197067</v>
      </c>
      <c r="M130" s="10">
        <f t="shared" si="11"/>
        <v>0.11845070529846861</v>
      </c>
      <c r="P130" s="8">
        <f t="shared" si="12"/>
        <v>-6.5558031620541604</v>
      </c>
      <c r="X130" s="8">
        <v>-13</v>
      </c>
    </row>
    <row r="131" spans="1:24" x14ac:dyDescent="0.2">
      <c r="A131" s="8">
        <v>64.5</v>
      </c>
      <c r="B131" s="8">
        <v>129</v>
      </c>
      <c r="D131">
        <v>4369.8845086063002</v>
      </c>
      <c r="E131">
        <v>595.77901166019001</v>
      </c>
      <c r="F131">
        <v>143.28064337216</v>
      </c>
      <c r="G131">
        <v>118.89129229063001</v>
      </c>
      <c r="I131" s="9">
        <f t="shared" ref="I131:I194" si="15">E131-G131</f>
        <v>476.88771936955999</v>
      </c>
      <c r="J131" s="9">
        <f t="shared" ref="J131:J194" si="16">D131-F131</f>
        <v>4226.6038652341404</v>
      </c>
      <c r="K131" s="9">
        <f t="shared" ref="K131:K194" si="17">I131*1</f>
        <v>476.88771936955999</v>
      </c>
      <c r="L131" s="10">
        <f t="shared" si="14"/>
        <v>0.11283000124336041</v>
      </c>
      <c r="M131" s="10">
        <f t="shared" ref="M131:M181" si="18">L131+ABS($N$2)*A131</f>
        <v>0.11898199675756536</v>
      </c>
      <c r="P131" s="8">
        <f t="shared" ref="P131:P194" si="19">(M131-$O$2)/$O$2*100</f>
        <v>-6.136674347607177</v>
      </c>
      <c r="X131" s="8">
        <v>-13</v>
      </c>
    </row>
    <row r="132" spans="1:24" x14ac:dyDescent="0.2">
      <c r="A132" s="8">
        <v>65</v>
      </c>
      <c r="B132" s="8">
        <v>130</v>
      </c>
      <c r="D132">
        <v>4495.5760929717999</v>
      </c>
      <c r="E132">
        <v>602.30492529054004</v>
      </c>
      <c r="F132">
        <v>143.73044925125001</v>
      </c>
      <c r="G132">
        <v>118.80310593455</v>
      </c>
      <c r="I132" s="9">
        <f t="shared" si="15"/>
        <v>483.50181935599005</v>
      </c>
      <c r="J132" s="9">
        <f t="shared" si="16"/>
        <v>4351.8456437205496</v>
      </c>
      <c r="K132" s="9">
        <f t="shared" si="17"/>
        <v>483.50181935599005</v>
      </c>
      <c r="L132" s="10">
        <f t="shared" si="14"/>
        <v>0.11110270421784237</v>
      </c>
      <c r="M132" s="10">
        <f t="shared" si="18"/>
        <v>0.11730238961975434</v>
      </c>
      <c r="P132" s="8">
        <f t="shared" si="19"/>
        <v>-7.4616942333103102</v>
      </c>
      <c r="X132" s="8">
        <v>-13</v>
      </c>
    </row>
    <row r="133" spans="1:24" x14ac:dyDescent="0.2">
      <c r="A133" s="8">
        <v>65.5</v>
      </c>
      <c r="B133" s="8">
        <v>131</v>
      </c>
      <c r="D133">
        <v>4519.2030990592002</v>
      </c>
      <c r="E133">
        <v>605.65246264527002</v>
      </c>
      <c r="F133">
        <v>144.03771491958</v>
      </c>
      <c r="G133">
        <v>119.2928452579</v>
      </c>
      <c r="I133" s="9">
        <f t="shared" si="15"/>
        <v>486.35961738737001</v>
      </c>
      <c r="J133" s="9">
        <f t="shared" si="16"/>
        <v>4375.1653841396201</v>
      </c>
      <c r="K133" s="9">
        <f t="shared" si="17"/>
        <v>486.35961738737001</v>
      </c>
      <c r="L133" s="10">
        <f t="shared" si="14"/>
        <v>0.11116371032520707</v>
      </c>
      <c r="M133" s="10">
        <f t="shared" si="18"/>
        <v>0.11741108561482605</v>
      </c>
      <c r="P133" s="8">
        <f t="shared" si="19"/>
        <v>-7.3759453985238563</v>
      </c>
      <c r="X133" s="8">
        <v>-13</v>
      </c>
    </row>
    <row r="134" spans="1:24" x14ac:dyDescent="0.2">
      <c r="A134" s="8">
        <v>66</v>
      </c>
      <c r="B134" s="8">
        <v>132</v>
      </c>
      <c r="D134">
        <v>4513.7354731598998</v>
      </c>
      <c r="E134">
        <v>605.29053680132995</v>
      </c>
      <c r="F134">
        <v>143.87021630615999</v>
      </c>
      <c r="G134">
        <v>118.76039933444</v>
      </c>
      <c r="I134" s="9">
        <f t="shared" si="15"/>
        <v>486.53013746688998</v>
      </c>
      <c r="J134" s="9">
        <f t="shared" si="16"/>
        <v>4369.86525685374</v>
      </c>
      <c r="K134" s="9">
        <f t="shared" si="17"/>
        <v>486.53013746688998</v>
      </c>
      <c r="L134" s="10">
        <f t="shared" si="14"/>
        <v>0.11133756051260649</v>
      </c>
      <c r="M134" s="10">
        <f t="shared" si="18"/>
        <v>0.11763262568993249</v>
      </c>
      <c r="P134" s="8">
        <f t="shared" si="19"/>
        <v>-7.2011753595141572</v>
      </c>
      <c r="X134" s="8">
        <v>-13</v>
      </c>
    </row>
    <row r="135" spans="1:24" x14ac:dyDescent="0.2">
      <c r="A135" s="8">
        <v>66.5</v>
      </c>
      <c r="B135" s="8">
        <v>133</v>
      </c>
      <c r="D135">
        <v>4537.2628666297996</v>
      </c>
      <c r="E135">
        <v>608.30381848367995</v>
      </c>
      <c r="F135">
        <v>143.51303383250001</v>
      </c>
      <c r="G135">
        <v>118.93954520244</v>
      </c>
      <c r="I135" s="9">
        <f t="shared" si="15"/>
        <v>489.36427328123995</v>
      </c>
      <c r="J135" s="9">
        <f t="shared" si="16"/>
        <v>4393.7498327972999</v>
      </c>
      <c r="K135" s="9">
        <f t="shared" si="17"/>
        <v>489.36427328123995</v>
      </c>
      <c r="L135" s="10">
        <f t="shared" si="14"/>
        <v>0.11137736373344771</v>
      </c>
      <c r="M135" s="10">
        <f t="shared" si="18"/>
        <v>0.11772011879848072</v>
      </c>
      <c r="P135" s="8">
        <f t="shared" si="19"/>
        <v>-7.1321532018449068</v>
      </c>
      <c r="X135" s="8">
        <v>-13</v>
      </c>
    </row>
    <row r="136" spans="1:24" x14ac:dyDescent="0.2">
      <c r="A136" s="8">
        <v>67</v>
      </c>
      <c r="B136" s="8">
        <v>134</v>
      </c>
      <c r="D136">
        <v>4528.2351964582003</v>
      </c>
      <c r="E136">
        <v>608.124515772</v>
      </c>
      <c r="F136">
        <v>143.97226844149</v>
      </c>
      <c r="G136">
        <v>118.98946200777</v>
      </c>
      <c r="I136" s="9">
        <f t="shared" si="15"/>
        <v>489.13505376423001</v>
      </c>
      <c r="J136" s="9">
        <f t="shared" si="16"/>
        <v>4384.2629280167102</v>
      </c>
      <c r="K136" s="9">
        <f t="shared" si="17"/>
        <v>489.13505376423001</v>
      </c>
      <c r="L136" s="10">
        <f t="shared" si="14"/>
        <v>0.11156608574693715</v>
      </c>
      <c r="M136" s="10">
        <f t="shared" si="18"/>
        <v>0.11795653069967718</v>
      </c>
      <c r="P136" s="8">
        <f t="shared" si="19"/>
        <v>-6.9456509756693023</v>
      </c>
      <c r="X136" s="8">
        <v>-13</v>
      </c>
    </row>
    <row r="137" spans="1:24" x14ac:dyDescent="0.2">
      <c r="A137" s="8">
        <v>67.5</v>
      </c>
      <c r="B137" s="8">
        <v>135</v>
      </c>
      <c r="D137">
        <v>4563.5513603554</v>
      </c>
      <c r="E137">
        <v>610.31926707385003</v>
      </c>
      <c r="F137">
        <v>143.80366056572001</v>
      </c>
      <c r="G137">
        <v>119.27565169163</v>
      </c>
      <c r="I137" s="9">
        <f t="shared" si="15"/>
        <v>491.04361538222003</v>
      </c>
      <c r="J137" s="9">
        <f t="shared" si="16"/>
        <v>4419.7476997896802</v>
      </c>
      <c r="K137" s="9">
        <f t="shared" si="17"/>
        <v>491.04361538222003</v>
      </c>
      <c r="L137" s="10">
        <f t="shared" si="14"/>
        <v>0.11110218246294624</v>
      </c>
      <c r="M137" s="10">
        <f t="shared" si="18"/>
        <v>0.11754031730339329</v>
      </c>
      <c r="P137" s="8">
        <f t="shared" si="19"/>
        <v>-7.27399622638724</v>
      </c>
      <c r="X137" s="8">
        <v>-13</v>
      </c>
    </row>
    <row r="138" spans="1:24" x14ac:dyDescent="0.2">
      <c r="A138" s="8">
        <v>68</v>
      </c>
      <c r="B138" s="8">
        <v>136</v>
      </c>
      <c r="D138">
        <v>4595.450860633</v>
      </c>
      <c r="E138">
        <v>613.25652415324998</v>
      </c>
      <c r="F138">
        <v>143.63948973932</v>
      </c>
      <c r="G138">
        <v>118.89129229063001</v>
      </c>
      <c r="I138" s="9">
        <f t="shared" si="15"/>
        <v>494.36523186261996</v>
      </c>
      <c r="J138" s="9">
        <f t="shared" si="16"/>
        <v>4451.8113708936799</v>
      </c>
      <c r="K138" s="9">
        <f t="shared" si="17"/>
        <v>494.36523186261996</v>
      </c>
      <c r="L138" s="10">
        <f t="shared" si="14"/>
        <v>0.11104810843847109</v>
      </c>
      <c r="M138" s="10">
        <f t="shared" si="18"/>
        <v>0.11753393316662515</v>
      </c>
      <c r="P138" s="8">
        <f t="shared" si="19"/>
        <v>-7.2790325875578956</v>
      </c>
      <c r="X138" s="8">
        <v>-13</v>
      </c>
    </row>
    <row r="139" spans="1:24" x14ac:dyDescent="0.2">
      <c r="A139" s="8">
        <v>68.5</v>
      </c>
      <c r="B139" s="8">
        <v>137</v>
      </c>
      <c r="D139">
        <v>4585.1915602442996</v>
      </c>
      <c r="E139">
        <v>613.43420322043005</v>
      </c>
      <c r="F139">
        <v>143.57903494176</v>
      </c>
      <c r="G139">
        <v>118.87243483084001</v>
      </c>
      <c r="I139" s="9">
        <f t="shared" si="15"/>
        <v>494.56176838959004</v>
      </c>
      <c r="J139" s="9">
        <f t="shared" si="16"/>
        <v>4441.6125253025393</v>
      </c>
      <c r="K139" s="9">
        <f t="shared" si="17"/>
        <v>494.56176838959004</v>
      </c>
      <c r="L139" s="10">
        <f t="shared" si="14"/>
        <v>0.1113473463910279</v>
      </c>
      <c r="M139" s="10">
        <f t="shared" si="18"/>
        <v>0.11788086100688898</v>
      </c>
      <c r="P139" s="8">
        <f t="shared" si="19"/>
        <v>-7.0053457968166368</v>
      </c>
      <c r="X139" s="8">
        <v>-13</v>
      </c>
    </row>
    <row r="140" spans="1:24" x14ac:dyDescent="0.2">
      <c r="A140" s="8">
        <v>69</v>
      </c>
      <c r="B140" s="8">
        <v>138</v>
      </c>
      <c r="D140">
        <v>4555.8445308161999</v>
      </c>
      <c r="E140">
        <v>611.01443642420998</v>
      </c>
      <c r="F140">
        <v>144.21131447587001</v>
      </c>
      <c r="G140">
        <v>119.34109816972</v>
      </c>
      <c r="I140" s="9">
        <f t="shared" si="15"/>
        <v>491.67333825448998</v>
      </c>
      <c r="J140" s="9">
        <f t="shared" si="16"/>
        <v>4411.6332163403304</v>
      </c>
      <c r="K140" s="9">
        <f t="shared" si="17"/>
        <v>491.67333825448998</v>
      </c>
      <c r="L140" s="10">
        <f t="shared" si="14"/>
        <v>0.11144927833831969</v>
      </c>
      <c r="M140" s="10">
        <f t="shared" si="18"/>
        <v>0.11803048284188779</v>
      </c>
      <c r="P140" s="8">
        <f t="shared" si="19"/>
        <v>-6.8873111074861368</v>
      </c>
      <c r="X140" s="8">
        <v>-13</v>
      </c>
    </row>
    <row r="141" spans="1:24" x14ac:dyDescent="0.2">
      <c r="A141" s="8">
        <v>69.5</v>
      </c>
      <c r="B141" s="8">
        <v>139</v>
      </c>
      <c r="D141">
        <v>4559.1810105496997</v>
      </c>
      <c r="E141">
        <v>610.21488062187996</v>
      </c>
      <c r="F141">
        <v>143.64947310039</v>
      </c>
      <c r="G141">
        <v>118.9889073766</v>
      </c>
      <c r="I141" s="9">
        <f t="shared" si="15"/>
        <v>491.22597324527999</v>
      </c>
      <c r="J141" s="9">
        <f t="shared" si="16"/>
        <v>4415.5315374493093</v>
      </c>
      <c r="K141" s="9">
        <f t="shared" si="17"/>
        <v>491.22597324527999</v>
      </c>
      <c r="L141" s="10">
        <f t="shared" si="14"/>
        <v>0.11124956736897031</v>
      </c>
      <c r="M141" s="10">
        <f t="shared" si="18"/>
        <v>0.11787846176024541</v>
      </c>
      <c r="P141" s="8">
        <f t="shared" si="19"/>
        <v>-7.0072385308029768</v>
      </c>
      <c r="X141" s="8">
        <v>-13</v>
      </c>
    </row>
    <row r="142" spans="1:24" x14ac:dyDescent="0.2">
      <c r="A142" s="8">
        <v>70</v>
      </c>
      <c r="B142" s="8">
        <v>140</v>
      </c>
      <c r="D142">
        <v>4569.0905052749004</v>
      </c>
      <c r="E142">
        <v>611.39866740699995</v>
      </c>
      <c r="F142">
        <v>144.35219079312</v>
      </c>
      <c r="G142">
        <v>118.89129229063001</v>
      </c>
      <c r="I142" s="9">
        <f t="shared" si="15"/>
        <v>492.50737511636993</v>
      </c>
      <c r="J142" s="9">
        <f t="shared" si="16"/>
        <v>4424.7383144817804</v>
      </c>
      <c r="K142" s="9">
        <f t="shared" si="17"/>
        <v>492.50737511636993</v>
      </c>
      <c r="L142" s="10">
        <f t="shared" si="14"/>
        <v>0.11130768423172879</v>
      </c>
      <c r="M142" s="10">
        <f t="shared" si="18"/>
        <v>0.11798426851071092</v>
      </c>
      <c r="P142" s="8">
        <f t="shared" si="19"/>
        <v>-6.9237689829233799</v>
      </c>
      <c r="X142" s="8">
        <v>-13</v>
      </c>
    </row>
    <row r="143" spans="1:24" x14ac:dyDescent="0.2">
      <c r="A143" s="8">
        <v>70.5</v>
      </c>
      <c r="B143" s="8">
        <v>141</v>
      </c>
      <c r="D143">
        <v>4570.927817879</v>
      </c>
      <c r="E143">
        <v>612.03442531926999</v>
      </c>
      <c r="F143">
        <v>144.30116472546001</v>
      </c>
      <c r="G143">
        <v>119.13643926789</v>
      </c>
      <c r="I143" s="9">
        <f t="shared" si="15"/>
        <v>492.89798605137997</v>
      </c>
      <c r="J143" s="9">
        <f t="shared" si="16"/>
        <v>4426.6266531535402</v>
      </c>
      <c r="K143" s="9">
        <f t="shared" si="17"/>
        <v>492.89798605137997</v>
      </c>
      <c r="L143" s="10">
        <f t="shared" si="14"/>
        <v>0.11134844310853236</v>
      </c>
      <c r="M143" s="10">
        <f t="shared" si="18"/>
        <v>0.11807271727522149</v>
      </c>
      <c r="P143" s="8">
        <f t="shared" si="19"/>
        <v>-6.8539929208883503</v>
      </c>
      <c r="X143" s="8">
        <v>-13</v>
      </c>
    </row>
    <row r="144" spans="1:24" x14ac:dyDescent="0.2">
      <c r="A144" s="8">
        <v>71</v>
      </c>
      <c r="B144" s="8">
        <v>142</v>
      </c>
      <c r="D144">
        <v>4558.3264852860002</v>
      </c>
      <c r="E144">
        <v>611.21654636312996</v>
      </c>
      <c r="F144">
        <v>143.90349417637</v>
      </c>
      <c r="G144">
        <v>119.04769828064001</v>
      </c>
      <c r="I144" s="9">
        <f t="shared" si="15"/>
        <v>492.16884808248994</v>
      </c>
      <c r="J144" s="9">
        <f t="shared" si="16"/>
        <v>4414.4229911096299</v>
      </c>
      <c r="K144" s="9">
        <f t="shared" si="17"/>
        <v>492.16884808248994</v>
      </c>
      <c r="L144" s="10">
        <f t="shared" si="14"/>
        <v>0.11149109386972816</v>
      </c>
      <c r="M144" s="10">
        <f t="shared" si="18"/>
        <v>0.11826305792412431</v>
      </c>
      <c r="P144" s="8">
        <f t="shared" si="19"/>
        <v>-6.7038356971088895</v>
      </c>
    </row>
    <row r="145" spans="1:16" x14ac:dyDescent="0.2">
      <c r="A145" s="8">
        <v>71.5</v>
      </c>
      <c r="B145" s="8">
        <v>143</v>
      </c>
      <c r="D145">
        <v>4495.1571349249998</v>
      </c>
      <c r="E145">
        <v>601.40977234870002</v>
      </c>
      <c r="F145">
        <v>144.15696062119</v>
      </c>
      <c r="G145">
        <v>119.27953410982001</v>
      </c>
      <c r="I145" s="9">
        <f t="shared" si="15"/>
        <v>482.13023823888</v>
      </c>
      <c r="J145" s="9">
        <f t="shared" si="16"/>
        <v>4351.0001743038101</v>
      </c>
      <c r="K145" s="9">
        <f t="shared" si="17"/>
        <v>482.13023823888</v>
      </c>
      <c r="L145" s="10">
        <f t="shared" si="14"/>
        <v>0.11080905973901142</v>
      </c>
      <c r="M145" s="10">
        <f t="shared" si="18"/>
        <v>0.11762871368111459</v>
      </c>
      <c r="P145" s="8">
        <f t="shared" si="19"/>
        <v>-7.2042614915983059</v>
      </c>
    </row>
    <row r="146" spans="1:16" x14ac:dyDescent="0.2">
      <c r="A146" s="8">
        <v>72</v>
      </c>
      <c r="B146" s="8">
        <v>144</v>
      </c>
      <c r="D146">
        <v>4463.2476401999002</v>
      </c>
      <c r="E146">
        <v>600.80510827318005</v>
      </c>
      <c r="F146">
        <v>144.15862451469999</v>
      </c>
      <c r="G146">
        <v>119.20521353300001</v>
      </c>
      <c r="I146" s="9">
        <f t="shared" si="15"/>
        <v>481.59989474018005</v>
      </c>
      <c r="J146" s="9">
        <f t="shared" si="16"/>
        <v>4319.0890156852001</v>
      </c>
      <c r="K146" s="9">
        <f t="shared" si="17"/>
        <v>481.59989474018005</v>
      </c>
      <c r="L146" s="10">
        <f t="shared" si="14"/>
        <v>0.11150497083787861</v>
      </c>
      <c r="M146" s="10">
        <f t="shared" si="18"/>
        <v>0.11837231466768879</v>
      </c>
      <c r="P146" s="8">
        <f t="shared" si="19"/>
        <v>-6.6176444952432147</v>
      </c>
    </row>
    <row r="147" spans="1:16" x14ac:dyDescent="0.2">
      <c r="A147" s="8">
        <v>72.5</v>
      </c>
      <c r="B147" s="8">
        <v>145</v>
      </c>
      <c r="D147">
        <v>4472.6274292059998</v>
      </c>
      <c r="E147">
        <v>600.89783453637006</v>
      </c>
      <c r="F147">
        <v>144.41098169717</v>
      </c>
      <c r="G147">
        <v>119.16139767055</v>
      </c>
      <c r="I147" s="9">
        <f t="shared" si="15"/>
        <v>481.73643686582005</v>
      </c>
      <c r="J147" s="9">
        <f t="shared" si="16"/>
        <v>4328.2164475088293</v>
      </c>
      <c r="K147" s="9">
        <f t="shared" si="17"/>
        <v>481.73643686582005</v>
      </c>
      <c r="L147" s="10">
        <f t="shared" si="14"/>
        <v>0.11130137383565712</v>
      </c>
      <c r="M147" s="10">
        <f t="shared" si="18"/>
        <v>0.11821640755317432</v>
      </c>
      <c r="P147" s="8">
        <f t="shared" si="19"/>
        <v>-6.7406375585636589</v>
      </c>
    </row>
    <row r="148" spans="1:16" x14ac:dyDescent="0.2">
      <c r="A148" s="8">
        <v>73</v>
      </c>
      <c r="B148" s="8">
        <v>146</v>
      </c>
      <c r="D148">
        <v>4417.8878400887997</v>
      </c>
      <c r="E148">
        <v>597.61687951138003</v>
      </c>
      <c r="F148">
        <v>144.30837493067</v>
      </c>
      <c r="G148">
        <v>119.17637271215</v>
      </c>
      <c r="I148" s="9">
        <f t="shared" si="15"/>
        <v>478.44050679923004</v>
      </c>
      <c r="J148" s="9">
        <f t="shared" si="16"/>
        <v>4273.57946515813</v>
      </c>
      <c r="K148" s="9">
        <f t="shared" si="17"/>
        <v>478.44050679923004</v>
      </c>
      <c r="L148" s="10">
        <f t="shared" si="14"/>
        <v>0.11195310879319917</v>
      </c>
      <c r="M148" s="10">
        <f t="shared" si="18"/>
        <v>0.11891583239842338</v>
      </c>
      <c r="P148" s="8">
        <f t="shared" si="19"/>
        <v>-6.1888705365934857</v>
      </c>
    </row>
    <row r="149" spans="1:16" x14ac:dyDescent="0.2">
      <c r="A149" s="8">
        <v>73.5</v>
      </c>
      <c r="B149" s="8">
        <v>147</v>
      </c>
      <c r="D149">
        <v>4401.2798445307999</v>
      </c>
      <c r="E149">
        <v>596.99278178789996</v>
      </c>
      <c r="F149">
        <v>144.90571270104999</v>
      </c>
      <c r="G149">
        <v>119.4664448142</v>
      </c>
      <c r="I149" s="9">
        <f t="shared" si="15"/>
        <v>477.52633697369993</v>
      </c>
      <c r="J149" s="9">
        <f t="shared" si="16"/>
        <v>4256.3741318297498</v>
      </c>
      <c r="K149" s="9">
        <f t="shared" si="17"/>
        <v>477.52633697369993</v>
      </c>
      <c r="L149" s="10">
        <f t="shared" si="14"/>
        <v>0.11219087471721352</v>
      </c>
      <c r="M149" s="10">
        <f t="shared" si="18"/>
        <v>0.11920128821014475</v>
      </c>
      <c r="P149" s="8">
        <f t="shared" si="19"/>
        <v>-5.96367821720784</v>
      </c>
    </row>
    <row r="150" spans="1:16" x14ac:dyDescent="0.2">
      <c r="A150" s="8">
        <v>74</v>
      </c>
      <c r="B150" s="8">
        <v>148</v>
      </c>
      <c r="D150">
        <v>4393.7901166019001</v>
      </c>
      <c r="E150">
        <v>598.36424208772996</v>
      </c>
      <c r="F150">
        <v>144.21020521353</v>
      </c>
      <c r="G150">
        <v>119.15751525236</v>
      </c>
      <c r="I150" s="9">
        <f t="shared" si="15"/>
        <v>479.20672683536998</v>
      </c>
      <c r="J150" s="9">
        <f t="shared" si="16"/>
        <v>4249.5799113883704</v>
      </c>
      <c r="K150" s="9">
        <f t="shared" si="17"/>
        <v>479.20672683536998</v>
      </c>
      <c r="L150" s="10">
        <f t="shared" si="14"/>
        <v>0.11276567021393168</v>
      </c>
      <c r="M150" s="10">
        <f t="shared" si="18"/>
        <v>0.11982377359456992</v>
      </c>
      <c r="P150" s="8">
        <f t="shared" si="19"/>
        <v>-5.4726077196164553</v>
      </c>
    </row>
    <row r="151" spans="1:16" x14ac:dyDescent="0.2">
      <c r="A151" s="8">
        <v>74.5</v>
      </c>
      <c r="B151" s="8">
        <v>149</v>
      </c>
      <c r="D151">
        <v>4406.1132704052998</v>
      </c>
      <c r="E151">
        <v>598.16213214880997</v>
      </c>
      <c r="F151">
        <v>144.31835829174</v>
      </c>
      <c r="G151">
        <v>119.33333333333</v>
      </c>
      <c r="I151" s="9">
        <f t="shared" si="15"/>
        <v>478.82879881547996</v>
      </c>
      <c r="J151" s="9">
        <f t="shared" si="16"/>
        <v>4261.7949121135598</v>
      </c>
      <c r="K151" s="9">
        <f t="shared" si="17"/>
        <v>478.82879881547996</v>
      </c>
      <c r="L151" s="10">
        <f t="shared" si="14"/>
        <v>0.11235378723984948</v>
      </c>
      <c r="M151" s="10">
        <f t="shared" si="18"/>
        <v>0.11945958050819475</v>
      </c>
      <c r="P151" s="8">
        <f t="shared" si="19"/>
        <v>-5.7599148349646354</v>
      </c>
    </row>
    <row r="152" spans="1:16" x14ac:dyDescent="0.2">
      <c r="A152" s="8">
        <v>75</v>
      </c>
      <c r="B152" s="8">
        <v>150</v>
      </c>
      <c r="D152">
        <v>4400.9070282235998</v>
      </c>
      <c r="E152">
        <v>598.47814056446998</v>
      </c>
      <c r="F152">
        <v>144.36272878535999</v>
      </c>
      <c r="G152">
        <v>119.78591236827999</v>
      </c>
      <c r="I152" s="9">
        <f t="shared" si="15"/>
        <v>478.69222819619</v>
      </c>
      <c r="J152" s="9">
        <f t="shared" si="16"/>
        <v>4256.5442994382402</v>
      </c>
      <c r="K152" s="9">
        <f t="shared" si="17"/>
        <v>478.69222819619</v>
      </c>
      <c r="L152" s="10">
        <f t="shared" si="14"/>
        <v>0.11246029514114669</v>
      </c>
      <c r="M152" s="10">
        <f t="shared" si="18"/>
        <v>0.11961377829719896</v>
      </c>
      <c r="P152" s="8">
        <f t="shared" si="19"/>
        <v>-5.6382702359613699</v>
      </c>
    </row>
    <row r="153" spans="1:16" x14ac:dyDescent="0.2">
      <c r="A153" s="8">
        <v>75.5</v>
      </c>
      <c r="B153" s="8">
        <v>151</v>
      </c>
      <c r="D153">
        <v>4458.2291090204999</v>
      </c>
      <c r="E153">
        <v>604.50747094632004</v>
      </c>
      <c r="F153">
        <v>144.80865224626001</v>
      </c>
      <c r="G153">
        <v>119.25845812535</v>
      </c>
      <c r="I153" s="9">
        <f t="shared" si="15"/>
        <v>485.24901282097005</v>
      </c>
      <c r="J153" s="9">
        <f t="shared" si="16"/>
        <v>4313.4204567742399</v>
      </c>
      <c r="K153" s="9">
        <f t="shared" si="17"/>
        <v>485.24901282097005</v>
      </c>
      <c r="L153" s="10">
        <f t="shared" si="14"/>
        <v>0.11249749883735193</v>
      </c>
      <c r="M153" s="10">
        <f t="shared" si="18"/>
        <v>0.11969867188111122</v>
      </c>
      <c r="P153" s="8">
        <f t="shared" si="19"/>
        <v>-5.5712988089412736</v>
      </c>
    </row>
    <row r="154" spans="1:16" x14ac:dyDescent="0.2">
      <c r="A154" s="8">
        <v>76</v>
      </c>
      <c r="B154" s="8">
        <v>152</v>
      </c>
      <c r="D154">
        <v>4496.9147758715999</v>
      </c>
      <c r="E154">
        <v>608.92916436081998</v>
      </c>
      <c r="F154">
        <v>144.49584026622</v>
      </c>
      <c r="G154">
        <v>119.13144758735</v>
      </c>
      <c r="I154" s="9">
        <f t="shared" si="15"/>
        <v>489.79771677346997</v>
      </c>
      <c r="J154" s="9">
        <f t="shared" si="16"/>
        <v>4352.4189356053803</v>
      </c>
      <c r="K154" s="9">
        <f t="shared" si="17"/>
        <v>489.79771677346997</v>
      </c>
      <c r="L154" s="10">
        <f t="shared" si="14"/>
        <v>0.1125345983509613</v>
      </c>
      <c r="M154" s="10">
        <f t="shared" si="18"/>
        <v>0.1197834612824276</v>
      </c>
      <c r="P154" s="8">
        <f t="shared" si="19"/>
        <v>-5.5044095701949489</v>
      </c>
    </row>
    <row r="155" spans="1:16" x14ac:dyDescent="0.2">
      <c r="A155" s="8">
        <v>76.5</v>
      </c>
      <c r="B155" s="8">
        <v>153</v>
      </c>
      <c r="D155">
        <v>4497.0171555063998</v>
      </c>
      <c r="E155">
        <v>610.33536247924997</v>
      </c>
      <c r="F155">
        <v>144.71824736549999</v>
      </c>
      <c r="G155">
        <v>119.44647809207</v>
      </c>
      <c r="I155" s="9">
        <f t="shared" si="15"/>
        <v>490.88888438717998</v>
      </c>
      <c r="J155" s="9">
        <f t="shared" si="16"/>
        <v>4352.2989081408996</v>
      </c>
      <c r="K155" s="9">
        <f t="shared" si="17"/>
        <v>490.88888438717998</v>
      </c>
      <c r="L155" s="10">
        <f t="shared" si="14"/>
        <v>0.11278841245691577</v>
      </c>
      <c r="M155" s="10">
        <f t="shared" si="18"/>
        <v>0.1200849652760891</v>
      </c>
      <c r="P155" s="8">
        <f t="shared" si="19"/>
        <v>-5.2665570520513034</v>
      </c>
    </row>
    <row r="156" spans="1:16" x14ac:dyDescent="0.2">
      <c r="A156" s="8">
        <v>77</v>
      </c>
      <c r="B156" s="8">
        <v>154</v>
      </c>
      <c r="D156">
        <v>4511.5716657442999</v>
      </c>
      <c r="E156">
        <v>611.62534587714003</v>
      </c>
      <c r="F156">
        <v>144.17970049917</v>
      </c>
      <c r="G156">
        <v>119.15917914587</v>
      </c>
      <c r="I156" s="9">
        <f t="shared" si="15"/>
        <v>492.46616673127005</v>
      </c>
      <c r="J156" s="9">
        <f t="shared" si="16"/>
        <v>4367.3919652451295</v>
      </c>
      <c r="K156" s="9">
        <f t="shared" si="17"/>
        <v>492.46616673127005</v>
      </c>
      <c r="L156" s="10">
        <f t="shared" si="14"/>
        <v>0.1127597821881392</v>
      </c>
      <c r="M156" s="10">
        <f t="shared" si="18"/>
        <v>0.12010402489501953</v>
      </c>
      <c r="P156" s="8">
        <f t="shared" si="19"/>
        <v>-5.2515211704286138</v>
      </c>
    </row>
    <row r="157" spans="1:16" x14ac:dyDescent="0.2">
      <c r="A157" s="8">
        <v>77.5</v>
      </c>
      <c r="B157" s="8">
        <v>155</v>
      </c>
      <c r="D157">
        <v>4503.0215827337997</v>
      </c>
      <c r="E157">
        <v>613.26840066407999</v>
      </c>
      <c r="F157">
        <v>144.49528563505001</v>
      </c>
      <c r="G157">
        <v>119.45812534664</v>
      </c>
      <c r="I157" s="9">
        <f t="shared" si="15"/>
        <v>493.81027531743996</v>
      </c>
      <c r="J157" s="9">
        <f t="shared" si="16"/>
        <v>4358.5262970987496</v>
      </c>
      <c r="K157" s="9">
        <f t="shared" si="17"/>
        <v>493.81027531743996</v>
      </c>
      <c r="L157" s="10">
        <f t="shared" si="14"/>
        <v>0.11329753261925814</v>
      </c>
      <c r="M157" s="10">
        <f t="shared" si="18"/>
        <v>0.12068946521384549</v>
      </c>
      <c r="P157" s="8">
        <f t="shared" si="19"/>
        <v>-4.7896750357737288</v>
      </c>
    </row>
    <row r="158" spans="1:16" x14ac:dyDescent="0.2">
      <c r="A158" s="8">
        <v>78</v>
      </c>
      <c r="B158" s="8">
        <v>156</v>
      </c>
      <c r="D158">
        <v>4484.5462091865002</v>
      </c>
      <c r="E158">
        <v>611.50691754289005</v>
      </c>
      <c r="F158">
        <v>144.66500277316001</v>
      </c>
      <c r="G158">
        <v>119.44093178036999</v>
      </c>
      <c r="I158" s="9">
        <f t="shared" si="15"/>
        <v>492.06598576252009</v>
      </c>
      <c r="J158" s="9">
        <f t="shared" si="16"/>
        <v>4339.8812064133399</v>
      </c>
      <c r="K158" s="9">
        <f t="shared" si="17"/>
        <v>492.06598576252009</v>
      </c>
      <c r="L158" s="10">
        <f t="shared" si="14"/>
        <v>0.11338236287098376</v>
      </c>
      <c r="M158" s="10">
        <f t="shared" si="18"/>
        <v>0.12082198535327812</v>
      </c>
      <c r="P158" s="8">
        <f t="shared" si="19"/>
        <v>-4.68513164818535</v>
      </c>
    </row>
    <row r="159" spans="1:16" x14ac:dyDescent="0.2">
      <c r="A159" s="8">
        <v>78.5</v>
      </c>
      <c r="B159" s="8">
        <v>157</v>
      </c>
      <c r="D159">
        <v>4481.8649695628001</v>
      </c>
      <c r="E159">
        <v>610.94355285002996</v>
      </c>
      <c r="F159">
        <v>144.48419301165001</v>
      </c>
      <c r="G159">
        <v>119.22739877981</v>
      </c>
      <c r="I159" s="9">
        <f t="shared" si="15"/>
        <v>491.71615407021994</v>
      </c>
      <c r="J159" s="9">
        <f t="shared" si="16"/>
        <v>4337.3807765511501</v>
      </c>
      <c r="K159" s="9">
        <f t="shared" si="17"/>
        <v>491.71615407021994</v>
      </c>
      <c r="L159" s="10">
        <f t="shared" si="14"/>
        <v>0.11336707091259945</v>
      </c>
      <c r="M159" s="10">
        <f t="shared" si="18"/>
        <v>0.12085438328260084</v>
      </c>
      <c r="P159" s="8">
        <f t="shared" si="19"/>
        <v>-4.659573349675048</v>
      </c>
    </row>
    <row r="160" spans="1:16" x14ac:dyDescent="0.2">
      <c r="A160" s="8">
        <v>79</v>
      </c>
      <c r="B160" s="8">
        <v>158</v>
      </c>
      <c r="D160">
        <v>4478.5688987271997</v>
      </c>
      <c r="E160">
        <v>613.58384061980996</v>
      </c>
      <c r="F160">
        <v>144.75984470327001</v>
      </c>
      <c r="G160">
        <v>119.36605657238</v>
      </c>
      <c r="I160" s="9">
        <f t="shared" si="15"/>
        <v>494.21778404742997</v>
      </c>
      <c r="J160" s="9">
        <f t="shared" si="16"/>
        <v>4333.80905402393</v>
      </c>
      <c r="K160" s="9">
        <f t="shared" si="17"/>
        <v>494.21778404742997</v>
      </c>
      <c r="L160" s="10">
        <f t="shared" si="14"/>
        <v>0.11403773860053897</v>
      </c>
      <c r="M160" s="10">
        <f t="shared" si="18"/>
        <v>0.12157274085824736</v>
      </c>
      <c r="P160" s="8">
        <f t="shared" si="19"/>
        <v>-4.0928705467698228</v>
      </c>
    </row>
    <row r="161" spans="1:16" x14ac:dyDescent="0.2">
      <c r="A161" s="8">
        <v>79.5</v>
      </c>
      <c r="B161" s="8">
        <v>159</v>
      </c>
      <c r="D161">
        <v>4416.3292750415003</v>
      </c>
      <c r="E161">
        <v>605.89983397897004</v>
      </c>
      <c r="F161">
        <v>144.77426511370001</v>
      </c>
      <c r="G161">
        <v>119.64947310039</v>
      </c>
      <c r="I161" s="9">
        <f t="shared" si="15"/>
        <v>486.25036087858007</v>
      </c>
      <c r="J161" s="9">
        <f t="shared" si="16"/>
        <v>4271.5550099278007</v>
      </c>
      <c r="K161" s="9">
        <f t="shared" si="17"/>
        <v>486.25036087858007</v>
      </c>
      <c r="L161" s="10">
        <f t="shared" si="14"/>
        <v>0.11383450751505102</v>
      </c>
      <c r="M161" s="10">
        <f t="shared" si="18"/>
        <v>0.12141719966046642</v>
      </c>
      <c r="P161" s="8">
        <f t="shared" si="19"/>
        <v>-4.2155749432124496</v>
      </c>
    </row>
    <row r="162" spans="1:16" x14ac:dyDescent="0.2">
      <c r="A162" s="8">
        <v>80</v>
      </c>
      <c r="B162" s="4">
        <v>160</v>
      </c>
      <c r="C162" s="4" t="s">
        <v>7</v>
      </c>
      <c r="D162">
        <v>4384.0138350857997</v>
      </c>
      <c r="E162">
        <v>604.40232429441005</v>
      </c>
      <c r="F162">
        <v>145.08430393788001</v>
      </c>
      <c r="G162">
        <v>119.42207432057999</v>
      </c>
      <c r="H162" s="4"/>
      <c r="I162" s="5">
        <f t="shared" si="15"/>
        <v>484.98024997383004</v>
      </c>
      <c r="J162" s="5">
        <f t="shared" si="16"/>
        <v>4238.92953114792</v>
      </c>
      <c r="K162" s="9">
        <f t="shared" si="17"/>
        <v>484.98024997383004</v>
      </c>
      <c r="L162" s="6">
        <f t="shared" si="14"/>
        <v>0.11441101967139693</v>
      </c>
      <c r="M162" s="6">
        <f t="shared" si="18"/>
        <v>0.12204140170451935</v>
      </c>
      <c r="N162" s="4"/>
      <c r="O162" s="4"/>
      <c r="P162" s="4">
        <f t="shared" si="19"/>
        <v>-3.7231501955154478</v>
      </c>
    </row>
    <row r="163" spans="1:16" x14ac:dyDescent="0.2">
      <c r="A163" s="8">
        <v>80.5</v>
      </c>
      <c r="B163" s="8">
        <v>161</v>
      </c>
      <c r="D163">
        <v>4384.6912008854997</v>
      </c>
      <c r="E163">
        <v>603.72053126728997</v>
      </c>
      <c r="F163">
        <v>144.95008319467999</v>
      </c>
      <c r="G163">
        <v>119.6045479756</v>
      </c>
      <c r="I163" s="9">
        <f t="shared" si="15"/>
        <v>484.11598329168999</v>
      </c>
      <c r="J163" s="9">
        <f t="shared" si="16"/>
        <v>4239.7411176908199</v>
      </c>
      <c r="K163" s="9">
        <f t="shared" si="17"/>
        <v>484.11598329168999</v>
      </c>
      <c r="L163" s="10">
        <f t="shared" si="14"/>
        <v>0.11418526977311397</v>
      </c>
      <c r="M163" s="10">
        <f t="shared" si="18"/>
        <v>0.1218633416939434</v>
      </c>
      <c r="P163" s="8">
        <f t="shared" si="19"/>
        <v>-3.8636193859293009</v>
      </c>
    </row>
    <row r="164" spans="1:16" x14ac:dyDescent="0.2">
      <c r="A164" s="8">
        <v>81</v>
      </c>
      <c r="B164" s="8">
        <v>162</v>
      </c>
      <c r="D164">
        <v>4417.2036524627001</v>
      </c>
      <c r="E164">
        <v>608.90979524072998</v>
      </c>
      <c r="F164">
        <v>145.00332778702</v>
      </c>
      <c r="G164">
        <v>119.54908485857</v>
      </c>
      <c r="I164" s="9">
        <f t="shared" si="15"/>
        <v>489.36071038215999</v>
      </c>
      <c r="J164" s="9">
        <f t="shared" si="16"/>
        <v>4272.2003246756803</v>
      </c>
      <c r="K164" s="9">
        <f t="shared" si="17"/>
        <v>489.36071038215999</v>
      </c>
      <c r="L164" s="10">
        <f t="shared" si="14"/>
        <v>0.11454535676983015</v>
      </c>
      <c r="M164" s="10">
        <f t="shared" si="18"/>
        <v>0.1222711185783666</v>
      </c>
      <c r="P164" s="8">
        <f t="shared" si="19"/>
        <v>-3.5419295879834682</v>
      </c>
    </row>
    <row r="165" spans="1:16" x14ac:dyDescent="0.2">
      <c r="A165" s="8">
        <v>81.5</v>
      </c>
      <c r="B165" s="8">
        <v>163</v>
      </c>
      <c r="D165">
        <v>4474.3099059214001</v>
      </c>
      <c r="E165">
        <v>660.77365799667996</v>
      </c>
      <c r="F165">
        <v>145.25180255129999</v>
      </c>
      <c r="G165">
        <v>119.48530227399</v>
      </c>
      <c r="I165" s="9">
        <f t="shared" si="15"/>
        <v>541.28835572268997</v>
      </c>
      <c r="J165" s="9">
        <f t="shared" si="16"/>
        <v>4329.0581033701001</v>
      </c>
      <c r="K165" s="9">
        <f t="shared" si="17"/>
        <v>541.28835572268997</v>
      </c>
      <c r="L165" s="10">
        <f t="shared" si="14"/>
        <v>0.1250360569892342</v>
      </c>
      <c r="M165" s="10">
        <f t="shared" si="18"/>
        <v>0.13280950868547767</v>
      </c>
      <c r="P165" s="8">
        <f t="shared" si="19"/>
        <v>4.7716671697783344</v>
      </c>
    </row>
    <row r="166" spans="1:16" x14ac:dyDescent="0.2">
      <c r="A166" s="8">
        <v>82</v>
      </c>
      <c r="B166" s="8">
        <v>164</v>
      </c>
      <c r="D166">
        <v>4503.0885445490003</v>
      </c>
      <c r="E166">
        <v>707.45545102380004</v>
      </c>
      <c r="F166">
        <v>145.56960621187</v>
      </c>
      <c r="G166">
        <v>119.53244592346</v>
      </c>
      <c r="I166" s="9">
        <f t="shared" si="15"/>
        <v>587.92300510033999</v>
      </c>
      <c r="J166" s="9">
        <f t="shared" si="16"/>
        <v>4357.5189383371307</v>
      </c>
      <c r="K166" s="9">
        <f t="shared" si="17"/>
        <v>587.92300510033999</v>
      </c>
      <c r="L166" s="10">
        <f t="shared" si="14"/>
        <v>0.13492150313515258</v>
      </c>
      <c r="M166" s="10">
        <f t="shared" si="18"/>
        <v>0.14274264471910306</v>
      </c>
      <c r="P166" s="8">
        <f t="shared" si="19"/>
        <v>12.607786983546838</v>
      </c>
    </row>
    <row r="167" spans="1:16" x14ac:dyDescent="0.2">
      <c r="A167" s="8">
        <v>82.5</v>
      </c>
      <c r="B167" s="8">
        <v>165</v>
      </c>
      <c r="D167">
        <v>4582.8361925844001</v>
      </c>
      <c r="E167">
        <v>742.19424460432003</v>
      </c>
      <c r="F167">
        <v>145.40266222962001</v>
      </c>
      <c r="G167">
        <v>119.45923460899</v>
      </c>
      <c r="I167" s="9">
        <f t="shared" si="15"/>
        <v>622.73500999533007</v>
      </c>
      <c r="J167" s="9">
        <f t="shared" si="16"/>
        <v>4437.4335303547805</v>
      </c>
      <c r="K167" s="9">
        <f t="shared" si="17"/>
        <v>622.73500999533007</v>
      </c>
      <c r="L167" s="10">
        <f t="shared" si="14"/>
        <v>0.14033675225452702</v>
      </c>
      <c r="M167" s="10">
        <f t="shared" si="18"/>
        <v>0.14820558372618453</v>
      </c>
      <c r="P167" s="8">
        <f t="shared" si="19"/>
        <v>16.917427408271376</v>
      </c>
    </row>
    <row r="168" spans="1:16" x14ac:dyDescent="0.2">
      <c r="A168" s="8">
        <v>83</v>
      </c>
      <c r="B168" s="8">
        <v>166</v>
      </c>
      <c r="D168">
        <v>4661.1189817376999</v>
      </c>
      <c r="E168">
        <v>773.07581627006005</v>
      </c>
      <c r="F168">
        <v>145.60011092623</v>
      </c>
      <c r="G168">
        <v>119.67942318358</v>
      </c>
      <c r="I168" s="9">
        <f t="shared" si="15"/>
        <v>653.39639308648009</v>
      </c>
      <c r="J168" s="9">
        <f t="shared" si="16"/>
        <v>4515.5188708114702</v>
      </c>
      <c r="K168" s="9">
        <f t="shared" si="17"/>
        <v>653.39639308648009</v>
      </c>
      <c r="L168" s="10">
        <f t="shared" si="14"/>
        <v>0.14470017993060899</v>
      </c>
      <c r="M168" s="10">
        <f t="shared" si="18"/>
        <v>0.15261670128997351</v>
      </c>
      <c r="P168" s="8">
        <f t="shared" si="19"/>
        <v>20.39729978950697</v>
      </c>
    </row>
    <row r="169" spans="1:16" x14ac:dyDescent="0.2">
      <c r="A169" s="8">
        <v>83.5</v>
      </c>
      <c r="B169" s="8">
        <v>167</v>
      </c>
      <c r="D169">
        <v>4651.6773657997001</v>
      </c>
      <c r="E169">
        <v>787.19203099058996</v>
      </c>
      <c r="F169">
        <v>145.75540765391</v>
      </c>
      <c r="G169">
        <v>120.03161397671001</v>
      </c>
      <c r="I169" s="9">
        <f t="shared" si="15"/>
        <v>667.16041701387996</v>
      </c>
      <c r="J169" s="9">
        <f t="shared" si="16"/>
        <v>4505.9219581457901</v>
      </c>
      <c r="K169" s="9">
        <f t="shared" si="17"/>
        <v>667.16041701387996</v>
      </c>
      <c r="L169" s="10">
        <f t="shared" si="14"/>
        <v>0.14806302088916334</v>
      </c>
      <c r="M169" s="10">
        <f t="shared" si="18"/>
        <v>0.15602723213623487</v>
      </c>
      <c r="P169" s="8">
        <f t="shared" si="19"/>
        <v>23.087822525668784</v>
      </c>
    </row>
    <row r="170" spans="1:16" x14ac:dyDescent="0.2">
      <c r="A170" s="8">
        <v>84</v>
      </c>
      <c r="B170" s="8">
        <v>168</v>
      </c>
      <c r="D170">
        <v>4613.3359158826997</v>
      </c>
      <c r="E170">
        <v>794.93303818484003</v>
      </c>
      <c r="F170">
        <v>145.86799778148</v>
      </c>
      <c r="G170">
        <v>120.25956738769</v>
      </c>
      <c r="I170" s="9">
        <f t="shared" si="15"/>
        <v>674.67347079715</v>
      </c>
      <c r="J170" s="9">
        <f t="shared" si="16"/>
        <v>4467.4679181012198</v>
      </c>
      <c r="K170" s="9">
        <f t="shared" si="17"/>
        <v>674.67347079715</v>
      </c>
      <c r="L170" s="10">
        <f t="shared" si="14"/>
        <v>0.15101920890433665</v>
      </c>
      <c r="M170" s="10">
        <f t="shared" si="18"/>
        <v>0.15903111003911519</v>
      </c>
      <c r="P170" s="8">
        <f t="shared" si="19"/>
        <v>25.457542126127198</v>
      </c>
    </row>
    <row r="171" spans="1:16" x14ac:dyDescent="0.2">
      <c r="A171" s="8">
        <v>84.5</v>
      </c>
      <c r="B171" s="8">
        <v>169</v>
      </c>
      <c r="D171">
        <v>4659.9723451327</v>
      </c>
      <c r="E171">
        <v>806.56415929204002</v>
      </c>
      <c r="F171">
        <v>145.81863560732</v>
      </c>
      <c r="G171">
        <v>119.98280643372</v>
      </c>
      <c r="I171" s="9">
        <f t="shared" si="15"/>
        <v>686.58135285831997</v>
      </c>
      <c r="J171" s="9">
        <f t="shared" si="16"/>
        <v>4514.1537095253798</v>
      </c>
      <c r="K171" s="9">
        <f t="shared" si="17"/>
        <v>686.58135285831997</v>
      </c>
      <c r="L171" s="10">
        <f t="shared" si="14"/>
        <v>0.15209525351552716</v>
      </c>
      <c r="M171" s="10">
        <f t="shared" si="18"/>
        <v>0.16015484453801274</v>
      </c>
      <c r="P171" s="8">
        <f t="shared" si="19"/>
        <v>26.34404142930974</v>
      </c>
    </row>
    <row r="172" spans="1:16" x14ac:dyDescent="0.2">
      <c r="A172" s="8">
        <v>85</v>
      </c>
      <c r="B172" s="8">
        <v>170</v>
      </c>
      <c r="D172">
        <v>4666.4363938053002</v>
      </c>
      <c r="E172">
        <v>819.22511061947</v>
      </c>
      <c r="F172">
        <v>145.64669994453999</v>
      </c>
      <c r="G172">
        <v>120.24736550194</v>
      </c>
      <c r="I172" s="9">
        <f t="shared" si="15"/>
        <v>698.97774511753005</v>
      </c>
      <c r="J172" s="9">
        <f t="shared" si="16"/>
        <v>4520.7896938607601</v>
      </c>
      <c r="K172" s="9">
        <f t="shared" si="17"/>
        <v>698.97774511753005</v>
      </c>
      <c r="L172" s="10">
        <f t="shared" si="14"/>
        <v>0.15461408126698373</v>
      </c>
      <c r="M172" s="10">
        <f t="shared" si="18"/>
        <v>0.16272136217717631</v>
      </c>
      <c r="P172" s="8">
        <f t="shared" si="19"/>
        <v>28.368733294653676</v>
      </c>
    </row>
    <row r="173" spans="1:16" x14ac:dyDescent="0.2">
      <c r="A173" s="8">
        <v>85.5</v>
      </c>
      <c r="B173" s="8">
        <v>171</v>
      </c>
      <c r="D173">
        <v>4674.5669247788001</v>
      </c>
      <c r="E173">
        <v>827.75055309735001</v>
      </c>
      <c r="F173">
        <v>145.52468108708001</v>
      </c>
      <c r="G173">
        <v>120.10038824182</v>
      </c>
      <c r="I173" s="9">
        <f t="shared" si="15"/>
        <v>707.65016485552997</v>
      </c>
      <c r="J173" s="9">
        <f t="shared" si="16"/>
        <v>4529.0422436917197</v>
      </c>
      <c r="K173" s="9">
        <f t="shared" si="17"/>
        <v>707.65016485552997</v>
      </c>
      <c r="L173" s="10">
        <f t="shared" si="14"/>
        <v>0.15624719902782561</v>
      </c>
      <c r="M173" s="10">
        <f t="shared" si="18"/>
        <v>0.1644021698257252</v>
      </c>
      <c r="P173" s="8">
        <f t="shared" si="19"/>
        <v>29.694700247420798</v>
      </c>
    </row>
    <row r="174" spans="1:16" x14ac:dyDescent="0.2">
      <c r="A174" s="8">
        <v>86</v>
      </c>
      <c r="B174" s="8">
        <v>172</v>
      </c>
      <c r="D174">
        <v>4692.1393805309999</v>
      </c>
      <c r="E174">
        <v>839.42146017698997</v>
      </c>
      <c r="F174">
        <v>146.16306156406</v>
      </c>
      <c r="G174">
        <v>119.97226844149</v>
      </c>
      <c r="I174" s="9">
        <f t="shared" si="15"/>
        <v>719.44919173549999</v>
      </c>
      <c r="J174" s="9">
        <f t="shared" si="16"/>
        <v>4545.9763189669402</v>
      </c>
      <c r="K174" s="9">
        <f t="shared" si="17"/>
        <v>719.44919173549999</v>
      </c>
      <c r="L174" s="10">
        <f t="shared" si="14"/>
        <v>0.15826065541383919</v>
      </c>
      <c r="M174" s="10">
        <f t="shared" si="18"/>
        <v>0.16646331609944579</v>
      </c>
      <c r="P174" s="8">
        <f t="shared" si="19"/>
        <v>31.320711317832174</v>
      </c>
    </row>
    <row r="175" spans="1:16" x14ac:dyDescent="0.2">
      <c r="A175" s="8">
        <v>86.5</v>
      </c>
      <c r="B175" s="8">
        <v>173</v>
      </c>
      <c r="D175">
        <v>4736.0862831858003</v>
      </c>
      <c r="E175">
        <v>850.25497787611005</v>
      </c>
      <c r="F175">
        <v>145.88796450360999</v>
      </c>
      <c r="G175">
        <v>119.92124237381999</v>
      </c>
      <c r="I175" s="9">
        <f t="shared" si="15"/>
        <v>730.3337355022901</v>
      </c>
      <c r="J175" s="9">
        <f t="shared" si="16"/>
        <v>4590.1983186821899</v>
      </c>
      <c r="K175" s="9">
        <f t="shared" si="17"/>
        <v>730.3337355022901</v>
      </c>
      <c r="L175" s="10">
        <f t="shared" si="14"/>
        <v>0.15910722909940919</v>
      </c>
      <c r="M175" s="10">
        <f t="shared" si="18"/>
        <v>0.1673575796727228</v>
      </c>
      <c r="P175" s="8">
        <f t="shared" si="19"/>
        <v>32.026184038790149</v>
      </c>
    </row>
    <row r="176" spans="1:16" x14ac:dyDescent="0.2">
      <c r="A176" s="8">
        <v>87</v>
      </c>
      <c r="B176" s="8">
        <v>174</v>
      </c>
      <c r="D176">
        <v>4714.2892699115</v>
      </c>
      <c r="E176">
        <v>858.97511061947</v>
      </c>
      <c r="F176">
        <v>146.01220188574999</v>
      </c>
      <c r="G176">
        <v>120.20022185246999</v>
      </c>
      <c r="I176" s="9">
        <f t="shared" si="15"/>
        <v>738.77488876699999</v>
      </c>
      <c r="J176" s="9">
        <f t="shared" si="16"/>
        <v>4568.2770680257499</v>
      </c>
      <c r="K176" s="9">
        <f t="shared" si="17"/>
        <v>738.77488876699999</v>
      </c>
      <c r="L176" s="10">
        <f t="shared" si="14"/>
        <v>0.16171849425198562</v>
      </c>
      <c r="M176" s="10">
        <f t="shared" si="18"/>
        <v>0.17001653471300626</v>
      </c>
      <c r="P176" s="8">
        <f t="shared" si="19"/>
        <v>34.123798548905768</v>
      </c>
    </row>
    <row r="177" spans="1:16" x14ac:dyDescent="0.2">
      <c r="A177" s="8">
        <v>87.5</v>
      </c>
      <c r="B177" s="8">
        <v>175</v>
      </c>
      <c r="D177">
        <v>4776.0523704520001</v>
      </c>
      <c r="E177">
        <v>880.99558985666999</v>
      </c>
      <c r="F177">
        <v>146.15363283417</v>
      </c>
      <c r="G177">
        <v>120.21907931226001</v>
      </c>
      <c r="I177" s="9">
        <f t="shared" si="15"/>
        <v>760.77651054441003</v>
      </c>
      <c r="J177" s="9">
        <f t="shared" si="16"/>
        <v>4629.8987376178302</v>
      </c>
      <c r="K177" s="9">
        <f t="shared" si="17"/>
        <v>760.77651054441003</v>
      </c>
      <c r="L177" s="10">
        <f t="shared" si="14"/>
        <v>0.1643181749015625</v>
      </c>
      <c r="M177" s="10">
        <f t="shared" si="18"/>
        <v>0.17266390525029016</v>
      </c>
      <c r="P177" s="8">
        <f t="shared" si="19"/>
        <v>36.212274197620474</v>
      </c>
    </row>
    <row r="178" spans="1:16" x14ac:dyDescent="0.2">
      <c r="A178" s="8">
        <v>88</v>
      </c>
      <c r="B178" s="8">
        <v>176</v>
      </c>
      <c r="D178">
        <v>4837.0650496140997</v>
      </c>
      <c r="E178">
        <v>899.10418963615996</v>
      </c>
      <c r="F178">
        <v>145.93399889074001</v>
      </c>
      <c r="G178">
        <v>120.17470881864</v>
      </c>
      <c r="I178" s="9">
        <f t="shared" si="15"/>
        <v>778.92948081752002</v>
      </c>
      <c r="J178" s="9">
        <f t="shared" si="16"/>
        <v>4691.1310507233593</v>
      </c>
      <c r="K178" s="9">
        <f t="shared" si="17"/>
        <v>778.92948081752002</v>
      </c>
      <c r="L178" s="10">
        <f t="shared" si="14"/>
        <v>0.16604300165466732</v>
      </c>
      <c r="M178" s="10">
        <f t="shared" si="18"/>
        <v>0.17443642189110198</v>
      </c>
      <c r="P178" s="8">
        <f t="shared" si="19"/>
        <v>37.610589163033318</v>
      </c>
    </row>
    <row r="179" spans="1:16" x14ac:dyDescent="0.2">
      <c r="A179" s="8">
        <v>88.5</v>
      </c>
      <c r="B179" s="8">
        <v>177</v>
      </c>
      <c r="D179">
        <v>4847.1157662624</v>
      </c>
      <c r="E179">
        <v>907.18963616318001</v>
      </c>
      <c r="F179">
        <v>145.62950637826</v>
      </c>
      <c r="G179">
        <v>120.09373266778</v>
      </c>
      <c r="I179" s="9">
        <f t="shared" si="15"/>
        <v>787.09590349539997</v>
      </c>
      <c r="J179" s="9">
        <f t="shared" si="16"/>
        <v>4701.4862598841401</v>
      </c>
      <c r="K179" s="9">
        <f t="shared" si="17"/>
        <v>787.09590349539997</v>
      </c>
      <c r="L179" s="10">
        <f t="shared" si="14"/>
        <v>0.16741427284630553</v>
      </c>
      <c r="M179" s="10">
        <f t="shared" si="18"/>
        <v>0.1758553829704472</v>
      </c>
      <c r="P179" s="8">
        <f t="shared" si="19"/>
        <v>38.72998881599117</v>
      </c>
    </row>
    <row r="180" spans="1:16" x14ac:dyDescent="0.2">
      <c r="A180" s="8">
        <v>89</v>
      </c>
      <c r="B180" s="8">
        <v>178</v>
      </c>
      <c r="D180">
        <v>4843.2171995589997</v>
      </c>
      <c r="E180">
        <v>913.76901874311</v>
      </c>
      <c r="F180">
        <v>146.26178591236999</v>
      </c>
      <c r="G180">
        <v>120.08208541320001</v>
      </c>
      <c r="I180" s="9">
        <f t="shared" si="15"/>
        <v>793.68693332990995</v>
      </c>
      <c r="J180" s="9">
        <f t="shared" si="16"/>
        <v>4696.9554136466295</v>
      </c>
      <c r="K180" s="9">
        <f t="shared" si="17"/>
        <v>793.68693332990995</v>
      </c>
      <c r="L180" s="10">
        <f t="shared" si="14"/>
        <v>0.16897902224575431</v>
      </c>
      <c r="M180" s="10">
        <f t="shared" si="18"/>
        <v>0.17746782225760302</v>
      </c>
      <c r="P180" s="8">
        <f t="shared" si="19"/>
        <v>40.002020871507966</v>
      </c>
    </row>
    <row r="181" spans="1:16" x14ac:dyDescent="0.2">
      <c r="A181" s="8">
        <v>89.5</v>
      </c>
      <c r="B181" s="8">
        <v>179</v>
      </c>
      <c r="D181">
        <v>4868.0066152150002</v>
      </c>
      <c r="E181">
        <v>925.68412348401</v>
      </c>
      <c r="F181">
        <v>146.33166943981999</v>
      </c>
      <c r="G181">
        <v>120.4048807543</v>
      </c>
      <c r="I181" s="9">
        <f t="shared" si="15"/>
        <v>805.27924272970995</v>
      </c>
      <c r="J181" s="9">
        <f t="shared" si="16"/>
        <v>4721.6749457751803</v>
      </c>
      <c r="K181" s="9">
        <f t="shared" si="17"/>
        <v>805.27924272970995</v>
      </c>
      <c r="L181" s="10">
        <f t="shared" si="14"/>
        <v>0.17054948762414296</v>
      </c>
      <c r="M181" s="10">
        <f t="shared" si="18"/>
        <v>0.17908597752369868</v>
      </c>
      <c r="P181" s="8">
        <f t="shared" si="19"/>
        <v>41.278562187310129</v>
      </c>
    </row>
    <row r="182" spans="1:16" x14ac:dyDescent="0.2">
      <c r="A182" s="8">
        <v>90</v>
      </c>
      <c r="B182" s="8">
        <v>180</v>
      </c>
      <c r="D182">
        <v>4811.4453642383996</v>
      </c>
      <c r="E182">
        <v>918.46633554083996</v>
      </c>
      <c r="F182">
        <v>146.37382140875999</v>
      </c>
      <c r="G182">
        <v>120.53799223516</v>
      </c>
      <c r="I182" s="9">
        <f t="shared" si="15"/>
        <v>797.92834330567996</v>
      </c>
      <c r="J182" s="9">
        <f t="shared" si="16"/>
        <v>4665.0715428296398</v>
      </c>
      <c r="K182" s="9">
        <f t="shared" si="17"/>
        <v>797.92834330567996</v>
      </c>
      <c r="L182" s="10">
        <f t="shared" si="14"/>
        <v>0.17104310962435734</v>
      </c>
      <c r="M182" s="10">
        <f>L182+ABS($N$2)*A182</f>
        <v>0.17962728941162007</v>
      </c>
      <c r="P182" s="8">
        <f t="shared" si="19"/>
        <v>41.705595985700697</v>
      </c>
    </row>
    <row r="183" spans="1:16" x14ac:dyDescent="0.2">
      <c r="A183" s="8">
        <v>90.5</v>
      </c>
      <c r="B183" s="8">
        <v>181</v>
      </c>
      <c r="D183">
        <v>4835.5811258278</v>
      </c>
      <c r="E183">
        <v>924.16280353201</v>
      </c>
      <c r="F183">
        <v>146.08985024958</v>
      </c>
      <c r="G183">
        <v>120.35995562951</v>
      </c>
      <c r="I183" s="9">
        <f t="shared" si="15"/>
        <v>803.80284790250005</v>
      </c>
      <c r="J183" s="9">
        <f t="shared" si="16"/>
        <v>4689.4912755782198</v>
      </c>
      <c r="K183" s="9">
        <f t="shared" si="17"/>
        <v>803.80284790250005</v>
      </c>
      <c r="L183" s="10">
        <f t="shared" si="14"/>
        <v>0.17140512705259062</v>
      </c>
      <c r="M183" s="10">
        <f t="shared" ref="M183:M241" si="20">L183+ABS($N$2)*A183</f>
        <v>0.18003699672756035</v>
      </c>
      <c r="P183" s="8">
        <f t="shared" si="19"/>
        <v>42.028808675571995</v>
      </c>
    </row>
    <row r="184" spans="1:16" x14ac:dyDescent="0.2">
      <c r="A184" s="8">
        <v>91</v>
      </c>
      <c r="B184" s="8">
        <v>182</v>
      </c>
      <c r="D184">
        <v>4828.1363134658004</v>
      </c>
      <c r="E184">
        <v>923.89403973510002</v>
      </c>
      <c r="F184">
        <v>146.27897947865</v>
      </c>
      <c r="G184">
        <v>120.5280088741</v>
      </c>
      <c r="I184" s="9">
        <f t="shared" si="15"/>
        <v>803.36603086100001</v>
      </c>
      <c r="J184" s="9">
        <f t="shared" si="16"/>
        <v>4681.85733398715</v>
      </c>
      <c r="K184" s="9">
        <f t="shared" si="17"/>
        <v>803.36603086100001</v>
      </c>
      <c r="L184" s="10">
        <f t="shared" si="14"/>
        <v>0.17159130950640047</v>
      </c>
      <c r="M184" s="10">
        <f t="shared" si="20"/>
        <v>0.18027086906907724</v>
      </c>
      <c r="P184" s="8">
        <f t="shared" si="19"/>
        <v>42.213307476660503</v>
      </c>
    </row>
    <row r="185" spans="1:16" x14ac:dyDescent="0.2">
      <c r="A185" s="8">
        <v>91.5</v>
      </c>
      <c r="B185" s="8">
        <v>183</v>
      </c>
      <c r="D185">
        <v>4830.9718543046001</v>
      </c>
      <c r="E185">
        <v>925.05077262692998</v>
      </c>
      <c r="F185">
        <v>146.77814753189</v>
      </c>
      <c r="G185">
        <v>120.12645590682</v>
      </c>
      <c r="I185" s="9">
        <f t="shared" si="15"/>
        <v>804.92431672011003</v>
      </c>
      <c r="J185" s="9">
        <f t="shared" si="16"/>
        <v>4684.1937067727104</v>
      </c>
      <c r="K185" s="9">
        <f t="shared" si="17"/>
        <v>804.92431672011003</v>
      </c>
      <c r="L185" s="10">
        <f t="shared" si="14"/>
        <v>0.17183839249779495</v>
      </c>
      <c r="M185" s="10">
        <f t="shared" si="20"/>
        <v>0.18056564194817873</v>
      </c>
      <c r="P185" s="8">
        <f t="shared" si="19"/>
        <v>42.445849907436582</v>
      </c>
    </row>
    <row r="186" spans="1:16" x14ac:dyDescent="0.2">
      <c r="A186" s="8">
        <v>92</v>
      </c>
      <c r="B186" s="8">
        <v>184</v>
      </c>
      <c r="D186">
        <v>4765.9541942605001</v>
      </c>
      <c r="E186">
        <v>916.01986754967004</v>
      </c>
      <c r="F186">
        <v>146.75984470327001</v>
      </c>
      <c r="G186">
        <v>120.1231281198</v>
      </c>
      <c r="I186" s="9">
        <f t="shared" si="15"/>
        <v>795.89673942987008</v>
      </c>
      <c r="J186" s="9">
        <f t="shared" si="16"/>
        <v>4619.1943495572305</v>
      </c>
      <c r="K186" s="9">
        <f t="shared" si="17"/>
        <v>795.89673942987008</v>
      </c>
      <c r="L186" s="10">
        <f t="shared" si="14"/>
        <v>0.1723020681098123</v>
      </c>
      <c r="M186" s="10">
        <f t="shared" si="20"/>
        <v>0.18107700744790309</v>
      </c>
      <c r="P186" s="8">
        <f t="shared" si="19"/>
        <v>42.849259395729398</v>
      </c>
    </row>
    <row r="187" spans="1:16" x14ac:dyDescent="0.2">
      <c r="A187" s="8">
        <v>92.5</v>
      </c>
      <c r="B187" s="8">
        <v>185</v>
      </c>
      <c r="D187">
        <v>4755.1666666666997</v>
      </c>
      <c r="E187">
        <v>914.76710816776995</v>
      </c>
      <c r="F187">
        <v>146.35829173600001</v>
      </c>
      <c r="G187">
        <v>120.5596228508</v>
      </c>
      <c r="I187" s="9">
        <f t="shared" si="15"/>
        <v>794.20748531696995</v>
      </c>
      <c r="J187" s="9">
        <f t="shared" si="16"/>
        <v>4608.8083749306998</v>
      </c>
      <c r="K187" s="9">
        <f t="shared" si="17"/>
        <v>794.20748531696995</v>
      </c>
      <c r="L187" s="10">
        <f t="shared" si="14"/>
        <v>0.17232382444820393</v>
      </c>
      <c r="M187" s="10">
        <f t="shared" si="20"/>
        <v>0.18114645367400173</v>
      </c>
      <c r="P187" s="8">
        <f t="shared" si="19"/>
        <v>42.904044606208828</v>
      </c>
    </row>
    <row r="188" spans="1:16" x14ac:dyDescent="0.2">
      <c r="A188" s="8">
        <v>93</v>
      </c>
      <c r="B188" s="8">
        <v>186</v>
      </c>
      <c r="D188">
        <v>4720.9370860927002</v>
      </c>
      <c r="E188">
        <v>908.85540838852</v>
      </c>
      <c r="F188">
        <v>147.21575152523999</v>
      </c>
      <c r="G188">
        <v>120.42872989462001</v>
      </c>
      <c r="I188" s="9">
        <f t="shared" si="15"/>
        <v>788.4266784939</v>
      </c>
      <c r="J188" s="9">
        <f t="shared" si="16"/>
        <v>4573.72133456746</v>
      </c>
      <c r="K188" s="9">
        <f t="shared" si="17"/>
        <v>788.4266784939</v>
      </c>
      <c r="L188" s="10">
        <f t="shared" si="14"/>
        <v>0.17238187917901693</v>
      </c>
      <c r="M188" s="10">
        <f t="shared" si="20"/>
        <v>0.18125219829252176</v>
      </c>
      <c r="P188" s="8">
        <f t="shared" si="19"/>
        <v>42.98746513901731</v>
      </c>
    </row>
    <row r="189" spans="1:16" x14ac:dyDescent="0.2">
      <c r="A189" s="8">
        <v>93.5</v>
      </c>
      <c r="B189" s="8">
        <v>187</v>
      </c>
      <c r="D189">
        <v>4701.0088300220996</v>
      </c>
      <c r="E189">
        <v>909.25165562914003</v>
      </c>
      <c r="F189">
        <v>146.62007764836</v>
      </c>
      <c r="G189">
        <v>120.67886855240999</v>
      </c>
      <c r="I189" s="9">
        <f t="shared" si="15"/>
        <v>788.57278707673004</v>
      </c>
      <c r="J189" s="9">
        <f t="shared" si="16"/>
        <v>4554.3887523737394</v>
      </c>
      <c r="K189" s="9">
        <f t="shared" si="17"/>
        <v>788.57278707673004</v>
      </c>
      <c r="L189" s="10">
        <f t="shared" si="14"/>
        <v>0.1731456908823884</v>
      </c>
      <c r="M189" s="10">
        <f t="shared" si="20"/>
        <v>0.18206369988360024</v>
      </c>
      <c r="P189" s="8">
        <f t="shared" si="19"/>
        <v>43.627648025391601</v>
      </c>
    </row>
    <row r="190" spans="1:16" x14ac:dyDescent="0.2">
      <c r="A190" s="8">
        <v>94</v>
      </c>
      <c r="B190" s="8">
        <v>188</v>
      </c>
      <c r="D190">
        <v>4761.7853200883001</v>
      </c>
      <c r="E190">
        <v>916.07395143487997</v>
      </c>
      <c r="F190">
        <v>146.21353300056001</v>
      </c>
      <c r="G190">
        <v>120.18746533555</v>
      </c>
      <c r="I190" s="9">
        <f t="shared" si="15"/>
        <v>795.88648609933</v>
      </c>
      <c r="J190" s="9">
        <f t="shared" si="16"/>
        <v>4615.5717870877397</v>
      </c>
      <c r="K190" s="9">
        <f t="shared" si="17"/>
        <v>795.88648609933</v>
      </c>
      <c r="L190" s="10">
        <f t="shared" si="14"/>
        <v>0.17243507907857844</v>
      </c>
      <c r="M190" s="10">
        <f t="shared" si="20"/>
        <v>0.18140077796749729</v>
      </c>
      <c r="P190" s="8">
        <f t="shared" si="19"/>
        <v>43.104677682070957</v>
      </c>
    </row>
    <row r="191" spans="1:16" x14ac:dyDescent="0.2">
      <c r="A191" s="8">
        <v>94.5</v>
      </c>
      <c r="B191" s="8">
        <v>189</v>
      </c>
      <c r="D191">
        <v>4764.4983443708998</v>
      </c>
      <c r="E191">
        <v>913.73454746136997</v>
      </c>
      <c r="F191">
        <v>146.81475318912999</v>
      </c>
      <c r="G191">
        <v>120.30061009428999</v>
      </c>
      <c r="I191" s="9">
        <f t="shared" si="15"/>
        <v>793.43393736708003</v>
      </c>
      <c r="J191" s="9">
        <f t="shared" si="16"/>
        <v>4617.6835911817698</v>
      </c>
      <c r="K191" s="9">
        <f t="shared" si="17"/>
        <v>793.43393736708003</v>
      </c>
      <c r="L191" s="10">
        <f t="shared" si="14"/>
        <v>0.17182509838531884</v>
      </c>
      <c r="M191" s="10">
        <f t="shared" si="20"/>
        <v>0.1808384871619447</v>
      </c>
      <c r="P191" s="8">
        <f t="shared" si="19"/>
        <v>42.661093892663985</v>
      </c>
    </row>
    <row r="192" spans="1:16" x14ac:dyDescent="0.2">
      <c r="A192" s="8">
        <v>95</v>
      </c>
      <c r="B192" s="8">
        <v>190</v>
      </c>
      <c r="D192">
        <v>4776.6004415011002</v>
      </c>
      <c r="E192">
        <v>918.05242825607002</v>
      </c>
      <c r="F192">
        <v>146.32057681641999</v>
      </c>
      <c r="G192">
        <v>120.59234608985</v>
      </c>
      <c r="I192" s="9">
        <f t="shared" si="15"/>
        <v>797.46008216621999</v>
      </c>
      <c r="J192" s="9">
        <f t="shared" si="16"/>
        <v>4630.2798646846804</v>
      </c>
      <c r="K192" s="9">
        <f t="shared" si="17"/>
        <v>797.46008216621999</v>
      </c>
      <c r="L192" s="10">
        <f t="shared" si="14"/>
        <v>0.17222718830636527</v>
      </c>
      <c r="M192" s="10">
        <f t="shared" si="20"/>
        <v>0.18128826697069816</v>
      </c>
      <c r="P192" s="8">
        <f t="shared" si="19"/>
        <v>43.015919242812707</v>
      </c>
    </row>
    <row r="193" spans="1:16" x14ac:dyDescent="0.2">
      <c r="A193" s="8">
        <v>95.5</v>
      </c>
      <c r="B193" s="8">
        <v>191</v>
      </c>
      <c r="D193">
        <v>4770.3283664459004</v>
      </c>
      <c r="E193">
        <v>916.68984547461002</v>
      </c>
      <c r="F193">
        <v>146.768718802</v>
      </c>
      <c r="G193">
        <v>120.42540210759999</v>
      </c>
      <c r="I193" s="9">
        <f t="shared" si="15"/>
        <v>796.26444336701002</v>
      </c>
      <c r="J193" s="9">
        <f t="shared" si="16"/>
        <v>4623.5596476439005</v>
      </c>
      <c r="K193" s="9">
        <f t="shared" si="17"/>
        <v>796.26444336701002</v>
      </c>
      <c r="L193" s="10">
        <f t="shared" si="14"/>
        <v>0.17221891876592851</v>
      </c>
      <c r="M193" s="10">
        <f t="shared" si="20"/>
        <v>0.18132768731796842</v>
      </c>
      <c r="P193" s="8">
        <f t="shared" si="19"/>
        <v>43.047017434085269</v>
      </c>
    </row>
    <row r="194" spans="1:16" x14ac:dyDescent="0.2">
      <c r="A194" s="8">
        <v>96</v>
      </c>
      <c r="B194" s="8">
        <v>192</v>
      </c>
      <c r="D194">
        <v>4767.011589404</v>
      </c>
      <c r="E194">
        <v>917.12362030905001</v>
      </c>
      <c r="F194">
        <v>146.62784248475</v>
      </c>
      <c r="G194">
        <v>120.64614531337</v>
      </c>
      <c r="I194" s="9">
        <f t="shared" si="15"/>
        <v>796.47747499568004</v>
      </c>
      <c r="J194" s="9">
        <f t="shared" si="16"/>
        <v>4620.3837469192504</v>
      </c>
      <c r="K194" s="9">
        <f t="shared" si="17"/>
        <v>796.47747499568004</v>
      </c>
      <c r="L194" s="10">
        <f t="shared" ref="L194:L257" si="21">K194/J194</f>
        <v>0.1723834033324072</v>
      </c>
      <c r="M194" s="10">
        <f t="shared" si="20"/>
        <v>0.18153986177215412</v>
      </c>
      <c r="P194" s="8">
        <f t="shared" si="19"/>
        <v>43.214399058457651</v>
      </c>
    </row>
    <row r="195" spans="1:16" x14ac:dyDescent="0.2">
      <c r="A195" s="8">
        <v>96.5</v>
      </c>
      <c r="B195" s="8">
        <v>193</v>
      </c>
      <c r="D195">
        <v>4760.9508830021996</v>
      </c>
      <c r="E195">
        <v>914.19867549669004</v>
      </c>
      <c r="F195">
        <v>146.96117581807999</v>
      </c>
      <c r="G195">
        <v>120.63172490293999</v>
      </c>
      <c r="I195" s="9">
        <f t="shared" ref="I195:I241" si="22">E195-G195</f>
        <v>793.56695059375011</v>
      </c>
      <c r="J195" s="9">
        <f t="shared" ref="J195:J241" si="23">D195-F195</f>
        <v>4613.9897071841197</v>
      </c>
      <c r="K195" s="9">
        <f t="shared" ref="K195:K258" si="24">I195*1</f>
        <v>793.56695059375011</v>
      </c>
      <c r="L195" s="10">
        <f t="shared" si="21"/>
        <v>0.17199148696802308</v>
      </c>
      <c r="M195" s="10">
        <f t="shared" si="20"/>
        <v>0.181195635295477</v>
      </c>
      <c r="P195" s="8">
        <f t="shared" ref="P195:P241" si="25">(M195-$O$2)/$O$2*100</f>
        <v>42.942843337768629</v>
      </c>
    </row>
    <row r="196" spans="1:16" x14ac:dyDescent="0.2">
      <c r="A196" s="8">
        <v>97</v>
      </c>
      <c r="B196" s="8">
        <v>194</v>
      </c>
      <c r="D196">
        <v>4767.7235099338004</v>
      </c>
      <c r="E196">
        <v>912.9266004415</v>
      </c>
      <c r="F196">
        <v>146.94120909595</v>
      </c>
      <c r="G196">
        <v>120.45923460899</v>
      </c>
      <c r="I196" s="9">
        <f t="shared" si="22"/>
        <v>792.46736583251004</v>
      </c>
      <c r="J196" s="9">
        <f t="shared" si="23"/>
        <v>4620.78230083785</v>
      </c>
      <c r="K196" s="9">
        <f t="shared" si="24"/>
        <v>792.46736583251004</v>
      </c>
      <c r="L196" s="10">
        <f t="shared" si="21"/>
        <v>0.17150069279152541</v>
      </c>
      <c r="M196" s="10">
        <f t="shared" si="20"/>
        <v>0.18075253100668634</v>
      </c>
      <c r="P196" s="8">
        <f t="shared" si="25"/>
        <v>42.59328421714406</v>
      </c>
    </row>
    <row r="197" spans="1:16" x14ac:dyDescent="0.2">
      <c r="A197" s="8">
        <v>97.5</v>
      </c>
      <c r="B197" s="8">
        <v>195</v>
      </c>
      <c r="D197">
        <v>4785.7604856511998</v>
      </c>
      <c r="E197">
        <v>916.73896247240998</v>
      </c>
      <c r="F197">
        <v>146.92734331669001</v>
      </c>
      <c r="G197">
        <v>120.98114254021</v>
      </c>
      <c r="I197" s="9">
        <f t="shared" si="22"/>
        <v>795.75781993219994</v>
      </c>
      <c r="J197" s="9">
        <f t="shared" si="23"/>
        <v>4638.8331423345098</v>
      </c>
      <c r="K197" s="9">
        <f t="shared" si="24"/>
        <v>795.75781993219994</v>
      </c>
      <c r="L197" s="10">
        <f t="shared" si="21"/>
        <v>0.17154266935579662</v>
      </c>
      <c r="M197" s="10">
        <f t="shared" si="20"/>
        <v>0.18084219745866459</v>
      </c>
      <c r="P197" s="8">
        <f t="shared" si="25"/>
        <v>42.66402089673835</v>
      </c>
    </row>
    <row r="198" spans="1:16" x14ac:dyDescent="0.2">
      <c r="A198" s="8">
        <v>98</v>
      </c>
      <c r="B198" s="8">
        <v>196</v>
      </c>
      <c r="D198">
        <v>4787.1528697572003</v>
      </c>
      <c r="E198">
        <v>921.94536423840998</v>
      </c>
      <c r="F198">
        <v>146.59400998336</v>
      </c>
      <c r="G198">
        <v>120.54353854687</v>
      </c>
      <c r="I198" s="9">
        <f t="shared" si="22"/>
        <v>801.40182569154001</v>
      </c>
      <c r="J198" s="9">
        <f t="shared" si="23"/>
        <v>4640.5588597738406</v>
      </c>
      <c r="K198" s="9">
        <f t="shared" si="24"/>
        <v>801.40182569154001</v>
      </c>
      <c r="L198" s="10">
        <f t="shared" si="21"/>
        <v>0.17269511063385082</v>
      </c>
      <c r="M198" s="10">
        <f t="shared" si="20"/>
        <v>0.18204232862442579</v>
      </c>
      <c r="P198" s="8">
        <f t="shared" si="25"/>
        <v>43.610788521314021</v>
      </c>
    </row>
    <row r="199" spans="1:16" x14ac:dyDescent="0.2">
      <c r="A199" s="8">
        <v>98.5</v>
      </c>
      <c r="B199" s="8">
        <v>197</v>
      </c>
      <c r="D199">
        <v>4786.3233995584997</v>
      </c>
      <c r="E199">
        <v>923.51931567328995</v>
      </c>
      <c r="F199">
        <v>147.06211869107</v>
      </c>
      <c r="G199">
        <v>120.91735995563</v>
      </c>
      <c r="I199" s="9">
        <f t="shared" si="22"/>
        <v>802.60195571765996</v>
      </c>
      <c r="J199" s="9">
        <f t="shared" si="23"/>
        <v>4639.2612808674294</v>
      </c>
      <c r="K199" s="9">
        <f t="shared" si="24"/>
        <v>802.60195571765996</v>
      </c>
      <c r="L199" s="10">
        <f t="shared" si="21"/>
        <v>0.17300210251740614</v>
      </c>
      <c r="M199" s="10">
        <f t="shared" si="20"/>
        <v>0.18239701039568812</v>
      </c>
      <c r="P199" s="8">
        <f t="shared" si="25"/>
        <v>43.890592285801155</v>
      </c>
    </row>
    <row r="200" spans="1:16" x14ac:dyDescent="0.2">
      <c r="A200" s="8">
        <v>99</v>
      </c>
      <c r="B200" s="8">
        <v>198</v>
      </c>
      <c r="D200">
        <v>4798.5375275938004</v>
      </c>
      <c r="E200">
        <v>929.50496688741998</v>
      </c>
      <c r="F200">
        <v>146.29617304492999</v>
      </c>
      <c r="G200">
        <v>120.79700499168</v>
      </c>
      <c r="I200" s="9">
        <f t="shared" si="22"/>
        <v>808.70796189574003</v>
      </c>
      <c r="J200" s="9">
        <f t="shared" si="23"/>
        <v>4652.2413545488707</v>
      </c>
      <c r="K200" s="9">
        <f t="shared" si="24"/>
        <v>808.70796189574003</v>
      </c>
      <c r="L200" s="10">
        <f t="shared" si="21"/>
        <v>0.17383190171442872</v>
      </c>
      <c r="M200" s="10">
        <f t="shared" si="20"/>
        <v>0.18327449948041771</v>
      </c>
      <c r="P200" s="8">
        <f t="shared" si="25"/>
        <v>44.582831834312152</v>
      </c>
    </row>
    <row r="201" spans="1:16" x14ac:dyDescent="0.2">
      <c r="A201" s="8">
        <v>99.5</v>
      </c>
      <c r="B201" s="8">
        <v>199</v>
      </c>
      <c r="D201">
        <v>4803.8184326710998</v>
      </c>
      <c r="E201">
        <v>937.02373068432996</v>
      </c>
      <c r="F201">
        <v>147.22906267331999</v>
      </c>
      <c r="G201">
        <v>120.82750970604999</v>
      </c>
      <c r="I201" s="9">
        <f t="shared" si="22"/>
        <v>816.19622097827994</v>
      </c>
      <c r="J201" s="9">
        <f t="shared" si="23"/>
        <v>4656.5893699977796</v>
      </c>
      <c r="K201" s="9">
        <f t="shared" si="24"/>
        <v>816.19622097827994</v>
      </c>
      <c r="L201" s="10">
        <f t="shared" si="21"/>
        <v>0.17527768848097275</v>
      </c>
      <c r="M201" s="10">
        <f t="shared" si="20"/>
        <v>0.18476797613466878</v>
      </c>
      <c r="P201" s="8">
        <f t="shared" si="25"/>
        <v>45.761015840064267</v>
      </c>
    </row>
    <row r="202" spans="1:16" x14ac:dyDescent="0.2">
      <c r="A202" s="8">
        <v>100</v>
      </c>
      <c r="B202" s="8">
        <v>200</v>
      </c>
      <c r="D202">
        <v>4813.3658940396999</v>
      </c>
      <c r="E202">
        <v>937.90176600441998</v>
      </c>
      <c r="F202">
        <v>147.01552967276999</v>
      </c>
      <c r="G202">
        <v>120.65834719911</v>
      </c>
      <c r="I202" s="9">
        <f t="shared" si="22"/>
        <v>817.24341880530994</v>
      </c>
      <c r="J202" s="9">
        <f t="shared" si="23"/>
        <v>4666.3503643669301</v>
      </c>
      <c r="K202" s="9">
        <f t="shared" si="24"/>
        <v>817.24341880530994</v>
      </c>
      <c r="L202" s="10">
        <f t="shared" si="21"/>
        <v>0.17513546026160487</v>
      </c>
      <c r="M202" s="10">
        <f t="shared" si="20"/>
        <v>0.18467343780300791</v>
      </c>
      <c r="P202" s="8">
        <f t="shared" si="25"/>
        <v>45.686435798939236</v>
      </c>
    </row>
    <row r="203" spans="1:16" x14ac:dyDescent="0.2">
      <c r="A203" s="8">
        <v>100.5</v>
      </c>
      <c r="B203" s="8">
        <v>201</v>
      </c>
      <c r="D203">
        <v>4823.1661147902996</v>
      </c>
      <c r="E203">
        <v>936.59161147903001</v>
      </c>
      <c r="F203">
        <v>146.58957293399999</v>
      </c>
      <c r="G203">
        <v>120.64559068219999</v>
      </c>
      <c r="I203" s="9">
        <f t="shared" si="22"/>
        <v>815.94602079683</v>
      </c>
      <c r="J203" s="9">
        <f t="shared" si="23"/>
        <v>4676.5765418562996</v>
      </c>
      <c r="K203" s="9">
        <f t="shared" si="24"/>
        <v>815.94602079683</v>
      </c>
      <c r="L203" s="10">
        <f t="shared" si="21"/>
        <v>0.17447507027714593</v>
      </c>
      <c r="M203" s="10">
        <f t="shared" si="20"/>
        <v>0.18406073770625597</v>
      </c>
      <c r="P203" s="8">
        <f t="shared" si="25"/>
        <v>45.203084785542977</v>
      </c>
    </row>
    <row r="204" spans="1:16" x14ac:dyDescent="0.2">
      <c r="A204" s="8">
        <v>101</v>
      </c>
      <c r="B204" s="8">
        <v>202</v>
      </c>
      <c r="D204">
        <v>4829.7544150109998</v>
      </c>
      <c r="E204">
        <v>938.03697571743999</v>
      </c>
      <c r="F204">
        <v>146.99223516361999</v>
      </c>
      <c r="G204">
        <v>121.12922906267001</v>
      </c>
      <c r="I204" s="9">
        <f t="shared" si="22"/>
        <v>816.90774665476999</v>
      </c>
      <c r="J204" s="9">
        <f t="shared" si="23"/>
        <v>4682.7621798473801</v>
      </c>
      <c r="K204" s="9">
        <f t="shared" si="24"/>
        <v>816.90774665476999</v>
      </c>
      <c r="L204" s="10">
        <f t="shared" si="21"/>
        <v>0.17444997530952863</v>
      </c>
      <c r="M204" s="10">
        <f t="shared" si="20"/>
        <v>0.18408333262634569</v>
      </c>
      <c r="P204" s="8">
        <f t="shared" si="25"/>
        <v>45.220909619553723</v>
      </c>
    </row>
    <row r="205" spans="1:16" x14ac:dyDescent="0.2">
      <c r="A205" s="8">
        <v>101.5</v>
      </c>
      <c r="B205" s="8">
        <v>203</v>
      </c>
      <c r="D205">
        <v>4794.2472406180996</v>
      </c>
      <c r="E205">
        <v>928.11754966886997</v>
      </c>
      <c r="F205">
        <v>146.64337215751999</v>
      </c>
      <c r="G205">
        <v>120.79811425402001</v>
      </c>
      <c r="I205" s="9">
        <f t="shared" si="22"/>
        <v>807.31943541484998</v>
      </c>
      <c r="J205" s="9">
        <f t="shared" si="23"/>
        <v>4647.6038684605792</v>
      </c>
      <c r="K205" s="9">
        <f t="shared" si="24"/>
        <v>807.31943541484998</v>
      </c>
      <c r="L205" s="10">
        <f t="shared" si="21"/>
        <v>0.1737065933896508</v>
      </c>
      <c r="M205" s="10">
        <f t="shared" si="20"/>
        <v>0.18338764059417489</v>
      </c>
      <c r="P205" s="8">
        <f t="shared" si="25"/>
        <v>44.672087364515626</v>
      </c>
    </row>
    <row r="206" spans="1:16" x14ac:dyDescent="0.2">
      <c r="A206" s="8">
        <v>102</v>
      </c>
      <c r="B206" s="8">
        <v>204</v>
      </c>
      <c r="D206">
        <v>4783.6688741722</v>
      </c>
      <c r="E206">
        <v>924.35761589404001</v>
      </c>
      <c r="F206">
        <v>147.11480865224999</v>
      </c>
      <c r="G206">
        <v>120.43871325569</v>
      </c>
      <c r="I206" s="9">
        <f t="shared" si="22"/>
        <v>803.91890263835</v>
      </c>
      <c r="J206" s="9">
        <f t="shared" si="23"/>
        <v>4636.5540655199502</v>
      </c>
      <c r="K206" s="9">
        <f t="shared" si="24"/>
        <v>803.91890263835</v>
      </c>
      <c r="L206" s="10">
        <f t="shared" si="21"/>
        <v>0.17338715159535131</v>
      </c>
      <c r="M206" s="10">
        <f t="shared" si="20"/>
        <v>0.18311588868758241</v>
      </c>
      <c r="P206" s="8">
        <f t="shared" si="25"/>
        <v>44.457705874876304</v>
      </c>
    </row>
    <row r="207" spans="1:16" x14ac:dyDescent="0.2">
      <c r="A207" s="8">
        <v>102.5</v>
      </c>
      <c r="B207" s="8">
        <v>205</v>
      </c>
      <c r="D207">
        <v>4768.9850993378004</v>
      </c>
      <c r="E207">
        <v>921.57174392935997</v>
      </c>
      <c r="F207">
        <v>146.97226844149</v>
      </c>
      <c r="G207">
        <v>120.88740987244</v>
      </c>
      <c r="I207" s="9">
        <f t="shared" si="22"/>
        <v>800.68433405691997</v>
      </c>
      <c r="J207" s="9">
        <f t="shared" si="23"/>
        <v>4622.0128308963103</v>
      </c>
      <c r="K207" s="9">
        <f t="shared" si="24"/>
        <v>800.68433405691997</v>
      </c>
      <c r="L207" s="10">
        <f t="shared" si="21"/>
        <v>0.17323282373961943</v>
      </c>
      <c r="M207" s="10">
        <f t="shared" si="20"/>
        <v>0.18300925071955754</v>
      </c>
      <c r="P207" s="8">
        <f t="shared" si="25"/>
        <v>44.373580590443368</v>
      </c>
    </row>
    <row r="208" spans="1:16" x14ac:dyDescent="0.2">
      <c r="A208" s="8">
        <v>103</v>
      </c>
      <c r="B208" s="8">
        <v>206</v>
      </c>
      <c r="D208">
        <v>4753.0154525385997</v>
      </c>
      <c r="E208">
        <v>916.62141280353001</v>
      </c>
      <c r="F208">
        <v>147.13366611204</v>
      </c>
      <c r="G208">
        <v>120.61952301719001</v>
      </c>
      <c r="I208" s="9">
        <f t="shared" si="22"/>
        <v>796.00188978634003</v>
      </c>
      <c r="J208" s="9">
        <f t="shared" si="23"/>
        <v>4605.8817864265593</v>
      </c>
      <c r="K208" s="9">
        <f t="shared" si="24"/>
        <v>796.00188978634003</v>
      </c>
      <c r="L208" s="10">
        <f t="shared" si="21"/>
        <v>0.17282290920538637</v>
      </c>
      <c r="M208" s="10">
        <f t="shared" si="20"/>
        <v>0.18264702607303149</v>
      </c>
      <c r="P208" s="8">
        <f t="shared" si="25"/>
        <v>44.08782635129176</v>
      </c>
    </row>
    <row r="209" spans="1:16" x14ac:dyDescent="0.2">
      <c r="A209" s="8">
        <v>103.5</v>
      </c>
      <c r="B209" s="8">
        <v>207</v>
      </c>
      <c r="D209">
        <v>4736.0259381899004</v>
      </c>
      <c r="E209">
        <v>914.13245033113003</v>
      </c>
      <c r="F209">
        <v>147.29450915141001</v>
      </c>
      <c r="G209">
        <v>120.76650027732001</v>
      </c>
      <c r="I209" s="9">
        <f t="shared" si="22"/>
        <v>793.36595005381002</v>
      </c>
      <c r="J209" s="9">
        <f t="shared" si="23"/>
        <v>4588.7314290384902</v>
      </c>
      <c r="K209" s="9">
        <f t="shared" si="24"/>
        <v>793.36595005381002</v>
      </c>
      <c r="L209" s="10">
        <f t="shared" si="21"/>
        <v>0.17289439626673678</v>
      </c>
      <c r="M209" s="10">
        <f t="shared" si="20"/>
        <v>0.1827662030220889</v>
      </c>
      <c r="P209" s="8">
        <f t="shared" si="25"/>
        <v>44.181843472238448</v>
      </c>
    </row>
    <row r="210" spans="1:16" x14ac:dyDescent="0.2">
      <c r="A210" s="8">
        <v>104</v>
      </c>
      <c r="B210" s="8">
        <v>208</v>
      </c>
      <c r="D210">
        <v>4739.4552980132003</v>
      </c>
      <c r="E210">
        <v>914.49779249448</v>
      </c>
      <c r="F210">
        <v>146.75762617858999</v>
      </c>
      <c r="G210">
        <v>120.95673876872</v>
      </c>
      <c r="I210" s="9">
        <f t="shared" si="22"/>
        <v>793.54105372575998</v>
      </c>
      <c r="J210" s="9">
        <f t="shared" si="23"/>
        <v>4592.6976718346104</v>
      </c>
      <c r="K210" s="9">
        <f t="shared" si="24"/>
        <v>793.54105372575998</v>
      </c>
      <c r="L210" s="10">
        <f t="shared" si="21"/>
        <v>0.17278321161705601</v>
      </c>
      <c r="M210" s="10">
        <f t="shared" si="20"/>
        <v>0.18270270826011517</v>
      </c>
      <c r="P210" s="8">
        <f t="shared" si="25"/>
        <v>44.131753293196446</v>
      </c>
    </row>
    <row r="211" spans="1:16" x14ac:dyDescent="0.2">
      <c r="A211" s="8">
        <v>104.5</v>
      </c>
      <c r="B211" s="8">
        <v>209</v>
      </c>
      <c r="D211">
        <v>4747.8752759381996</v>
      </c>
      <c r="E211">
        <v>916.78421633554001</v>
      </c>
      <c r="F211">
        <v>147.48474764282</v>
      </c>
      <c r="G211">
        <v>120.73100388242</v>
      </c>
      <c r="I211" s="9">
        <f t="shared" si="22"/>
        <v>796.05321245312007</v>
      </c>
      <c r="J211" s="9">
        <f t="shared" si="23"/>
        <v>4600.3905282953792</v>
      </c>
      <c r="K211" s="9">
        <f t="shared" si="24"/>
        <v>796.05321245312007</v>
      </c>
      <c r="L211" s="10">
        <f t="shared" si="21"/>
        <v>0.17304035549957716</v>
      </c>
      <c r="M211" s="10">
        <f t="shared" si="20"/>
        <v>0.18300754203034333</v>
      </c>
      <c r="P211" s="8">
        <f t="shared" si="25"/>
        <v>44.372232628091737</v>
      </c>
    </row>
    <row r="212" spans="1:16" x14ac:dyDescent="0.2">
      <c r="A212" s="8">
        <v>105</v>
      </c>
      <c r="B212" s="8">
        <v>210</v>
      </c>
      <c r="D212">
        <v>4762.8620309051003</v>
      </c>
      <c r="E212">
        <v>919.45584988963003</v>
      </c>
      <c r="F212">
        <v>147.12756516915999</v>
      </c>
      <c r="G212">
        <v>120.46977260122</v>
      </c>
      <c r="I212" s="9">
        <f t="shared" si="22"/>
        <v>798.98607728841</v>
      </c>
      <c r="J212" s="9">
        <f t="shared" si="23"/>
        <v>4615.7344657359399</v>
      </c>
      <c r="K212" s="9">
        <f t="shared" si="24"/>
        <v>798.98607728841</v>
      </c>
      <c r="L212" s="10">
        <f t="shared" si="21"/>
        <v>0.17310052890163785</v>
      </c>
      <c r="M212" s="10">
        <f t="shared" si="20"/>
        <v>0.18311540532011103</v>
      </c>
      <c r="P212" s="8">
        <f t="shared" si="25"/>
        <v>44.457324552662755</v>
      </c>
    </row>
    <row r="213" spans="1:16" x14ac:dyDescent="0.2">
      <c r="A213" s="8">
        <v>105.5</v>
      </c>
      <c r="B213" s="8">
        <v>211</v>
      </c>
      <c r="D213">
        <v>4752.0104856511998</v>
      </c>
      <c r="E213">
        <v>920.35761589404001</v>
      </c>
      <c r="F213">
        <v>146.87520798668999</v>
      </c>
      <c r="G213">
        <v>120.84692179701</v>
      </c>
      <c r="I213" s="9">
        <f t="shared" si="22"/>
        <v>799.51069409702995</v>
      </c>
      <c r="J213" s="9">
        <f t="shared" si="23"/>
        <v>4605.1352776645099</v>
      </c>
      <c r="K213" s="9">
        <f t="shared" si="24"/>
        <v>799.51069409702995</v>
      </c>
      <c r="L213" s="10">
        <f t="shared" si="21"/>
        <v>0.17361285736268339</v>
      </c>
      <c r="M213" s="10">
        <f t="shared" si="20"/>
        <v>0.18367542366886358</v>
      </c>
      <c r="P213" s="8">
        <f t="shared" si="25"/>
        <v>44.899115630916221</v>
      </c>
    </row>
    <row r="214" spans="1:16" x14ac:dyDescent="0.2">
      <c r="A214" s="8">
        <v>106</v>
      </c>
      <c r="B214" s="8">
        <v>212</v>
      </c>
      <c r="D214">
        <v>4768.2582781457004</v>
      </c>
      <c r="E214">
        <v>919.76103752759002</v>
      </c>
      <c r="F214">
        <v>147.03716028841001</v>
      </c>
      <c r="G214">
        <v>120.99389905712999</v>
      </c>
      <c r="I214" s="9">
        <f t="shared" si="22"/>
        <v>798.76713847046005</v>
      </c>
      <c r="J214" s="9">
        <f t="shared" si="23"/>
        <v>4621.2211178572907</v>
      </c>
      <c r="K214" s="9">
        <f t="shared" si="24"/>
        <v>798.76713847046005</v>
      </c>
      <c r="L214" s="10">
        <f t="shared" si="21"/>
        <v>0.17284763444533516</v>
      </c>
      <c r="M214" s="10">
        <f t="shared" si="20"/>
        <v>0.18295789063922238</v>
      </c>
      <c r="P214" s="8">
        <f t="shared" si="25"/>
        <v>44.333063301463469</v>
      </c>
    </row>
    <row r="215" spans="1:16" x14ac:dyDescent="0.2">
      <c r="A215" s="8">
        <v>106.5</v>
      </c>
      <c r="B215" s="8">
        <v>213</v>
      </c>
      <c r="D215">
        <v>4765.3874172184996</v>
      </c>
      <c r="E215">
        <v>916.59216335540998</v>
      </c>
      <c r="F215">
        <v>146.86023294508999</v>
      </c>
      <c r="G215">
        <v>120.81919023848999</v>
      </c>
      <c r="I215" s="9">
        <f t="shared" si="22"/>
        <v>795.77297311691996</v>
      </c>
      <c r="J215" s="9">
        <f t="shared" si="23"/>
        <v>4618.5271842734101</v>
      </c>
      <c r="K215" s="9">
        <f t="shared" si="24"/>
        <v>795.77297311691996</v>
      </c>
      <c r="L215" s="10">
        <f t="shared" si="21"/>
        <v>0.17230016006544552</v>
      </c>
      <c r="M215" s="10">
        <f t="shared" si="20"/>
        <v>0.18245810614703975</v>
      </c>
      <c r="P215" s="8">
        <f t="shared" si="25"/>
        <v>43.938789917051039</v>
      </c>
    </row>
    <row r="216" spans="1:16" x14ac:dyDescent="0.2">
      <c r="A216" s="8">
        <v>107</v>
      </c>
      <c r="B216" s="8">
        <v>214</v>
      </c>
      <c r="D216">
        <v>4763.0540838852003</v>
      </c>
      <c r="E216">
        <v>916.56125827815004</v>
      </c>
      <c r="F216">
        <v>147.11259012757</v>
      </c>
      <c r="G216">
        <v>120.99168053245</v>
      </c>
      <c r="I216" s="9">
        <f t="shared" si="22"/>
        <v>795.56957774570003</v>
      </c>
      <c r="J216" s="9">
        <f t="shared" si="23"/>
        <v>4615.9414937576303</v>
      </c>
      <c r="K216" s="9">
        <f t="shared" si="24"/>
        <v>795.56957774570003</v>
      </c>
      <c r="L216" s="10">
        <f t="shared" si="21"/>
        <v>0.17235261296565149</v>
      </c>
      <c r="M216" s="10">
        <f t="shared" si="20"/>
        <v>0.18255824893495273</v>
      </c>
      <c r="P216" s="8">
        <f t="shared" si="25"/>
        <v>44.017791239686154</v>
      </c>
    </row>
    <row r="217" spans="1:16" x14ac:dyDescent="0.2">
      <c r="A217" s="8">
        <v>107.5</v>
      </c>
      <c r="B217" s="8">
        <v>215</v>
      </c>
      <c r="D217">
        <v>4774.2632450331002</v>
      </c>
      <c r="E217">
        <v>916.80794701986997</v>
      </c>
      <c r="F217">
        <v>147.60232945092</v>
      </c>
      <c r="G217">
        <v>121.11037160287999</v>
      </c>
      <c r="I217" s="9">
        <f t="shared" si="22"/>
        <v>795.69757541698993</v>
      </c>
      <c r="J217" s="9">
        <f t="shared" si="23"/>
        <v>4626.6609155821807</v>
      </c>
      <c r="K217" s="9">
        <f t="shared" si="24"/>
        <v>795.69757541698993</v>
      </c>
      <c r="L217" s="10">
        <f t="shared" si="21"/>
        <v>0.17198095774366165</v>
      </c>
      <c r="M217" s="10">
        <f t="shared" si="20"/>
        <v>0.1822342836006699</v>
      </c>
      <c r="P217" s="8">
        <f t="shared" si="25"/>
        <v>43.762219266609961</v>
      </c>
    </row>
    <row r="218" spans="1:16" x14ac:dyDescent="0.2">
      <c r="A218" s="8">
        <v>108</v>
      </c>
      <c r="B218" s="8">
        <v>216</v>
      </c>
      <c r="D218">
        <v>4742.4895143488002</v>
      </c>
      <c r="E218">
        <v>913.95198675496999</v>
      </c>
      <c r="F218">
        <v>146.94564614531001</v>
      </c>
      <c r="G218">
        <v>121.27676095397</v>
      </c>
      <c r="I218" s="9">
        <f t="shared" si="22"/>
        <v>792.67522580100001</v>
      </c>
      <c r="J218" s="9">
        <f t="shared" si="23"/>
        <v>4595.5438682034901</v>
      </c>
      <c r="K218" s="9">
        <f t="shared" si="24"/>
        <v>792.67522580100001</v>
      </c>
      <c r="L218" s="10">
        <f t="shared" si="21"/>
        <v>0.17248779437957493</v>
      </c>
      <c r="M218" s="10">
        <f t="shared" si="20"/>
        <v>0.18278881012429021</v>
      </c>
      <c r="P218" s="8">
        <f t="shared" si="25"/>
        <v>44.199677916556126</v>
      </c>
    </row>
    <row r="219" spans="1:16" x14ac:dyDescent="0.2">
      <c r="A219" s="8">
        <v>108.5</v>
      </c>
      <c r="B219" s="8">
        <v>217</v>
      </c>
      <c r="D219">
        <v>4746.6865342163001</v>
      </c>
      <c r="E219">
        <v>913.51158940396999</v>
      </c>
      <c r="F219">
        <v>147.11813643926999</v>
      </c>
      <c r="G219">
        <v>120.96339434276</v>
      </c>
      <c r="I219" s="9">
        <f t="shared" si="22"/>
        <v>792.54819506120998</v>
      </c>
      <c r="J219" s="9">
        <f t="shared" si="23"/>
        <v>4599.5683977770304</v>
      </c>
      <c r="K219" s="9">
        <f t="shared" si="24"/>
        <v>792.54819506120998</v>
      </c>
      <c r="L219" s="10">
        <f t="shared" si="21"/>
        <v>0.1723092530691028</v>
      </c>
      <c r="M219" s="10">
        <f t="shared" si="20"/>
        <v>0.1826579587015251</v>
      </c>
      <c r="P219" s="8">
        <f t="shared" si="25"/>
        <v>44.096450957505276</v>
      </c>
    </row>
    <row r="220" spans="1:16" x14ac:dyDescent="0.2">
      <c r="A220" s="8">
        <v>109</v>
      </c>
      <c r="B220" s="8">
        <v>218</v>
      </c>
      <c r="D220">
        <v>4762.2036423841</v>
      </c>
      <c r="E220">
        <v>915.85927152318004</v>
      </c>
      <c r="F220">
        <v>146.86633388797</v>
      </c>
      <c r="G220">
        <v>120.74875207987</v>
      </c>
      <c r="I220" s="9">
        <f t="shared" si="22"/>
        <v>795.11051944331007</v>
      </c>
      <c r="J220" s="9">
        <f t="shared" si="23"/>
        <v>4615.3373084961304</v>
      </c>
      <c r="K220" s="9">
        <f t="shared" si="24"/>
        <v>795.11051944331007</v>
      </c>
      <c r="L220" s="10">
        <f t="shared" si="21"/>
        <v>0.17227571167542471</v>
      </c>
      <c r="M220" s="10">
        <f t="shared" si="20"/>
        <v>0.18267210719555402</v>
      </c>
      <c r="P220" s="8">
        <f t="shared" si="25"/>
        <v>44.107612517562409</v>
      </c>
    </row>
    <row r="221" spans="1:16" x14ac:dyDescent="0.2">
      <c r="A221" s="8">
        <v>109.5</v>
      </c>
      <c r="B221" s="8">
        <v>219</v>
      </c>
      <c r="D221">
        <v>4753.5121412804001</v>
      </c>
      <c r="E221">
        <v>915.96909492274006</v>
      </c>
      <c r="F221">
        <v>147.25124792013</v>
      </c>
      <c r="G221">
        <v>121.06045479756</v>
      </c>
      <c r="I221" s="9">
        <f t="shared" si="22"/>
        <v>794.90864012518</v>
      </c>
      <c r="J221" s="9">
        <f t="shared" si="23"/>
        <v>4606.2608933602705</v>
      </c>
      <c r="K221" s="9">
        <f t="shared" si="24"/>
        <v>794.90864012518</v>
      </c>
      <c r="L221" s="10">
        <f t="shared" si="21"/>
        <v>0.17257134550737391</v>
      </c>
      <c r="M221" s="10">
        <f t="shared" si="20"/>
        <v>0.18301543091521022</v>
      </c>
      <c r="P221" s="8">
        <f t="shared" si="25"/>
        <v>44.378456065161828</v>
      </c>
    </row>
    <row r="222" spans="1:16" x14ac:dyDescent="0.2">
      <c r="A222" s="8">
        <v>110</v>
      </c>
      <c r="B222" s="8">
        <v>220</v>
      </c>
      <c r="D222">
        <v>4726.7935982339995</v>
      </c>
      <c r="E222">
        <v>911.17880794702</v>
      </c>
      <c r="F222">
        <v>147.10316139766999</v>
      </c>
      <c r="G222">
        <v>120.67498613422001</v>
      </c>
      <c r="I222" s="9">
        <f t="shared" si="22"/>
        <v>790.50382181279997</v>
      </c>
      <c r="J222" s="9">
        <f t="shared" si="23"/>
        <v>4579.6904368363294</v>
      </c>
      <c r="K222" s="9">
        <f t="shared" si="24"/>
        <v>790.50382181279997</v>
      </c>
      <c r="L222" s="10">
        <f t="shared" si="21"/>
        <v>0.1726107545292698</v>
      </c>
      <c r="M222" s="10">
        <f t="shared" si="20"/>
        <v>0.18310252982481312</v>
      </c>
      <c r="P222" s="8">
        <f t="shared" si="25"/>
        <v>44.447167244489933</v>
      </c>
    </row>
    <row r="223" spans="1:16" x14ac:dyDescent="0.2">
      <c r="A223" s="8">
        <v>110.5</v>
      </c>
      <c r="B223" s="8">
        <v>221</v>
      </c>
      <c r="D223">
        <v>4736.7759381899004</v>
      </c>
      <c r="E223">
        <v>909.44701986755001</v>
      </c>
      <c r="F223">
        <v>146.98225180255</v>
      </c>
      <c r="G223">
        <v>121.33056017748</v>
      </c>
      <c r="I223" s="9">
        <f t="shared" si="22"/>
        <v>788.11645969006997</v>
      </c>
      <c r="J223" s="9">
        <f t="shared" si="23"/>
        <v>4589.7936863873501</v>
      </c>
      <c r="K223" s="9">
        <f t="shared" si="24"/>
        <v>788.11645969006997</v>
      </c>
      <c r="L223" s="10">
        <f t="shared" si="21"/>
        <v>0.17171065053043821</v>
      </c>
      <c r="M223" s="10">
        <f t="shared" si="20"/>
        <v>0.18225011571368857</v>
      </c>
      <c r="P223" s="8">
        <f t="shared" si="25"/>
        <v>43.774709011449808</v>
      </c>
    </row>
    <row r="224" spans="1:16" x14ac:dyDescent="0.2">
      <c r="A224" s="8">
        <v>111</v>
      </c>
      <c r="B224" s="8">
        <v>222</v>
      </c>
      <c r="D224">
        <v>4747.5160044149998</v>
      </c>
      <c r="E224">
        <v>910.05242825607002</v>
      </c>
      <c r="F224">
        <v>147.14309484193001</v>
      </c>
      <c r="G224">
        <v>120.30671103716</v>
      </c>
      <c r="I224" s="9">
        <f t="shared" si="22"/>
        <v>789.74571721891004</v>
      </c>
      <c r="J224" s="9">
        <f t="shared" si="23"/>
        <v>4600.3729095730696</v>
      </c>
      <c r="K224" s="9">
        <f t="shared" si="24"/>
        <v>789.74571721891004</v>
      </c>
      <c r="L224" s="10">
        <f t="shared" si="21"/>
        <v>0.17166993475148543</v>
      </c>
      <c r="M224" s="10">
        <f t="shared" si="20"/>
        <v>0.18225708982244279</v>
      </c>
      <c r="P224" s="8">
        <f t="shared" si="25"/>
        <v>43.780210793727562</v>
      </c>
    </row>
    <row r="225" spans="1:16" x14ac:dyDescent="0.2">
      <c r="A225" s="8">
        <v>111.5</v>
      </c>
      <c r="B225" s="8">
        <v>223</v>
      </c>
      <c r="D225">
        <v>4744.5949227373003</v>
      </c>
      <c r="E225">
        <v>904.84933774833996</v>
      </c>
      <c r="F225">
        <v>147.18413754853</v>
      </c>
      <c r="G225">
        <v>120.72933998891</v>
      </c>
      <c r="I225" s="9">
        <f t="shared" si="22"/>
        <v>784.11999775942991</v>
      </c>
      <c r="J225" s="9">
        <f t="shared" si="23"/>
        <v>4597.4107851887702</v>
      </c>
      <c r="K225" s="9">
        <f t="shared" si="24"/>
        <v>784.11999775942991</v>
      </c>
      <c r="L225" s="10">
        <f t="shared" si="21"/>
        <v>0.17055687089906929</v>
      </c>
      <c r="M225" s="10">
        <f t="shared" si="20"/>
        <v>0.18119171585773367</v>
      </c>
      <c r="P225" s="8">
        <f t="shared" si="25"/>
        <v>42.939751345103325</v>
      </c>
    </row>
    <row r="226" spans="1:16" x14ac:dyDescent="0.2">
      <c r="A226" s="8">
        <v>112</v>
      </c>
      <c r="B226" s="8">
        <v>224</v>
      </c>
      <c r="D226">
        <v>4724.4812362030998</v>
      </c>
      <c r="E226">
        <v>903.02041942605001</v>
      </c>
      <c r="F226">
        <v>146.79589572934</v>
      </c>
      <c r="G226">
        <v>120.71880199667</v>
      </c>
      <c r="I226" s="9">
        <f t="shared" si="22"/>
        <v>782.30161742938003</v>
      </c>
      <c r="J226" s="9">
        <f t="shared" si="23"/>
        <v>4577.6853404737594</v>
      </c>
      <c r="K226" s="9">
        <f t="shared" si="24"/>
        <v>782.30161742938003</v>
      </c>
      <c r="L226" s="10">
        <f t="shared" si="21"/>
        <v>0.17089458082944975</v>
      </c>
      <c r="M226" s="10">
        <f t="shared" si="20"/>
        <v>0.18157711567582113</v>
      </c>
      <c r="P226" s="8">
        <f t="shared" si="25"/>
        <v>43.243788170987386</v>
      </c>
    </row>
    <row r="227" spans="1:16" x14ac:dyDescent="0.2">
      <c r="A227" s="8">
        <v>112.5</v>
      </c>
      <c r="B227" s="8">
        <v>225</v>
      </c>
      <c r="D227">
        <v>4728.8410596026997</v>
      </c>
      <c r="E227">
        <v>900.44315673288997</v>
      </c>
      <c r="F227">
        <v>147.02495840265999</v>
      </c>
      <c r="G227">
        <v>121.25124792013</v>
      </c>
      <c r="I227" s="9">
        <f t="shared" si="22"/>
        <v>779.19190881275995</v>
      </c>
      <c r="J227" s="9">
        <f t="shared" si="23"/>
        <v>4581.8161012000401</v>
      </c>
      <c r="K227" s="9">
        <f t="shared" si="24"/>
        <v>779.19190881275995</v>
      </c>
      <c r="L227" s="10">
        <f t="shared" si="21"/>
        <v>0.17006180335537233</v>
      </c>
      <c r="M227" s="10">
        <f t="shared" si="20"/>
        <v>0.18079202808945075</v>
      </c>
      <c r="P227" s="8">
        <f t="shared" si="25"/>
        <v>42.624442944034392</v>
      </c>
    </row>
    <row r="228" spans="1:16" x14ac:dyDescent="0.2">
      <c r="A228" s="8">
        <v>113</v>
      </c>
      <c r="B228" s="8">
        <v>226</v>
      </c>
      <c r="D228">
        <v>4762.1363134658004</v>
      </c>
      <c r="E228">
        <v>901.61092715231996</v>
      </c>
      <c r="F228">
        <v>147.10482529117999</v>
      </c>
      <c r="G228">
        <v>120.72323904603</v>
      </c>
      <c r="I228" s="9">
        <f t="shared" si="22"/>
        <v>780.88768810628994</v>
      </c>
      <c r="J228" s="9">
        <f t="shared" si="23"/>
        <v>4615.0314881746208</v>
      </c>
      <c r="K228" s="9">
        <f t="shared" si="24"/>
        <v>780.88768810628994</v>
      </c>
      <c r="L228" s="10">
        <f t="shared" si="21"/>
        <v>0.16920527847040839</v>
      </c>
      <c r="M228" s="10">
        <f t="shared" si="20"/>
        <v>0.17998319309219382</v>
      </c>
      <c r="P228" s="8">
        <f t="shared" si="25"/>
        <v>41.986363698303862</v>
      </c>
    </row>
    <row r="229" spans="1:16" x14ac:dyDescent="0.2">
      <c r="A229" s="8">
        <v>113.5</v>
      </c>
      <c r="B229" s="8">
        <v>227</v>
      </c>
      <c r="D229">
        <v>4729.18598234</v>
      </c>
      <c r="E229">
        <v>898.50662251656001</v>
      </c>
      <c r="F229">
        <v>147.04880754298</v>
      </c>
      <c r="G229">
        <v>120.89794786467</v>
      </c>
      <c r="I229" s="9">
        <f t="shared" si="22"/>
        <v>777.60867465189006</v>
      </c>
      <c r="J229" s="9">
        <f t="shared" si="23"/>
        <v>4582.1371747970197</v>
      </c>
      <c r="K229" s="9">
        <f t="shared" si="24"/>
        <v>777.60867465189006</v>
      </c>
      <c r="L229" s="10">
        <f t="shared" si="21"/>
        <v>0.16970436392191526</v>
      </c>
      <c r="M229" s="10">
        <f t="shared" si="20"/>
        <v>0.1805299684314077</v>
      </c>
      <c r="P229" s="8">
        <f t="shared" si="25"/>
        <v>42.417707541254345</v>
      </c>
    </row>
    <row r="230" spans="1:16" x14ac:dyDescent="0.2">
      <c r="A230" s="8">
        <v>114</v>
      </c>
      <c r="B230" s="8">
        <v>228</v>
      </c>
      <c r="D230">
        <v>4766.0888520971002</v>
      </c>
      <c r="E230">
        <v>901.69812362030996</v>
      </c>
      <c r="F230">
        <v>147.20244037715</v>
      </c>
      <c r="G230">
        <v>120.95840266223</v>
      </c>
      <c r="I230" s="9">
        <f t="shared" si="22"/>
        <v>780.73972095807994</v>
      </c>
      <c r="J230" s="9">
        <f t="shared" si="23"/>
        <v>4618.88641171995</v>
      </c>
      <c r="K230" s="9">
        <f t="shared" si="24"/>
        <v>780.73972095807994</v>
      </c>
      <c r="L230" s="10">
        <f t="shared" si="21"/>
        <v>0.16903202446741991</v>
      </c>
      <c r="M230" s="10">
        <f t="shared" si="20"/>
        <v>0.17990531886461936</v>
      </c>
      <c r="P230" s="8">
        <f t="shared" si="25"/>
        <v>41.924929748782539</v>
      </c>
    </row>
    <row r="231" spans="1:16" x14ac:dyDescent="0.2">
      <c r="A231" s="8">
        <v>114.5</v>
      </c>
      <c r="B231" s="8">
        <v>229</v>
      </c>
      <c r="D231">
        <v>4727.8084988963001</v>
      </c>
      <c r="E231">
        <v>896.78200883002</v>
      </c>
      <c r="F231">
        <v>147.08763172490001</v>
      </c>
      <c r="G231">
        <v>120.55296727676</v>
      </c>
      <c r="I231" s="9">
        <f t="shared" si="22"/>
        <v>776.22904155326</v>
      </c>
      <c r="J231" s="9">
        <f t="shared" si="23"/>
        <v>4580.7208671713997</v>
      </c>
      <c r="K231" s="9">
        <f t="shared" si="24"/>
        <v>776.22904155326</v>
      </c>
      <c r="L231" s="10">
        <f t="shared" si="21"/>
        <v>0.16945565208224145</v>
      </c>
      <c r="M231" s="10">
        <f t="shared" si="20"/>
        <v>0.18037663636714793</v>
      </c>
      <c r="P231" s="8">
        <f t="shared" si="25"/>
        <v>42.296745901066934</v>
      </c>
    </row>
    <row r="232" spans="1:16" x14ac:dyDescent="0.2">
      <c r="A232" s="8">
        <v>115</v>
      </c>
      <c r="B232" s="8">
        <v>230</v>
      </c>
      <c r="D232">
        <v>4685.9735099338004</v>
      </c>
      <c r="E232">
        <v>887.77869757174005</v>
      </c>
      <c r="F232">
        <v>146.97337770383001</v>
      </c>
      <c r="G232">
        <v>120.62063227953</v>
      </c>
      <c r="I232" s="9">
        <f t="shared" si="22"/>
        <v>767.15806529221004</v>
      </c>
      <c r="J232" s="9">
        <f t="shared" si="23"/>
        <v>4539.0001322299704</v>
      </c>
      <c r="K232" s="9">
        <f t="shared" si="24"/>
        <v>767.15806529221004</v>
      </c>
      <c r="L232" s="10">
        <f t="shared" si="21"/>
        <v>0.16901477042154484</v>
      </c>
      <c r="M232" s="10">
        <f t="shared" si="20"/>
        <v>0.17998344459415833</v>
      </c>
      <c r="P232" s="8">
        <f t="shared" si="25"/>
        <v>41.986562104881664</v>
      </c>
    </row>
    <row r="233" spans="1:16" x14ac:dyDescent="0.2">
      <c r="A233" s="8">
        <v>115.5</v>
      </c>
      <c r="B233" s="8">
        <v>231</v>
      </c>
      <c r="D233">
        <v>4675.8614790287002</v>
      </c>
      <c r="E233">
        <v>886.05849889624994</v>
      </c>
      <c r="F233">
        <v>147.03383250139001</v>
      </c>
      <c r="G233">
        <v>120.65945646145001</v>
      </c>
      <c r="I233" s="9">
        <f t="shared" si="22"/>
        <v>765.39904243479998</v>
      </c>
      <c r="J233" s="9">
        <f t="shared" si="23"/>
        <v>4528.8276465273102</v>
      </c>
      <c r="K233" s="9">
        <f t="shared" si="24"/>
        <v>765.39904243479998</v>
      </c>
      <c r="L233" s="10">
        <f t="shared" si="21"/>
        <v>0.16900599938302033</v>
      </c>
      <c r="M233" s="10">
        <f t="shared" si="20"/>
        <v>0.18002236344334083</v>
      </c>
      <c r="P233" s="8">
        <f t="shared" si="25"/>
        <v>42.017264670936903</v>
      </c>
    </row>
    <row r="234" spans="1:16" x14ac:dyDescent="0.2">
      <c r="A234" s="8">
        <v>116</v>
      </c>
      <c r="B234" s="8">
        <v>232</v>
      </c>
      <c r="D234">
        <v>4660.3084988963001</v>
      </c>
      <c r="E234">
        <v>883.06015452538998</v>
      </c>
      <c r="F234">
        <v>147.32002218525</v>
      </c>
      <c r="G234">
        <v>120.45757071547</v>
      </c>
      <c r="I234" s="9">
        <f t="shared" si="22"/>
        <v>762.60258380992002</v>
      </c>
      <c r="J234" s="9">
        <f t="shared" si="23"/>
        <v>4512.9884767110498</v>
      </c>
      <c r="K234" s="9">
        <f t="shared" si="24"/>
        <v>762.60258380992002</v>
      </c>
      <c r="L234" s="10">
        <f t="shared" si="21"/>
        <v>0.16897951052728705</v>
      </c>
      <c r="M234" s="10">
        <f t="shared" si="20"/>
        <v>0.18004356447531455</v>
      </c>
      <c r="P234" s="8">
        <f t="shared" si="25"/>
        <v>42.033989885024312</v>
      </c>
    </row>
    <row r="235" spans="1:16" x14ac:dyDescent="0.2">
      <c r="A235" s="8">
        <v>116.5</v>
      </c>
      <c r="B235" s="8">
        <v>233</v>
      </c>
      <c r="D235">
        <v>4639.3576158940004</v>
      </c>
      <c r="E235">
        <v>873.85430463575995</v>
      </c>
      <c r="F235">
        <v>146.84858569052</v>
      </c>
      <c r="G235">
        <v>120.65612867442999</v>
      </c>
      <c r="I235" s="9">
        <f t="shared" si="22"/>
        <v>753.19817596132998</v>
      </c>
      <c r="J235" s="9">
        <f t="shared" si="23"/>
        <v>4492.5090302034805</v>
      </c>
      <c r="K235" s="9">
        <f t="shared" si="24"/>
        <v>753.19817596132998</v>
      </c>
      <c r="L235" s="10">
        <f t="shared" si="21"/>
        <v>0.16765646343669457</v>
      </c>
      <c r="M235" s="10">
        <f t="shared" si="20"/>
        <v>0.17876820727242912</v>
      </c>
      <c r="P235" s="8">
        <f t="shared" si="25"/>
        <v>41.027877433394529</v>
      </c>
    </row>
    <row r="236" spans="1:16" x14ac:dyDescent="0.2">
      <c r="A236" s="8">
        <v>117</v>
      </c>
      <c r="B236" s="8">
        <v>234</v>
      </c>
      <c r="D236">
        <v>4641.2715231787997</v>
      </c>
      <c r="E236">
        <v>874.16169977924994</v>
      </c>
      <c r="F236">
        <v>147.20077648364</v>
      </c>
      <c r="G236">
        <v>120.97504159734</v>
      </c>
      <c r="I236" s="9">
        <f t="shared" si="22"/>
        <v>753.18665818190993</v>
      </c>
      <c r="J236" s="9">
        <f t="shared" si="23"/>
        <v>4494.0707466951599</v>
      </c>
      <c r="K236" s="9">
        <f t="shared" si="24"/>
        <v>753.18665818190993</v>
      </c>
      <c r="L236" s="10">
        <f t="shared" si="21"/>
        <v>0.16759563892842291</v>
      </c>
      <c r="M236" s="10">
        <f t="shared" si="20"/>
        <v>0.17875507265186447</v>
      </c>
      <c r="P236" s="8">
        <f t="shared" si="25"/>
        <v>41.017515704721468</v>
      </c>
    </row>
    <row r="237" spans="1:16" x14ac:dyDescent="0.2">
      <c r="A237" s="8">
        <v>117.5</v>
      </c>
      <c r="B237" s="8">
        <v>235</v>
      </c>
      <c r="D237">
        <v>4666.8962472406001</v>
      </c>
      <c r="E237">
        <v>872.47792494480996</v>
      </c>
      <c r="F237">
        <v>147.06378258458</v>
      </c>
      <c r="G237">
        <v>120.84414864115</v>
      </c>
      <c r="I237" s="9">
        <f t="shared" si="22"/>
        <v>751.63377630365994</v>
      </c>
      <c r="J237" s="9">
        <f t="shared" si="23"/>
        <v>4519.8324646560204</v>
      </c>
      <c r="K237" s="9">
        <f t="shared" si="24"/>
        <v>751.63377630365994</v>
      </c>
      <c r="L237" s="10">
        <f t="shared" si="21"/>
        <v>0.1662968223227855</v>
      </c>
      <c r="M237" s="10">
        <f t="shared" si="20"/>
        <v>0.17750394593393407</v>
      </c>
      <c r="P237" s="8">
        <f t="shared" si="25"/>
        <v>40.030518362621109</v>
      </c>
    </row>
    <row r="238" spans="1:16" x14ac:dyDescent="0.2">
      <c r="A238" s="8">
        <v>118</v>
      </c>
      <c r="B238" s="8">
        <v>236</v>
      </c>
      <c r="D238">
        <v>4702.7919426049002</v>
      </c>
      <c r="E238">
        <v>873.45971302427995</v>
      </c>
      <c r="F238">
        <v>147.05213533001</v>
      </c>
      <c r="G238">
        <v>120.53632834165001</v>
      </c>
      <c r="I238" s="9">
        <f t="shared" si="22"/>
        <v>752.92338468262994</v>
      </c>
      <c r="J238" s="9">
        <f t="shared" si="23"/>
        <v>4555.7398072748902</v>
      </c>
      <c r="K238" s="9">
        <f t="shared" si="24"/>
        <v>752.92338468262994</v>
      </c>
      <c r="L238" s="10">
        <f t="shared" si="21"/>
        <v>0.16526918053579681</v>
      </c>
      <c r="M238" s="10">
        <f t="shared" si="20"/>
        <v>0.17652399403465238</v>
      </c>
      <c r="P238" s="8">
        <f t="shared" si="25"/>
        <v>39.257447253103791</v>
      </c>
    </row>
    <row r="239" spans="1:16" x14ac:dyDescent="0.2">
      <c r="A239" s="8">
        <v>118.5</v>
      </c>
      <c r="B239" s="8">
        <v>237</v>
      </c>
      <c r="D239">
        <v>4749.2008830021996</v>
      </c>
      <c r="E239">
        <v>878.36147902870005</v>
      </c>
      <c r="F239">
        <v>147.19079312257</v>
      </c>
      <c r="G239">
        <v>120.72601220189</v>
      </c>
      <c r="I239" s="9">
        <f t="shared" si="22"/>
        <v>757.63546682680999</v>
      </c>
      <c r="J239" s="9">
        <f t="shared" si="23"/>
        <v>4602.01008987963</v>
      </c>
      <c r="K239" s="9">
        <f t="shared" si="24"/>
        <v>757.63546682680999</v>
      </c>
      <c r="L239" s="10">
        <f t="shared" si="21"/>
        <v>0.16463142236322795</v>
      </c>
      <c r="M239" s="10">
        <f t="shared" si="20"/>
        <v>0.17593392574979055</v>
      </c>
      <c r="P239" s="8">
        <f t="shared" si="25"/>
        <v>38.791950177172311</v>
      </c>
    </row>
    <row r="240" spans="1:16" x14ac:dyDescent="0.2">
      <c r="A240" s="8">
        <v>119</v>
      </c>
      <c r="B240" s="8">
        <v>238</v>
      </c>
      <c r="D240">
        <v>4594.1594922737004</v>
      </c>
      <c r="E240">
        <v>845.01600441501</v>
      </c>
      <c r="F240">
        <v>147.13533000555</v>
      </c>
      <c r="G240">
        <v>120.51136993899</v>
      </c>
      <c r="I240" s="9">
        <f t="shared" si="22"/>
        <v>724.50463447601999</v>
      </c>
      <c r="J240" s="9">
        <f t="shared" si="23"/>
        <v>4447.0241622681506</v>
      </c>
      <c r="K240" s="9">
        <f t="shared" si="24"/>
        <v>724.50463447601999</v>
      </c>
      <c r="L240" s="10">
        <f t="shared" si="21"/>
        <v>0.16291897863367921</v>
      </c>
      <c r="M240" s="10">
        <f t="shared" si="20"/>
        <v>0.17426917190794883</v>
      </c>
      <c r="P240" s="8">
        <f t="shared" si="25"/>
        <v>37.478647860467611</v>
      </c>
    </row>
    <row r="241" spans="1:16" x14ac:dyDescent="0.2">
      <c r="A241" s="8">
        <v>119.5</v>
      </c>
      <c r="B241" s="8">
        <v>239</v>
      </c>
      <c r="D241">
        <v>4624.1335540839</v>
      </c>
      <c r="E241">
        <v>849.97847682119004</v>
      </c>
      <c r="F241">
        <v>147.11702717693001</v>
      </c>
      <c r="G241">
        <v>120.94509151414</v>
      </c>
      <c r="I241" s="9">
        <f t="shared" si="22"/>
        <v>729.03338530705003</v>
      </c>
      <c r="J241" s="9">
        <f t="shared" si="23"/>
        <v>4477.0165269069703</v>
      </c>
      <c r="K241" s="9">
        <f t="shared" si="24"/>
        <v>729.03338530705003</v>
      </c>
      <c r="L241" s="10">
        <f t="shared" si="21"/>
        <v>0.16283910968957629</v>
      </c>
      <c r="M241" s="10">
        <f t="shared" si="20"/>
        <v>0.17423699285155292</v>
      </c>
      <c r="P241" s="8">
        <f t="shared" si="25"/>
        <v>37.453262227918259</v>
      </c>
    </row>
    <row r="242" spans="1:16" x14ac:dyDescent="0.2">
      <c r="A242" s="8">
        <v>120</v>
      </c>
      <c r="B242" s="8">
        <v>240</v>
      </c>
      <c r="D242">
        <v>4656.9547461369002</v>
      </c>
      <c r="E242">
        <v>848.71302428256001</v>
      </c>
      <c r="F242">
        <v>146.84858569052</v>
      </c>
      <c r="G242">
        <v>120.48197448697</v>
      </c>
      <c r="I242" s="9">
        <f>E242-G242</f>
        <v>728.23104979559002</v>
      </c>
      <c r="J242" s="9">
        <f>D242-F242</f>
        <v>4510.1061604463803</v>
      </c>
      <c r="K242" s="9">
        <f t="shared" si="24"/>
        <v>728.23104979559002</v>
      </c>
      <c r="L242" s="10">
        <f t="shared" si="21"/>
        <v>0.16146649854546097</v>
      </c>
      <c r="M242" s="10">
        <f>L242+ABS($N$2)*A242</f>
        <v>0.1729120715951446</v>
      </c>
      <c r="O242" s="11"/>
      <c r="P242" s="8">
        <f>(M242-$O$2)/$O$2*100</f>
        <v>36.40804934913772</v>
      </c>
    </row>
    <row r="243" spans="1:16" x14ac:dyDescent="0.2">
      <c r="A243" s="8">
        <v>120.5</v>
      </c>
      <c r="B243" s="8">
        <v>241</v>
      </c>
      <c r="D243">
        <v>4607.3796909492003</v>
      </c>
      <c r="E243">
        <v>843.88189845474994</v>
      </c>
      <c r="F243">
        <v>147.12922906266999</v>
      </c>
      <c r="G243">
        <v>120.8003327787</v>
      </c>
      <c r="I243" s="9">
        <f t="shared" ref="I243:I274" si="26">E243-G243</f>
        <v>723.08156567604999</v>
      </c>
      <c r="J243" s="9">
        <f t="shared" ref="J243:J274" si="27">D243-F243</f>
        <v>4460.2504618865305</v>
      </c>
      <c r="K243" s="9">
        <f t="shared" si="24"/>
        <v>723.08156567604999</v>
      </c>
      <c r="L243" s="10">
        <f t="shared" si="21"/>
        <v>0.16211680753242089</v>
      </c>
      <c r="M243" s="10">
        <f t="shared" ref="M243:M274" si="28">L243+ABS($N$2)*A243</f>
        <v>0.17361007046981153</v>
      </c>
      <c r="P243" s="8">
        <f t="shared" ref="P243:P274" si="29">(M243-$O$2)/$O$2*100</f>
        <v>36.958691441750773</v>
      </c>
    </row>
    <row r="244" spans="1:16" x14ac:dyDescent="0.2">
      <c r="A244" s="8">
        <v>121</v>
      </c>
      <c r="B244" s="8">
        <v>242</v>
      </c>
      <c r="D244">
        <v>4608.4757174392998</v>
      </c>
      <c r="E244">
        <v>843.29028697572005</v>
      </c>
      <c r="F244">
        <v>147.09484193012</v>
      </c>
      <c r="G244">
        <v>120.54963948974</v>
      </c>
      <c r="I244" s="9">
        <f t="shared" si="26"/>
        <v>722.74064748598005</v>
      </c>
      <c r="J244" s="9">
        <f t="shared" si="27"/>
        <v>4461.3808755091795</v>
      </c>
      <c r="K244" s="9">
        <f t="shared" si="24"/>
        <v>722.74064748598005</v>
      </c>
      <c r="L244" s="10">
        <f t="shared" si="21"/>
        <v>0.16199931538091181</v>
      </c>
      <c r="M244" s="10">
        <f t="shared" si="28"/>
        <v>0.17354026820600948</v>
      </c>
      <c r="N244" s="1"/>
      <c r="P244" s="8">
        <f t="shared" si="29"/>
        <v>36.903625357829902</v>
      </c>
    </row>
    <row r="245" spans="1:16" x14ac:dyDescent="0.2">
      <c r="A245" s="8">
        <v>121.5</v>
      </c>
      <c r="B245" s="8">
        <v>243</v>
      </c>
      <c r="D245">
        <v>4626.2135761588997</v>
      </c>
      <c r="E245">
        <v>839.42273730683996</v>
      </c>
      <c r="F245">
        <v>147.47420965058001</v>
      </c>
      <c r="G245">
        <v>120.72157515252</v>
      </c>
      <c r="I245" s="9">
        <f t="shared" si="26"/>
        <v>718.70116215431995</v>
      </c>
      <c r="J245" s="9">
        <f t="shared" si="27"/>
        <v>4478.73936650832</v>
      </c>
      <c r="K245" s="9">
        <f t="shared" si="24"/>
        <v>718.70116215431995</v>
      </c>
      <c r="L245" s="10">
        <f t="shared" si="21"/>
        <v>0.16046952129626335</v>
      </c>
      <c r="M245" s="10">
        <f t="shared" si="28"/>
        <v>0.17205816400906804</v>
      </c>
      <c r="P245" s="8">
        <f t="shared" si="29"/>
        <v>35.734412933434719</v>
      </c>
    </row>
    <row r="246" spans="1:16" x14ac:dyDescent="0.2">
      <c r="A246" s="8">
        <v>122</v>
      </c>
      <c r="B246" s="8">
        <v>244</v>
      </c>
      <c r="D246">
        <v>4618.8454746137004</v>
      </c>
      <c r="E246">
        <v>837.41556291390998</v>
      </c>
      <c r="F246">
        <v>147.43649473100001</v>
      </c>
      <c r="G246">
        <v>121.06766500277</v>
      </c>
      <c r="I246" s="9">
        <f t="shared" si="26"/>
        <v>716.34789791113997</v>
      </c>
      <c r="J246" s="9">
        <f t="shared" si="27"/>
        <v>4471.4089798827008</v>
      </c>
      <c r="K246" s="9">
        <f t="shared" si="24"/>
        <v>716.34789791113997</v>
      </c>
      <c r="L246" s="10">
        <f t="shared" si="21"/>
        <v>0.16020630211507336</v>
      </c>
      <c r="M246" s="10">
        <f t="shared" si="28"/>
        <v>0.17184263471558506</v>
      </c>
      <c r="P246" s="8">
        <f t="shared" si="29"/>
        <v>35.56438472065355</v>
      </c>
    </row>
    <row r="247" spans="1:16" x14ac:dyDescent="0.2">
      <c r="A247" s="8">
        <v>122.5</v>
      </c>
      <c r="B247" s="8">
        <v>245</v>
      </c>
      <c r="D247">
        <v>4637.0060706402001</v>
      </c>
      <c r="E247">
        <v>833.16335540838998</v>
      </c>
      <c r="F247">
        <v>146.82251802550999</v>
      </c>
      <c r="G247">
        <v>120.55740432611999</v>
      </c>
      <c r="I247" s="9">
        <f t="shared" si="26"/>
        <v>712.60595108226994</v>
      </c>
      <c r="J247" s="9">
        <f t="shared" si="27"/>
        <v>4490.1835526146897</v>
      </c>
      <c r="K247" s="9">
        <f t="shared" si="24"/>
        <v>712.60595108226994</v>
      </c>
      <c r="L247" s="10">
        <f t="shared" si="21"/>
        <v>0.15870307811076245</v>
      </c>
      <c r="M247" s="10">
        <f t="shared" si="28"/>
        <v>0.17038710059898116</v>
      </c>
      <c r="P247" s="8">
        <f t="shared" si="29"/>
        <v>34.41613308168219</v>
      </c>
    </row>
    <row r="248" spans="1:16" x14ac:dyDescent="0.2">
      <c r="A248" s="8">
        <v>123</v>
      </c>
      <c r="B248" s="8">
        <v>246</v>
      </c>
      <c r="D248">
        <v>4599.9889624724001</v>
      </c>
      <c r="E248">
        <v>824.18211920529995</v>
      </c>
      <c r="F248">
        <v>147.64836383804999</v>
      </c>
      <c r="G248">
        <v>120.53466444814001</v>
      </c>
      <c r="I248" s="9">
        <f t="shared" si="26"/>
        <v>703.64745475715995</v>
      </c>
      <c r="J248" s="9">
        <f t="shared" si="27"/>
        <v>4452.3405986343505</v>
      </c>
      <c r="K248" s="9">
        <f t="shared" si="24"/>
        <v>703.64745475715995</v>
      </c>
      <c r="L248" s="10">
        <f t="shared" si="21"/>
        <v>0.15803989815446443</v>
      </c>
      <c r="M248" s="10">
        <f t="shared" si="28"/>
        <v>0.16977161053039017</v>
      </c>
      <c r="P248" s="8">
        <f t="shared" si="29"/>
        <v>33.930581096353819</v>
      </c>
    </row>
    <row r="249" spans="1:16" x14ac:dyDescent="0.2">
      <c r="A249" s="8">
        <v>123.5</v>
      </c>
      <c r="B249" s="8">
        <v>247</v>
      </c>
      <c r="D249">
        <v>4645.8565121413003</v>
      </c>
      <c r="E249">
        <v>820.72130242825995</v>
      </c>
      <c r="F249">
        <v>146.74597892401999</v>
      </c>
      <c r="G249">
        <v>120.66722129784</v>
      </c>
      <c r="I249" s="9">
        <f t="shared" si="26"/>
        <v>700.05408113041995</v>
      </c>
      <c r="J249" s="9">
        <f t="shared" si="27"/>
        <v>4499.1105332172801</v>
      </c>
      <c r="K249" s="9">
        <f t="shared" si="24"/>
        <v>700.05408113041995</v>
      </c>
      <c r="L249" s="10">
        <f t="shared" si="21"/>
        <v>0.15559832903901041</v>
      </c>
      <c r="M249" s="10">
        <f t="shared" si="28"/>
        <v>0.16737773130264316</v>
      </c>
      <c r="P249" s="8">
        <f t="shared" si="29"/>
        <v>32.042081393458822</v>
      </c>
    </row>
    <row r="250" spans="1:16" x14ac:dyDescent="0.2">
      <c r="A250" s="8">
        <v>124</v>
      </c>
      <c r="B250" s="8">
        <v>248</v>
      </c>
      <c r="D250">
        <v>4606.4966887417004</v>
      </c>
      <c r="E250">
        <v>809.99779249448</v>
      </c>
      <c r="F250">
        <v>146.82750970604999</v>
      </c>
      <c r="G250">
        <v>120.83804769827999</v>
      </c>
      <c r="I250" s="9">
        <f t="shared" si="26"/>
        <v>689.15974479620002</v>
      </c>
      <c r="J250" s="9">
        <f t="shared" si="27"/>
        <v>4459.6691790356508</v>
      </c>
      <c r="K250" s="9">
        <f t="shared" si="24"/>
        <v>689.15974479620002</v>
      </c>
      <c r="L250" s="10">
        <f t="shared" si="21"/>
        <v>0.15453158454798713</v>
      </c>
      <c r="M250" s="10">
        <f t="shared" si="28"/>
        <v>0.16635867669932689</v>
      </c>
      <c r="P250" s="8">
        <f t="shared" si="29"/>
        <v>31.238162677221915</v>
      </c>
    </row>
    <row r="251" spans="1:16" x14ac:dyDescent="0.2">
      <c r="A251" s="8">
        <v>124.5</v>
      </c>
      <c r="B251" s="8">
        <v>249</v>
      </c>
      <c r="D251">
        <v>4593.0237306843001</v>
      </c>
      <c r="E251">
        <v>806.29194260485997</v>
      </c>
      <c r="F251">
        <v>147.00499168053</v>
      </c>
      <c r="G251">
        <v>120.81142540211</v>
      </c>
      <c r="I251" s="9">
        <f t="shared" si="26"/>
        <v>685.48051720274998</v>
      </c>
      <c r="J251" s="9">
        <f t="shared" si="27"/>
        <v>4446.01873900377</v>
      </c>
      <c r="K251" s="9">
        <f t="shared" si="24"/>
        <v>685.48051720274998</v>
      </c>
      <c r="L251" s="10">
        <f t="shared" si="21"/>
        <v>0.1541785038351744</v>
      </c>
      <c r="M251" s="10">
        <f t="shared" si="28"/>
        <v>0.16605328587422116</v>
      </c>
      <c r="P251" s="8">
        <f t="shared" si="29"/>
        <v>30.997243889091653</v>
      </c>
    </row>
    <row r="252" spans="1:16" x14ac:dyDescent="0.2">
      <c r="A252" s="8">
        <v>125</v>
      </c>
      <c r="B252" s="8">
        <v>250</v>
      </c>
      <c r="D252">
        <v>4533.4451185879998</v>
      </c>
      <c r="E252">
        <v>795.76999448428001</v>
      </c>
      <c r="F252">
        <v>147.11924570161</v>
      </c>
      <c r="G252">
        <v>120.59789240155</v>
      </c>
      <c r="I252" s="9">
        <f t="shared" si="26"/>
        <v>675.17210208273002</v>
      </c>
      <c r="J252" s="9">
        <f t="shared" si="27"/>
        <v>4386.3258728863893</v>
      </c>
      <c r="K252" s="9">
        <f t="shared" si="24"/>
        <v>675.17210208273002</v>
      </c>
      <c r="L252" s="10">
        <f t="shared" si="21"/>
        <v>0.15392657126918799</v>
      </c>
      <c r="M252" s="10">
        <f t="shared" si="28"/>
        <v>0.16584904319594179</v>
      </c>
      <c r="P252" s="8">
        <f t="shared" si="29"/>
        <v>30.836119537963846</v>
      </c>
    </row>
    <row r="253" spans="1:16" x14ac:dyDescent="0.2">
      <c r="A253" s="8">
        <v>125.5</v>
      </c>
      <c r="B253" s="8">
        <v>251</v>
      </c>
      <c r="D253">
        <v>4586.776613348</v>
      </c>
      <c r="E253">
        <v>798.25813568671003</v>
      </c>
      <c r="F253">
        <v>147.06932889628001</v>
      </c>
      <c r="G253">
        <v>120.95840266223</v>
      </c>
      <c r="I253" s="9">
        <f t="shared" si="26"/>
        <v>677.29973302448002</v>
      </c>
      <c r="J253" s="9">
        <f t="shared" si="27"/>
        <v>4439.7072844517197</v>
      </c>
      <c r="K253" s="9">
        <f t="shared" si="24"/>
        <v>677.29973302448002</v>
      </c>
      <c r="L253" s="10">
        <f t="shared" si="21"/>
        <v>0.15255504240030612</v>
      </c>
      <c r="M253" s="10">
        <f t="shared" si="28"/>
        <v>0.16452520421476693</v>
      </c>
      <c r="P253" s="8">
        <f t="shared" si="29"/>
        <v>29.791760451819609</v>
      </c>
    </row>
    <row r="254" spans="1:16" x14ac:dyDescent="0.2">
      <c r="A254" s="8">
        <v>126</v>
      </c>
      <c r="B254" s="8">
        <v>252</v>
      </c>
      <c r="D254">
        <v>4589.6878102592</v>
      </c>
      <c r="E254">
        <v>794.83452840595999</v>
      </c>
      <c r="F254">
        <v>146.16916250693001</v>
      </c>
      <c r="G254">
        <v>120.90460343871</v>
      </c>
      <c r="I254" s="9">
        <f t="shared" si="26"/>
        <v>673.92992496725003</v>
      </c>
      <c r="J254" s="9">
        <f t="shared" si="27"/>
        <v>4443.5186477522702</v>
      </c>
      <c r="K254" s="9">
        <f t="shared" si="24"/>
        <v>673.92992496725003</v>
      </c>
      <c r="L254" s="10">
        <f t="shared" si="21"/>
        <v>0.15166582575458615</v>
      </c>
      <c r="M254" s="10">
        <f t="shared" si="28"/>
        <v>0.16368367745675397</v>
      </c>
      <c r="P254" s="8">
        <f t="shared" si="29"/>
        <v>29.127891107842146</v>
      </c>
    </row>
    <row r="255" spans="1:16" x14ac:dyDescent="0.2">
      <c r="A255" s="8">
        <v>126.5</v>
      </c>
      <c r="B255" s="8">
        <v>253</v>
      </c>
      <c r="D255">
        <v>4555.9007170435998</v>
      </c>
      <c r="E255">
        <v>787.52013237727999</v>
      </c>
      <c r="F255">
        <v>146.90515806988</v>
      </c>
      <c r="G255">
        <v>120.96006655574</v>
      </c>
      <c r="I255" s="9">
        <f t="shared" si="26"/>
        <v>666.56006582153998</v>
      </c>
      <c r="J255" s="9">
        <f t="shared" si="27"/>
        <v>4408.9955589737201</v>
      </c>
      <c r="K255" s="9">
        <f t="shared" si="24"/>
        <v>666.56006582153998</v>
      </c>
      <c r="L255" s="10">
        <f t="shared" si="21"/>
        <v>0.15118184105785193</v>
      </c>
      <c r="M255" s="10">
        <f t="shared" si="28"/>
        <v>0.16324738264772676</v>
      </c>
      <c r="P255" s="8">
        <f t="shared" si="29"/>
        <v>28.783703895859038</v>
      </c>
    </row>
    <row r="256" spans="1:16" x14ac:dyDescent="0.2">
      <c r="A256" s="8">
        <v>127</v>
      </c>
      <c r="B256" s="8">
        <v>254</v>
      </c>
      <c r="D256">
        <v>4546.7688913402999</v>
      </c>
      <c r="E256">
        <v>783.29398786542004</v>
      </c>
      <c r="F256">
        <v>147.24237382141001</v>
      </c>
      <c r="G256">
        <v>120.56627842485</v>
      </c>
      <c r="I256" s="9">
        <f t="shared" si="26"/>
        <v>662.72770944057004</v>
      </c>
      <c r="J256" s="9">
        <f t="shared" si="27"/>
        <v>4399.5265175188897</v>
      </c>
      <c r="K256" s="9">
        <f t="shared" si="24"/>
        <v>662.72770944057004</v>
      </c>
      <c r="L256" s="10">
        <f t="shared" si="21"/>
        <v>0.15063614386720753</v>
      </c>
      <c r="M256" s="10">
        <f t="shared" si="28"/>
        <v>0.16274937534478939</v>
      </c>
      <c r="P256" s="8">
        <f t="shared" si="29"/>
        <v>28.390832512567954</v>
      </c>
    </row>
    <row r="257" spans="1:16" x14ac:dyDescent="0.2">
      <c r="A257" s="8">
        <v>127.5</v>
      </c>
      <c r="B257" s="8">
        <v>255</v>
      </c>
      <c r="D257">
        <v>4542.7788196359998</v>
      </c>
      <c r="E257">
        <v>779.03254274683002</v>
      </c>
      <c r="F257">
        <v>147.29839156961</v>
      </c>
      <c r="G257">
        <v>120.45923460899</v>
      </c>
      <c r="I257" s="9">
        <f t="shared" si="26"/>
        <v>658.57330813784006</v>
      </c>
      <c r="J257" s="9">
        <f t="shared" si="27"/>
        <v>4395.4804280663893</v>
      </c>
      <c r="K257" s="9">
        <f t="shared" si="24"/>
        <v>658.57330813784006</v>
      </c>
      <c r="L257" s="10">
        <f t="shared" si="21"/>
        <v>0.14982965318936758</v>
      </c>
      <c r="M257" s="10">
        <f t="shared" si="28"/>
        <v>0.16199057455465646</v>
      </c>
      <c r="P257" s="8">
        <f t="shared" si="29"/>
        <v>27.792224591954017</v>
      </c>
    </row>
    <row r="258" spans="1:16" x14ac:dyDescent="0.2">
      <c r="A258" s="8">
        <v>128</v>
      </c>
      <c r="B258" s="8">
        <v>256</v>
      </c>
      <c r="D258">
        <v>4544.3320463320997</v>
      </c>
      <c r="E258">
        <v>777.63706563707001</v>
      </c>
      <c r="F258">
        <v>147.20188574598001</v>
      </c>
      <c r="G258">
        <v>120.33388796449999</v>
      </c>
      <c r="I258" s="9">
        <f t="shared" si="26"/>
        <v>657.30317767256997</v>
      </c>
      <c r="J258" s="9">
        <f t="shared" si="27"/>
        <v>4397.1301605861199</v>
      </c>
      <c r="K258" s="9">
        <f t="shared" si="24"/>
        <v>657.30317767256997</v>
      </c>
      <c r="L258" s="10">
        <f t="shared" ref="L258:L321" si="30">K258/J258</f>
        <v>0.14948458509696563</v>
      </c>
      <c r="M258" s="10">
        <f t="shared" si="28"/>
        <v>0.16169319634996152</v>
      </c>
      <c r="P258" s="8">
        <f t="shared" si="29"/>
        <v>27.557626854230051</v>
      </c>
    </row>
    <row r="259" spans="1:16" x14ac:dyDescent="0.2">
      <c r="A259" s="8">
        <v>128.5</v>
      </c>
      <c r="B259" s="8">
        <v>257</v>
      </c>
      <c r="D259">
        <v>4516.1196911197003</v>
      </c>
      <c r="E259">
        <v>770.26475455047</v>
      </c>
      <c r="F259">
        <v>146.93566278425001</v>
      </c>
      <c r="G259">
        <v>120.76372712145999</v>
      </c>
      <c r="I259" s="9">
        <f t="shared" si="26"/>
        <v>649.50102742901004</v>
      </c>
      <c r="J259" s="9">
        <f t="shared" si="27"/>
        <v>4369.1840283354504</v>
      </c>
      <c r="K259" s="9">
        <f t="shared" ref="K259:K322" si="31">I259*1</f>
        <v>649.50102742901004</v>
      </c>
      <c r="L259" s="10">
        <f t="shared" si="30"/>
        <v>0.14865499443758923</v>
      </c>
      <c r="M259" s="10">
        <f t="shared" si="28"/>
        <v>0.16091129557829212</v>
      </c>
      <c r="P259" s="8">
        <f t="shared" si="29"/>
        <v>26.940795663301198</v>
      </c>
    </row>
    <row r="260" spans="1:16" x14ac:dyDescent="0.2">
      <c r="A260" s="8">
        <v>129</v>
      </c>
      <c r="B260" s="8">
        <v>258</v>
      </c>
      <c r="D260">
        <v>4548.3077771648996</v>
      </c>
      <c r="E260">
        <v>768.04412575841002</v>
      </c>
      <c r="F260">
        <v>146.86855241264999</v>
      </c>
      <c r="G260">
        <v>120.38824181919</v>
      </c>
      <c r="I260" s="9">
        <f t="shared" si="26"/>
        <v>647.65588393922008</v>
      </c>
      <c r="J260" s="9">
        <f t="shared" si="27"/>
        <v>4401.4392247522492</v>
      </c>
      <c r="K260" s="9">
        <f t="shared" si="31"/>
        <v>647.65588393922008</v>
      </c>
      <c r="L260" s="10">
        <f t="shared" si="30"/>
        <v>0.1471463880035003</v>
      </c>
      <c r="M260" s="10">
        <f t="shared" si="28"/>
        <v>0.1594503790319102</v>
      </c>
      <c r="P260" s="8">
        <f t="shared" si="29"/>
        <v>25.788297896572498</v>
      </c>
    </row>
    <row r="261" spans="1:16" x14ac:dyDescent="0.2">
      <c r="A261" s="8">
        <v>129.5</v>
      </c>
      <c r="B261" s="8">
        <v>259</v>
      </c>
      <c r="D261">
        <v>4540.3188086045002</v>
      </c>
      <c r="E261">
        <v>763.03419746276995</v>
      </c>
      <c r="F261">
        <v>146.71935662784</v>
      </c>
      <c r="G261">
        <v>120.63283416528</v>
      </c>
      <c r="I261" s="9">
        <f t="shared" si="26"/>
        <v>642.40136329748998</v>
      </c>
      <c r="J261" s="9">
        <f t="shared" si="27"/>
        <v>4393.59945197666</v>
      </c>
      <c r="K261" s="9">
        <f t="shared" si="31"/>
        <v>642.40136329748998</v>
      </c>
      <c r="L261" s="10">
        <f t="shared" si="30"/>
        <v>0.14621300150801789</v>
      </c>
      <c r="M261" s="10">
        <f t="shared" si="28"/>
        <v>0.15856468242413482</v>
      </c>
      <c r="P261" s="8">
        <f t="shared" si="29"/>
        <v>25.089583541540854</v>
      </c>
    </row>
    <row r="262" spans="1:16" x14ac:dyDescent="0.2">
      <c r="A262" s="8">
        <v>130</v>
      </c>
      <c r="B262" s="8">
        <v>260</v>
      </c>
      <c r="D262">
        <v>4559.3656922228001</v>
      </c>
      <c r="E262">
        <v>760.79757308328999</v>
      </c>
      <c r="F262">
        <v>146.87964503604999</v>
      </c>
      <c r="G262">
        <v>120.39046034387</v>
      </c>
      <c r="I262" s="9">
        <f t="shared" si="26"/>
        <v>640.40711273941997</v>
      </c>
      <c r="J262" s="9">
        <f t="shared" si="27"/>
        <v>4412.4860471867505</v>
      </c>
      <c r="K262" s="9">
        <f t="shared" si="31"/>
        <v>640.40711273941997</v>
      </c>
      <c r="L262" s="10">
        <f t="shared" si="30"/>
        <v>0.14513521536180757</v>
      </c>
      <c r="M262" s="10">
        <f t="shared" si="28"/>
        <v>0.15753458616563151</v>
      </c>
      <c r="P262" s="8">
        <f t="shared" si="29"/>
        <v>24.276954209372079</v>
      </c>
    </row>
    <row r="263" spans="1:16" x14ac:dyDescent="0.2">
      <c r="A263" s="8">
        <v>130.5</v>
      </c>
      <c r="B263" s="8">
        <v>261</v>
      </c>
      <c r="D263">
        <v>4521.9007170435998</v>
      </c>
      <c r="E263">
        <v>754.60562603419999</v>
      </c>
      <c r="F263">
        <v>147.04991680532001</v>
      </c>
      <c r="G263">
        <v>120.43094841929999</v>
      </c>
      <c r="I263" s="9">
        <f t="shared" si="26"/>
        <v>634.17467761490002</v>
      </c>
      <c r="J263" s="9">
        <f t="shared" si="27"/>
        <v>4374.8508002382796</v>
      </c>
      <c r="K263" s="9">
        <f t="shared" si="31"/>
        <v>634.17467761490002</v>
      </c>
      <c r="L263" s="10">
        <f t="shared" si="30"/>
        <v>0.14495915553974073</v>
      </c>
      <c r="M263" s="10">
        <f t="shared" si="28"/>
        <v>0.15740621623127168</v>
      </c>
      <c r="P263" s="8">
        <f t="shared" si="29"/>
        <v>24.17568486374709</v>
      </c>
    </row>
    <row r="264" spans="1:16" x14ac:dyDescent="0.2">
      <c r="A264" s="8">
        <v>131</v>
      </c>
      <c r="B264" s="8">
        <v>262</v>
      </c>
      <c r="D264">
        <v>4506.0606729177998</v>
      </c>
      <c r="E264">
        <v>750.43794815222998</v>
      </c>
      <c r="F264">
        <v>146.49362174154001</v>
      </c>
      <c r="G264">
        <v>120.32390460344</v>
      </c>
      <c r="I264" s="9">
        <f t="shared" si="26"/>
        <v>630.11404354878994</v>
      </c>
      <c r="J264" s="9">
        <f t="shared" si="27"/>
        <v>4359.5670511762601</v>
      </c>
      <c r="K264" s="9">
        <f t="shared" si="31"/>
        <v>630.11404354878994</v>
      </c>
      <c r="L264" s="10">
        <f t="shared" si="30"/>
        <v>0.14453592206565055</v>
      </c>
      <c r="M264" s="10">
        <f t="shared" si="28"/>
        <v>0.15703067264488851</v>
      </c>
      <c r="P264" s="8">
        <f t="shared" si="29"/>
        <v>23.879423488867204</v>
      </c>
    </row>
    <row r="265" spans="1:16" x14ac:dyDescent="0.2">
      <c r="A265" s="8">
        <v>131.5</v>
      </c>
      <c r="B265" s="8">
        <v>263</v>
      </c>
      <c r="D265">
        <v>4509.7021511307003</v>
      </c>
      <c r="E265">
        <v>747.20242691671001</v>
      </c>
      <c r="F265">
        <v>146.65224625624001</v>
      </c>
      <c r="G265">
        <v>120.41430948419</v>
      </c>
      <c r="I265" s="9">
        <f t="shared" si="26"/>
        <v>626.78811743252004</v>
      </c>
      <c r="J265" s="9">
        <f t="shared" si="27"/>
        <v>4363.0499048744605</v>
      </c>
      <c r="K265" s="9">
        <f t="shared" si="31"/>
        <v>626.78811743252004</v>
      </c>
      <c r="L265" s="10">
        <f t="shared" si="30"/>
        <v>0.14365825078742822</v>
      </c>
      <c r="M265" s="10">
        <f t="shared" si="28"/>
        <v>0.15620069125437322</v>
      </c>
      <c r="P265" s="8">
        <f t="shared" si="29"/>
        <v>23.224662132810121</v>
      </c>
    </row>
    <row r="266" spans="1:16" x14ac:dyDescent="0.2">
      <c r="A266" s="8">
        <v>132</v>
      </c>
      <c r="B266" s="8">
        <v>264</v>
      </c>
      <c r="D266">
        <v>4498.2084942085003</v>
      </c>
      <c r="E266">
        <v>742.85383342525995</v>
      </c>
      <c r="F266">
        <v>146.42872989462001</v>
      </c>
      <c r="G266">
        <v>120.63006100942999</v>
      </c>
      <c r="I266" s="9">
        <f t="shared" si="26"/>
        <v>622.2237724158299</v>
      </c>
      <c r="J266" s="9">
        <f t="shared" si="27"/>
        <v>4351.7797643138802</v>
      </c>
      <c r="K266" s="9">
        <f t="shared" si="31"/>
        <v>622.2237724158299</v>
      </c>
      <c r="L266" s="10">
        <f t="shared" si="30"/>
        <v>0.14298144807747004</v>
      </c>
      <c r="M266" s="10">
        <f t="shared" si="28"/>
        <v>0.15557157843212205</v>
      </c>
      <c r="P266" s="8">
        <f t="shared" si="29"/>
        <v>22.728363337057196</v>
      </c>
    </row>
    <row r="267" spans="1:16" x14ac:dyDescent="0.2">
      <c r="A267" s="8">
        <v>132.5</v>
      </c>
      <c r="B267" s="8">
        <v>265</v>
      </c>
      <c r="D267">
        <v>4480.6960838389004</v>
      </c>
      <c r="E267">
        <v>739.68560397132001</v>
      </c>
      <c r="F267">
        <v>146.71824736549999</v>
      </c>
      <c r="G267">
        <v>120.50915141431</v>
      </c>
      <c r="I267" s="9">
        <f t="shared" si="26"/>
        <v>619.17645255700995</v>
      </c>
      <c r="J267" s="9">
        <f t="shared" si="27"/>
        <v>4333.9778364734002</v>
      </c>
      <c r="K267" s="9">
        <f t="shared" si="31"/>
        <v>619.17645255700995</v>
      </c>
      <c r="L267" s="10">
        <f t="shared" si="30"/>
        <v>0.14286562504916728</v>
      </c>
      <c r="M267" s="10">
        <f t="shared" si="28"/>
        <v>0.15550344529152629</v>
      </c>
      <c r="P267" s="8">
        <f t="shared" si="29"/>
        <v>22.674614002386924</v>
      </c>
    </row>
    <row r="268" spans="1:16" x14ac:dyDescent="0.2">
      <c r="A268" s="8">
        <v>133</v>
      </c>
      <c r="B268" s="8">
        <v>266</v>
      </c>
      <c r="D268">
        <v>4459.0601213458003</v>
      </c>
      <c r="E268">
        <v>732.46718146718001</v>
      </c>
      <c r="F268">
        <v>146.59345535219001</v>
      </c>
      <c r="G268">
        <v>120.33333333333</v>
      </c>
      <c r="I268" s="9">
        <f t="shared" si="26"/>
        <v>612.13384813385005</v>
      </c>
      <c r="J268" s="9">
        <f t="shared" si="27"/>
        <v>4312.4666659936101</v>
      </c>
      <c r="K268" s="9">
        <f t="shared" si="31"/>
        <v>612.13384813385005</v>
      </c>
      <c r="L268" s="10">
        <f t="shared" si="30"/>
        <v>0.14194517790963884</v>
      </c>
      <c r="M268" s="10">
        <f t="shared" si="28"/>
        <v>0.15463068803970487</v>
      </c>
      <c r="P268" s="8">
        <f t="shared" si="29"/>
        <v>21.986107334356134</v>
      </c>
    </row>
    <row r="269" spans="1:16" x14ac:dyDescent="0.2">
      <c r="A269" s="8">
        <v>133.5</v>
      </c>
      <c r="B269" s="8">
        <v>267</v>
      </c>
      <c r="D269">
        <v>4484.9255377827003</v>
      </c>
      <c r="E269">
        <v>736.42912300055002</v>
      </c>
      <c r="F269">
        <v>147.17914586800001</v>
      </c>
      <c r="G269">
        <v>120.60232945092</v>
      </c>
      <c r="I269" s="9">
        <f t="shared" si="26"/>
        <v>615.82679354963</v>
      </c>
      <c r="J269" s="9">
        <f t="shared" si="27"/>
        <v>4337.7463919147003</v>
      </c>
      <c r="K269" s="9">
        <f t="shared" si="31"/>
        <v>615.82679354963</v>
      </c>
      <c r="L269" s="10">
        <f t="shared" si="30"/>
        <v>0.14196929417023879</v>
      </c>
      <c r="M269" s="10">
        <f t="shared" si="28"/>
        <v>0.15470249418801185</v>
      </c>
      <c r="P269" s="8">
        <f t="shared" si="29"/>
        <v>22.04275425629438</v>
      </c>
    </row>
    <row r="270" spans="1:16" x14ac:dyDescent="0.2">
      <c r="A270" s="8">
        <v>134</v>
      </c>
      <c r="B270" s="8">
        <v>268</v>
      </c>
      <c r="D270">
        <v>4517.2757859901003</v>
      </c>
      <c r="E270">
        <v>743.10369553226997</v>
      </c>
      <c r="F270">
        <v>146.37049362174</v>
      </c>
      <c r="G270">
        <v>120.52190793123</v>
      </c>
      <c r="I270" s="9">
        <f t="shared" si="26"/>
        <v>622.58178760103999</v>
      </c>
      <c r="J270" s="9">
        <f t="shared" si="27"/>
        <v>4370.9052923683603</v>
      </c>
      <c r="K270" s="9">
        <f t="shared" si="31"/>
        <v>622.58178760103999</v>
      </c>
      <c r="L270" s="10">
        <f t="shared" si="30"/>
        <v>0.1424377207824826</v>
      </c>
      <c r="M270" s="10">
        <f t="shared" si="28"/>
        <v>0.15521861068796267</v>
      </c>
      <c r="P270" s="8">
        <f t="shared" si="29"/>
        <v>22.449911745911617</v>
      </c>
    </row>
    <row r="271" spans="1:16" x14ac:dyDescent="0.2">
      <c r="A271" s="8">
        <v>134.5</v>
      </c>
      <c r="B271" s="8">
        <v>269</v>
      </c>
      <c r="D271">
        <v>4447.2095973525002</v>
      </c>
      <c r="E271">
        <v>731.98455598455996</v>
      </c>
      <c r="F271">
        <v>146.63006100942999</v>
      </c>
      <c r="G271">
        <v>120.53022739878</v>
      </c>
      <c r="I271" s="9">
        <f t="shared" si="26"/>
        <v>611.45432858577999</v>
      </c>
      <c r="J271" s="9">
        <f t="shared" si="27"/>
        <v>4300.5795363430698</v>
      </c>
      <c r="K271" s="9">
        <f t="shared" si="31"/>
        <v>611.45432858577999</v>
      </c>
      <c r="L271" s="10">
        <f t="shared" si="30"/>
        <v>0.14217951869475726</v>
      </c>
      <c r="M271" s="10">
        <f t="shared" si="28"/>
        <v>0.15500809848794433</v>
      </c>
      <c r="P271" s="8">
        <f t="shared" si="29"/>
        <v>22.283841451895761</v>
      </c>
    </row>
    <row r="272" spans="1:16" x14ac:dyDescent="0.2">
      <c r="A272" s="8">
        <v>135</v>
      </c>
      <c r="B272" s="8">
        <v>270</v>
      </c>
      <c r="D272">
        <v>4454.3458356315996</v>
      </c>
      <c r="E272">
        <v>732.40485383343002</v>
      </c>
      <c r="F272">
        <v>146.29339988907</v>
      </c>
      <c r="G272">
        <v>120.46422628952</v>
      </c>
      <c r="I272" s="9">
        <f t="shared" si="26"/>
        <v>611.94062754391007</v>
      </c>
      <c r="J272" s="9">
        <f t="shared" si="27"/>
        <v>4308.0524357425293</v>
      </c>
      <c r="K272" s="9">
        <f t="shared" si="31"/>
        <v>611.94062754391007</v>
      </c>
      <c r="L272" s="10">
        <f t="shared" si="30"/>
        <v>0.14204577048942926</v>
      </c>
      <c r="M272" s="10">
        <f t="shared" si="28"/>
        <v>0.15492204017032335</v>
      </c>
      <c r="P272" s="8">
        <f t="shared" si="29"/>
        <v>22.215951181837386</v>
      </c>
    </row>
    <row r="273" spans="1:16" x14ac:dyDescent="0.2">
      <c r="A273" s="8">
        <v>135.5</v>
      </c>
      <c r="B273" s="8">
        <v>271</v>
      </c>
      <c r="D273">
        <v>4481.6061776061997</v>
      </c>
      <c r="E273">
        <v>736.08990623275997</v>
      </c>
      <c r="F273">
        <v>146.87409872435001</v>
      </c>
      <c r="G273">
        <v>120.25623960067</v>
      </c>
      <c r="I273" s="9">
        <f t="shared" si="26"/>
        <v>615.83366663208994</v>
      </c>
      <c r="J273" s="9">
        <f t="shared" si="27"/>
        <v>4334.7320788818497</v>
      </c>
      <c r="K273" s="9">
        <f t="shared" si="31"/>
        <v>615.83366663208994</v>
      </c>
      <c r="L273" s="10">
        <f t="shared" si="30"/>
        <v>0.14206960324776177</v>
      </c>
      <c r="M273" s="10">
        <f t="shared" si="28"/>
        <v>0.15499356281636287</v>
      </c>
      <c r="P273" s="8">
        <f t="shared" si="29"/>
        <v>22.272374452581509</v>
      </c>
    </row>
    <row r="274" spans="1:16" x14ac:dyDescent="0.2">
      <c r="A274" s="8">
        <v>136</v>
      </c>
      <c r="B274" s="8">
        <v>272</v>
      </c>
      <c r="D274">
        <v>4483.2542746829004</v>
      </c>
      <c r="E274">
        <v>734.57473800331002</v>
      </c>
      <c r="F274">
        <v>146.26400443705</v>
      </c>
      <c r="G274">
        <v>120.58347199113</v>
      </c>
      <c r="I274" s="9">
        <f t="shared" si="26"/>
        <v>613.99126601218006</v>
      </c>
      <c r="J274" s="9">
        <f t="shared" si="27"/>
        <v>4336.9902702458503</v>
      </c>
      <c r="K274" s="9">
        <f t="shared" si="31"/>
        <v>613.99126601218006</v>
      </c>
      <c r="L274" s="10">
        <f t="shared" si="30"/>
        <v>0.14157081933628013</v>
      </c>
      <c r="M274" s="10">
        <f t="shared" si="28"/>
        <v>0.15454246879258826</v>
      </c>
      <c r="P274" s="8">
        <f t="shared" si="29"/>
        <v>21.916512335561592</v>
      </c>
    </row>
    <row r="275" spans="1:16" x14ac:dyDescent="0.2">
      <c r="A275" s="8">
        <v>136.5</v>
      </c>
      <c r="B275" s="8">
        <v>273</v>
      </c>
      <c r="D275">
        <v>4462.8444567016004</v>
      </c>
      <c r="E275">
        <v>731.62051847765997</v>
      </c>
      <c r="F275">
        <v>146.64891846922001</v>
      </c>
      <c r="G275">
        <v>120.36106489185001</v>
      </c>
      <c r="I275" s="9">
        <f>E275-G275</f>
        <v>611.25945358580998</v>
      </c>
      <c r="J275" s="9">
        <f>D275-F275</f>
        <v>4316.1955382323804</v>
      </c>
      <c r="K275" s="9">
        <f t="shared" si="31"/>
        <v>611.25945358580998</v>
      </c>
      <c r="L275" s="10">
        <f t="shared" si="30"/>
        <v>0.14161996326888845</v>
      </c>
      <c r="M275" s="10">
        <f>L275+ABS($N$2)*A275</f>
        <v>0.1546393026129036</v>
      </c>
      <c r="O275" s="11"/>
      <c r="P275" s="8">
        <f>(M275-$O$2)/$O$2*100</f>
        <v>21.992903257365864</v>
      </c>
    </row>
    <row r="276" spans="1:16" x14ac:dyDescent="0.2">
      <c r="A276" s="8">
        <v>137</v>
      </c>
      <c r="B276" s="8">
        <v>274</v>
      </c>
      <c r="D276">
        <v>4454.4180915610004</v>
      </c>
      <c r="E276">
        <v>729.92388306674002</v>
      </c>
      <c r="F276">
        <v>146.66943982251999</v>
      </c>
      <c r="G276">
        <v>120.76039933444</v>
      </c>
      <c r="I276" s="9">
        <f t="shared" ref="I276:I291" si="32">E276-G276</f>
        <v>609.16348373230005</v>
      </c>
      <c r="J276" s="9">
        <f t="shared" ref="J276:J291" si="33">D276-F276</f>
        <v>4307.7486517384805</v>
      </c>
      <c r="K276" s="9">
        <f t="shared" si="31"/>
        <v>609.16348373230005</v>
      </c>
      <c r="L276" s="10">
        <f t="shared" si="30"/>
        <v>0.14141110194218495</v>
      </c>
      <c r="M276" s="10">
        <f t="shared" ref="M276:M291" si="34">L276+ABS($N$2)*A276</f>
        <v>0.1544781311739071</v>
      </c>
      <c r="P276" s="8">
        <f t="shared" ref="P276:P291" si="35">(M276-$O$2)/$O$2*100</f>
        <v>21.865757237996082</v>
      </c>
    </row>
    <row r="277" spans="1:16" x14ac:dyDescent="0.2">
      <c r="A277" s="8">
        <v>137.5</v>
      </c>
      <c r="B277" s="8">
        <v>275</v>
      </c>
      <c r="D277">
        <v>4461.4710424710001</v>
      </c>
      <c r="E277">
        <v>730.18422504137004</v>
      </c>
      <c r="F277">
        <v>146.98668885191</v>
      </c>
      <c r="G277">
        <v>120.15030504713999</v>
      </c>
      <c r="I277" s="9">
        <f t="shared" si="32"/>
        <v>610.03391999423002</v>
      </c>
      <c r="J277" s="9">
        <f t="shared" si="33"/>
        <v>4314.4843536190901</v>
      </c>
      <c r="K277" s="9">
        <f t="shared" si="31"/>
        <v>610.03391999423002</v>
      </c>
      <c r="L277" s="10">
        <f t="shared" si="30"/>
        <v>0.14139208072049661</v>
      </c>
      <c r="M277" s="10">
        <f t="shared" si="34"/>
        <v>0.15450679983992577</v>
      </c>
      <c r="N277" s="1"/>
      <c r="P277" s="8">
        <f t="shared" si="35"/>
        <v>21.888373569944292</v>
      </c>
    </row>
    <row r="278" spans="1:16" x14ac:dyDescent="0.2">
      <c r="A278" s="8">
        <v>138</v>
      </c>
      <c r="B278" s="8">
        <v>276</v>
      </c>
      <c r="D278">
        <v>4467.4611141754003</v>
      </c>
      <c r="E278">
        <v>730.03419746276995</v>
      </c>
      <c r="F278">
        <v>147.08319467554</v>
      </c>
      <c r="G278">
        <v>120.384359401</v>
      </c>
      <c r="I278" s="9">
        <f t="shared" si="32"/>
        <v>609.64983806176997</v>
      </c>
      <c r="J278" s="9">
        <f t="shared" si="33"/>
        <v>4320.3779194998606</v>
      </c>
      <c r="K278" s="9">
        <f t="shared" si="31"/>
        <v>609.64983806176997</v>
      </c>
      <c r="L278" s="10">
        <f t="shared" si="30"/>
        <v>0.1411103031774463</v>
      </c>
      <c r="M278" s="10">
        <f t="shared" si="34"/>
        <v>0.15427271218458249</v>
      </c>
      <c r="P278" s="8">
        <f t="shared" si="35"/>
        <v>21.70370491062215</v>
      </c>
    </row>
    <row r="279" spans="1:16" x14ac:dyDescent="0.2">
      <c r="A279" s="8">
        <v>138.5</v>
      </c>
      <c r="B279" s="8">
        <v>277</v>
      </c>
      <c r="D279">
        <v>4461.8030888030999</v>
      </c>
      <c r="E279">
        <v>729.98786541643994</v>
      </c>
      <c r="F279">
        <v>146.98280643371999</v>
      </c>
      <c r="G279">
        <v>120.39323349972</v>
      </c>
      <c r="I279" s="9">
        <f t="shared" si="32"/>
        <v>609.59463191671989</v>
      </c>
      <c r="J279" s="9">
        <f t="shared" si="33"/>
        <v>4314.82028236938</v>
      </c>
      <c r="K279" s="9">
        <f t="shared" si="31"/>
        <v>609.59463191671989</v>
      </c>
      <c r="L279" s="10">
        <f t="shared" si="30"/>
        <v>0.14127926356691167</v>
      </c>
      <c r="M279" s="10">
        <f t="shared" si="34"/>
        <v>0.15448936246175488</v>
      </c>
      <c r="P279" s="8">
        <f t="shared" si="35"/>
        <v>21.874617452629224</v>
      </c>
    </row>
    <row r="280" spans="1:16" x14ac:dyDescent="0.2">
      <c r="A280" s="8">
        <v>139</v>
      </c>
      <c r="B280" s="8">
        <v>278</v>
      </c>
      <c r="D280">
        <v>4370.0468836182999</v>
      </c>
      <c r="E280">
        <v>722.44677330392005</v>
      </c>
      <c r="F280">
        <v>146.50194120910001</v>
      </c>
      <c r="G280">
        <v>120.49750415973</v>
      </c>
      <c r="I280" s="9">
        <f t="shared" si="32"/>
        <v>601.94926914419011</v>
      </c>
      <c r="J280" s="9">
        <f t="shared" si="33"/>
        <v>4223.5449424092003</v>
      </c>
      <c r="K280" s="9">
        <f t="shared" si="31"/>
        <v>601.94926914419011</v>
      </c>
      <c r="L280" s="10">
        <f t="shared" si="30"/>
        <v>0.14252228337857473</v>
      </c>
      <c r="M280" s="10">
        <f t="shared" si="34"/>
        <v>0.15578007216112494</v>
      </c>
      <c r="P280" s="8">
        <f t="shared" si="35"/>
        <v>22.892841285950215</v>
      </c>
    </row>
    <row r="281" spans="1:16" x14ac:dyDescent="0.2">
      <c r="A281" s="8">
        <v>139.5</v>
      </c>
      <c r="B281" s="8">
        <v>279</v>
      </c>
      <c r="D281">
        <v>4516.4799777530998</v>
      </c>
      <c r="E281">
        <v>737.14905450500999</v>
      </c>
      <c r="F281">
        <v>146.47365501940999</v>
      </c>
      <c r="G281">
        <v>119.99500831947</v>
      </c>
      <c r="I281" s="9">
        <f t="shared" si="32"/>
        <v>617.15404618553998</v>
      </c>
      <c r="J281" s="9">
        <f t="shared" si="33"/>
        <v>4370.0063227336896</v>
      </c>
      <c r="K281" s="9">
        <f t="shared" si="31"/>
        <v>617.15404618553998</v>
      </c>
      <c r="L281" s="10">
        <f t="shared" si="30"/>
        <v>0.14122497786215438</v>
      </c>
      <c r="M281" s="10">
        <f t="shared" si="34"/>
        <v>0.1545304565324116</v>
      </c>
      <c r="P281" s="8">
        <f t="shared" si="35"/>
        <v>21.90703602217377</v>
      </c>
    </row>
    <row r="282" spans="1:16" x14ac:dyDescent="0.2">
      <c r="A282" s="8">
        <v>140</v>
      </c>
      <c r="B282" s="8">
        <v>280</v>
      </c>
      <c r="D282">
        <v>4483.0684093437003</v>
      </c>
      <c r="E282">
        <v>735.14071190210996</v>
      </c>
      <c r="F282">
        <v>146.18413754853</v>
      </c>
      <c r="G282">
        <v>120.63893510814999</v>
      </c>
      <c r="I282" s="9">
        <f t="shared" si="32"/>
        <v>614.50177679395995</v>
      </c>
      <c r="J282" s="9">
        <f t="shared" si="33"/>
        <v>4336.8842717951702</v>
      </c>
      <c r="K282" s="9">
        <f t="shared" si="31"/>
        <v>614.50177679395995</v>
      </c>
      <c r="L282" s="10">
        <f t="shared" si="30"/>
        <v>0.14169199321050793</v>
      </c>
      <c r="M282" s="10">
        <f t="shared" si="34"/>
        <v>0.15504516176847219</v>
      </c>
      <c r="P282" s="8">
        <f t="shared" si="35"/>
        <v>22.313080184348877</v>
      </c>
    </row>
    <row r="283" spans="1:16" x14ac:dyDescent="0.2">
      <c r="A283" s="8">
        <v>140.5</v>
      </c>
      <c r="B283" s="8">
        <v>281</v>
      </c>
      <c r="D283">
        <v>4542.7747497218998</v>
      </c>
      <c r="E283">
        <v>743.69577308119995</v>
      </c>
      <c r="F283">
        <v>146.4925124792</v>
      </c>
      <c r="G283">
        <v>120.57237936772</v>
      </c>
      <c r="I283" s="9">
        <f t="shared" si="32"/>
        <v>623.12339371347991</v>
      </c>
      <c r="J283" s="9">
        <f t="shared" si="33"/>
        <v>4396.2822372426999</v>
      </c>
      <c r="K283" s="9">
        <f t="shared" si="31"/>
        <v>623.12339371347991</v>
      </c>
      <c r="L283" s="10">
        <f t="shared" si="30"/>
        <v>0.14173871468823077</v>
      </c>
      <c r="M283" s="10">
        <f t="shared" si="34"/>
        <v>0.15513957313390203</v>
      </c>
      <c r="P283" s="8">
        <f t="shared" si="35"/>
        <v>22.387560063491307</v>
      </c>
    </row>
    <row r="284" spans="1:16" x14ac:dyDescent="0.2">
      <c r="A284" s="8">
        <v>141</v>
      </c>
      <c r="B284" s="8">
        <v>282</v>
      </c>
      <c r="D284">
        <v>4610.9961067853001</v>
      </c>
      <c r="E284">
        <v>750.85372636263003</v>
      </c>
      <c r="F284">
        <v>146.30615640599001</v>
      </c>
      <c r="G284">
        <v>120.47365501941</v>
      </c>
      <c r="I284" s="9">
        <f t="shared" si="32"/>
        <v>630.38007134322004</v>
      </c>
      <c r="J284" s="9">
        <f t="shared" si="33"/>
        <v>4464.6899503793102</v>
      </c>
      <c r="K284" s="9">
        <f t="shared" si="31"/>
        <v>630.38007134322004</v>
      </c>
      <c r="L284" s="10">
        <f t="shared" si="30"/>
        <v>0.14119235117091711</v>
      </c>
      <c r="M284" s="10">
        <f t="shared" si="34"/>
        <v>0.15464089950429538</v>
      </c>
      <c r="P284" s="8">
        <f t="shared" si="35"/>
        <v>21.994163023892092</v>
      </c>
    </row>
    <row r="285" spans="1:16" x14ac:dyDescent="0.2">
      <c r="A285" s="8">
        <v>141.5</v>
      </c>
      <c r="B285" s="8">
        <v>283</v>
      </c>
      <c r="D285">
        <v>4681.6601779755001</v>
      </c>
      <c r="E285">
        <v>757.28642936595998</v>
      </c>
      <c r="F285">
        <v>145.77038269550999</v>
      </c>
      <c r="G285">
        <v>120.26289517471</v>
      </c>
      <c r="I285" s="9">
        <f t="shared" si="32"/>
        <v>637.02353419124995</v>
      </c>
      <c r="J285" s="9">
        <f t="shared" si="33"/>
        <v>4535.8897952799898</v>
      </c>
      <c r="K285" s="9">
        <f t="shared" si="31"/>
        <v>637.02353419124995</v>
      </c>
      <c r="L285" s="10">
        <f t="shared" si="30"/>
        <v>0.1404406991664858</v>
      </c>
      <c r="M285" s="10">
        <f t="shared" si="34"/>
        <v>0.15393693738757108</v>
      </c>
      <c r="P285" s="8">
        <f t="shared" si="35"/>
        <v>21.438816608386258</v>
      </c>
    </row>
    <row r="286" spans="1:16" x14ac:dyDescent="0.2">
      <c r="A286" s="8">
        <v>142</v>
      </c>
      <c r="B286" s="8">
        <v>284</v>
      </c>
      <c r="D286">
        <v>4475.9794215795</v>
      </c>
      <c r="E286">
        <v>724.53003337041002</v>
      </c>
      <c r="F286">
        <v>145.84636716584001</v>
      </c>
      <c r="G286">
        <v>120.06544647809</v>
      </c>
      <c r="I286" s="9">
        <f t="shared" si="32"/>
        <v>604.46458689232009</v>
      </c>
      <c r="J286" s="9">
        <f t="shared" si="33"/>
        <v>4330.1330544136599</v>
      </c>
      <c r="K286" s="9">
        <f t="shared" si="31"/>
        <v>604.46458689232009</v>
      </c>
      <c r="L286" s="10">
        <f t="shared" si="30"/>
        <v>0.13959492221057632</v>
      </c>
      <c r="M286" s="10">
        <f t="shared" si="34"/>
        <v>0.15313885031936864</v>
      </c>
      <c r="P286" s="8">
        <f t="shared" si="35"/>
        <v>20.80921626192135</v>
      </c>
    </row>
    <row r="287" spans="1:16" x14ac:dyDescent="0.2">
      <c r="A287" s="8">
        <v>142.5</v>
      </c>
      <c r="B287" s="8">
        <v>285</v>
      </c>
      <c r="D287">
        <v>4462.9627363738</v>
      </c>
      <c r="E287">
        <v>721.59010011123996</v>
      </c>
      <c r="F287">
        <v>146.65335551858001</v>
      </c>
      <c r="G287">
        <v>120.4048807543</v>
      </c>
      <c r="I287" s="9">
        <f t="shared" si="32"/>
        <v>601.18521935694002</v>
      </c>
      <c r="J287" s="9">
        <f t="shared" si="33"/>
        <v>4316.3093808552203</v>
      </c>
      <c r="K287" s="9">
        <f t="shared" si="31"/>
        <v>601.18521935694002</v>
      </c>
      <c r="L287" s="10">
        <f t="shared" si="30"/>
        <v>0.13928223542628054</v>
      </c>
      <c r="M287" s="10">
        <f t="shared" si="34"/>
        <v>0.15287385342277987</v>
      </c>
      <c r="P287" s="8">
        <f t="shared" si="35"/>
        <v>20.600163710449497</v>
      </c>
    </row>
    <row r="288" spans="1:16" x14ac:dyDescent="0.2">
      <c r="A288" s="8">
        <v>143</v>
      </c>
      <c r="B288" s="8">
        <v>286</v>
      </c>
      <c r="D288">
        <v>4506.7063403782004</v>
      </c>
      <c r="E288">
        <v>726.43492769744</v>
      </c>
      <c r="F288">
        <v>146.26067665003001</v>
      </c>
      <c r="G288">
        <v>120.41708264003999</v>
      </c>
      <c r="I288" s="9">
        <f t="shared" si="32"/>
        <v>606.0178450574</v>
      </c>
      <c r="J288" s="9">
        <f t="shared" si="33"/>
        <v>4360.4456637281701</v>
      </c>
      <c r="K288" s="9">
        <f t="shared" si="31"/>
        <v>606.0178450574</v>
      </c>
      <c r="L288" s="10">
        <f t="shared" si="30"/>
        <v>0.13898071247590235</v>
      </c>
      <c r="M288" s="10">
        <f t="shared" si="34"/>
        <v>0.15262002036010869</v>
      </c>
      <c r="P288" s="8">
        <f t="shared" si="35"/>
        <v>20.399918160096227</v>
      </c>
    </row>
    <row r="289" spans="1:16" x14ac:dyDescent="0.2">
      <c r="A289" s="8">
        <v>143.5</v>
      </c>
      <c r="B289" s="8">
        <v>287</v>
      </c>
      <c r="D289">
        <v>4542.7102335929003</v>
      </c>
      <c r="E289">
        <v>728.00111234705003</v>
      </c>
      <c r="F289">
        <v>146.49694952856001</v>
      </c>
      <c r="G289">
        <v>120.27676095397</v>
      </c>
      <c r="I289" s="9">
        <f t="shared" si="32"/>
        <v>607.72435139308004</v>
      </c>
      <c r="J289" s="9">
        <f t="shared" si="33"/>
        <v>4396.2132840643399</v>
      </c>
      <c r="K289" s="9">
        <f t="shared" si="31"/>
        <v>607.72435139308004</v>
      </c>
      <c r="L289" s="10">
        <f t="shared" si="30"/>
        <v>0.13823814090094219</v>
      </c>
      <c r="M289" s="10">
        <f t="shared" si="34"/>
        <v>0.15192513867285554</v>
      </c>
      <c r="P289" s="8">
        <f t="shared" si="35"/>
        <v>19.851735175460114</v>
      </c>
    </row>
    <row r="290" spans="1:16" x14ac:dyDescent="0.2">
      <c r="A290" s="8">
        <v>144</v>
      </c>
      <c r="B290" s="8">
        <v>288</v>
      </c>
      <c r="D290">
        <v>4516.0639599554997</v>
      </c>
      <c r="E290">
        <v>719.44215795328</v>
      </c>
      <c r="F290">
        <v>146.31558513588999</v>
      </c>
      <c r="G290">
        <v>119.98058790904</v>
      </c>
      <c r="I290" s="9">
        <f t="shared" si="32"/>
        <v>599.46157004424003</v>
      </c>
      <c r="J290" s="9">
        <f t="shared" si="33"/>
        <v>4369.74837481961</v>
      </c>
      <c r="K290" s="9">
        <f t="shared" si="31"/>
        <v>599.46157004424003</v>
      </c>
      <c r="L290" s="10">
        <f t="shared" si="30"/>
        <v>0.13718445975026805</v>
      </c>
      <c r="M290" s="10">
        <f t="shared" si="34"/>
        <v>0.1509191474098884</v>
      </c>
      <c r="P290" s="8">
        <f t="shared" si="35"/>
        <v>19.058121955875766</v>
      </c>
    </row>
    <row r="291" spans="1:16" x14ac:dyDescent="0.2">
      <c r="A291" s="8">
        <v>144.5</v>
      </c>
      <c r="B291" s="8">
        <v>289</v>
      </c>
      <c r="D291">
        <v>4506.8281423804001</v>
      </c>
      <c r="E291">
        <v>719.24582869854999</v>
      </c>
      <c r="F291">
        <v>146.15917914587001</v>
      </c>
      <c r="G291">
        <v>120.40599001664</v>
      </c>
      <c r="I291" s="9">
        <f t="shared" si="32"/>
        <v>598.83983868191001</v>
      </c>
      <c r="J291" s="9">
        <f t="shared" si="33"/>
        <v>4360.6689632345297</v>
      </c>
      <c r="K291" s="9">
        <f t="shared" si="31"/>
        <v>598.83983868191001</v>
      </c>
      <c r="L291" s="10">
        <f t="shared" si="30"/>
        <v>0.13732751642714014</v>
      </c>
      <c r="M291" s="10">
        <f t="shared" si="34"/>
        <v>0.15110989397446753</v>
      </c>
      <c r="P291" s="8">
        <f t="shared" si="35"/>
        <v>19.208599401170677</v>
      </c>
    </row>
    <row r="292" spans="1:16" x14ac:dyDescent="0.2">
      <c r="A292" s="8">
        <v>145</v>
      </c>
      <c r="B292" s="8">
        <v>290</v>
      </c>
      <c r="D292">
        <v>4553.5978865405996</v>
      </c>
      <c r="E292">
        <v>724.97274749721998</v>
      </c>
      <c r="F292">
        <v>146.34331669439999</v>
      </c>
      <c r="G292">
        <v>119.96561286744</v>
      </c>
      <c r="I292" s="9">
        <f>E292-G292</f>
        <v>605.00713462978001</v>
      </c>
      <c r="J292" s="9">
        <f>D292-F292</f>
        <v>4407.2545698462</v>
      </c>
      <c r="K292" s="9">
        <f t="shared" si="31"/>
        <v>605.00713462978001</v>
      </c>
      <c r="L292" s="10">
        <f t="shared" si="30"/>
        <v>0.1372752866986971</v>
      </c>
      <c r="M292" s="10">
        <f>L292+ABS($N$2)*A292</f>
        <v>0.1511053541337315</v>
      </c>
      <c r="O292" s="11"/>
      <c r="P292" s="8">
        <f>(M292-$O$2)/$O$2*100</f>
        <v>19.205017980779111</v>
      </c>
    </row>
    <row r="293" spans="1:16" x14ac:dyDescent="0.2">
      <c r="A293" s="8">
        <v>145.5</v>
      </c>
      <c r="B293" s="8">
        <v>291</v>
      </c>
      <c r="D293">
        <v>4575.0172413792998</v>
      </c>
      <c r="E293">
        <v>725.34037819800005</v>
      </c>
      <c r="F293">
        <v>146.13921242373999</v>
      </c>
      <c r="G293">
        <v>120.26400443705</v>
      </c>
      <c r="I293" s="9">
        <f t="shared" ref="I293:I301" si="36">E293-G293</f>
        <v>605.07637376094999</v>
      </c>
      <c r="J293" s="9">
        <f t="shared" ref="J293:J301" si="37">D293-F293</f>
        <v>4428.8780289555598</v>
      </c>
      <c r="K293" s="9">
        <f t="shared" si="31"/>
        <v>605.07637376094999</v>
      </c>
      <c r="L293" s="10">
        <f t="shared" si="30"/>
        <v>0.13662069034302174</v>
      </c>
      <c r="M293" s="10">
        <f t="shared" ref="M293:M301" si="38">L293+ABS($N$2)*A293</f>
        <v>0.15049844766576315</v>
      </c>
      <c r="P293" s="8">
        <f t="shared" ref="P293:P301" si="39">(M293-$O$2)/$O$2*100</f>
        <v>18.726237484604304</v>
      </c>
    </row>
    <row r="294" spans="1:16" x14ac:dyDescent="0.2">
      <c r="A294" s="8">
        <v>146</v>
      </c>
      <c r="B294" s="8">
        <v>292</v>
      </c>
      <c r="D294">
        <v>4556.8275862069004</v>
      </c>
      <c r="E294">
        <v>720.82146829810995</v>
      </c>
      <c r="F294">
        <v>146.17748197449001</v>
      </c>
      <c r="G294">
        <v>119.69384359401</v>
      </c>
      <c r="I294" s="9">
        <f t="shared" si="36"/>
        <v>601.12762470409996</v>
      </c>
      <c r="J294" s="9">
        <f t="shared" si="37"/>
        <v>4410.6501042324107</v>
      </c>
      <c r="K294" s="9">
        <f t="shared" si="31"/>
        <v>601.12762470409996</v>
      </c>
      <c r="L294" s="10">
        <f t="shared" si="30"/>
        <v>0.13629002765992809</v>
      </c>
      <c r="M294" s="10">
        <f t="shared" si="38"/>
        <v>0.15021547487037651</v>
      </c>
      <c r="N294" s="1"/>
      <c r="P294" s="8">
        <f t="shared" si="39"/>
        <v>18.503003984007879</v>
      </c>
    </row>
    <row r="295" spans="1:16" x14ac:dyDescent="0.2">
      <c r="A295" s="8">
        <v>146.5</v>
      </c>
      <c r="B295" s="8">
        <v>293</v>
      </c>
      <c r="D295">
        <v>4604.4338153504004</v>
      </c>
      <c r="E295">
        <v>727.11290322580999</v>
      </c>
      <c r="F295">
        <v>146.16306156406</v>
      </c>
      <c r="G295">
        <v>120.39600665557001</v>
      </c>
      <c r="I295" s="9">
        <f t="shared" si="36"/>
        <v>606.71689657024001</v>
      </c>
      <c r="J295" s="9">
        <f t="shared" si="37"/>
        <v>4458.2707537863407</v>
      </c>
      <c r="K295" s="9">
        <f t="shared" si="31"/>
        <v>606.71689657024001</v>
      </c>
      <c r="L295" s="10">
        <f t="shared" si="30"/>
        <v>0.13608794307859493</v>
      </c>
      <c r="M295" s="10">
        <f t="shared" si="38"/>
        <v>0.15006108017675038</v>
      </c>
      <c r="P295" s="8">
        <f t="shared" si="39"/>
        <v>18.381204049549225</v>
      </c>
    </row>
    <row r="296" spans="1:16" x14ac:dyDescent="0.2">
      <c r="A296" s="8">
        <v>147</v>
      </c>
      <c r="B296" s="8">
        <v>294</v>
      </c>
      <c r="D296">
        <v>4552.5489432702998</v>
      </c>
      <c r="E296">
        <v>715.79866518354004</v>
      </c>
      <c r="F296">
        <v>146.00831946755</v>
      </c>
      <c r="G296">
        <v>119.86633388797</v>
      </c>
      <c r="I296" s="9">
        <f t="shared" si="36"/>
        <v>595.93233129557007</v>
      </c>
      <c r="J296" s="9">
        <f t="shared" si="37"/>
        <v>4406.5406238027499</v>
      </c>
      <c r="K296" s="9">
        <f t="shared" si="31"/>
        <v>595.93233129557007</v>
      </c>
      <c r="L296" s="10">
        <f t="shared" si="30"/>
        <v>0.13523813398576892</v>
      </c>
      <c r="M296" s="10">
        <f t="shared" si="38"/>
        <v>0.14925896097163138</v>
      </c>
      <c r="P296" s="8">
        <f t="shared" si="39"/>
        <v>17.748422803529877</v>
      </c>
    </row>
    <row r="297" spans="1:16" x14ac:dyDescent="0.2">
      <c r="A297" s="8">
        <v>147.5</v>
      </c>
      <c r="B297" s="8">
        <v>295</v>
      </c>
      <c r="D297">
        <v>4446.1957730812001</v>
      </c>
      <c r="E297">
        <v>700.72302558397996</v>
      </c>
      <c r="F297">
        <v>145.76039933444</v>
      </c>
      <c r="G297">
        <v>119.90626733222</v>
      </c>
      <c r="I297" s="9">
        <f t="shared" si="36"/>
        <v>580.81675825176001</v>
      </c>
      <c r="J297" s="9">
        <f t="shared" si="37"/>
        <v>4300.43537374676</v>
      </c>
      <c r="K297" s="9">
        <f t="shared" si="31"/>
        <v>580.81675825176001</v>
      </c>
      <c r="L297" s="10">
        <f t="shared" si="30"/>
        <v>0.1350599899250951</v>
      </c>
      <c r="M297" s="10">
        <f t="shared" si="38"/>
        <v>0.14912850679866457</v>
      </c>
      <c r="P297" s="8">
        <f t="shared" si="39"/>
        <v>17.645509229597785</v>
      </c>
    </row>
    <row r="298" spans="1:16" x14ac:dyDescent="0.2">
      <c r="A298" s="8">
        <v>148</v>
      </c>
      <c r="B298" s="8">
        <v>296</v>
      </c>
      <c r="D298">
        <v>4456.3266666666996</v>
      </c>
      <c r="E298">
        <v>701.05777777777996</v>
      </c>
      <c r="F298">
        <v>145.80643372157999</v>
      </c>
      <c r="G298">
        <v>120.27731558514</v>
      </c>
      <c r="I298" s="9">
        <f t="shared" si="36"/>
        <v>580.78046219264002</v>
      </c>
      <c r="J298" s="9">
        <f t="shared" si="37"/>
        <v>4310.5202329451195</v>
      </c>
      <c r="K298" s="9">
        <f t="shared" si="31"/>
        <v>580.78046219264002</v>
      </c>
      <c r="L298" s="10">
        <f t="shared" si="30"/>
        <v>0.13473558429299556</v>
      </c>
      <c r="M298" s="10">
        <f t="shared" si="38"/>
        <v>0.14885179105427204</v>
      </c>
      <c r="P298" s="8">
        <f t="shared" si="39"/>
        <v>17.427211833883515</v>
      </c>
    </row>
    <row r="299" spans="1:16" x14ac:dyDescent="0.2">
      <c r="A299" s="8">
        <v>148.5</v>
      </c>
      <c r="B299" s="8">
        <v>297</v>
      </c>
      <c r="D299">
        <v>4454.2861111110997</v>
      </c>
      <c r="E299">
        <v>700.49666666666997</v>
      </c>
      <c r="F299">
        <v>145.79589572934</v>
      </c>
      <c r="G299">
        <v>120.31780366056999</v>
      </c>
      <c r="I299" s="9">
        <f t="shared" si="36"/>
        <v>580.17886300609996</v>
      </c>
      <c r="J299" s="9">
        <f t="shared" si="37"/>
        <v>4308.4902153817593</v>
      </c>
      <c r="K299" s="9">
        <f t="shared" si="31"/>
        <v>580.17886300609996</v>
      </c>
      <c r="L299" s="10">
        <f t="shared" si="30"/>
        <v>0.13465943613723455</v>
      </c>
      <c r="M299" s="10">
        <f t="shared" si="38"/>
        <v>0.14882333278621807</v>
      </c>
      <c r="P299" s="8">
        <f t="shared" si="39"/>
        <v>17.40476148211058</v>
      </c>
    </row>
    <row r="300" spans="1:16" x14ac:dyDescent="0.2">
      <c r="A300" s="8">
        <v>149</v>
      </c>
      <c r="B300" s="8">
        <v>298</v>
      </c>
      <c r="D300">
        <v>4383.3794444444002</v>
      </c>
      <c r="E300">
        <v>692.34500000000003</v>
      </c>
      <c r="F300">
        <v>145.81697171381001</v>
      </c>
      <c r="G300">
        <v>120.21408763173</v>
      </c>
      <c r="I300" s="9">
        <f t="shared" si="36"/>
        <v>572.13091236827006</v>
      </c>
      <c r="J300" s="9">
        <f t="shared" si="37"/>
        <v>4237.5624727305903</v>
      </c>
      <c r="K300" s="9">
        <f t="shared" si="31"/>
        <v>572.13091236827006</v>
      </c>
      <c r="L300" s="10">
        <f t="shared" si="30"/>
        <v>0.13501415402133332</v>
      </c>
      <c r="M300" s="10">
        <f t="shared" si="38"/>
        <v>0.14922574055802384</v>
      </c>
      <c r="P300" s="8">
        <f t="shared" si="39"/>
        <v>17.722215658031175</v>
      </c>
    </row>
    <row r="301" spans="1:16" x14ac:dyDescent="0.2">
      <c r="A301" s="8">
        <v>149.5</v>
      </c>
      <c r="B301" s="8">
        <v>299</v>
      </c>
      <c r="D301">
        <v>4214.2261640797997</v>
      </c>
      <c r="E301">
        <v>677.28935698448004</v>
      </c>
      <c r="F301">
        <v>146.45535219078999</v>
      </c>
      <c r="G301">
        <v>120.27509706046</v>
      </c>
      <c r="I301" s="9">
        <f t="shared" si="36"/>
        <v>557.01425992402005</v>
      </c>
      <c r="J301" s="9">
        <f t="shared" si="37"/>
        <v>4067.7708118890096</v>
      </c>
      <c r="K301" s="9">
        <f t="shared" si="31"/>
        <v>557.01425992402005</v>
      </c>
      <c r="L301" s="10">
        <f t="shared" si="30"/>
        <v>0.13693354067441948</v>
      </c>
      <c r="M301" s="10">
        <f t="shared" si="38"/>
        <v>0.15119281709881702</v>
      </c>
      <c r="P301" s="8">
        <f t="shared" si="39"/>
        <v>19.274016358668785</v>
      </c>
    </row>
    <row r="302" spans="1:16" x14ac:dyDescent="0.2">
      <c r="A302" s="8">
        <v>150</v>
      </c>
      <c r="B302" s="8">
        <v>300</v>
      </c>
      <c r="D302">
        <v>4135.9739467849004</v>
      </c>
      <c r="E302">
        <v>674.84534368071002</v>
      </c>
      <c r="F302">
        <v>145.91403216860999</v>
      </c>
      <c r="G302">
        <v>119.90904048808</v>
      </c>
      <c r="I302" s="9">
        <f>E302-G302</f>
        <v>554.93630319263002</v>
      </c>
      <c r="J302" s="9">
        <f>D302-F302</f>
        <v>3990.0599146162904</v>
      </c>
      <c r="K302" s="9">
        <f t="shared" si="31"/>
        <v>554.93630319263002</v>
      </c>
      <c r="L302" s="10">
        <f t="shared" si="30"/>
        <v>0.13907969180106816</v>
      </c>
      <c r="M302" s="10">
        <f>L302+ABS($N$2)*A302</f>
        <v>0.1533866581131727</v>
      </c>
      <c r="O302" s="11"/>
      <c r="P302" s="8">
        <f>(M302-$O$2)/$O$2*100</f>
        <v>21.004708557250922</v>
      </c>
    </row>
    <row r="303" spans="1:16" x14ac:dyDescent="0.2">
      <c r="A303" s="8">
        <v>150.5</v>
      </c>
      <c r="B303" s="8">
        <v>301</v>
      </c>
      <c r="D303">
        <v>4050.6097560976</v>
      </c>
      <c r="E303">
        <v>664.77383592017998</v>
      </c>
      <c r="F303">
        <v>146.38935108153001</v>
      </c>
      <c r="G303">
        <v>119.95063782585</v>
      </c>
      <c r="I303" s="9">
        <f t="shared" ref="I303:I309" si="40">E303-G303</f>
        <v>544.82319809433</v>
      </c>
      <c r="J303" s="9">
        <f t="shared" ref="J303:J309" si="41">D303-F303</f>
        <v>3904.2204050160699</v>
      </c>
      <c r="K303" s="9">
        <f t="shared" si="31"/>
        <v>544.82319809433</v>
      </c>
      <c r="L303" s="10">
        <f t="shared" si="30"/>
        <v>0.13954724415515868</v>
      </c>
      <c r="M303" s="10">
        <f t="shared" ref="M303:M309" si="42">L303+ABS($N$2)*A303</f>
        <v>0.15390190035497026</v>
      </c>
      <c r="P303" s="8">
        <f t="shared" ref="P303:P309" si="43">(M303-$O$2)/$O$2*100</f>
        <v>21.411176356158805</v>
      </c>
    </row>
    <row r="304" spans="1:16" x14ac:dyDescent="0.2">
      <c r="A304" s="8">
        <v>151</v>
      </c>
      <c r="B304" s="8">
        <v>302</v>
      </c>
      <c r="D304">
        <v>4262.0824115043997</v>
      </c>
      <c r="E304">
        <v>684.89878318583999</v>
      </c>
      <c r="F304">
        <v>146.07043815863</v>
      </c>
      <c r="G304">
        <v>119.85745978924</v>
      </c>
      <c r="I304" s="9">
        <f t="shared" si="40"/>
        <v>565.04132339659998</v>
      </c>
      <c r="J304" s="9">
        <f t="shared" si="41"/>
        <v>4116.0119733457695</v>
      </c>
      <c r="K304" s="9">
        <f t="shared" si="31"/>
        <v>565.04132339659998</v>
      </c>
      <c r="L304" s="10">
        <f t="shared" si="30"/>
        <v>0.13727883374870181</v>
      </c>
      <c r="M304" s="10">
        <f t="shared" si="42"/>
        <v>0.1516811798362204</v>
      </c>
      <c r="N304" s="1"/>
      <c r="P304" s="8">
        <f t="shared" si="43"/>
        <v>19.659279271601644</v>
      </c>
    </row>
    <row r="305" spans="1:16" x14ac:dyDescent="0.2">
      <c r="A305" s="8">
        <v>151.5</v>
      </c>
      <c r="B305" s="8">
        <v>303</v>
      </c>
      <c r="D305">
        <v>4241.2909292035001</v>
      </c>
      <c r="E305">
        <v>679.99557522123996</v>
      </c>
      <c r="F305">
        <v>146.20022185247001</v>
      </c>
      <c r="G305">
        <v>120.14531336661</v>
      </c>
      <c r="I305" s="9">
        <f t="shared" si="40"/>
        <v>559.85026185462993</v>
      </c>
      <c r="J305" s="9">
        <f t="shared" si="41"/>
        <v>4095.0907073510302</v>
      </c>
      <c r="K305" s="9">
        <f t="shared" si="31"/>
        <v>559.85026185462993</v>
      </c>
      <c r="L305" s="10">
        <f t="shared" si="30"/>
        <v>0.13671254237412908</v>
      </c>
      <c r="M305" s="10">
        <f t="shared" si="42"/>
        <v>0.15116257834935468</v>
      </c>
      <c r="P305" s="8">
        <f t="shared" si="43"/>
        <v>19.250161408630518</v>
      </c>
    </row>
    <row r="306" spans="1:16" x14ac:dyDescent="0.2">
      <c r="A306" s="8">
        <v>152</v>
      </c>
      <c r="B306" s="8">
        <v>304</v>
      </c>
      <c r="D306">
        <v>4230.0320796460001</v>
      </c>
      <c r="E306">
        <v>675.28816371681</v>
      </c>
      <c r="F306">
        <v>146.49694952856001</v>
      </c>
      <c r="G306">
        <v>119.65834719911</v>
      </c>
      <c r="I306" s="9">
        <f t="shared" si="40"/>
        <v>555.62981651769996</v>
      </c>
      <c r="J306" s="9">
        <f t="shared" si="41"/>
        <v>4083.5351301174401</v>
      </c>
      <c r="K306" s="9">
        <f t="shared" si="31"/>
        <v>555.62981651769996</v>
      </c>
      <c r="L306" s="10">
        <f t="shared" si="30"/>
        <v>0.13606588380242987</v>
      </c>
      <c r="M306" s="10">
        <f t="shared" si="42"/>
        <v>0.15056360966536247</v>
      </c>
      <c r="P306" s="8">
        <f t="shared" si="43"/>
        <v>18.777642925387209</v>
      </c>
    </row>
    <row r="307" spans="1:16" x14ac:dyDescent="0.2">
      <c r="A307" s="8">
        <v>152.5</v>
      </c>
      <c r="B307" s="8">
        <v>305</v>
      </c>
      <c r="D307">
        <v>4302.0692904655998</v>
      </c>
      <c r="E307">
        <v>681.43070953436995</v>
      </c>
      <c r="F307">
        <v>146.27010537992001</v>
      </c>
      <c r="G307">
        <v>120.15307820300001</v>
      </c>
      <c r="I307" s="9">
        <f t="shared" si="40"/>
        <v>561.27763133137</v>
      </c>
      <c r="J307" s="9">
        <f t="shared" si="41"/>
        <v>4155.7991850856797</v>
      </c>
      <c r="K307" s="9">
        <f t="shared" si="31"/>
        <v>561.27763133137</v>
      </c>
      <c r="L307" s="10">
        <f t="shared" si="30"/>
        <v>0.13505889152336367</v>
      </c>
      <c r="M307" s="10">
        <f t="shared" si="42"/>
        <v>0.14960430727400328</v>
      </c>
      <c r="P307" s="8">
        <f t="shared" si="43"/>
        <v>18.020861939918149</v>
      </c>
    </row>
    <row r="308" spans="1:16" x14ac:dyDescent="0.2">
      <c r="A308" s="8">
        <v>153</v>
      </c>
      <c r="B308" s="8">
        <v>306</v>
      </c>
      <c r="D308">
        <v>4288.9866962305996</v>
      </c>
      <c r="E308">
        <v>681.00166297118005</v>
      </c>
      <c r="F308">
        <v>146.23682750971</v>
      </c>
      <c r="G308">
        <v>120.06156405989999</v>
      </c>
      <c r="I308" s="9">
        <f t="shared" si="40"/>
        <v>560.94009891128007</v>
      </c>
      <c r="J308" s="9">
        <f t="shared" si="41"/>
        <v>4142.7498687208899</v>
      </c>
      <c r="K308" s="9">
        <f t="shared" si="31"/>
        <v>560.94009891128007</v>
      </c>
      <c r="L308" s="10">
        <f t="shared" si="30"/>
        <v>0.13540284030821181</v>
      </c>
      <c r="M308" s="10">
        <f t="shared" si="42"/>
        <v>0.14999594594655846</v>
      </c>
      <c r="P308" s="8">
        <f t="shared" si="43"/>
        <v>18.329820515685032</v>
      </c>
    </row>
    <row r="309" spans="1:16" x14ac:dyDescent="0.2">
      <c r="A309" s="8">
        <v>153.5</v>
      </c>
      <c r="B309" s="8">
        <v>307</v>
      </c>
      <c r="D309">
        <v>4287.1402439023996</v>
      </c>
      <c r="E309">
        <v>679.30820399112997</v>
      </c>
      <c r="F309">
        <v>145.74764281752999</v>
      </c>
      <c r="G309">
        <v>120.08264004437</v>
      </c>
      <c r="I309" s="9">
        <f t="shared" si="40"/>
        <v>559.22556394675996</v>
      </c>
      <c r="J309" s="9">
        <f t="shared" si="41"/>
        <v>4141.39260108487</v>
      </c>
      <c r="K309" s="9">
        <f t="shared" si="31"/>
        <v>559.22556394675996</v>
      </c>
      <c r="L309" s="10">
        <f t="shared" si="30"/>
        <v>0.13503321655625369</v>
      </c>
      <c r="M309" s="10">
        <f t="shared" si="42"/>
        <v>0.14967401208230735</v>
      </c>
      <c r="P309" s="8">
        <f t="shared" si="43"/>
        <v>18.075851142483923</v>
      </c>
    </row>
    <row r="310" spans="1:16" x14ac:dyDescent="0.2">
      <c r="A310" s="8">
        <v>154</v>
      </c>
      <c r="B310" s="8">
        <v>308</v>
      </c>
      <c r="D310">
        <v>4290.8580931263996</v>
      </c>
      <c r="E310">
        <v>677.10310421285999</v>
      </c>
      <c r="F310">
        <v>146.08208541319999</v>
      </c>
      <c r="G310">
        <v>119.86134220743</v>
      </c>
      <c r="I310" s="9">
        <f>E310-G310</f>
        <v>557.24176200543002</v>
      </c>
      <c r="J310" s="9">
        <f>D310-F310</f>
        <v>4144.7760077131998</v>
      </c>
      <c r="K310" s="9">
        <f t="shared" si="31"/>
        <v>557.24176200543002</v>
      </c>
      <c r="L310" s="10">
        <f t="shared" si="30"/>
        <v>0.13444436103867466</v>
      </c>
      <c r="M310" s="10">
        <f>L310+ABS($N$2)*A310</f>
        <v>0.14913284645243532</v>
      </c>
      <c r="O310" s="11"/>
      <c r="P310" s="8">
        <f>(M310-$O$2)/$O$2*100</f>
        <v>17.648932725136635</v>
      </c>
    </row>
    <row r="311" spans="1:16" x14ac:dyDescent="0.2">
      <c r="A311" s="8">
        <v>154.5</v>
      </c>
      <c r="B311" s="8">
        <v>309</v>
      </c>
      <c r="D311">
        <v>4306.8991130820004</v>
      </c>
      <c r="E311">
        <v>677.87749445676002</v>
      </c>
      <c r="F311">
        <v>146.22351636162</v>
      </c>
      <c r="G311">
        <v>120.06322795341001</v>
      </c>
      <c r="I311" s="9">
        <f t="shared" ref="I311:I319" si="44">E311-G311</f>
        <v>557.81426650335004</v>
      </c>
      <c r="J311" s="9">
        <f t="shared" ref="J311:J319" si="45">D311-F311</f>
        <v>4160.6755967203808</v>
      </c>
      <c r="K311" s="9">
        <f t="shared" si="31"/>
        <v>557.81426650335004</v>
      </c>
      <c r="L311" s="10">
        <f t="shared" si="30"/>
        <v>0.13406819482466806</v>
      </c>
      <c r="M311" s="10">
        <f t="shared" ref="M311:M319" si="46">L311+ABS($N$2)*A311</f>
        <v>0.14880437012613573</v>
      </c>
      <c r="P311" s="8">
        <f t="shared" ref="P311:P319" si="47">(M311-$O$2)/$O$2*100</f>
        <v>17.389802090042465</v>
      </c>
    </row>
    <row r="312" spans="1:16" x14ac:dyDescent="0.2">
      <c r="A312" s="8">
        <v>155</v>
      </c>
      <c r="B312" s="8">
        <v>310</v>
      </c>
      <c r="D312">
        <v>4297.1219512195003</v>
      </c>
      <c r="E312">
        <v>677.32871396895996</v>
      </c>
      <c r="F312">
        <v>145.62451469773001</v>
      </c>
      <c r="G312">
        <v>119.72157515252</v>
      </c>
      <c r="I312" s="9">
        <f t="shared" si="44"/>
        <v>557.60713881643994</v>
      </c>
      <c r="J312" s="9">
        <f t="shared" si="45"/>
        <v>4151.4974365217704</v>
      </c>
      <c r="K312" s="9">
        <f t="shared" si="31"/>
        <v>557.60713881643994</v>
      </c>
      <c r="L312" s="10">
        <f t="shared" si="30"/>
        <v>0.13431470146435098</v>
      </c>
      <c r="M312" s="10">
        <f t="shared" si="46"/>
        <v>0.14909856665352569</v>
      </c>
      <c r="N312" s="1"/>
      <c r="P312" s="8">
        <f t="shared" si="47"/>
        <v>17.621889844566144</v>
      </c>
    </row>
    <row r="313" spans="1:16" x14ac:dyDescent="0.2">
      <c r="A313" s="8">
        <v>155.5</v>
      </c>
      <c r="B313" s="8">
        <v>311</v>
      </c>
      <c r="D313">
        <v>4292.7067627494998</v>
      </c>
      <c r="E313">
        <v>677.94179600887003</v>
      </c>
      <c r="F313">
        <v>145.86688851913999</v>
      </c>
      <c r="G313">
        <v>120.19079312257</v>
      </c>
      <c r="I313" s="9">
        <f t="shared" si="44"/>
        <v>557.75100288630006</v>
      </c>
      <c r="J313" s="9">
        <f t="shared" si="45"/>
        <v>4146.8398742303598</v>
      </c>
      <c r="K313" s="9">
        <f t="shared" si="31"/>
        <v>557.75100288630006</v>
      </c>
      <c r="L313" s="10">
        <f t="shared" si="30"/>
        <v>0.13450025074571195</v>
      </c>
      <c r="M313" s="10">
        <f t="shared" si="46"/>
        <v>0.14933180582259367</v>
      </c>
      <c r="P313" s="8">
        <f t="shared" si="47"/>
        <v>17.805889144273049</v>
      </c>
    </row>
    <row r="314" spans="1:16" x14ac:dyDescent="0.2">
      <c r="A314" s="8">
        <v>156</v>
      </c>
      <c r="B314" s="8">
        <v>312</v>
      </c>
      <c r="D314">
        <v>4294.6546563192996</v>
      </c>
      <c r="E314">
        <v>675.26940133037999</v>
      </c>
      <c r="F314">
        <v>145.95840266222999</v>
      </c>
      <c r="G314">
        <v>119.9234608985</v>
      </c>
      <c r="I314" s="9">
        <f t="shared" si="44"/>
        <v>555.34594043187997</v>
      </c>
      <c r="J314" s="9">
        <f t="shared" si="45"/>
        <v>4148.69625365707</v>
      </c>
      <c r="K314" s="9">
        <f t="shared" si="31"/>
        <v>555.34594043187997</v>
      </c>
      <c r="L314" s="10">
        <f t="shared" si="30"/>
        <v>0.13386035189786269</v>
      </c>
      <c r="M314" s="10">
        <f t="shared" si="46"/>
        <v>0.14873959686245142</v>
      </c>
      <c r="P314" s="8">
        <f t="shared" si="47"/>
        <v>17.338703317888243</v>
      </c>
    </row>
    <row r="315" spans="1:16" x14ac:dyDescent="0.2">
      <c r="A315" s="8">
        <v>156.5</v>
      </c>
      <c r="B315" s="8">
        <v>313</v>
      </c>
      <c r="D315">
        <v>4278.5715077605</v>
      </c>
      <c r="E315">
        <v>673.21175166296996</v>
      </c>
      <c r="F315">
        <v>145.56461453134</v>
      </c>
      <c r="G315">
        <v>119.64115363283</v>
      </c>
      <c r="I315" s="9">
        <f t="shared" si="44"/>
        <v>553.57059803013999</v>
      </c>
      <c r="J315" s="9">
        <f t="shared" si="45"/>
        <v>4133.0068932291597</v>
      </c>
      <c r="K315" s="9">
        <f t="shared" si="31"/>
        <v>553.57059803013999</v>
      </c>
      <c r="L315" s="10">
        <f t="shared" si="30"/>
        <v>0.13393894864705386</v>
      </c>
      <c r="M315" s="10">
        <f t="shared" si="46"/>
        <v>0.14886588349934959</v>
      </c>
      <c r="P315" s="8">
        <f t="shared" si="47"/>
        <v>17.438329177663245</v>
      </c>
    </row>
    <row r="316" spans="1:16" x14ac:dyDescent="0.2">
      <c r="A316" s="8">
        <v>157</v>
      </c>
      <c r="B316" s="8">
        <v>314</v>
      </c>
      <c r="D316">
        <v>4255.8580931263996</v>
      </c>
      <c r="E316">
        <v>670.99002217295003</v>
      </c>
      <c r="F316">
        <v>145.74376039933</v>
      </c>
      <c r="G316">
        <v>120.13255684969999</v>
      </c>
      <c r="I316" s="9">
        <f t="shared" si="44"/>
        <v>550.85746532325004</v>
      </c>
      <c r="J316" s="9">
        <f t="shared" si="45"/>
        <v>4110.1143327270693</v>
      </c>
      <c r="K316" s="9">
        <f t="shared" si="31"/>
        <v>550.85746532325004</v>
      </c>
      <c r="L316" s="10">
        <f t="shared" si="30"/>
        <v>0.1340248520429248</v>
      </c>
      <c r="M316" s="10">
        <f t="shared" si="46"/>
        <v>0.14899947678292758</v>
      </c>
      <c r="P316" s="8">
        <f t="shared" si="47"/>
        <v>17.543719154493125</v>
      </c>
    </row>
    <row r="317" spans="1:16" x14ac:dyDescent="0.2">
      <c r="A317" s="8">
        <v>157.5</v>
      </c>
      <c r="B317" s="8">
        <v>315</v>
      </c>
      <c r="D317">
        <v>4245.0587583148999</v>
      </c>
      <c r="E317">
        <v>666.89523281596996</v>
      </c>
      <c r="F317">
        <v>146.08707709372999</v>
      </c>
      <c r="G317">
        <v>119.99722684415001</v>
      </c>
      <c r="I317" s="9">
        <f t="shared" si="44"/>
        <v>546.89800597182</v>
      </c>
      <c r="J317" s="9">
        <f t="shared" si="45"/>
        <v>4098.97168122117</v>
      </c>
      <c r="K317" s="9">
        <f t="shared" si="31"/>
        <v>546.89800597182</v>
      </c>
      <c r="L317" s="10">
        <f t="shared" si="30"/>
        <v>0.13342322135996987</v>
      </c>
      <c r="M317" s="10">
        <f t="shared" si="46"/>
        <v>0.14844553598767965</v>
      </c>
      <c r="P317" s="8">
        <f t="shared" si="47"/>
        <v>17.106722577923268</v>
      </c>
    </row>
    <row r="318" spans="1:16" x14ac:dyDescent="0.2">
      <c r="A318" s="8">
        <v>158</v>
      </c>
      <c r="B318" s="8">
        <v>316</v>
      </c>
      <c r="D318">
        <v>4243.6607538803</v>
      </c>
      <c r="E318">
        <v>666.38248337028995</v>
      </c>
      <c r="F318">
        <v>145.87631724903</v>
      </c>
      <c r="G318">
        <v>119.93788130893</v>
      </c>
      <c r="I318" s="9">
        <f t="shared" si="44"/>
        <v>546.44460206136</v>
      </c>
      <c r="J318" s="9">
        <f t="shared" si="45"/>
        <v>4097.7844366312702</v>
      </c>
      <c r="K318" s="9">
        <f t="shared" si="31"/>
        <v>546.44460206136</v>
      </c>
      <c r="L318" s="10">
        <f t="shared" si="30"/>
        <v>0.13335123174770616</v>
      </c>
      <c r="M318" s="10">
        <f t="shared" si="46"/>
        <v>0.14842123626312295</v>
      </c>
      <c r="P318" s="8">
        <f t="shared" si="47"/>
        <v>17.087552846186661</v>
      </c>
    </row>
    <row r="319" spans="1:16" x14ac:dyDescent="0.2">
      <c r="A319" s="8">
        <v>158.5</v>
      </c>
      <c r="B319" s="8">
        <v>317</v>
      </c>
      <c r="D319">
        <v>4259.6158536584999</v>
      </c>
      <c r="E319">
        <v>668.43736141907004</v>
      </c>
      <c r="F319">
        <v>145.82529118136</v>
      </c>
      <c r="G319">
        <v>119.92235163616</v>
      </c>
      <c r="I319" s="9">
        <f t="shared" si="44"/>
        <v>548.51500978291006</v>
      </c>
      <c r="J319" s="9">
        <f t="shared" si="45"/>
        <v>4113.7905624771402</v>
      </c>
      <c r="K319" s="9">
        <f t="shared" si="31"/>
        <v>548.51500978291006</v>
      </c>
      <c r="L319" s="10">
        <f t="shared" si="30"/>
        <v>0.13333566730062674</v>
      </c>
      <c r="M319" s="10">
        <f t="shared" si="46"/>
        <v>0.14845336170375054</v>
      </c>
      <c r="P319" s="8">
        <f t="shared" si="47"/>
        <v>17.112896181964572</v>
      </c>
    </row>
    <row r="320" spans="1:16" x14ac:dyDescent="0.2">
      <c r="A320" s="8">
        <v>159</v>
      </c>
      <c r="B320" s="8">
        <v>318</v>
      </c>
      <c r="D320">
        <v>4272.2937915742996</v>
      </c>
      <c r="E320">
        <v>673.64301552105997</v>
      </c>
      <c r="F320">
        <v>146.01442041043001</v>
      </c>
      <c r="G320">
        <v>119.57293399888999</v>
      </c>
      <c r="I320" s="9">
        <f>E320-G320</f>
        <v>554.07008152216997</v>
      </c>
      <c r="J320" s="9">
        <f>D320-F320</f>
        <v>4126.2793711638697</v>
      </c>
      <c r="K320" s="9">
        <f t="shared" si="31"/>
        <v>554.07008152216997</v>
      </c>
      <c r="L320" s="10">
        <f t="shared" si="30"/>
        <v>0.13427837324691067</v>
      </c>
      <c r="M320" s="10">
        <f>L320+ABS($N$2)*A320</f>
        <v>0.14944375753774147</v>
      </c>
      <c r="O320" s="11"/>
      <c r="P320" s="8">
        <f>(M320-$O$2)/$O$2*100</f>
        <v>17.894206373623913</v>
      </c>
    </row>
    <row r="321" spans="1:16" x14ac:dyDescent="0.2">
      <c r="A321" s="8">
        <v>159.5</v>
      </c>
      <c r="B321" s="8">
        <v>319</v>
      </c>
      <c r="D321">
        <v>4260.5099778270996</v>
      </c>
      <c r="E321">
        <v>666.28492239468005</v>
      </c>
      <c r="F321">
        <v>145.51081530782</v>
      </c>
      <c r="G321">
        <v>120.02273987798</v>
      </c>
      <c r="I321" s="9">
        <f t="shared" ref="I321" si="48">E321-G321</f>
        <v>546.26218251670002</v>
      </c>
      <c r="J321" s="9">
        <f t="shared" ref="J321" si="49">D321-F321</f>
        <v>4114.9991625192797</v>
      </c>
      <c r="K321" s="9">
        <f t="shared" si="31"/>
        <v>546.26218251670002</v>
      </c>
      <c r="L321" s="10">
        <f t="shared" si="30"/>
        <v>0.13274903856414591</v>
      </c>
      <c r="M321" s="10">
        <f t="shared" ref="M321" si="50">L321+ABS($N$2)*A321</f>
        <v>0.14796211274268375</v>
      </c>
      <c r="P321" s="8">
        <f t="shared" ref="P321" si="51">(M321-$O$2)/$O$2*100</f>
        <v>16.72535636530673</v>
      </c>
    </row>
    <row r="322" spans="1:16" x14ac:dyDescent="0.2">
      <c r="A322" s="8">
        <v>160</v>
      </c>
      <c r="B322" s="8">
        <v>320</v>
      </c>
      <c r="D322">
        <v>4235.3303769401</v>
      </c>
      <c r="E322">
        <v>661.51441241684995</v>
      </c>
      <c r="F322">
        <v>145.85080421519999</v>
      </c>
      <c r="G322">
        <v>119.70826400444</v>
      </c>
      <c r="I322" s="9">
        <f>E322-G322</f>
        <v>541.80614841240993</v>
      </c>
      <c r="J322" s="9">
        <f>D322-F322</f>
        <v>4089.4795727249002</v>
      </c>
      <c r="K322" s="9">
        <f t="shared" si="31"/>
        <v>541.80614841240993</v>
      </c>
      <c r="L322" s="10">
        <f t="shared" ref="L322" si="52">K322/J322</f>
        <v>0.13248779918746334</v>
      </c>
      <c r="M322" s="10">
        <f>L322+ABS($N$2)*A322</f>
        <v>0.14774856325370819</v>
      </c>
      <c r="O322" s="11"/>
      <c r="P322" s="8">
        <f>(M322-$O$2)/$O$2*100</f>
        <v>16.556889994150957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240806B001</vt:lpstr>
      <vt:lpstr>240806B002</vt:lpstr>
      <vt:lpstr>240806B005</vt:lpstr>
      <vt:lpstr>240806B006</vt:lpstr>
      <vt:lpstr>240806B007</vt:lpstr>
      <vt:lpstr>240806B008</vt:lpstr>
      <vt:lpstr>240806B009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2024-08-07T06:53:09Z</dcterms:modified>
</cp:coreProperties>
</file>