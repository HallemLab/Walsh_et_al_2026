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eannawalsh/Documents/UCLA :: 2019-2027/Hallem Lab/Data/Calcium Imaging Data/Ss iL3s - URX/2024-0807/"/>
    </mc:Choice>
  </mc:AlternateContent>
  <xr:revisionPtr revIDLastSave="0" documentId="13_ncr:1_{2E1FB442-B6F4-2A49-960B-0C8B01AF334F}" xr6:coauthVersionLast="47" xr6:coauthVersionMax="47" xr10:uidLastSave="{00000000-0000-0000-0000-000000000000}"/>
  <bookViews>
    <workbookView xWindow="740" yWindow="500" windowWidth="28060" windowHeight="15620" activeTab="5" xr2:uid="{703F31A7-3FB6-4B05-8EA8-379C6E25ED1D}"/>
  </bookViews>
  <sheets>
    <sheet name="240807B008" sheetId="1" r:id="rId1"/>
    <sheet name="240807B009" sheetId="2" r:id="rId2"/>
    <sheet name="240807B011" sheetId="3" r:id="rId3"/>
    <sheet name="240807B012" sheetId="4" r:id="rId4"/>
    <sheet name="240807B014" sheetId="5" r:id="rId5"/>
    <sheet name="240807B015" sheetId="6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22" i="6" l="1"/>
  <c r="I322" i="6"/>
  <c r="K322" i="6" s="1"/>
  <c r="L322" i="6" s="1"/>
  <c r="J321" i="6"/>
  <c r="I321" i="6"/>
  <c r="K321" i="6" s="1"/>
  <c r="L321" i="6" s="1"/>
  <c r="J320" i="6"/>
  <c r="I320" i="6"/>
  <c r="K320" i="6" s="1"/>
  <c r="L320" i="6" s="1"/>
  <c r="V102" i="6" s="1"/>
  <c r="J319" i="6"/>
  <c r="I319" i="6"/>
  <c r="K319" i="6" s="1"/>
  <c r="J318" i="6"/>
  <c r="I318" i="6"/>
  <c r="K318" i="6" s="1"/>
  <c r="J317" i="6"/>
  <c r="I317" i="6"/>
  <c r="K317" i="6" s="1"/>
  <c r="L317" i="6" s="1"/>
  <c r="V99" i="6" s="1"/>
  <c r="J316" i="6"/>
  <c r="I316" i="6"/>
  <c r="K316" i="6" s="1"/>
  <c r="L316" i="6" s="1"/>
  <c r="V98" i="6" s="1"/>
  <c r="J315" i="6"/>
  <c r="I315" i="6"/>
  <c r="K315" i="6" s="1"/>
  <c r="J314" i="6"/>
  <c r="I314" i="6"/>
  <c r="K314" i="6" s="1"/>
  <c r="J313" i="6"/>
  <c r="I313" i="6"/>
  <c r="K313" i="6" s="1"/>
  <c r="L313" i="6" s="1"/>
  <c r="J312" i="6"/>
  <c r="I312" i="6"/>
  <c r="K312" i="6" s="1"/>
  <c r="J311" i="6"/>
  <c r="I311" i="6"/>
  <c r="K311" i="6" s="1"/>
  <c r="J310" i="6"/>
  <c r="I310" i="6"/>
  <c r="K310" i="6" s="1"/>
  <c r="J309" i="6"/>
  <c r="I309" i="6"/>
  <c r="K309" i="6" s="1"/>
  <c r="J308" i="6"/>
  <c r="I308" i="6"/>
  <c r="K308" i="6" s="1"/>
  <c r="L308" i="6" s="1"/>
  <c r="V90" i="6" s="1"/>
  <c r="J307" i="6"/>
  <c r="I307" i="6"/>
  <c r="K307" i="6" s="1"/>
  <c r="J306" i="6"/>
  <c r="I306" i="6"/>
  <c r="K306" i="6" s="1"/>
  <c r="L306" i="6" s="1"/>
  <c r="J305" i="6"/>
  <c r="I305" i="6"/>
  <c r="K305" i="6" s="1"/>
  <c r="L305" i="6" s="1"/>
  <c r="V87" i="6" s="1"/>
  <c r="J304" i="6"/>
  <c r="I304" i="6"/>
  <c r="K304" i="6" s="1"/>
  <c r="L304" i="6" s="1"/>
  <c r="V86" i="6" s="1"/>
  <c r="J303" i="6"/>
  <c r="I303" i="6"/>
  <c r="K303" i="6" s="1"/>
  <c r="L303" i="6" s="1"/>
  <c r="V85" i="6" s="1"/>
  <c r="J302" i="6"/>
  <c r="I302" i="6"/>
  <c r="K302" i="6" s="1"/>
  <c r="L302" i="6" s="1"/>
  <c r="V84" i="6" s="1"/>
  <c r="J301" i="6"/>
  <c r="I301" i="6"/>
  <c r="K301" i="6" s="1"/>
  <c r="J300" i="6"/>
  <c r="I300" i="6"/>
  <c r="K300" i="6" s="1"/>
  <c r="L300" i="6" s="1"/>
  <c r="J299" i="6"/>
  <c r="I299" i="6"/>
  <c r="K299" i="6" s="1"/>
  <c r="L299" i="6" s="1"/>
  <c r="J298" i="6"/>
  <c r="I298" i="6"/>
  <c r="K298" i="6" s="1"/>
  <c r="L298" i="6" s="1"/>
  <c r="J297" i="6"/>
  <c r="I297" i="6"/>
  <c r="K297" i="6" s="1"/>
  <c r="J296" i="6"/>
  <c r="I296" i="6"/>
  <c r="K296" i="6" s="1"/>
  <c r="L296" i="6" s="1"/>
  <c r="J295" i="6"/>
  <c r="I295" i="6"/>
  <c r="K295" i="6" s="1"/>
  <c r="L295" i="6" s="1"/>
  <c r="J294" i="6"/>
  <c r="I294" i="6"/>
  <c r="K294" i="6" s="1"/>
  <c r="J293" i="6"/>
  <c r="I293" i="6"/>
  <c r="K293" i="6" s="1"/>
  <c r="J292" i="6"/>
  <c r="I292" i="6"/>
  <c r="K292" i="6" s="1"/>
  <c r="L292" i="6" s="1"/>
  <c r="J291" i="6"/>
  <c r="I291" i="6"/>
  <c r="K291" i="6" s="1"/>
  <c r="J290" i="6"/>
  <c r="I290" i="6"/>
  <c r="K290" i="6" s="1"/>
  <c r="L290" i="6" s="1"/>
  <c r="J289" i="6"/>
  <c r="I289" i="6"/>
  <c r="K289" i="6" s="1"/>
  <c r="L289" i="6" s="1"/>
  <c r="J288" i="6"/>
  <c r="I288" i="6"/>
  <c r="K288" i="6" s="1"/>
  <c r="J287" i="6"/>
  <c r="I287" i="6"/>
  <c r="K287" i="6" s="1"/>
  <c r="J286" i="6"/>
  <c r="I286" i="6"/>
  <c r="K286" i="6" s="1"/>
  <c r="J285" i="6"/>
  <c r="I285" i="6"/>
  <c r="K285" i="6" s="1"/>
  <c r="J284" i="6"/>
  <c r="I284" i="6"/>
  <c r="K284" i="6" s="1"/>
  <c r="L284" i="6" s="1"/>
  <c r="J283" i="6"/>
  <c r="I283" i="6"/>
  <c r="K283" i="6" s="1"/>
  <c r="J282" i="6"/>
  <c r="I282" i="6"/>
  <c r="K282" i="6" s="1"/>
  <c r="J281" i="6"/>
  <c r="I281" i="6"/>
  <c r="K281" i="6" s="1"/>
  <c r="J280" i="6"/>
  <c r="I280" i="6"/>
  <c r="K280" i="6" s="1"/>
  <c r="L280" i="6" s="1"/>
  <c r="J279" i="6"/>
  <c r="I279" i="6"/>
  <c r="K279" i="6" s="1"/>
  <c r="J278" i="6"/>
  <c r="I278" i="6"/>
  <c r="K278" i="6" s="1"/>
  <c r="J277" i="6"/>
  <c r="I277" i="6"/>
  <c r="K277" i="6" s="1"/>
  <c r="L277" i="6" s="1"/>
  <c r="J276" i="6"/>
  <c r="I276" i="6"/>
  <c r="K276" i="6" s="1"/>
  <c r="L276" i="6" s="1"/>
  <c r="J275" i="6"/>
  <c r="I275" i="6"/>
  <c r="K275" i="6" s="1"/>
  <c r="J274" i="6"/>
  <c r="I274" i="6"/>
  <c r="K274" i="6" s="1"/>
  <c r="J273" i="6"/>
  <c r="I273" i="6"/>
  <c r="K273" i="6" s="1"/>
  <c r="L273" i="6" s="1"/>
  <c r="J272" i="6"/>
  <c r="I272" i="6"/>
  <c r="K272" i="6" s="1"/>
  <c r="J271" i="6"/>
  <c r="I271" i="6"/>
  <c r="K271" i="6" s="1"/>
  <c r="J270" i="6"/>
  <c r="I270" i="6"/>
  <c r="K270" i="6" s="1"/>
  <c r="J269" i="6"/>
  <c r="I269" i="6"/>
  <c r="K269" i="6" s="1"/>
  <c r="J268" i="6"/>
  <c r="I268" i="6"/>
  <c r="K268" i="6" s="1"/>
  <c r="J267" i="6"/>
  <c r="I267" i="6"/>
  <c r="K267" i="6" s="1"/>
  <c r="J266" i="6"/>
  <c r="I266" i="6"/>
  <c r="K266" i="6" s="1"/>
  <c r="J265" i="6"/>
  <c r="I265" i="6"/>
  <c r="K265" i="6" s="1"/>
  <c r="J264" i="6"/>
  <c r="I264" i="6"/>
  <c r="K264" i="6" s="1"/>
  <c r="J263" i="6"/>
  <c r="I263" i="6"/>
  <c r="K263" i="6" s="1"/>
  <c r="J262" i="6"/>
  <c r="I262" i="6"/>
  <c r="K262" i="6" s="1"/>
  <c r="J261" i="6"/>
  <c r="I261" i="6"/>
  <c r="K261" i="6" s="1"/>
  <c r="J260" i="6"/>
  <c r="I260" i="6"/>
  <c r="K260" i="6" s="1"/>
  <c r="J259" i="6"/>
  <c r="I259" i="6"/>
  <c r="K259" i="6" s="1"/>
  <c r="J258" i="6"/>
  <c r="I258" i="6"/>
  <c r="K258" i="6" s="1"/>
  <c r="J257" i="6"/>
  <c r="I257" i="6"/>
  <c r="K257" i="6" s="1"/>
  <c r="L257" i="6" s="1"/>
  <c r="J256" i="6"/>
  <c r="I256" i="6"/>
  <c r="K256" i="6" s="1"/>
  <c r="J255" i="6"/>
  <c r="I255" i="6"/>
  <c r="K255" i="6" s="1"/>
  <c r="L255" i="6" s="1"/>
  <c r="J254" i="6"/>
  <c r="I254" i="6"/>
  <c r="K254" i="6" s="1"/>
  <c r="L254" i="6" s="1"/>
  <c r="J253" i="6"/>
  <c r="I253" i="6"/>
  <c r="K253" i="6" s="1"/>
  <c r="J252" i="6"/>
  <c r="I252" i="6"/>
  <c r="K252" i="6" s="1"/>
  <c r="J251" i="6"/>
  <c r="I251" i="6"/>
  <c r="K251" i="6" s="1"/>
  <c r="L251" i="6" s="1"/>
  <c r="J250" i="6"/>
  <c r="I250" i="6"/>
  <c r="K250" i="6" s="1"/>
  <c r="L250" i="6" s="1"/>
  <c r="J249" i="6"/>
  <c r="I249" i="6"/>
  <c r="K249" i="6" s="1"/>
  <c r="L249" i="6" s="1"/>
  <c r="J248" i="6"/>
  <c r="I248" i="6"/>
  <c r="K248" i="6" s="1"/>
  <c r="J247" i="6"/>
  <c r="I247" i="6"/>
  <c r="K247" i="6" s="1"/>
  <c r="L247" i="6" s="1"/>
  <c r="J246" i="6"/>
  <c r="I246" i="6"/>
  <c r="K246" i="6" s="1"/>
  <c r="L246" i="6" s="1"/>
  <c r="J245" i="6"/>
  <c r="I245" i="6"/>
  <c r="K245" i="6" s="1"/>
  <c r="L245" i="6" s="1"/>
  <c r="K244" i="6"/>
  <c r="J244" i="6"/>
  <c r="I244" i="6"/>
  <c r="J243" i="6"/>
  <c r="I243" i="6"/>
  <c r="K243" i="6" s="1"/>
  <c r="J242" i="6"/>
  <c r="I242" i="6"/>
  <c r="K242" i="6" s="1"/>
  <c r="J241" i="6"/>
  <c r="I241" i="6"/>
  <c r="K241" i="6" s="1"/>
  <c r="J240" i="6"/>
  <c r="I240" i="6"/>
  <c r="K240" i="6" s="1"/>
  <c r="J239" i="6"/>
  <c r="I239" i="6"/>
  <c r="K239" i="6" s="1"/>
  <c r="J238" i="6"/>
  <c r="I238" i="6"/>
  <c r="K238" i="6" s="1"/>
  <c r="L238" i="6" s="1"/>
  <c r="J237" i="6"/>
  <c r="I237" i="6"/>
  <c r="K237" i="6" s="1"/>
  <c r="J236" i="6"/>
  <c r="I236" i="6"/>
  <c r="K236" i="6" s="1"/>
  <c r="J235" i="6"/>
  <c r="I235" i="6"/>
  <c r="K235" i="6" s="1"/>
  <c r="J234" i="6"/>
  <c r="I234" i="6"/>
  <c r="K234" i="6" s="1"/>
  <c r="L234" i="6" s="1"/>
  <c r="J233" i="6"/>
  <c r="I233" i="6"/>
  <c r="K233" i="6" s="1"/>
  <c r="J232" i="6"/>
  <c r="I232" i="6"/>
  <c r="K232" i="6" s="1"/>
  <c r="J231" i="6"/>
  <c r="I231" i="6"/>
  <c r="K231" i="6" s="1"/>
  <c r="J230" i="6"/>
  <c r="I230" i="6"/>
  <c r="K230" i="6" s="1"/>
  <c r="L230" i="6" s="1"/>
  <c r="J229" i="6"/>
  <c r="I229" i="6"/>
  <c r="K229" i="6" s="1"/>
  <c r="J228" i="6"/>
  <c r="I228" i="6"/>
  <c r="K228" i="6" s="1"/>
  <c r="J227" i="6"/>
  <c r="I227" i="6"/>
  <c r="K227" i="6" s="1"/>
  <c r="J226" i="6"/>
  <c r="I226" i="6"/>
  <c r="K226" i="6" s="1"/>
  <c r="J225" i="6"/>
  <c r="I225" i="6"/>
  <c r="K225" i="6" s="1"/>
  <c r="J224" i="6"/>
  <c r="I224" i="6"/>
  <c r="K224" i="6" s="1"/>
  <c r="J223" i="6"/>
  <c r="I223" i="6"/>
  <c r="K223" i="6" s="1"/>
  <c r="J222" i="6"/>
  <c r="I222" i="6"/>
  <c r="K222" i="6" s="1"/>
  <c r="L222" i="6" s="1"/>
  <c r="J221" i="6"/>
  <c r="I221" i="6"/>
  <c r="K221" i="6" s="1"/>
  <c r="J220" i="6"/>
  <c r="I220" i="6"/>
  <c r="K220" i="6" s="1"/>
  <c r="J219" i="6"/>
  <c r="I219" i="6"/>
  <c r="K219" i="6" s="1"/>
  <c r="L219" i="6" s="1"/>
  <c r="J218" i="6"/>
  <c r="I218" i="6"/>
  <c r="K218" i="6" s="1"/>
  <c r="L218" i="6" s="1"/>
  <c r="J217" i="6"/>
  <c r="I217" i="6"/>
  <c r="K217" i="6" s="1"/>
  <c r="J216" i="6"/>
  <c r="I216" i="6"/>
  <c r="K216" i="6" s="1"/>
  <c r="J215" i="6"/>
  <c r="I215" i="6"/>
  <c r="K215" i="6" s="1"/>
  <c r="L215" i="6" s="1"/>
  <c r="J214" i="6"/>
  <c r="I214" i="6"/>
  <c r="K214" i="6" s="1"/>
  <c r="L214" i="6" s="1"/>
  <c r="J213" i="6"/>
  <c r="I213" i="6"/>
  <c r="K213" i="6" s="1"/>
  <c r="J212" i="6"/>
  <c r="I212" i="6"/>
  <c r="K212" i="6" s="1"/>
  <c r="J211" i="6"/>
  <c r="I211" i="6"/>
  <c r="K211" i="6" s="1"/>
  <c r="J210" i="6"/>
  <c r="I210" i="6"/>
  <c r="K210" i="6" s="1"/>
  <c r="J209" i="6"/>
  <c r="I209" i="6"/>
  <c r="K209" i="6" s="1"/>
  <c r="J208" i="6"/>
  <c r="I208" i="6"/>
  <c r="K208" i="6" s="1"/>
  <c r="J207" i="6"/>
  <c r="I207" i="6"/>
  <c r="K207" i="6" s="1"/>
  <c r="J206" i="6"/>
  <c r="I206" i="6"/>
  <c r="K206" i="6" s="1"/>
  <c r="J205" i="6"/>
  <c r="I205" i="6"/>
  <c r="K205" i="6" s="1"/>
  <c r="L205" i="6" s="1"/>
  <c r="J204" i="6"/>
  <c r="I204" i="6"/>
  <c r="K204" i="6" s="1"/>
  <c r="J203" i="6"/>
  <c r="I203" i="6"/>
  <c r="K203" i="6" s="1"/>
  <c r="J202" i="6"/>
  <c r="I202" i="6"/>
  <c r="K202" i="6" s="1"/>
  <c r="J201" i="6"/>
  <c r="I201" i="6"/>
  <c r="K201" i="6" s="1"/>
  <c r="J200" i="6"/>
  <c r="I200" i="6"/>
  <c r="K200" i="6" s="1"/>
  <c r="L200" i="6" s="1"/>
  <c r="J199" i="6"/>
  <c r="I199" i="6"/>
  <c r="K199" i="6" s="1"/>
  <c r="J198" i="6"/>
  <c r="I198" i="6"/>
  <c r="K198" i="6" s="1"/>
  <c r="L198" i="6" s="1"/>
  <c r="J197" i="6"/>
  <c r="I197" i="6"/>
  <c r="K197" i="6" s="1"/>
  <c r="L197" i="6" s="1"/>
  <c r="J196" i="6"/>
  <c r="I196" i="6"/>
  <c r="K196" i="6" s="1"/>
  <c r="L196" i="6" s="1"/>
  <c r="J195" i="6"/>
  <c r="I195" i="6"/>
  <c r="K195" i="6" s="1"/>
  <c r="J194" i="6"/>
  <c r="I194" i="6"/>
  <c r="K194" i="6" s="1"/>
  <c r="J193" i="6"/>
  <c r="I193" i="6"/>
  <c r="K193" i="6" s="1"/>
  <c r="L193" i="6" s="1"/>
  <c r="J192" i="6"/>
  <c r="I192" i="6"/>
  <c r="K192" i="6" s="1"/>
  <c r="L192" i="6" s="1"/>
  <c r="J191" i="6"/>
  <c r="I191" i="6"/>
  <c r="K191" i="6" s="1"/>
  <c r="J190" i="6"/>
  <c r="I190" i="6"/>
  <c r="K190" i="6" s="1"/>
  <c r="J189" i="6"/>
  <c r="I189" i="6"/>
  <c r="K189" i="6" s="1"/>
  <c r="L189" i="6" s="1"/>
  <c r="J188" i="6"/>
  <c r="I188" i="6"/>
  <c r="K188" i="6" s="1"/>
  <c r="J187" i="6"/>
  <c r="I187" i="6"/>
  <c r="K187" i="6" s="1"/>
  <c r="J186" i="6"/>
  <c r="I186" i="6"/>
  <c r="K186" i="6" s="1"/>
  <c r="J185" i="6"/>
  <c r="I185" i="6"/>
  <c r="K185" i="6" s="1"/>
  <c r="L185" i="6" s="1"/>
  <c r="J184" i="6"/>
  <c r="I184" i="6"/>
  <c r="K184" i="6" s="1"/>
  <c r="L184" i="6" s="1"/>
  <c r="J183" i="6"/>
  <c r="I183" i="6"/>
  <c r="K183" i="6" s="1"/>
  <c r="L183" i="6" s="1"/>
  <c r="J182" i="6"/>
  <c r="I182" i="6"/>
  <c r="K182" i="6" s="1"/>
  <c r="J181" i="6"/>
  <c r="I181" i="6"/>
  <c r="K181" i="6" s="1"/>
  <c r="L181" i="6" s="1"/>
  <c r="J180" i="6"/>
  <c r="I180" i="6"/>
  <c r="K180" i="6" s="1"/>
  <c r="L180" i="6" s="1"/>
  <c r="J179" i="6"/>
  <c r="I179" i="6"/>
  <c r="K179" i="6" s="1"/>
  <c r="J178" i="6"/>
  <c r="I178" i="6"/>
  <c r="K178" i="6" s="1"/>
  <c r="J177" i="6"/>
  <c r="I177" i="6"/>
  <c r="K177" i="6" s="1"/>
  <c r="J176" i="6"/>
  <c r="I176" i="6"/>
  <c r="K176" i="6" s="1"/>
  <c r="J175" i="6"/>
  <c r="I175" i="6"/>
  <c r="K175" i="6" s="1"/>
  <c r="L175" i="6" s="1"/>
  <c r="J174" i="6"/>
  <c r="I174" i="6"/>
  <c r="K174" i="6" s="1"/>
  <c r="J173" i="6"/>
  <c r="I173" i="6"/>
  <c r="K173" i="6" s="1"/>
  <c r="L173" i="6" s="1"/>
  <c r="J172" i="6"/>
  <c r="I172" i="6"/>
  <c r="K172" i="6" s="1"/>
  <c r="L172" i="6" s="1"/>
  <c r="J171" i="6"/>
  <c r="I171" i="6"/>
  <c r="K171" i="6" s="1"/>
  <c r="L171" i="6" s="1"/>
  <c r="J170" i="6"/>
  <c r="I170" i="6"/>
  <c r="K170" i="6" s="1"/>
  <c r="L170" i="6" s="1"/>
  <c r="K169" i="6"/>
  <c r="J169" i="6"/>
  <c r="I169" i="6"/>
  <c r="J168" i="6"/>
  <c r="I168" i="6"/>
  <c r="K168" i="6" s="1"/>
  <c r="J167" i="6"/>
  <c r="I167" i="6"/>
  <c r="K167" i="6" s="1"/>
  <c r="J166" i="6"/>
  <c r="I166" i="6"/>
  <c r="K166" i="6" s="1"/>
  <c r="J165" i="6"/>
  <c r="I165" i="6"/>
  <c r="K165" i="6" s="1"/>
  <c r="J164" i="6"/>
  <c r="I164" i="6"/>
  <c r="K164" i="6" s="1"/>
  <c r="J163" i="6"/>
  <c r="I163" i="6"/>
  <c r="K163" i="6" s="1"/>
  <c r="J162" i="6"/>
  <c r="I162" i="6"/>
  <c r="K162" i="6" s="1"/>
  <c r="J161" i="6"/>
  <c r="I161" i="6"/>
  <c r="K161" i="6" s="1"/>
  <c r="J160" i="6"/>
  <c r="I160" i="6"/>
  <c r="K160" i="6" s="1"/>
  <c r="L160" i="6" s="1"/>
  <c r="J159" i="6"/>
  <c r="I159" i="6"/>
  <c r="K159" i="6" s="1"/>
  <c r="J158" i="6"/>
  <c r="I158" i="6"/>
  <c r="K158" i="6" s="1"/>
  <c r="J157" i="6"/>
  <c r="I157" i="6"/>
  <c r="K157" i="6" s="1"/>
  <c r="J156" i="6"/>
  <c r="I156" i="6"/>
  <c r="K156" i="6" s="1"/>
  <c r="L156" i="6" s="1"/>
  <c r="J155" i="6"/>
  <c r="I155" i="6"/>
  <c r="K155" i="6" s="1"/>
  <c r="J154" i="6"/>
  <c r="I154" i="6"/>
  <c r="K154" i="6" s="1"/>
  <c r="L154" i="6" s="1"/>
  <c r="J153" i="6"/>
  <c r="I153" i="6"/>
  <c r="K153" i="6" s="1"/>
  <c r="J152" i="6"/>
  <c r="I152" i="6"/>
  <c r="K152" i="6" s="1"/>
  <c r="L152" i="6" s="1"/>
  <c r="J151" i="6"/>
  <c r="I151" i="6"/>
  <c r="K151" i="6" s="1"/>
  <c r="J150" i="6"/>
  <c r="I150" i="6"/>
  <c r="K150" i="6" s="1"/>
  <c r="L150" i="6" s="1"/>
  <c r="J149" i="6"/>
  <c r="I149" i="6"/>
  <c r="K149" i="6" s="1"/>
  <c r="J148" i="6"/>
  <c r="I148" i="6"/>
  <c r="K148" i="6" s="1"/>
  <c r="J147" i="6"/>
  <c r="I147" i="6"/>
  <c r="K147" i="6" s="1"/>
  <c r="J146" i="6"/>
  <c r="I146" i="6"/>
  <c r="K146" i="6" s="1"/>
  <c r="L146" i="6" s="1"/>
  <c r="J145" i="6"/>
  <c r="I145" i="6"/>
  <c r="K145" i="6" s="1"/>
  <c r="J144" i="6"/>
  <c r="I144" i="6"/>
  <c r="K144" i="6" s="1"/>
  <c r="J143" i="6"/>
  <c r="I143" i="6"/>
  <c r="K143" i="6" s="1"/>
  <c r="J142" i="6"/>
  <c r="I142" i="6"/>
  <c r="K142" i="6" s="1"/>
  <c r="L142" i="6" s="1"/>
  <c r="J141" i="6"/>
  <c r="I141" i="6"/>
  <c r="K141" i="6" s="1"/>
  <c r="J140" i="6"/>
  <c r="I140" i="6"/>
  <c r="K140" i="6" s="1"/>
  <c r="L140" i="6" s="1"/>
  <c r="J139" i="6"/>
  <c r="I139" i="6"/>
  <c r="K139" i="6" s="1"/>
  <c r="J138" i="6"/>
  <c r="I138" i="6"/>
  <c r="K138" i="6" s="1"/>
  <c r="L138" i="6" s="1"/>
  <c r="J137" i="6"/>
  <c r="I137" i="6"/>
  <c r="K137" i="6" s="1"/>
  <c r="J136" i="6"/>
  <c r="I136" i="6"/>
  <c r="K136" i="6" s="1"/>
  <c r="L136" i="6" s="1"/>
  <c r="J135" i="6"/>
  <c r="I135" i="6"/>
  <c r="K135" i="6" s="1"/>
  <c r="J134" i="6"/>
  <c r="I134" i="6"/>
  <c r="K134" i="6" s="1"/>
  <c r="J133" i="6"/>
  <c r="I133" i="6"/>
  <c r="K133" i="6" s="1"/>
  <c r="J132" i="6"/>
  <c r="I132" i="6"/>
  <c r="K132" i="6" s="1"/>
  <c r="J131" i="6"/>
  <c r="I131" i="6"/>
  <c r="K131" i="6" s="1"/>
  <c r="J130" i="6"/>
  <c r="I130" i="6"/>
  <c r="K130" i="6" s="1"/>
  <c r="L130" i="6" s="1"/>
  <c r="J129" i="6"/>
  <c r="I129" i="6"/>
  <c r="K129" i="6" s="1"/>
  <c r="J128" i="6"/>
  <c r="I128" i="6"/>
  <c r="K128" i="6" s="1"/>
  <c r="J127" i="6"/>
  <c r="I127" i="6"/>
  <c r="K127" i="6" s="1"/>
  <c r="L127" i="6" s="1"/>
  <c r="J126" i="6"/>
  <c r="I126" i="6"/>
  <c r="K126" i="6" s="1"/>
  <c r="L126" i="6" s="1"/>
  <c r="J125" i="6"/>
  <c r="I125" i="6"/>
  <c r="K125" i="6" s="1"/>
  <c r="J124" i="6"/>
  <c r="I124" i="6"/>
  <c r="K124" i="6" s="1"/>
  <c r="J123" i="6"/>
  <c r="I123" i="6"/>
  <c r="K123" i="6" s="1"/>
  <c r="J122" i="6"/>
  <c r="I122" i="6"/>
  <c r="K122" i="6" s="1"/>
  <c r="L122" i="6" s="1"/>
  <c r="J121" i="6"/>
  <c r="I121" i="6"/>
  <c r="K121" i="6" s="1"/>
  <c r="J120" i="6"/>
  <c r="I120" i="6"/>
  <c r="K120" i="6" s="1"/>
  <c r="J119" i="6"/>
  <c r="I119" i="6"/>
  <c r="K119" i="6" s="1"/>
  <c r="J118" i="6"/>
  <c r="I118" i="6"/>
  <c r="K118" i="6" s="1"/>
  <c r="L118" i="6" s="1"/>
  <c r="J117" i="6"/>
  <c r="I117" i="6"/>
  <c r="K117" i="6" s="1"/>
  <c r="J116" i="6"/>
  <c r="I116" i="6"/>
  <c r="K116" i="6" s="1"/>
  <c r="J115" i="6"/>
  <c r="I115" i="6"/>
  <c r="K115" i="6" s="1"/>
  <c r="J114" i="6"/>
  <c r="I114" i="6"/>
  <c r="K114" i="6" s="1"/>
  <c r="L114" i="6" s="1"/>
  <c r="J113" i="6"/>
  <c r="I113" i="6"/>
  <c r="K113" i="6" s="1"/>
  <c r="J112" i="6"/>
  <c r="I112" i="6"/>
  <c r="K112" i="6" s="1"/>
  <c r="J111" i="6"/>
  <c r="I111" i="6"/>
  <c r="K111" i="6" s="1"/>
  <c r="J110" i="6"/>
  <c r="I110" i="6"/>
  <c r="K110" i="6" s="1"/>
  <c r="L110" i="6" s="1"/>
  <c r="J109" i="6"/>
  <c r="I109" i="6"/>
  <c r="K109" i="6" s="1"/>
  <c r="J108" i="6"/>
  <c r="I108" i="6"/>
  <c r="K108" i="6" s="1"/>
  <c r="J107" i="6"/>
  <c r="I107" i="6"/>
  <c r="K107" i="6" s="1"/>
  <c r="J106" i="6"/>
  <c r="I106" i="6"/>
  <c r="K106" i="6" s="1"/>
  <c r="L106" i="6" s="1"/>
  <c r="J105" i="6"/>
  <c r="I105" i="6"/>
  <c r="K105" i="6" s="1"/>
  <c r="J104" i="6"/>
  <c r="I104" i="6"/>
  <c r="K104" i="6" s="1"/>
  <c r="V103" i="6"/>
  <c r="J103" i="6"/>
  <c r="I103" i="6"/>
  <c r="K103" i="6" s="1"/>
  <c r="J102" i="6"/>
  <c r="I102" i="6"/>
  <c r="K102" i="6" s="1"/>
  <c r="J101" i="6"/>
  <c r="I101" i="6"/>
  <c r="K101" i="6" s="1"/>
  <c r="J100" i="6"/>
  <c r="I100" i="6"/>
  <c r="K100" i="6" s="1"/>
  <c r="J99" i="6"/>
  <c r="I99" i="6"/>
  <c r="K99" i="6" s="1"/>
  <c r="L99" i="6" s="1"/>
  <c r="J98" i="6"/>
  <c r="I98" i="6"/>
  <c r="K98" i="6" s="1"/>
  <c r="J97" i="6"/>
  <c r="I97" i="6"/>
  <c r="K97" i="6" s="1"/>
  <c r="J96" i="6"/>
  <c r="I96" i="6"/>
  <c r="K96" i="6" s="1"/>
  <c r="V95" i="6"/>
  <c r="J95" i="6"/>
  <c r="I95" i="6"/>
  <c r="K95" i="6" s="1"/>
  <c r="J94" i="6"/>
  <c r="I94" i="6"/>
  <c r="K94" i="6" s="1"/>
  <c r="J93" i="6"/>
  <c r="I93" i="6"/>
  <c r="K93" i="6" s="1"/>
  <c r="J92" i="6"/>
  <c r="I92" i="6"/>
  <c r="K92" i="6" s="1"/>
  <c r="J91" i="6"/>
  <c r="I91" i="6"/>
  <c r="K91" i="6" s="1"/>
  <c r="J90" i="6"/>
  <c r="I90" i="6"/>
  <c r="K90" i="6" s="1"/>
  <c r="J89" i="6"/>
  <c r="I89" i="6"/>
  <c r="K89" i="6" s="1"/>
  <c r="V88" i="6"/>
  <c r="J88" i="6"/>
  <c r="I88" i="6"/>
  <c r="K88" i="6" s="1"/>
  <c r="L88" i="6" s="1"/>
  <c r="J87" i="6"/>
  <c r="I87" i="6"/>
  <c r="K87" i="6" s="1"/>
  <c r="J86" i="6"/>
  <c r="I86" i="6"/>
  <c r="K86" i="6" s="1"/>
  <c r="J85" i="6"/>
  <c r="I85" i="6"/>
  <c r="K85" i="6" s="1"/>
  <c r="J84" i="6"/>
  <c r="I84" i="6"/>
  <c r="K84" i="6" s="1"/>
  <c r="J83" i="6"/>
  <c r="I83" i="6"/>
  <c r="K83" i="6" s="1"/>
  <c r="J82" i="6"/>
  <c r="I82" i="6"/>
  <c r="K82" i="6" s="1"/>
  <c r="J81" i="6"/>
  <c r="I81" i="6"/>
  <c r="K81" i="6" s="1"/>
  <c r="J80" i="6"/>
  <c r="I80" i="6"/>
  <c r="K80" i="6" s="1"/>
  <c r="J79" i="6"/>
  <c r="I79" i="6"/>
  <c r="K79" i="6" s="1"/>
  <c r="J78" i="6"/>
  <c r="I78" i="6"/>
  <c r="K78" i="6" s="1"/>
  <c r="J77" i="6"/>
  <c r="I77" i="6"/>
  <c r="K77" i="6" s="1"/>
  <c r="J76" i="6"/>
  <c r="I76" i="6"/>
  <c r="K76" i="6" s="1"/>
  <c r="J75" i="6"/>
  <c r="I75" i="6"/>
  <c r="K75" i="6" s="1"/>
  <c r="J74" i="6"/>
  <c r="I74" i="6"/>
  <c r="K74" i="6" s="1"/>
  <c r="L74" i="6" s="1"/>
  <c r="J73" i="6"/>
  <c r="I73" i="6"/>
  <c r="K73" i="6" s="1"/>
  <c r="J72" i="6"/>
  <c r="I72" i="6"/>
  <c r="K72" i="6" s="1"/>
  <c r="J71" i="6"/>
  <c r="I71" i="6"/>
  <c r="K71" i="6" s="1"/>
  <c r="J70" i="6"/>
  <c r="I70" i="6"/>
  <c r="K70" i="6" s="1"/>
  <c r="L70" i="6" s="1"/>
  <c r="J69" i="6"/>
  <c r="I69" i="6"/>
  <c r="K69" i="6" s="1"/>
  <c r="J68" i="6"/>
  <c r="I68" i="6"/>
  <c r="K68" i="6" s="1"/>
  <c r="L68" i="6" s="1"/>
  <c r="J67" i="6"/>
  <c r="I67" i="6"/>
  <c r="K67" i="6" s="1"/>
  <c r="J66" i="6"/>
  <c r="I66" i="6"/>
  <c r="K66" i="6" s="1"/>
  <c r="L66" i="6" s="1"/>
  <c r="J65" i="6"/>
  <c r="I65" i="6"/>
  <c r="K65" i="6" s="1"/>
  <c r="J64" i="6"/>
  <c r="I64" i="6"/>
  <c r="K64" i="6" s="1"/>
  <c r="L64" i="6" s="1"/>
  <c r="J63" i="6"/>
  <c r="I63" i="6"/>
  <c r="K63" i="6" s="1"/>
  <c r="J62" i="6"/>
  <c r="I62" i="6"/>
  <c r="K62" i="6" s="1"/>
  <c r="J61" i="6"/>
  <c r="I61" i="6"/>
  <c r="K61" i="6" s="1"/>
  <c r="J60" i="6"/>
  <c r="I60" i="6"/>
  <c r="K60" i="6" s="1"/>
  <c r="L60" i="6" s="1"/>
  <c r="J59" i="6"/>
  <c r="I59" i="6"/>
  <c r="K59" i="6" s="1"/>
  <c r="J58" i="6"/>
  <c r="I58" i="6"/>
  <c r="K58" i="6" s="1"/>
  <c r="J57" i="6"/>
  <c r="I57" i="6"/>
  <c r="K57" i="6" s="1"/>
  <c r="J56" i="6"/>
  <c r="I56" i="6"/>
  <c r="K56" i="6" s="1"/>
  <c r="J55" i="6"/>
  <c r="I55" i="6"/>
  <c r="K55" i="6" s="1"/>
  <c r="J54" i="6"/>
  <c r="I54" i="6"/>
  <c r="K54" i="6" s="1"/>
  <c r="J53" i="6"/>
  <c r="I53" i="6"/>
  <c r="K53" i="6" s="1"/>
  <c r="J52" i="6"/>
  <c r="I52" i="6"/>
  <c r="K52" i="6" s="1"/>
  <c r="J51" i="6"/>
  <c r="I51" i="6"/>
  <c r="K51" i="6" s="1"/>
  <c r="J50" i="6"/>
  <c r="I50" i="6"/>
  <c r="K50" i="6" s="1"/>
  <c r="J49" i="6"/>
  <c r="I49" i="6"/>
  <c r="K49" i="6" s="1"/>
  <c r="J48" i="6"/>
  <c r="I48" i="6"/>
  <c r="K48" i="6" s="1"/>
  <c r="J47" i="6"/>
  <c r="I47" i="6"/>
  <c r="K47" i="6" s="1"/>
  <c r="J46" i="6"/>
  <c r="I46" i="6"/>
  <c r="K46" i="6" s="1"/>
  <c r="J45" i="6"/>
  <c r="I45" i="6"/>
  <c r="K45" i="6" s="1"/>
  <c r="J44" i="6"/>
  <c r="I44" i="6"/>
  <c r="K44" i="6" s="1"/>
  <c r="J43" i="6"/>
  <c r="I43" i="6"/>
  <c r="K43" i="6" s="1"/>
  <c r="J42" i="6"/>
  <c r="I42" i="6"/>
  <c r="K42" i="6" s="1"/>
  <c r="J41" i="6"/>
  <c r="I41" i="6"/>
  <c r="K41" i="6" s="1"/>
  <c r="J40" i="6"/>
  <c r="I40" i="6"/>
  <c r="K40" i="6" s="1"/>
  <c r="J39" i="6"/>
  <c r="I39" i="6"/>
  <c r="K39" i="6" s="1"/>
  <c r="J38" i="6"/>
  <c r="I38" i="6"/>
  <c r="K38" i="6" s="1"/>
  <c r="J37" i="6"/>
  <c r="I37" i="6"/>
  <c r="K37" i="6" s="1"/>
  <c r="L37" i="6" s="1"/>
  <c r="J36" i="6"/>
  <c r="I36" i="6"/>
  <c r="K36" i="6" s="1"/>
  <c r="J35" i="6"/>
  <c r="I35" i="6"/>
  <c r="K35" i="6" s="1"/>
  <c r="J34" i="6"/>
  <c r="I34" i="6"/>
  <c r="K34" i="6" s="1"/>
  <c r="L34" i="6" s="1"/>
  <c r="J33" i="6"/>
  <c r="I33" i="6"/>
  <c r="K33" i="6" s="1"/>
  <c r="J32" i="6"/>
  <c r="I32" i="6"/>
  <c r="K32" i="6" s="1"/>
  <c r="J31" i="6"/>
  <c r="I31" i="6"/>
  <c r="K31" i="6" s="1"/>
  <c r="J30" i="6"/>
  <c r="I30" i="6"/>
  <c r="K30" i="6" s="1"/>
  <c r="J29" i="6"/>
  <c r="I29" i="6"/>
  <c r="K29" i="6" s="1"/>
  <c r="J28" i="6"/>
  <c r="I28" i="6"/>
  <c r="K28" i="6" s="1"/>
  <c r="J27" i="6"/>
  <c r="I27" i="6"/>
  <c r="K27" i="6" s="1"/>
  <c r="J26" i="6"/>
  <c r="I26" i="6"/>
  <c r="K26" i="6" s="1"/>
  <c r="L26" i="6" s="1"/>
  <c r="J25" i="6"/>
  <c r="I25" i="6"/>
  <c r="K25" i="6" s="1"/>
  <c r="J24" i="6"/>
  <c r="I24" i="6"/>
  <c r="K24" i="6" s="1"/>
  <c r="J23" i="6"/>
  <c r="I23" i="6"/>
  <c r="K23" i="6" s="1"/>
  <c r="J22" i="6"/>
  <c r="I22" i="6"/>
  <c r="K22" i="6" s="1"/>
  <c r="L22" i="6" s="1"/>
  <c r="J21" i="6"/>
  <c r="I21" i="6"/>
  <c r="K21" i="6" s="1"/>
  <c r="J20" i="6"/>
  <c r="I20" i="6"/>
  <c r="K20" i="6" s="1"/>
  <c r="J19" i="6"/>
  <c r="I19" i="6"/>
  <c r="K19" i="6" s="1"/>
  <c r="J18" i="6"/>
  <c r="I18" i="6"/>
  <c r="K18" i="6" s="1"/>
  <c r="L18" i="6" s="1"/>
  <c r="J17" i="6"/>
  <c r="I17" i="6"/>
  <c r="K17" i="6" s="1"/>
  <c r="J16" i="6"/>
  <c r="I16" i="6"/>
  <c r="K16" i="6" s="1"/>
  <c r="L16" i="6" s="1"/>
  <c r="J15" i="6"/>
  <c r="I15" i="6"/>
  <c r="K15" i="6" s="1"/>
  <c r="J14" i="6"/>
  <c r="I14" i="6"/>
  <c r="K14" i="6" s="1"/>
  <c r="J13" i="6"/>
  <c r="I13" i="6"/>
  <c r="K13" i="6" s="1"/>
  <c r="J12" i="6"/>
  <c r="I12" i="6"/>
  <c r="K12" i="6" s="1"/>
  <c r="J11" i="6"/>
  <c r="I11" i="6"/>
  <c r="K11" i="6" s="1"/>
  <c r="J10" i="6"/>
  <c r="I10" i="6"/>
  <c r="K10" i="6" s="1"/>
  <c r="J9" i="6"/>
  <c r="I9" i="6"/>
  <c r="K9" i="6" s="1"/>
  <c r="J8" i="6"/>
  <c r="I8" i="6"/>
  <c r="K8" i="6" s="1"/>
  <c r="J7" i="6"/>
  <c r="I7" i="6"/>
  <c r="K7" i="6" s="1"/>
  <c r="J6" i="6"/>
  <c r="I6" i="6"/>
  <c r="K6" i="6" s="1"/>
  <c r="J5" i="6"/>
  <c r="I5" i="6"/>
  <c r="K5" i="6" s="1"/>
  <c r="J4" i="6"/>
  <c r="I4" i="6"/>
  <c r="K4" i="6" s="1"/>
  <c r="J3" i="6"/>
  <c r="I3" i="6"/>
  <c r="K3" i="6" s="1"/>
  <c r="J2" i="6"/>
  <c r="I2" i="6"/>
  <c r="K2" i="6" s="1"/>
  <c r="J322" i="5"/>
  <c r="I322" i="5"/>
  <c r="K322" i="5" s="1"/>
  <c r="L322" i="5" s="1"/>
  <c r="J321" i="5"/>
  <c r="I321" i="5"/>
  <c r="K321" i="5" s="1"/>
  <c r="J320" i="5"/>
  <c r="I320" i="5"/>
  <c r="K320" i="5" s="1"/>
  <c r="L320" i="5" s="1"/>
  <c r="V102" i="5" s="1"/>
  <c r="J319" i="5"/>
  <c r="I319" i="5"/>
  <c r="K319" i="5" s="1"/>
  <c r="J318" i="5"/>
  <c r="I318" i="5"/>
  <c r="K318" i="5" s="1"/>
  <c r="J317" i="5"/>
  <c r="I317" i="5"/>
  <c r="K317" i="5" s="1"/>
  <c r="J316" i="5"/>
  <c r="I316" i="5"/>
  <c r="K316" i="5" s="1"/>
  <c r="L316" i="5" s="1"/>
  <c r="V98" i="5" s="1"/>
  <c r="J315" i="5"/>
  <c r="I315" i="5"/>
  <c r="K315" i="5" s="1"/>
  <c r="L315" i="5" s="1"/>
  <c r="J314" i="5"/>
  <c r="I314" i="5"/>
  <c r="K314" i="5" s="1"/>
  <c r="L314" i="5" s="1"/>
  <c r="J313" i="5"/>
  <c r="I313" i="5"/>
  <c r="K313" i="5" s="1"/>
  <c r="J312" i="5"/>
  <c r="I312" i="5"/>
  <c r="K312" i="5" s="1"/>
  <c r="J311" i="5"/>
  <c r="I311" i="5"/>
  <c r="K311" i="5" s="1"/>
  <c r="J310" i="5"/>
  <c r="I310" i="5"/>
  <c r="K310" i="5" s="1"/>
  <c r="J309" i="5"/>
  <c r="I309" i="5"/>
  <c r="K309" i="5" s="1"/>
  <c r="J308" i="5"/>
  <c r="I308" i="5"/>
  <c r="K308" i="5" s="1"/>
  <c r="L308" i="5" s="1"/>
  <c r="V90" i="5" s="1"/>
  <c r="J307" i="5"/>
  <c r="I307" i="5"/>
  <c r="K307" i="5" s="1"/>
  <c r="J306" i="5"/>
  <c r="I306" i="5"/>
  <c r="K306" i="5" s="1"/>
  <c r="J305" i="5"/>
  <c r="I305" i="5"/>
  <c r="K305" i="5" s="1"/>
  <c r="J304" i="5"/>
  <c r="I304" i="5"/>
  <c r="K304" i="5" s="1"/>
  <c r="J303" i="5"/>
  <c r="I303" i="5"/>
  <c r="K303" i="5" s="1"/>
  <c r="J302" i="5"/>
  <c r="I302" i="5"/>
  <c r="K302" i="5" s="1"/>
  <c r="L302" i="5" s="1"/>
  <c r="J301" i="5"/>
  <c r="I301" i="5"/>
  <c r="K301" i="5" s="1"/>
  <c r="J300" i="5"/>
  <c r="I300" i="5"/>
  <c r="K300" i="5" s="1"/>
  <c r="L300" i="5" s="1"/>
  <c r="J299" i="5"/>
  <c r="I299" i="5"/>
  <c r="K299" i="5" s="1"/>
  <c r="L299" i="5" s="1"/>
  <c r="J298" i="5"/>
  <c r="I298" i="5"/>
  <c r="K298" i="5" s="1"/>
  <c r="L298" i="5" s="1"/>
  <c r="J297" i="5"/>
  <c r="I297" i="5"/>
  <c r="K297" i="5" s="1"/>
  <c r="J296" i="5"/>
  <c r="I296" i="5"/>
  <c r="K296" i="5" s="1"/>
  <c r="L296" i="5" s="1"/>
  <c r="J295" i="5"/>
  <c r="I295" i="5"/>
  <c r="K295" i="5" s="1"/>
  <c r="L295" i="5" s="1"/>
  <c r="J294" i="5"/>
  <c r="I294" i="5"/>
  <c r="K294" i="5" s="1"/>
  <c r="J293" i="5"/>
  <c r="I293" i="5"/>
  <c r="K293" i="5" s="1"/>
  <c r="J292" i="5"/>
  <c r="I292" i="5"/>
  <c r="K292" i="5" s="1"/>
  <c r="J291" i="5"/>
  <c r="I291" i="5"/>
  <c r="K291" i="5" s="1"/>
  <c r="J290" i="5"/>
  <c r="I290" i="5"/>
  <c r="K290" i="5" s="1"/>
  <c r="J289" i="5"/>
  <c r="I289" i="5"/>
  <c r="K289" i="5" s="1"/>
  <c r="J288" i="5"/>
  <c r="I288" i="5"/>
  <c r="K288" i="5" s="1"/>
  <c r="J287" i="5"/>
  <c r="I287" i="5"/>
  <c r="K287" i="5" s="1"/>
  <c r="J286" i="5"/>
  <c r="I286" i="5"/>
  <c r="K286" i="5" s="1"/>
  <c r="J285" i="5"/>
  <c r="I285" i="5"/>
  <c r="K285" i="5" s="1"/>
  <c r="J284" i="5"/>
  <c r="I284" i="5"/>
  <c r="K284" i="5" s="1"/>
  <c r="J283" i="5"/>
  <c r="I283" i="5"/>
  <c r="K283" i="5" s="1"/>
  <c r="J282" i="5"/>
  <c r="I282" i="5"/>
  <c r="K282" i="5" s="1"/>
  <c r="J281" i="5"/>
  <c r="I281" i="5"/>
  <c r="K281" i="5" s="1"/>
  <c r="J280" i="5"/>
  <c r="I280" i="5"/>
  <c r="K280" i="5" s="1"/>
  <c r="J279" i="5"/>
  <c r="I279" i="5"/>
  <c r="K279" i="5" s="1"/>
  <c r="J278" i="5"/>
  <c r="I278" i="5"/>
  <c r="K278" i="5" s="1"/>
  <c r="J277" i="5"/>
  <c r="I277" i="5"/>
  <c r="K277" i="5" s="1"/>
  <c r="J276" i="5"/>
  <c r="I276" i="5"/>
  <c r="K276" i="5" s="1"/>
  <c r="L276" i="5" s="1"/>
  <c r="J275" i="5"/>
  <c r="I275" i="5"/>
  <c r="K275" i="5" s="1"/>
  <c r="L275" i="5" s="1"/>
  <c r="J274" i="5"/>
  <c r="I274" i="5"/>
  <c r="K274" i="5" s="1"/>
  <c r="J273" i="5"/>
  <c r="I273" i="5"/>
  <c r="K273" i="5" s="1"/>
  <c r="J272" i="5"/>
  <c r="I272" i="5"/>
  <c r="K272" i="5" s="1"/>
  <c r="J271" i="5"/>
  <c r="I271" i="5"/>
  <c r="K271" i="5" s="1"/>
  <c r="J270" i="5"/>
  <c r="I270" i="5"/>
  <c r="K270" i="5" s="1"/>
  <c r="L270" i="5" s="1"/>
  <c r="J269" i="5"/>
  <c r="I269" i="5"/>
  <c r="K269" i="5" s="1"/>
  <c r="J268" i="5"/>
  <c r="I268" i="5"/>
  <c r="K268" i="5" s="1"/>
  <c r="L268" i="5" s="1"/>
  <c r="J267" i="5"/>
  <c r="I267" i="5"/>
  <c r="K267" i="5" s="1"/>
  <c r="L267" i="5" s="1"/>
  <c r="J266" i="5"/>
  <c r="I266" i="5"/>
  <c r="K266" i="5" s="1"/>
  <c r="L266" i="5" s="1"/>
  <c r="J265" i="5"/>
  <c r="I265" i="5"/>
  <c r="K265" i="5" s="1"/>
  <c r="J264" i="5"/>
  <c r="I264" i="5"/>
  <c r="K264" i="5" s="1"/>
  <c r="L264" i="5" s="1"/>
  <c r="J263" i="5"/>
  <c r="I263" i="5"/>
  <c r="K263" i="5" s="1"/>
  <c r="L263" i="5" s="1"/>
  <c r="J262" i="5"/>
  <c r="I262" i="5"/>
  <c r="K262" i="5" s="1"/>
  <c r="J261" i="5"/>
  <c r="I261" i="5"/>
  <c r="K261" i="5" s="1"/>
  <c r="J260" i="5"/>
  <c r="I260" i="5"/>
  <c r="K260" i="5" s="1"/>
  <c r="L260" i="5" s="1"/>
  <c r="J259" i="5"/>
  <c r="I259" i="5"/>
  <c r="K259" i="5" s="1"/>
  <c r="L259" i="5" s="1"/>
  <c r="J258" i="5"/>
  <c r="I258" i="5"/>
  <c r="K258" i="5" s="1"/>
  <c r="L258" i="5" s="1"/>
  <c r="J257" i="5"/>
  <c r="I257" i="5"/>
  <c r="K257" i="5" s="1"/>
  <c r="J256" i="5"/>
  <c r="I256" i="5"/>
  <c r="K256" i="5" s="1"/>
  <c r="L256" i="5" s="1"/>
  <c r="J255" i="5"/>
  <c r="I255" i="5"/>
  <c r="K255" i="5" s="1"/>
  <c r="J254" i="5"/>
  <c r="I254" i="5"/>
  <c r="K254" i="5" s="1"/>
  <c r="J253" i="5"/>
  <c r="I253" i="5"/>
  <c r="K253" i="5" s="1"/>
  <c r="J252" i="5"/>
  <c r="I252" i="5"/>
  <c r="K252" i="5" s="1"/>
  <c r="L252" i="5" s="1"/>
  <c r="J251" i="5"/>
  <c r="I251" i="5"/>
  <c r="K251" i="5" s="1"/>
  <c r="L251" i="5" s="1"/>
  <c r="J250" i="5"/>
  <c r="I250" i="5"/>
  <c r="K250" i="5" s="1"/>
  <c r="L250" i="5" s="1"/>
  <c r="J249" i="5"/>
  <c r="I249" i="5"/>
  <c r="K249" i="5" s="1"/>
  <c r="J248" i="5"/>
  <c r="I248" i="5"/>
  <c r="K248" i="5" s="1"/>
  <c r="J247" i="5"/>
  <c r="I247" i="5"/>
  <c r="K247" i="5" s="1"/>
  <c r="J246" i="5"/>
  <c r="I246" i="5"/>
  <c r="K246" i="5" s="1"/>
  <c r="J245" i="5"/>
  <c r="I245" i="5"/>
  <c r="K245" i="5" s="1"/>
  <c r="J244" i="5"/>
  <c r="I244" i="5"/>
  <c r="K244" i="5" s="1"/>
  <c r="L244" i="5" s="1"/>
  <c r="J243" i="5"/>
  <c r="I243" i="5"/>
  <c r="K243" i="5" s="1"/>
  <c r="L243" i="5" s="1"/>
  <c r="J242" i="5"/>
  <c r="I242" i="5"/>
  <c r="K242" i="5" s="1"/>
  <c r="J241" i="5"/>
  <c r="I241" i="5"/>
  <c r="K241" i="5" s="1"/>
  <c r="J240" i="5"/>
  <c r="I240" i="5"/>
  <c r="K240" i="5" s="1"/>
  <c r="J239" i="5"/>
  <c r="I239" i="5"/>
  <c r="K239" i="5" s="1"/>
  <c r="J238" i="5"/>
  <c r="I238" i="5"/>
  <c r="K238" i="5" s="1"/>
  <c r="L238" i="5" s="1"/>
  <c r="J237" i="5"/>
  <c r="I237" i="5"/>
  <c r="K237" i="5" s="1"/>
  <c r="J236" i="5"/>
  <c r="I236" i="5"/>
  <c r="K236" i="5" s="1"/>
  <c r="L236" i="5" s="1"/>
  <c r="J235" i="5"/>
  <c r="I235" i="5"/>
  <c r="K235" i="5" s="1"/>
  <c r="L235" i="5" s="1"/>
  <c r="J234" i="5"/>
  <c r="I234" i="5"/>
  <c r="K234" i="5" s="1"/>
  <c r="L234" i="5" s="1"/>
  <c r="J233" i="5"/>
  <c r="I233" i="5"/>
  <c r="K233" i="5" s="1"/>
  <c r="J232" i="5"/>
  <c r="I232" i="5"/>
  <c r="K232" i="5" s="1"/>
  <c r="L232" i="5" s="1"/>
  <c r="J231" i="5"/>
  <c r="I231" i="5"/>
  <c r="K231" i="5" s="1"/>
  <c r="L231" i="5" s="1"/>
  <c r="J230" i="5"/>
  <c r="I230" i="5"/>
  <c r="K230" i="5" s="1"/>
  <c r="J229" i="5"/>
  <c r="I229" i="5"/>
  <c r="K229" i="5" s="1"/>
  <c r="J228" i="5"/>
  <c r="I228" i="5"/>
  <c r="K228" i="5" s="1"/>
  <c r="L228" i="5" s="1"/>
  <c r="J227" i="5"/>
  <c r="I227" i="5"/>
  <c r="K227" i="5" s="1"/>
  <c r="J226" i="5"/>
  <c r="I226" i="5"/>
  <c r="K226" i="5" s="1"/>
  <c r="J225" i="5"/>
  <c r="I225" i="5"/>
  <c r="K225" i="5" s="1"/>
  <c r="J224" i="5"/>
  <c r="I224" i="5"/>
  <c r="K224" i="5" s="1"/>
  <c r="L224" i="5" s="1"/>
  <c r="J223" i="5"/>
  <c r="I223" i="5"/>
  <c r="K223" i="5" s="1"/>
  <c r="J222" i="5"/>
  <c r="I222" i="5"/>
  <c r="K222" i="5" s="1"/>
  <c r="J221" i="5"/>
  <c r="I221" i="5"/>
  <c r="K221" i="5" s="1"/>
  <c r="J220" i="5"/>
  <c r="I220" i="5"/>
  <c r="K220" i="5" s="1"/>
  <c r="L220" i="5" s="1"/>
  <c r="J219" i="5"/>
  <c r="I219" i="5"/>
  <c r="K219" i="5" s="1"/>
  <c r="J218" i="5"/>
  <c r="I218" i="5"/>
  <c r="K218" i="5" s="1"/>
  <c r="L218" i="5" s="1"/>
  <c r="J217" i="5"/>
  <c r="I217" i="5"/>
  <c r="K217" i="5" s="1"/>
  <c r="J216" i="5"/>
  <c r="I216" i="5"/>
  <c r="K216" i="5" s="1"/>
  <c r="J215" i="5"/>
  <c r="I215" i="5"/>
  <c r="K215" i="5" s="1"/>
  <c r="J214" i="5"/>
  <c r="I214" i="5"/>
  <c r="K214" i="5" s="1"/>
  <c r="J213" i="5"/>
  <c r="I213" i="5"/>
  <c r="K213" i="5" s="1"/>
  <c r="J212" i="5"/>
  <c r="I212" i="5"/>
  <c r="K212" i="5" s="1"/>
  <c r="L212" i="5" s="1"/>
  <c r="J211" i="5"/>
  <c r="I211" i="5"/>
  <c r="K211" i="5" s="1"/>
  <c r="L211" i="5" s="1"/>
  <c r="J210" i="5"/>
  <c r="I210" i="5"/>
  <c r="K210" i="5" s="1"/>
  <c r="L210" i="5" s="1"/>
  <c r="J209" i="5"/>
  <c r="I209" i="5"/>
  <c r="K209" i="5" s="1"/>
  <c r="J208" i="5"/>
  <c r="I208" i="5"/>
  <c r="K208" i="5" s="1"/>
  <c r="J207" i="5"/>
  <c r="I207" i="5"/>
  <c r="K207" i="5" s="1"/>
  <c r="J206" i="5"/>
  <c r="I206" i="5"/>
  <c r="K206" i="5" s="1"/>
  <c r="J205" i="5"/>
  <c r="I205" i="5"/>
  <c r="K205" i="5" s="1"/>
  <c r="J204" i="5"/>
  <c r="I204" i="5"/>
  <c r="K204" i="5" s="1"/>
  <c r="J203" i="5"/>
  <c r="I203" i="5"/>
  <c r="K203" i="5" s="1"/>
  <c r="J202" i="5"/>
  <c r="I202" i="5"/>
  <c r="K202" i="5" s="1"/>
  <c r="J201" i="5"/>
  <c r="I201" i="5"/>
  <c r="K201" i="5" s="1"/>
  <c r="J200" i="5"/>
  <c r="I200" i="5"/>
  <c r="K200" i="5" s="1"/>
  <c r="J199" i="5"/>
  <c r="I199" i="5"/>
  <c r="K199" i="5" s="1"/>
  <c r="J198" i="5"/>
  <c r="I198" i="5"/>
  <c r="K198" i="5" s="1"/>
  <c r="J197" i="5"/>
  <c r="I197" i="5"/>
  <c r="K197" i="5" s="1"/>
  <c r="J196" i="5"/>
  <c r="I196" i="5"/>
  <c r="K196" i="5" s="1"/>
  <c r="J195" i="5"/>
  <c r="I195" i="5"/>
  <c r="K195" i="5" s="1"/>
  <c r="J194" i="5"/>
  <c r="I194" i="5"/>
  <c r="K194" i="5" s="1"/>
  <c r="J193" i="5"/>
  <c r="I193" i="5"/>
  <c r="K193" i="5" s="1"/>
  <c r="L193" i="5" s="1"/>
  <c r="J192" i="5"/>
  <c r="I192" i="5"/>
  <c r="K192" i="5" s="1"/>
  <c r="J191" i="5"/>
  <c r="I191" i="5"/>
  <c r="K191" i="5" s="1"/>
  <c r="L191" i="5" s="1"/>
  <c r="J190" i="5"/>
  <c r="I190" i="5"/>
  <c r="K190" i="5" s="1"/>
  <c r="J189" i="5"/>
  <c r="I189" i="5"/>
  <c r="K189" i="5" s="1"/>
  <c r="L189" i="5" s="1"/>
  <c r="J188" i="5"/>
  <c r="I188" i="5"/>
  <c r="K188" i="5" s="1"/>
  <c r="J187" i="5"/>
  <c r="I187" i="5"/>
  <c r="K187" i="5" s="1"/>
  <c r="J186" i="5"/>
  <c r="I186" i="5"/>
  <c r="K186" i="5" s="1"/>
  <c r="J185" i="5"/>
  <c r="I185" i="5"/>
  <c r="K185" i="5" s="1"/>
  <c r="J184" i="5"/>
  <c r="I184" i="5"/>
  <c r="K184" i="5" s="1"/>
  <c r="L184" i="5" s="1"/>
  <c r="J183" i="5"/>
  <c r="I183" i="5"/>
  <c r="K183" i="5" s="1"/>
  <c r="L183" i="5" s="1"/>
  <c r="J182" i="5"/>
  <c r="I182" i="5"/>
  <c r="K182" i="5" s="1"/>
  <c r="J181" i="5"/>
  <c r="I181" i="5"/>
  <c r="K181" i="5" s="1"/>
  <c r="J180" i="5"/>
  <c r="I180" i="5"/>
  <c r="K180" i="5" s="1"/>
  <c r="L180" i="5" s="1"/>
  <c r="J179" i="5"/>
  <c r="I179" i="5"/>
  <c r="K179" i="5" s="1"/>
  <c r="J178" i="5"/>
  <c r="I178" i="5"/>
  <c r="K178" i="5" s="1"/>
  <c r="J177" i="5"/>
  <c r="I177" i="5"/>
  <c r="K177" i="5" s="1"/>
  <c r="J176" i="5"/>
  <c r="I176" i="5"/>
  <c r="K176" i="5" s="1"/>
  <c r="L176" i="5" s="1"/>
  <c r="J175" i="5"/>
  <c r="I175" i="5"/>
  <c r="K175" i="5" s="1"/>
  <c r="L175" i="5" s="1"/>
  <c r="J174" i="5"/>
  <c r="I174" i="5"/>
  <c r="K174" i="5" s="1"/>
  <c r="J173" i="5"/>
  <c r="I173" i="5"/>
  <c r="K173" i="5" s="1"/>
  <c r="L173" i="5" s="1"/>
  <c r="J172" i="5"/>
  <c r="I172" i="5"/>
  <c r="K172" i="5" s="1"/>
  <c r="J171" i="5"/>
  <c r="I171" i="5"/>
  <c r="K171" i="5" s="1"/>
  <c r="L171" i="5" s="1"/>
  <c r="J170" i="5"/>
  <c r="I170" i="5"/>
  <c r="K170" i="5" s="1"/>
  <c r="J169" i="5"/>
  <c r="I169" i="5"/>
  <c r="K169" i="5" s="1"/>
  <c r="L169" i="5" s="1"/>
  <c r="J168" i="5"/>
  <c r="I168" i="5"/>
  <c r="K168" i="5" s="1"/>
  <c r="L168" i="5" s="1"/>
  <c r="J167" i="5"/>
  <c r="I167" i="5"/>
  <c r="K167" i="5" s="1"/>
  <c r="L167" i="5" s="1"/>
  <c r="J166" i="5"/>
  <c r="I166" i="5"/>
  <c r="K166" i="5" s="1"/>
  <c r="J165" i="5"/>
  <c r="I165" i="5"/>
  <c r="K165" i="5" s="1"/>
  <c r="L165" i="5" s="1"/>
  <c r="J164" i="5"/>
  <c r="I164" i="5"/>
  <c r="K164" i="5" s="1"/>
  <c r="J163" i="5"/>
  <c r="I163" i="5"/>
  <c r="K163" i="5" s="1"/>
  <c r="J162" i="5"/>
  <c r="I162" i="5"/>
  <c r="K162" i="5" s="1"/>
  <c r="J161" i="5"/>
  <c r="I161" i="5"/>
  <c r="K161" i="5" s="1"/>
  <c r="J160" i="5"/>
  <c r="I160" i="5"/>
  <c r="K160" i="5" s="1"/>
  <c r="J159" i="5"/>
  <c r="I159" i="5"/>
  <c r="K159" i="5" s="1"/>
  <c r="L159" i="5" s="1"/>
  <c r="J158" i="5"/>
  <c r="I158" i="5"/>
  <c r="K158" i="5" s="1"/>
  <c r="J157" i="5"/>
  <c r="I157" i="5"/>
  <c r="K157" i="5" s="1"/>
  <c r="L157" i="5" s="1"/>
  <c r="J156" i="5"/>
  <c r="I156" i="5"/>
  <c r="K156" i="5" s="1"/>
  <c r="L156" i="5" s="1"/>
  <c r="J155" i="5"/>
  <c r="I155" i="5"/>
  <c r="K155" i="5" s="1"/>
  <c r="L155" i="5" s="1"/>
  <c r="J154" i="5"/>
  <c r="I154" i="5"/>
  <c r="K154" i="5" s="1"/>
  <c r="J153" i="5"/>
  <c r="I153" i="5"/>
  <c r="K153" i="5" s="1"/>
  <c r="J152" i="5"/>
  <c r="I152" i="5"/>
  <c r="K152" i="5" s="1"/>
  <c r="L152" i="5" s="1"/>
  <c r="J151" i="5"/>
  <c r="I151" i="5"/>
  <c r="K151" i="5" s="1"/>
  <c r="L151" i="5" s="1"/>
  <c r="J150" i="5"/>
  <c r="I150" i="5"/>
  <c r="K150" i="5" s="1"/>
  <c r="J149" i="5"/>
  <c r="I149" i="5"/>
  <c r="K149" i="5" s="1"/>
  <c r="J148" i="5"/>
  <c r="I148" i="5"/>
  <c r="K148" i="5" s="1"/>
  <c r="J147" i="5"/>
  <c r="I147" i="5"/>
  <c r="K147" i="5" s="1"/>
  <c r="L147" i="5" s="1"/>
  <c r="J146" i="5"/>
  <c r="I146" i="5"/>
  <c r="K146" i="5" s="1"/>
  <c r="J145" i="5"/>
  <c r="I145" i="5"/>
  <c r="K145" i="5" s="1"/>
  <c r="J144" i="5"/>
  <c r="I144" i="5"/>
  <c r="K144" i="5" s="1"/>
  <c r="J143" i="5"/>
  <c r="I143" i="5"/>
  <c r="K143" i="5" s="1"/>
  <c r="L143" i="5" s="1"/>
  <c r="J142" i="5"/>
  <c r="I142" i="5"/>
  <c r="K142" i="5" s="1"/>
  <c r="J141" i="5"/>
  <c r="I141" i="5"/>
  <c r="K141" i="5" s="1"/>
  <c r="J140" i="5"/>
  <c r="I140" i="5"/>
  <c r="K140" i="5" s="1"/>
  <c r="J139" i="5"/>
  <c r="I139" i="5"/>
  <c r="K139" i="5" s="1"/>
  <c r="L139" i="5" s="1"/>
  <c r="J138" i="5"/>
  <c r="I138" i="5"/>
  <c r="K138" i="5" s="1"/>
  <c r="J137" i="5"/>
  <c r="I137" i="5"/>
  <c r="K137" i="5" s="1"/>
  <c r="J136" i="5"/>
  <c r="I136" i="5"/>
  <c r="K136" i="5" s="1"/>
  <c r="J135" i="5"/>
  <c r="I135" i="5"/>
  <c r="K135" i="5" s="1"/>
  <c r="L135" i="5" s="1"/>
  <c r="J134" i="5"/>
  <c r="I134" i="5"/>
  <c r="K134" i="5" s="1"/>
  <c r="J133" i="5"/>
  <c r="I133" i="5"/>
  <c r="K133" i="5" s="1"/>
  <c r="J132" i="5"/>
  <c r="I132" i="5"/>
  <c r="K132" i="5" s="1"/>
  <c r="J131" i="5"/>
  <c r="I131" i="5"/>
  <c r="K131" i="5" s="1"/>
  <c r="L131" i="5" s="1"/>
  <c r="J130" i="5"/>
  <c r="I130" i="5"/>
  <c r="K130" i="5" s="1"/>
  <c r="J129" i="5"/>
  <c r="I129" i="5"/>
  <c r="K129" i="5" s="1"/>
  <c r="J128" i="5"/>
  <c r="I128" i="5"/>
  <c r="K128" i="5" s="1"/>
  <c r="J127" i="5"/>
  <c r="I127" i="5"/>
  <c r="K127" i="5" s="1"/>
  <c r="L127" i="5" s="1"/>
  <c r="J126" i="5"/>
  <c r="I126" i="5"/>
  <c r="K126" i="5" s="1"/>
  <c r="J125" i="5"/>
  <c r="I125" i="5"/>
  <c r="K125" i="5" s="1"/>
  <c r="J124" i="5"/>
  <c r="I124" i="5"/>
  <c r="K124" i="5" s="1"/>
  <c r="J123" i="5"/>
  <c r="I123" i="5"/>
  <c r="K123" i="5" s="1"/>
  <c r="L123" i="5" s="1"/>
  <c r="J122" i="5"/>
  <c r="I122" i="5"/>
  <c r="K122" i="5" s="1"/>
  <c r="J121" i="5"/>
  <c r="I121" i="5"/>
  <c r="K121" i="5" s="1"/>
  <c r="J120" i="5"/>
  <c r="I120" i="5"/>
  <c r="K120" i="5" s="1"/>
  <c r="J119" i="5"/>
  <c r="I119" i="5"/>
  <c r="K119" i="5" s="1"/>
  <c r="L119" i="5" s="1"/>
  <c r="J118" i="5"/>
  <c r="I118" i="5"/>
  <c r="K118" i="5" s="1"/>
  <c r="J117" i="5"/>
  <c r="I117" i="5"/>
  <c r="K117" i="5" s="1"/>
  <c r="J116" i="5"/>
  <c r="I116" i="5"/>
  <c r="K116" i="5" s="1"/>
  <c r="J115" i="5"/>
  <c r="I115" i="5"/>
  <c r="K115" i="5" s="1"/>
  <c r="L115" i="5" s="1"/>
  <c r="J114" i="5"/>
  <c r="I114" i="5"/>
  <c r="K114" i="5" s="1"/>
  <c r="J113" i="5"/>
  <c r="I113" i="5"/>
  <c r="K113" i="5" s="1"/>
  <c r="J112" i="5"/>
  <c r="I112" i="5"/>
  <c r="K112" i="5" s="1"/>
  <c r="J111" i="5"/>
  <c r="I111" i="5"/>
  <c r="K111" i="5" s="1"/>
  <c r="L111" i="5" s="1"/>
  <c r="J110" i="5"/>
  <c r="I110" i="5"/>
  <c r="K110" i="5" s="1"/>
  <c r="J109" i="5"/>
  <c r="I109" i="5"/>
  <c r="K109" i="5" s="1"/>
  <c r="J108" i="5"/>
  <c r="I108" i="5"/>
  <c r="K108" i="5" s="1"/>
  <c r="J107" i="5"/>
  <c r="I107" i="5"/>
  <c r="K107" i="5" s="1"/>
  <c r="L107" i="5" s="1"/>
  <c r="J106" i="5"/>
  <c r="I106" i="5"/>
  <c r="K106" i="5" s="1"/>
  <c r="J105" i="5"/>
  <c r="I105" i="5"/>
  <c r="K105" i="5" s="1"/>
  <c r="J104" i="5"/>
  <c r="I104" i="5"/>
  <c r="K104" i="5" s="1"/>
  <c r="J103" i="5"/>
  <c r="I103" i="5"/>
  <c r="K103" i="5" s="1"/>
  <c r="J102" i="5"/>
  <c r="I102" i="5"/>
  <c r="K102" i="5" s="1"/>
  <c r="J101" i="5"/>
  <c r="I101" i="5"/>
  <c r="K101" i="5" s="1"/>
  <c r="J100" i="5"/>
  <c r="I100" i="5"/>
  <c r="K100" i="5" s="1"/>
  <c r="J99" i="5"/>
  <c r="I99" i="5"/>
  <c r="K99" i="5" s="1"/>
  <c r="J98" i="5"/>
  <c r="I98" i="5"/>
  <c r="K98" i="5" s="1"/>
  <c r="J97" i="5"/>
  <c r="I97" i="5"/>
  <c r="K97" i="5" s="1"/>
  <c r="V96" i="5"/>
  <c r="J96" i="5"/>
  <c r="I96" i="5"/>
  <c r="K96" i="5" s="1"/>
  <c r="J95" i="5"/>
  <c r="I95" i="5"/>
  <c r="K95" i="5" s="1"/>
  <c r="J94" i="5"/>
  <c r="I94" i="5"/>
  <c r="K94" i="5" s="1"/>
  <c r="L94" i="5" s="1"/>
  <c r="J93" i="5"/>
  <c r="I93" i="5"/>
  <c r="K93" i="5" s="1"/>
  <c r="L93" i="5" s="1"/>
  <c r="J92" i="5"/>
  <c r="I92" i="5"/>
  <c r="K92" i="5" s="1"/>
  <c r="J91" i="5"/>
  <c r="I91" i="5"/>
  <c r="K91" i="5" s="1"/>
  <c r="L91" i="5" s="1"/>
  <c r="J90" i="5"/>
  <c r="I90" i="5"/>
  <c r="K90" i="5" s="1"/>
  <c r="L90" i="5" s="1"/>
  <c r="J89" i="5"/>
  <c r="I89" i="5"/>
  <c r="K89" i="5" s="1"/>
  <c r="L89" i="5" s="1"/>
  <c r="J88" i="5"/>
  <c r="I88" i="5"/>
  <c r="K88" i="5" s="1"/>
  <c r="J87" i="5"/>
  <c r="I87" i="5"/>
  <c r="K87" i="5" s="1"/>
  <c r="J86" i="5"/>
  <c r="I86" i="5"/>
  <c r="K86" i="5" s="1"/>
  <c r="J85" i="5"/>
  <c r="I85" i="5"/>
  <c r="K85" i="5" s="1"/>
  <c r="L85" i="5" s="1"/>
  <c r="V84" i="5"/>
  <c r="J84" i="5"/>
  <c r="I84" i="5"/>
  <c r="K84" i="5" s="1"/>
  <c r="L84" i="5" s="1"/>
  <c r="J83" i="5"/>
  <c r="I83" i="5"/>
  <c r="K83" i="5" s="1"/>
  <c r="L83" i="5" s="1"/>
  <c r="J82" i="5"/>
  <c r="I82" i="5"/>
  <c r="K82" i="5" s="1"/>
  <c r="L82" i="5" s="1"/>
  <c r="J81" i="5"/>
  <c r="I81" i="5"/>
  <c r="K81" i="5" s="1"/>
  <c r="J80" i="5"/>
  <c r="I80" i="5"/>
  <c r="K80" i="5" s="1"/>
  <c r="L80" i="5" s="1"/>
  <c r="J79" i="5"/>
  <c r="I79" i="5"/>
  <c r="K79" i="5" s="1"/>
  <c r="L79" i="5" s="1"/>
  <c r="J78" i="5"/>
  <c r="I78" i="5"/>
  <c r="K78" i="5" s="1"/>
  <c r="J77" i="5"/>
  <c r="I77" i="5"/>
  <c r="K77" i="5" s="1"/>
  <c r="J76" i="5"/>
  <c r="I76" i="5"/>
  <c r="K76" i="5" s="1"/>
  <c r="L76" i="5" s="1"/>
  <c r="V78" i="5" s="1"/>
  <c r="J75" i="5"/>
  <c r="I75" i="5"/>
  <c r="K75" i="5" s="1"/>
  <c r="J74" i="5"/>
  <c r="I74" i="5"/>
  <c r="K74" i="5" s="1"/>
  <c r="J73" i="5"/>
  <c r="I73" i="5"/>
  <c r="K73" i="5" s="1"/>
  <c r="J72" i="5"/>
  <c r="I72" i="5"/>
  <c r="K72" i="5" s="1"/>
  <c r="J71" i="5"/>
  <c r="I71" i="5"/>
  <c r="K71" i="5" s="1"/>
  <c r="J70" i="5"/>
  <c r="I70" i="5"/>
  <c r="K70" i="5" s="1"/>
  <c r="J69" i="5"/>
  <c r="I69" i="5"/>
  <c r="K69" i="5" s="1"/>
  <c r="L69" i="5" s="1"/>
  <c r="J68" i="5"/>
  <c r="I68" i="5"/>
  <c r="K68" i="5" s="1"/>
  <c r="J67" i="5"/>
  <c r="I67" i="5"/>
  <c r="K67" i="5" s="1"/>
  <c r="J66" i="5"/>
  <c r="I66" i="5"/>
  <c r="K66" i="5" s="1"/>
  <c r="L66" i="5" s="1"/>
  <c r="V68" i="5" s="1"/>
  <c r="J65" i="5"/>
  <c r="I65" i="5"/>
  <c r="K65" i="5" s="1"/>
  <c r="J64" i="5"/>
  <c r="I64" i="5"/>
  <c r="K64" i="5" s="1"/>
  <c r="J63" i="5"/>
  <c r="I63" i="5"/>
  <c r="K63" i="5" s="1"/>
  <c r="J62" i="5"/>
  <c r="I62" i="5"/>
  <c r="K62" i="5" s="1"/>
  <c r="L62" i="5" s="1"/>
  <c r="J61" i="5"/>
  <c r="I61" i="5"/>
  <c r="K61" i="5" s="1"/>
  <c r="J60" i="5"/>
  <c r="I60" i="5"/>
  <c r="K60" i="5" s="1"/>
  <c r="J59" i="5"/>
  <c r="I59" i="5"/>
  <c r="K59" i="5" s="1"/>
  <c r="J58" i="5"/>
  <c r="I58" i="5"/>
  <c r="K58" i="5" s="1"/>
  <c r="L58" i="5" s="1"/>
  <c r="J57" i="5"/>
  <c r="I57" i="5"/>
  <c r="K57" i="5" s="1"/>
  <c r="L57" i="5" s="1"/>
  <c r="J56" i="5"/>
  <c r="I56" i="5"/>
  <c r="K56" i="5" s="1"/>
  <c r="J55" i="5"/>
  <c r="I55" i="5"/>
  <c r="K55" i="5" s="1"/>
  <c r="J54" i="5"/>
  <c r="I54" i="5"/>
  <c r="K54" i="5" s="1"/>
  <c r="L54" i="5" s="1"/>
  <c r="J53" i="5"/>
  <c r="I53" i="5"/>
  <c r="K53" i="5" s="1"/>
  <c r="J52" i="5"/>
  <c r="I52" i="5"/>
  <c r="K52" i="5" s="1"/>
  <c r="J51" i="5"/>
  <c r="I51" i="5"/>
  <c r="K51" i="5" s="1"/>
  <c r="J50" i="5"/>
  <c r="I50" i="5"/>
  <c r="K50" i="5" s="1"/>
  <c r="J49" i="5"/>
  <c r="I49" i="5"/>
  <c r="K49" i="5" s="1"/>
  <c r="J48" i="5"/>
  <c r="I48" i="5"/>
  <c r="K48" i="5" s="1"/>
  <c r="J47" i="5"/>
  <c r="I47" i="5"/>
  <c r="K47" i="5" s="1"/>
  <c r="J46" i="5"/>
  <c r="I46" i="5"/>
  <c r="K46" i="5" s="1"/>
  <c r="J45" i="5"/>
  <c r="I45" i="5"/>
  <c r="K45" i="5" s="1"/>
  <c r="J44" i="5"/>
  <c r="I44" i="5"/>
  <c r="K44" i="5" s="1"/>
  <c r="J43" i="5"/>
  <c r="I43" i="5"/>
  <c r="K43" i="5" s="1"/>
  <c r="J42" i="5"/>
  <c r="I42" i="5"/>
  <c r="K42" i="5" s="1"/>
  <c r="J41" i="5"/>
  <c r="I41" i="5"/>
  <c r="K41" i="5" s="1"/>
  <c r="L41" i="5" s="1"/>
  <c r="J40" i="5"/>
  <c r="I40" i="5"/>
  <c r="K40" i="5" s="1"/>
  <c r="J39" i="5"/>
  <c r="I39" i="5"/>
  <c r="K39" i="5" s="1"/>
  <c r="J38" i="5"/>
  <c r="I38" i="5"/>
  <c r="K38" i="5" s="1"/>
  <c r="L38" i="5" s="1"/>
  <c r="J37" i="5"/>
  <c r="I37" i="5"/>
  <c r="K37" i="5" s="1"/>
  <c r="L37" i="5" s="1"/>
  <c r="J36" i="5"/>
  <c r="I36" i="5"/>
  <c r="K36" i="5" s="1"/>
  <c r="J35" i="5"/>
  <c r="I35" i="5"/>
  <c r="K35" i="5" s="1"/>
  <c r="L35" i="5" s="1"/>
  <c r="J34" i="5"/>
  <c r="I34" i="5"/>
  <c r="K34" i="5" s="1"/>
  <c r="L34" i="5" s="1"/>
  <c r="J33" i="5"/>
  <c r="I33" i="5"/>
  <c r="K33" i="5" s="1"/>
  <c r="L33" i="5" s="1"/>
  <c r="J32" i="5"/>
  <c r="I32" i="5"/>
  <c r="K32" i="5" s="1"/>
  <c r="J31" i="5"/>
  <c r="I31" i="5"/>
  <c r="K31" i="5" s="1"/>
  <c r="L31" i="5" s="1"/>
  <c r="J30" i="5"/>
  <c r="I30" i="5"/>
  <c r="K30" i="5" s="1"/>
  <c r="L30" i="5" s="1"/>
  <c r="J29" i="5"/>
  <c r="I29" i="5"/>
  <c r="K29" i="5" s="1"/>
  <c r="L29" i="5" s="1"/>
  <c r="J28" i="5"/>
  <c r="I28" i="5"/>
  <c r="K28" i="5" s="1"/>
  <c r="J27" i="5"/>
  <c r="I27" i="5"/>
  <c r="K27" i="5" s="1"/>
  <c r="J26" i="5"/>
  <c r="I26" i="5"/>
  <c r="K26" i="5" s="1"/>
  <c r="J25" i="5"/>
  <c r="I25" i="5"/>
  <c r="K25" i="5" s="1"/>
  <c r="J24" i="5"/>
  <c r="I24" i="5"/>
  <c r="K24" i="5" s="1"/>
  <c r="J23" i="5"/>
  <c r="I23" i="5"/>
  <c r="K23" i="5" s="1"/>
  <c r="J22" i="5"/>
  <c r="I22" i="5"/>
  <c r="K22" i="5" s="1"/>
  <c r="J21" i="5"/>
  <c r="I21" i="5"/>
  <c r="K21" i="5" s="1"/>
  <c r="J20" i="5"/>
  <c r="I20" i="5"/>
  <c r="K20" i="5" s="1"/>
  <c r="J19" i="5"/>
  <c r="I19" i="5"/>
  <c r="K19" i="5" s="1"/>
  <c r="J18" i="5"/>
  <c r="I18" i="5"/>
  <c r="K18" i="5" s="1"/>
  <c r="J17" i="5"/>
  <c r="I17" i="5"/>
  <c r="K17" i="5" s="1"/>
  <c r="J16" i="5"/>
  <c r="I16" i="5"/>
  <c r="K16" i="5" s="1"/>
  <c r="J15" i="5"/>
  <c r="I15" i="5"/>
  <c r="K15" i="5" s="1"/>
  <c r="J14" i="5"/>
  <c r="I14" i="5"/>
  <c r="K14" i="5" s="1"/>
  <c r="J13" i="5"/>
  <c r="I13" i="5"/>
  <c r="K13" i="5" s="1"/>
  <c r="J12" i="5"/>
  <c r="I12" i="5"/>
  <c r="K12" i="5" s="1"/>
  <c r="J11" i="5"/>
  <c r="I11" i="5"/>
  <c r="K11" i="5" s="1"/>
  <c r="J10" i="5"/>
  <c r="I10" i="5"/>
  <c r="K10" i="5" s="1"/>
  <c r="J9" i="5"/>
  <c r="I9" i="5"/>
  <c r="K9" i="5" s="1"/>
  <c r="J8" i="5"/>
  <c r="I8" i="5"/>
  <c r="K8" i="5" s="1"/>
  <c r="J7" i="5"/>
  <c r="I7" i="5"/>
  <c r="K7" i="5" s="1"/>
  <c r="J6" i="5"/>
  <c r="I6" i="5"/>
  <c r="K6" i="5" s="1"/>
  <c r="L6" i="5" s="1"/>
  <c r="J5" i="5"/>
  <c r="I5" i="5"/>
  <c r="K5" i="5" s="1"/>
  <c r="L5" i="5" s="1"/>
  <c r="J4" i="5"/>
  <c r="I4" i="5"/>
  <c r="K4" i="5" s="1"/>
  <c r="J3" i="5"/>
  <c r="I3" i="5"/>
  <c r="K3" i="5" s="1"/>
  <c r="L3" i="5" s="1"/>
  <c r="J2" i="5"/>
  <c r="I2" i="5"/>
  <c r="K2" i="5" s="1"/>
  <c r="L2" i="5" s="1"/>
  <c r="J322" i="4"/>
  <c r="I322" i="4"/>
  <c r="K322" i="4" s="1"/>
  <c r="L322" i="4" s="1"/>
  <c r="J321" i="4"/>
  <c r="I321" i="4"/>
  <c r="K321" i="4" s="1"/>
  <c r="J320" i="4"/>
  <c r="I320" i="4"/>
  <c r="K320" i="4" s="1"/>
  <c r="L320" i="4" s="1"/>
  <c r="V102" i="4" s="1"/>
  <c r="J319" i="4"/>
  <c r="I319" i="4"/>
  <c r="K319" i="4" s="1"/>
  <c r="J318" i="4"/>
  <c r="I318" i="4"/>
  <c r="K318" i="4" s="1"/>
  <c r="J317" i="4"/>
  <c r="I317" i="4"/>
  <c r="K317" i="4" s="1"/>
  <c r="J316" i="4"/>
  <c r="I316" i="4"/>
  <c r="K316" i="4" s="1"/>
  <c r="L316" i="4" s="1"/>
  <c r="V98" i="4" s="1"/>
  <c r="J315" i="4"/>
  <c r="I315" i="4"/>
  <c r="K315" i="4" s="1"/>
  <c r="J314" i="4"/>
  <c r="I314" i="4"/>
  <c r="K314" i="4" s="1"/>
  <c r="J313" i="4"/>
  <c r="I313" i="4"/>
  <c r="K313" i="4" s="1"/>
  <c r="J312" i="4"/>
  <c r="I312" i="4"/>
  <c r="K312" i="4" s="1"/>
  <c r="J311" i="4"/>
  <c r="I311" i="4"/>
  <c r="K311" i="4" s="1"/>
  <c r="J310" i="4"/>
  <c r="I310" i="4"/>
  <c r="K310" i="4" s="1"/>
  <c r="L310" i="4" s="1"/>
  <c r="V92" i="4" s="1"/>
  <c r="J309" i="4"/>
  <c r="I309" i="4"/>
  <c r="K309" i="4" s="1"/>
  <c r="J308" i="4"/>
  <c r="I308" i="4"/>
  <c r="K308" i="4" s="1"/>
  <c r="L308" i="4" s="1"/>
  <c r="V90" i="4" s="1"/>
  <c r="J307" i="4"/>
  <c r="I307" i="4"/>
  <c r="K307" i="4" s="1"/>
  <c r="J306" i="4"/>
  <c r="I306" i="4"/>
  <c r="K306" i="4" s="1"/>
  <c r="J305" i="4"/>
  <c r="I305" i="4"/>
  <c r="K305" i="4" s="1"/>
  <c r="L305" i="4" s="1"/>
  <c r="V87" i="4" s="1"/>
  <c r="J304" i="4"/>
  <c r="I304" i="4"/>
  <c r="K304" i="4" s="1"/>
  <c r="L304" i="4" s="1"/>
  <c r="V86" i="4" s="1"/>
  <c r="J303" i="4"/>
  <c r="I303" i="4"/>
  <c r="K303" i="4" s="1"/>
  <c r="J302" i="4"/>
  <c r="I302" i="4"/>
  <c r="K302" i="4" s="1"/>
  <c r="J301" i="4"/>
  <c r="I301" i="4"/>
  <c r="K301" i="4" s="1"/>
  <c r="J300" i="4"/>
  <c r="I300" i="4"/>
  <c r="K300" i="4" s="1"/>
  <c r="L300" i="4" s="1"/>
  <c r="J299" i="4"/>
  <c r="I299" i="4"/>
  <c r="K299" i="4" s="1"/>
  <c r="J298" i="4"/>
  <c r="I298" i="4"/>
  <c r="K298" i="4" s="1"/>
  <c r="J297" i="4"/>
  <c r="I297" i="4"/>
  <c r="K297" i="4" s="1"/>
  <c r="J296" i="4"/>
  <c r="I296" i="4"/>
  <c r="K296" i="4" s="1"/>
  <c r="L296" i="4" s="1"/>
  <c r="J295" i="4"/>
  <c r="I295" i="4"/>
  <c r="K295" i="4" s="1"/>
  <c r="J294" i="4"/>
  <c r="I294" i="4"/>
  <c r="K294" i="4" s="1"/>
  <c r="J293" i="4"/>
  <c r="I293" i="4"/>
  <c r="K293" i="4" s="1"/>
  <c r="J292" i="4"/>
  <c r="I292" i="4"/>
  <c r="K292" i="4" s="1"/>
  <c r="L292" i="4" s="1"/>
  <c r="J291" i="4"/>
  <c r="I291" i="4"/>
  <c r="K291" i="4" s="1"/>
  <c r="J290" i="4"/>
  <c r="I290" i="4"/>
  <c r="K290" i="4" s="1"/>
  <c r="J289" i="4"/>
  <c r="I289" i="4"/>
  <c r="K289" i="4" s="1"/>
  <c r="J288" i="4"/>
  <c r="I288" i="4"/>
  <c r="K288" i="4" s="1"/>
  <c r="L288" i="4" s="1"/>
  <c r="J287" i="4"/>
  <c r="I287" i="4"/>
  <c r="K287" i="4" s="1"/>
  <c r="J286" i="4"/>
  <c r="I286" i="4"/>
  <c r="K286" i="4" s="1"/>
  <c r="L286" i="4" s="1"/>
  <c r="J285" i="4"/>
  <c r="I285" i="4"/>
  <c r="K285" i="4" s="1"/>
  <c r="L285" i="4" s="1"/>
  <c r="J284" i="4"/>
  <c r="I284" i="4"/>
  <c r="K284" i="4" s="1"/>
  <c r="L284" i="4" s="1"/>
  <c r="J283" i="4"/>
  <c r="I283" i="4"/>
  <c r="K283" i="4" s="1"/>
  <c r="J282" i="4"/>
  <c r="I282" i="4"/>
  <c r="K282" i="4" s="1"/>
  <c r="J281" i="4"/>
  <c r="I281" i="4"/>
  <c r="K281" i="4" s="1"/>
  <c r="J280" i="4"/>
  <c r="I280" i="4"/>
  <c r="K280" i="4" s="1"/>
  <c r="J279" i="4"/>
  <c r="I279" i="4"/>
  <c r="K279" i="4" s="1"/>
  <c r="J278" i="4"/>
  <c r="I278" i="4"/>
  <c r="K278" i="4" s="1"/>
  <c r="J277" i="4"/>
  <c r="I277" i="4"/>
  <c r="K277" i="4" s="1"/>
  <c r="J276" i="4"/>
  <c r="I276" i="4"/>
  <c r="K276" i="4" s="1"/>
  <c r="L276" i="4" s="1"/>
  <c r="J275" i="4"/>
  <c r="I275" i="4"/>
  <c r="K275" i="4" s="1"/>
  <c r="J274" i="4"/>
  <c r="I274" i="4"/>
  <c r="K274" i="4" s="1"/>
  <c r="L274" i="4" s="1"/>
  <c r="J273" i="4"/>
  <c r="I273" i="4"/>
  <c r="K273" i="4" s="1"/>
  <c r="J272" i="4"/>
  <c r="I272" i="4"/>
  <c r="K272" i="4" s="1"/>
  <c r="J271" i="4"/>
  <c r="I271" i="4"/>
  <c r="K271" i="4" s="1"/>
  <c r="J270" i="4"/>
  <c r="I270" i="4"/>
  <c r="K270" i="4" s="1"/>
  <c r="J269" i="4"/>
  <c r="I269" i="4"/>
  <c r="K269" i="4" s="1"/>
  <c r="J268" i="4"/>
  <c r="I268" i="4"/>
  <c r="K268" i="4" s="1"/>
  <c r="J267" i="4"/>
  <c r="I267" i="4"/>
  <c r="K267" i="4" s="1"/>
  <c r="J266" i="4"/>
  <c r="I266" i="4"/>
  <c r="K266" i="4" s="1"/>
  <c r="L266" i="4" s="1"/>
  <c r="J265" i="4"/>
  <c r="I265" i="4"/>
  <c r="K265" i="4" s="1"/>
  <c r="L265" i="4" s="1"/>
  <c r="J264" i="4"/>
  <c r="I264" i="4"/>
  <c r="K264" i="4" s="1"/>
  <c r="J263" i="4"/>
  <c r="I263" i="4"/>
  <c r="K263" i="4" s="1"/>
  <c r="J262" i="4"/>
  <c r="I262" i="4"/>
  <c r="K262" i="4" s="1"/>
  <c r="J261" i="4"/>
  <c r="I261" i="4"/>
  <c r="K261" i="4" s="1"/>
  <c r="J260" i="4"/>
  <c r="I260" i="4"/>
  <c r="K260" i="4" s="1"/>
  <c r="J259" i="4"/>
  <c r="I259" i="4"/>
  <c r="K259" i="4" s="1"/>
  <c r="J258" i="4"/>
  <c r="I258" i="4"/>
  <c r="K258" i="4" s="1"/>
  <c r="J257" i="4"/>
  <c r="I257" i="4"/>
  <c r="K257" i="4" s="1"/>
  <c r="J256" i="4"/>
  <c r="I256" i="4"/>
  <c r="K256" i="4" s="1"/>
  <c r="J255" i="4"/>
  <c r="I255" i="4"/>
  <c r="K255" i="4" s="1"/>
  <c r="J254" i="4"/>
  <c r="I254" i="4"/>
  <c r="K254" i="4" s="1"/>
  <c r="J253" i="4"/>
  <c r="I253" i="4"/>
  <c r="K253" i="4" s="1"/>
  <c r="J252" i="4"/>
  <c r="I252" i="4"/>
  <c r="K252" i="4" s="1"/>
  <c r="J251" i="4"/>
  <c r="I251" i="4"/>
  <c r="K251" i="4" s="1"/>
  <c r="J250" i="4"/>
  <c r="I250" i="4"/>
  <c r="K250" i="4" s="1"/>
  <c r="J249" i="4"/>
  <c r="I249" i="4"/>
  <c r="K249" i="4" s="1"/>
  <c r="K248" i="4"/>
  <c r="J248" i="4"/>
  <c r="I248" i="4"/>
  <c r="J247" i="4"/>
  <c r="I247" i="4"/>
  <c r="K247" i="4" s="1"/>
  <c r="J246" i="4"/>
  <c r="I246" i="4"/>
  <c r="K246" i="4" s="1"/>
  <c r="J245" i="4"/>
  <c r="I245" i="4"/>
  <c r="K245" i="4" s="1"/>
  <c r="J244" i="4"/>
  <c r="I244" i="4"/>
  <c r="K244" i="4" s="1"/>
  <c r="J243" i="4"/>
  <c r="I243" i="4"/>
  <c r="K243" i="4" s="1"/>
  <c r="J242" i="4"/>
  <c r="I242" i="4"/>
  <c r="K242" i="4" s="1"/>
  <c r="J241" i="4"/>
  <c r="I241" i="4"/>
  <c r="K241" i="4" s="1"/>
  <c r="J240" i="4"/>
  <c r="I240" i="4"/>
  <c r="K240" i="4" s="1"/>
  <c r="J239" i="4"/>
  <c r="I239" i="4"/>
  <c r="K239" i="4" s="1"/>
  <c r="J238" i="4"/>
  <c r="I238" i="4"/>
  <c r="K238" i="4" s="1"/>
  <c r="J237" i="4"/>
  <c r="I237" i="4"/>
  <c r="K237" i="4" s="1"/>
  <c r="J236" i="4"/>
  <c r="I236" i="4"/>
  <c r="K236" i="4" s="1"/>
  <c r="J235" i="4"/>
  <c r="I235" i="4"/>
  <c r="K235" i="4" s="1"/>
  <c r="J234" i="4"/>
  <c r="I234" i="4"/>
  <c r="K234" i="4" s="1"/>
  <c r="L234" i="4" s="1"/>
  <c r="J233" i="4"/>
  <c r="I233" i="4"/>
  <c r="K233" i="4" s="1"/>
  <c r="J232" i="4"/>
  <c r="I232" i="4"/>
  <c r="K232" i="4" s="1"/>
  <c r="J231" i="4"/>
  <c r="I231" i="4"/>
  <c r="K231" i="4" s="1"/>
  <c r="J230" i="4"/>
  <c r="I230" i="4"/>
  <c r="K230" i="4" s="1"/>
  <c r="J229" i="4"/>
  <c r="I229" i="4"/>
  <c r="K229" i="4" s="1"/>
  <c r="J228" i="4"/>
  <c r="I228" i="4"/>
  <c r="K228" i="4" s="1"/>
  <c r="J227" i="4"/>
  <c r="I227" i="4"/>
  <c r="K227" i="4" s="1"/>
  <c r="J226" i="4"/>
  <c r="I226" i="4"/>
  <c r="K226" i="4" s="1"/>
  <c r="J225" i="4"/>
  <c r="I225" i="4"/>
  <c r="K225" i="4" s="1"/>
  <c r="J224" i="4"/>
  <c r="I224" i="4"/>
  <c r="K224" i="4" s="1"/>
  <c r="J223" i="4"/>
  <c r="I223" i="4"/>
  <c r="K223" i="4" s="1"/>
  <c r="J222" i="4"/>
  <c r="I222" i="4"/>
  <c r="K222" i="4" s="1"/>
  <c r="J221" i="4"/>
  <c r="I221" i="4"/>
  <c r="K221" i="4" s="1"/>
  <c r="J220" i="4"/>
  <c r="I220" i="4"/>
  <c r="K220" i="4" s="1"/>
  <c r="J219" i="4"/>
  <c r="I219" i="4"/>
  <c r="K219" i="4" s="1"/>
  <c r="L219" i="4" s="1"/>
  <c r="J218" i="4"/>
  <c r="I218" i="4"/>
  <c r="K218" i="4" s="1"/>
  <c r="J217" i="4"/>
  <c r="I217" i="4"/>
  <c r="K217" i="4" s="1"/>
  <c r="J216" i="4"/>
  <c r="I216" i="4"/>
  <c r="K216" i="4" s="1"/>
  <c r="J215" i="4"/>
  <c r="I215" i="4"/>
  <c r="K215" i="4" s="1"/>
  <c r="L215" i="4" s="1"/>
  <c r="J214" i="4"/>
  <c r="I214" i="4"/>
  <c r="K214" i="4" s="1"/>
  <c r="J213" i="4"/>
  <c r="I213" i="4"/>
  <c r="K213" i="4" s="1"/>
  <c r="J212" i="4"/>
  <c r="I212" i="4"/>
  <c r="K212" i="4" s="1"/>
  <c r="J211" i="4"/>
  <c r="I211" i="4"/>
  <c r="K211" i="4" s="1"/>
  <c r="J210" i="4"/>
  <c r="I210" i="4"/>
  <c r="K210" i="4" s="1"/>
  <c r="J209" i="4"/>
  <c r="I209" i="4"/>
  <c r="K209" i="4" s="1"/>
  <c r="J208" i="4"/>
  <c r="I208" i="4"/>
  <c r="K208" i="4" s="1"/>
  <c r="J207" i="4"/>
  <c r="I207" i="4"/>
  <c r="K207" i="4" s="1"/>
  <c r="L207" i="4" s="1"/>
  <c r="J206" i="4"/>
  <c r="I206" i="4"/>
  <c r="K206" i="4" s="1"/>
  <c r="J205" i="4"/>
  <c r="I205" i="4"/>
  <c r="K205" i="4" s="1"/>
  <c r="J204" i="4"/>
  <c r="I204" i="4"/>
  <c r="K204" i="4" s="1"/>
  <c r="J203" i="4"/>
  <c r="I203" i="4"/>
  <c r="K203" i="4" s="1"/>
  <c r="J202" i="4"/>
  <c r="I202" i="4"/>
  <c r="K202" i="4" s="1"/>
  <c r="J201" i="4"/>
  <c r="I201" i="4"/>
  <c r="K201" i="4" s="1"/>
  <c r="L201" i="4" s="1"/>
  <c r="J200" i="4"/>
  <c r="I200" i="4"/>
  <c r="K200" i="4" s="1"/>
  <c r="J199" i="4"/>
  <c r="I199" i="4"/>
  <c r="K199" i="4" s="1"/>
  <c r="L199" i="4" s="1"/>
  <c r="J198" i="4"/>
  <c r="I198" i="4"/>
  <c r="K198" i="4" s="1"/>
  <c r="J197" i="4"/>
  <c r="I197" i="4"/>
  <c r="K197" i="4" s="1"/>
  <c r="J196" i="4"/>
  <c r="I196" i="4"/>
  <c r="K196" i="4" s="1"/>
  <c r="J195" i="4"/>
  <c r="I195" i="4"/>
  <c r="K195" i="4" s="1"/>
  <c r="J194" i="4"/>
  <c r="I194" i="4"/>
  <c r="K194" i="4" s="1"/>
  <c r="L194" i="4" s="1"/>
  <c r="J193" i="4"/>
  <c r="I193" i="4"/>
  <c r="K193" i="4" s="1"/>
  <c r="J192" i="4"/>
  <c r="I192" i="4"/>
  <c r="K192" i="4" s="1"/>
  <c r="J191" i="4"/>
  <c r="I191" i="4"/>
  <c r="K191" i="4" s="1"/>
  <c r="L191" i="4" s="1"/>
  <c r="J190" i="4"/>
  <c r="I190" i="4"/>
  <c r="K190" i="4" s="1"/>
  <c r="L190" i="4" s="1"/>
  <c r="J189" i="4"/>
  <c r="I189" i="4"/>
  <c r="K189" i="4" s="1"/>
  <c r="L189" i="4" s="1"/>
  <c r="J188" i="4"/>
  <c r="I188" i="4"/>
  <c r="K188" i="4" s="1"/>
  <c r="J187" i="4"/>
  <c r="I187" i="4"/>
  <c r="K187" i="4" s="1"/>
  <c r="J186" i="4"/>
  <c r="I186" i="4"/>
  <c r="K186" i="4" s="1"/>
  <c r="J185" i="4"/>
  <c r="I185" i="4"/>
  <c r="K185" i="4" s="1"/>
  <c r="J184" i="4"/>
  <c r="I184" i="4"/>
  <c r="K184" i="4" s="1"/>
  <c r="J183" i="4"/>
  <c r="I183" i="4"/>
  <c r="K183" i="4" s="1"/>
  <c r="J182" i="4"/>
  <c r="I182" i="4"/>
  <c r="K182" i="4" s="1"/>
  <c r="L182" i="4" s="1"/>
  <c r="J181" i="4"/>
  <c r="I181" i="4"/>
  <c r="K181" i="4" s="1"/>
  <c r="J180" i="4"/>
  <c r="I180" i="4"/>
  <c r="K180" i="4" s="1"/>
  <c r="J179" i="4"/>
  <c r="I179" i="4"/>
  <c r="K179" i="4" s="1"/>
  <c r="J178" i="4"/>
  <c r="I178" i="4"/>
  <c r="K178" i="4" s="1"/>
  <c r="J177" i="4"/>
  <c r="I177" i="4"/>
  <c r="K177" i="4" s="1"/>
  <c r="L177" i="4" s="1"/>
  <c r="J176" i="4"/>
  <c r="I176" i="4"/>
  <c r="K176" i="4" s="1"/>
  <c r="J175" i="4"/>
  <c r="I175" i="4"/>
  <c r="K175" i="4" s="1"/>
  <c r="J174" i="4"/>
  <c r="I174" i="4"/>
  <c r="K174" i="4" s="1"/>
  <c r="J173" i="4"/>
  <c r="I173" i="4"/>
  <c r="K173" i="4" s="1"/>
  <c r="L173" i="4" s="1"/>
  <c r="J172" i="4"/>
  <c r="I172" i="4"/>
  <c r="K172" i="4" s="1"/>
  <c r="J171" i="4"/>
  <c r="I171" i="4"/>
  <c r="K171" i="4" s="1"/>
  <c r="J170" i="4"/>
  <c r="I170" i="4"/>
  <c r="K170" i="4" s="1"/>
  <c r="L170" i="4" s="1"/>
  <c r="J169" i="4"/>
  <c r="I169" i="4"/>
  <c r="K169" i="4" s="1"/>
  <c r="L169" i="4" s="1"/>
  <c r="J168" i="4"/>
  <c r="I168" i="4"/>
  <c r="K168" i="4" s="1"/>
  <c r="J167" i="4"/>
  <c r="I167" i="4"/>
  <c r="K167" i="4" s="1"/>
  <c r="J166" i="4"/>
  <c r="I166" i="4"/>
  <c r="K166" i="4" s="1"/>
  <c r="J165" i="4"/>
  <c r="I165" i="4"/>
  <c r="K165" i="4" s="1"/>
  <c r="L165" i="4" s="1"/>
  <c r="J164" i="4"/>
  <c r="I164" i="4"/>
  <c r="K164" i="4" s="1"/>
  <c r="J163" i="4"/>
  <c r="I163" i="4"/>
  <c r="K163" i="4" s="1"/>
  <c r="J162" i="4"/>
  <c r="I162" i="4"/>
  <c r="K162" i="4" s="1"/>
  <c r="L162" i="4" s="1"/>
  <c r="J161" i="4"/>
  <c r="I161" i="4"/>
  <c r="K161" i="4" s="1"/>
  <c r="L161" i="4" s="1"/>
  <c r="J160" i="4"/>
  <c r="I160" i="4"/>
  <c r="K160" i="4" s="1"/>
  <c r="J159" i="4"/>
  <c r="I159" i="4"/>
  <c r="K159" i="4" s="1"/>
  <c r="J158" i="4"/>
  <c r="I158" i="4"/>
  <c r="K158" i="4" s="1"/>
  <c r="L158" i="4" s="1"/>
  <c r="J157" i="4"/>
  <c r="I157" i="4"/>
  <c r="K157" i="4" s="1"/>
  <c r="L157" i="4" s="1"/>
  <c r="J156" i="4"/>
  <c r="I156" i="4"/>
  <c r="K156" i="4" s="1"/>
  <c r="J155" i="4"/>
  <c r="I155" i="4"/>
  <c r="K155" i="4" s="1"/>
  <c r="J154" i="4"/>
  <c r="I154" i="4"/>
  <c r="K154" i="4" s="1"/>
  <c r="L154" i="4" s="1"/>
  <c r="J153" i="4"/>
  <c r="I153" i="4"/>
  <c r="K153" i="4" s="1"/>
  <c r="L153" i="4" s="1"/>
  <c r="J152" i="4"/>
  <c r="I152" i="4"/>
  <c r="K152" i="4" s="1"/>
  <c r="J151" i="4"/>
  <c r="I151" i="4"/>
  <c r="K151" i="4" s="1"/>
  <c r="J150" i="4"/>
  <c r="I150" i="4"/>
  <c r="K150" i="4" s="1"/>
  <c r="L150" i="4" s="1"/>
  <c r="J149" i="4"/>
  <c r="I149" i="4"/>
  <c r="K149" i="4" s="1"/>
  <c r="J148" i="4"/>
  <c r="I148" i="4"/>
  <c r="K148" i="4" s="1"/>
  <c r="J147" i="4"/>
  <c r="I147" i="4"/>
  <c r="K147" i="4" s="1"/>
  <c r="J146" i="4"/>
  <c r="I146" i="4"/>
  <c r="K146" i="4" s="1"/>
  <c r="J145" i="4"/>
  <c r="I145" i="4"/>
  <c r="K145" i="4" s="1"/>
  <c r="L145" i="4" s="1"/>
  <c r="J144" i="4"/>
  <c r="I144" i="4"/>
  <c r="K144" i="4" s="1"/>
  <c r="J143" i="4"/>
  <c r="I143" i="4"/>
  <c r="K143" i="4" s="1"/>
  <c r="J142" i="4"/>
  <c r="I142" i="4"/>
  <c r="K142" i="4" s="1"/>
  <c r="J141" i="4"/>
  <c r="I141" i="4"/>
  <c r="K141" i="4" s="1"/>
  <c r="J140" i="4"/>
  <c r="I140" i="4"/>
  <c r="K140" i="4" s="1"/>
  <c r="J139" i="4"/>
  <c r="I139" i="4"/>
  <c r="K139" i="4" s="1"/>
  <c r="J138" i="4"/>
  <c r="I138" i="4"/>
  <c r="K138" i="4" s="1"/>
  <c r="J137" i="4"/>
  <c r="I137" i="4"/>
  <c r="K137" i="4" s="1"/>
  <c r="L137" i="4" s="1"/>
  <c r="J136" i="4"/>
  <c r="I136" i="4"/>
  <c r="K136" i="4" s="1"/>
  <c r="J135" i="4"/>
  <c r="I135" i="4"/>
  <c r="K135" i="4" s="1"/>
  <c r="J134" i="4"/>
  <c r="I134" i="4"/>
  <c r="K134" i="4" s="1"/>
  <c r="J133" i="4"/>
  <c r="I133" i="4"/>
  <c r="K133" i="4" s="1"/>
  <c r="J132" i="4"/>
  <c r="I132" i="4"/>
  <c r="K132" i="4" s="1"/>
  <c r="J131" i="4"/>
  <c r="I131" i="4"/>
  <c r="K131" i="4" s="1"/>
  <c r="J130" i="4"/>
  <c r="I130" i="4"/>
  <c r="K130" i="4" s="1"/>
  <c r="J129" i="4"/>
  <c r="I129" i="4"/>
  <c r="K129" i="4" s="1"/>
  <c r="J128" i="4"/>
  <c r="I128" i="4"/>
  <c r="K128" i="4" s="1"/>
  <c r="J127" i="4"/>
  <c r="I127" i="4"/>
  <c r="K127" i="4" s="1"/>
  <c r="J126" i="4"/>
  <c r="I126" i="4"/>
  <c r="K126" i="4" s="1"/>
  <c r="L126" i="4" s="1"/>
  <c r="J125" i="4"/>
  <c r="I125" i="4"/>
  <c r="K125" i="4" s="1"/>
  <c r="J124" i="4"/>
  <c r="I124" i="4"/>
  <c r="K124" i="4" s="1"/>
  <c r="J123" i="4"/>
  <c r="I123" i="4"/>
  <c r="K123" i="4" s="1"/>
  <c r="J122" i="4"/>
  <c r="I122" i="4"/>
  <c r="K122" i="4" s="1"/>
  <c r="J121" i="4"/>
  <c r="I121" i="4"/>
  <c r="K121" i="4" s="1"/>
  <c r="L121" i="4" s="1"/>
  <c r="J120" i="4"/>
  <c r="I120" i="4"/>
  <c r="K120" i="4" s="1"/>
  <c r="J119" i="4"/>
  <c r="I119" i="4"/>
  <c r="K119" i="4" s="1"/>
  <c r="J118" i="4"/>
  <c r="I118" i="4"/>
  <c r="K118" i="4" s="1"/>
  <c r="J117" i="4"/>
  <c r="I117" i="4"/>
  <c r="K117" i="4" s="1"/>
  <c r="J116" i="4"/>
  <c r="I116" i="4"/>
  <c r="K116" i="4" s="1"/>
  <c r="J115" i="4"/>
  <c r="I115" i="4"/>
  <c r="K115" i="4" s="1"/>
  <c r="J114" i="4"/>
  <c r="I114" i="4"/>
  <c r="K114" i="4" s="1"/>
  <c r="J113" i="4"/>
  <c r="I113" i="4"/>
  <c r="K113" i="4" s="1"/>
  <c r="L113" i="4" s="1"/>
  <c r="J112" i="4"/>
  <c r="I112" i="4"/>
  <c r="K112" i="4" s="1"/>
  <c r="J111" i="4"/>
  <c r="I111" i="4"/>
  <c r="K111" i="4" s="1"/>
  <c r="J110" i="4"/>
  <c r="I110" i="4"/>
  <c r="K110" i="4" s="1"/>
  <c r="J109" i="4"/>
  <c r="I109" i="4"/>
  <c r="K109" i="4" s="1"/>
  <c r="J108" i="4"/>
  <c r="I108" i="4"/>
  <c r="K108" i="4" s="1"/>
  <c r="J107" i="4"/>
  <c r="I107" i="4"/>
  <c r="K107" i="4" s="1"/>
  <c r="L107" i="4" s="1"/>
  <c r="J106" i="4"/>
  <c r="I106" i="4"/>
  <c r="K106" i="4" s="1"/>
  <c r="L106" i="4" s="1"/>
  <c r="J105" i="4"/>
  <c r="I105" i="4"/>
  <c r="K105" i="4" s="1"/>
  <c r="J104" i="4"/>
  <c r="I104" i="4"/>
  <c r="K104" i="4" s="1"/>
  <c r="J103" i="4"/>
  <c r="I103" i="4"/>
  <c r="K103" i="4" s="1"/>
  <c r="J102" i="4"/>
  <c r="I102" i="4"/>
  <c r="K102" i="4" s="1"/>
  <c r="J101" i="4"/>
  <c r="I101" i="4"/>
  <c r="K101" i="4" s="1"/>
  <c r="J100" i="4"/>
  <c r="I100" i="4"/>
  <c r="K100" i="4" s="1"/>
  <c r="J99" i="4"/>
  <c r="I99" i="4"/>
  <c r="K99" i="4" s="1"/>
  <c r="J98" i="4"/>
  <c r="I98" i="4"/>
  <c r="K98" i="4" s="1"/>
  <c r="J97" i="4"/>
  <c r="I97" i="4"/>
  <c r="K97" i="4" s="1"/>
  <c r="J96" i="4"/>
  <c r="I96" i="4"/>
  <c r="K96" i="4" s="1"/>
  <c r="J95" i="4"/>
  <c r="I95" i="4"/>
  <c r="K95" i="4" s="1"/>
  <c r="J94" i="4"/>
  <c r="I94" i="4"/>
  <c r="K94" i="4" s="1"/>
  <c r="J93" i="4"/>
  <c r="I93" i="4"/>
  <c r="K93" i="4" s="1"/>
  <c r="J92" i="4"/>
  <c r="I92" i="4"/>
  <c r="K92" i="4" s="1"/>
  <c r="J91" i="4"/>
  <c r="I91" i="4"/>
  <c r="K91" i="4" s="1"/>
  <c r="J90" i="4"/>
  <c r="I90" i="4"/>
  <c r="K90" i="4" s="1"/>
  <c r="J89" i="4"/>
  <c r="I89" i="4"/>
  <c r="K89" i="4" s="1"/>
  <c r="J88" i="4"/>
  <c r="I88" i="4"/>
  <c r="K88" i="4" s="1"/>
  <c r="J87" i="4"/>
  <c r="I87" i="4"/>
  <c r="K87" i="4" s="1"/>
  <c r="J86" i="4"/>
  <c r="I86" i="4"/>
  <c r="K86" i="4" s="1"/>
  <c r="J85" i="4"/>
  <c r="I85" i="4"/>
  <c r="K85" i="4" s="1"/>
  <c r="J84" i="4"/>
  <c r="I84" i="4"/>
  <c r="K84" i="4" s="1"/>
  <c r="J83" i="4"/>
  <c r="I83" i="4"/>
  <c r="K83" i="4" s="1"/>
  <c r="J82" i="4"/>
  <c r="I82" i="4"/>
  <c r="K82" i="4" s="1"/>
  <c r="L82" i="4" s="1"/>
  <c r="J81" i="4"/>
  <c r="I81" i="4"/>
  <c r="K81" i="4" s="1"/>
  <c r="J80" i="4"/>
  <c r="I80" i="4"/>
  <c r="K80" i="4" s="1"/>
  <c r="J79" i="4"/>
  <c r="I79" i="4"/>
  <c r="K79" i="4" s="1"/>
  <c r="L79" i="4" s="1"/>
  <c r="V81" i="4" s="1"/>
  <c r="J78" i="4"/>
  <c r="I78" i="4"/>
  <c r="K78" i="4" s="1"/>
  <c r="L78" i="4" s="1"/>
  <c r="J77" i="4"/>
  <c r="I77" i="4"/>
  <c r="K77" i="4" s="1"/>
  <c r="J76" i="4"/>
  <c r="I76" i="4"/>
  <c r="K76" i="4" s="1"/>
  <c r="J75" i="4"/>
  <c r="I75" i="4"/>
  <c r="K75" i="4" s="1"/>
  <c r="J74" i="4"/>
  <c r="I74" i="4"/>
  <c r="K74" i="4" s="1"/>
  <c r="J73" i="4"/>
  <c r="I73" i="4"/>
  <c r="K73" i="4" s="1"/>
  <c r="J72" i="4"/>
  <c r="I72" i="4"/>
  <c r="K72" i="4" s="1"/>
  <c r="J71" i="4"/>
  <c r="I71" i="4"/>
  <c r="K71" i="4" s="1"/>
  <c r="L71" i="4" s="1"/>
  <c r="J70" i="4"/>
  <c r="I70" i="4"/>
  <c r="K70" i="4" s="1"/>
  <c r="J69" i="4"/>
  <c r="I69" i="4"/>
  <c r="K69" i="4" s="1"/>
  <c r="J68" i="4"/>
  <c r="I68" i="4"/>
  <c r="K68" i="4" s="1"/>
  <c r="J67" i="4"/>
  <c r="I67" i="4"/>
  <c r="K67" i="4" s="1"/>
  <c r="J66" i="4"/>
  <c r="I66" i="4"/>
  <c r="K66" i="4" s="1"/>
  <c r="J65" i="4"/>
  <c r="I65" i="4"/>
  <c r="K65" i="4" s="1"/>
  <c r="J64" i="4"/>
  <c r="I64" i="4"/>
  <c r="K64" i="4" s="1"/>
  <c r="J63" i="4"/>
  <c r="I63" i="4"/>
  <c r="K63" i="4" s="1"/>
  <c r="L63" i="4" s="1"/>
  <c r="J62" i="4"/>
  <c r="I62" i="4"/>
  <c r="K62" i="4" s="1"/>
  <c r="L62" i="4" s="1"/>
  <c r="J61" i="4"/>
  <c r="I61" i="4"/>
  <c r="K61" i="4" s="1"/>
  <c r="J60" i="4"/>
  <c r="I60" i="4"/>
  <c r="K60" i="4" s="1"/>
  <c r="J59" i="4"/>
  <c r="I59" i="4"/>
  <c r="K59" i="4" s="1"/>
  <c r="L59" i="4" s="1"/>
  <c r="J58" i="4"/>
  <c r="I58" i="4"/>
  <c r="K58" i="4" s="1"/>
  <c r="L58" i="4" s="1"/>
  <c r="J57" i="4"/>
  <c r="I57" i="4"/>
  <c r="K57" i="4" s="1"/>
  <c r="J56" i="4"/>
  <c r="I56" i="4"/>
  <c r="K56" i="4" s="1"/>
  <c r="J55" i="4"/>
  <c r="I55" i="4"/>
  <c r="K55" i="4" s="1"/>
  <c r="J54" i="4"/>
  <c r="I54" i="4"/>
  <c r="K54" i="4" s="1"/>
  <c r="L54" i="4" s="1"/>
  <c r="J53" i="4"/>
  <c r="I53" i="4"/>
  <c r="K53" i="4" s="1"/>
  <c r="J52" i="4"/>
  <c r="I52" i="4"/>
  <c r="K52" i="4" s="1"/>
  <c r="J51" i="4"/>
  <c r="I51" i="4"/>
  <c r="K51" i="4" s="1"/>
  <c r="L51" i="4" s="1"/>
  <c r="J50" i="4"/>
  <c r="I50" i="4"/>
  <c r="K50" i="4" s="1"/>
  <c r="L50" i="4" s="1"/>
  <c r="J49" i="4"/>
  <c r="I49" i="4"/>
  <c r="K49" i="4" s="1"/>
  <c r="J48" i="4"/>
  <c r="I48" i="4"/>
  <c r="K48" i="4" s="1"/>
  <c r="J47" i="4"/>
  <c r="I47" i="4"/>
  <c r="K47" i="4" s="1"/>
  <c r="L47" i="4" s="1"/>
  <c r="J46" i="4"/>
  <c r="I46" i="4"/>
  <c r="K46" i="4" s="1"/>
  <c r="J45" i="4"/>
  <c r="I45" i="4"/>
  <c r="K45" i="4" s="1"/>
  <c r="J44" i="4"/>
  <c r="I44" i="4"/>
  <c r="K44" i="4" s="1"/>
  <c r="J43" i="4"/>
  <c r="I43" i="4"/>
  <c r="K43" i="4" s="1"/>
  <c r="J42" i="4"/>
  <c r="I42" i="4"/>
  <c r="K42" i="4" s="1"/>
  <c r="J41" i="4"/>
  <c r="I41" i="4"/>
  <c r="K41" i="4" s="1"/>
  <c r="J40" i="4"/>
  <c r="I40" i="4"/>
  <c r="K40" i="4" s="1"/>
  <c r="J39" i="4"/>
  <c r="I39" i="4"/>
  <c r="K39" i="4" s="1"/>
  <c r="J38" i="4"/>
  <c r="I38" i="4"/>
  <c r="K38" i="4" s="1"/>
  <c r="L38" i="4" s="1"/>
  <c r="J37" i="4"/>
  <c r="I37" i="4"/>
  <c r="K37" i="4" s="1"/>
  <c r="J36" i="4"/>
  <c r="I36" i="4"/>
  <c r="K36" i="4" s="1"/>
  <c r="J35" i="4"/>
  <c r="I35" i="4"/>
  <c r="K35" i="4" s="1"/>
  <c r="L35" i="4" s="1"/>
  <c r="J34" i="4"/>
  <c r="I34" i="4"/>
  <c r="K34" i="4" s="1"/>
  <c r="L34" i="4" s="1"/>
  <c r="J33" i="4"/>
  <c r="I33" i="4"/>
  <c r="K33" i="4" s="1"/>
  <c r="J32" i="4"/>
  <c r="I32" i="4"/>
  <c r="K32" i="4" s="1"/>
  <c r="J31" i="4"/>
  <c r="I31" i="4"/>
  <c r="K31" i="4" s="1"/>
  <c r="L31" i="4" s="1"/>
  <c r="J30" i="4"/>
  <c r="I30" i="4"/>
  <c r="K30" i="4" s="1"/>
  <c r="J29" i="4"/>
  <c r="I29" i="4"/>
  <c r="K29" i="4" s="1"/>
  <c r="J28" i="4"/>
  <c r="I28" i="4"/>
  <c r="K28" i="4" s="1"/>
  <c r="J27" i="4"/>
  <c r="I27" i="4"/>
  <c r="K27" i="4" s="1"/>
  <c r="J26" i="4"/>
  <c r="I26" i="4"/>
  <c r="K26" i="4" s="1"/>
  <c r="L26" i="4" s="1"/>
  <c r="J25" i="4"/>
  <c r="I25" i="4"/>
  <c r="K25" i="4" s="1"/>
  <c r="J24" i="4"/>
  <c r="I24" i="4"/>
  <c r="K24" i="4" s="1"/>
  <c r="J23" i="4"/>
  <c r="I23" i="4"/>
  <c r="K23" i="4" s="1"/>
  <c r="L23" i="4" s="1"/>
  <c r="J22" i="4"/>
  <c r="I22" i="4"/>
  <c r="K22" i="4" s="1"/>
  <c r="L22" i="4" s="1"/>
  <c r="J21" i="4"/>
  <c r="I21" i="4"/>
  <c r="K21" i="4" s="1"/>
  <c r="J20" i="4"/>
  <c r="I20" i="4"/>
  <c r="K20" i="4" s="1"/>
  <c r="J19" i="4"/>
  <c r="I19" i="4"/>
  <c r="K19" i="4" s="1"/>
  <c r="L19" i="4" s="1"/>
  <c r="J18" i="4"/>
  <c r="I18" i="4"/>
  <c r="K18" i="4" s="1"/>
  <c r="L18" i="4" s="1"/>
  <c r="J17" i="4"/>
  <c r="I17" i="4"/>
  <c r="K17" i="4" s="1"/>
  <c r="J16" i="4"/>
  <c r="I16" i="4"/>
  <c r="K16" i="4" s="1"/>
  <c r="J15" i="4"/>
  <c r="I15" i="4"/>
  <c r="K15" i="4" s="1"/>
  <c r="J14" i="4"/>
  <c r="I14" i="4"/>
  <c r="K14" i="4" s="1"/>
  <c r="L14" i="4" s="1"/>
  <c r="J13" i="4"/>
  <c r="I13" i="4"/>
  <c r="K13" i="4" s="1"/>
  <c r="L13" i="4" s="1"/>
  <c r="J12" i="4"/>
  <c r="I12" i="4"/>
  <c r="K12" i="4" s="1"/>
  <c r="J11" i="4"/>
  <c r="I11" i="4"/>
  <c r="K11" i="4" s="1"/>
  <c r="L11" i="4" s="1"/>
  <c r="J10" i="4"/>
  <c r="I10" i="4"/>
  <c r="K10" i="4" s="1"/>
  <c r="J9" i="4"/>
  <c r="I9" i="4"/>
  <c r="K9" i="4" s="1"/>
  <c r="J8" i="4"/>
  <c r="I8" i="4"/>
  <c r="K8" i="4" s="1"/>
  <c r="J7" i="4"/>
  <c r="I7" i="4"/>
  <c r="K7" i="4" s="1"/>
  <c r="J6" i="4"/>
  <c r="I6" i="4"/>
  <c r="K6" i="4" s="1"/>
  <c r="J5" i="4"/>
  <c r="I5" i="4"/>
  <c r="K5" i="4" s="1"/>
  <c r="J4" i="4"/>
  <c r="I4" i="4"/>
  <c r="K4" i="4" s="1"/>
  <c r="J3" i="4"/>
  <c r="I3" i="4"/>
  <c r="K3" i="4" s="1"/>
  <c r="J2" i="4"/>
  <c r="I2" i="4"/>
  <c r="K2" i="4" s="1"/>
  <c r="J322" i="3"/>
  <c r="I322" i="3"/>
  <c r="K322" i="3" s="1"/>
  <c r="J321" i="3"/>
  <c r="I321" i="3"/>
  <c r="K321" i="3" s="1"/>
  <c r="J320" i="3"/>
  <c r="I320" i="3"/>
  <c r="K320" i="3" s="1"/>
  <c r="J319" i="3"/>
  <c r="I319" i="3"/>
  <c r="K319" i="3" s="1"/>
  <c r="J318" i="3"/>
  <c r="I318" i="3"/>
  <c r="K318" i="3" s="1"/>
  <c r="J317" i="3"/>
  <c r="I317" i="3"/>
  <c r="K317" i="3" s="1"/>
  <c r="L317" i="3" s="1"/>
  <c r="V99" i="3" s="1"/>
  <c r="J316" i="3"/>
  <c r="I316" i="3"/>
  <c r="K316" i="3" s="1"/>
  <c r="J315" i="3"/>
  <c r="I315" i="3"/>
  <c r="K315" i="3" s="1"/>
  <c r="J314" i="3"/>
  <c r="I314" i="3"/>
  <c r="K314" i="3" s="1"/>
  <c r="J313" i="3"/>
  <c r="I313" i="3"/>
  <c r="K313" i="3" s="1"/>
  <c r="J312" i="3"/>
  <c r="I312" i="3"/>
  <c r="K312" i="3" s="1"/>
  <c r="J311" i="3"/>
  <c r="I311" i="3"/>
  <c r="K311" i="3" s="1"/>
  <c r="J310" i="3"/>
  <c r="I310" i="3"/>
  <c r="K310" i="3" s="1"/>
  <c r="J309" i="3"/>
  <c r="I309" i="3"/>
  <c r="K309" i="3" s="1"/>
  <c r="L309" i="3" s="1"/>
  <c r="V91" i="3" s="1"/>
  <c r="J308" i="3"/>
  <c r="I308" i="3"/>
  <c r="K308" i="3" s="1"/>
  <c r="J307" i="3"/>
  <c r="I307" i="3"/>
  <c r="K307" i="3" s="1"/>
  <c r="J306" i="3"/>
  <c r="I306" i="3"/>
  <c r="K306" i="3" s="1"/>
  <c r="J305" i="3"/>
  <c r="I305" i="3"/>
  <c r="K305" i="3" s="1"/>
  <c r="L305" i="3" s="1"/>
  <c r="V87" i="3" s="1"/>
  <c r="J304" i="3"/>
  <c r="I304" i="3"/>
  <c r="K304" i="3" s="1"/>
  <c r="J303" i="3"/>
  <c r="I303" i="3"/>
  <c r="K303" i="3" s="1"/>
  <c r="J302" i="3"/>
  <c r="I302" i="3"/>
  <c r="K302" i="3" s="1"/>
  <c r="J301" i="3"/>
  <c r="I301" i="3"/>
  <c r="K301" i="3" s="1"/>
  <c r="J300" i="3"/>
  <c r="I300" i="3"/>
  <c r="K300" i="3" s="1"/>
  <c r="J299" i="3"/>
  <c r="I299" i="3"/>
  <c r="K299" i="3" s="1"/>
  <c r="J298" i="3"/>
  <c r="I298" i="3"/>
  <c r="K298" i="3" s="1"/>
  <c r="J297" i="3"/>
  <c r="I297" i="3"/>
  <c r="K297" i="3" s="1"/>
  <c r="L297" i="3" s="1"/>
  <c r="J296" i="3"/>
  <c r="I296" i="3"/>
  <c r="K296" i="3" s="1"/>
  <c r="J295" i="3"/>
  <c r="I295" i="3"/>
  <c r="K295" i="3" s="1"/>
  <c r="J294" i="3"/>
  <c r="I294" i="3"/>
  <c r="K294" i="3" s="1"/>
  <c r="J293" i="3"/>
  <c r="I293" i="3"/>
  <c r="K293" i="3" s="1"/>
  <c r="J292" i="3"/>
  <c r="I292" i="3"/>
  <c r="K292" i="3" s="1"/>
  <c r="J291" i="3"/>
  <c r="I291" i="3"/>
  <c r="K291" i="3" s="1"/>
  <c r="J290" i="3"/>
  <c r="I290" i="3"/>
  <c r="K290" i="3" s="1"/>
  <c r="J289" i="3"/>
  <c r="I289" i="3"/>
  <c r="K289" i="3" s="1"/>
  <c r="L289" i="3" s="1"/>
  <c r="J288" i="3"/>
  <c r="I288" i="3"/>
  <c r="K288" i="3" s="1"/>
  <c r="J287" i="3"/>
  <c r="I287" i="3"/>
  <c r="K287" i="3" s="1"/>
  <c r="J286" i="3"/>
  <c r="I286" i="3"/>
  <c r="K286" i="3" s="1"/>
  <c r="J285" i="3"/>
  <c r="I285" i="3"/>
  <c r="K285" i="3" s="1"/>
  <c r="L285" i="3" s="1"/>
  <c r="J284" i="3"/>
  <c r="I284" i="3"/>
  <c r="K284" i="3" s="1"/>
  <c r="J283" i="3"/>
  <c r="I283" i="3"/>
  <c r="K283" i="3" s="1"/>
  <c r="J282" i="3"/>
  <c r="I282" i="3"/>
  <c r="K282" i="3" s="1"/>
  <c r="J281" i="3"/>
  <c r="I281" i="3"/>
  <c r="K281" i="3" s="1"/>
  <c r="J280" i="3"/>
  <c r="I280" i="3"/>
  <c r="K280" i="3" s="1"/>
  <c r="J279" i="3"/>
  <c r="I279" i="3"/>
  <c r="K279" i="3" s="1"/>
  <c r="J278" i="3"/>
  <c r="I278" i="3"/>
  <c r="K278" i="3" s="1"/>
  <c r="J277" i="3"/>
  <c r="I277" i="3"/>
  <c r="K277" i="3" s="1"/>
  <c r="K276" i="3"/>
  <c r="J276" i="3"/>
  <c r="I276" i="3"/>
  <c r="J275" i="3"/>
  <c r="I275" i="3"/>
  <c r="K275" i="3" s="1"/>
  <c r="J274" i="3"/>
  <c r="I274" i="3"/>
  <c r="K274" i="3" s="1"/>
  <c r="J273" i="3"/>
  <c r="I273" i="3"/>
  <c r="K273" i="3" s="1"/>
  <c r="J272" i="3"/>
  <c r="I272" i="3"/>
  <c r="K272" i="3" s="1"/>
  <c r="J271" i="3"/>
  <c r="I271" i="3"/>
  <c r="K271" i="3" s="1"/>
  <c r="J270" i="3"/>
  <c r="I270" i="3"/>
  <c r="K270" i="3" s="1"/>
  <c r="L270" i="3" s="1"/>
  <c r="J269" i="3"/>
  <c r="I269" i="3"/>
  <c r="K269" i="3" s="1"/>
  <c r="J268" i="3"/>
  <c r="I268" i="3"/>
  <c r="K268" i="3" s="1"/>
  <c r="J267" i="3"/>
  <c r="I267" i="3"/>
  <c r="K267" i="3" s="1"/>
  <c r="J266" i="3"/>
  <c r="I266" i="3"/>
  <c r="K266" i="3" s="1"/>
  <c r="L266" i="3" s="1"/>
  <c r="J265" i="3"/>
  <c r="I265" i="3"/>
  <c r="K265" i="3" s="1"/>
  <c r="J264" i="3"/>
  <c r="I264" i="3"/>
  <c r="K264" i="3" s="1"/>
  <c r="J263" i="3"/>
  <c r="I263" i="3"/>
  <c r="K263" i="3" s="1"/>
  <c r="J262" i="3"/>
  <c r="I262" i="3"/>
  <c r="K262" i="3" s="1"/>
  <c r="L262" i="3" s="1"/>
  <c r="J261" i="3"/>
  <c r="I261" i="3"/>
  <c r="K261" i="3" s="1"/>
  <c r="J260" i="3"/>
  <c r="I260" i="3"/>
  <c r="K260" i="3" s="1"/>
  <c r="J259" i="3"/>
  <c r="I259" i="3"/>
  <c r="K259" i="3" s="1"/>
  <c r="J258" i="3"/>
  <c r="I258" i="3"/>
  <c r="K258" i="3" s="1"/>
  <c r="L258" i="3" s="1"/>
  <c r="J257" i="3"/>
  <c r="I257" i="3"/>
  <c r="K257" i="3" s="1"/>
  <c r="J256" i="3"/>
  <c r="I256" i="3"/>
  <c r="K256" i="3" s="1"/>
  <c r="J255" i="3"/>
  <c r="I255" i="3"/>
  <c r="K255" i="3" s="1"/>
  <c r="J254" i="3"/>
  <c r="I254" i="3"/>
  <c r="K254" i="3" s="1"/>
  <c r="L254" i="3" s="1"/>
  <c r="J253" i="3"/>
  <c r="I253" i="3"/>
  <c r="K253" i="3" s="1"/>
  <c r="J252" i="3"/>
  <c r="I252" i="3"/>
  <c r="K252" i="3" s="1"/>
  <c r="J251" i="3"/>
  <c r="I251" i="3"/>
  <c r="K251" i="3" s="1"/>
  <c r="J250" i="3"/>
  <c r="I250" i="3"/>
  <c r="K250" i="3" s="1"/>
  <c r="J249" i="3"/>
  <c r="I249" i="3"/>
  <c r="K249" i="3" s="1"/>
  <c r="J248" i="3"/>
  <c r="I248" i="3"/>
  <c r="K248" i="3" s="1"/>
  <c r="J247" i="3"/>
  <c r="I247" i="3"/>
  <c r="K247" i="3" s="1"/>
  <c r="J246" i="3"/>
  <c r="I246" i="3"/>
  <c r="K246" i="3" s="1"/>
  <c r="L246" i="3" s="1"/>
  <c r="J245" i="3"/>
  <c r="I245" i="3"/>
  <c r="K245" i="3" s="1"/>
  <c r="J244" i="3"/>
  <c r="I244" i="3"/>
  <c r="K244" i="3" s="1"/>
  <c r="J243" i="3"/>
  <c r="I243" i="3"/>
  <c r="K243" i="3" s="1"/>
  <c r="J242" i="3"/>
  <c r="I242" i="3"/>
  <c r="K242" i="3" s="1"/>
  <c r="L242" i="3" s="1"/>
  <c r="J241" i="3"/>
  <c r="I241" i="3"/>
  <c r="K241" i="3" s="1"/>
  <c r="J240" i="3"/>
  <c r="I240" i="3"/>
  <c r="K240" i="3" s="1"/>
  <c r="J239" i="3"/>
  <c r="I239" i="3"/>
  <c r="K239" i="3" s="1"/>
  <c r="J238" i="3"/>
  <c r="I238" i="3"/>
  <c r="K238" i="3" s="1"/>
  <c r="L238" i="3" s="1"/>
  <c r="J237" i="3"/>
  <c r="I237" i="3"/>
  <c r="K237" i="3" s="1"/>
  <c r="J236" i="3"/>
  <c r="I236" i="3"/>
  <c r="K236" i="3" s="1"/>
  <c r="J235" i="3"/>
  <c r="I235" i="3"/>
  <c r="K235" i="3" s="1"/>
  <c r="J234" i="3"/>
  <c r="I234" i="3"/>
  <c r="K234" i="3" s="1"/>
  <c r="J233" i="3"/>
  <c r="I233" i="3"/>
  <c r="K233" i="3" s="1"/>
  <c r="J232" i="3"/>
  <c r="I232" i="3"/>
  <c r="K232" i="3" s="1"/>
  <c r="J231" i="3"/>
  <c r="I231" i="3"/>
  <c r="K231" i="3" s="1"/>
  <c r="J230" i="3"/>
  <c r="I230" i="3"/>
  <c r="K230" i="3" s="1"/>
  <c r="J229" i="3"/>
  <c r="I229" i="3"/>
  <c r="K229" i="3" s="1"/>
  <c r="J228" i="3"/>
  <c r="I228" i="3"/>
  <c r="K228" i="3" s="1"/>
  <c r="J227" i="3"/>
  <c r="I227" i="3"/>
  <c r="K227" i="3" s="1"/>
  <c r="J226" i="3"/>
  <c r="I226" i="3"/>
  <c r="K226" i="3" s="1"/>
  <c r="J225" i="3"/>
  <c r="I225" i="3"/>
  <c r="K225" i="3" s="1"/>
  <c r="J224" i="3"/>
  <c r="I224" i="3"/>
  <c r="K224" i="3" s="1"/>
  <c r="J223" i="3"/>
  <c r="I223" i="3"/>
  <c r="K223" i="3" s="1"/>
  <c r="J222" i="3"/>
  <c r="I222" i="3"/>
  <c r="K222" i="3" s="1"/>
  <c r="J221" i="3"/>
  <c r="I221" i="3"/>
  <c r="K221" i="3" s="1"/>
  <c r="J220" i="3"/>
  <c r="I220" i="3"/>
  <c r="K220" i="3" s="1"/>
  <c r="J219" i="3"/>
  <c r="I219" i="3"/>
  <c r="K219" i="3" s="1"/>
  <c r="L219" i="3" s="1"/>
  <c r="J218" i="3"/>
  <c r="I218" i="3"/>
  <c r="K218" i="3" s="1"/>
  <c r="J217" i="3"/>
  <c r="I217" i="3"/>
  <c r="K217" i="3" s="1"/>
  <c r="J216" i="3"/>
  <c r="I216" i="3"/>
  <c r="K216" i="3" s="1"/>
  <c r="J215" i="3"/>
  <c r="I215" i="3"/>
  <c r="K215" i="3" s="1"/>
  <c r="J214" i="3"/>
  <c r="I214" i="3"/>
  <c r="K214" i="3" s="1"/>
  <c r="J213" i="3"/>
  <c r="I213" i="3"/>
  <c r="K213" i="3" s="1"/>
  <c r="J212" i="3"/>
  <c r="I212" i="3"/>
  <c r="K212" i="3" s="1"/>
  <c r="J211" i="3"/>
  <c r="I211" i="3"/>
  <c r="K211" i="3" s="1"/>
  <c r="L211" i="3" s="1"/>
  <c r="J210" i="3"/>
  <c r="I210" i="3"/>
  <c r="K210" i="3" s="1"/>
  <c r="J209" i="3"/>
  <c r="I209" i="3"/>
  <c r="K209" i="3" s="1"/>
  <c r="J208" i="3"/>
  <c r="I208" i="3"/>
  <c r="K208" i="3" s="1"/>
  <c r="J207" i="3"/>
  <c r="I207" i="3"/>
  <c r="K207" i="3" s="1"/>
  <c r="L207" i="3" s="1"/>
  <c r="J206" i="3"/>
  <c r="I206" i="3"/>
  <c r="K206" i="3" s="1"/>
  <c r="J205" i="3"/>
  <c r="I205" i="3"/>
  <c r="K205" i="3" s="1"/>
  <c r="J204" i="3"/>
  <c r="I204" i="3"/>
  <c r="K204" i="3" s="1"/>
  <c r="J203" i="3"/>
  <c r="I203" i="3"/>
  <c r="K203" i="3" s="1"/>
  <c r="J202" i="3"/>
  <c r="I202" i="3"/>
  <c r="K202" i="3" s="1"/>
  <c r="J201" i="3"/>
  <c r="I201" i="3"/>
  <c r="K201" i="3" s="1"/>
  <c r="J200" i="3"/>
  <c r="I200" i="3"/>
  <c r="K200" i="3" s="1"/>
  <c r="J199" i="3"/>
  <c r="I199" i="3"/>
  <c r="K199" i="3" s="1"/>
  <c r="J198" i="3"/>
  <c r="I198" i="3"/>
  <c r="K198" i="3" s="1"/>
  <c r="J197" i="3"/>
  <c r="I197" i="3"/>
  <c r="K197" i="3" s="1"/>
  <c r="J196" i="3"/>
  <c r="I196" i="3"/>
  <c r="K196" i="3" s="1"/>
  <c r="J195" i="3"/>
  <c r="I195" i="3"/>
  <c r="K195" i="3" s="1"/>
  <c r="J194" i="3"/>
  <c r="I194" i="3"/>
  <c r="K194" i="3" s="1"/>
  <c r="J193" i="3"/>
  <c r="I193" i="3"/>
  <c r="K193" i="3" s="1"/>
  <c r="J192" i="3"/>
  <c r="I192" i="3"/>
  <c r="K192" i="3" s="1"/>
  <c r="L192" i="3" s="1"/>
  <c r="J191" i="3"/>
  <c r="I191" i="3"/>
  <c r="K191" i="3" s="1"/>
  <c r="L191" i="3" s="1"/>
  <c r="J190" i="3"/>
  <c r="I190" i="3"/>
  <c r="K190" i="3" s="1"/>
  <c r="K189" i="3"/>
  <c r="J189" i="3"/>
  <c r="I189" i="3"/>
  <c r="J188" i="3"/>
  <c r="I188" i="3"/>
  <c r="K188" i="3" s="1"/>
  <c r="J187" i="3"/>
  <c r="I187" i="3"/>
  <c r="K187" i="3" s="1"/>
  <c r="J186" i="3"/>
  <c r="I186" i="3"/>
  <c r="K186" i="3" s="1"/>
  <c r="J185" i="3"/>
  <c r="I185" i="3"/>
  <c r="K185" i="3" s="1"/>
  <c r="J184" i="3"/>
  <c r="I184" i="3"/>
  <c r="K184" i="3" s="1"/>
  <c r="L184" i="3" s="1"/>
  <c r="J183" i="3"/>
  <c r="I183" i="3"/>
  <c r="K183" i="3" s="1"/>
  <c r="J182" i="3"/>
  <c r="I182" i="3"/>
  <c r="K182" i="3" s="1"/>
  <c r="J181" i="3"/>
  <c r="I181" i="3"/>
  <c r="K181" i="3" s="1"/>
  <c r="J180" i="3"/>
  <c r="I180" i="3"/>
  <c r="K180" i="3" s="1"/>
  <c r="L180" i="3" s="1"/>
  <c r="J179" i="3"/>
  <c r="I179" i="3"/>
  <c r="K179" i="3" s="1"/>
  <c r="J178" i="3"/>
  <c r="I178" i="3"/>
  <c r="K178" i="3" s="1"/>
  <c r="J177" i="3"/>
  <c r="I177" i="3"/>
  <c r="K177" i="3" s="1"/>
  <c r="J176" i="3"/>
  <c r="I176" i="3"/>
  <c r="K176" i="3" s="1"/>
  <c r="L176" i="3" s="1"/>
  <c r="J175" i="3"/>
  <c r="I175" i="3"/>
  <c r="K175" i="3" s="1"/>
  <c r="J174" i="3"/>
  <c r="I174" i="3"/>
  <c r="K174" i="3" s="1"/>
  <c r="J173" i="3"/>
  <c r="I173" i="3"/>
  <c r="K173" i="3" s="1"/>
  <c r="J172" i="3"/>
  <c r="I172" i="3"/>
  <c r="K172" i="3" s="1"/>
  <c r="L172" i="3" s="1"/>
  <c r="J171" i="3"/>
  <c r="I171" i="3"/>
  <c r="K171" i="3" s="1"/>
  <c r="J170" i="3"/>
  <c r="I170" i="3"/>
  <c r="K170" i="3" s="1"/>
  <c r="J169" i="3"/>
  <c r="I169" i="3"/>
  <c r="K169" i="3" s="1"/>
  <c r="J168" i="3"/>
  <c r="I168" i="3"/>
  <c r="K168" i="3" s="1"/>
  <c r="J167" i="3"/>
  <c r="I167" i="3"/>
  <c r="K167" i="3" s="1"/>
  <c r="J166" i="3"/>
  <c r="I166" i="3"/>
  <c r="K166" i="3" s="1"/>
  <c r="J165" i="3"/>
  <c r="I165" i="3"/>
  <c r="K165" i="3" s="1"/>
  <c r="J164" i="3"/>
  <c r="I164" i="3"/>
  <c r="K164" i="3" s="1"/>
  <c r="L164" i="3" s="1"/>
  <c r="J163" i="3"/>
  <c r="I163" i="3"/>
  <c r="K163" i="3" s="1"/>
  <c r="L163" i="3" s="1"/>
  <c r="J162" i="3"/>
  <c r="I162" i="3"/>
  <c r="K162" i="3" s="1"/>
  <c r="J161" i="3"/>
  <c r="I161" i="3"/>
  <c r="K161" i="3" s="1"/>
  <c r="K160" i="3"/>
  <c r="J160" i="3"/>
  <c r="I160" i="3"/>
  <c r="J159" i="3"/>
  <c r="I159" i="3"/>
  <c r="K159" i="3" s="1"/>
  <c r="J158" i="3"/>
  <c r="I158" i="3"/>
  <c r="K158" i="3" s="1"/>
  <c r="J157" i="3"/>
  <c r="I157" i="3"/>
  <c r="K157" i="3" s="1"/>
  <c r="L157" i="3" s="1"/>
  <c r="J156" i="3"/>
  <c r="I156" i="3"/>
  <c r="K156" i="3" s="1"/>
  <c r="J155" i="3"/>
  <c r="I155" i="3"/>
  <c r="K155" i="3" s="1"/>
  <c r="J154" i="3"/>
  <c r="I154" i="3"/>
  <c r="K154" i="3" s="1"/>
  <c r="J153" i="3"/>
  <c r="I153" i="3"/>
  <c r="K153" i="3" s="1"/>
  <c r="J152" i="3"/>
  <c r="I152" i="3"/>
  <c r="K152" i="3" s="1"/>
  <c r="J151" i="3"/>
  <c r="I151" i="3"/>
  <c r="K151" i="3" s="1"/>
  <c r="J150" i="3"/>
  <c r="I150" i="3"/>
  <c r="K150" i="3" s="1"/>
  <c r="J149" i="3"/>
  <c r="I149" i="3"/>
  <c r="K149" i="3" s="1"/>
  <c r="L149" i="3" s="1"/>
  <c r="J148" i="3"/>
  <c r="I148" i="3"/>
  <c r="K148" i="3" s="1"/>
  <c r="J147" i="3"/>
  <c r="I147" i="3"/>
  <c r="K147" i="3" s="1"/>
  <c r="J146" i="3"/>
  <c r="I146" i="3"/>
  <c r="K146" i="3" s="1"/>
  <c r="J145" i="3"/>
  <c r="I145" i="3"/>
  <c r="K145" i="3" s="1"/>
  <c r="L145" i="3" s="1"/>
  <c r="J144" i="3"/>
  <c r="I144" i="3"/>
  <c r="K144" i="3" s="1"/>
  <c r="J143" i="3"/>
  <c r="I143" i="3"/>
  <c r="K143" i="3" s="1"/>
  <c r="J142" i="3"/>
  <c r="I142" i="3"/>
  <c r="K142" i="3" s="1"/>
  <c r="J141" i="3"/>
  <c r="I141" i="3"/>
  <c r="K141" i="3" s="1"/>
  <c r="L141" i="3" s="1"/>
  <c r="J140" i="3"/>
  <c r="I140" i="3"/>
  <c r="K140" i="3" s="1"/>
  <c r="J139" i="3"/>
  <c r="I139" i="3"/>
  <c r="K139" i="3" s="1"/>
  <c r="J138" i="3"/>
  <c r="I138" i="3"/>
  <c r="K138" i="3" s="1"/>
  <c r="J137" i="3"/>
  <c r="I137" i="3"/>
  <c r="K137" i="3" s="1"/>
  <c r="L137" i="3" s="1"/>
  <c r="J136" i="3"/>
  <c r="I136" i="3"/>
  <c r="K136" i="3" s="1"/>
  <c r="J135" i="3"/>
  <c r="I135" i="3"/>
  <c r="K135" i="3" s="1"/>
  <c r="J134" i="3"/>
  <c r="I134" i="3"/>
  <c r="K134" i="3" s="1"/>
  <c r="J133" i="3"/>
  <c r="I133" i="3"/>
  <c r="K133" i="3" s="1"/>
  <c r="J132" i="3"/>
  <c r="I132" i="3"/>
  <c r="K132" i="3" s="1"/>
  <c r="J131" i="3"/>
  <c r="I131" i="3"/>
  <c r="K131" i="3" s="1"/>
  <c r="J130" i="3"/>
  <c r="I130" i="3"/>
  <c r="K130" i="3" s="1"/>
  <c r="L130" i="3" s="1"/>
  <c r="J129" i="3"/>
  <c r="I129" i="3"/>
  <c r="K129" i="3" s="1"/>
  <c r="J128" i="3"/>
  <c r="I128" i="3"/>
  <c r="K128" i="3" s="1"/>
  <c r="J127" i="3"/>
  <c r="I127" i="3"/>
  <c r="K127" i="3" s="1"/>
  <c r="J126" i="3"/>
  <c r="I126" i="3"/>
  <c r="K126" i="3" s="1"/>
  <c r="J125" i="3"/>
  <c r="I125" i="3"/>
  <c r="K125" i="3" s="1"/>
  <c r="J124" i="3"/>
  <c r="I124" i="3"/>
  <c r="K124" i="3" s="1"/>
  <c r="J123" i="3"/>
  <c r="I123" i="3"/>
  <c r="K123" i="3" s="1"/>
  <c r="J122" i="3"/>
  <c r="I122" i="3"/>
  <c r="K122" i="3" s="1"/>
  <c r="J121" i="3"/>
  <c r="I121" i="3"/>
  <c r="K121" i="3" s="1"/>
  <c r="J120" i="3"/>
  <c r="I120" i="3"/>
  <c r="K120" i="3" s="1"/>
  <c r="J119" i="3"/>
  <c r="I119" i="3"/>
  <c r="K119" i="3" s="1"/>
  <c r="J118" i="3"/>
  <c r="I118" i="3"/>
  <c r="K118" i="3" s="1"/>
  <c r="J117" i="3"/>
  <c r="I117" i="3"/>
  <c r="K117" i="3" s="1"/>
  <c r="J116" i="3"/>
  <c r="I116" i="3"/>
  <c r="K116" i="3" s="1"/>
  <c r="J115" i="3"/>
  <c r="I115" i="3"/>
  <c r="K115" i="3" s="1"/>
  <c r="J114" i="3"/>
  <c r="I114" i="3"/>
  <c r="K114" i="3" s="1"/>
  <c r="J113" i="3"/>
  <c r="I113" i="3"/>
  <c r="K113" i="3" s="1"/>
  <c r="J112" i="3"/>
  <c r="I112" i="3"/>
  <c r="K112" i="3" s="1"/>
  <c r="J111" i="3"/>
  <c r="I111" i="3"/>
  <c r="K111" i="3" s="1"/>
  <c r="J110" i="3"/>
  <c r="I110" i="3"/>
  <c r="K110" i="3" s="1"/>
  <c r="L110" i="3" s="1"/>
  <c r="J109" i="3"/>
  <c r="I109" i="3"/>
  <c r="K109" i="3" s="1"/>
  <c r="J108" i="3"/>
  <c r="I108" i="3"/>
  <c r="K108" i="3" s="1"/>
  <c r="J107" i="3"/>
  <c r="I107" i="3"/>
  <c r="K107" i="3" s="1"/>
  <c r="J106" i="3"/>
  <c r="I106" i="3"/>
  <c r="K106" i="3" s="1"/>
  <c r="J105" i="3"/>
  <c r="I105" i="3"/>
  <c r="K105" i="3" s="1"/>
  <c r="J104" i="3"/>
  <c r="I104" i="3"/>
  <c r="K104" i="3" s="1"/>
  <c r="J103" i="3"/>
  <c r="I103" i="3"/>
  <c r="K103" i="3" s="1"/>
  <c r="J102" i="3"/>
  <c r="I102" i="3"/>
  <c r="K102" i="3" s="1"/>
  <c r="J101" i="3"/>
  <c r="I101" i="3"/>
  <c r="K101" i="3" s="1"/>
  <c r="J100" i="3"/>
  <c r="I100" i="3"/>
  <c r="K100" i="3" s="1"/>
  <c r="J99" i="3"/>
  <c r="I99" i="3"/>
  <c r="K99" i="3" s="1"/>
  <c r="J98" i="3"/>
  <c r="I98" i="3"/>
  <c r="K98" i="3" s="1"/>
  <c r="K97" i="3"/>
  <c r="J97" i="3"/>
  <c r="I97" i="3"/>
  <c r="J96" i="3"/>
  <c r="I96" i="3"/>
  <c r="K96" i="3" s="1"/>
  <c r="L96" i="3" s="1"/>
  <c r="J95" i="3"/>
  <c r="I95" i="3"/>
  <c r="K95" i="3" s="1"/>
  <c r="J94" i="3"/>
  <c r="I94" i="3"/>
  <c r="K94" i="3" s="1"/>
  <c r="L94" i="3" s="1"/>
  <c r="J93" i="3"/>
  <c r="I93" i="3"/>
  <c r="K93" i="3" s="1"/>
  <c r="J92" i="3"/>
  <c r="I92" i="3"/>
  <c r="K92" i="3" s="1"/>
  <c r="L92" i="3" s="1"/>
  <c r="J91" i="3"/>
  <c r="I91" i="3"/>
  <c r="K91" i="3" s="1"/>
  <c r="J90" i="3"/>
  <c r="I90" i="3"/>
  <c r="K90" i="3" s="1"/>
  <c r="J89" i="3"/>
  <c r="I89" i="3"/>
  <c r="K89" i="3" s="1"/>
  <c r="J88" i="3"/>
  <c r="I88" i="3"/>
  <c r="K88" i="3" s="1"/>
  <c r="J87" i="3"/>
  <c r="I87" i="3"/>
  <c r="K87" i="3" s="1"/>
  <c r="J86" i="3"/>
  <c r="I86" i="3"/>
  <c r="K86" i="3" s="1"/>
  <c r="J85" i="3"/>
  <c r="I85" i="3"/>
  <c r="K85" i="3" s="1"/>
  <c r="J84" i="3"/>
  <c r="I84" i="3"/>
  <c r="K84" i="3" s="1"/>
  <c r="L84" i="3" s="1"/>
  <c r="J83" i="3"/>
  <c r="I83" i="3"/>
  <c r="K83" i="3" s="1"/>
  <c r="L83" i="3" s="1"/>
  <c r="J82" i="3"/>
  <c r="I82" i="3"/>
  <c r="K82" i="3" s="1"/>
  <c r="J81" i="3"/>
  <c r="I81" i="3"/>
  <c r="K81" i="3" s="1"/>
  <c r="J80" i="3"/>
  <c r="I80" i="3"/>
  <c r="K80" i="3" s="1"/>
  <c r="J79" i="3"/>
  <c r="I79" i="3"/>
  <c r="K79" i="3" s="1"/>
  <c r="J78" i="3"/>
  <c r="I78" i="3"/>
  <c r="K78" i="3" s="1"/>
  <c r="J77" i="3"/>
  <c r="I77" i="3"/>
  <c r="K77" i="3" s="1"/>
  <c r="J76" i="3"/>
  <c r="I76" i="3"/>
  <c r="K76" i="3" s="1"/>
  <c r="L76" i="3" s="1"/>
  <c r="V78" i="3" s="1"/>
  <c r="J75" i="3"/>
  <c r="I75" i="3"/>
  <c r="K75" i="3" s="1"/>
  <c r="L75" i="3" s="1"/>
  <c r="V77" i="3" s="1"/>
  <c r="J74" i="3"/>
  <c r="I74" i="3"/>
  <c r="K74" i="3" s="1"/>
  <c r="L74" i="3" s="1"/>
  <c r="K73" i="3"/>
  <c r="J73" i="3"/>
  <c r="I73" i="3"/>
  <c r="J72" i="3"/>
  <c r="I72" i="3"/>
  <c r="K72" i="3" s="1"/>
  <c r="J71" i="3"/>
  <c r="I71" i="3"/>
  <c r="K71" i="3" s="1"/>
  <c r="J70" i="3"/>
  <c r="I70" i="3"/>
  <c r="K70" i="3" s="1"/>
  <c r="J69" i="3"/>
  <c r="I69" i="3"/>
  <c r="K69" i="3" s="1"/>
  <c r="J68" i="3"/>
  <c r="I68" i="3"/>
  <c r="K68" i="3" s="1"/>
  <c r="J67" i="3"/>
  <c r="I67" i="3"/>
  <c r="K67" i="3" s="1"/>
  <c r="L67" i="3" s="1"/>
  <c r="K66" i="3"/>
  <c r="J66" i="3"/>
  <c r="I66" i="3"/>
  <c r="J65" i="3"/>
  <c r="I65" i="3"/>
  <c r="K65" i="3" s="1"/>
  <c r="J64" i="3"/>
  <c r="I64" i="3"/>
  <c r="K64" i="3" s="1"/>
  <c r="J63" i="3"/>
  <c r="I63" i="3"/>
  <c r="K63" i="3" s="1"/>
  <c r="J62" i="3"/>
  <c r="I62" i="3"/>
  <c r="K62" i="3" s="1"/>
  <c r="J61" i="3"/>
  <c r="I61" i="3"/>
  <c r="K61" i="3" s="1"/>
  <c r="J60" i="3"/>
  <c r="I60" i="3"/>
  <c r="K60" i="3" s="1"/>
  <c r="J59" i="3"/>
  <c r="I59" i="3"/>
  <c r="K59" i="3" s="1"/>
  <c r="J58" i="3"/>
  <c r="I58" i="3"/>
  <c r="K58" i="3" s="1"/>
  <c r="J57" i="3"/>
  <c r="I57" i="3"/>
  <c r="K57" i="3" s="1"/>
  <c r="J56" i="3"/>
  <c r="I56" i="3"/>
  <c r="K56" i="3" s="1"/>
  <c r="J55" i="3"/>
  <c r="I55" i="3"/>
  <c r="K55" i="3" s="1"/>
  <c r="J54" i="3"/>
  <c r="I54" i="3"/>
  <c r="K54" i="3" s="1"/>
  <c r="J53" i="3"/>
  <c r="I53" i="3"/>
  <c r="K53" i="3" s="1"/>
  <c r="J52" i="3"/>
  <c r="I52" i="3"/>
  <c r="K52" i="3" s="1"/>
  <c r="L52" i="3" s="1"/>
  <c r="J51" i="3"/>
  <c r="I51" i="3"/>
  <c r="K51" i="3" s="1"/>
  <c r="J50" i="3"/>
  <c r="I50" i="3"/>
  <c r="K50" i="3" s="1"/>
  <c r="J49" i="3"/>
  <c r="I49" i="3"/>
  <c r="K49" i="3" s="1"/>
  <c r="J48" i="3"/>
  <c r="I48" i="3"/>
  <c r="K48" i="3" s="1"/>
  <c r="L48" i="3" s="1"/>
  <c r="J47" i="3"/>
  <c r="I47" i="3"/>
  <c r="K47" i="3" s="1"/>
  <c r="J46" i="3"/>
  <c r="I46" i="3"/>
  <c r="K46" i="3" s="1"/>
  <c r="J45" i="3"/>
  <c r="I45" i="3"/>
  <c r="K45" i="3" s="1"/>
  <c r="J44" i="3"/>
  <c r="I44" i="3"/>
  <c r="K44" i="3" s="1"/>
  <c r="J43" i="3"/>
  <c r="I43" i="3"/>
  <c r="K43" i="3" s="1"/>
  <c r="J42" i="3"/>
  <c r="I42" i="3"/>
  <c r="K42" i="3" s="1"/>
  <c r="J41" i="3"/>
  <c r="I41" i="3"/>
  <c r="K41" i="3" s="1"/>
  <c r="J40" i="3"/>
  <c r="I40" i="3"/>
  <c r="K40" i="3" s="1"/>
  <c r="L40" i="3" s="1"/>
  <c r="J39" i="3"/>
  <c r="I39" i="3"/>
  <c r="K39" i="3" s="1"/>
  <c r="J38" i="3"/>
  <c r="I38" i="3"/>
  <c r="K38" i="3" s="1"/>
  <c r="J37" i="3"/>
  <c r="I37" i="3"/>
  <c r="K37" i="3" s="1"/>
  <c r="J36" i="3"/>
  <c r="I36" i="3"/>
  <c r="K36" i="3" s="1"/>
  <c r="L36" i="3" s="1"/>
  <c r="J35" i="3"/>
  <c r="I35" i="3"/>
  <c r="K35" i="3" s="1"/>
  <c r="J34" i="3"/>
  <c r="I34" i="3"/>
  <c r="K34" i="3" s="1"/>
  <c r="J33" i="3"/>
  <c r="I33" i="3"/>
  <c r="K33" i="3" s="1"/>
  <c r="J32" i="3"/>
  <c r="I32" i="3"/>
  <c r="K32" i="3" s="1"/>
  <c r="J31" i="3"/>
  <c r="I31" i="3"/>
  <c r="K31" i="3" s="1"/>
  <c r="J30" i="3"/>
  <c r="I30" i="3"/>
  <c r="K30" i="3" s="1"/>
  <c r="J29" i="3"/>
  <c r="I29" i="3"/>
  <c r="K29" i="3" s="1"/>
  <c r="J28" i="3"/>
  <c r="I28" i="3"/>
  <c r="K28" i="3" s="1"/>
  <c r="J27" i="3"/>
  <c r="I27" i="3"/>
  <c r="K27" i="3" s="1"/>
  <c r="J26" i="3"/>
  <c r="I26" i="3"/>
  <c r="K26" i="3" s="1"/>
  <c r="J25" i="3"/>
  <c r="I25" i="3"/>
  <c r="K25" i="3" s="1"/>
  <c r="L25" i="3" s="1"/>
  <c r="J24" i="3"/>
  <c r="I24" i="3"/>
  <c r="K24" i="3" s="1"/>
  <c r="L24" i="3" s="1"/>
  <c r="J23" i="3"/>
  <c r="I23" i="3"/>
  <c r="K23" i="3" s="1"/>
  <c r="J22" i="3"/>
  <c r="I22" i="3"/>
  <c r="K22" i="3" s="1"/>
  <c r="J21" i="3"/>
  <c r="I21" i="3"/>
  <c r="K21" i="3" s="1"/>
  <c r="L21" i="3" s="1"/>
  <c r="J20" i="3"/>
  <c r="I20" i="3"/>
  <c r="K20" i="3" s="1"/>
  <c r="L20" i="3" s="1"/>
  <c r="J19" i="3"/>
  <c r="I19" i="3"/>
  <c r="K19" i="3" s="1"/>
  <c r="J18" i="3"/>
  <c r="I18" i="3"/>
  <c r="K18" i="3" s="1"/>
  <c r="J17" i="3"/>
  <c r="I17" i="3"/>
  <c r="K17" i="3" s="1"/>
  <c r="L17" i="3" s="1"/>
  <c r="J16" i="3"/>
  <c r="I16" i="3"/>
  <c r="K16" i="3" s="1"/>
  <c r="L16" i="3" s="1"/>
  <c r="J15" i="3"/>
  <c r="I15" i="3"/>
  <c r="K15" i="3" s="1"/>
  <c r="J14" i="3"/>
  <c r="I14" i="3"/>
  <c r="K14" i="3" s="1"/>
  <c r="J13" i="3"/>
  <c r="I13" i="3"/>
  <c r="K13" i="3" s="1"/>
  <c r="J12" i="3"/>
  <c r="I12" i="3"/>
  <c r="K12" i="3" s="1"/>
  <c r="J11" i="3"/>
  <c r="I11" i="3"/>
  <c r="K11" i="3" s="1"/>
  <c r="J10" i="3"/>
  <c r="I10" i="3"/>
  <c r="K10" i="3" s="1"/>
  <c r="J9" i="3"/>
  <c r="I9" i="3"/>
  <c r="K9" i="3" s="1"/>
  <c r="L9" i="3" s="1"/>
  <c r="J8" i="3"/>
  <c r="I8" i="3"/>
  <c r="K8" i="3" s="1"/>
  <c r="J7" i="3"/>
  <c r="I7" i="3"/>
  <c r="K7" i="3" s="1"/>
  <c r="J6" i="3"/>
  <c r="I6" i="3"/>
  <c r="K6" i="3" s="1"/>
  <c r="J5" i="3"/>
  <c r="I5" i="3"/>
  <c r="K5" i="3" s="1"/>
  <c r="J4" i="3"/>
  <c r="I4" i="3"/>
  <c r="K4" i="3" s="1"/>
  <c r="J3" i="3"/>
  <c r="I3" i="3"/>
  <c r="K3" i="3" s="1"/>
  <c r="J2" i="3"/>
  <c r="I2" i="3"/>
  <c r="K2" i="3" s="1"/>
  <c r="J322" i="2"/>
  <c r="I322" i="2"/>
  <c r="K322" i="2" s="1"/>
  <c r="J321" i="2"/>
  <c r="I321" i="2"/>
  <c r="K321" i="2" s="1"/>
  <c r="L321" i="2" s="1"/>
  <c r="J320" i="2"/>
  <c r="I320" i="2"/>
  <c r="K320" i="2" s="1"/>
  <c r="J319" i="2"/>
  <c r="I319" i="2"/>
  <c r="K319" i="2" s="1"/>
  <c r="J318" i="2"/>
  <c r="I318" i="2"/>
  <c r="K318" i="2" s="1"/>
  <c r="L318" i="2" s="1"/>
  <c r="J317" i="2"/>
  <c r="I317" i="2"/>
  <c r="K317" i="2" s="1"/>
  <c r="L317" i="2" s="1"/>
  <c r="J316" i="2"/>
  <c r="I316" i="2"/>
  <c r="K316" i="2" s="1"/>
  <c r="J315" i="2"/>
  <c r="I315" i="2"/>
  <c r="K315" i="2" s="1"/>
  <c r="J314" i="2"/>
  <c r="I314" i="2"/>
  <c r="K314" i="2" s="1"/>
  <c r="L314" i="2" s="1"/>
  <c r="V96" i="2" s="1"/>
  <c r="J313" i="2"/>
  <c r="I313" i="2"/>
  <c r="K313" i="2" s="1"/>
  <c r="L313" i="2" s="1"/>
  <c r="V95" i="2" s="1"/>
  <c r="J312" i="2"/>
  <c r="I312" i="2"/>
  <c r="K312" i="2" s="1"/>
  <c r="J311" i="2"/>
  <c r="I311" i="2"/>
  <c r="K311" i="2" s="1"/>
  <c r="J310" i="2"/>
  <c r="I310" i="2"/>
  <c r="K310" i="2" s="1"/>
  <c r="L310" i="2" s="1"/>
  <c r="V92" i="2" s="1"/>
  <c r="J309" i="2"/>
  <c r="I309" i="2"/>
  <c r="K309" i="2" s="1"/>
  <c r="J308" i="2"/>
  <c r="I308" i="2"/>
  <c r="K308" i="2" s="1"/>
  <c r="J307" i="2"/>
  <c r="I307" i="2"/>
  <c r="K307" i="2" s="1"/>
  <c r="L307" i="2" s="1"/>
  <c r="J306" i="2"/>
  <c r="I306" i="2"/>
  <c r="K306" i="2" s="1"/>
  <c r="L306" i="2" s="1"/>
  <c r="V88" i="2" s="1"/>
  <c r="J305" i="2"/>
  <c r="I305" i="2"/>
  <c r="K305" i="2" s="1"/>
  <c r="L305" i="2" s="1"/>
  <c r="V87" i="2" s="1"/>
  <c r="J304" i="2"/>
  <c r="I304" i="2"/>
  <c r="K304" i="2" s="1"/>
  <c r="J303" i="2"/>
  <c r="I303" i="2"/>
  <c r="K303" i="2" s="1"/>
  <c r="L303" i="2" s="1"/>
  <c r="J302" i="2"/>
  <c r="I302" i="2"/>
  <c r="K302" i="2" s="1"/>
  <c r="L302" i="2" s="1"/>
  <c r="V84" i="2" s="1"/>
  <c r="J301" i="2"/>
  <c r="I301" i="2"/>
  <c r="K301" i="2" s="1"/>
  <c r="J300" i="2"/>
  <c r="I300" i="2"/>
  <c r="K300" i="2" s="1"/>
  <c r="J299" i="2"/>
  <c r="I299" i="2"/>
  <c r="K299" i="2" s="1"/>
  <c r="L299" i="2" s="1"/>
  <c r="J298" i="2"/>
  <c r="I298" i="2"/>
  <c r="K298" i="2" s="1"/>
  <c r="L298" i="2" s="1"/>
  <c r="J297" i="2"/>
  <c r="I297" i="2"/>
  <c r="K297" i="2" s="1"/>
  <c r="L297" i="2" s="1"/>
  <c r="J296" i="2"/>
  <c r="I296" i="2"/>
  <c r="K296" i="2" s="1"/>
  <c r="J295" i="2"/>
  <c r="I295" i="2"/>
  <c r="K295" i="2" s="1"/>
  <c r="L295" i="2" s="1"/>
  <c r="J294" i="2"/>
  <c r="I294" i="2"/>
  <c r="K294" i="2" s="1"/>
  <c r="J293" i="2"/>
  <c r="I293" i="2"/>
  <c r="K293" i="2" s="1"/>
  <c r="J292" i="2"/>
  <c r="I292" i="2"/>
  <c r="K292" i="2" s="1"/>
  <c r="J291" i="2"/>
  <c r="I291" i="2"/>
  <c r="K291" i="2" s="1"/>
  <c r="L291" i="2" s="1"/>
  <c r="J290" i="2"/>
  <c r="I290" i="2"/>
  <c r="K290" i="2" s="1"/>
  <c r="L290" i="2" s="1"/>
  <c r="J289" i="2"/>
  <c r="I289" i="2"/>
  <c r="K289" i="2" s="1"/>
  <c r="L289" i="2" s="1"/>
  <c r="J288" i="2"/>
  <c r="I288" i="2"/>
  <c r="K288" i="2" s="1"/>
  <c r="J287" i="2"/>
  <c r="I287" i="2"/>
  <c r="K287" i="2" s="1"/>
  <c r="J286" i="2"/>
  <c r="I286" i="2"/>
  <c r="K286" i="2" s="1"/>
  <c r="J285" i="2"/>
  <c r="I285" i="2"/>
  <c r="K285" i="2" s="1"/>
  <c r="L285" i="2" s="1"/>
  <c r="J284" i="2"/>
  <c r="I284" i="2"/>
  <c r="K284" i="2" s="1"/>
  <c r="J283" i="2"/>
  <c r="I283" i="2"/>
  <c r="K283" i="2" s="1"/>
  <c r="L283" i="2" s="1"/>
  <c r="J282" i="2"/>
  <c r="I282" i="2"/>
  <c r="K282" i="2" s="1"/>
  <c r="L282" i="2" s="1"/>
  <c r="J281" i="2"/>
  <c r="I281" i="2"/>
  <c r="K281" i="2" s="1"/>
  <c r="L281" i="2" s="1"/>
  <c r="K280" i="2"/>
  <c r="J280" i="2"/>
  <c r="I280" i="2"/>
  <c r="J279" i="2"/>
  <c r="I279" i="2"/>
  <c r="K279" i="2" s="1"/>
  <c r="J278" i="2"/>
  <c r="I278" i="2"/>
  <c r="K278" i="2" s="1"/>
  <c r="J277" i="2"/>
  <c r="I277" i="2"/>
  <c r="K277" i="2" s="1"/>
  <c r="L277" i="2" s="1"/>
  <c r="J276" i="2"/>
  <c r="I276" i="2"/>
  <c r="K276" i="2" s="1"/>
  <c r="J275" i="2"/>
  <c r="I275" i="2"/>
  <c r="K275" i="2" s="1"/>
  <c r="L275" i="2" s="1"/>
  <c r="J274" i="2"/>
  <c r="I274" i="2"/>
  <c r="K274" i="2" s="1"/>
  <c r="J273" i="2"/>
  <c r="I273" i="2"/>
  <c r="K273" i="2" s="1"/>
  <c r="J272" i="2"/>
  <c r="I272" i="2"/>
  <c r="K272" i="2" s="1"/>
  <c r="J271" i="2"/>
  <c r="I271" i="2"/>
  <c r="K271" i="2" s="1"/>
  <c r="L271" i="2" s="1"/>
  <c r="J270" i="2"/>
  <c r="I270" i="2"/>
  <c r="K270" i="2" s="1"/>
  <c r="J269" i="2"/>
  <c r="I269" i="2"/>
  <c r="K269" i="2" s="1"/>
  <c r="J268" i="2"/>
  <c r="I268" i="2"/>
  <c r="K268" i="2" s="1"/>
  <c r="J267" i="2"/>
  <c r="I267" i="2"/>
  <c r="K267" i="2" s="1"/>
  <c r="L267" i="2" s="1"/>
  <c r="J266" i="2"/>
  <c r="I266" i="2"/>
  <c r="K266" i="2" s="1"/>
  <c r="J265" i="2"/>
  <c r="I265" i="2"/>
  <c r="K265" i="2" s="1"/>
  <c r="J264" i="2"/>
  <c r="I264" i="2"/>
  <c r="K264" i="2" s="1"/>
  <c r="J263" i="2"/>
  <c r="I263" i="2"/>
  <c r="K263" i="2" s="1"/>
  <c r="L263" i="2" s="1"/>
  <c r="J262" i="2"/>
  <c r="I262" i="2"/>
  <c r="K262" i="2" s="1"/>
  <c r="J261" i="2"/>
  <c r="I261" i="2"/>
  <c r="K261" i="2" s="1"/>
  <c r="J260" i="2"/>
  <c r="I260" i="2"/>
  <c r="K260" i="2" s="1"/>
  <c r="J259" i="2"/>
  <c r="I259" i="2"/>
  <c r="K259" i="2" s="1"/>
  <c r="L259" i="2" s="1"/>
  <c r="J258" i="2"/>
  <c r="I258" i="2"/>
  <c r="K258" i="2" s="1"/>
  <c r="J257" i="2"/>
  <c r="I257" i="2"/>
  <c r="K257" i="2" s="1"/>
  <c r="J256" i="2"/>
  <c r="I256" i="2"/>
  <c r="K256" i="2" s="1"/>
  <c r="J255" i="2"/>
  <c r="I255" i="2"/>
  <c r="K255" i="2" s="1"/>
  <c r="J254" i="2"/>
  <c r="I254" i="2"/>
  <c r="K254" i="2" s="1"/>
  <c r="J253" i="2"/>
  <c r="I253" i="2"/>
  <c r="K253" i="2" s="1"/>
  <c r="J252" i="2"/>
  <c r="I252" i="2"/>
  <c r="K252" i="2" s="1"/>
  <c r="J251" i="2"/>
  <c r="I251" i="2"/>
  <c r="K251" i="2" s="1"/>
  <c r="L251" i="2" s="1"/>
  <c r="J250" i="2"/>
  <c r="I250" i="2"/>
  <c r="K250" i="2" s="1"/>
  <c r="L250" i="2" s="1"/>
  <c r="J249" i="2"/>
  <c r="I249" i="2"/>
  <c r="K249" i="2" s="1"/>
  <c r="J248" i="2"/>
  <c r="I248" i="2"/>
  <c r="K248" i="2" s="1"/>
  <c r="J247" i="2"/>
  <c r="I247" i="2"/>
  <c r="K247" i="2" s="1"/>
  <c r="J246" i="2"/>
  <c r="I246" i="2"/>
  <c r="K246" i="2" s="1"/>
  <c r="L246" i="2" s="1"/>
  <c r="J245" i="2"/>
  <c r="I245" i="2"/>
  <c r="K245" i="2" s="1"/>
  <c r="J244" i="2"/>
  <c r="I244" i="2"/>
  <c r="K244" i="2" s="1"/>
  <c r="J243" i="2"/>
  <c r="I243" i="2"/>
  <c r="K243" i="2" s="1"/>
  <c r="L243" i="2" s="1"/>
  <c r="J242" i="2"/>
  <c r="I242" i="2"/>
  <c r="K242" i="2" s="1"/>
  <c r="L242" i="2" s="1"/>
  <c r="J241" i="2"/>
  <c r="I241" i="2"/>
  <c r="K241" i="2" s="1"/>
  <c r="J240" i="2"/>
  <c r="I240" i="2"/>
  <c r="K240" i="2" s="1"/>
  <c r="J239" i="2"/>
  <c r="I239" i="2"/>
  <c r="K239" i="2" s="1"/>
  <c r="L239" i="2" s="1"/>
  <c r="J238" i="2"/>
  <c r="I238" i="2"/>
  <c r="K238" i="2" s="1"/>
  <c r="L238" i="2" s="1"/>
  <c r="J237" i="2"/>
  <c r="I237" i="2"/>
  <c r="K237" i="2" s="1"/>
  <c r="J236" i="2"/>
  <c r="I236" i="2"/>
  <c r="K236" i="2" s="1"/>
  <c r="J235" i="2"/>
  <c r="I235" i="2"/>
  <c r="K235" i="2" s="1"/>
  <c r="L235" i="2" s="1"/>
  <c r="J234" i="2"/>
  <c r="I234" i="2"/>
  <c r="K234" i="2" s="1"/>
  <c r="L234" i="2" s="1"/>
  <c r="J233" i="2"/>
  <c r="I233" i="2"/>
  <c r="K233" i="2" s="1"/>
  <c r="J232" i="2"/>
  <c r="I232" i="2"/>
  <c r="K232" i="2" s="1"/>
  <c r="J231" i="2"/>
  <c r="I231" i="2"/>
  <c r="K231" i="2" s="1"/>
  <c r="L231" i="2" s="1"/>
  <c r="J230" i="2"/>
  <c r="I230" i="2"/>
  <c r="K230" i="2" s="1"/>
  <c r="J229" i="2"/>
  <c r="I229" i="2"/>
  <c r="K229" i="2" s="1"/>
  <c r="J228" i="2"/>
  <c r="I228" i="2"/>
  <c r="K228" i="2" s="1"/>
  <c r="J227" i="2"/>
  <c r="I227" i="2"/>
  <c r="K227" i="2" s="1"/>
  <c r="L227" i="2" s="1"/>
  <c r="J226" i="2"/>
  <c r="I226" i="2"/>
  <c r="K226" i="2" s="1"/>
  <c r="L226" i="2" s="1"/>
  <c r="J225" i="2"/>
  <c r="I225" i="2"/>
  <c r="K225" i="2" s="1"/>
  <c r="J224" i="2"/>
  <c r="I224" i="2"/>
  <c r="K224" i="2" s="1"/>
  <c r="J223" i="2"/>
  <c r="I223" i="2"/>
  <c r="K223" i="2" s="1"/>
  <c r="J222" i="2"/>
  <c r="I222" i="2"/>
  <c r="K222" i="2" s="1"/>
  <c r="J221" i="2"/>
  <c r="I221" i="2"/>
  <c r="K221" i="2" s="1"/>
  <c r="J220" i="2"/>
  <c r="I220" i="2"/>
  <c r="K220" i="2" s="1"/>
  <c r="J219" i="2"/>
  <c r="I219" i="2"/>
  <c r="K219" i="2" s="1"/>
  <c r="L219" i="2" s="1"/>
  <c r="J218" i="2"/>
  <c r="I218" i="2"/>
  <c r="K218" i="2" s="1"/>
  <c r="L218" i="2" s="1"/>
  <c r="J217" i="2"/>
  <c r="I217" i="2"/>
  <c r="K217" i="2" s="1"/>
  <c r="J216" i="2"/>
  <c r="I216" i="2"/>
  <c r="K216" i="2" s="1"/>
  <c r="J215" i="2"/>
  <c r="I215" i="2"/>
  <c r="K215" i="2" s="1"/>
  <c r="J214" i="2"/>
  <c r="I214" i="2"/>
  <c r="K214" i="2" s="1"/>
  <c r="J213" i="2"/>
  <c r="I213" i="2"/>
  <c r="K213" i="2" s="1"/>
  <c r="J212" i="2"/>
  <c r="I212" i="2"/>
  <c r="K212" i="2" s="1"/>
  <c r="J211" i="2"/>
  <c r="I211" i="2"/>
  <c r="K211" i="2" s="1"/>
  <c r="L211" i="2" s="1"/>
  <c r="J210" i="2"/>
  <c r="I210" i="2"/>
  <c r="K210" i="2" s="1"/>
  <c r="J209" i="2"/>
  <c r="I209" i="2"/>
  <c r="K209" i="2" s="1"/>
  <c r="L209" i="2" s="1"/>
  <c r="J208" i="2"/>
  <c r="I208" i="2"/>
  <c r="K208" i="2" s="1"/>
  <c r="J207" i="2"/>
  <c r="I207" i="2"/>
  <c r="K207" i="2" s="1"/>
  <c r="L207" i="2" s="1"/>
  <c r="J206" i="2"/>
  <c r="I206" i="2"/>
  <c r="K206" i="2" s="1"/>
  <c r="J205" i="2"/>
  <c r="I205" i="2"/>
  <c r="K205" i="2" s="1"/>
  <c r="J204" i="2"/>
  <c r="I204" i="2"/>
  <c r="K204" i="2" s="1"/>
  <c r="J203" i="2"/>
  <c r="I203" i="2"/>
  <c r="K203" i="2" s="1"/>
  <c r="J202" i="2"/>
  <c r="I202" i="2"/>
  <c r="K202" i="2" s="1"/>
  <c r="J201" i="2"/>
  <c r="I201" i="2"/>
  <c r="K201" i="2" s="1"/>
  <c r="J200" i="2"/>
  <c r="I200" i="2"/>
  <c r="K200" i="2" s="1"/>
  <c r="J199" i="2"/>
  <c r="I199" i="2"/>
  <c r="K199" i="2" s="1"/>
  <c r="J198" i="2"/>
  <c r="I198" i="2"/>
  <c r="K198" i="2" s="1"/>
  <c r="J197" i="2"/>
  <c r="I197" i="2"/>
  <c r="K197" i="2" s="1"/>
  <c r="J196" i="2"/>
  <c r="I196" i="2"/>
  <c r="K196" i="2" s="1"/>
  <c r="J195" i="2"/>
  <c r="I195" i="2"/>
  <c r="K195" i="2" s="1"/>
  <c r="J194" i="2"/>
  <c r="I194" i="2"/>
  <c r="K194" i="2" s="1"/>
  <c r="J193" i="2"/>
  <c r="I193" i="2"/>
  <c r="K193" i="2" s="1"/>
  <c r="J192" i="2"/>
  <c r="I192" i="2"/>
  <c r="K192" i="2" s="1"/>
  <c r="J191" i="2"/>
  <c r="I191" i="2"/>
  <c r="K191" i="2" s="1"/>
  <c r="J190" i="2"/>
  <c r="I190" i="2"/>
  <c r="K190" i="2" s="1"/>
  <c r="J189" i="2"/>
  <c r="I189" i="2"/>
  <c r="K189" i="2" s="1"/>
  <c r="L189" i="2" s="1"/>
  <c r="J188" i="2"/>
  <c r="I188" i="2"/>
  <c r="K188" i="2" s="1"/>
  <c r="J187" i="2"/>
  <c r="I187" i="2"/>
  <c r="K187" i="2" s="1"/>
  <c r="J186" i="2"/>
  <c r="I186" i="2"/>
  <c r="K186" i="2" s="1"/>
  <c r="J185" i="2"/>
  <c r="I185" i="2"/>
  <c r="K185" i="2" s="1"/>
  <c r="L185" i="2" s="1"/>
  <c r="J184" i="2"/>
  <c r="I184" i="2"/>
  <c r="K184" i="2" s="1"/>
  <c r="J183" i="2"/>
  <c r="I183" i="2"/>
  <c r="K183" i="2" s="1"/>
  <c r="J182" i="2"/>
  <c r="I182" i="2"/>
  <c r="K182" i="2" s="1"/>
  <c r="L182" i="2" s="1"/>
  <c r="J181" i="2"/>
  <c r="I181" i="2"/>
  <c r="K181" i="2" s="1"/>
  <c r="J180" i="2"/>
  <c r="I180" i="2"/>
  <c r="K180" i="2" s="1"/>
  <c r="J179" i="2"/>
  <c r="I179" i="2"/>
  <c r="K179" i="2" s="1"/>
  <c r="J178" i="2"/>
  <c r="I178" i="2"/>
  <c r="K178" i="2" s="1"/>
  <c r="J177" i="2"/>
  <c r="I177" i="2"/>
  <c r="K177" i="2" s="1"/>
  <c r="J176" i="2"/>
  <c r="I176" i="2"/>
  <c r="K176" i="2" s="1"/>
  <c r="J175" i="2"/>
  <c r="I175" i="2"/>
  <c r="K175" i="2" s="1"/>
  <c r="J174" i="2"/>
  <c r="I174" i="2"/>
  <c r="K174" i="2" s="1"/>
  <c r="J173" i="2"/>
  <c r="I173" i="2"/>
  <c r="K173" i="2" s="1"/>
  <c r="K172" i="2"/>
  <c r="J172" i="2"/>
  <c r="I172" i="2"/>
  <c r="J171" i="2"/>
  <c r="I171" i="2"/>
  <c r="K171" i="2" s="1"/>
  <c r="L171" i="2" s="1"/>
  <c r="J170" i="2"/>
  <c r="I170" i="2"/>
  <c r="K170" i="2" s="1"/>
  <c r="J169" i="2"/>
  <c r="I169" i="2"/>
  <c r="K169" i="2" s="1"/>
  <c r="J168" i="2"/>
  <c r="I168" i="2"/>
  <c r="K168" i="2" s="1"/>
  <c r="J167" i="2"/>
  <c r="I167" i="2"/>
  <c r="K167" i="2" s="1"/>
  <c r="L167" i="2" s="1"/>
  <c r="K166" i="2"/>
  <c r="J166" i="2"/>
  <c r="I166" i="2"/>
  <c r="J165" i="2"/>
  <c r="I165" i="2"/>
  <c r="K165" i="2" s="1"/>
  <c r="J164" i="2"/>
  <c r="I164" i="2"/>
  <c r="K164" i="2" s="1"/>
  <c r="J163" i="2"/>
  <c r="I163" i="2"/>
  <c r="K163" i="2" s="1"/>
  <c r="J162" i="2"/>
  <c r="I162" i="2"/>
  <c r="K162" i="2" s="1"/>
  <c r="J161" i="2"/>
  <c r="I161" i="2"/>
  <c r="K161" i="2" s="1"/>
  <c r="J160" i="2"/>
  <c r="I160" i="2"/>
  <c r="K160" i="2" s="1"/>
  <c r="J159" i="2"/>
  <c r="I159" i="2"/>
  <c r="K159" i="2" s="1"/>
  <c r="J158" i="2"/>
  <c r="I158" i="2"/>
  <c r="K158" i="2" s="1"/>
  <c r="J157" i="2"/>
  <c r="I157" i="2"/>
  <c r="K157" i="2" s="1"/>
  <c r="J156" i="2"/>
  <c r="I156" i="2"/>
  <c r="K156" i="2" s="1"/>
  <c r="J155" i="2"/>
  <c r="I155" i="2"/>
  <c r="K155" i="2" s="1"/>
  <c r="L155" i="2" s="1"/>
  <c r="J154" i="2"/>
  <c r="I154" i="2"/>
  <c r="K154" i="2" s="1"/>
  <c r="J153" i="2"/>
  <c r="I153" i="2"/>
  <c r="K153" i="2" s="1"/>
  <c r="J152" i="2"/>
  <c r="I152" i="2"/>
  <c r="K152" i="2" s="1"/>
  <c r="L152" i="2" s="1"/>
  <c r="J151" i="2"/>
  <c r="I151" i="2"/>
  <c r="K151" i="2" s="1"/>
  <c r="L151" i="2" s="1"/>
  <c r="J150" i="2"/>
  <c r="I150" i="2"/>
  <c r="K150" i="2" s="1"/>
  <c r="J149" i="2"/>
  <c r="I149" i="2"/>
  <c r="K149" i="2" s="1"/>
  <c r="J148" i="2"/>
  <c r="I148" i="2"/>
  <c r="K148" i="2" s="1"/>
  <c r="L148" i="2" s="1"/>
  <c r="J147" i="2"/>
  <c r="I147" i="2"/>
  <c r="K147" i="2" s="1"/>
  <c r="L147" i="2" s="1"/>
  <c r="J146" i="2"/>
  <c r="I146" i="2"/>
  <c r="K146" i="2" s="1"/>
  <c r="J145" i="2"/>
  <c r="I145" i="2"/>
  <c r="K145" i="2" s="1"/>
  <c r="J144" i="2"/>
  <c r="I144" i="2"/>
  <c r="K144" i="2" s="1"/>
  <c r="J143" i="2"/>
  <c r="I143" i="2"/>
  <c r="K143" i="2" s="1"/>
  <c r="J142" i="2"/>
  <c r="I142" i="2"/>
  <c r="K142" i="2" s="1"/>
  <c r="J141" i="2"/>
  <c r="I141" i="2"/>
  <c r="K141" i="2" s="1"/>
  <c r="J140" i="2"/>
  <c r="I140" i="2"/>
  <c r="K140" i="2" s="1"/>
  <c r="J139" i="2"/>
  <c r="I139" i="2"/>
  <c r="K139" i="2" s="1"/>
  <c r="J138" i="2"/>
  <c r="I138" i="2"/>
  <c r="K138" i="2" s="1"/>
  <c r="J137" i="2"/>
  <c r="I137" i="2"/>
  <c r="K137" i="2" s="1"/>
  <c r="J136" i="2"/>
  <c r="I136" i="2"/>
  <c r="K136" i="2" s="1"/>
  <c r="J135" i="2"/>
  <c r="I135" i="2"/>
  <c r="K135" i="2" s="1"/>
  <c r="J134" i="2"/>
  <c r="I134" i="2"/>
  <c r="K134" i="2" s="1"/>
  <c r="J133" i="2"/>
  <c r="I133" i="2"/>
  <c r="K133" i="2" s="1"/>
  <c r="J132" i="2"/>
  <c r="I132" i="2"/>
  <c r="K132" i="2" s="1"/>
  <c r="J131" i="2"/>
  <c r="I131" i="2"/>
  <c r="K131" i="2" s="1"/>
  <c r="J130" i="2"/>
  <c r="I130" i="2"/>
  <c r="K130" i="2" s="1"/>
  <c r="J129" i="2"/>
  <c r="I129" i="2"/>
  <c r="K129" i="2" s="1"/>
  <c r="J128" i="2"/>
  <c r="I128" i="2"/>
  <c r="K128" i="2" s="1"/>
  <c r="L128" i="2" s="1"/>
  <c r="J127" i="2"/>
  <c r="I127" i="2"/>
  <c r="K127" i="2" s="1"/>
  <c r="L127" i="2" s="1"/>
  <c r="J126" i="2"/>
  <c r="I126" i="2"/>
  <c r="K126" i="2" s="1"/>
  <c r="J125" i="2"/>
  <c r="I125" i="2"/>
  <c r="K125" i="2" s="1"/>
  <c r="J124" i="2"/>
  <c r="I124" i="2"/>
  <c r="K124" i="2" s="1"/>
  <c r="L124" i="2" s="1"/>
  <c r="J123" i="2"/>
  <c r="I123" i="2"/>
  <c r="K123" i="2" s="1"/>
  <c r="L123" i="2" s="1"/>
  <c r="J122" i="2"/>
  <c r="I122" i="2"/>
  <c r="K122" i="2" s="1"/>
  <c r="J121" i="2"/>
  <c r="I121" i="2"/>
  <c r="K121" i="2" s="1"/>
  <c r="J120" i="2"/>
  <c r="I120" i="2"/>
  <c r="K120" i="2" s="1"/>
  <c r="L120" i="2" s="1"/>
  <c r="J119" i="2"/>
  <c r="I119" i="2"/>
  <c r="K119" i="2" s="1"/>
  <c r="L119" i="2" s="1"/>
  <c r="J118" i="2"/>
  <c r="I118" i="2"/>
  <c r="K118" i="2" s="1"/>
  <c r="J117" i="2"/>
  <c r="I117" i="2"/>
  <c r="K117" i="2" s="1"/>
  <c r="J116" i="2"/>
  <c r="I116" i="2"/>
  <c r="K116" i="2" s="1"/>
  <c r="J115" i="2"/>
  <c r="I115" i="2"/>
  <c r="K115" i="2" s="1"/>
  <c r="J114" i="2"/>
  <c r="I114" i="2"/>
  <c r="K114" i="2" s="1"/>
  <c r="J113" i="2"/>
  <c r="I113" i="2"/>
  <c r="K113" i="2" s="1"/>
  <c r="J112" i="2"/>
  <c r="I112" i="2"/>
  <c r="K112" i="2" s="1"/>
  <c r="J111" i="2"/>
  <c r="I111" i="2"/>
  <c r="K111" i="2" s="1"/>
  <c r="J110" i="2"/>
  <c r="I110" i="2"/>
  <c r="K110" i="2" s="1"/>
  <c r="J109" i="2"/>
  <c r="I109" i="2"/>
  <c r="K109" i="2" s="1"/>
  <c r="J108" i="2"/>
  <c r="I108" i="2"/>
  <c r="K108" i="2" s="1"/>
  <c r="J107" i="2"/>
  <c r="I107" i="2"/>
  <c r="K107" i="2" s="1"/>
  <c r="J106" i="2"/>
  <c r="I106" i="2"/>
  <c r="K106" i="2" s="1"/>
  <c r="J105" i="2"/>
  <c r="I105" i="2"/>
  <c r="K105" i="2" s="1"/>
  <c r="J104" i="2"/>
  <c r="I104" i="2"/>
  <c r="K104" i="2" s="1"/>
  <c r="J103" i="2"/>
  <c r="L103" i="2" s="1"/>
  <c r="I103" i="2"/>
  <c r="K103" i="2" s="1"/>
  <c r="J102" i="2"/>
  <c r="I102" i="2"/>
  <c r="K102" i="2" s="1"/>
  <c r="J101" i="2"/>
  <c r="I101" i="2"/>
  <c r="K101" i="2" s="1"/>
  <c r="V100" i="2"/>
  <c r="J100" i="2"/>
  <c r="I100" i="2"/>
  <c r="K100" i="2" s="1"/>
  <c r="J99" i="2"/>
  <c r="I99" i="2"/>
  <c r="K99" i="2" s="1"/>
  <c r="J98" i="2"/>
  <c r="I98" i="2"/>
  <c r="K98" i="2" s="1"/>
  <c r="J97" i="2"/>
  <c r="I97" i="2"/>
  <c r="K97" i="2" s="1"/>
  <c r="J96" i="2"/>
  <c r="I96" i="2"/>
  <c r="K96" i="2" s="1"/>
  <c r="J95" i="2"/>
  <c r="I95" i="2"/>
  <c r="K95" i="2" s="1"/>
  <c r="J94" i="2"/>
  <c r="I94" i="2"/>
  <c r="K94" i="2" s="1"/>
  <c r="J93" i="2"/>
  <c r="I93" i="2"/>
  <c r="K93" i="2" s="1"/>
  <c r="L93" i="2" s="1"/>
  <c r="J92" i="2"/>
  <c r="I92" i="2"/>
  <c r="K92" i="2" s="1"/>
  <c r="J91" i="2"/>
  <c r="I91" i="2"/>
  <c r="K91" i="2" s="1"/>
  <c r="J90" i="2"/>
  <c r="I90" i="2"/>
  <c r="K90" i="2" s="1"/>
  <c r="J89" i="2"/>
  <c r="I89" i="2"/>
  <c r="K89" i="2" s="1"/>
  <c r="L89" i="2" s="1"/>
  <c r="J88" i="2"/>
  <c r="I88" i="2"/>
  <c r="K88" i="2" s="1"/>
  <c r="J87" i="2"/>
  <c r="I87" i="2"/>
  <c r="K87" i="2" s="1"/>
  <c r="L87" i="2" s="1"/>
  <c r="J86" i="2"/>
  <c r="I86" i="2"/>
  <c r="K86" i="2" s="1"/>
  <c r="J85" i="2"/>
  <c r="I85" i="2"/>
  <c r="K85" i="2" s="1"/>
  <c r="J84" i="2"/>
  <c r="I84" i="2"/>
  <c r="K84" i="2" s="1"/>
  <c r="J83" i="2"/>
  <c r="I83" i="2"/>
  <c r="K83" i="2" s="1"/>
  <c r="J82" i="2"/>
  <c r="I82" i="2"/>
  <c r="K82" i="2" s="1"/>
  <c r="J81" i="2"/>
  <c r="I81" i="2"/>
  <c r="K81" i="2" s="1"/>
  <c r="L81" i="2" s="1"/>
  <c r="J80" i="2"/>
  <c r="I80" i="2"/>
  <c r="K80" i="2" s="1"/>
  <c r="J79" i="2"/>
  <c r="I79" i="2"/>
  <c r="K79" i="2" s="1"/>
  <c r="L79" i="2" s="1"/>
  <c r="J78" i="2"/>
  <c r="I78" i="2"/>
  <c r="K78" i="2" s="1"/>
  <c r="J77" i="2"/>
  <c r="I77" i="2"/>
  <c r="K77" i="2" s="1"/>
  <c r="J76" i="2"/>
  <c r="I76" i="2"/>
  <c r="K76" i="2" s="1"/>
  <c r="J75" i="2"/>
  <c r="I75" i="2"/>
  <c r="K75" i="2" s="1"/>
  <c r="L75" i="2" s="1"/>
  <c r="J74" i="2"/>
  <c r="I74" i="2"/>
  <c r="K74" i="2" s="1"/>
  <c r="J73" i="2"/>
  <c r="I73" i="2"/>
  <c r="K73" i="2" s="1"/>
  <c r="L73" i="2" s="1"/>
  <c r="J72" i="2"/>
  <c r="I72" i="2"/>
  <c r="K72" i="2" s="1"/>
  <c r="J71" i="2"/>
  <c r="I71" i="2"/>
  <c r="K71" i="2" s="1"/>
  <c r="J70" i="2"/>
  <c r="I70" i="2"/>
  <c r="K70" i="2" s="1"/>
  <c r="J69" i="2"/>
  <c r="I69" i="2"/>
  <c r="K69" i="2" s="1"/>
  <c r="L69" i="2" s="1"/>
  <c r="J68" i="2"/>
  <c r="I68" i="2"/>
  <c r="K68" i="2" s="1"/>
  <c r="J67" i="2"/>
  <c r="I67" i="2"/>
  <c r="K67" i="2" s="1"/>
  <c r="J66" i="2"/>
  <c r="I66" i="2"/>
  <c r="K66" i="2" s="1"/>
  <c r="J65" i="2"/>
  <c r="I65" i="2"/>
  <c r="K65" i="2" s="1"/>
  <c r="J64" i="2"/>
  <c r="I64" i="2"/>
  <c r="K64" i="2" s="1"/>
  <c r="J63" i="2"/>
  <c r="I63" i="2"/>
  <c r="K63" i="2" s="1"/>
  <c r="J62" i="2"/>
  <c r="I62" i="2"/>
  <c r="K62" i="2" s="1"/>
  <c r="J61" i="2"/>
  <c r="I61" i="2"/>
  <c r="K61" i="2" s="1"/>
  <c r="J60" i="2"/>
  <c r="I60" i="2"/>
  <c r="K60" i="2" s="1"/>
  <c r="J59" i="2"/>
  <c r="I59" i="2"/>
  <c r="K59" i="2" s="1"/>
  <c r="J58" i="2"/>
  <c r="I58" i="2"/>
  <c r="K58" i="2" s="1"/>
  <c r="J57" i="2"/>
  <c r="I57" i="2"/>
  <c r="K57" i="2" s="1"/>
  <c r="J56" i="2"/>
  <c r="I56" i="2"/>
  <c r="K56" i="2" s="1"/>
  <c r="J55" i="2"/>
  <c r="I55" i="2"/>
  <c r="K55" i="2" s="1"/>
  <c r="J54" i="2"/>
  <c r="I54" i="2"/>
  <c r="K54" i="2" s="1"/>
  <c r="J53" i="2"/>
  <c r="I53" i="2"/>
  <c r="K53" i="2" s="1"/>
  <c r="J52" i="2"/>
  <c r="I52" i="2"/>
  <c r="K52" i="2" s="1"/>
  <c r="J51" i="2"/>
  <c r="I51" i="2"/>
  <c r="K51" i="2" s="1"/>
  <c r="J50" i="2"/>
  <c r="I50" i="2"/>
  <c r="K50" i="2" s="1"/>
  <c r="J49" i="2"/>
  <c r="I49" i="2"/>
  <c r="K49" i="2" s="1"/>
  <c r="K48" i="2"/>
  <c r="J48" i="2"/>
  <c r="I48" i="2"/>
  <c r="J47" i="2"/>
  <c r="I47" i="2"/>
  <c r="K47" i="2" s="1"/>
  <c r="J46" i="2"/>
  <c r="I46" i="2"/>
  <c r="K46" i="2" s="1"/>
  <c r="K45" i="2"/>
  <c r="J45" i="2"/>
  <c r="I45" i="2"/>
  <c r="J44" i="2"/>
  <c r="I44" i="2"/>
  <c r="K44" i="2" s="1"/>
  <c r="J43" i="2"/>
  <c r="I43" i="2"/>
  <c r="K43" i="2" s="1"/>
  <c r="J42" i="2"/>
  <c r="I42" i="2"/>
  <c r="K42" i="2" s="1"/>
  <c r="J41" i="2"/>
  <c r="I41" i="2"/>
  <c r="K41" i="2" s="1"/>
  <c r="J40" i="2"/>
  <c r="I40" i="2"/>
  <c r="K40" i="2" s="1"/>
  <c r="J39" i="2"/>
  <c r="I39" i="2"/>
  <c r="K39" i="2" s="1"/>
  <c r="J38" i="2"/>
  <c r="I38" i="2"/>
  <c r="K38" i="2" s="1"/>
  <c r="J37" i="2"/>
  <c r="I37" i="2"/>
  <c r="K37" i="2" s="1"/>
  <c r="J36" i="2"/>
  <c r="I36" i="2"/>
  <c r="K36" i="2" s="1"/>
  <c r="J35" i="2"/>
  <c r="I35" i="2"/>
  <c r="K35" i="2" s="1"/>
  <c r="L35" i="2" s="1"/>
  <c r="J34" i="2"/>
  <c r="I34" i="2"/>
  <c r="K34" i="2" s="1"/>
  <c r="L34" i="2" s="1"/>
  <c r="J33" i="2"/>
  <c r="I33" i="2"/>
  <c r="K33" i="2" s="1"/>
  <c r="J32" i="2"/>
  <c r="I32" i="2"/>
  <c r="K32" i="2" s="1"/>
  <c r="J31" i="2"/>
  <c r="I31" i="2"/>
  <c r="K31" i="2" s="1"/>
  <c r="J30" i="2"/>
  <c r="I30" i="2"/>
  <c r="K30" i="2" s="1"/>
  <c r="J29" i="2"/>
  <c r="I29" i="2"/>
  <c r="K29" i="2" s="1"/>
  <c r="J28" i="2"/>
  <c r="I28" i="2"/>
  <c r="K28" i="2" s="1"/>
  <c r="J27" i="2"/>
  <c r="I27" i="2"/>
  <c r="K27" i="2" s="1"/>
  <c r="J26" i="2"/>
  <c r="I26" i="2"/>
  <c r="K26" i="2" s="1"/>
  <c r="J25" i="2"/>
  <c r="I25" i="2"/>
  <c r="K25" i="2" s="1"/>
  <c r="J24" i="2"/>
  <c r="I24" i="2"/>
  <c r="K24" i="2" s="1"/>
  <c r="J23" i="2"/>
  <c r="I23" i="2"/>
  <c r="K23" i="2" s="1"/>
  <c r="J22" i="2"/>
  <c r="I22" i="2"/>
  <c r="K22" i="2" s="1"/>
  <c r="J21" i="2"/>
  <c r="I21" i="2"/>
  <c r="K21" i="2" s="1"/>
  <c r="J20" i="2"/>
  <c r="I20" i="2"/>
  <c r="K20" i="2" s="1"/>
  <c r="J19" i="2"/>
  <c r="I19" i="2"/>
  <c r="K19" i="2" s="1"/>
  <c r="J18" i="2"/>
  <c r="I18" i="2"/>
  <c r="K18" i="2" s="1"/>
  <c r="J17" i="2"/>
  <c r="I17" i="2"/>
  <c r="K17" i="2" s="1"/>
  <c r="J16" i="2"/>
  <c r="I16" i="2"/>
  <c r="K16" i="2" s="1"/>
  <c r="J15" i="2"/>
  <c r="I15" i="2"/>
  <c r="K15" i="2" s="1"/>
  <c r="J14" i="2"/>
  <c r="I14" i="2"/>
  <c r="K14" i="2" s="1"/>
  <c r="J13" i="2"/>
  <c r="I13" i="2"/>
  <c r="K13" i="2" s="1"/>
  <c r="L13" i="2" s="1"/>
  <c r="J12" i="2"/>
  <c r="I12" i="2"/>
  <c r="K12" i="2" s="1"/>
  <c r="L12" i="2" s="1"/>
  <c r="J11" i="2"/>
  <c r="I11" i="2"/>
  <c r="K11" i="2" s="1"/>
  <c r="L11" i="2" s="1"/>
  <c r="J10" i="2"/>
  <c r="I10" i="2"/>
  <c r="K10" i="2" s="1"/>
  <c r="J9" i="2"/>
  <c r="I9" i="2"/>
  <c r="K9" i="2" s="1"/>
  <c r="J8" i="2"/>
  <c r="I8" i="2"/>
  <c r="K8" i="2" s="1"/>
  <c r="J7" i="2"/>
  <c r="I7" i="2"/>
  <c r="K7" i="2" s="1"/>
  <c r="J6" i="2"/>
  <c r="I6" i="2"/>
  <c r="K6" i="2" s="1"/>
  <c r="J5" i="2"/>
  <c r="I5" i="2"/>
  <c r="K5" i="2" s="1"/>
  <c r="J4" i="2"/>
  <c r="I4" i="2"/>
  <c r="K4" i="2" s="1"/>
  <c r="J3" i="2"/>
  <c r="I3" i="2"/>
  <c r="K3" i="2" s="1"/>
  <c r="J2" i="2"/>
  <c r="I2" i="2"/>
  <c r="K2" i="2" s="1"/>
  <c r="I322" i="1"/>
  <c r="K322" i="1" s="1"/>
  <c r="J322" i="1"/>
  <c r="I316" i="1"/>
  <c r="J316" i="1"/>
  <c r="K316" i="1"/>
  <c r="I317" i="1"/>
  <c r="K317" i="1" s="1"/>
  <c r="J317" i="1"/>
  <c r="I318" i="1"/>
  <c r="K318" i="1" s="1"/>
  <c r="J318" i="1"/>
  <c r="I319" i="1"/>
  <c r="K319" i="1" s="1"/>
  <c r="J319" i="1"/>
  <c r="I320" i="1"/>
  <c r="K320" i="1" s="1"/>
  <c r="J320" i="1"/>
  <c r="I321" i="1"/>
  <c r="K321" i="1" s="1"/>
  <c r="J321" i="1"/>
  <c r="K315" i="1"/>
  <c r="J315" i="1"/>
  <c r="I315" i="1"/>
  <c r="J314" i="1"/>
  <c r="I314" i="1"/>
  <c r="K314" i="1" s="1"/>
  <c r="J313" i="1"/>
  <c r="I313" i="1"/>
  <c r="J312" i="1"/>
  <c r="I312" i="1"/>
  <c r="K312" i="1" s="1"/>
  <c r="J311" i="1"/>
  <c r="I311" i="1"/>
  <c r="K311" i="1" s="1"/>
  <c r="J310" i="1"/>
  <c r="I310" i="1"/>
  <c r="K310" i="1" s="1"/>
  <c r="J309" i="1"/>
  <c r="I309" i="1"/>
  <c r="K309" i="1" s="1"/>
  <c r="J308" i="1"/>
  <c r="I308" i="1"/>
  <c r="K308" i="1" s="1"/>
  <c r="J307" i="1"/>
  <c r="I307" i="1"/>
  <c r="K307" i="1" s="1"/>
  <c r="J306" i="1"/>
  <c r="I306" i="1"/>
  <c r="K306" i="1" s="1"/>
  <c r="J305" i="1"/>
  <c r="I305" i="1"/>
  <c r="K305" i="1" s="1"/>
  <c r="J304" i="1"/>
  <c r="I304" i="1"/>
  <c r="K304" i="1" s="1"/>
  <c r="J303" i="1"/>
  <c r="I303" i="1"/>
  <c r="K303" i="1" s="1"/>
  <c r="J302" i="1"/>
  <c r="I302" i="1"/>
  <c r="K302" i="1" s="1"/>
  <c r="J301" i="1"/>
  <c r="I301" i="1"/>
  <c r="K301" i="1" s="1"/>
  <c r="J300" i="1"/>
  <c r="I300" i="1"/>
  <c r="K300" i="1" s="1"/>
  <c r="J299" i="1"/>
  <c r="I299" i="1"/>
  <c r="K299" i="1" s="1"/>
  <c r="J298" i="1"/>
  <c r="I298" i="1"/>
  <c r="K298" i="1" s="1"/>
  <c r="J297" i="1"/>
  <c r="I297" i="1"/>
  <c r="K297" i="1" s="1"/>
  <c r="J296" i="1"/>
  <c r="I296" i="1"/>
  <c r="K296" i="1" s="1"/>
  <c r="J295" i="1"/>
  <c r="I295" i="1"/>
  <c r="K295" i="1" s="1"/>
  <c r="J294" i="1"/>
  <c r="I294" i="1"/>
  <c r="K294" i="1" s="1"/>
  <c r="J293" i="1"/>
  <c r="I293" i="1"/>
  <c r="K293" i="1" s="1"/>
  <c r="J292" i="1"/>
  <c r="I292" i="1"/>
  <c r="K292" i="1" s="1"/>
  <c r="L292" i="1" s="1"/>
  <c r="J291" i="1"/>
  <c r="I291" i="1"/>
  <c r="K291" i="1" s="1"/>
  <c r="J290" i="1"/>
  <c r="I290" i="1"/>
  <c r="K290" i="1" s="1"/>
  <c r="J289" i="1"/>
  <c r="I289" i="1"/>
  <c r="K289" i="1" s="1"/>
  <c r="J288" i="1"/>
  <c r="I288" i="1"/>
  <c r="K288" i="1" s="1"/>
  <c r="J287" i="1"/>
  <c r="I287" i="1"/>
  <c r="K287" i="1" s="1"/>
  <c r="J286" i="1"/>
  <c r="I286" i="1"/>
  <c r="K286" i="1" s="1"/>
  <c r="J285" i="1"/>
  <c r="I285" i="1"/>
  <c r="K285" i="1" s="1"/>
  <c r="J284" i="1"/>
  <c r="I284" i="1"/>
  <c r="K284" i="1" s="1"/>
  <c r="J283" i="1"/>
  <c r="I283" i="1"/>
  <c r="J282" i="1"/>
  <c r="I282" i="1"/>
  <c r="K282" i="1" s="1"/>
  <c r="J281" i="1"/>
  <c r="I281" i="1"/>
  <c r="K281" i="1" s="1"/>
  <c r="J280" i="1"/>
  <c r="I280" i="1"/>
  <c r="K280" i="1" s="1"/>
  <c r="J279" i="1"/>
  <c r="I279" i="1"/>
  <c r="K279" i="1" s="1"/>
  <c r="J278" i="1"/>
  <c r="I278" i="1"/>
  <c r="K278" i="1" s="1"/>
  <c r="J277" i="1"/>
  <c r="I277" i="1"/>
  <c r="K277" i="1" s="1"/>
  <c r="J276" i="1"/>
  <c r="I276" i="1"/>
  <c r="K276" i="1" s="1"/>
  <c r="J275" i="1"/>
  <c r="I275" i="1"/>
  <c r="K275" i="1" s="1"/>
  <c r="J274" i="1"/>
  <c r="I274" i="1"/>
  <c r="K274" i="1" s="1"/>
  <c r="J273" i="1"/>
  <c r="I273" i="1"/>
  <c r="K273" i="1" s="1"/>
  <c r="J272" i="1"/>
  <c r="I272" i="1"/>
  <c r="K272" i="1" s="1"/>
  <c r="L272" i="1" s="1"/>
  <c r="J271" i="1"/>
  <c r="I271" i="1"/>
  <c r="K271" i="1" s="1"/>
  <c r="J270" i="1"/>
  <c r="I270" i="1"/>
  <c r="K270" i="1" s="1"/>
  <c r="J269" i="1"/>
  <c r="I269" i="1"/>
  <c r="J268" i="1"/>
  <c r="I268" i="1"/>
  <c r="K268" i="1" s="1"/>
  <c r="J267" i="1"/>
  <c r="I267" i="1"/>
  <c r="K267" i="1" s="1"/>
  <c r="J266" i="1"/>
  <c r="I266" i="1"/>
  <c r="K266" i="1" s="1"/>
  <c r="J265" i="1"/>
  <c r="I265" i="1"/>
  <c r="J264" i="1"/>
  <c r="I264" i="1"/>
  <c r="K264" i="1" s="1"/>
  <c r="J263" i="1"/>
  <c r="I263" i="1"/>
  <c r="J262" i="1"/>
  <c r="I262" i="1"/>
  <c r="K262" i="1" s="1"/>
  <c r="J261" i="1"/>
  <c r="I261" i="1"/>
  <c r="K261" i="1" s="1"/>
  <c r="J260" i="1"/>
  <c r="I260" i="1"/>
  <c r="K260" i="1" s="1"/>
  <c r="J259" i="1"/>
  <c r="I259" i="1"/>
  <c r="K259" i="1" s="1"/>
  <c r="J258" i="1"/>
  <c r="I258" i="1"/>
  <c r="K258" i="1" s="1"/>
  <c r="J257" i="1"/>
  <c r="I257" i="1"/>
  <c r="J256" i="1"/>
  <c r="I256" i="1"/>
  <c r="K256" i="1" s="1"/>
  <c r="J255" i="1"/>
  <c r="I255" i="1"/>
  <c r="K255" i="1" s="1"/>
  <c r="J254" i="1"/>
  <c r="I254" i="1"/>
  <c r="K254" i="1" s="1"/>
  <c r="J253" i="1"/>
  <c r="I253" i="1"/>
  <c r="K253" i="1" s="1"/>
  <c r="J252" i="1"/>
  <c r="I252" i="1"/>
  <c r="K252" i="1" s="1"/>
  <c r="L252" i="1" s="1"/>
  <c r="J251" i="1"/>
  <c r="I251" i="1"/>
  <c r="K251" i="1" s="1"/>
  <c r="J250" i="1"/>
  <c r="I250" i="1"/>
  <c r="J249" i="1"/>
  <c r="I249" i="1"/>
  <c r="J248" i="1"/>
  <c r="I248" i="1"/>
  <c r="K248" i="1" s="1"/>
  <c r="J247" i="1"/>
  <c r="I247" i="1"/>
  <c r="K247" i="1" s="1"/>
  <c r="J246" i="1"/>
  <c r="I246" i="1"/>
  <c r="K246" i="1" s="1"/>
  <c r="J245" i="1"/>
  <c r="I245" i="1"/>
  <c r="J244" i="1"/>
  <c r="I244" i="1"/>
  <c r="K244" i="1" s="1"/>
  <c r="J243" i="1"/>
  <c r="I243" i="1"/>
  <c r="K243" i="1" s="1"/>
  <c r="J242" i="1"/>
  <c r="I242" i="1"/>
  <c r="K242" i="1" s="1"/>
  <c r="L242" i="1" s="1"/>
  <c r="J241" i="1"/>
  <c r="I241" i="1"/>
  <c r="K241" i="1" s="1"/>
  <c r="J240" i="1"/>
  <c r="I240" i="1"/>
  <c r="K240" i="1" s="1"/>
  <c r="J239" i="1"/>
  <c r="I239" i="1"/>
  <c r="K239" i="1" s="1"/>
  <c r="J238" i="1"/>
  <c r="I238" i="1"/>
  <c r="K238" i="1" s="1"/>
  <c r="L238" i="1" s="1"/>
  <c r="J237" i="1"/>
  <c r="I237" i="1"/>
  <c r="K237" i="1" s="1"/>
  <c r="J236" i="1"/>
  <c r="I236" i="1"/>
  <c r="K236" i="1" s="1"/>
  <c r="J235" i="1"/>
  <c r="I235" i="1"/>
  <c r="K235" i="1" s="1"/>
  <c r="J234" i="1"/>
  <c r="I234" i="1"/>
  <c r="K234" i="1" s="1"/>
  <c r="J233" i="1"/>
  <c r="I233" i="1"/>
  <c r="J232" i="1"/>
  <c r="I232" i="1"/>
  <c r="K232" i="1" s="1"/>
  <c r="L232" i="1" s="1"/>
  <c r="J231" i="1"/>
  <c r="I231" i="1"/>
  <c r="J230" i="1"/>
  <c r="I230" i="1"/>
  <c r="J229" i="1"/>
  <c r="I229" i="1"/>
  <c r="J228" i="1"/>
  <c r="I228" i="1"/>
  <c r="K228" i="1" s="1"/>
  <c r="J227" i="1"/>
  <c r="I227" i="1"/>
  <c r="K227" i="1" s="1"/>
  <c r="J226" i="1"/>
  <c r="I226" i="1"/>
  <c r="K226" i="1" s="1"/>
  <c r="J225" i="1"/>
  <c r="I225" i="1"/>
  <c r="K225" i="1" s="1"/>
  <c r="J224" i="1"/>
  <c r="I224" i="1"/>
  <c r="K224" i="1" s="1"/>
  <c r="J223" i="1"/>
  <c r="I223" i="1"/>
  <c r="K223" i="1" s="1"/>
  <c r="J222" i="1"/>
  <c r="I222" i="1"/>
  <c r="K222" i="1" s="1"/>
  <c r="J221" i="1"/>
  <c r="I221" i="1"/>
  <c r="K221" i="1" s="1"/>
  <c r="J220" i="1"/>
  <c r="I220" i="1"/>
  <c r="J219" i="1"/>
  <c r="I219" i="1"/>
  <c r="K219" i="1" s="1"/>
  <c r="J218" i="1"/>
  <c r="I218" i="1"/>
  <c r="K218" i="1" s="1"/>
  <c r="J217" i="1"/>
  <c r="I217" i="1"/>
  <c r="K217" i="1" s="1"/>
  <c r="J216" i="1"/>
  <c r="I216" i="1"/>
  <c r="K216" i="1" s="1"/>
  <c r="J215" i="1"/>
  <c r="I215" i="1"/>
  <c r="K215" i="1" s="1"/>
  <c r="J214" i="1"/>
  <c r="I214" i="1"/>
  <c r="K214" i="1" s="1"/>
  <c r="J213" i="1"/>
  <c r="I213" i="1"/>
  <c r="K213" i="1" s="1"/>
  <c r="J212" i="1"/>
  <c r="I212" i="1"/>
  <c r="K212" i="1" s="1"/>
  <c r="J211" i="1"/>
  <c r="I211" i="1"/>
  <c r="J210" i="1"/>
  <c r="I210" i="1"/>
  <c r="K210" i="1" s="1"/>
  <c r="J209" i="1"/>
  <c r="I209" i="1"/>
  <c r="K209" i="1" s="1"/>
  <c r="J208" i="1"/>
  <c r="I208" i="1"/>
  <c r="K208" i="1" s="1"/>
  <c r="L208" i="1" s="1"/>
  <c r="J207" i="1"/>
  <c r="I207" i="1"/>
  <c r="K207" i="1" s="1"/>
  <c r="J206" i="1"/>
  <c r="I206" i="1"/>
  <c r="K206" i="1" s="1"/>
  <c r="J205" i="1"/>
  <c r="I205" i="1"/>
  <c r="J204" i="1"/>
  <c r="I204" i="1"/>
  <c r="K204" i="1" s="1"/>
  <c r="J203" i="1"/>
  <c r="I203" i="1"/>
  <c r="K203" i="1" s="1"/>
  <c r="J202" i="1"/>
  <c r="I202" i="1"/>
  <c r="K202" i="1" s="1"/>
  <c r="J201" i="1"/>
  <c r="I201" i="1"/>
  <c r="K201" i="1" s="1"/>
  <c r="J200" i="1"/>
  <c r="I200" i="1"/>
  <c r="K200" i="1" s="1"/>
  <c r="J199" i="1"/>
  <c r="I199" i="1"/>
  <c r="K199" i="1" s="1"/>
  <c r="J198" i="1"/>
  <c r="I198" i="1"/>
  <c r="K198" i="1" s="1"/>
  <c r="L198" i="1" s="1"/>
  <c r="J197" i="1"/>
  <c r="I197" i="1"/>
  <c r="K197" i="1" s="1"/>
  <c r="J196" i="1"/>
  <c r="I196" i="1"/>
  <c r="K196" i="1" s="1"/>
  <c r="J195" i="1"/>
  <c r="I195" i="1"/>
  <c r="J194" i="1"/>
  <c r="I194" i="1"/>
  <c r="K194" i="1" s="1"/>
  <c r="J193" i="1"/>
  <c r="I193" i="1"/>
  <c r="K193" i="1" s="1"/>
  <c r="J192" i="1"/>
  <c r="I192" i="1"/>
  <c r="J191" i="1"/>
  <c r="I191" i="1"/>
  <c r="K191" i="1" s="1"/>
  <c r="J190" i="1"/>
  <c r="I190" i="1"/>
  <c r="K190" i="1" s="1"/>
  <c r="J189" i="1"/>
  <c r="I189" i="1"/>
  <c r="K189" i="1" s="1"/>
  <c r="J188" i="1"/>
  <c r="I188" i="1"/>
  <c r="K188" i="1" s="1"/>
  <c r="L188" i="1" s="1"/>
  <c r="J187" i="1"/>
  <c r="I187" i="1"/>
  <c r="K187" i="1" s="1"/>
  <c r="J186" i="1"/>
  <c r="I186" i="1"/>
  <c r="K186" i="1" s="1"/>
  <c r="J185" i="1"/>
  <c r="I185" i="1"/>
  <c r="K185" i="1" s="1"/>
  <c r="J184" i="1"/>
  <c r="I184" i="1"/>
  <c r="J183" i="1"/>
  <c r="I183" i="1"/>
  <c r="K183" i="1" s="1"/>
  <c r="J182" i="1"/>
  <c r="I182" i="1"/>
  <c r="K182" i="1" s="1"/>
  <c r="J181" i="1"/>
  <c r="I181" i="1"/>
  <c r="K181" i="1" s="1"/>
  <c r="J180" i="1"/>
  <c r="I180" i="1"/>
  <c r="K180" i="1" s="1"/>
  <c r="J179" i="1"/>
  <c r="I179" i="1"/>
  <c r="K179" i="1" s="1"/>
  <c r="J178" i="1"/>
  <c r="I178" i="1"/>
  <c r="K178" i="1" s="1"/>
  <c r="L178" i="1" s="1"/>
  <c r="J177" i="1"/>
  <c r="I177" i="1"/>
  <c r="K177" i="1" s="1"/>
  <c r="J176" i="1"/>
  <c r="I176" i="1"/>
  <c r="K176" i="1" s="1"/>
  <c r="J175" i="1"/>
  <c r="I175" i="1"/>
  <c r="J174" i="1"/>
  <c r="I174" i="1"/>
  <c r="K174" i="1" s="1"/>
  <c r="J173" i="1"/>
  <c r="I173" i="1"/>
  <c r="K173" i="1" s="1"/>
  <c r="J172" i="1"/>
  <c r="I172" i="1"/>
  <c r="K172" i="1" s="1"/>
  <c r="J171" i="1"/>
  <c r="I171" i="1"/>
  <c r="K171" i="1" s="1"/>
  <c r="J170" i="1"/>
  <c r="I170" i="1"/>
  <c r="K170" i="1" s="1"/>
  <c r="J169" i="1"/>
  <c r="I169" i="1"/>
  <c r="K169" i="1" s="1"/>
  <c r="J168" i="1"/>
  <c r="I168" i="1"/>
  <c r="J167" i="1"/>
  <c r="I167" i="1"/>
  <c r="K167" i="1" s="1"/>
  <c r="J166" i="1"/>
  <c r="I166" i="1"/>
  <c r="K166" i="1" s="1"/>
  <c r="J165" i="1"/>
  <c r="I165" i="1"/>
  <c r="K165" i="1" s="1"/>
  <c r="J164" i="1"/>
  <c r="I164" i="1"/>
  <c r="K164" i="1" s="1"/>
  <c r="J163" i="1"/>
  <c r="I163" i="1"/>
  <c r="K163" i="1" s="1"/>
  <c r="J162" i="1"/>
  <c r="I162" i="1"/>
  <c r="K162" i="1" s="1"/>
  <c r="J161" i="1"/>
  <c r="I161" i="1"/>
  <c r="K161" i="1" s="1"/>
  <c r="J160" i="1"/>
  <c r="I160" i="1"/>
  <c r="K160" i="1" s="1"/>
  <c r="J159" i="1"/>
  <c r="I159" i="1"/>
  <c r="K159" i="1" s="1"/>
  <c r="J158" i="1"/>
  <c r="I158" i="1"/>
  <c r="K158" i="1" s="1"/>
  <c r="J157" i="1"/>
  <c r="I157" i="1"/>
  <c r="K157" i="1" s="1"/>
  <c r="J156" i="1"/>
  <c r="I156" i="1"/>
  <c r="K156" i="1" s="1"/>
  <c r="J155" i="1"/>
  <c r="I155" i="1"/>
  <c r="J154" i="1"/>
  <c r="I154" i="1"/>
  <c r="K154" i="1" s="1"/>
  <c r="L154" i="1" s="1"/>
  <c r="J153" i="1"/>
  <c r="I153" i="1"/>
  <c r="K153" i="1" s="1"/>
  <c r="J152" i="1"/>
  <c r="I152" i="1"/>
  <c r="K152" i="1" s="1"/>
  <c r="J151" i="1"/>
  <c r="I151" i="1"/>
  <c r="K151" i="1" s="1"/>
  <c r="J150" i="1"/>
  <c r="I150" i="1"/>
  <c r="J149" i="1"/>
  <c r="I149" i="1"/>
  <c r="J148" i="1"/>
  <c r="I148" i="1"/>
  <c r="K148" i="1" s="1"/>
  <c r="J147" i="1"/>
  <c r="I147" i="1"/>
  <c r="J146" i="1"/>
  <c r="I146" i="1"/>
  <c r="K146" i="1" s="1"/>
  <c r="J145" i="1"/>
  <c r="I145" i="1"/>
  <c r="J144" i="1"/>
  <c r="I144" i="1"/>
  <c r="K144" i="1" s="1"/>
  <c r="L144" i="1" s="1"/>
  <c r="J143" i="1"/>
  <c r="I143" i="1"/>
  <c r="J142" i="1"/>
  <c r="I142" i="1"/>
  <c r="K142" i="1" s="1"/>
  <c r="J141" i="1"/>
  <c r="I141" i="1"/>
  <c r="K141" i="1" s="1"/>
  <c r="J140" i="1"/>
  <c r="I140" i="1"/>
  <c r="K140" i="1" s="1"/>
  <c r="J139" i="1"/>
  <c r="I139" i="1"/>
  <c r="K139" i="1" s="1"/>
  <c r="J138" i="1"/>
  <c r="I138" i="1"/>
  <c r="K138" i="1" s="1"/>
  <c r="J137" i="1"/>
  <c r="I137" i="1"/>
  <c r="K137" i="1" s="1"/>
  <c r="J136" i="1"/>
  <c r="I136" i="1"/>
  <c r="K136" i="1" s="1"/>
  <c r="J135" i="1"/>
  <c r="I135" i="1"/>
  <c r="K135" i="1" s="1"/>
  <c r="J134" i="1"/>
  <c r="I134" i="1"/>
  <c r="K134" i="1" s="1"/>
  <c r="J133" i="1"/>
  <c r="I133" i="1"/>
  <c r="K133" i="1" s="1"/>
  <c r="J132" i="1"/>
  <c r="I132" i="1"/>
  <c r="K132" i="1" s="1"/>
  <c r="J131" i="1"/>
  <c r="I131" i="1"/>
  <c r="K131" i="1" s="1"/>
  <c r="J130" i="1"/>
  <c r="I130" i="1"/>
  <c r="J129" i="1"/>
  <c r="I129" i="1"/>
  <c r="J128" i="1"/>
  <c r="I128" i="1"/>
  <c r="K128" i="1" s="1"/>
  <c r="J127" i="1"/>
  <c r="I127" i="1"/>
  <c r="K127" i="1" s="1"/>
  <c r="J126" i="1"/>
  <c r="I126" i="1"/>
  <c r="K126" i="1" s="1"/>
  <c r="J125" i="1"/>
  <c r="I125" i="1"/>
  <c r="K125" i="1" s="1"/>
  <c r="J124" i="1"/>
  <c r="I124" i="1"/>
  <c r="J123" i="1"/>
  <c r="I123" i="1"/>
  <c r="K123" i="1" s="1"/>
  <c r="J122" i="1"/>
  <c r="I122" i="1"/>
  <c r="K122" i="1" s="1"/>
  <c r="J121" i="1"/>
  <c r="I121" i="1"/>
  <c r="K121" i="1" s="1"/>
  <c r="J120" i="1"/>
  <c r="I120" i="1"/>
  <c r="K120" i="1" s="1"/>
  <c r="J119" i="1"/>
  <c r="I119" i="1"/>
  <c r="K119" i="1" s="1"/>
  <c r="J118" i="1"/>
  <c r="I118" i="1"/>
  <c r="K118" i="1" s="1"/>
  <c r="J117" i="1"/>
  <c r="I117" i="1"/>
  <c r="K117" i="1" s="1"/>
  <c r="J116" i="1"/>
  <c r="I116" i="1"/>
  <c r="K116" i="1" s="1"/>
  <c r="J115" i="1"/>
  <c r="I115" i="1"/>
  <c r="K115" i="1" s="1"/>
  <c r="J114" i="1"/>
  <c r="I114" i="1"/>
  <c r="K114" i="1" s="1"/>
  <c r="J113" i="1"/>
  <c r="I113" i="1"/>
  <c r="K113" i="1" s="1"/>
  <c r="J112" i="1"/>
  <c r="I112" i="1"/>
  <c r="K112" i="1" s="1"/>
  <c r="J111" i="1"/>
  <c r="I111" i="1"/>
  <c r="J110" i="1"/>
  <c r="I110" i="1"/>
  <c r="J109" i="1"/>
  <c r="I109" i="1"/>
  <c r="J108" i="1"/>
  <c r="I108" i="1"/>
  <c r="K108" i="1" s="1"/>
  <c r="J107" i="1"/>
  <c r="I107" i="1"/>
  <c r="K107" i="1" s="1"/>
  <c r="J106" i="1"/>
  <c r="I106" i="1"/>
  <c r="K106" i="1" s="1"/>
  <c r="J105" i="1"/>
  <c r="I105" i="1"/>
  <c r="J104" i="1"/>
  <c r="I104" i="1"/>
  <c r="K104" i="1" s="1"/>
  <c r="J103" i="1"/>
  <c r="I103" i="1"/>
  <c r="J102" i="1"/>
  <c r="I102" i="1"/>
  <c r="K102" i="1" s="1"/>
  <c r="J101" i="1"/>
  <c r="I101" i="1"/>
  <c r="K101" i="1" s="1"/>
  <c r="J100" i="1"/>
  <c r="I100" i="1"/>
  <c r="K100" i="1" s="1"/>
  <c r="L100" i="1" s="1"/>
  <c r="J99" i="1"/>
  <c r="I99" i="1"/>
  <c r="K99" i="1" s="1"/>
  <c r="J98" i="1"/>
  <c r="I98" i="1"/>
  <c r="K98" i="1" s="1"/>
  <c r="J97" i="1"/>
  <c r="I97" i="1"/>
  <c r="K97" i="1" s="1"/>
  <c r="L97" i="1" s="1"/>
  <c r="J96" i="1"/>
  <c r="I96" i="1"/>
  <c r="K96" i="1" s="1"/>
  <c r="J95" i="1"/>
  <c r="I95" i="1"/>
  <c r="K95" i="1" s="1"/>
  <c r="L95" i="1" s="1"/>
  <c r="J94" i="1"/>
  <c r="I94" i="1"/>
  <c r="K94" i="1" s="1"/>
  <c r="J93" i="1"/>
  <c r="I93" i="1"/>
  <c r="K93" i="1" s="1"/>
  <c r="J92" i="1"/>
  <c r="I92" i="1"/>
  <c r="K92" i="1" s="1"/>
  <c r="J91" i="1"/>
  <c r="I91" i="1"/>
  <c r="K91" i="1" s="1"/>
  <c r="J90" i="1"/>
  <c r="I90" i="1"/>
  <c r="K90" i="1" s="1"/>
  <c r="J89" i="1"/>
  <c r="I89" i="1"/>
  <c r="K89" i="1" s="1"/>
  <c r="J88" i="1"/>
  <c r="I88" i="1"/>
  <c r="K88" i="1" s="1"/>
  <c r="J87" i="1"/>
  <c r="I87" i="1"/>
  <c r="K87" i="1" s="1"/>
  <c r="J86" i="1"/>
  <c r="I86" i="1"/>
  <c r="K86" i="1" s="1"/>
  <c r="J85" i="1"/>
  <c r="I85" i="1"/>
  <c r="K85" i="1" s="1"/>
  <c r="J84" i="1"/>
  <c r="I84" i="1"/>
  <c r="K84" i="1" s="1"/>
  <c r="J83" i="1"/>
  <c r="I83" i="1"/>
  <c r="K83" i="1" s="1"/>
  <c r="J82" i="1"/>
  <c r="I82" i="1"/>
  <c r="K82" i="1" s="1"/>
  <c r="L82" i="1" s="1"/>
  <c r="J81" i="1"/>
  <c r="I81" i="1"/>
  <c r="K81" i="1" s="1"/>
  <c r="J80" i="1"/>
  <c r="I80" i="1"/>
  <c r="K80" i="1" s="1"/>
  <c r="L80" i="1" s="1"/>
  <c r="J79" i="1"/>
  <c r="I79" i="1"/>
  <c r="K79" i="1" s="1"/>
  <c r="J78" i="1"/>
  <c r="I78" i="1"/>
  <c r="K78" i="1" s="1"/>
  <c r="J77" i="1"/>
  <c r="I77" i="1"/>
  <c r="K77" i="1" s="1"/>
  <c r="L77" i="1" s="1"/>
  <c r="J76" i="1"/>
  <c r="I76" i="1"/>
  <c r="K76" i="1" s="1"/>
  <c r="J75" i="1"/>
  <c r="I75" i="1"/>
  <c r="K75" i="1" s="1"/>
  <c r="J74" i="1"/>
  <c r="I74" i="1"/>
  <c r="K74" i="1" s="1"/>
  <c r="J73" i="1"/>
  <c r="I73" i="1"/>
  <c r="K73" i="1" s="1"/>
  <c r="J72" i="1"/>
  <c r="I72" i="1"/>
  <c r="J71" i="1"/>
  <c r="I71" i="1"/>
  <c r="K71" i="1" s="1"/>
  <c r="J70" i="1"/>
  <c r="I70" i="1"/>
  <c r="K70" i="1" s="1"/>
  <c r="L70" i="1" s="1"/>
  <c r="J69" i="1"/>
  <c r="I69" i="1"/>
  <c r="K69" i="1" s="1"/>
  <c r="J68" i="1"/>
  <c r="I68" i="1"/>
  <c r="K68" i="1" s="1"/>
  <c r="J67" i="1"/>
  <c r="I67" i="1"/>
  <c r="K67" i="1" s="1"/>
  <c r="J66" i="1"/>
  <c r="I66" i="1"/>
  <c r="K66" i="1" s="1"/>
  <c r="J65" i="1"/>
  <c r="I65" i="1"/>
  <c r="K65" i="1" s="1"/>
  <c r="J64" i="1"/>
  <c r="I64" i="1"/>
  <c r="K64" i="1" s="1"/>
  <c r="J63" i="1"/>
  <c r="I63" i="1"/>
  <c r="J62" i="1"/>
  <c r="I62" i="1"/>
  <c r="K62" i="1" s="1"/>
  <c r="J61" i="1"/>
  <c r="I61" i="1"/>
  <c r="K61" i="1" s="1"/>
  <c r="J60" i="1"/>
  <c r="I60" i="1"/>
  <c r="J59" i="1"/>
  <c r="I59" i="1"/>
  <c r="K59" i="1" s="1"/>
  <c r="J58" i="1"/>
  <c r="I58" i="1"/>
  <c r="K58" i="1" s="1"/>
  <c r="J57" i="1"/>
  <c r="I57" i="1"/>
  <c r="K57" i="1" s="1"/>
  <c r="J56" i="1"/>
  <c r="I56" i="1"/>
  <c r="K56" i="1" s="1"/>
  <c r="J55" i="1"/>
  <c r="I55" i="1"/>
  <c r="K55" i="1" s="1"/>
  <c r="J54" i="1"/>
  <c r="I54" i="1"/>
  <c r="K54" i="1" s="1"/>
  <c r="J53" i="1"/>
  <c r="I53" i="1"/>
  <c r="K53" i="1" s="1"/>
  <c r="J52" i="1"/>
  <c r="I52" i="1"/>
  <c r="J51" i="1"/>
  <c r="I51" i="1"/>
  <c r="K51" i="1" s="1"/>
  <c r="J50" i="1"/>
  <c r="I50" i="1"/>
  <c r="K50" i="1" s="1"/>
  <c r="J49" i="1"/>
  <c r="I49" i="1"/>
  <c r="K49" i="1" s="1"/>
  <c r="J48" i="1"/>
  <c r="I48" i="1"/>
  <c r="K48" i="1" s="1"/>
  <c r="J47" i="1"/>
  <c r="I47" i="1"/>
  <c r="K47" i="1" s="1"/>
  <c r="J46" i="1"/>
  <c r="I46" i="1"/>
  <c r="K46" i="1" s="1"/>
  <c r="J45" i="1"/>
  <c r="I45" i="1"/>
  <c r="K45" i="1" s="1"/>
  <c r="J44" i="1"/>
  <c r="I44" i="1"/>
  <c r="K44" i="1" s="1"/>
  <c r="L44" i="1" s="1"/>
  <c r="J43" i="1"/>
  <c r="I43" i="1"/>
  <c r="J42" i="1"/>
  <c r="I42" i="1"/>
  <c r="K42" i="1" s="1"/>
  <c r="J41" i="1"/>
  <c r="I41" i="1"/>
  <c r="K41" i="1" s="1"/>
  <c r="J40" i="1"/>
  <c r="I40" i="1"/>
  <c r="K40" i="1" s="1"/>
  <c r="J39" i="1"/>
  <c r="I39" i="1"/>
  <c r="K39" i="1" s="1"/>
  <c r="J38" i="1"/>
  <c r="I38" i="1"/>
  <c r="K38" i="1" s="1"/>
  <c r="J37" i="1"/>
  <c r="I37" i="1"/>
  <c r="K37" i="1" s="1"/>
  <c r="J36" i="1"/>
  <c r="I36" i="1"/>
  <c r="K36" i="1" s="1"/>
  <c r="J35" i="1"/>
  <c r="I35" i="1"/>
  <c r="K35" i="1" s="1"/>
  <c r="J34" i="1"/>
  <c r="I34" i="1"/>
  <c r="K34" i="1" s="1"/>
  <c r="J33" i="1"/>
  <c r="I33" i="1"/>
  <c r="K33" i="1" s="1"/>
  <c r="J32" i="1"/>
  <c r="I32" i="1"/>
  <c r="K32" i="1" s="1"/>
  <c r="J31" i="1"/>
  <c r="I31" i="1"/>
  <c r="K31" i="1" s="1"/>
  <c r="J30" i="1"/>
  <c r="I30" i="1"/>
  <c r="J29" i="1"/>
  <c r="I29" i="1"/>
  <c r="K29" i="1" s="1"/>
  <c r="J28" i="1"/>
  <c r="I28" i="1"/>
  <c r="K28" i="1" s="1"/>
  <c r="J27" i="1"/>
  <c r="I27" i="1"/>
  <c r="K27" i="1" s="1"/>
  <c r="J26" i="1"/>
  <c r="I26" i="1"/>
  <c r="K26" i="1" s="1"/>
  <c r="J25" i="1"/>
  <c r="I25" i="1"/>
  <c r="K25" i="1" s="1"/>
  <c r="J24" i="1"/>
  <c r="I24" i="1"/>
  <c r="K24" i="1" s="1"/>
  <c r="J23" i="1"/>
  <c r="I23" i="1"/>
  <c r="J22" i="1"/>
  <c r="I22" i="1"/>
  <c r="K22" i="1" s="1"/>
  <c r="J21" i="1"/>
  <c r="I21" i="1"/>
  <c r="K21" i="1" s="1"/>
  <c r="J20" i="1"/>
  <c r="I20" i="1"/>
  <c r="K20" i="1" s="1"/>
  <c r="J19" i="1"/>
  <c r="I19" i="1"/>
  <c r="K19" i="1" s="1"/>
  <c r="J18" i="1"/>
  <c r="I18" i="1"/>
  <c r="K18" i="1" s="1"/>
  <c r="J17" i="1"/>
  <c r="I17" i="1"/>
  <c r="K17" i="1" s="1"/>
  <c r="J16" i="1"/>
  <c r="I16" i="1"/>
  <c r="K16" i="1" s="1"/>
  <c r="J15" i="1"/>
  <c r="I15" i="1"/>
  <c r="K15" i="1" s="1"/>
  <c r="J14" i="1"/>
  <c r="I14" i="1"/>
  <c r="K14" i="1" s="1"/>
  <c r="L14" i="1" s="1"/>
  <c r="J13" i="1"/>
  <c r="I13" i="1"/>
  <c r="K13" i="1" s="1"/>
  <c r="J12" i="1"/>
  <c r="I12" i="1"/>
  <c r="K12" i="1" s="1"/>
  <c r="J11" i="1"/>
  <c r="I11" i="1"/>
  <c r="J10" i="1"/>
  <c r="I10" i="1"/>
  <c r="K10" i="1" s="1"/>
  <c r="J9" i="1"/>
  <c r="I9" i="1"/>
  <c r="K9" i="1" s="1"/>
  <c r="J8" i="1"/>
  <c r="I8" i="1"/>
  <c r="K8" i="1" s="1"/>
  <c r="J7" i="1"/>
  <c r="I7" i="1"/>
  <c r="K7" i="1" s="1"/>
  <c r="J6" i="1"/>
  <c r="I6" i="1"/>
  <c r="K6" i="1" s="1"/>
  <c r="J5" i="1"/>
  <c r="I5" i="1"/>
  <c r="K5" i="1" s="1"/>
  <c r="J4" i="1"/>
  <c r="I4" i="1"/>
  <c r="J3" i="1"/>
  <c r="I3" i="1"/>
  <c r="J2" i="1"/>
  <c r="I2" i="1"/>
  <c r="K2" i="1" s="1"/>
  <c r="L162" i="6" l="1"/>
  <c r="L166" i="6"/>
  <c r="L229" i="6"/>
  <c r="L233" i="6"/>
  <c r="L260" i="6"/>
  <c r="L269" i="6"/>
  <c r="L207" i="6"/>
  <c r="L164" i="6"/>
  <c r="L168" i="6"/>
  <c r="L223" i="6"/>
  <c r="L231" i="6"/>
  <c r="L235" i="6"/>
  <c r="L239" i="6"/>
  <c r="L258" i="6"/>
  <c r="L262" i="6"/>
  <c r="L3" i="6"/>
  <c r="L7" i="6"/>
  <c r="L11" i="6"/>
  <c r="L101" i="6"/>
  <c r="L208" i="6"/>
  <c r="L39" i="6"/>
  <c r="L43" i="6"/>
  <c r="L51" i="6"/>
  <c r="L71" i="6"/>
  <c r="V73" i="6" s="1"/>
  <c r="L75" i="6"/>
  <c r="L79" i="6"/>
  <c r="L83" i="6"/>
  <c r="L129" i="6"/>
  <c r="L145" i="6"/>
  <c r="L149" i="6"/>
  <c r="L153" i="6"/>
  <c r="L157" i="6"/>
  <c r="L212" i="6"/>
  <c r="L216" i="6"/>
  <c r="L220" i="6"/>
  <c r="L224" i="6"/>
  <c r="L228" i="6"/>
  <c r="L232" i="6"/>
  <c r="L236" i="6"/>
  <c r="L240" i="6"/>
  <c r="L259" i="6"/>
  <c r="L13" i="6"/>
  <c r="L256" i="6"/>
  <c r="L14" i="6"/>
  <c r="L45" i="6"/>
  <c r="L53" i="6"/>
  <c r="L91" i="6"/>
  <c r="L272" i="6"/>
  <c r="L69" i="6"/>
  <c r="V71" i="6" s="1"/>
  <c r="L73" i="6"/>
  <c r="L77" i="6"/>
  <c r="V79" i="6" s="1"/>
  <c r="L81" i="6"/>
  <c r="L92" i="6"/>
  <c r="L270" i="6"/>
  <c r="L55" i="6"/>
  <c r="L271" i="6"/>
  <c r="L5" i="6"/>
  <c r="L9" i="6"/>
  <c r="L28" i="6"/>
  <c r="L32" i="6"/>
  <c r="L36" i="6"/>
  <c r="L59" i="6"/>
  <c r="L108" i="6"/>
  <c r="L128" i="6"/>
  <c r="L135" i="6"/>
  <c r="L139" i="6"/>
  <c r="L143" i="6"/>
  <c r="L159" i="6"/>
  <c r="L174" i="6"/>
  <c r="L178" i="6"/>
  <c r="L194" i="6"/>
  <c r="L213" i="6"/>
  <c r="L217" i="6"/>
  <c r="L221" i="6"/>
  <c r="L248" i="6"/>
  <c r="L252" i="6"/>
  <c r="L39" i="5"/>
  <c r="L51" i="5"/>
  <c r="L55" i="5"/>
  <c r="L59" i="5"/>
  <c r="L63" i="5"/>
  <c r="L67" i="5"/>
  <c r="L105" i="5"/>
  <c r="L145" i="5"/>
  <c r="L149" i="5"/>
  <c r="L197" i="5"/>
  <c r="L201" i="5"/>
  <c r="L4" i="5"/>
  <c r="L24" i="5"/>
  <c r="L40" i="5"/>
  <c r="L48" i="5"/>
  <c r="L56" i="5"/>
  <c r="L60" i="5"/>
  <c r="L106" i="5"/>
  <c r="L138" i="5"/>
  <c r="L142" i="5"/>
  <c r="L146" i="5"/>
  <c r="L158" i="5"/>
  <c r="L162" i="5"/>
  <c r="L166" i="5"/>
  <c r="L170" i="5"/>
  <c r="L174" i="5"/>
  <c r="L178" i="5"/>
  <c r="L182" i="5"/>
  <c r="L186" i="5"/>
  <c r="L190" i="5"/>
  <c r="L209" i="5"/>
  <c r="L213" i="5"/>
  <c r="L217" i="5"/>
  <c r="L225" i="5"/>
  <c r="L233" i="5"/>
  <c r="L241" i="5"/>
  <c r="L245" i="5"/>
  <c r="L249" i="5"/>
  <c r="L257" i="5"/>
  <c r="L273" i="5"/>
  <c r="L277" i="5"/>
  <c r="L297" i="5"/>
  <c r="L305" i="5"/>
  <c r="V87" i="5" s="1"/>
  <c r="L309" i="5"/>
  <c r="L321" i="5"/>
  <c r="V103" i="5" s="1"/>
  <c r="L96" i="5"/>
  <c r="L20" i="5"/>
  <c r="L101" i="5"/>
  <c r="L112" i="5"/>
  <c r="L120" i="5"/>
  <c r="L194" i="5"/>
  <c r="L198" i="5"/>
  <c r="L202" i="5"/>
  <c r="L206" i="5"/>
  <c r="L289" i="5"/>
  <c r="L17" i="5"/>
  <c r="L21" i="5"/>
  <c r="L87" i="5"/>
  <c r="L98" i="5"/>
  <c r="L102" i="5"/>
  <c r="L117" i="5"/>
  <c r="L121" i="5"/>
  <c r="L129" i="5"/>
  <c r="L133" i="5"/>
  <c r="L199" i="5"/>
  <c r="L203" i="5"/>
  <c r="L282" i="5"/>
  <c r="L290" i="5"/>
  <c r="L14" i="5"/>
  <c r="L73" i="5"/>
  <c r="V75" i="5" s="1"/>
  <c r="L110" i="5"/>
  <c r="L114" i="5"/>
  <c r="L118" i="5"/>
  <c r="L122" i="5"/>
  <c r="L126" i="5"/>
  <c r="L130" i="5"/>
  <c r="L134" i="5"/>
  <c r="L161" i="5"/>
  <c r="L283" i="5"/>
  <c r="L10" i="4"/>
  <c r="L8" i="4"/>
  <c r="L16" i="4"/>
  <c r="L20" i="4"/>
  <c r="L24" i="4"/>
  <c r="L32" i="4"/>
  <c r="L36" i="4"/>
  <c r="L40" i="4"/>
  <c r="L108" i="4"/>
  <c r="L116" i="4"/>
  <c r="L144" i="4"/>
  <c r="L148" i="4"/>
  <c r="L156" i="4"/>
  <c r="L160" i="4"/>
  <c r="L164" i="4"/>
  <c r="L168" i="4"/>
  <c r="L172" i="4"/>
  <c r="L176" i="4"/>
  <c r="L180" i="4"/>
  <c r="L184" i="4"/>
  <c r="L188" i="4"/>
  <c r="L204" i="4"/>
  <c r="L208" i="4"/>
  <c r="L212" i="4"/>
  <c r="L216" i="4"/>
  <c r="L220" i="4"/>
  <c r="L224" i="4"/>
  <c r="L228" i="4"/>
  <c r="L232" i="4"/>
  <c r="L236" i="4"/>
  <c r="L240" i="4"/>
  <c r="L244" i="4"/>
  <c r="L267" i="4"/>
  <c r="L271" i="4"/>
  <c r="L291" i="4"/>
  <c r="L295" i="4"/>
  <c r="L5" i="4"/>
  <c r="L96" i="4"/>
  <c r="L251" i="4"/>
  <c r="L2" i="4"/>
  <c r="L6" i="4"/>
  <c r="L89" i="4"/>
  <c r="L93" i="4"/>
  <c r="L276" i="3"/>
  <c r="L277" i="3"/>
  <c r="L73" i="3"/>
  <c r="L56" i="3"/>
  <c r="L64" i="3"/>
  <c r="L71" i="3"/>
  <c r="V73" i="3" s="1"/>
  <c r="L321" i="3"/>
  <c r="V103" i="3" s="1"/>
  <c r="L97" i="3"/>
  <c r="L126" i="3"/>
  <c r="L66" i="3"/>
  <c r="V68" i="3" s="1"/>
  <c r="L14" i="3"/>
  <c r="L22" i="3"/>
  <c r="L232" i="3"/>
  <c r="L236" i="3"/>
  <c r="L240" i="3"/>
  <c r="L23" i="3"/>
  <c r="L77" i="3"/>
  <c r="L81" i="3"/>
  <c r="V83" i="3" s="1"/>
  <c r="L91" i="3"/>
  <c r="L95" i="3"/>
  <c r="L190" i="3"/>
  <c r="L233" i="3"/>
  <c r="L237" i="3"/>
  <c r="L8" i="3"/>
  <c r="L35" i="3"/>
  <c r="L47" i="3"/>
  <c r="L51" i="3"/>
  <c r="L55" i="3"/>
  <c r="L102" i="3"/>
  <c r="L105" i="3"/>
  <c r="L113" i="3"/>
  <c r="L117" i="3"/>
  <c r="L121" i="3"/>
  <c r="L125" i="3"/>
  <c r="L140" i="3"/>
  <c r="L144" i="3"/>
  <c r="L175" i="3"/>
  <c r="L179" i="3"/>
  <c r="L183" i="3"/>
  <c r="L187" i="3"/>
  <c r="L194" i="3"/>
  <c r="L202" i="3"/>
  <c r="L206" i="3"/>
  <c r="L214" i="3"/>
  <c r="L218" i="3"/>
  <c r="L226" i="3"/>
  <c r="L265" i="3"/>
  <c r="L269" i="3"/>
  <c r="L273" i="3"/>
  <c r="L284" i="3"/>
  <c r="L288" i="3"/>
  <c r="L292" i="3"/>
  <c r="L296" i="3"/>
  <c r="L300" i="3"/>
  <c r="L304" i="3"/>
  <c r="V86" i="3" s="1"/>
  <c r="L308" i="3"/>
  <c r="V90" i="3" s="1"/>
  <c r="L316" i="3"/>
  <c r="L320" i="3"/>
  <c r="V102" i="3" s="1"/>
  <c r="L129" i="3"/>
  <c r="L29" i="3"/>
  <c r="L93" i="3"/>
  <c r="L161" i="3"/>
  <c r="L231" i="3"/>
  <c r="L235" i="3"/>
  <c r="L239" i="3"/>
  <c r="L278" i="3"/>
  <c r="L10" i="3"/>
  <c r="L33" i="3"/>
  <c r="L45" i="3"/>
  <c r="L49" i="3"/>
  <c r="L53" i="3"/>
  <c r="L57" i="3"/>
  <c r="L61" i="3"/>
  <c r="L65" i="3"/>
  <c r="V67" i="3" s="1"/>
  <c r="L72" i="3"/>
  <c r="V74" i="3" s="1"/>
  <c r="L100" i="3"/>
  <c r="L107" i="3"/>
  <c r="L111" i="3"/>
  <c r="L119" i="3"/>
  <c r="L123" i="3"/>
  <c r="L127" i="3"/>
  <c r="L134" i="3"/>
  <c r="L138" i="3"/>
  <c r="L150" i="3"/>
  <c r="L154" i="3"/>
  <c r="L158" i="3"/>
  <c r="L165" i="3"/>
  <c r="L177" i="3"/>
  <c r="L181" i="3"/>
  <c r="L200" i="3"/>
  <c r="L204" i="3"/>
  <c r="L208" i="3"/>
  <c r="L212" i="3"/>
  <c r="L216" i="3"/>
  <c r="L220" i="3"/>
  <c r="L228" i="3"/>
  <c r="L243" i="3"/>
  <c r="L251" i="3"/>
  <c r="L255" i="3"/>
  <c r="L259" i="3"/>
  <c r="L267" i="3"/>
  <c r="L275" i="3"/>
  <c r="L282" i="3"/>
  <c r="L290" i="3"/>
  <c r="L298" i="3"/>
  <c r="L302" i="3"/>
  <c r="V84" i="3" s="1"/>
  <c r="L314" i="3"/>
  <c r="V96" i="3" s="1"/>
  <c r="L322" i="3"/>
  <c r="L3" i="3"/>
  <c r="L7" i="3"/>
  <c r="L11" i="3"/>
  <c r="L34" i="3"/>
  <c r="L42" i="3"/>
  <c r="L46" i="3"/>
  <c r="L54" i="3"/>
  <c r="L58" i="3"/>
  <c r="L62" i="3"/>
  <c r="V64" i="3" s="1"/>
  <c r="L101" i="3"/>
  <c r="L104" i="3"/>
  <c r="L120" i="3"/>
  <c r="L128" i="3"/>
  <c r="L147" i="3"/>
  <c r="L155" i="3"/>
  <c r="L159" i="3"/>
  <c r="L182" i="3"/>
  <c r="L193" i="3"/>
  <c r="L197" i="3"/>
  <c r="L201" i="3"/>
  <c r="L205" i="3"/>
  <c r="L209" i="3"/>
  <c r="L213" i="3"/>
  <c r="L221" i="3"/>
  <c r="L225" i="3"/>
  <c r="L264" i="3"/>
  <c r="L268" i="3"/>
  <c r="L272" i="3"/>
  <c r="L283" i="3"/>
  <c r="L291" i="3"/>
  <c r="L295" i="3"/>
  <c r="L303" i="3"/>
  <c r="V85" i="3" s="1"/>
  <c r="L307" i="3"/>
  <c r="V89" i="3" s="1"/>
  <c r="L315" i="3"/>
  <c r="V97" i="3" s="1"/>
  <c r="L46" i="2"/>
  <c r="L258" i="2"/>
  <c r="L266" i="2"/>
  <c r="L270" i="2"/>
  <c r="L274" i="2"/>
  <c r="L156" i="2"/>
  <c r="L160" i="2"/>
  <c r="L94" i="2"/>
  <c r="L98" i="2"/>
  <c r="L121" i="2"/>
  <c r="L279" i="2"/>
  <c r="L184" i="2"/>
  <c r="L204" i="2"/>
  <c r="L208" i="2"/>
  <c r="L212" i="2"/>
  <c r="L220" i="2"/>
  <c r="L224" i="2"/>
  <c r="L228" i="2"/>
  <c r="L232" i="2"/>
  <c r="L236" i="2"/>
  <c r="L240" i="2"/>
  <c r="L244" i="2"/>
  <c r="L252" i="2"/>
  <c r="L256" i="2"/>
  <c r="L260" i="2"/>
  <c r="L264" i="2"/>
  <c r="L268" i="2"/>
  <c r="L272" i="2"/>
  <c r="L276" i="2"/>
  <c r="L2" i="2"/>
  <c r="L10" i="2"/>
  <c r="L33" i="2"/>
  <c r="L52" i="2"/>
  <c r="L56" i="2"/>
  <c r="L60" i="2"/>
  <c r="L72" i="2"/>
  <c r="L76" i="2"/>
  <c r="L80" i="2"/>
  <c r="V82" i="2" s="1"/>
  <c r="L88" i="2"/>
  <c r="L150" i="2"/>
  <c r="L154" i="2"/>
  <c r="L17" i="2"/>
  <c r="L21" i="2"/>
  <c r="L25" i="2"/>
  <c r="L29" i="2"/>
  <c r="L107" i="2"/>
  <c r="L111" i="2"/>
  <c r="L115" i="2"/>
  <c r="L138" i="2"/>
  <c r="L142" i="2"/>
  <c r="L165" i="2"/>
  <c r="L191" i="2"/>
  <c r="L195" i="2"/>
  <c r="L199" i="2"/>
  <c r="L18" i="2"/>
  <c r="L22" i="2"/>
  <c r="L83" i="2"/>
  <c r="L90" i="2"/>
  <c r="L104" i="2"/>
  <c r="L108" i="2"/>
  <c r="L112" i="2"/>
  <c r="L139" i="2"/>
  <c r="L143" i="2"/>
  <c r="L173" i="2"/>
  <c r="L192" i="2"/>
  <c r="L196" i="2"/>
  <c r="L200" i="2"/>
  <c r="L19" i="2"/>
  <c r="L27" i="2"/>
  <c r="L38" i="2"/>
  <c r="L49" i="2"/>
  <c r="L105" i="2"/>
  <c r="L109" i="2"/>
  <c r="L113" i="2"/>
  <c r="L136" i="2"/>
  <c r="L140" i="2"/>
  <c r="L174" i="2"/>
  <c r="L193" i="2"/>
  <c r="L201" i="2"/>
  <c r="L20" i="2"/>
  <c r="L24" i="2"/>
  <c r="L28" i="2"/>
  <c r="L65" i="2"/>
  <c r="L106" i="2"/>
  <c r="L110" i="2"/>
  <c r="L114" i="2"/>
  <c r="L137" i="2"/>
  <c r="L141" i="2"/>
  <c r="L164" i="2"/>
  <c r="L194" i="2"/>
  <c r="L198" i="2"/>
  <c r="L202" i="2"/>
  <c r="L9" i="2"/>
  <c r="L54" i="2"/>
  <c r="L70" i="2"/>
  <c r="V72" i="2" s="1"/>
  <c r="L74" i="2"/>
  <c r="L82" i="2"/>
  <c r="L85" i="2"/>
  <c r="L99" i="2"/>
  <c r="L126" i="2"/>
  <c r="L130" i="2"/>
  <c r="L134" i="2"/>
  <c r="L145" i="2"/>
  <c r="L149" i="2"/>
  <c r="L187" i="2"/>
  <c r="L210" i="2"/>
  <c r="L217" i="2"/>
  <c r="L221" i="2"/>
  <c r="L225" i="2"/>
  <c r="L233" i="2"/>
  <c r="L241" i="2"/>
  <c r="L249" i="2"/>
  <c r="L253" i="2"/>
  <c r="L257" i="2"/>
  <c r="L265" i="2"/>
  <c r="L273" i="2"/>
  <c r="L284" i="2"/>
  <c r="L288" i="2"/>
  <c r="L292" i="2"/>
  <c r="L296" i="2"/>
  <c r="L300" i="2"/>
  <c r="L304" i="2"/>
  <c r="V86" i="2" s="1"/>
  <c r="L308" i="2"/>
  <c r="V90" i="2" s="1"/>
  <c r="L316" i="2"/>
  <c r="V98" i="2" s="1"/>
  <c r="L320" i="2"/>
  <c r="V102" i="2" s="1"/>
  <c r="L322" i="1"/>
  <c r="L316" i="1"/>
  <c r="V98" i="1" s="1"/>
  <c r="L319" i="1"/>
  <c r="L58" i="6"/>
  <c r="L120" i="6"/>
  <c r="L124" i="6"/>
  <c r="L131" i="6"/>
  <c r="L169" i="6"/>
  <c r="L201" i="6"/>
  <c r="L227" i="6"/>
  <c r="L242" i="6"/>
  <c r="L264" i="6"/>
  <c r="L268" i="6"/>
  <c r="L282" i="6"/>
  <c r="L285" i="6"/>
  <c r="L288" i="6"/>
  <c r="L40" i="6"/>
  <c r="L10" i="6"/>
  <c r="L21" i="6"/>
  <c r="L25" i="6"/>
  <c r="L29" i="6"/>
  <c r="L33" i="6"/>
  <c r="L52" i="6"/>
  <c r="L56" i="6"/>
  <c r="L63" i="6"/>
  <c r="V65" i="6" s="1"/>
  <c r="L67" i="6"/>
  <c r="V69" i="6" s="1"/>
  <c r="L89" i="6"/>
  <c r="L98" i="6"/>
  <c r="L113" i="6"/>
  <c r="L117" i="6"/>
  <c r="L121" i="6"/>
  <c r="L125" i="6"/>
  <c r="L132" i="6"/>
  <c r="L177" i="6"/>
  <c r="L188" i="6"/>
  <c r="L199" i="6"/>
  <c r="L202" i="6"/>
  <c r="L243" i="6"/>
  <c r="L261" i="6"/>
  <c r="L265" i="6"/>
  <c r="L279" i="6"/>
  <c r="L283" i="6"/>
  <c r="L286" i="6"/>
  <c r="L309" i="6"/>
  <c r="V91" i="6" s="1"/>
  <c r="L57" i="6"/>
  <c r="L203" i="6"/>
  <c r="L210" i="6"/>
  <c r="L225" i="6"/>
  <c r="L287" i="6"/>
  <c r="L310" i="6"/>
  <c r="V92" i="6" s="1"/>
  <c r="L4" i="6"/>
  <c r="L8" i="6"/>
  <c r="L15" i="6"/>
  <c r="L61" i="6"/>
  <c r="L72" i="6"/>
  <c r="V74" i="6" s="1"/>
  <c r="L103" i="6"/>
  <c r="L237" i="6"/>
  <c r="L307" i="6"/>
  <c r="V89" i="6" s="1"/>
  <c r="L12" i="6"/>
  <c r="L19" i="6"/>
  <c r="L35" i="6"/>
  <c r="L46" i="6"/>
  <c r="L50" i="6"/>
  <c r="L54" i="6"/>
  <c r="L65" i="6"/>
  <c r="V67" i="6" s="1"/>
  <c r="L76" i="6"/>
  <c r="V78" i="6" s="1"/>
  <c r="L80" i="6"/>
  <c r="V82" i="6" s="1"/>
  <c r="L84" i="6"/>
  <c r="L93" i="6"/>
  <c r="L107" i="6"/>
  <c r="L165" i="6"/>
  <c r="L186" i="6"/>
  <c r="L190" i="6"/>
  <c r="L204" i="6"/>
  <c r="L211" i="6"/>
  <c r="L226" i="6"/>
  <c r="L241" i="6"/>
  <c r="L244" i="6"/>
  <c r="L267" i="6"/>
  <c r="L311" i="6"/>
  <c r="V93" i="6" s="1"/>
  <c r="L42" i="6"/>
  <c r="L100" i="6"/>
  <c r="L209" i="6"/>
  <c r="L176" i="6"/>
  <c r="L86" i="6"/>
  <c r="L96" i="6"/>
  <c r="L17" i="6"/>
  <c r="L134" i="6"/>
  <c r="L312" i="6"/>
  <c r="V94" i="6" s="1"/>
  <c r="L62" i="6"/>
  <c r="L44" i="6"/>
  <c r="L94" i="6"/>
  <c r="L104" i="6"/>
  <c r="L111" i="6"/>
  <c r="L163" i="6"/>
  <c r="L274" i="6"/>
  <c r="L314" i="6"/>
  <c r="V96" i="6" s="1"/>
  <c r="L23" i="6"/>
  <c r="L30" i="6"/>
  <c r="L41" i="6"/>
  <c r="L48" i="6"/>
  <c r="L87" i="6"/>
  <c r="L97" i="6"/>
  <c r="L115" i="6"/>
  <c r="L133" i="6"/>
  <c r="L147" i="6"/>
  <c r="L191" i="6"/>
  <c r="L293" i="6"/>
  <c r="L318" i="6"/>
  <c r="V100" i="6" s="1"/>
  <c r="L2" i="6"/>
  <c r="L20" i="6"/>
  <c r="L27" i="6"/>
  <c r="L78" i="6"/>
  <c r="V80" i="6" s="1"/>
  <c r="L82" i="6"/>
  <c r="L90" i="6"/>
  <c r="L102" i="6"/>
  <c r="L105" i="6"/>
  <c r="L112" i="6"/>
  <c r="L119" i="6"/>
  <c r="L137" i="6"/>
  <c r="L144" i="6"/>
  <c r="L151" i="6"/>
  <c r="L253" i="6"/>
  <c r="L263" i="6"/>
  <c r="L266" i="6"/>
  <c r="L275" i="6"/>
  <c r="L297" i="6"/>
  <c r="L315" i="6"/>
  <c r="V97" i="6" s="1"/>
  <c r="L6" i="6"/>
  <c r="L24" i="6"/>
  <c r="L31" i="6"/>
  <c r="L38" i="6"/>
  <c r="L49" i="6"/>
  <c r="L85" i="6"/>
  <c r="L95" i="6"/>
  <c r="L109" i="6"/>
  <c r="L116" i="6"/>
  <c r="L123" i="6"/>
  <c r="L141" i="6"/>
  <c r="L148" i="6"/>
  <c r="L158" i="6"/>
  <c r="L161" i="6"/>
  <c r="L167" i="6"/>
  <c r="L182" i="6"/>
  <c r="L206" i="6"/>
  <c r="L278" i="6"/>
  <c r="L281" i="6"/>
  <c r="L291" i="6"/>
  <c r="L294" i="6"/>
  <c r="L301" i="6"/>
  <c r="L319" i="6"/>
  <c r="V101" i="6" s="1"/>
  <c r="V68" i="6"/>
  <c r="V75" i="6"/>
  <c r="V64" i="6"/>
  <c r="V76" i="6"/>
  <c r="V83" i="6"/>
  <c r="V70" i="6"/>
  <c r="V77" i="6"/>
  <c r="V72" i="6"/>
  <c r="L47" i="6"/>
  <c r="V66" i="6"/>
  <c r="V81" i="6"/>
  <c r="L179" i="6"/>
  <c r="L155" i="6"/>
  <c r="L187" i="6"/>
  <c r="L195" i="6"/>
  <c r="L50" i="5"/>
  <c r="L7" i="5"/>
  <c r="L10" i="5"/>
  <c r="L44" i="5"/>
  <c r="L81" i="5"/>
  <c r="L92" i="5"/>
  <c r="L172" i="5"/>
  <c r="L23" i="5"/>
  <c r="L18" i="5"/>
  <c r="L22" i="5"/>
  <c r="L99" i="5"/>
  <c r="L150" i="5"/>
  <c r="L226" i="5"/>
  <c r="L291" i="5"/>
  <c r="L12" i="5"/>
  <c r="L292" i="5"/>
  <c r="L9" i="5"/>
  <c r="L15" i="5"/>
  <c r="L49" i="5"/>
  <c r="L53" i="5"/>
  <c r="L68" i="5"/>
  <c r="V70" i="5" s="1"/>
  <c r="L86" i="5"/>
  <c r="L100" i="5"/>
  <c r="L144" i="5"/>
  <c r="L148" i="5"/>
  <c r="L177" i="5"/>
  <c r="L181" i="5"/>
  <c r="L185" i="5"/>
  <c r="L196" i="5"/>
  <c r="L200" i="5"/>
  <c r="L204" i="5"/>
  <c r="L219" i="5"/>
  <c r="L227" i="5"/>
  <c r="L242" i="5"/>
  <c r="L265" i="5"/>
  <c r="L284" i="5"/>
  <c r="L288" i="5"/>
  <c r="L307" i="5"/>
  <c r="V89" i="5" s="1"/>
  <c r="L13" i="5"/>
  <c r="L25" i="5"/>
  <c r="L47" i="5"/>
  <c r="L72" i="5"/>
  <c r="V74" i="5" s="1"/>
  <c r="L95" i="5"/>
  <c r="L109" i="5"/>
  <c r="L113" i="5"/>
  <c r="L125" i="5"/>
  <c r="L141" i="5"/>
  <c r="L164" i="5"/>
  <c r="L192" i="5"/>
  <c r="L216" i="5"/>
  <c r="L248" i="5"/>
  <c r="L280" i="5"/>
  <c r="L312" i="5"/>
  <c r="V94" i="5" s="1"/>
  <c r="L274" i="5"/>
  <c r="L281" i="5"/>
  <c r="L306" i="5"/>
  <c r="V88" i="5" s="1"/>
  <c r="L313" i="5"/>
  <c r="V95" i="5" s="1"/>
  <c r="L8" i="5"/>
  <c r="L11" i="5"/>
  <c r="L26" i="5"/>
  <c r="L36" i="5"/>
  <c r="L42" i="5"/>
  <c r="L52" i="5"/>
  <c r="L64" i="5"/>
  <c r="V66" i="5" s="1"/>
  <c r="L70" i="5"/>
  <c r="V72" i="5" s="1"/>
  <c r="L88" i="5"/>
  <c r="L187" i="5"/>
  <c r="L207" i="5"/>
  <c r="L214" i="5"/>
  <c r="L221" i="5"/>
  <c r="L239" i="5"/>
  <c r="L246" i="5"/>
  <c r="L253" i="5"/>
  <c r="L271" i="5"/>
  <c r="L278" i="5"/>
  <c r="L285" i="5"/>
  <c r="L303" i="5"/>
  <c r="V85" i="5" s="1"/>
  <c r="L310" i="5"/>
  <c r="V92" i="5" s="1"/>
  <c r="L317" i="5"/>
  <c r="V99" i="5" s="1"/>
  <c r="L27" i="5"/>
  <c r="L43" i="5"/>
  <c r="L46" i="5"/>
  <c r="L65" i="5"/>
  <c r="V67" i="5" s="1"/>
  <c r="L71" i="5"/>
  <c r="V73" i="5" s="1"/>
  <c r="L108" i="5"/>
  <c r="L163" i="5"/>
  <c r="L215" i="5"/>
  <c r="L222" i="5"/>
  <c r="L229" i="5"/>
  <c r="L247" i="5"/>
  <c r="L254" i="5"/>
  <c r="L261" i="5"/>
  <c r="L279" i="5"/>
  <c r="L286" i="5"/>
  <c r="L293" i="5"/>
  <c r="L311" i="5"/>
  <c r="V93" i="5" s="1"/>
  <c r="L318" i="5"/>
  <c r="V100" i="5" s="1"/>
  <c r="L16" i="5"/>
  <c r="L19" i="5"/>
  <c r="L28" i="5"/>
  <c r="L75" i="5"/>
  <c r="V77" i="5" s="1"/>
  <c r="L78" i="5"/>
  <c r="V80" i="5" s="1"/>
  <c r="L97" i="5"/>
  <c r="L103" i="5"/>
  <c r="L137" i="5"/>
  <c r="L154" i="5"/>
  <c r="L160" i="5"/>
  <c r="L179" i="5"/>
  <c r="L188" i="5"/>
  <c r="L195" i="5"/>
  <c r="L205" i="5"/>
  <c r="L208" i="5"/>
  <c r="L223" i="5"/>
  <c r="L230" i="5"/>
  <c r="L237" i="5"/>
  <c r="L240" i="5"/>
  <c r="L255" i="5"/>
  <c r="L262" i="5"/>
  <c r="L269" i="5"/>
  <c r="L272" i="5"/>
  <c r="L287" i="5"/>
  <c r="L294" i="5"/>
  <c r="L301" i="5"/>
  <c r="L304" i="5"/>
  <c r="V86" i="5" s="1"/>
  <c r="L319" i="5"/>
  <c r="V101" i="5" s="1"/>
  <c r="V65" i="5"/>
  <c r="V82" i="5"/>
  <c r="V69" i="5"/>
  <c r="V83" i="5"/>
  <c r="V64" i="5"/>
  <c r="V97" i="5"/>
  <c r="L61" i="5"/>
  <c r="L153" i="5"/>
  <c r="L32" i="5"/>
  <c r="L77" i="5"/>
  <c r="L74" i="5"/>
  <c r="V81" i="5"/>
  <c r="L45" i="5"/>
  <c r="V71" i="5"/>
  <c r="L116" i="5"/>
  <c r="V91" i="5"/>
  <c r="L104" i="5"/>
  <c r="L124" i="5"/>
  <c r="L128" i="5"/>
  <c r="L132" i="5"/>
  <c r="L136" i="5"/>
  <c r="L140" i="5"/>
  <c r="L242" i="4"/>
  <c r="L249" i="4"/>
  <c r="L253" i="4"/>
  <c r="L261" i="4"/>
  <c r="L264" i="4"/>
  <c r="L235" i="4"/>
  <c r="L254" i="4"/>
  <c r="L258" i="4"/>
  <c r="L114" i="4"/>
  <c r="L193" i="4"/>
  <c r="L200" i="4"/>
  <c r="L45" i="4"/>
  <c r="L49" i="4"/>
  <c r="L53" i="4"/>
  <c r="L61" i="4"/>
  <c r="L69" i="4"/>
  <c r="V71" i="4" s="1"/>
  <c r="L73" i="4"/>
  <c r="V75" i="4" s="1"/>
  <c r="L77" i="4"/>
  <c r="L81" i="4"/>
  <c r="V83" i="4" s="1"/>
  <c r="L119" i="4"/>
  <c r="L123" i="4"/>
  <c r="L151" i="4"/>
  <c r="L155" i="4"/>
  <c r="L159" i="4"/>
  <c r="L163" i="4"/>
  <c r="L167" i="4"/>
  <c r="L171" i="4"/>
  <c r="L179" i="4"/>
  <c r="L183" i="4"/>
  <c r="L217" i="4"/>
  <c r="L221" i="4"/>
  <c r="L233" i="4"/>
  <c r="L241" i="4"/>
  <c r="L178" i="4"/>
  <c r="L74" i="4"/>
  <c r="V76" i="4" s="1"/>
  <c r="L195" i="4"/>
  <c r="L209" i="4"/>
  <c r="L259" i="4"/>
  <c r="L278" i="4"/>
  <c r="L293" i="4"/>
  <c r="L131" i="4"/>
  <c r="L142" i="4"/>
  <c r="L229" i="4"/>
  <c r="L87" i="4"/>
  <c r="L112" i="4"/>
  <c r="L174" i="4"/>
  <c r="L181" i="4"/>
  <c r="L192" i="4"/>
  <c r="L210" i="4"/>
  <c r="L214" i="4"/>
  <c r="L252" i="4"/>
  <c r="L256" i="4"/>
  <c r="L260" i="4"/>
  <c r="L309" i="4"/>
  <c r="V91" i="4" s="1"/>
  <c r="L3" i="4"/>
  <c r="L21" i="4"/>
  <c r="L29" i="4"/>
  <c r="L33" i="4"/>
  <c r="L37" i="4"/>
  <c r="L41" i="4"/>
  <c r="L48" i="4"/>
  <c r="L52" i="4"/>
  <c r="L56" i="4"/>
  <c r="L60" i="4"/>
  <c r="L64" i="4"/>
  <c r="V66" i="4" s="1"/>
  <c r="L72" i="4"/>
  <c r="V74" i="4" s="1"/>
  <c r="L76" i="4"/>
  <c r="V78" i="4" s="1"/>
  <c r="L80" i="4"/>
  <c r="V82" i="4" s="1"/>
  <c r="L84" i="4"/>
  <c r="L94" i="4"/>
  <c r="L101" i="4"/>
  <c r="L120" i="4"/>
  <c r="L124" i="4"/>
  <c r="L128" i="4"/>
  <c r="L132" i="4"/>
  <c r="L185" i="4"/>
  <c r="L203" i="4"/>
  <c r="L218" i="4"/>
  <c r="L222" i="4"/>
  <c r="L226" i="4"/>
  <c r="L268" i="4"/>
  <c r="L272" i="4"/>
  <c r="L283" i="4"/>
  <c r="L298" i="4"/>
  <c r="L302" i="4"/>
  <c r="V84" i="4" s="1"/>
  <c r="L317" i="4"/>
  <c r="V99" i="4" s="1"/>
  <c r="L88" i="4"/>
  <c r="L133" i="4"/>
  <c r="L186" i="4"/>
  <c r="L197" i="4"/>
  <c r="L223" i="4"/>
  <c r="L227" i="4"/>
  <c r="L246" i="4"/>
  <c r="L273" i="4"/>
  <c r="L318" i="4"/>
  <c r="V100" i="4" s="1"/>
  <c r="L99" i="4"/>
  <c r="L103" i="4"/>
  <c r="L141" i="4"/>
  <c r="L9" i="4"/>
  <c r="L43" i="4"/>
  <c r="L46" i="4"/>
  <c r="L66" i="4"/>
  <c r="V68" i="4" s="1"/>
  <c r="L85" i="4"/>
  <c r="L90" i="4"/>
  <c r="L98" i="4"/>
  <c r="L110" i="4"/>
  <c r="L117" i="4"/>
  <c r="L135" i="4"/>
  <c r="L138" i="4"/>
  <c r="L175" i="4"/>
  <c r="L187" i="4"/>
  <c r="L196" i="4"/>
  <c r="L202" i="4"/>
  <c r="L206" i="4"/>
  <c r="L231" i="4"/>
  <c r="L238" i="4"/>
  <c r="L245" i="4"/>
  <c r="L248" i="4"/>
  <c r="L263" i="4"/>
  <c r="L270" i="4"/>
  <c r="L277" i="4"/>
  <c r="L280" i="4"/>
  <c r="L312" i="4"/>
  <c r="V94" i="4" s="1"/>
  <c r="L281" i="4"/>
  <c r="L299" i="4"/>
  <c r="L306" i="4"/>
  <c r="V88" i="4" s="1"/>
  <c r="L313" i="4"/>
  <c r="V95" i="4" s="1"/>
  <c r="L4" i="4"/>
  <c r="L25" i="4"/>
  <c r="L67" i="4"/>
  <c r="V69" i="4" s="1"/>
  <c r="L70" i="4"/>
  <c r="V72" i="4" s="1"/>
  <c r="L86" i="4"/>
  <c r="L118" i="4"/>
  <c r="L125" i="4"/>
  <c r="L152" i="4"/>
  <c r="L7" i="4"/>
  <c r="L57" i="4"/>
  <c r="L91" i="4"/>
  <c r="L104" i="4"/>
  <c r="L115" i="4"/>
  <c r="L122" i="4"/>
  <c r="L129" i="4"/>
  <c r="L136" i="4"/>
  <c r="L146" i="4"/>
  <c r="L149" i="4"/>
  <c r="L198" i="4"/>
  <c r="L213" i="4"/>
  <c r="L225" i="4"/>
  <c r="L243" i="4"/>
  <c r="L250" i="4"/>
  <c r="L257" i="4"/>
  <c r="L275" i="4"/>
  <c r="L282" i="4"/>
  <c r="L289" i="4"/>
  <c r="L307" i="4"/>
  <c r="V89" i="4" s="1"/>
  <c r="L314" i="4"/>
  <c r="V96" i="4" s="1"/>
  <c r="L321" i="4"/>
  <c r="V103" i="4" s="1"/>
  <c r="L17" i="4"/>
  <c r="L75" i="4"/>
  <c r="V77" i="4" s="1"/>
  <c r="L97" i="4"/>
  <c r="L105" i="4"/>
  <c r="L130" i="4"/>
  <c r="L140" i="4"/>
  <c r="L290" i="4"/>
  <c r="L297" i="4"/>
  <c r="L315" i="4"/>
  <c r="V97" i="4" s="1"/>
  <c r="L27" i="4"/>
  <c r="L30" i="4"/>
  <c r="L39" i="4"/>
  <c r="L42" i="4"/>
  <c r="L55" i="4"/>
  <c r="L65" i="4"/>
  <c r="V67" i="4" s="1"/>
  <c r="L92" i="4"/>
  <c r="L95" i="4"/>
  <c r="L100" i="4"/>
  <c r="L109" i="4"/>
  <c r="L134" i="4"/>
  <c r="L166" i="4"/>
  <c r="L205" i="4"/>
  <c r="L211" i="4"/>
  <c r="L230" i="4"/>
  <c r="L237" i="4"/>
  <c r="L262" i="4"/>
  <c r="L269" i="4"/>
  <c r="L287" i="4"/>
  <c r="L294" i="4"/>
  <c r="L301" i="4"/>
  <c r="L319" i="4"/>
  <c r="V101" i="4" s="1"/>
  <c r="V65" i="4"/>
  <c r="V80" i="4"/>
  <c r="V79" i="4"/>
  <c r="L15" i="4"/>
  <c r="L68" i="4"/>
  <c r="L83" i="4"/>
  <c r="V64" i="4"/>
  <c r="V73" i="4"/>
  <c r="L127" i="4"/>
  <c r="L239" i="4"/>
  <c r="L44" i="4"/>
  <c r="L102" i="4"/>
  <c r="L28" i="4"/>
  <c r="L12" i="4"/>
  <c r="L111" i="4"/>
  <c r="L303" i="4"/>
  <c r="L147" i="4"/>
  <c r="L143" i="4"/>
  <c r="L255" i="4"/>
  <c r="L139" i="4"/>
  <c r="L247" i="4"/>
  <c r="L279" i="4"/>
  <c r="L311" i="4"/>
  <c r="L189" i="3"/>
  <c r="L230" i="3"/>
  <c r="L186" i="3"/>
  <c r="L4" i="3"/>
  <c r="L15" i="3"/>
  <c r="L26" i="3"/>
  <c r="L30" i="3"/>
  <c r="L68" i="3"/>
  <c r="V70" i="3" s="1"/>
  <c r="L88" i="3"/>
  <c r="L98" i="3"/>
  <c r="L108" i="3"/>
  <c r="L151" i="3"/>
  <c r="L5" i="3"/>
  <c r="L86" i="3"/>
  <c r="L89" i="3"/>
  <c r="L99" i="3"/>
  <c r="L112" i="3"/>
  <c r="L166" i="3"/>
  <c r="L170" i="3"/>
  <c r="L195" i="3"/>
  <c r="L222" i="3"/>
  <c r="L229" i="3"/>
  <c r="L244" i="3"/>
  <c r="L248" i="3"/>
  <c r="L252" i="3"/>
  <c r="L256" i="3"/>
  <c r="L310" i="3"/>
  <c r="V92" i="3" s="1"/>
  <c r="L174" i="3"/>
  <c r="L2" i="3"/>
  <c r="L6" i="3"/>
  <c r="L39" i="3"/>
  <c r="L80" i="3"/>
  <c r="V82" i="3" s="1"/>
  <c r="L106" i="3"/>
  <c r="L156" i="3"/>
  <c r="L167" i="3"/>
  <c r="L171" i="3"/>
  <c r="L178" i="3"/>
  <c r="L185" i="3"/>
  <c r="L196" i="3"/>
  <c r="L223" i="3"/>
  <c r="L241" i="3"/>
  <c r="L245" i="3"/>
  <c r="L253" i="3"/>
  <c r="L257" i="3"/>
  <c r="L312" i="3"/>
  <c r="V94" i="3" s="1"/>
  <c r="L261" i="3"/>
  <c r="L271" i="3"/>
  <c r="L274" i="3"/>
  <c r="L281" i="3"/>
  <c r="L299" i="3"/>
  <c r="L306" i="3"/>
  <c r="V88" i="3" s="1"/>
  <c r="L313" i="3"/>
  <c r="V95" i="3" s="1"/>
  <c r="L160" i="3"/>
  <c r="L280" i="3"/>
  <c r="L124" i="3"/>
  <c r="L131" i="3"/>
  <c r="L168" i="3"/>
  <c r="L41" i="3"/>
  <c r="L109" i="3"/>
  <c r="L224" i="3"/>
  <c r="L27" i="3"/>
  <c r="L188" i="3"/>
  <c r="L32" i="3"/>
  <c r="L18" i="3"/>
  <c r="L31" i="3"/>
  <c r="L43" i="3"/>
  <c r="L69" i="3"/>
  <c r="V71" i="3" s="1"/>
  <c r="L114" i="3"/>
  <c r="L135" i="3"/>
  <c r="L142" i="3"/>
  <c r="L249" i="3"/>
  <c r="L279" i="3"/>
  <c r="L286" i="3"/>
  <c r="L293" i="3"/>
  <c r="L311" i="3"/>
  <c r="V93" i="3" s="1"/>
  <c r="L318" i="3"/>
  <c r="V100" i="3" s="1"/>
  <c r="L37" i="3"/>
  <c r="L59" i="3"/>
  <c r="L118" i="3"/>
  <c r="L139" i="3"/>
  <c r="L198" i="3"/>
  <c r="L13" i="3"/>
  <c r="L70" i="3"/>
  <c r="V72" i="3" s="1"/>
  <c r="L103" i="3"/>
  <c r="L133" i="3"/>
  <c r="L173" i="3"/>
  <c r="L260" i="3"/>
  <c r="L19" i="3"/>
  <c r="L38" i="3"/>
  <c r="L50" i="3"/>
  <c r="L63" i="3"/>
  <c r="V65" i="3" s="1"/>
  <c r="L79" i="3"/>
  <c r="V81" i="3" s="1"/>
  <c r="L82" i="3"/>
  <c r="L85" i="3"/>
  <c r="L115" i="3"/>
  <c r="L122" i="3"/>
  <c r="L143" i="3"/>
  <c r="L146" i="3"/>
  <c r="L199" i="3"/>
  <c r="L203" i="3"/>
  <c r="L217" i="3"/>
  <c r="L287" i="3"/>
  <c r="L294" i="3"/>
  <c r="L301" i="3"/>
  <c r="L319" i="3"/>
  <c r="V101" i="3" s="1"/>
  <c r="V66" i="3"/>
  <c r="V76" i="3"/>
  <c r="L12" i="3"/>
  <c r="L28" i="3"/>
  <c r="L44" i="3"/>
  <c r="L60" i="3"/>
  <c r="V79" i="3"/>
  <c r="L162" i="3"/>
  <c r="V75" i="3"/>
  <c r="L90" i="3"/>
  <c r="L153" i="3"/>
  <c r="L234" i="3"/>
  <c r="V69" i="3"/>
  <c r="L78" i="3"/>
  <c r="L116" i="3"/>
  <c r="L148" i="3"/>
  <c r="L250" i="3"/>
  <c r="L169" i="3"/>
  <c r="L263" i="3"/>
  <c r="L87" i="3"/>
  <c r="L132" i="3"/>
  <c r="L227" i="3"/>
  <c r="V98" i="3"/>
  <c r="L215" i="3"/>
  <c r="L136" i="3"/>
  <c r="L152" i="3"/>
  <c r="L210" i="3"/>
  <c r="L247" i="3"/>
  <c r="L23" i="2"/>
  <c r="L45" i="2"/>
  <c r="L42" i="2"/>
  <c r="L53" i="2"/>
  <c r="L6" i="2"/>
  <c r="L39" i="2"/>
  <c r="L43" i="2"/>
  <c r="L50" i="2"/>
  <c r="L61" i="2"/>
  <c r="L91" i="2"/>
  <c r="L101" i="2"/>
  <c r="L131" i="2"/>
  <c r="L146" i="2"/>
  <c r="L161" i="2"/>
  <c r="L168" i="2"/>
  <c r="L179" i="2"/>
  <c r="L183" i="2"/>
  <c r="L205" i="2"/>
  <c r="L278" i="2"/>
  <c r="L309" i="2"/>
  <c r="V91" i="2" s="1"/>
  <c r="L7" i="2"/>
  <c r="L14" i="2"/>
  <c r="L36" i="2"/>
  <c r="L40" i="2"/>
  <c r="L44" i="2"/>
  <c r="L62" i="2"/>
  <c r="L66" i="2"/>
  <c r="V68" i="2" s="1"/>
  <c r="L92" i="2"/>
  <c r="L102" i="2"/>
  <c r="L117" i="2"/>
  <c r="L132" i="2"/>
  <c r="L135" i="2"/>
  <c r="L158" i="2"/>
  <c r="L162" i="2"/>
  <c r="L169" i="2"/>
  <c r="L176" i="2"/>
  <c r="L180" i="2"/>
  <c r="L190" i="2"/>
  <c r="L213" i="2"/>
  <c r="L322" i="2"/>
  <c r="L15" i="2"/>
  <c r="L26" i="2"/>
  <c r="L30" i="2"/>
  <c r="L37" i="2"/>
  <c r="L41" i="2"/>
  <c r="L51" i="2"/>
  <c r="L55" i="2"/>
  <c r="L59" i="2"/>
  <c r="L63" i="2"/>
  <c r="V65" i="2" s="1"/>
  <c r="L67" i="2"/>
  <c r="L78" i="2"/>
  <c r="V80" i="2" s="1"/>
  <c r="L96" i="2"/>
  <c r="L118" i="2"/>
  <c r="L129" i="2"/>
  <c r="L133" i="2"/>
  <c r="L159" i="2"/>
  <c r="L170" i="2"/>
  <c r="L188" i="2"/>
  <c r="L214" i="2"/>
  <c r="L245" i="2"/>
  <c r="L116" i="2"/>
  <c r="L144" i="2"/>
  <c r="L163" i="2"/>
  <c r="L172" i="2"/>
  <c r="L206" i="2"/>
  <c r="L216" i="2"/>
  <c r="L248" i="2"/>
  <c r="L3" i="2"/>
  <c r="L166" i="2"/>
  <c r="L203" i="2"/>
  <c r="L280" i="2"/>
  <c r="L312" i="2"/>
  <c r="V94" i="2" s="1"/>
  <c r="L4" i="2"/>
  <c r="L31" i="2"/>
  <c r="L47" i="2"/>
  <c r="L86" i="2"/>
  <c r="L97" i="2"/>
  <c r="L100" i="2"/>
  <c r="L177" i="2"/>
  <c r="L215" i="2"/>
  <c r="L222" i="2"/>
  <c r="L229" i="2"/>
  <c r="L247" i="2"/>
  <c r="L254" i="2"/>
  <c r="L261" i="2"/>
  <c r="L286" i="2"/>
  <c r="L293" i="2"/>
  <c r="L311" i="2"/>
  <c r="V93" i="2" s="1"/>
  <c r="L315" i="2"/>
  <c r="V97" i="2" s="1"/>
  <c r="L5" i="2"/>
  <c r="L58" i="2"/>
  <c r="L71" i="2"/>
  <c r="V73" i="2" s="1"/>
  <c r="L122" i="2"/>
  <c r="L125" i="2"/>
  <c r="L153" i="2"/>
  <c r="L178" i="2"/>
  <c r="L181" i="2"/>
  <c r="L223" i="2"/>
  <c r="L230" i="2"/>
  <c r="L237" i="2"/>
  <c r="L255" i="2"/>
  <c r="L262" i="2"/>
  <c r="L269" i="2"/>
  <c r="L287" i="2"/>
  <c r="L294" i="2"/>
  <c r="L301" i="2"/>
  <c r="L319" i="2"/>
  <c r="V101" i="2" s="1"/>
  <c r="V71" i="2"/>
  <c r="V76" i="2"/>
  <c r="V67" i="2"/>
  <c r="L32" i="2"/>
  <c r="V81" i="2"/>
  <c r="L84" i="2"/>
  <c r="L175" i="2"/>
  <c r="L186" i="2"/>
  <c r="V75" i="2"/>
  <c r="V85" i="2"/>
  <c r="L68" i="2"/>
  <c r="V89" i="2"/>
  <c r="L8" i="2"/>
  <c r="V78" i="2"/>
  <c r="L48" i="2"/>
  <c r="V69" i="2"/>
  <c r="L16" i="2"/>
  <c r="V64" i="2"/>
  <c r="V74" i="2"/>
  <c r="V77" i="2"/>
  <c r="L197" i="2"/>
  <c r="V83" i="2"/>
  <c r="L64" i="2"/>
  <c r="L77" i="2"/>
  <c r="L57" i="2"/>
  <c r="L95" i="2"/>
  <c r="V99" i="2"/>
  <c r="V103" i="2"/>
  <c r="L157" i="2"/>
  <c r="L317" i="1"/>
  <c r="V99" i="1" s="1"/>
  <c r="L320" i="1"/>
  <c r="V102" i="1" s="1"/>
  <c r="L318" i="1"/>
  <c r="V100" i="1" s="1"/>
  <c r="L262" i="1"/>
  <c r="L282" i="1"/>
  <c r="L321" i="1"/>
  <c r="V103" i="1" s="1"/>
  <c r="L302" i="1"/>
  <c r="V84" i="1" s="1"/>
  <c r="L42" i="1"/>
  <c r="L73" i="1"/>
  <c r="V75" i="1" s="1"/>
  <c r="L93" i="1"/>
  <c r="L46" i="1"/>
  <c r="L56" i="1"/>
  <c r="L106" i="1"/>
  <c r="L116" i="1"/>
  <c r="L126" i="1"/>
  <c r="L136" i="1"/>
  <c r="L216" i="1"/>
  <c r="L236" i="1"/>
  <c r="L246" i="1"/>
  <c r="L256" i="1"/>
  <c r="L276" i="1"/>
  <c r="L286" i="1"/>
  <c r="L296" i="1"/>
  <c r="L176" i="1"/>
  <c r="L258" i="1"/>
  <c r="V101" i="1"/>
  <c r="L161" i="1"/>
  <c r="L212" i="1"/>
  <c r="L222" i="1"/>
  <c r="L6" i="1"/>
  <c r="L16" i="1"/>
  <c r="L26" i="1"/>
  <c r="L36" i="1"/>
  <c r="L85" i="1"/>
  <c r="L206" i="1"/>
  <c r="L76" i="1"/>
  <c r="V78" i="1" s="1"/>
  <c r="L166" i="1"/>
  <c r="L186" i="1"/>
  <c r="L196" i="1"/>
  <c r="L156" i="1"/>
  <c r="L306" i="1"/>
  <c r="V88" i="1" s="1"/>
  <c r="L218" i="1"/>
  <c r="L228" i="1"/>
  <c r="L248" i="1"/>
  <c r="L268" i="1"/>
  <c r="L278" i="1"/>
  <c r="L288" i="1"/>
  <c r="L298" i="1"/>
  <c r="L308" i="1"/>
  <c r="V90" i="1" s="1"/>
  <c r="L201" i="1"/>
  <c r="L12" i="1"/>
  <c r="L79" i="1"/>
  <c r="V81" i="1" s="1"/>
  <c r="L202" i="1"/>
  <c r="L267" i="1"/>
  <c r="L285" i="1"/>
  <c r="L41" i="1"/>
  <c r="L22" i="1"/>
  <c r="L32" i="1"/>
  <c r="L61" i="1"/>
  <c r="L89" i="1"/>
  <c r="L98" i="1"/>
  <c r="L165" i="1"/>
  <c r="L193" i="1"/>
  <c r="L239" i="1"/>
  <c r="L295" i="1"/>
  <c r="K220" i="1"/>
  <c r="L220" i="1" s="1"/>
  <c r="K60" i="1"/>
  <c r="L60" i="1" s="1"/>
  <c r="L221" i="1"/>
  <c r="L305" i="1"/>
  <c r="V87" i="1" s="1"/>
  <c r="L20" i="1"/>
  <c r="L62" i="1"/>
  <c r="V64" i="1" s="1"/>
  <c r="L240" i="1"/>
  <c r="L315" i="1"/>
  <c r="V97" i="1" s="1"/>
  <c r="L58" i="1"/>
  <c r="L59" i="1"/>
  <c r="L99" i="1"/>
  <c r="L5" i="1"/>
  <c r="L81" i="1"/>
  <c r="V83" i="1" s="1"/>
  <c r="L118" i="1"/>
  <c r="L185" i="1"/>
  <c r="L259" i="1"/>
  <c r="K257" i="1"/>
  <c r="L257" i="1" s="1"/>
  <c r="L138" i="1"/>
  <c r="L241" i="1"/>
  <c r="L15" i="1"/>
  <c r="L119" i="1"/>
  <c r="L158" i="1"/>
  <c r="L260" i="1"/>
  <c r="K195" i="1"/>
  <c r="L195" i="1" s="1"/>
  <c r="K175" i="1"/>
  <c r="L175" i="1" s="1"/>
  <c r="K155" i="1"/>
  <c r="L155" i="1" s="1"/>
  <c r="L35" i="1"/>
  <c r="L34" i="1"/>
  <c r="L215" i="1"/>
  <c r="L279" i="1"/>
  <c r="K313" i="1"/>
  <c r="L313" i="1" s="1"/>
  <c r="V95" i="1" s="1"/>
  <c r="K233" i="1"/>
  <c r="L233" i="1" s="1"/>
  <c r="L139" i="1"/>
  <c r="L45" i="1"/>
  <c r="L65" i="1"/>
  <c r="V67" i="1" s="1"/>
  <c r="L140" i="1"/>
  <c r="L197" i="1"/>
  <c r="L224" i="1"/>
  <c r="L261" i="1"/>
  <c r="L289" i="1"/>
  <c r="L299" i="1"/>
  <c r="K192" i="1"/>
  <c r="L192" i="1" s="1"/>
  <c r="K72" i="1"/>
  <c r="L72" i="1" s="1"/>
  <c r="V74" i="1" s="1"/>
  <c r="K52" i="1"/>
  <c r="L52" i="1" s="1"/>
  <c r="L92" i="1"/>
  <c r="L101" i="1"/>
  <c r="L83" i="1"/>
  <c r="L102" i="1"/>
  <c r="L121" i="1"/>
  <c r="L169" i="1"/>
  <c r="L234" i="1"/>
  <c r="L243" i="1"/>
  <c r="K231" i="1"/>
  <c r="L231" i="1" s="1"/>
  <c r="K211" i="1"/>
  <c r="L211" i="1" s="1"/>
  <c r="K111" i="1"/>
  <c r="L111" i="1" s="1"/>
  <c r="K11" i="1"/>
  <c r="L11" i="1" s="1"/>
  <c r="L25" i="1"/>
  <c r="L55" i="1"/>
  <c r="L159" i="1"/>
  <c r="L27" i="1"/>
  <c r="L66" i="1"/>
  <c r="V68" i="1" s="1"/>
  <c r="L75" i="1"/>
  <c r="V77" i="1" s="1"/>
  <c r="L112" i="1"/>
  <c r="L141" i="1"/>
  <c r="L225" i="1"/>
  <c r="L309" i="1"/>
  <c r="V91" i="1" s="1"/>
  <c r="K250" i="1"/>
  <c r="L250" i="1" s="1"/>
  <c r="K230" i="1"/>
  <c r="L230" i="1" s="1"/>
  <c r="K150" i="1"/>
  <c r="L150" i="1" s="1"/>
  <c r="K130" i="1"/>
  <c r="L130" i="1" s="1"/>
  <c r="K110" i="1"/>
  <c r="L110" i="1" s="1"/>
  <c r="K30" i="1"/>
  <c r="L30" i="1" s="1"/>
  <c r="L37" i="1"/>
  <c r="L122" i="1"/>
  <c r="L179" i="1"/>
  <c r="K269" i="1"/>
  <c r="L269" i="1" s="1"/>
  <c r="K249" i="1"/>
  <c r="L249" i="1" s="1"/>
  <c r="K229" i="1"/>
  <c r="L229" i="1" s="1"/>
  <c r="K149" i="1"/>
  <c r="L149" i="1" s="1"/>
  <c r="K129" i="1"/>
  <c r="L129" i="1" s="1"/>
  <c r="K109" i="1"/>
  <c r="L109" i="1" s="1"/>
  <c r="L18" i="1"/>
  <c r="L132" i="1"/>
  <c r="L170" i="1"/>
  <c r="L235" i="1"/>
  <c r="L9" i="1"/>
  <c r="L38" i="1"/>
  <c r="L113" i="1"/>
  <c r="L152" i="1"/>
  <c r="L189" i="1"/>
  <c r="K168" i="1"/>
  <c r="L168" i="1" s="1"/>
  <c r="L19" i="1"/>
  <c r="L29" i="1"/>
  <c r="L48" i="1"/>
  <c r="L133" i="1"/>
  <c r="L199" i="1"/>
  <c r="L273" i="1"/>
  <c r="K147" i="1"/>
  <c r="L147" i="1" s="1"/>
  <c r="L114" i="1"/>
  <c r="L162" i="1"/>
  <c r="L190" i="1"/>
  <c r="L209" i="1"/>
  <c r="L255" i="1"/>
  <c r="L266" i="1"/>
  <c r="L226" i="1"/>
  <c r="L146" i="1"/>
  <c r="L49" i="1"/>
  <c r="L172" i="1"/>
  <c r="L181" i="1"/>
  <c r="L237" i="1"/>
  <c r="K265" i="1"/>
  <c r="L265" i="1" s="1"/>
  <c r="K245" i="1"/>
  <c r="L245" i="1" s="1"/>
  <c r="K205" i="1"/>
  <c r="L205" i="1" s="1"/>
  <c r="K145" i="1"/>
  <c r="L145" i="1" s="1"/>
  <c r="K105" i="1"/>
  <c r="L105" i="1" s="1"/>
  <c r="L39" i="1"/>
  <c r="L293" i="1"/>
  <c r="K184" i="1"/>
  <c r="L184" i="1" s="1"/>
  <c r="K124" i="1"/>
  <c r="L124" i="1" s="1"/>
  <c r="L24" i="1"/>
  <c r="K4" i="1"/>
  <c r="L4" i="1" s="1"/>
  <c r="L69" i="1"/>
  <c r="V71" i="1" s="1"/>
  <c r="L87" i="1"/>
  <c r="L115" i="1"/>
  <c r="L21" i="1"/>
  <c r="L50" i="1"/>
  <c r="L78" i="1"/>
  <c r="V80" i="1" s="1"/>
  <c r="L96" i="1"/>
  <c r="L125" i="1"/>
  <c r="L135" i="1"/>
  <c r="L219" i="1"/>
  <c r="L247" i="1"/>
  <c r="L275" i="1"/>
  <c r="K283" i="1"/>
  <c r="L283" i="1" s="1"/>
  <c r="K263" i="1"/>
  <c r="L263" i="1" s="1"/>
  <c r="K143" i="1"/>
  <c r="L143" i="1" s="1"/>
  <c r="K103" i="1"/>
  <c r="L103" i="1" s="1"/>
  <c r="K63" i="1"/>
  <c r="L63" i="1" s="1"/>
  <c r="V65" i="1" s="1"/>
  <c r="K43" i="1"/>
  <c r="L43" i="1" s="1"/>
  <c r="K23" i="1"/>
  <c r="L23" i="1" s="1"/>
  <c r="K3" i="1"/>
  <c r="L3" i="1" s="1"/>
  <c r="L71" i="1"/>
  <c r="V73" i="1" s="1"/>
  <c r="L107" i="1"/>
  <c r="L163" i="1"/>
  <c r="L287" i="1"/>
  <c r="L53" i="1"/>
  <c r="L90" i="1"/>
  <c r="L117" i="1"/>
  <c r="L173" i="1"/>
  <c r="L182" i="1"/>
  <c r="L191" i="1"/>
  <c r="L200" i="1"/>
  <c r="L244" i="1"/>
  <c r="L270" i="1"/>
  <c r="L314" i="1"/>
  <c r="V96" i="1" s="1"/>
  <c r="L164" i="1"/>
  <c r="L8" i="1"/>
  <c r="L54" i="1"/>
  <c r="L91" i="1"/>
  <c r="L137" i="1"/>
  <c r="L174" i="1"/>
  <c r="L183" i="1"/>
  <c r="L210" i="1"/>
  <c r="L297" i="1"/>
  <c r="L217" i="1"/>
  <c r="L7" i="1"/>
  <c r="L108" i="1"/>
  <c r="L127" i="1"/>
  <c r="L227" i="1"/>
  <c r="L253" i="1"/>
  <c r="L17" i="1"/>
  <c r="L64" i="1"/>
  <c r="V66" i="1" s="1"/>
  <c r="L128" i="1"/>
  <c r="L254" i="1"/>
  <c r="L271" i="1"/>
  <c r="L280" i="1"/>
  <c r="L74" i="1"/>
  <c r="V76" i="1" s="1"/>
  <c r="L307" i="1"/>
  <c r="V89" i="1" s="1"/>
  <c r="L10" i="1"/>
  <c r="L28" i="1"/>
  <c r="L120" i="1"/>
  <c r="L148" i="1"/>
  <c r="L157" i="1"/>
  <c r="L194" i="1"/>
  <c r="L203" i="1"/>
  <c r="L264" i="1"/>
  <c r="L281" i="1"/>
  <c r="L290" i="1"/>
  <c r="L84" i="1"/>
  <c r="L167" i="1"/>
  <c r="L204" i="1"/>
  <c r="L47" i="1"/>
  <c r="L57" i="1"/>
  <c r="L67" i="1"/>
  <c r="V69" i="1" s="1"/>
  <c r="L94" i="1"/>
  <c r="L131" i="1"/>
  <c r="L177" i="1"/>
  <c r="L213" i="1"/>
  <c r="L274" i="1"/>
  <c r="L291" i="1"/>
  <c r="L300" i="1"/>
  <c r="L68" i="1"/>
  <c r="V70" i="1" s="1"/>
  <c r="L187" i="1"/>
  <c r="L214" i="1"/>
  <c r="L13" i="1"/>
  <c r="L31" i="1"/>
  <c r="L40" i="1"/>
  <c r="L86" i="1"/>
  <c r="L104" i="1"/>
  <c r="L123" i="1"/>
  <c r="L142" i="1"/>
  <c r="L151" i="1"/>
  <c r="L160" i="1"/>
  <c r="L223" i="1"/>
  <c r="L284" i="1"/>
  <c r="L301" i="1"/>
  <c r="L310" i="1"/>
  <c r="V92" i="1" s="1"/>
  <c r="L134" i="1"/>
  <c r="L207" i="1"/>
  <c r="L294" i="1"/>
  <c r="L311" i="1"/>
  <c r="V93" i="1" s="1"/>
  <c r="L33" i="1"/>
  <c r="L51" i="1"/>
  <c r="L88" i="1"/>
  <c r="L153" i="1"/>
  <c r="L171" i="1"/>
  <c r="L180" i="1"/>
  <c r="L251" i="1"/>
  <c r="L277" i="1"/>
  <c r="L303" i="1"/>
  <c r="V85" i="1" s="1"/>
  <c r="L312" i="1"/>
  <c r="V94" i="1" s="1"/>
  <c r="L304" i="1"/>
  <c r="V86" i="1" s="1"/>
  <c r="L2" i="1"/>
  <c r="V82" i="1"/>
  <c r="V79" i="1"/>
  <c r="V72" i="1"/>
  <c r="N2" i="6" l="1"/>
  <c r="N5" i="6"/>
  <c r="V76" i="5"/>
  <c r="V79" i="5"/>
  <c r="V70" i="4"/>
  <c r="N5" i="4" s="1"/>
  <c r="V93" i="4"/>
  <c r="V85" i="4"/>
  <c r="V80" i="3"/>
  <c r="N2" i="3" s="1"/>
  <c r="V79" i="2"/>
  <c r="V70" i="2"/>
  <c r="V66" i="2"/>
  <c r="N5" i="2"/>
  <c r="N2" i="2"/>
  <c r="M57" i="2" s="1"/>
  <c r="N2" i="1"/>
  <c r="M322" i="1" s="1"/>
  <c r="N5" i="1"/>
  <c r="M181" i="6" l="1"/>
  <c r="M107" i="6"/>
  <c r="M51" i="6"/>
  <c r="M157" i="6"/>
  <c r="M111" i="6"/>
  <c r="M3" i="6"/>
  <c r="M127" i="6"/>
  <c r="M18" i="6"/>
  <c r="M83" i="6"/>
  <c r="M25" i="6"/>
  <c r="M142" i="6"/>
  <c r="M67" i="6"/>
  <c r="M146" i="6"/>
  <c r="M54" i="6"/>
  <c r="M2" i="6"/>
  <c r="M55" i="6"/>
  <c r="M119" i="6"/>
  <c r="M49" i="6"/>
  <c r="M109" i="6"/>
  <c r="M180" i="6"/>
  <c r="M104" i="6"/>
  <c r="M152" i="6"/>
  <c r="M154" i="6"/>
  <c r="M80" i="6"/>
  <c r="M95" i="6"/>
  <c r="M124" i="6"/>
  <c r="M192" i="6"/>
  <c r="M251" i="6"/>
  <c r="M305" i="6"/>
  <c r="M228" i="6"/>
  <c r="M302" i="6"/>
  <c r="M226" i="6"/>
  <c r="M288" i="6"/>
  <c r="M191" i="6"/>
  <c r="M264" i="6"/>
  <c r="M310" i="6"/>
  <c r="M214" i="6"/>
  <c r="M259" i="6"/>
  <c r="M290" i="6"/>
  <c r="M203" i="6"/>
  <c r="M237" i="6"/>
  <c r="M280" i="6"/>
  <c r="M291" i="6"/>
  <c r="M14" i="6"/>
  <c r="M201" i="6"/>
  <c r="M311" i="6"/>
  <c r="M304" i="6"/>
  <c r="M256" i="6"/>
  <c r="M11" i="6"/>
  <c r="M143" i="6"/>
  <c r="M52" i="6"/>
  <c r="M165" i="6"/>
  <c r="M87" i="6"/>
  <c r="M212" i="6"/>
  <c r="M211" i="6"/>
  <c r="M277" i="6"/>
  <c r="M10" i="6"/>
  <c r="M66" i="6"/>
  <c r="M130" i="6"/>
  <c r="M62" i="6"/>
  <c r="M21" i="6"/>
  <c r="M86" i="6"/>
  <c r="M40" i="6"/>
  <c r="M12" i="6"/>
  <c r="M153" i="6"/>
  <c r="M84" i="6"/>
  <c r="M5" i="6"/>
  <c r="M61" i="6"/>
  <c r="M122" i="6"/>
  <c r="M58" i="6"/>
  <c r="M123" i="6"/>
  <c r="M132" i="6"/>
  <c r="M149" i="6"/>
  <c r="M177" i="6"/>
  <c r="M173" i="6"/>
  <c r="M160" i="6"/>
  <c r="M103" i="6"/>
  <c r="M200" i="6"/>
  <c r="M254" i="6"/>
  <c r="M308" i="6"/>
  <c r="M244" i="6"/>
  <c r="M309" i="6"/>
  <c r="M229" i="6"/>
  <c r="M299" i="6"/>
  <c r="M193" i="6"/>
  <c r="M271" i="6"/>
  <c r="M317" i="6"/>
  <c r="M217" i="6"/>
  <c r="M262" i="6"/>
  <c r="M186" i="6"/>
  <c r="M293" i="6"/>
  <c r="M205" i="6"/>
  <c r="M247" i="6"/>
  <c r="M297" i="6"/>
  <c r="M197" i="6"/>
  <c r="M294" i="6"/>
  <c r="M69" i="6"/>
  <c r="M276" i="6"/>
  <c r="M220" i="6"/>
  <c r="M224" i="6"/>
  <c r="M76" i="6"/>
  <c r="M48" i="6"/>
  <c r="M38" i="6"/>
  <c r="M88" i="6"/>
  <c r="M169" i="6"/>
  <c r="M295" i="6"/>
  <c r="M303" i="6"/>
  <c r="M234" i="6"/>
  <c r="M13" i="6"/>
  <c r="M7" i="6"/>
  <c r="M93" i="6"/>
  <c r="M36" i="6"/>
  <c r="M106" i="6"/>
  <c r="M50" i="6"/>
  <c r="M19" i="6"/>
  <c r="M74" i="6"/>
  <c r="M16" i="6"/>
  <c r="M97" i="6"/>
  <c r="M20" i="6"/>
  <c r="M151" i="6"/>
  <c r="M68" i="6"/>
  <c r="M126" i="6"/>
  <c r="M140" i="6"/>
  <c r="M162" i="6"/>
  <c r="M116" i="6"/>
  <c r="M60" i="6"/>
  <c r="M175" i="6"/>
  <c r="M121" i="6"/>
  <c r="M79" i="6"/>
  <c r="M219" i="6"/>
  <c r="M257" i="6"/>
  <c r="M170" i="6"/>
  <c r="M260" i="6"/>
  <c r="M312" i="6"/>
  <c r="M239" i="6"/>
  <c r="M306" i="6"/>
  <c r="M199" i="6"/>
  <c r="M273" i="6"/>
  <c r="M320" i="6"/>
  <c r="M227" i="6"/>
  <c r="M265" i="6"/>
  <c r="M194" i="6"/>
  <c r="M296" i="6"/>
  <c r="M208" i="6"/>
  <c r="M250" i="6"/>
  <c r="M300" i="6"/>
  <c r="M206" i="6"/>
  <c r="M301" i="6"/>
  <c r="M100" i="6"/>
  <c r="M242" i="6"/>
  <c r="M230" i="6"/>
  <c r="M253" i="6"/>
  <c r="M315" i="6"/>
  <c r="M266" i="6"/>
  <c r="M59" i="6"/>
  <c r="M92" i="6"/>
  <c r="M182" i="6"/>
  <c r="M223" i="6"/>
  <c r="M248" i="6"/>
  <c r="M249" i="6"/>
  <c r="M174" i="6"/>
  <c r="M189" i="6"/>
  <c r="M28" i="6"/>
  <c r="M43" i="6"/>
  <c r="M135" i="6"/>
  <c r="M89" i="6"/>
  <c r="M26" i="6"/>
  <c r="M23" i="6"/>
  <c r="M99" i="6"/>
  <c r="M27" i="6"/>
  <c r="M65" i="6"/>
  <c r="M6" i="6"/>
  <c r="M125" i="6"/>
  <c r="M148" i="6"/>
  <c r="M184" i="6"/>
  <c r="M129" i="6"/>
  <c r="M108" i="6"/>
  <c r="M222" i="6"/>
  <c r="M267" i="6"/>
  <c r="M190" i="6"/>
  <c r="M270" i="6"/>
  <c r="M158" i="6"/>
  <c r="M313" i="6"/>
  <c r="M159" i="6"/>
  <c r="M274" i="6"/>
  <c r="M215" i="6"/>
  <c r="M113" i="6"/>
  <c r="M105" i="6"/>
  <c r="M133" i="6"/>
  <c r="M298" i="6"/>
  <c r="M178" i="6"/>
  <c r="M287" i="6"/>
  <c r="M35" i="6"/>
  <c r="M17" i="6"/>
  <c r="M131" i="6"/>
  <c r="M46" i="6"/>
  <c r="M138" i="6"/>
  <c r="M91" i="6"/>
  <c r="M29" i="6"/>
  <c r="M81" i="6"/>
  <c r="M30" i="6"/>
  <c r="M115" i="6"/>
  <c r="M34" i="6"/>
  <c r="M82" i="6"/>
  <c r="M9" i="6"/>
  <c r="M75" i="6"/>
  <c r="M63" i="6"/>
  <c r="M156" i="6"/>
  <c r="M120" i="6"/>
  <c r="M72" i="6"/>
  <c r="M64" i="6"/>
  <c r="M96" i="6"/>
  <c r="M137" i="6"/>
  <c r="M117" i="6"/>
  <c r="M225" i="6"/>
  <c r="M269" i="6"/>
  <c r="M198" i="6"/>
  <c r="M279" i="6"/>
  <c r="M183" i="6"/>
  <c r="M245" i="6"/>
  <c r="M316" i="6"/>
  <c r="M204" i="6"/>
  <c r="M283" i="6"/>
  <c r="M166" i="6"/>
  <c r="M233" i="6"/>
  <c r="M292" i="6"/>
  <c r="M236" i="6"/>
  <c r="M318" i="6"/>
  <c r="M218" i="6"/>
  <c r="M263" i="6"/>
  <c r="M322" i="6"/>
  <c r="M240" i="6"/>
  <c r="M319" i="6"/>
  <c r="M42" i="6"/>
  <c r="M150" i="6"/>
  <c r="M144" i="6"/>
  <c r="M241" i="6"/>
  <c r="M261" i="6"/>
  <c r="M321" i="6"/>
  <c r="M281" i="6"/>
  <c r="M53" i="6"/>
  <c r="M73" i="6"/>
  <c r="M32" i="6"/>
  <c r="M134" i="6"/>
  <c r="M70" i="6"/>
  <c r="M8" i="6"/>
  <c r="M101" i="6"/>
  <c r="M44" i="6"/>
  <c r="M94" i="6"/>
  <c r="M33" i="6"/>
  <c r="M118" i="6"/>
  <c r="M37" i="6"/>
  <c r="M90" i="6"/>
  <c r="M24" i="6"/>
  <c r="M185" i="6"/>
  <c r="M128" i="6"/>
  <c r="M176" i="6"/>
  <c r="M141" i="6"/>
  <c r="M145" i="6"/>
  <c r="M172" i="6"/>
  <c r="M235" i="6"/>
  <c r="M272" i="6"/>
  <c r="M207" i="6"/>
  <c r="M282" i="6"/>
  <c r="M210" i="6"/>
  <c r="M255" i="6"/>
  <c r="M168" i="6"/>
  <c r="M216" i="6"/>
  <c r="M286" i="6"/>
  <c r="M196" i="6"/>
  <c r="M243" i="6"/>
  <c r="M307" i="6"/>
  <c r="M252" i="6"/>
  <c r="M164" i="6"/>
  <c r="M221" i="6"/>
  <c r="M139" i="6"/>
  <c r="M56" i="6"/>
  <c r="M98" i="6"/>
  <c r="M39" i="6"/>
  <c r="M4" i="6"/>
  <c r="M15" i="6"/>
  <c r="M110" i="6"/>
  <c r="M57" i="6"/>
  <c r="M114" i="6"/>
  <c r="M41" i="6"/>
  <c r="M147" i="6"/>
  <c r="M45" i="6"/>
  <c r="M102" i="6"/>
  <c r="M31" i="6"/>
  <c r="M85" i="6"/>
  <c r="M163" i="6"/>
  <c r="M77" i="6"/>
  <c r="M136" i="6"/>
  <c r="M112" i="6"/>
  <c r="M71" i="6"/>
  <c r="M78" i="6"/>
  <c r="M161" i="6"/>
  <c r="M188" i="6"/>
  <c r="M238" i="6"/>
  <c r="M284" i="6"/>
  <c r="M209" i="6"/>
  <c r="M285" i="6"/>
  <c r="M213" i="6"/>
  <c r="M258" i="6"/>
  <c r="M171" i="6"/>
  <c r="M232" i="6"/>
  <c r="M289" i="6"/>
  <c r="M202" i="6"/>
  <c r="M246" i="6"/>
  <c r="M314" i="6"/>
  <c r="M268" i="6"/>
  <c r="M167" i="6"/>
  <c r="M231" i="6"/>
  <c r="M275" i="6"/>
  <c r="M278" i="6"/>
  <c r="M22" i="6"/>
  <c r="M179" i="6"/>
  <c r="M195" i="6"/>
  <c r="M47" i="6"/>
  <c r="M155" i="6"/>
  <c r="M187" i="6"/>
  <c r="N2" i="5"/>
  <c r="M157" i="5" s="1"/>
  <c r="M308" i="5"/>
  <c r="M69" i="5"/>
  <c r="M245" i="5"/>
  <c r="M237" i="5"/>
  <c r="M213" i="5"/>
  <c r="M172" i="5"/>
  <c r="M263" i="5"/>
  <c r="M154" i="5"/>
  <c r="M102" i="5"/>
  <c r="M13" i="5"/>
  <c r="M269" i="5"/>
  <c r="M108" i="5"/>
  <c r="M126" i="5"/>
  <c r="M260" i="5"/>
  <c r="M169" i="5"/>
  <c r="M302" i="5"/>
  <c r="M112" i="5"/>
  <c r="M185" i="5"/>
  <c r="M219" i="5"/>
  <c r="M150" i="5"/>
  <c r="M239" i="5"/>
  <c r="M303" i="5"/>
  <c r="M152" i="5"/>
  <c r="M57" i="5"/>
  <c r="M146" i="5"/>
  <c r="M130" i="5"/>
  <c r="M62" i="5"/>
  <c r="M28" i="5"/>
  <c r="M136" i="5"/>
  <c r="M45" i="5"/>
  <c r="N5" i="5"/>
  <c r="N2" i="4"/>
  <c r="M221" i="4" s="1"/>
  <c r="M297" i="3"/>
  <c r="M253" i="3"/>
  <c r="M313" i="3"/>
  <c r="M239" i="3"/>
  <c r="M164" i="3"/>
  <c r="M4" i="3"/>
  <c r="M244" i="3"/>
  <c r="M33" i="3"/>
  <c r="M26" i="3"/>
  <c r="M268" i="3"/>
  <c r="M110" i="3"/>
  <c r="M97" i="3"/>
  <c r="M58" i="3"/>
  <c r="M49" i="3"/>
  <c r="M42" i="3"/>
  <c r="M17" i="3"/>
  <c r="M10" i="3"/>
  <c r="M281" i="3"/>
  <c r="M150" i="3"/>
  <c r="M84" i="3"/>
  <c r="M237" i="3"/>
  <c r="M183" i="3"/>
  <c r="M255" i="3"/>
  <c r="M205" i="3"/>
  <c r="M138" i="3"/>
  <c r="M221" i="3"/>
  <c r="M176" i="3"/>
  <c r="M100" i="3"/>
  <c r="M66" i="3"/>
  <c r="M154" i="3"/>
  <c r="M74" i="3"/>
  <c r="M134" i="3"/>
  <c r="M70" i="3"/>
  <c r="M19" i="3"/>
  <c r="M41" i="3"/>
  <c r="M109" i="3"/>
  <c r="M248" i="3"/>
  <c r="M94" i="3"/>
  <c r="M192" i="3"/>
  <c r="M15" i="3"/>
  <c r="M75" i="3"/>
  <c r="M186" i="3"/>
  <c r="M24" i="3"/>
  <c r="M101" i="3"/>
  <c r="M196" i="3"/>
  <c r="M3" i="3"/>
  <c r="M172" i="3"/>
  <c r="M22" i="3"/>
  <c r="M93" i="3"/>
  <c r="M194" i="3"/>
  <c r="M50" i="3"/>
  <c r="M120" i="3"/>
  <c r="M201" i="3"/>
  <c r="M104" i="3"/>
  <c r="M187" i="3"/>
  <c r="M307" i="3"/>
  <c r="M254" i="3"/>
  <c r="M140" i="3"/>
  <c r="M220" i="3"/>
  <c r="M226" i="3"/>
  <c r="M301" i="3"/>
  <c r="M252" i="3"/>
  <c r="M286" i="3"/>
  <c r="M280" i="3"/>
  <c r="M322" i="3"/>
  <c r="M80" i="3"/>
  <c r="M141" i="3"/>
  <c r="M260" i="3"/>
  <c r="M79" i="3"/>
  <c r="M129" i="3"/>
  <c r="M5" i="3"/>
  <c r="M112" i="3"/>
  <c r="M198" i="3"/>
  <c r="M21" i="3"/>
  <c r="M86" i="3"/>
  <c r="M40" i="3"/>
  <c r="M105" i="3"/>
  <c r="M216" i="3"/>
  <c r="M38" i="3"/>
  <c r="M184" i="3"/>
  <c r="M11" i="3"/>
  <c r="M111" i="3"/>
  <c r="M207" i="3"/>
  <c r="M211" i="3"/>
  <c r="M258" i="3"/>
  <c r="M238" i="3"/>
  <c r="M317" i="3"/>
  <c r="M256" i="3"/>
  <c r="M230" i="3"/>
  <c r="M115" i="3"/>
  <c r="M231" i="3"/>
  <c r="M304" i="3"/>
  <c r="M262" i="3"/>
  <c r="M287" i="3"/>
  <c r="M146" i="3"/>
  <c r="M68" i="3"/>
  <c r="M126" i="3"/>
  <c r="M224" i="3"/>
  <c r="M240" i="3"/>
  <c r="M320" i="3"/>
  <c r="M270" i="3"/>
  <c r="M168" i="3"/>
  <c r="M233" i="3"/>
  <c r="M119" i="3"/>
  <c r="M236" i="3"/>
  <c r="M206" i="3"/>
  <c r="M265" i="3"/>
  <c r="M290" i="3"/>
  <c r="M67" i="3"/>
  <c r="M316" i="3"/>
  <c r="M235" i="3"/>
  <c r="M311" i="3"/>
  <c r="M273" i="3"/>
  <c r="M246" i="3"/>
  <c r="M193" i="3"/>
  <c r="M302" i="3"/>
  <c r="M249" i="3"/>
  <c r="M83" i="3"/>
  <c r="M285" i="3"/>
  <c r="M89" i="3"/>
  <c r="M158" i="3"/>
  <c r="M212" i="3"/>
  <c r="M289" i="3"/>
  <c r="M312" i="3"/>
  <c r="M73" i="3"/>
  <c r="M8" i="3"/>
  <c r="M181" i="3"/>
  <c r="M6" i="3"/>
  <c r="M191" i="3"/>
  <c r="M182" i="3"/>
  <c r="M217" i="3"/>
  <c r="M291" i="3"/>
  <c r="M283" i="3"/>
  <c r="M319" i="3"/>
  <c r="M157" i="3"/>
  <c r="M199" i="3"/>
  <c r="M137" i="3"/>
  <c r="M117" i="3"/>
  <c r="M161" i="3"/>
  <c r="M292" i="3"/>
  <c r="M299" i="3"/>
  <c r="M143" i="3"/>
  <c r="M245" i="3"/>
  <c r="M269" i="3"/>
  <c r="M264" i="3"/>
  <c r="M185" i="3"/>
  <c r="M147" i="3"/>
  <c r="M318" i="3"/>
  <c r="M65" i="3"/>
  <c r="M114" i="3"/>
  <c r="M171" i="3"/>
  <c r="M14" i="3"/>
  <c r="M2" i="3"/>
  <c r="M106" i="3"/>
  <c r="M35" i="3"/>
  <c r="M91" i="3"/>
  <c r="M57" i="3"/>
  <c r="M156" i="3"/>
  <c r="M7" i="3"/>
  <c r="M118" i="3"/>
  <c r="M208" i="3"/>
  <c r="M31" i="3"/>
  <c r="M88" i="3"/>
  <c r="M203" i="3"/>
  <c r="M56" i="3"/>
  <c r="M241" i="3"/>
  <c r="M54" i="3"/>
  <c r="M204" i="3"/>
  <c r="M27" i="3"/>
  <c r="M125" i="3"/>
  <c r="M214" i="3"/>
  <c r="M81" i="3"/>
  <c r="M123" i="3"/>
  <c r="M296" i="3"/>
  <c r="M200" i="3"/>
  <c r="M32" i="3"/>
  <c r="M180" i="3"/>
  <c r="M284" i="3"/>
  <c r="M266" i="3"/>
  <c r="M18" i="3"/>
  <c r="M173" i="3"/>
  <c r="M222" i="3"/>
  <c r="M242" i="3"/>
  <c r="M188" i="3"/>
  <c r="M310" i="3"/>
  <c r="M29" i="3"/>
  <c r="M30" i="3"/>
  <c r="M51" i="3"/>
  <c r="M13" i="3"/>
  <c r="M92" i="3"/>
  <c r="M195" i="3"/>
  <c r="M23" i="3"/>
  <c r="M124" i="3"/>
  <c r="M219" i="3"/>
  <c r="M37" i="3"/>
  <c r="M228" i="3"/>
  <c r="M133" i="3"/>
  <c r="M108" i="3"/>
  <c r="M213" i="3"/>
  <c r="M43" i="3"/>
  <c r="M232" i="3"/>
  <c r="M155" i="3"/>
  <c r="M251" i="3"/>
  <c r="M178" i="3"/>
  <c r="M295" i="3"/>
  <c r="M64" i="3"/>
  <c r="M202" i="3"/>
  <c r="M63" i="3"/>
  <c r="M128" i="3"/>
  <c r="M98" i="3"/>
  <c r="M321" i="3"/>
  <c r="M277" i="3"/>
  <c r="M276" i="3"/>
  <c r="M99" i="3"/>
  <c r="M107" i="3"/>
  <c r="M218" i="3"/>
  <c r="M189" i="3"/>
  <c r="M309" i="3"/>
  <c r="M175" i="3"/>
  <c r="M82" i="3"/>
  <c r="M288" i="3"/>
  <c r="M76" i="3"/>
  <c r="M102" i="3"/>
  <c r="M293" i="3"/>
  <c r="M36" i="3"/>
  <c r="M45" i="3"/>
  <c r="M46" i="3"/>
  <c r="M69" i="3"/>
  <c r="M95" i="3"/>
  <c r="M9" i="3"/>
  <c r="M62" i="3"/>
  <c r="M174" i="3"/>
  <c r="M39" i="3"/>
  <c r="M159" i="3"/>
  <c r="M225" i="3"/>
  <c r="M47" i="3"/>
  <c r="M121" i="3"/>
  <c r="M139" i="3"/>
  <c r="M259" i="3"/>
  <c r="M113" i="3"/>
  <c r="M223" i="3"/>
  <c r="M59" i="3"/>
  <c r="M145" i="3"/>
  <c r="M257" i="3"/>
  <c r="M166" i="3"/>
  <c r="M149" i="3"/>
  <c r="M261" i="3"/>
  <c r="M135" i="3"/>
  <c r="M314" i="3"/>
  <c r="M190" i="3"/>
  <c r="M294" i="3"/>
  <c r="M127" i="3"/>
  <c r="M298" i="3"/>
  <c r="M308" i="3"/>
  <c r="M303" i="3"/>
  <c r="M25" i="3"/>
  <c r="M209" i="3"/>
  <c r="M34" i="3"/>
  <c r="M279" i="3"/>
  <c r="M274" i="3"/>
  <c r="M48" i="3"/>
  <c r="M52" i="3"/>
  <c r="M61" i="3"/>
  <c r="M16" i="3"/>
  <c r="M77" i="3"/>
  <c r="M179" i="3"/>
  <c r="M55" i="3"/>
  <c r="M177" i="3"/>
  <c r="M243" i="3"/>
  <c r="M53" i="3"/>
  <c r="M130" i="3"/>
  <c r="M278" i="3"/>
  <c r="M71" i="3"/>
  <c r="M142" i="3"/>
  <c r="M275" i="3"/>
  <c r="M122" i="3"/>
  <c r="M229" i="3"/>
  <c r="M72" i="3"/>
  <c r="M160" i="3"/>
  <c r="M85" i="3"/>
  <c r="M170" i="3"/>
  <c r="M96" i="3"/>
  <c r="M167" i="3"/>
  <c r="M144" i="3"/>
  <c r="M267" i="3"/>
  <c r="M151" i="3"/>
  <c r="M197" i="3"/>
  <c r="M300" i="3"/>
  <c r="M131" i="3"/>
  <c r="M271" i="3"/>
  <c r="M282" i="3"/>
  <c r="M305" i="3"/>
  <c r="M315" i="3"/>
  <c r="M306" i="3"/>
  <c r="M20" i="3"/>
  <c r="M272" i="3"/>
  <c r="M103" i="3"/>
  <c r="M163" i="3"/>
  <c r="M165" i="3"/>
  <c r="M215" i="3"/>
  <c r="M60" i="3"/>
  <c r="M227" i="3"/>
  <c r="M210" i="3"/>
  <c r="M169" i="3"/>
  <c r="M263" i="3"/>
  <c r="M116" i="3"/>
  <c r="M12" i="3"/>
  <c r="M78" i="3"/>
  <c r="M148" i="3"/>
  <c r="M28" i="3"/>
  <c r="M132" i="3"/>
  <c r="M153" i="3"/>
  <c r="M87" i="3"/>
  <c r="M250" i="3"/>
  <c r="M152" i="3"/>
  <c r="M234" i="3"/>
  <c r="M90" i="3"/>
  <c r="M136" i="3"/>
  <c r="M247" i="3"/>
  <c r="M162" i="3"/>
  <c r="M44" i="3"/>
  <c r="N5" i="3"/>
  <c r="M8" i="2"/>
  <c r="M197" i="2"/>
  <c r="M68" i="2"/>
  <c r="M157" i="2"/>
  <c r="M32" i="2"/>
  <c r="M175" i="2"/>
  <c r="M16" i="2"/>
  <c r="M77" i="2"/>
  <c r="M64" i="2"/>
  <c r="M48" i="2"/>
  <c r="M95" i="2"/>
  <c r="M161" i="2"/>
  <c r="M185" i="2"/>
  <c r="M169" i="2"/>
  <c r="M193" i="2"/>
  <c r="M179" i="2"/>
  <c r="M49" i="2"/>
  <c r="M181" i="2"/>
  <c r="M85" i="2"/>
  <c r="M103" i="2"/>
  <c r="M201" i="2"/>
  <c r="M177" i="2"/>
  <c r="M172" i="2"/>
  <c r="M20" i="2"/>
  <c r="M35" i="2"/>
  <c r="M107" i="2"/>
  <c r="M13" i="2"/>
  <c r="M52" i="2"/>
  <c r="M115" i="2"/>
  <c r="M74" i="2"/>
  <c r="M291" i="2"/>
  <c r="M50" i="2"/>
  <c r="M91" i="2"/>
  <c r="M284" i="2"/>
  <c r="M203" i="2"/>
  <c r="M109" i="2"/>
  <c r="M221" i="2"/>
  <c r="M60" i="2"/>
  <c r="M24" i="2"/>
  <c r="M153" i="2"/>
  <c r="M243" i="2"/>
  <c r="M148" i="2"/>
  <c r="M59" i="2"/>
  <c r="M187" i="2"/>
  <c r="M264" i="2"/>
  <c r="M116" i="2"/>
  <c r="M46" i="2"/>
  <c r="M83" i="2"/>
  <c r="M171" i="2"/>
  <c r="M283" i="2"/>
  <c r="M259" i="2"/>
  <c r="M87" i="2"/>
  <c r="M97" i="2"/>
  <c r="M240" i="2"/>
  <c r="M245" i="2"/>
  <c r="M182" i="2"/>
  <c r="M257" i="2"/>
  <c r="M321" i="2"/>
  <c r="M222" i="2"/>
  <c r="M254" i="2"/>
  <c r="M286" i="2"/>
  <c r="M318" i="2"/>
  <c r="M82" i="2"/>
  <c r="M26" i="2"/>
  <c r="M6" i="2"/>
  <c r="M29" i="2"/>
  <c r="M3" i="2"/>
  <c r="M143" i="2"/>
  <c r="M131" i="2"/>
  <c r="M63" i="2"/>
  <c r="M66" i="2"/>
  <c r="M98" i="2"/>
  <c r="M180" i="2"/>
  <c r="M299" i="2"/>
  <c r="M244" i="2"/>
  <c r="M118" i="2"/>
  <c r="M224" i="2"/>
  <c r="M137" i="2"/>
  <c r="M28" i="2"/>
  <c r="M162" i="2"/>
  <c r="M260" i="2"/>
  <c r="M200" i="2"/>
  <c r="M94" i="2"/>
  <c r="M196" i="2"/>
  <c r="M279" i="2"/>
  <c r="M227" i="2"/>
  <c r="M56" i="2"/>
  <c r="M62" i="2"/>
  <c r="M101" i="2"/>
  <c r="M191" i="2"/>
  <c r="M300" i="2"/>
  <c r="M308" i="2"/>
  <c r="M110" i="2"/>
  <c r="M102" i="2"/>
  <c r="M255" i="2"/>
  <c r="M253" i="2"/>
  <c r="M309" i="2"/>
  <c r="M158" i="2"/>
  <c r="M265" i="2"/>
  <c r="M226" i="2"/>
  <c r="M258" i="2"/>
  <c r="M290" i="2"/>
  <c r="M322" i="2"/>
  <c r="M36" i="2"/>
  <c r="M9" i="2"/>
  <c r="M34" i="2"/>
  <c r="M15" i="2"/>
  <c r="M7" i="2"/>
  <c r="M168" i="2"/>
  <c r="M106" i="2"/>
  <c r="M316" i="2"/>
  <c r="M70" i="2"/>
  <c r="M120" i="2"/>
  <c r="M239" i="2"/>
  <c r="M188" i="2"/>
  <c r="M165" i="2"/>
  <c r="M275" i="2"/>
  <c r="M276" i="2"/>
  <c r="M112" i="2"/>
  <c r="M199" i="2"/>
  <c r="M296" i="2"/>
  <c r="M76" i="2"/>
  <c r="M67" i="2"/>
  <c r="M113" i="2"/>
  <c r="M194" i="2"/>
  <c r="M315" i="2"/>
  <c r="M47" i="2"/>
  <c r="M184" i="2"/>
  <c r="M272" i="2"/>
  <c r="M261" i="2"/>
  <c r="M209" i="2"/>
  <c r="M273" i="2"/>
  <c r="M198" i="2"/>
  <c r="M230" i="2"/>
  <c r="M262" i="2"/>
  <c r="M294" i="2"/>
  <c r="M133" i="2"/>
  <c r="M72" i="2"/>
  <c r="M122" i="2"/>
  <c r="M78" i="2"/>
  <c r="M27" i="2"/>
  <c r="M125" i="2"/>
  <c r="M269" i="2"/>
  <c r="M317" i="2"/>
  <c r="M217" i="2"/>
  <c r="M281" i="2"/>
  <c r="M234" i="2"/>
  <c r="M266" i="2"/>
  <c r="M298" i="2"/>
  <c r="M304" i="2"/>
  <c r="M289" i="2"/>
  <c r="M302" i="2"/>
  <c r="M128" i="2"/>
  <c r="M136" i="2"/>
  <c r="M319" i="2"/>
  <c r="M297" i="2"/>
  <c r="M242" i="2"/>
  <c r="M96" i="2"/>
  <c r="M30" i="2"/>
  <c r="M164" i="2"/>
  <c r="M12" i="2"/>
  <c r="M232" i="2"/>
  <c r="M14" i="2"/>
  <c r="M154" i="2"/>
  <c r="M90" i="2"/>
  <c r="M208" i="2"/>
  <c r="M241" i="2"/>
  <c r="M45" i="2"/>
  <c r="M267" i="2"/>
  <c r="M228" i="2"/>
  <c r="M176" i="2"/>
  <c r="M313" i="2"/>
  <c r="M41" i="2"/>
  <c r="M105" i="2"/>
  <c r="M211" i="2"/>
  <c r="M213" i="2"/>
  <c r="M246" i="2"/>
  <c r="M55" i="2"/>
  <c r="M151" i="2"/>
  <c r="M280" i="2"/>
  <c r="M163" i="2"/>
  <c r="M320" i="2"/>
  <c r="M42" i="2"/>
  <c r="M37" i="2"/>
  <c r="M104" i="2"/>
  <c r="M270" i="2"/>
  <c r="M4" i="2"/>
  <c r="M214" i="2"/>
  <c r="M306" i="2"/>
  <c r="M192" i="2"/>
  <c r="M61" i="2"/>
  <c r="M252" i="2"/>
  <c r="M189" i="2"/>
  <c r="M159" i="2"/>
  <c r="M251" i="2"/>
  <c r="M312" i="2"/>
  <c r="M92" i="2"/>
  <c r="M93" i="2"/>
  <c r="M114" i="2"/>
  <c r="M80" i="2"/>
  <c r="M237" i="2"/>
  <c r="M250" i="2"/>
  <c r="M18" i="2"/>
  <c r="M33" i="2"/>
  <c r="M31" i="2"/>
  <c r="M10" i="2"/>
  <c r="M111" i="2"/>
  <c r="M19" i="2"/>
  <c r="M40" i="2"/>
  <c r="M86" i="2"/>
  <c r="M71" i="2"/>
  <c r="M108" i="2"/>
  <c r="M195" i="2"/>
  <c r="M44" i="2"/>
  <c r="M178" i="2"/>
  <c r="M141" i="2"/>
  <c r="M256" i="2"/>
  <c r="M212" i="2"/>
  <c r="M53" i="2"/>
  <c r="M202" i="2"/>
  <c r="M292" i="2"/>
  <c r="M205" i="2"/>
  <c r="M311" i="2"/>
  <c r="M287" i="2"/>
  <c r="M99" i="2"/>
  <c r="M238" i="2"/>
  <c r="M236" i="2"/>
  <c r="M285" i="2"/>
  <c r="M274" i="2"/>
  <c r="M17" i="2"/>
  <c r="M140" i="2"/>
  <c r="M132" i="2"/>
  <c r="M54" i="2"/>
  <c r="M146" i="2"/>
  <c r="M305" i="2"/>
  <c r="M2" i="2"/>
  <c r="M173" i="2"/>
  <c r="M88" i="2"/>
  <c r="M268" i="2"/>
  <c r="M301" i="2"/>
  <c r="M314" i="2"/>
  <c r="M69" i="2"/>
  <c r="M139" i="2"/>
  <c r="M127" i="2"/>
  <c r="M39" i="2"/>
  <c r="M22" i="2"/>
  <c r="M38" i="2"/>
  <c r="M167" i="2"/>
  <c r="M129" i="2"/>
  <c r="M220" i="2"/>
  <c r="M295" i="2"/>
  <c r="M150" i="2"/>
  <c r="M271" i="2"/>
  <c r="M121" i="2"/>
  <c r="M204" i="2"/>
  <c r="M307" i="2"/>
  <c r="M126" i="2"/>
  <c r="M142" i="2"/>
  <c r="M215" i="2"/>
  <c r="M117" i="2"/>
  <c r="M89" i="2"/>
  <c r="M124" i="2"/>
  <c r="M219" i="2"/>
  <c r="M81" i="2"/>
  <c r="M183" i="2"/>
  <c r="M51" i="2"/>
  <c r="M134" i="2"/>
  <c r="M277" i="2"/>
  <c r="M206" i="2"/>
  <c r="M225" i="2"/>
  <c r="M174" i="2"/>
  <c r="M145" i="2"/>
  <c r="M210" i="2"/>
  <c r="M23" i="2"/>
  <c r="M100" i="2"/>
  <c r="M303" i="2"/>
  <c r="M216" i="2"/>
  <c r="M75" i="2"/>
  <c r="M278" i="2"/>
  <c r="M170" i="2"/>
  <c r="M135" i="2"/>
  <c r="M248" i="2"/>
  <c r="M218" i="2"/>
  <c r="M5" i="2"/>
  <c r="M155" i="2"/>
  <c r="M147" i="2"/>
  <c r="M25" i="2"/>
  <c r="M58" i="2"/>
  <c r="M65" i="2"/>
  <c r="M263" i="2"/>
  <c r="M79" i="2"/>
  <c r="M138" i="2"/>
  <c r="M235" i="2"/>
  <c r="M73" i="2"/>
  <c r="M11" i="2"/>
  <c r="M152" i="2"/>
  <c r="M288" i="2"/>
  <c r="M149" i="2"/>
  <c r="M130" i="2"/>
  <c r="M207" i="2"/>
  <c r="M160" i="2"/>
  <c r="M144" i="2"/>
  <c r="M229" i="2"/>
  <c r="M21" i="2"/>
  <c r="M190" i="2"/>
  <c r="M119" i="2"/>
  <c r="M233" i="2"/>
  <c r="M43" i="2"/>
  <c r="M293" i="2"/>
  <c r="M310" i="2"/>
  <c r="M123" i="2"/>
  <c r="M166" i="2"/>
  <c r="M231" i="2"/>
  <c r="M247" i="2"/>
  <c r="M156" i="2"/>
  <c r="M223" i="2"/>
  <c r="M249" i="2"/>
  <c r="M282" i="2"/>
  <c r="M186" i="2"/>
  <c r="M84" i="2"/>
  <c r="M319" i="1"/>
  <c r="M320" i="1"/>
  <c r="M317" i="1"/>
  <c r="M316" i="1"/>
  <c r="M321" i="1"/>
  <c r="M318" i="1"/>
  <c r="M107" i="1"/>
  <c r="M305" i="1"/>
  <c r="M65" i="1"/>
  <c r="M165" i="1"/>
  <c r="M193" i="1"/>
  <c r="M156" i="1"/>
  <c r="M290" i="1"/>
  <c r="M208" i="1"/>
  <c r="M41" i="1"/>
  <c r="M49" i="1"/>
  <c r="M95" i="1"/>
  <c r="M215" i="1"/>
  <c r="M258" i="1"/>
  <c r="M276" i="1"/>
  <c r="M161" i="1"/>
  <c r="M135" i="1"/>
  <c r="M64" i="1"/>
  <c r="M314" i="1"/>
  <c r="M73" i="1"/>
  <c r="M201" i="1"/>
  <c r="M202" i="1"/>
  <c r="M220" i="1"/>
  <c r="M298" i="1"/>
  <c r="M58" i="1"/>
  <c r="M11" i="1"/>
  <c r="M59" i="1"/>
  <c r="M14" i="1"/>
  <c r="M104" i="1"/>
  <c r="M241" i="1"/>
  <c r="M285" i="1"/>
  <c r="M294" i="1"/>
  <c r="M171" i="1"/>
  <c r="M162" i="1"/>
  <c r="M97" i="1"/>
  <c r="M219" i="1"/>
  <c r="M211" i="1"/>
  <c r="M228" i="1"/>
  <c r="M68" i="1"/>
  <c r="M4" i="1"/>
  <c r="M69" i="1"/>
  <c r="M33" i="1"/>
  <c r="M123" i="1"/>
  <c r="M267" i="1"/>
  <c r="M180" i="1"/>
  <c r="M198" i="1"/>
  <c r="M106" i="1"/>
  <c r="M89" i="1"/>
  <c r="M81" i="1"/>
  <c r="M28" i="1"/>
  <c r="M118" i="1"/>
  <c r="M236" i="1"/>
  <c r="M237" i="1"/>
  <c r="M255" i="1"/>
  <c r="M112" i="1"/>
  <c r="M50" i="1"/>
  <c r="M142" i="1"/>
  <c r="M293" i="1"/>
  <c r="M302" i="1"/>
  <c r="M189" i="1"/>
  <c r="M216" i="1"/>
  <c r="M144" i="1"/>
  <c r="M72" i="1"/>
  <c r="M36" i="1"/>
  <c r="M137" i="1"/>
  <c r="M254" i="1"/>
  <c r="M263" i="1"/>
  <c r="M307" i="1"/>
  <c r="M10" i="1"/>
  <c r="M131" i="1"/>
  <c r="M85" i="1"/>
  <c r="M86" i="1"/>
  <c r="M151" i="1"/>
  <c r="M57" i="1"/>
  <c r="M235" i="1"/>
  <c r="M311" i="1"/>
  <c r="M225" i="1"/>
  <c r="M234" i="1"/>
  <c r="M172" i="1"/>
  <c r="M259" i="1"/>
  <c r="M117" i="1"/>
  <c r="M45" i="1"/>
  <c r="M174" i="1"/>
  <c r="M262" i="1"/>
  <c r="M289" i="1"/>
  <c r="M22" i="1"/>
  <c r="M76" i="1"/>
  <c r="M177" i="1"/>
  <c r="M103" i="1"/>
  <c r="M113" i="1"/>
  <c r="M160" i="1"/>
  <c r="M51" i="1"/>
  <c r="M13" i="1"/>
  <c r="M251" i="1"/>
  <c r="M242" i="1"/>
  <c r="M181" i="1"/>
  <c r="M114" i="1"/>
  <c r="M126" i="1"/>
  <c r="M55" i="1"/>
  <c r="M183" i="1"/>
  <c r="M271" i="1"/>
  <c r="M306" i="1"/>
  <c r="M98" i="1"/>
  <c r="M31" i="1"/>
  <c r="M94" i="1"/>
  <c r="M213" i="1"/>
  <c r="M122" i="1"/>
  <c r="M132" i="1"/>
  <c r="M169" i="1"/>
  <c r="M133" i="1"/>
  <c r="M87" i="1"/>
  <c r="M277" i="1"/>
  <c r="M260" i="1"/>
  <c r="M190" i="1"/>
  <c r="M265" i="1"/>
  <c r="M154" i="1"/>
  <c r="M91" i="1"/>
  <c r="M192" i="1"/>
  <c r="M280" i="1"/>
  <c r="M47" i="1"/>
  <c r="M48" i="1"/>
  <c r="M102" i="1"/>
  <c r="M239" i="1"/>
  <c r="M141" i="1"/>
  <c r="M187" i="1"/>
  <c r="M196" i="1"/>
  <c r="M43" i="1"/>
  <c r="M178" i="1"/>
  <c r="M303" i="1"/>
  <c r="M268" i="1"/>
  <c r="M199" i="1"/>
  <c r="M153" i="1"/>
  <c r="M173" i="1"/>
  <c r="M99" i="1"/>
  <c r="M210" i="1"/>
  <c r="M288" i="1"/>
  <c r="M44" i="1"/>
  <c r="M120" i="1"/>
  <c r="M84" i="1"/>
  <c r="M121" i="1"/>
  <c r="M256" i="1"/>
  <c r="M150" i="1"/>
  <c r="M214" i="1"/>
  <c r="M223" i="1"/>
  <c r="M61" i="1"/>
  <c r="M25" i="1"/>
  <c r="M287" i="1"/>
  <c r="M295" i="1"/>
  <c r="M217" i="1"/>
  <c r="M250" i="1"/>
  <c r="M182" i="1"/>
  <c r="M108" i="1"/>
  <c r="M218" i="1"/>
  <c r="M163" i="1"/>
  <c r="M29" i="1"/>
  <c r="M139" i="1"/>
  <c r="M93" i="1"/>
  <c r="M140" i="1"/>
  <c r="M274" i="1"/>
  <c r="M159" i="1"/>
  <c r="M222" i="1"/>
  <c r="M249" i="1"/>
  <c r="M96" i="1"/>
  <c r="M52" i="1"/>
  <c r="M21" i="1"/>
  <c r="M145" i="1"/>
  <c r="M243" i="1"/>
  <c r="M129" i="1"/>
  <c r="M191" i="1"/>
  <c r="M127" i="1"/>
  <c r="M245" i="1"/>
  <c r="M19" i="1"/>
  <c r="M46" i="1"/>
  <c r="M148" i="1"/>
  <c r="M111" i="1"/>
  <c r="M149" i="1"/>
  <c r="M282" i="1"/>
  <c r="M168" i="1"/>
  <c r="M240" i="1"/>
  <c r="M266" i="1"/>
  <c r="M105" i="1"/>
  <c r="M70" i="1"/>
  <c r="M40" i="1"/>
  <c r="M312" i="1"/>
  <c r="M20" i="1"/>
  <c r="M269" i="1"/>
  <c r="M77" i="1"/>
  <c r="M200" i="1"/>
  <c r="M136" i="1"/>
  <c r="M297" i="1"/>
  <c r="M38" i="1"/>
  <c r="M3" i="1"/>
  <c r="M157" i="1"/>
  <c r="M130" i="1"/>
  <c r="M158" i="1"/>
  <c r="M291" i="1"/>
  <c r="M186" i="1"/>
  <c r="M248" i="1"/>
  <c r="M284" i="1"/>
  <c r="M124" i="1"/>
  <c r="M197" i="1"/>
  <c r="M39" i="1"/>
  <c r="M101" i="1"/>
  <c r="M286" i="1"/>
  <c r="M209" i="1"/>
  <c r="M155" i="1"/>
  <c r="M66" i="1"/>
  <c r="M12" i="1"/>
  <c r="M185" i="1"/>
  <c r="M166" i="1"/>
  <c r="M167" i="1"/>
  <c r="M300" i="1"/>
  <c r="M205" i="1"/>
  <c r="M275" i="1"/>
  <c r="M292" i="1"/>
  <c r="M143" i="1"/>
  <c r="M79" i="1"/>
  <c r="M8" i="1"/>
  <c r="M6" i="1"/>
  <c r="M42" i="1"/>
  <c r="M304" i="1"/>
  <c r="M67" i="1"/>
  <c r="M226" i="1"/>
  <c r="M164" i="1"/>
  <c r="M315" i="1"/>
  <c r="M30" i="1"/>
  <c r="M194" i="1"/>
  <c r="M221" i="1"/>
  <c r="M176" i="1"/>
  <c r="M308" i="1"/>
  <c r="M231" i="1"/>
  <c r="M301" i="1"/>
  <c r="M152" i="1"/>
  <c r="M88" i="1"/>
  <c r="M34" i="1"/>
  <c r="M78" i="1"/>
  <c r="M9" i="1"/>
  <c r="M32" i="1"/>
  <c r="M244" i="1"/>
  <c r="M227" i="1"/>
  <c r="M80" i="1"/>
  <c r="M82" i="1"/>
  <c r="M56" i="1"/>
  <c r="M203" i="1"/>
  <c r="M247" i="1"/>
  <c r="M195" i="1"/>
  <c r="M257" i="1"/>
  <c r="M170" i="1"/>
  <c r="M115" i="1"/>
  <c r="M18" i="1"/>
  <c r="M281" i="1"/>
  <c r="M252" i="1"/>
  <c r="M253" i="1"/>
  <c r="M119" i="1"/>
  <c r="M75" i="1"/>
  <c r="M229" i="1"/>
  <c r="M273" i="1"/>
  <c r="M204" i="1"/>
  <c r="M90" i="1"/>
  <c r="M283" i="1"/>
  <c r="M27" i="1"/>
  <c r="M310" i="1"/>
  <c r="M179" i="1"/>
  <c r="M134" i="1"/>
  <c r="M62" i="1"/>
  <c r="M7" i="1"/>
  <c r="M26" i="1"/>
  <c r="M313" i="1"/>
  <c r="M261" i="1"/>
  <c r="M279" i="1"/>
  <c r="M92" i="1"/>
  <c r="M138" i="1"/>
  <c r="M246" i="1"/>
  <c r="M299" i="1"/>
  <c r="M212" i="1"/>
  <c r="M37" i="1"/>
  <c r="M83" i="1"/>
  <c r="M54" i="1"/>
  <c r="M206" i="1"/>
  <c r="M188" i="1"/>
  <c r="M71" i="1"/>
  <c r="M16" i="1"/>
  <c r="M35" i="1"/>
  <c r="M184" i="1"/>
  <c r="M270" i="1"/>
  <c r="M296" i="1"/>
  <c r="M109" i="1"/>
  <c r="M147" i="1"/>
  <c r="M100" i="1"/>
  <c r="M264" i="1"/>
  <c r="M230" i="1"/>
  <c r="M23" i="1"/>
  <c r="M309" i="1"/>
  <c r="M15" i="1"/>
  <c r="M2" i="1"/>
  <c r="M224" i="1"/>
  <c r="M207" i="1"/>
  <c r="M17" i="1"/>
  <c r="M63" i="1"/>
  <c r="M146" i="1"/>
  <c r="M278" i="1"/>
  <c r="M116" i="1"/>
  <c r="M128" i="1"/>
  <c r="M175" i="1"/>
  <c r="M110" i="1"/>
  <c r="M272" i="1"/>
  <c r="M238" i="1"/>
  <c r="M5" i="1"/>
  <c r="M74" i="1"/>
  <c r="M60" i="1"/>
  <c r="M24" i="1"/>
  <c r="M232" i="1"/>
  <c r="M233" i="1"/>
  <c r="M125" i="1"/>
  <c r="M53" i="1"/>
  <c r="M116" i="5" l="1"/>
  <c r="M50" i="5"/>
  <c r="M106" i="5"/>
  <c r="M296" i="5"/>
  <c r="M128" i="5"/>
  <c r="M262" i="5"/>
  <c r="M148" i="5"/>
  <c r="M138" i="5"/>
  <c r="M77" i="5"/>
  <c r="M242" i="5"/>
  <c r="M60" i="5"/>
  <c r="M283" i="5"/>
  <c r="M230" i="5"/>
  <c r="M123" i="5"/>
  <c r="M129" i="5"/>
  <c r="M117" i="5"/>
  <c r="M240" i="5"/>
  <c r="M290" i="5"/>
  <c r="M67" i="5"/>
  <c r="M161" i="5"/>
  <c r="M291" i="5"/>
  <c r="M12" i="5"/>
  <c r="M322" i="5"/>
  <c r="M9" i="5"/>
  <c r="M200" i="5"/>
  <c r="M27" i="5"/>
  <c r="M205" i="5"/>
  <c r="M86" i="5"/>
  <c r="M275" i="5"/>
  <c r="M162" i="5"/>
  <c r="M227" i="5"/>
  <c r="M92" i="5"/>
  <c r="M74" i="5"/>
  <c r="M313" i="5"/>
  <c r="M241" i="5"/>
  <c r="M43" i="5"/>
  <c r="M289" i="5"/>
  <c r="M90" i="5"/>
  <c r="M36" i="5"/>
  <c r="M97" i="5"/>
  <c r="M133" i="5"/>
  <c r="M217" i="5"/>
  <c r="M176" i="5"/>
  <c r="M209" i="5"/>
  <c r="M11" i="5"/>
  <c r="M264" i="5"/>
  <c r="M310" i="5"/>
  <c r="M14" i="5"/>
  <c r="M66" i="5"/>
  <c r="M261" i="5"/>
  <c r="M251" i="5"/>
  <c r="M247" i="5"/>
  <c r="M153" i="5"/>
  <c r="M89" i="5"/>
  <c r="M76" i="5"/>
  <c r="M99" i="5"/>
  <c r="M132" i="5"/>
  <c r="M166" i="5"/>
  <c r="M309" i="5"/>
  <c r="M243" i="5"/>
  <c r="M225" i="5"/>
  <c r="M279" i="5"/>
  <c r="M38" i="5"/>
  <c r="M6" i="5"/>
  <c r="M141" i="5"/>
  <c r="M194" i="5"/>
  <c r="M63" i="5"/>
  <c r="M151" i="5"/>
  <c r="M158" i="5"/>
  <c r="M280" i="5"/>
  <c r="M278" i="5"/>
  <c r="M7" i="5"/>
  <c r="M32" i="5"/>
  <c r="M244" i="5"/>
  <c r="M208" i="5"/>
  <c r="M127" i="5"/>
  <c r="M78" i="5"/>
  <c r="M120" i="5"/>
  <c r="M191" i="5"/>
  <c r="M110" i="5"/>
  <c r="M140" i="5"/>
  <c r="M272" i="5"/>
  <c r="M64" i="5"/>
  <c r="M256" i="5"/>
  <c r="M198" i="5"/>
  <c r="M94" i="5"/>
  <c r="M274" i="5"/>
  <c r="M46" i="5"/>
  <c r="M298" i="5"/>
  <c r="M293" i="5"/>
  <c r="M87" i="5"/>
  <c r="M212" i="5"/>
  <c r="M113" i="5"/>
  <c r="M167" i="5"/>
  <c r="M271" i="5"/>
  <c r="M73" i="5"/>
  <c r="M195" i="5"/>
  <c r="M316" i="5"/>
  <c r="M215" i="5"/>
  <c r="M23" i="5"/>
  <c r="M249" i="5"/>
  <c r="M315" i="5"/>
  <c r="M131" i="5"/>
  <c r="M234" i="5"/>
  <c r="M226" i="5"/>
  <c r="M229" i="5"/>
  <c r="M300" i="5"/>
  <c r="M107" i="5"/>
  <c r="M98" i="5"/>
  <c r="M318" i="5"/>
  <c r="M175" i="5"/>
  <c r="M178" i="5"/>
  <c r="M88" i="5"/>
  <c r="M21" i="5"/>
  <c r="M252" i="5"/>
  <c r="M65" i="5"/>
  <c r="M10" i="5"/>
  <c r="M49" i="5"/>
  <c r="M246" i="5"/>
  <c r="M192" i="5"/>
  <c r="M232" i="5"/>
  <c r="M93" i="5"/>
  <c r="M174" i="5"/>
  <c r="M119" i="5"/>
  <c r="M137" i="5"/>
  <c r="M5" i="5"/>
  <c r="M206" i="5"/>
  <c r="M286" i="5"/>
  <c r="M287" i="5"/>
  <c r="M144" i="5"/>
  <c r="M312" i="5"/>
  <c r="M125" i="5"/>
  <c r="M193" i="5"/>
  <c r="M91" i="5"/>
  <c r="M171" i="5"/>
  <c r="M224" i="5"/>
  <c r="M214" i="5"/>
  <c r="M179" i="5"/>
  <c r="M307" i="5"/>
  <c r="M189" i="5"/>
  <c r="M180" i="5"/>
  <c r="M228" i="5"/>
  <c r="M75" i="5"/>
  <c r="M101" i="5"/>
  <c r="M96" i="5"/>
  <c r="M222" i="5"/>
  <c r="M223" i="5"/>
  <c r="M121" i="5"/>
  <c r="M85" i="5"/>
  <c r="M282" i="5"/>
  <c r="M284" i="5"/>
  <c r="M203" i="5"/>
  <c r="M255" i="5"/>
  <c r="M52" i="5"/>
  <c r="M321" i="5"/>
  <c r="M236" i="5"/>
  <c r="M17" i="5"/>
  <c r="M184" i="5"/>
  <c r="M221" i="5"/>
  <c r="M177" i="5"/>
  <c r="M95" i="5"/>
  <c r="M19" i="5"/>
  <c r="M299" i="5"/>
  <c r="M111" i="5"/>
  <c r="M216" i="5"/>
  <c r="M24" i="5"/>
  <c r="M135" i="5"/>
  <c r="M281" i="5"/>
  <c r="M182" i="5"/>
  <c r="M16" i="5"/>
  <c r="M29" i="5"/>
  <c r="M84" i="5"/>
  <c r="M164" i="5"/>
  <c r="M79" i="5"/>
  <c r="M56" i="5"/>
  <c r="M259" i="5"/>
  <c r="M201" i="5"/>
  <c r="M170" i="5"/>
  <c r="M39" i="5"/>
  <c r="M276" i="5"/>
  <c r="M44" i="5"/>
  <c r="M319" i="5"/>
  <c r="M311" i="5"/>
  <c r="M183" i="5"/>
  <c r="M173" i="5"/>
  <c r="M104" i="5"/>
  <c r="M301" i="5"/>
  <c r="M156" i="5"/>
  <c r="M2" i="5"/>
  <c r="M294" i="5"/>
  <c r="M268" i="5"/>
  <c r="M55" i="5"/>
  <c r="M40" i="5"/>
  <c r="M25" i="5"/>
  <c r="M204" i="5"/>
  <c r="M305" i="5"/>
  <c r="M80" i="5"/>
  <c r="M81" i="5"/>
  <c r="M163" i="5"/>
  <c r="M304" i="5"/>
  <c r="M34" i="5"/>
  <c r="M3" i="5"/>
  <c r="M285" i="5"/>
  <c r="M273" i="5"/>
  <c r="M58" i="5"/>
  <c r="M59" i="5"/>
  <c r="M270" i="5"/>
  <c r="M277" i="5"/>
  <c r="M100" i="5"/>
  <c r="M72" i="5"/>
  <c r="M122" i="5"/>
  <c r="M314" i="5"/>
  <c r="M207" i="5"/>
  <c r="M37" i="5"/>
  <c r="M248" i="5"/>
  <c r="M130" i="4"/>
  <c r="M53" i="4"/>
  <c r="M194" i="4"/>
  <c r="M239" i="4"/>
  <c r="M225" i="4"/>
  <c r="M260" i="4"/>
  <c r="M304" i="4"/>
  <c r="M46" i="4"/>
  <c r="M269" i="4"/>
  <c r="M230" i="4"/>
  <c r="M166" i="4"/>
  <c r="M77" i="4"/>
  <c r="M253" i="4"/>
  <c r="M150" i="4"/>
  <c r="M9" i="4"/>
  <c r="M279" i="4"/>
  <c r="M249" i="4"/>
  <c r="M161" i="4"/>
  <c r="M168" i="4"/>
  <c r="M84" i="4"/>
  <c r="M287" i="4"/>
  <c r="M271" i="4"/>
  <c r="M312" i="4"/>
  <c r="M204" i="4"/>
  <c r="M96" i="4"/>
  <c r="M5" i="4"/>
  <c r="M80" i="4"/>
  <c r="M106" i="4"/>
  <c r="M61" i="4"/>
  <c r="M22" i="4"/>
  <c r="M311" i="4"/>
  <c r="M247" i="4"/>
  <c r="M21" i="4"/>
  <c r="M74" i="4"/>
  <c r="M309" i="4"/>
  <c r="M251" i="4"/>
  <c r="M113" i="4"/>
  <c r="M283" i="4"/>
  <c r="M185" i="4"/>
  <c r="M3" i="4"/>
  <c r="M317" i="4"/>
  <c r="M236" i="4"/>
  <c r="M20" i="4"/>
  <c r="M280" i="4"/>
  <c r="M104" i="4"/>
  <c r="M72" i="4"/>
  <c r="M28" i="4"/>
  <c r="M129" i="4"/>
  <c r="M298" i="4"/>
  <c r="M29" i="4"/>
  <c r="M149" i="4"/>
  <c r="M303" i="4"/>
  <c r="M154" i="4"/>
  <c r="M142" i="4"/>
  <c r="M93" i="4"/>
  <c r="M172" i="4"/>
  <c r="M117" i="4"/>
  <c r="M67" i="4"/>
  <c r="M131" i="4"/>
  <c r="M267" i="4"/>
  <c r="M52" i="4"/>
  <c r="M158" i="4"/>
  <c r="M33" i="4"/>
  <c r="M55" i="4"/>
  <c r="M78" i="4"/>
  <c r="M248" i="4"/>
  <c r="M68" i="4"/>
  <c r="M147" i="4"/>
  <c r="M308" i="4"/>
  <c r="M315" i="4"/>
  <c r="M288" i="4"/>
  <c r="M162" i="4"/>
  <c r="M69" i="4"/>
  <c r="M224" i="4"/>
  <c r="M8" i="4"/>
  <c r="M240" i="4"/>
  <c r="M89" i="4"/>
  <c r="M137" i="4"/>
  <c r="M121" i="4"/>
  <c r="M165" i="4"/>
  <c r="M238" i="4"/>
  <c r="M94" i="4"/>
  <c r="M115" i="4"/>
  <c r="M301" i="4"/>
  <c r="M229" i="4"/>
  <c r="M88" i="4"/>
  <c r="M153" i="4"/>
  <c r="M83" i="4"/>
  <c r="M242" i="4"/>
  <c r="M320" i="4"/>
  <c r="M54" i="4"/>
  <c r="M119" i="4"/>
  <c r="M90" i="4"/>
  <c r="M97" i="4"/>
  <c r="M188" i="4"/>
  <c r="M140" i="4"/>
  <c r="M132" i="4"/>
  <c r="M276" i="4"/>
  <c r="M300" i="4"/>
  <c r="M160" i="4"/>
  <c r="P178" i="6"/>
  <c r="P304" i="6"/>
  <c r="P297" i="6"/>
  <c r="P9" i="6"/>
  <c r="P216" i="6"/>
  <c r="O2" i="6"/>
  <c r="P18" i="6" s="1"/>
  <c r="P184" i="6"/>
  <c r="P223" i="6"/>
  <c r="P97" i="6"/>
  <c r="P265" i="6"/>
  <c r="P221" i="6"/>
  <c r="P34" i="6"/>
  <c r="P131" i="6"/>
  <c r="P140" i="6"/>
  <c r="P192" i="6"/>
  <c r="P195" i="6"/>
  <c r="P152" i="6"/>
  <c r="P209" i="6"/>
  <c r="P13" i="6"/>
  <c r="P247" i="6"/>
  <c r="P232" i="6"/>
  <c r="P222" i="6"/>
  <c r="P27" i="6"/>
  <c r="P50" i="6"/>
  <c r="P295" i="6"/>
  <c r="P143" i="6"/>
  <c r="P231" i="6"/>
  <c r="P176" i="6"/>
  <c r="P35" i="6"/>
  <c r="P274" i="6"/>
  <c r="P79" i="6"/>
  <c r="P10" i="6"/>
  <c r="P181" i="6"/>
  <c r="M54" i="5"/>
  <c r="M26" i="5"/>
  <c r="M8" i="5"/>
  <c r="M218" i="5"/>
  <c r="M160" i="5"/>
  <c r="M105" i="5"/>
  <c r="M31" i="5"/>
  <c r="M306" i="5"/>
  <c r="M295" i="5"/>
  <c r="M33" i="5"/>
  <c r="M250" i="5"/>
  <c r="M257" i="5"/>
  <c r="M145" i="5"/>
  <c r="M159" i="5"/>
  <c r="M83" i="5"/>
  <c r="M114" i="5"/>
  <c r="M168" i="5"/>
  <c r="M199" i="5"/>
  <c r="M118" i="5"/>
  <c r="M235" i="5"/>
  <c r="M266" i="5"/>
  <c r="M143" i="5"/>
  <c r="M51" i="5"/>
  <c r="M53" i="5"/>
  <c r="M82" i="5"/>
  <c r="M210" i="5"/>
  <c r="M4" i="5"/>
  <c r="M211" i="5"/>
  <c r="M147" i="5"/>
  <c r="M187" i="5"/>
  <c r="M220" i="5"/>
  <c r="M35" i="5"/>
  <c r="M320" i="5"/>
  <c r="M181" i="5"/>
  <c r="M197" i="5"/>
  <c r="M124" i="5"/>
  <c r="M61" i="5"/>
  <c r="M292" i="5"/>
  <c r="M238" i="5"/>
  <c r="M115" i="5"/>
  <c r="M47" i="5"/>
  <c r="M190" i="5"/>
  <c r="M155" i="5"/>
  <c r="M42" i="5"/>
  <c r="M71" i="5"/>
  <c r="M109" i="5"/>
  <c r="M134" i="5"/>
  <c r="M288" i="5"/>
  <c r="M231" i="5"/>
  <c r="M233" i="5"/>
  <c r="M258" i="5"/>
  <c r="M186" i="5"/>
  <c r="M68" i="5"/>
  <c r="M18" i="5"/>
  <c r="M267" i="5"/>
  <c r="M202" i="5"/>
  <c r="M254" i="5"/>
  <c r="M48" i="5"/>
  <c r="M317" i="5"/>
  <c r="M15" i="5"/>
  <c r="M41" i="5"/>
  <c r="M196" i="5"/>
  <c r="M265" i="5"/>
  <c r="M142" i="5"/>
  <c r="M22" i="5"/>
  <c r="M20" i="5"/>
  <c r="M188" i="5"/>
  <c r="M297" i="5"/>
  <c r="M30" i="5"/>
  <c r="M253" i="5"/>
  <c r="M149" i="5"/>
  <c r="M139" i="5"/>
  <c r="M103" i="5"/>
  <c r="M70" i="5"/>
  <c r="M165" i="5"/>
  <c r="M50" i="4"/>
  <c r="M261" i="4"/>
  <c r="M266" i="4"/>
  <c r="M206" i="4"/>
  <c r="M285" i="4"/>
  <c r="M43" i="4"/>
  <c r="M85" i="4"/>
  <c r="M281" i="4"/>
  <c r="M209" i="4"/>
  <c r="M210" i="4"/>
  <c r="M16" i="4"/>
  <c r="M76" i="4"/>
  <c r="M170" i="4"/>
  <c r="M273" i="4"/>
  <c r="M4" i="4"/>
  <c r="M42" i="4"/>
  <c r="M246" i="4"/>
  <c r="M146" i="4"/>
  <c r="M110" i="4"/>
  <c r="M156" i="4"/>
  <c r="M27" i="4"/>
  <c r="M124" i="4"/>
  <c r="M73" i="4"/>
  <c r="M187" i="4"/>
  <c r="M151" i="4"/>
  <c r="M155" i="4"/>
  <c r="M2" i="4"/>
  <c r="M128" i="4"/>
  <c r="M112" i="4"/>
  <c r="M189" i="4"/>
  <c r="M127" i="4"/>
  <c r="M255" i="4"/>
  <c r="M306" i="4"/>
  <c r="M138" i="4"/>
  <c r="M198" i="4"/>
  <c r="M123" i="4"/>
  <c r="M98" i="4"/>
  <c r="M211" i="4"/>
  <c r="M212" i="4"/>
  <c r="M284" i="4"/>
  <c r="M65" i="4"/>
  <c r="M243" i="4"/>
  <c r="M234" i="4"/>
  <c r="M295" i="4"/>
  <c r="M178" i="4"/>
  <c r="M241" i="4"/>
  <c r="M134" i="4"/>
  <c r="M180" i="4"/>
  <c r="M49" i="4"/>
  <c r="M95" i="4"/>
  <c r="M19" i="4"/>
  <c r="M6" i="4"/>
  <c r="M114" i="4"/>
  <c r="M125" i="4"/>
  <c r="M175" i="4"/>
  <c r="M64" i="4"/>
  <c r="M319" i="4"/>
  <c r="M318" i="4"/>
  <c r="M201" i="4"/>
  <c r="M92" i="4"/>
  <c r="M191" i="4"/>
  <c r="M202" i="4"/>
  <c r="M294" i="4"/>
  <c r="M257" i="4"/>
  <c r="M82" i="4"/>
  <c r="M24" i="4"/>
  <c r="M58" i="4"/>
  <c r="M296" i="4"/>
  <c r="M181" i="4"/>
  <c r="M213" i="4"/>
  <c r="M143" i="4"/>
  <c r="M15" i="4"/>
  <c r="M274" i="4"/>
  <c r="M182" i="4"/>
  <c r="M107" i="4"/>
  <c r="M56" i="4"/>
  <c r="M203" i="4"/>
  <c r="M126" i="4"/>
  <c r="M272" i="4"/>
  <c r="M91" i="4"/>
  <c r="M108" i="4"/>
  <c r="M145" i="4"/>
  <c r="M214" i="4"/>
  <c r="M148" i="4"/>
  <c r="M86" i="4"/>
  <c r="M87" i="4"/>
  <c r="M71" i="4"/>
  <c r="M118" i="4"/>
  <c r="M268" i="4"/>
  <c r="M40" i="4"/>
  <c r="M47" i="4"/>
  <c r="M103" i="4"/>
  <c r="M237" i="4"/>
  <c r="M179" i="4"/>
  <c r="M62" i="4"/>
  <c r="M244" i="4"/>
  <c r="M233" i="4"/>
  <c r="M286" i="4"/>
  <c r="M275" i="4"/>
  <c r="M37" i="4"/>
  <c r="M157" i="4"/>
  <c r="M36" i="4"/>
  <c r="M314" i="4"/>
  <c r="M163" i="4"/>
  <c r="M14" i="4"/>
  <c r="M169" i="4"/>
  <c r="M99" i="4"/>
  <c r="M70" i="4"/>
  <c r="M183" i="4"/>
  <c r="M173" i="4"/>
  <c r="M38" i="4"/>
  <c r="M133" i="4"/>
  <c r="M299" i="4"/>
  <c r="M292" i="4"/>
  <c r="M11" i="4"/>
  <c r="M31" i="4"/>
  <c r="M316" i="4"/>
  <c r="M307" i="4"/>
  <c r="M167" i="4"/>
  <c r="M222" i="4"/>
  <c r="M63" i="4"/>
  <c r="M322" i="4"/>
  <c r="M289" i="4"/>
  <c r="M100" i="4"/>
  <c r="M199" i="4"/>
  <c r="M13" i="4"/>
  <c r="M200" i="4"/>
  <c r="M254" i="4"/>
  <c r="M177" i="4"/>
  <c r="M259" i="4"/>
  <c r="M159" i="4"/>
  <c r="M310" i="4"/>
  <c r="M282" i="4"/>
  <c r="M231" i="4"/>
  <c r="M252" i="4"/>
  <c r="M81" i="4"/>
  <c r="M176" i="4"/>
  <c r="M216" i="4"/>
  <c r="M232" i="4"/>
  <c r="M208" i="4"/>
  <c r="M139" i="4"/>
  <c r="M12" i="4"/>
  <c r="M313" i="4"/>
  <c r="M17" i="4"/>
  <c r="M291" i="4"/>
  <c r="M207" i="4"/>
  <c r="M302" i="4"/>
  <c r="M321" i="4"/>
  <c r="M305" i="4"/>
  <c r="M101" i="4"/>
  <c r="M57" i="4"/>
  <c r="M18" i="4"/>
  <c r="M190" i="4"/>
  <c r="M174" i="4"/>
  <c r="M228" i="4"/>
  <c r="M35" i="4"/>
  <c r="M45" i="4"/>
  <c r="M196" i="4"/>
  <c r="M60" i="4"/>
  <c r="M26" i="4"/>
  <c r="M79" i="4"/>
  <c r="M290" i="4"/>
  <c r="M186" i="4"/>
  <c r="M265" i="4"/>
  <c r="M34" i="4"/>
  <c r="M7" i="4"/>
  <c r="M297" i="4"/>
  <c r="M293" i="4"/>
  <c r="M245" i="4"/>
  <c r="M144" i="4"/>
  <c r="M32" i="4"/>
  <c r="M226" i="4"/>
  <c r="M250" i="4"/>
  <c r="M193" i="4"/>
  <c r="M136" i="4"/>
  <c r="M10" i="4"/>
  <c r="M141" i="4"/>
  <c r="M205" i="4"/>
  <c r="M39" i="4"/>
  <c r="M197" i="4"/>
  <c r="M44" i="4"/>
  <c r="M102" i="4"/>
  <c r="M111" i="4"/>
  <c r="M223" i="4"/>
  <c r="M227" i="4"/>
  <c r="M109" i="4"/>
  <c r="M51" i="4"/>
  <c r="M270" i="4"/>
  <c r="M220" i="4"/>
  <c r="M195" i="4"/>
  <c r="M66" i="4"/>
  <c r="M256" i="4"/>
  <c r="M59" i="4"/>
  <c r="M122" i="4"/>
  <c r="M215" i="4"/>
  <c r="M75" i="4"/>
  <c r="M23" i="4"/>
  <c r="M262" i="4"/>
  <c r="M277" i="4"/>
  <c r="M217" i="4"/>
  <c r="M48" i="4"/>
  <c r="M278" i="4"/>
  <c r="M258" i="4"/>
  <c r="M263" i="4"/>
  <c r="M164" i="4"/>
  <c r="M219" i="4"/>
  <c r="M25" i="4"/>
  <c r="M135" i="4"/>
  <c r="M171" i="4"/>
  <c r="M218" i="4"/>
  <c r="M41" i="4"/>
  <c r="M116" i="4"/>
  <c r="M184" i="4"/>
  <c r="M235" i="4"/>
  <c r="M105" i="4"/>
  <c r="M30" i="4"/>
  <c r="M152" i="4"/>
  <c r="M120" i="4"/>
  <c r="M264" i="4"/>
  <c r="M192" i="4"/>
  <c r="O2" i="3"/>
  <c r="P162" i="3" s="1"/>
  <c r="O2" i="2"/>
  <c r="P57" i="2" s="1"/>
  <c r="O2" i="1"/>
  <c r="P94" i="6" l="1"/>
  <c r="P42" i="6"/>
  <c r="P19" i="6"/>
  <c r="P230" i="6"/>
  <c r="O2" i="5"/>
  <c r="O2" i="4"/>
  <c r="P311" i="4" s="1"/>
  <c r="P15" i="2"/>
  <c r="P308" i="6"/>
  <c r="P153" i="6"/>
  <c r="P187" i="6"/>
  <c r="P73" i="6"/>
  <c r="P154" i="6"/>
  <c r="P57" i="6"/>
  <c r="P61" i="6"/>
  <c r="P129" i="6"/>
  <c r="P68" i="6"/>
  <c r="P280" i="6"/>
  <c r="P188" i="6"/>
  <c r="P109" i="6"/>
  <c r="P16" i="6"/>
  <c r="P92" i="6"/>
  <c r="P156" i="6"/>
  <c r="P149" i="6"/>
  <c r="P210" i="6"/>
  <c r="P215" i="6"/>
  <c r="P260" i="6"/>
  <c r="P52" i="6"/>
  <c r="P289" i="6"/>
  <c r="P158" i="6"/>
  <c r="P43" i="6"/>
  <c r="P211" i="6"/>
  <c r="P225" i="6"/>
  <c r="P240" i="6"/>
  <c r="P119" i="6"/>
  <c r="P244" i="6"/>
  <c r="P250" i="6"/>
  <c r="P120" i="6"/>
  <c r="P252" i="6"/>
  <c r="P107" i="6"/>
  <c r="P84" i="6"/>
  <c r="P219" i="6"/>
  <c r="P17" i="6"/>
  <c r="P141" i="6"/>
  <c r="P111" i="6"/>
  <c r="P182" i="6"/>
  <c r="P242" i="6"/>
  <c r="P239" i="6"/>
  <c r="P130" i="6"/>
  <c r="P320" i="6"/>
  <c r="P183" i="6"/>
  <c r="P278" i="6"/>
  <c r="P133" i="6"/>
  <c r="P75" i="6"/>
  <c r="P67" i="6"/>
  <c r="P299" i="6"/>
  <c r="P46" i="6"/>
  <c r="P114" i="6"/>
  <c r="P3" i="6"/>
  <c r="P7" i="6"/>
  <c r="P40" i="6"/>
  <c r="P268" i="6"/>
  <c r="P294" i="6"/>
  <c r="P281" i="6"/>
  <c r="P44" i="6"/>
  <c r="P199" i="6"/>
  <c r="P147" i="6"/>
  <c r="P275" i="6"/>
  <c r="P93" i="6"/>
  <c r="P257" i="6"/>
  <c r="P135" i="6"/>
  <c r="P157" i="6"/>
  <c r="P160" i="6"/>
  <c r="P179" i="6"/>
  <c r="P166" i="6"/>
  <c r="P95" i="6"/>
  <c r="P262" i="6"/>
  <c r="P315" i="6"/>
  <c r="P198" i="6"/>
  <c r="P15" i="6"/>
  <c r="P25" i="6"/>
  <c r="P177" i="6"/>
  <c r="P273" i="6"/>
  <c r="P115" i="6"/>
  <c r="P255" i="6"/>
  <c r="P305" i="6"/>
  <c r="P125" i="6"/>
  <c r="P148" i="6"/>
  <c r="P29" i="6"/>
  <c r="P5" i="6"/>
  <c r="P206" i="6"/>
  <c r="P32" i="6"/>
  <c r="P202" i="6"/>
  <c r="P137" i="6"/>
  <c r="P98" i="6"/>
  <c r="P180" i="6"/>
  <c r="P205" i="6"/>
  <c r="P82" i="6"/>
  <c r="P77" i="6"/>
  <c r="P228" i="6"/>
  <c r="P298" i="6"/>
  <c r="P123" i="6"/>
  <c r="P47" i="6"/>
  <c r="P88" i="6"/>
  <c r="P128" i="6"/>
  <c r="P258" i="6"/>
  <c r="P126" i="6"/>
  <c r="P48" i="6"/>
  <c r="P288" i="6"/>
  <c r="P69" i="6"/>
  <c r="P174" i="6"/>
  <c r="P233" i="6"/>
  <c r="P31" i="6"/>
  <c r="P49" i="6"/>
  <c r="P309" i="6"/>
  <c r="P300" i="6"/>
  <c r="P72" i="6"/>
  <c r="P164" i="6"/>
  <c r="P201" i="6"/>
  <c r="P138" i="6"/>
  <c r="P91" i="6"/>
  <c r="P283" i="6"/>
  <c r="P173" i="6"/>
  <c r="P59" i="6"/>
  <c r="P118" i="6"/>
  <c r="P146" i="6"/>
  <c r="P241" i="6"/>
  <c r="P314" i="6"/>
  <c r="P251" i="6"/>
  <c r="P224" i="6"/>
  <c r="P96" i="6"/>
  <c r="P193" i="6"/>
  <c r="P259" i="6"/>
  <c r="P117" i="6"/>
  <c r="P254" i="6"/>
  <c r="P55" i="6"/>
  <c r="P306" i="6"/>
  <c r="P307" i="6"/>
  <c r="P155" i="6"/>
  <c r="P66" i="6"/>
  <c r="P139" i="6"/>
  <c r="P169" i="6"/>
  <c r="P99" i="6"/>
  <c r="P319" i="6"/>
  <c r="P161" i="6"/>
  <c r="P124" i="6"/>
  <c r="P186" i="6"/>
  <c r="P266" i="6"/>
  <c r="P279" i="6"/>
  <c r="P110" i="6"/>
  <c r="P21" i="6"/>
  <c r="P316" i="6"/>
  <c r="P196" i="6"/>
  <c r="P51" i="6"/>
  <c r="P229" i="6"/>
  <c r="P267" i="6"/>
  <c r="P145" i="6"/>
  <c r="P214" i="6"/>
  <c r="P246" i="6"/>
  <c r="P2" i="6"/>
  <c r="P310" i="6"/>
  <c r="P170" i="6"/>
  <c r="P245" i="6"/>
  <c r="P116" i="6"/>
  <c r="P311" i="6"/>
  <c r="P261" i="6"/>
  <c r="P20" i="6"/>
  <c r="P226" i="6"/>
  <c r="P208" i="6"/>
  <c r="P102" i="6"/>
  <c r="P207" i="6"/>
  <c r="P83" i="6"/>
  <c r="P30" i="6"/>
  <c r="P33" i="6"/>
  <c r="P60" i="6"/>
  <c r="P64" i="6"/>
  <c r="P217" i="6"/>
  <c r="P237" i="6"/>
  <c r="P11" i="6"/>
  <c r="P106" i="6"/>
  <c r="P108" i="6"/>
  <c r="P53" i="6"/>
  <c r="P171" i="6"/>
  <c r="P191" i="6"/>
  <c r="P276" i="6"/>
  <c r="P189" i="6"/>
  <c r="P292" i="6"/>
  <c r="P85" i="6"/>
  <c r="P103" i="6"/>
  <c r="P70" i="6"/>
  <c r="P112" i="6"/>
  <c r="P142" i="6"/>
  <c r="P293" i="6"/>
  <c r="P113" i="6"/>
  <c r="P168" i="6"/>
  <c r="P87" i="6"/>
  <c r="P54" i="6"/>
  <c r="P175" i="6"/>
  <c r="P14" i="6"/>
  <c r="P227" i="6"/>
  <c r="P318" i="6"/>
  <c r="P100" i="6"/>
  <c r="P200" i="6"/>
  <c r="P272" i="6"/>
  <c r="P296" i="6"/>
  <c r="P203" i="6"/>
  <c r="P253" i="6"/>
  <c r="P249" i="6"/>
  <c r="P185" i="6"/>
  <c r="P301" i="6"/>
  <c r="P172" i="6"/>
  <c r="P270" i="6"/>
  <c r="P271" i="6"/>
  <c r="P285" i="6"/>
  <c r="P248" i="6"/>
  <c r="P132" i="6"/>
  <c r="P23" i="6"/>
  <c r="P287" i="6"/>
  <c r="P45" i="6"/>
  <c r="P286" i="6"/>
  <c r="P204" i="6"/>
  <c r="P26" i="6"/>
  <c r="P264" i="6"/>
  <c r="P220" i="6"/>
  <c r="P28" i="6"/>
  <c r="P236" i="6"/>
  <c r="P163" i="6"/>
  <c r="P122" i="6"/>
  <c r="P235" i="6"/>
  <c r="P263" i="6"/>
  <c r="P63" i="6"/>
  <c r="P165" i="6"/>
  <c r="P234" i="6"/>
  <c r="P6" i="6"/>
  <c r="P144" i="6"/>
  <c r="P284" i="6"/>
  <c r="P218" i="6"/>
  <c r="P212" i="6"/>
  <c r="P312" i="6"/>
  <c r="P127" i="6"/>
  <c r="P317" i="6"/>
  <c r="P322" i="6"/>
  <c r="P256" i="6"/>
  <c r="P36" i="6"/>
  <c r="P159" i="6"/>
  <c r="P167" i="6"/>
  <c r="P282" i="6"/>
  <c r="P71" i="6"/>
  <c r="P56" i="6"/>
  <c r="P8" i="6"/>
  <c r="P313" i="6"/>
  <c r="P291" i="6"/>
  <c r="P303" i="6"/>
  <c r="P65" i="6"/>
  <c r="P150" i="6"/>
  <c r="P238" i="6"/>
  <c r="P76" i="6"/>
  <c r="P136" i="6"/>
  <c r="P24" i="6"/>
  <c r="P321" i="6"/>
  <c r="P62" i="6"/>
  <c r="P74" i="6"/>
  <c r="P190" i="6"/>
  <c r="P134" i="6"/>
  <c r="P22" i="6"/>
  <c r="P90" i="6"/>
  <c r="P86" i="6"/>
  <c r="P194" i="6"/>
  <c r="P302" i="6"/>
  <c r="P197" i="6"/>
  <c r="P39" i="6"/>
  <c r="P277" i="6"/>
  <c r="P151" i="6"/>
  <c r="P81" i="6"/>
  <c r="P101" i="6"/>
  <c r="P4" i="6"/>
  <c r="P243" i="6"/>
  <c r="P162" i="6"/>
  <c r="P105" i="6"/>
  <c r="P37" i="6"/>
  <c r="P104" i="6"/>
  <c r="P41" i="6"/>
  <c r="P58" i="6"/>
  <c r="P89" i="6"/>
  <c r="P290" i="6"/>
  <c r="P38" i="6"/>
  <c r="P213" i="6"/>
  <c r="P12" i="6"/>
  <c r="P121" i="6"/>
  <c r="P269" i="6"/>
  <c r="P80" i="6"/>
  <c r="P78" i="6"/>
  <c r="P45" i="5"/>
  <c r="P103" i="5"/>
  <c r="P294" i="5"/>
  <c r="P268" i="5"/>
  <c r="P20" i="5"/>
  <c r="P22" i="5"/>
  <c r="P79" i="5"/>
  <c r="P251" i="5"/>
  <c r="P278" i="5"/>
  <c r="P254" i="5"/>
  <c r="P137" i="5"/>
  <c r="P143" i="5"/>
  <c r="P107" i="5"/>
  <c r="P158" i="5"/>
  <c r="P163" i="5"/>
  <c r="P215" i="5"/>
  <c r="P277" i="5"/>
  <c r="P38" i="5"/>
  <c r="P58" i="5"/>
  <c r="P60" i="5"/>
  <c r="P26" i="5"/>
  <c r="P248" i="5"/>
  <c r="P126" i="5"/>
  <c r="P51" i="5"/>
  <c r="P108" i="5"/>
  <c r="P233" i="5"/>
  <c r="P23" i="5"/>
  <c r="P96" i="5"/>
  <c r="P127" i="5"/>
  <c r="P116" i="5"/>
  <c r="P219" i="5"/>
  <c r="P287" i="5"/>
  <c r="P77" i="5"/>
  <c r="P269" i="5"/>
  <c r="P295" i="5"/>
  <c r="P220" i="5"/>
  <c r="P205" i="5"/>
  <c r="P187" i="5"/>
  <c r="P54" i="5"/>
  <c r="P100" i="5"/>
  <c r="P231" i="5"/>
  <c r="P309" i="5"/>
  <c r="P29" i="5"/>
  <c r="P264" i="5"/>
  <c r="P168" i="5"/>
  <c r="P55" i="5"/>
  <c r="P7" i="5"/>
  <c r="P174" i="5"/>
  <c r="P47" i="5"/>
  <c r="P2" i="5"/>
  <c r="P146" i="5"/>
  <c r="P81" i="5"/>
  <c r="P166" i="5"/>
  <c r="P48" i="5"/>
  <c r="P212" i="5"/>
  <c r="P273" i="5"/>
  <c r="P70" i="5"/>
  <c r="P190" i="5"/>
  <c r="P192" i="5"/>
  <c r="P111" i="5"/>
  <c r="P89" i="5"/>
  <c r="P33" i="5"/>
  <c r="P232" i="5"/>
  <c r="P167" i="5"/>
  <c r="P296" i="5"/>
  <c r="P281" i="5"/>
  <c r="P179" i="5"/>
  <c r="P208" i="5"/>
  <c r="P306" i="5"/>
  <c r="P180" i="5"/>
  <c r="P247" i="5"/>
  <c r="P106" i="5"/>
  <c r="P97" i="5"/>
  <c r="P134" i="5"/>
  <c r="P150" i="5"/>
  <c r="P241" i="5"/>
  <c r="P211" i="5"/>
  <c r="P235" i="5"/>
  <c r="P90" i="5"/>
  <c r="P184" i="5"/>
  <c r="P249" i="5"/>
  <c r="P144" i="5"/>
  <c r="P52" i="5"/>
  <c r="P225" i="5"/>
  <c r="P63" i="5"/>
  <c r="P83" i="5"/>
  <c r="P31" i="5"/>
  <c r="P151" i="5"/>
  <c r="P298" i="5"/>
  <c r="P230" i="5"/>
  <c r="P291" i="5"/>
  <c r="P14" i="5"/>
  <c r="P305" i="5"/>
  <c r="P85" i="5"/>
  <c r="P17" i="5"/>
  <c r="P216" i="5"/>
  <c r="P308" i="5"/>
  <c r="P86" i="5"/>
  <c r="P98" i="5"/>
  <c r="P315" i="5"/>
  <c r="P130" i="5"/>
  <c r="P95" i="5"/>
  <c r="P176" i="5"/>
  <c r="P122" i="5"/>
  <c r="P156" i="5"/>
  <c r="P226" i="5"/>
  <c r="P72" i="5"/>
  <c r="P10" i="5"/>
  <c r="P307" i="5"/>
  <c r="P141" i="5"/>
  <c r="P262" i="5"/>
  <c r="P204" i="5"/>
  <c r="P142" i="5"/>
  <c r="P115" i="5"/>
  <c r="P147" i="5"/>
  <c r="P21" i="5"/>
  <c r="P263" i="5"/>
  <c r="P154" i="5"/>
  <c r="P62" i="5"/>
  <c r="P293" i="5"/>
  <c r="P227" i="5"/>
  <c r="P244" i="5"/>
  <c r="P43" i="5"/>
  <c r="P239" i="5"/>
  <c r="P260" i="5"/>
  <c r="P256" i="5"/>
  <c r="P94" i="5"/>
  <c r="P310" i="5"/>
  <c r="P279" i="5"/>
  <c r="P321" i="5"/>
  <c r="P282" i="5"/>
  <c r="P5" i="5"/>
  <c r="P200" i="5"/>
  <c r="P64" i="5"/>
  <c r="P133" i="5"/>
  <c r="P12" i="5"/>
  <c r="P37" i="5"/>
  <c r="P240" i="5"/>
  <c r="P283" i="5"/>
  <c r="P91" i="5"/>
  <c r="P92" i="5"/>
  <c r="P202" i="5"/>
  <c r="P169" i="5"/>
  <c r="P40" i="5"/>
  <c r="P274" i="5"/>
  <c r="P303" i="5"/>
  <c r="P136" i="5"/>
  <c r="P161" i="5"/>
  <c r="P171" i="5"/>
  <c r="P99" i="5"/>
  <c r="P266" i="5"/>
  <c r="P34" i="5"/>
  <c r="P87" i="5"/>
  <c r="P84" i="5"/>
  <c r="P209" i="5"/>
  <c r="P222" i="5"/>
  <c r="P139" i="5"/>
  <c r="P288" i="5"/>
  <c r="P69" i="5"/>
  <c r="P25" i="5"/>
  <c r="P191" i="5"/>
  <c r="P104" i="5"/>
  <c r="P93" i="5"/>
  <c r="P114" i="5"/>
  <c r="P76" i="5"/>
  <c r="P213" i="5"/>
  <c r="P193" i="5"/>
  <c r="P138" i="5"/>
  <c r="P243" i="5"/>
  <c r="P271" i="5"/>
  <c r="P149" i="5"/>
  <c r="P265" i="5"/>
  <c r="P267" i="5"/>
  <c r="P238" i="5"/>
  <c r="P322" i="5"/>
  <c r="P102" i="5"/>
  <c r="P304" i="5"/>
  <c r="P253" i="5"/>
  <c r="P196" i="5"/>
  <c r="P18" i="5"/>
  <c r="P109" i="5"/>
  <c r="P292" i="5"/>
  <c r="P255" i="5"/>
  <c r="P24" i="5"/>
  <c r="P197" i="5"/>
  <c r="P4" i="5"/>
  <c r="P118" i="5"/>
  <c r="P194" i="5"/>
  <c r="P214" i="5"/>
  <c r="P198" i="5"/>
  <c r="P285" i="5"/>
  <c r="P39" i="5"/>
  <c r="P272" i="5"/>
  <c r="P159" i="5"/>
  <c r="P105" i="5"/>
  <c r="P318" i="5"/>
  <c r="P131" i="5"/>
  <c r="P13" i="5"/>
  <c r="P246" i="5"/>
  <c r="P223" i="5"/>
  <c r="P112" i="5"/>
  <c r="P30" i="5"/>
  <c r="P41" i="5"/>
  <c r="P68" i="5"/>
  <c r="P71" i="5"/>
  <c r="P61" i="5"/>
  <c r="P65" i="5"/>
  <c r="P74" i="5"/>
  <c r="P162" i="5"/>
  <c r="P181" i="5"/>
  <c r="P210" i="5"/>
  <c r="P199" i="5"/>
  <c r="P290" i="5"/>
  <c r="P195" i="5"/>
  <c r="P110" i="5"/>
  <c r="P153" i="5"/>
  <c r="P300" i="5"/>
  <c r="P172" i="5"/>
  <c r="P73" i="5"/>
  <c r="P120" i="5"/>
  <c r="P145" i="5"/>
  <c r="P160" i="5"/>
  <c r="P206" i="5"/>
  <c r="P6" i="5"/>
  <c r="P275" i="5"/>
  <c r="P228" i="5"/>
  <c r="P50" i="5"/>
  <c r="P3" i="5"/>
  <c r="P237" i="5"/>
  <c r="P152" i="5"/>
  <c r="P314" i="5"/>
  <c r="P270" i="5"/>
  <c r="P75" i="5"/>
  <c r="P36" i="5"/>
  <c r="P242" i="5"/>
  <c r="P189" i="5"/>
  <c r="P185" i="5"/>
  <c r="P113" i="5"/>
  <c r="P224" i="5"/>
  <c r="P27" i="5"/>
  <c r="P157" i="5"/>
  <c r="P297" i="5"/>
  <c r="P15" i="5"/>
  <c r="P186" i="5"/>
  <c r="P42" i="5"/>
  <c r="P124" i="5"/>
  <c r="P125" i="5"/>
  <c r="P236" i="5"/>
  <c r="P221" i="5"/>
  <c r="P320" i="5"/>
  <c r="P82" i="5"/>
  <c r="P175" i="5"/>
  <c r="P234" i="5"/>
  <c r="P57" i="5"/>
  <c r="P170" i="5"/>
  <c r="P9" i="5"/>
  <c r="P135" i="5"/>
  <c r="P59" i="5"/>
  <c r="P319" i="5"/>
  <c r="P316" i="5"/>
  <c r="P257" i="5"/>
  <c r="P218" i="5"/>
  <c r="P101" i="5"/>
  <c r="P261" i="5"/>
  <c r="P313" i="5"/>
  <c r="P80" i="5"/>
  <c r="P284" i="5"/>
  <c r="P32" i="5"/>
  <c r="P229" i="5"/>
  <c r="P252" i="5"/>
  <c r="P301" i="5"/>
  <c r="P49" i="5"/>
  <c r="P88" i="5"/>
  <c r="P182" i="5"/>
  <c r="P19" i="5"/>
  <c r="P132" i="5"/>
  <c r="P44" i="5"/>
  <c r="P177" i="5"/>
  <c r="P178" i="5"/>
  <c r="P203" i="5"/>
  <c r="P289" i="5"/>
  <c r="P165" i="5"/>
  <c r="P188" i="5"/>
  <c r="P317" i="5"/>
  <c r="P258" i="5"/>
  <c r="P155" i="5"/>
  <c r="P46" i="5"/>
  <c r="P121" i="5"/>
  <c r="P119" i="5"/>
  <c r="P128" i="5"/>
  <c r="P35" i="5"/>
  <c r="P53" i="5"/>
  <c r="P286" i="5"/>
  <c r="P148" i="5"/>
  <c r="P66" i="5"/>
  <c r="P11" i="5"/>
  <c r="P207" i="5"/>
  <c r="P117" i="5"/>
  <c r="P164" i="5"/>
  <c r="P245" i="5"/>
  <c r="P78" i="5"/>
  <c r="P250" i="5"/>
  <c r="P8" i="5"/>
  <c r="P16" i="5"/>
  <c r="P299" i="5"/>
  <c r="P140" i="5"/>
  <c r="P129" i="5"/>
  <c r="P259" i="5"/>
  <c r="P183" i="5"/>
  <c r="P302" i="5"/>
  <c r="P312" i="5"/>
  <c r="P173" i="5"/>
  <c r="P276" i="5"/>
  <c r="P56" i="5"/>
  <c r="P217" i="5"/>
  <c r="P123" i="5"/>
  <c r="P311" i="5"/>
  <c r="P280" i="5"/>
  <c r="P28" i="5"/>
  <c r="P67" i="5"/>
  <c r="P201" i="5"/>
  <c r="P226" i="4"/>
  <c r="P321" i="4"/>
  <c r="P41" i="4"/>
  <c r="P244" i="4"/>
  <c r="P243" i="4"/>
  <c r="P258" i="4"/>
  <c r="P229" i="4"/>
  <c r="P268" i="4"/>
  <c r="P138" i="4"/>
  <c r="P215" i="4"/>
  <c r="P282" i="4"/>
  <c r="P2" i="4"/>
  <c r="P51" i="4"/>
  <c r="P199" i="4"/>
  <c r="P108" i="4"/>
  <c r="P110" i="4"/>
  <c r="P197" i="4"/>
  <c r="P316" i="4"/>
  <c r="P274" i="4"/>
  <c r="P16" i="4"/>
  <c r="P119" i="4"/>
  <c r="P265" i="4"/>
  <c r="P83" i="4"/>
  <c r="P318" i="4"/>
  <c r="P315" i="4"/>
  <c r="P24" i="4"/>
  <c r="P266" i="4"/>
  <c r="P264" i="4"/>
  <c r="P35" i="4"/>
  <c r="P163" i="4"/>
  <c r="P95" i="4"/>
  <c r="P80" i="4"/>
  <c r="P96" i="4"/>
  <c r="P238" i="4"/>
  <c r="P210" i="4"/>
  <c r="P312" i="4"/>
  <c r="P218" i="4"/>
  <c r="P302" i="4"/>
  <c r="P287" i="4"/>
  <c r="P15" i="4"/>
  <c r="P155" i="4"/>
  <c r="P161" i="4"/>
  <c r="P298" i="4"/>
  <c r="P48" i="4"/>
  <c r="P232" i="4"/>
  <c r="P62" i="4"/>
  <c r="P180" i="4"/>
  <c r="P151" i="4"/>
  <c r="P246" i="4"/>
  <c r="P308" i="4"/>
  <c r="P188" i="4"/>
  <c r="P117" i="4"/>
  <c r="P9" i="4"/>
  <c r="P253" i="4"/>
  <c r="P166" i="4"/>
  <c r="P269" i="4"/>
  <c r="P280" i="4"/>
  <c r="P306" i="4"/>
  <c r="P74" i="4"/>
  <c r="P144" i="4"/>
  <c r="P179" i="4"/>
  <c r="P72" i="4"/>
  <c r="P240" i="4"/>
  <c r="P109" i="4"/>
  <c r="P228" i="4"/>
  <c r="P208" i="4"/>
  <c r="P172" i="4"/>
  <c r="P82" i="4"/>
  <c r="P146" i="4"/>
  <c r="P29" i="4"/>
  <c r="P20" i="4"/>
  <c r="P59" i="4"/>
  <c r="P174" i="4"/>
  <c r="P11" i="4"/>
  <c r="P272" i="4"/>
  <c r="P132" i="4"/>
  <c r="P217" i="4"/>
  <c r="P245" i="4"/>
  <c r="P291" i="4"/>
  <c r="P259" i="4"/>
  <c r="P183" i="4"/>
  <c r="P87" i="4"/>
  <c r="P175" i="4"/>
  <c r="P212" i="4"/>
  <c r="P281" i="4"/>
  <c r="P239" i="4"/>
  <c r="P52" i="4"/>
  <c r="P93" i="4"/>
  <c r="P78" i="4"/>
  <c r="P111" i="4"/>
  <c r="P26" i="4"/>
  <c r="P18" i="4"/>
  <c r="P17" i="4"/>
  <c r="P176" i="4"/>
  <c r="P177" i="4"/>
  <c r="P63" i="4"/>
  <c r="P299" i="4"/>
  <c r="P320" i="4"/>
  <c r="P70" i="4"/>
  <c r="P37" i="4"/>
  <c r="P237" i="4"/>
  <c r="P86" i="4"/>
  <c r="P203" i="4"/>
  <c r="P213" i="4"/>
  <c r="P202" i="4"/>
  <c r="P125" i="4"/>
  <c r="P241" i="4"/>
  <c r="P211" i="4"/>
  <c r="P129" i="4"/>
  <c r="P73" i="4"/>
  <c r="P4" i="4"/>
  <c r="P85" i="4"/>
  <c r="P162" i="4"/>
  <c r="P147" i="4"/>
  <c r="P106" i="4"/>
  <c r="P5" i="4"/>
  <c r="P204" i="4"/>
  <c r="P301" i="4"/>
  <c r="P121" i="4"/>
  <c r="P89" i="4"/>
  <c r="P8" i="4"/>
  <c r="P69" i="4"/>
  <c r="P130" i="4"/>
  <c r="P224" i="4"/>
  <c r="P122" i="4"/>
  <c r="P32" i="4"/>
  <c r="P100" i="4"/>
  <c r="P118" i="4"/>
  <c r="P49" i="4"/>
  <c r="P225" i="4"/>
  <c r="P317" i="4"/>
  <c r="P171" i="4"/>
  <c r="P290" i="4"/>
  <c r="P54" i="4"/>
  <c r="P257" i="4"/>
  <c r="P300" i="4"/>
  <c r="P30" i="4"/>
  <c r="P256" i="4"/>
  <c r="P79" i="4"/>
  <c r="P322" i="4"/>
  <c r="P157" i="4"/>
  <c r="P126" i="4"/>
  <c r="P134" i="4"/>
  <c r="P127" i="4"/>
  <c r="P46" i="4"/>
  <c r="P33" i="4"/>
  <c r="P131" i="4"/>
  <c r="P249" i="4"/>
  <c r="P297" i="4"/>
  <c r="P254" i="4"/>
  <c r="P168" i="4"/>
  <c r="P103" i="4"/>
  <c r="P148" i="4"/>
  <c r="P56" i="4"/>
  <c r="P181" i="4"/>
  <c r="P191" i="4"/>
  <c r="P114" i="4"/>
  <c r="P178" i="4"/>
  <c r="P98" i="4"/>
  <c r="P189" i="4"/>
  <c r="P124" i="4"/>
  <c r="P273" i="4"/>
  <c r="P43" i="4"/>
  <c r="P304" i="4"/>
  <c r="P90" i="4"/>
  <c r="P149" i="4"/>
  <c r="P194" i="4"/>
  <c r="P88" i="4"/>
  <c r="P154" i="4"/>
  <c r="P236" i="4"/>
  <c r="P3" i="4"/>
  <c r="P283" i="4"/>
  <c r="P251" i="4"/>
  <c r="P247" i="4"/>
  <c r="P61" i="4"/>
  <c r="P165" i="4"/>
  <c r="P278" i="4"/>
  <c r="P186" i="4"/>
  <c r="P31" i="4"/>
  <c r="P91" i="4"/>
  <c r="P65" i="4"/>
  <c r="P153" i="4"/>
  <c r="P185" i="4"/>
  <c r="P152" i="4"/>
  <c r="P205" i="4"/>
  <c r="P159" i="4"/>
  <c r="P173" i="4"/>
  <c r="P71" i="4"/>
  <c r="P64" i="4"/>
  <c r="P255" i="4"/>
  <c r="P209" i="4"/>
  <c r="P223" i="4"/>
  <c r="P190" i="4"/>
  <c r="P292" i="4"/>
  <c r="P142" i="4"/>
  <c r="P187" i="4"/>
  <c r="P94" i="4"/>
  <c r="P25" i="4"/>
  <c r="P277" i="4"/>
  <c r="P10" i="4"/>
  <c r="P235" i="4"/>
  <c r="P262" i="4"/>
  <c r="P102" i="4"/>
  <c r="P60" i="4"/>
  <c r="P81" i="4"/>
  <c r="P133" i="4"/>
  <c r="P99" i="4"/>
  <c r="P221" i="4"/>
  <c r="P184" i="4"/>
  <c r="P164" i="4"/>
  <c r="P23" i="4"/>
  <c r="P220" i="4"/>
  <c r="P44" i="4"/>
  <c r="P193" i="4"/>
  <c r="P7" i="4"/>
  <c r="P196" i="4"/>
  <c r="P101" i="4"/>
  <c r="P12" i="4"/>
  <c r="P252" i="4"/>
  <c r="P200" i="4"/>
  <c r="P167" i="4"/>
  <c r="P38" i="4"/>
  <c r="P242" i="4"/>
  <c r="P169" i="4"/>
  <c r="P286" i="4"/>
  <c r="P47" i="4"/>
  <c r="P214" i="4"/>
  <c r="P107" i="4"/>
  <c r="P296" i="4"/>
  <c r="P92" i="4"/>
  <c r="P6" i="4"/>
  <c r="P295" i="4"/>
  <c r="P123" i="4"/>
  <c r="P112" i="4"/>
  <c r="P27" i="4"/>
  <c r="P170" i="4"/>
  <c r="P285" i="4"/>
  <c r="P288" i="4"/>
  <c r="P160" i="4"/>
  <c r="P276" i="4"/>
  <c r="P140" i="4"/>
  <c r="P97" i="4"/>
  <c r="P28" i="4"/>
  <c r="P150" i="4"/>
  <c r="P77" i="4"/>
  <c r="P230" i="4"/>
  <c r="P104" i="4"/>
  <c r="P279" i="4"/>
  <c r="P137" i="4"/>
  <c r="P120" i="4"/>
  <c r="P39" i="4"/>
  <c r="P310" i="4"/>
  <c r="P314" i="4"/>
  <c r="P319" i="4"/>
  <c r="P261" i="4"/>
  <c r="P113" i="4"/>
  <c r="P227" i="4"/>
  <c r="P207" i="4"/>
  <c r="P289" i="4"/>
  <c r="P36" i="4"/>
  <c r="P143" i="4"/>
  <c r="P284" i="4"/>
  <c r="P50" i="4"/>
  <c r="P135" i="4"/>
  <c r="P141" i="4"/>
  <c r="P216" i="4"/>
  <c r="P84" i="4"/>
  <c r="P294" i="4"/>
  <c r="P42" i="4"/>
  <c r="P21" i="4"/>
  <c r="P105" i="4"/>
  <c r="P66" i="4"/>
  <c r="P293" i="4"/>
  <c r="P219" i="4"/>
  <c r="P195" i="4"/>
  <c r="P136" i="4"/>
  <c r="P57" i="4"/>
  <c r="P313" i="4"/>
  <c r="P222" i="4"/>
  <c r="P275" i="4"/>
  <c r="P192" i="4"/>
  <c r="P116" i="4"/>
  <c r="P263" i="4"/>
  <c r="P75" i="4"/>
  <c r="P270" i="4"/>
  <c r="P248" i="4"/>
  <c r="P250" i="4"/>
  <c r="P34" i="4"/>
  <c r="P45" i="4"/>
  <c r="P305" i="4"/>
  <c r="P139" i="4"/>
  <c r="P231" i="4"/>
  <c r="P13" i="4"/>
  <c r="P307" i="4"/>
  <c r="P271" i="4"/>
  <c r="P68" i="4"/>
  <c r="P14" i="4"/>
  <c r="P233" i="4"/>
  <c r="P40" i="4"/>
  <c r="P145" i="4"/>
  <c r="P182" i="4"/>
  <c r="P58" i="4"/>
  <c r="P201" i="4"/>
  <c r="P19" i="4"/>
  <c r="P234" i="4"/>
  <c r="P198" i="4"/>
  <c r="P128" i="4"/>
  <c r="P156" i="4"/>
  <c r="P76" i="4"/>
  <c r="P206" i="4"/>
  <c r="P260" i="4"/>
  <c r="P55" i="4"/>
  <c r="P158" i="4"/>
  <c r="P267" i="4"/>
  <c r="P67" i="4"/>
  <c r="P303" i="4"/>
  <c r="P115" i="4"/>
  <c r="P53" i="4"/>
  <c r="P22" i="4"/>
  <c r="P309" i="4"/>
  <c r="P236" i="3"/>
  <c r="P190" i="3"/>
  <c r="P111" i="3"/>
  <c r="P217" i="3"/>
  <c r="P255" i="3"/>
  <c r="P200" i="3"/>
  <c r="P95" i="3"/>
  <c r="P319" i="3"/>
  <c r="P273" i="3"/>
  <c r="P179" i="3"/>
  <c r="P135" i="3"/>
  <c r="P176" i="3"/>
  <c r="P38" i="3"/>
  <c r="P257" i="3"/>
  <c r="P67" i="3"/>
  <c r="P143" i="3"/>
  <c r="P264" i="3"/>
  <c r="P142" i="3"/>
  <c r="P206" i="3"/>
  <c r="P41" i="3"/>
  <c r="P235" i="3"/>
  <c r="P127" i="3"/>
  <c r="P249" i="3"/>
  <c r="P114" i="3"/>
  <c r="P75" i="3"/>
  <c r="P125" i="3"/>
  <c r="P246" i="3"/>
  <c r="P35" i="3"/>
  <c r="P120" i="3"/>
  <c r="P106" i="3"/>
  <c r="P10" i="3"/>
  <c r="P263" i="3"/>
  <c r="P293" i="3"/>
  <c r="P150" i="3"/>
  <c r="P302" i="3"/>
  <c r="P63" i="3"/>
  <c r="P4" i="3"/>
  <c r="P138" i="3"/>
  <c r="P185" i="3"/>
  <c r="P115" i="3"/>
  <c r="P46" i="3"/>
  <c r="P312" i="3"/>
  <c r="P113" i="3"/>
  <c r="P53" i="3"/>
  <c r="P39" i="3"/>
  <c r="P268" i="3"/>
  <c r="P147" i="3"/>
  <c r="P101" i="3"/>
  <c r="P62" i="3"/>
  <c r="P183" i="3"/>
  <c r="P2" i="3"/>
  <c r="P250" i="3"/>
  <c r="P281" i="3"/>
  <c r="P141" i="3"/>
  <c r="P171" i="3"/>
  <c r="P203" i="3"/>
  <c r="P153" i="3"/>
  <c r="P154" i="3"/>
  <c r="P93" i="3"/>
  <c r="P71" i="3"/>
  <c r="P243" i="3"/>
  <c r="P221" i="3"/>
  <c r="P86" i="3"/>
  <c r="P275" i="3"/>
  <c r="P226" i="3"/>
  <c r="P215" i="3"/>
  <c r="P248" i="3"/>
  <c r="P90" i="3"/>
  <c r="P108" i="3"/>
  <c r="P11" i="3"/>
  <c r="P219" i="3"/>
  <c r="P89" i="3"/>
  <c r="P284" i="3"/>
  <c r="P205" i="3"/>
  <c r="P207" i="3"/>
  <c r="P37" i="3"/>
  <c r="P167" i="3"/>
  <c r="P269" i="3"/>
  <c r="P260" i="3"/>
  <c r="P18" i="3"/>
  <c r="P78" i="3"/>
  <c r="P307" i="3"/>
  <c r="P196" i="3"/>
  <c r="P123" i="3"/>
  <c r="P172" i="3"/>
  <c r="P216" i="3"/>
  <c r="P64" i="3"/>
  <c r="P202" i="3"/>
  <c r="P73" i="3"/>
  <c r="P156" i="3"/>
  <c r="P208" i="3"/>
  <c r="P29" i="3"/>
  <c r="P17" i="3"/>
  <c r="P61" i="3"/>
  <c r="P88" i="3"/>
  <c r="P134" i="3"/>
  <c r="P81" i="3"/>
  <c r="P33" i="3"/>
  <c r="P56" i="3"/>
  <c r="P129" i="3"/>
  <c r="P192" i="3"/>
  <c r="P27" i="3"/>
  <c r="P170" i="3"/>
  <c r="P42" i="3"/>
  <c r="P19" i="3"/>
  <c r="P230" i="3"/>
  <c r="P180" i="3"/>
  <c r="P131" i="3"/>
  <c r="P159" i="3"/>
  <c r="P187" i="3"/>
  <c r="P204" i="3"/>
  <c r="P186" i="3"/>
  <c r="P309" i="3"/>
  <c r="P313" i="3"/>
  <c r="P231" i="3"/>
  <c r="P251" i="3"/>
  <c r="P282" i="3"/>
  <c r="P174" i="3"/>
  <c r="P320" i="3"/>
  <c r="P51" i="3"/>
  <c r="P234" i="3"/>
  <c r="P112" i="3"/>
  <c r="P201" i="3"/>
  <c r="P173" i="3"/>
  <c r="P107" i="3"/>
  <c r="P238" i="3"/>
  <c r="P99" i="3"/>
  <c r="P20" i="3"/>
  <c r="P189" i="3"/>
  <c r="P242" i="3"/>
  <c r="P163" i="3"/>
  <c r="P175" i="3"/>
  <c r="P239" i="3"/>
  <c r="P47" i="3"/>
  <c r="P270" i="3"/>
  <c r="P52" i="3"/>
  <c r="P36" i="3"/>
  <c r="P259" i="3"/>
  <c r="P181" i="3"/>
  <c r="P161" i="3"/>
  <c r="P109" i="3"/>
  <c r="P195" i="3"/>
  <c r="P121" i="3"/>
  <c r="P49" i="3"/>
  <c r="P70" i="3"/>
  <c r="P31" i="3"/>
  <c r="P160" i="3"/>
  <c r="P54" i="3"/>
  <c r="P279" i="3"/>
  <c r="P291" i="3"/>
  <c r="P278" i="3"/>
  <c r="P166" i="3"/>
  <c r="P72" i="3"/>
  <c r="P223" i="3"/>
  <c r="P132" i="3"/>
  <c r="P102" i="3"/>
  <c r="P55" i="3"/>
  <c r="P305" i="3"/>
  <c r="P298" i="3"/>
  <c r="P151" i="3"/>
  <c r="P126" i="3"/>
  <c r="P128" i="3"/>
  <c r="P103" i="3"/>
  <c r="P59" i="3"/>
  <c r="P317" i="3"/>
  <c r="P188" i="3"/>
  <c r="P21" i="3"/>
  <c r="P34" i="3"/>
  <c r="P110" i="3"/>
  <c r="P240" i="3"/>
  <c r="P321" i="3"/>
  <c r="P315" i="3"/>
  <c r="P300" i="3"/>
  <c r="P290" i="3"/>
  <c r="P69" i="3"/>
  <c r="P245" i="3"/>
  <c r="P184" i="3"/>
  <c r="P301" i="3"/>
  <c r="P13" i="3"/>
  <c r="P197" i="3"/>
  <c r="P287" i="3"/>
  <c r="P76" i="3"/>
  <c r="P22" i="3"/>
  <c r="P228" i="3"/>
  <c r="P274" i="3"/>
  <c r="P244" i="3"/>
  <c r="P96" i="3"/>
  <c r="P97" i="3"/>
  <c r="P23" i="3"/>
  <c r="P297" i="3"/>
  <c r="P68" i="3"/>
  <c r="P164" i="3"/>
  <c r="P79" i="3"/>
  <c r="P283" i="3"/>
  <c r="P133" i="3"/>
  <c r="P48" i="3"/>
  <c r="P15" i="3"/>
  <c r="P94" i="3"/>
  <c r="P168" i="3"/>
  <c r="P241" i="3"/>
  <c r="P9" i="3"/>
  <c r="P306" i="3"/>
  <c r="P6" i="3"/>
  <c r="P254" i="3"/>
  <c r="P158" i="3"/>
  <c r="P310" i="3"/>
  <c r="P314" i="3"/>
  <c r="P87" i="3"/>
  <c r="P155" i="3"/>
  <c r="P233" i="3"/>
  <c r="P280" i="3"/>
  <c r="P85" i="3"/>
  <c r="P194" i="3"/>
  <c r="P212" i="3"/>
  <c r="P267" i="3"/>
  <c r="P14" i="3"/>
  <c r="P24" i="3"/>
  <c r="P265" i="3"/>
  <c r="P214" i="3"/>
  <c r="P225" i="3"/>
  <c r="P165" i="3"/>
  <c r="P213" i="3"/>
  <c r="P40" i="3"/>
  <c r="P292" i="3"/>
  <c r="P178" i="3"/>
  <c r="P177" i="3"/>
  <c r="P286" i="3"/>
  <c r="P261" i="3"/>
  <c r="P311" i="3"/>
  <c r="P58" i="3"/>
  <c r="P105" i="3"/>
  <c r="P299" i="3"/>
  <c r="P295" i="3"/>
  <c r="P229" i="3"/>
  <c r="P199" i="3"/>
  <c r="P3" i="3"/>
  <c r="P316" i="3"/>
  <c r="P296" i="3"/>
  <c r="P139" i="3"/>
  <c r="P227" i="3"/>
  <c r="P322" i="3"/>
  <c r="P191" i="3"/>
  <c r="P124" i="3"/>
  <c r="P209" i="3"/>
  <c r="P44" i="3"/>
  <c r="P98" i="3"/>
  <c r="P271" i="3"/>
  <c r="P157" i="3"/>
  <c r="P256" i="3"/>
  <c r="P169" i="3"/>
  <c r="P140" i="3"/>
  <c r="P182" i="3"/>
  <c r="P74" i="3"/>
  <c r="P218" i="3"/>
  <c r="P50" i="3"/>
  <c r="P193" i="3"/>
  <c r="P266" i="3"/>
  <c r="P145" i="3"/>
  <c r="P12" i="3"/>
  <c r="P303" i="3"/>
  <c r="P84" i="3"/>
  <c r="P211" i="3"/>
  <c r="P318" i="3"/>
  <c r="P277" i="3"/>
  <c r="P122" i="3"/>
  <c r="P146" i="3"/>
  <c r="P130" i="3"/>
  <c r="P118" i="3"/>
  <c r="P237" i="3"/>
  <c r="P258" i="3"/>
  <c r="P65" i="3"/>
  <c r="P276" i="3"/>
  <c r="P60" i="3"/>
  <c r="P43" i="3"/>
  <c r="P104" i="3"/>
  <c r="P83" i="3"/>
  <c r="P222" i="3"/>
  <c r="P149" i="3"/>
  <c r="P28" i="3"/>
  <c r="P25" i="3"/>
  <c r="P26" i="3"/>
  <c r="P198" i="3"/>
  <c r="P137" i="3"/>
  <c r="P232" i="3"/>
  <c r="P77" i="3"/>
  <c r="P224" i="3"/>
  <c r="P45" i="3"/>
  <c r="P116" i="3"/>
  <c r="P7" i="3"/>
  <c r="P119" i="3"/>
  <c r="P253" i="3"/>
  <c r="P80" i="3"/>
  <c r="P117" i="3"/>
  <c r="P5" i="3"/>
  <c r="P272" i="3"/>
  <c r="P220" i="3"/>
  <c r="P289" i="3"/>
  <c r="P30" i="3"/>
  <c r="P294" i="3"/>
  <c r="P152" i="3"/>
  <c r="P247" i="3"/>
  <c r="P100" i="3"/>
  <c r="P304" i="3"/>
  <c r="P91" i="3"/>
  <c r="P82" i="3"/>
  <c r="P144" i="3"/>
  <c r="P285" i="3"/>
  <c r="P210" i="3"/>
  <c r="P32" i="3"/>
  <c r="P66" i="3"/>
  <c r="P262" i="3"/>
  <c r="P57" i="3"/>
  <c r="P288" i="3"/>
  <c r="P148" i="3"/>
  <c r="P16" i="3"/>
  <c r="P252" i="3"/>
  <c r="P8" i="3"/>
  <c r="P92" i="3"/>
  <c r="P308" i="3"/>
  <c r="P136" i="3"/>
  <c r="P228" i="2"/>
  <c r="P109" i="2"/>
  <c r="P267" i="2"/>
  <c r="P294" i="2"/>
  <c r="P202" i="2"/>
  <c r="P288" i="2"/>
  <c r="P51" i="2"/>
  <c r="P317" i="2"/>
  <c r="P150" i="2"/>
  <c r="P23" i="2"/>
  <c r="P74" i="2"/>
  <c r="P80" i="2"/>
  <c r="P227" i="2"/>
  <c r="P295" i="2"/>
  <c r="P140" i="2"/>
  <c r="P19" i="2"/>
  <c r="P282" i="2"/>
  <c r="P7" i="2"/>
  <c r="P59" i="2"/>
  <c r="P38" i="2"/>
  <c r="P284" i="2"/>
  <c r="P305" i="2"/>
  <c r="P179" i="2"/>
  <c r="P81" i="2"/>
  <c r="P172" i="2"/>
  <c r="P225" i="2"/>
  <c r="P20" i="2"/>
  <c r="P119" i="2"/>
  <c r="P62" i="2"/>
  <c r="P161" i="2"/>
  <c r="P278" i="2"/>
  <c r="P158" i="2"/>
  <c r="P320" i="2"/>
  <c r="P32" i="2"/>
  <c r="P194" i="2"/>
  <c r="P243" i="2"/>
  <c r="P97" i="2"/>
  <c r="P113" i="2"/>
  <c r="P162" i="2"/>
  <c r="P145" i="2"/>
  <c r="P242" i="2"/>
  <c r="P9" i="2"/>
  <c r="P160" i="2"/>
  <c r="P224" i="2"/>
  <c r="P39" i="2"/>
  <c r="P209" i="2"/>
  <c r="P106" i="2"/>
  <c r="P54" i="2"/>
  <c r="P111" i="2"/>
  <c r="P121" i="2"/>
  <c r="P255" i="2"/>
  <c r="P314" i="2"/>
  <c r="P177" i="2"/>
  <c r="P266" i="2"/>
  <c r="P259" i="2"/>
  <c r="P221" i="2"/>
  <c r="P170" i="2"/>
  <c r="P257" i="2"/>
  <c r="P149" i="2"/>
  <c r="P168" i="2"/>
  <c r="P174" i="2"/>
  <c r="P283" i="2"/>
  <c r="P239" i="2"/>
  <c r="P270" i="2"/>
  <c r="P71" i="2"/>
  <c r="P280" i="2"/>
  <c r="P298" i="2"/>
  <c r="P63" i="2"/>
  <c r="P16" i="2"/>
  <c r="P11" i="2"/>
  <c r="P222" i="2"/>
  <c r="P67" i="2"/>
  <c r="P254" i="2"/>
  <c r="P286" i="2"/>
  <c r="P293" i="2"/>
  <c r="P22" i="2"/>
  <c r="P30" i="2"/>
  <c r="P190" i="2"/>
  <c r="P144" i="2"/>
  <c r="P116" i="2"/>
  <c r="P47" i="2"/>
  <c r="P287" i="2"/>
  <c r="P247" i="2"/>
  <c r="P218" i="2"/>
  <c r="P68" i="2"/>
  <c r="P234" i="2"/>
  <c r="P110" i="2"/>
  <c r="P175" i="2"/>
  <c r="P75" i="2"/>
  <c r="P61" i="2"/>
  <c r="P248" i="2"/>
  <c r="P268" i="2"/>
  <c r="P275" i="2"/>
  <c r="P100" i="2"/>
  <c r="P302" i="2"/>
  <c r="P5" i="2"/>
  <c r="P296" i="2"/>
  <c r="P297" i="2"/>
  <c r="P164" i="2"/>
  <c r="P43" i="2"/>
  <c r="P6" i="2"/>
  <c r="P312" i="2"/>
  <c r="P82" i="2"/>
  <c r="P132" i="2"/>
  <c r="P316" i="2"/>
  <c r="P197" i="2"/>
  <c r="P311" i="2"/>
  <c r="P92" i="2"/>
  <c r="P104" i="2"/>
  <c r="P130" i="2"/>
  <c r="P153" i="2"/>
  <c r="P308" i="2"/>
  <c r="P272" i="2"/>
  <c r="P102" i="2"/>
  <c r="P290" i="2"/>
  <c r="P213" i="2"/>
  <c r="P120" i="2"/>
  <c r="P134" i="2"/>
  <c r="P279" i="2"/>
  <c r="P34" i="2"/>
  <c r="P55" i="2"/>
  <c r="P73" i="2"/>
  <c r="P188" i="2"/>
  <c r="P216" i="2"/>
  <c r="P4" i="2"/>
  <c r="P46" i="2"/>
  <c r="P129" i="2"/>
  <c r="P193" i="2"/>
  <c r="P53" i="2"/>
  <c r="P105" i="2"/>
  <c r="P8" i="2"/>
  <c r="P126" i="2"/>
  <c r="P156" i="2"/>
  <c r="P245" i="2"/>
  <c r="P76" i="2"/>
  <c r="P33" i="2"/>
  <c r="P313" i="2"/>
  <c r="P36" i="2"/>
  <c r="P152" i="2"/>
  <c r="P185" i="2"/>
  <c r="P10" i="2"/>
  <c r="P180" i="2"/>
  <c r="P237" i="2"/>
  <c r="P212" i="2"/>
  <c r="P285" i="2"/>
  <c r="P230" i="2"/>
  <c r="P29" i="2"/>
  <c r="P250" i="2"/>
  <c r="P2" i="2"/>
  <c r="P315" i="2"/>
  <c r="P244" i="2"/>
  <c r="P310" i="2"/>
  <c r="P70" i="2"/>
  <c r="P21" i="2"/>
  <c r="P78" i="2"/>
  <c r="P88" i="2"/>
  <c r="P260" i="2"/>
  <c r="P146" i="2"/>
  <c r="P37" i="2"/>
  <c r="P181" i="2"/>
  <c r="P24" i="2"/>
  <c r="P171" i="2"/>
  <c r="P246" i="2"/>
  <c r="P273" i="2"/>
  <c r="P148" i="2"/>
  <c r="P263" i="2"/>
  <c r="P219" i="2"/>
  <c r="P44" i="2"/>
  <c r="P50" i="2"/>
  <c r="P141" i="2"/>
  <c r="P143" i="2"/>
  <c r="P125" i="2"/>
  <c r="P229" i="2"/>
  <c r="P231" i="2"/>
  <c r="P318" i="2"/>
  <c r="P253" i="2"/>
  <c r="P58" i="2"/>
  <c r="P274" i="2"/>
  <c r="P28" i="2"/>
  <c r="P189" i="2"/>
  <c r="P232" i="2"/>
  <c r="P27" i="2"/>
  <c r="P123" i="2"/>
  <c r="P321" i="2"/>
  <c r="P159" i="2"/>
  <c r="P163" i="2"/>
  <c r="P3" i="2"/>
  <c r="P83" i="2"/>
  <c r="P45" i="2"/>
  <c r="P139" i="2"/>
  <c r="P165" i="2"/>
  <c r="P89" i="2"/>
  <c r="P64" i="2"/>
  <c r="P133" i="2"/>
  <c r="P183" i="2"/>
  <c r="P122" i="2"/>
  <c r="P103" i="2"/>
  <c r="P41" i="2"/>
  <c r="P56" i="2"/>
  <c r="P261" i="2"/>
  <c r="P157" i="2"/>
  <c r="P292" i="2"/>
  <c r="P322" i="2"/>
  <c r="P95" i="2"/>
  <c r="P319" i="2"/>
  <c r="P108" i="2"/>
  <c r="P198" i="2"/>
  <c r="P60" i="2"/>
  <c r="P182" i="2"/>
  <c r="P301" i="2"/>
  <c r="P215" i="2"/>
  <c r="P264" i="2"/>
  <c r="P235" i="2"/>
  <c r="P269" i="2"/>
  <c r="P49" i="2"/>
  <c r="P217" i="2"/>
  <c r="P40" i="2"/>
  <c r="P210" i="2"/>
  <c r="P151" i="2"/>
  <c r="P52" i="2"/>
  <c r="P117" i="2"/>
  <c r="P31" i="2"/>
  <c r="P96" i="2"/>
  <c r="P112" i="2"/>
  <c r="P48" i="2"/>
  <c r="P299" i="2"/>
  <c r="P72" i="2"/>
  <c r="P86" i="2"/>
  <c r="P187" i="2"/>
  <c r="P303" i="2"/>
  <c r="P271" i="2"/>
  <c r="P208" i="2"/>
  <c r="P262" i="2"/>
  <c r="P85" i="2"/>
  <c r="P94" i="2"/>
  <c r="P14" i="2"/>
  <c r="P127" i="2"/>
  <c r="P90" i="2"/>
  <c r="P137" i="2"/>
  <c r="P291" i="2"/>
  <c r="P204" i="2"/>
  <c r="P26" i="2"/>
  <c r="P199" i="2"/>
  <c r="P167" i="2"/>
  <c r="P166" i="2"/>
  <c r="P79" i="2"/>
  <c r="P154" i="2"/>
  <c r="P131" i="2"/>
  <c r="P169" i="2"/>
  <c r="P124" i="2"/>
  <c r="P42" i="2"/>
  <c r="P35" i="2"/>
  <c r="P101" i="2"/>
  <c r="P128" i="2"/>
  <c r="P256" i="2"/>
  <c r="P135" i="2"/>
  <c r="P220" i="2"/>
  <c r="P18" i="2"/>
  <c r="P87" i="2"/>
  <c r="P138" i="2"/>
  <c r="P173" i="2"/>
  <c r="P192" i="2"/>
  <c r="P289" i="2"/>
  <c r="P200" i="2"/>
  <c r="P281" i="2"/>
  <c r="P238" i="2"/>
  <c r="P118" i="2"/>
  <c r="P223" i="2"/>
  <c r="P155" i="2"/>
  <c r="P93" i="2"/>
  <c r="P241" i="2"/>
  <c r="P13" i="2"/>
  <c r="P300" i="2"/>
  <c r="P176" i="2"/>
  <c r="P277" i="2"/>
  <c r="P306" i="2"/>
  <c r="P276" i="2"/>
  <c r="P25" i="2"/>
  <c r="P77" i="2"/>
  <c r="P98" i="2"/>
  <c r="P184" i="2"/>
  <c r="P252" i="2"/>
  <c r="P307" i="2"/>
  <c r="P84" i="2"/>
  <c r="P233" i="2"/>
  <c r="P214" i="2"/>
  <c r="P258" i="2"/>
  <c r="P240" i="2"/>
  <c r="P147" i="2"/>
  <c r="P178" i="2"/>
  <c r="P91" i="2"/>
  <c r="P309" i="2"/>
  <c r="P12" i="2"/>
  <c r="P99" i="2"/>
  <c r="P65" i="2"/>
  <c r="P142" i="2"/>
  <c r="P236" i="2"/>
  <c r="P196" i="2"/>
  <c r="P201" i="2"/>
  <c r="P206" i="2"/>
  <c r="P17" i="2"/>
  <c r="P211" i="2"/>
  <c r="P107" i="2"/>
  <c r="P191" i="2"/>
  <c r="P136" i="2"/>
  <c r="P69" i="2"/>
  <c r="P226" i="2"/>
  <c r="P115" i="2"/>
  <c r="P249" i="2"/>
  <c r="P205" i="2"/>
  <c r="P114" i="2"/>
  <c r="P203" i="2"/>
  <c r="P265" i="2"/>
  <c r="P251" i="2"/>
  <c r="P207" i="2"/>
  <c r="P195" i="2"/>
  <c r="P304" i="2"/>
  <c r="P66" i="2"/>
  <c r="P186" i="2"/>
  <c r="P55" i="1"/>
  <c r="P322" i="1"/>
  <c r="P319" i="1"/>
  <c r="P320" i="1"/>
  <c r="P318" i="1"/>
  <c r="P317" i="1"/>
  <c r="P316" i="1"/>
  <c r="P321" i="1"/>
  <c r="P216" i="1"/>
  <c r="P259" i="1"/>
  <c r="P117" i="1"/>
  <c r="P121" i="1"/>
  <c r="P159" i="1"/>
  <c r="P48" i="1"/>
  <c r="P256" i="1"/>
  <c r="P105" i="1"/>
  <c r="P304" i="1"/>
  <c r="P273" i="1"/>
  <c r="P146" i="1"/>
  <c r="P156" i="1"/>
  <c r="P22" i="1"/>
  <c r="P155" i="1"/>
  <c r="P243" i="1"/>
  <c r="P221" i="1"/>
  <c r="P201" i="1"/>
  <c r="P202" i="1"/>
  <c r="P97" i="1"/>
  <c r="P33" i="1"/>
  <c r="P75" i="1"/>
  <c r="P189" i="1"/>
  <c r="P116" i="1"/>
  <c r="P183" i="1"/>
  <c r="P137" i="1"/>
  <c r="P280" i="1"/>
  <c r="P254" i="1"/>
  <c r="P213" i="1"/>
  <c r="P271" i="1"/>
  <c r="P21" i="1"/>
  <c r="P47" i="1"/>
  <c r="P145" i="1"/>
  <c r="P222" i="1"/>
  <c r="P109" i="1"/>
  <c r="P27" i="1"/>
  <c r="P112" i="1"/>
  <c r="P71" i="1"/>
  <c r="P99" i="1"/>
  <c r="P63" i="1"/>
  <c r="P292" i="1"/>
  <c r="P269" i="1"/>
  <c r="P77" i="1"/>
  <c r="P272" i="1"/>
  <c r="P258" i="1"/>
  <c r="P57" i="1"/>
  <c r="P163" i="1"/>
  <c r="P34" i="1"/>
  <c r="P212" i="1"/>
  <c r="P66" i="1"/>
  <c r="P26" i="1"/>
  <c r="P238" i="1"/>
  <c r="P162" i="1"/>
  <c r="P151" i="1"/>
  <c r="P251" i="1"/>
  <c r="P148" i="1"/>
  <c r="P119" i="1"/>
  <c r="P309" i="1"/>
  <c r="P16" i="1"/>
  <c r="P59" i="1"/>
  <c r="P187" i="1"/>
  <c r="P30" i="1"/>
  <c r="P194" i="1"/>
  <c r="P296" i="1"/>
  <c r="P125" i="1"/>
  <c r="P255" i="1"/>
  <c r="P13" i="1"/>
  <c r="P260" i="1"/>
  <c r="P130" i="1"/>
  <c r="P299" i="1"/>
  <c r="P168" i="1"/>
  <c r="P197" i="1"/>
  <c r="P35" i="1"/>
  <c r="P106" i="1"/>
  <c r="P61" i="1"/>
  <c r="P195" i="1"/>
  <c r="P257" i="1"/>
  <c r="P110" i="1"/>
  <c r="P302" i="1"/>
  <c r="P86" i="1"/>
  <c r="P277" i="1"/>
  <c r="P173" i="1"/>
  <c r="P275" i="1"/>
  <c r="P23" i="1"/>
  <c r="P73" i="1"/>
  <c r="P7" i="1"/>
  <c r="P32" i="1"/>
  <c r="P215" i="1"/>
  <c r="P51" i="1"/>
  <c r="P153" i="1"/>
  <c r="P218" i="1"/>
  <c r="P88" i="1"/>
  <c r="P232" i="1"/>
  <c r="P4" i="1"/>
  <c r="P84" i="1"/>
  <c r="P266" i="1"/>
  <c r="P283" i="1"/>
  <c r="P193" i="1"/>
  <c r="P289" i="1"/>
  <c r="P20" i="1"/>
  <c r="P62" i="1"/>
  <c r="P270" i="1"/>
  <c r="P95" i="1"/>
  <c r="P171" i="1"/>
  <c r="P108" i="1"/>
  <c r="P46" i="1"/>
  <c r="P253" i="1"/>
  <c r="P233" i="1"/>
  <c r="P274" i="1"/>
  <c r="P124" i="1"/>
  <c r="P165" i="1"/>
  <c r="P11" i="1"/>
  <c r="P94" i="1"/>
  <c r="P209" i="1"/>
  <c r="P184" i="1"/>
  <c r="P140" i="1"/>
  <c r="P294" i="1"/>
  <c r="P237" i="1"/>
  <c r="P199" i="1"/>
  <c r="P19" i="1"/>
  <c r="P157" i="1"/>
  <c r="P246" i="1"/>
  <c r="P69" i="1"/>
  <c r="P234" i="1"/>
  <c r="P240" i="1"/>
  <c r="P42" i="1"/>
  <c r="P58" i="1"/>
  <c r="P198" i="1"/>
  <c r="P141" i="1"/>
  <c r="P315" i="1"/>
  <c r="P128" i="1"/>
  <c r="P83" i="1"/>
  <c r="P236" i="1"/>
  <c r="P85" i="1"/>
  <c r="P182" i="1"/>
  <c r="P3" i="1"/>
  <c r="P205" i="1"/>
  <c r="P230" i="1"/>
  <c r="P314" i="1"/>
  <c r="P126" i="1"/>
  <c r="P284" i="1"/>
  <c r="P227" i="1"/>
  <c r="P180" i="1"/>
  <c r="P36" i="1"/>
  <c r="P223" i="1"/>
  <c r="P247" i="1"/>
  <c r="P175" i="1"/>
  <c r="P49" i="1"/>
  <c r="P131" i="1"/>
  <c r="P160" i="1"/>
  <c r="P245" i="1"/>
  <c r="P300" i="1"/>
  <c r="P152" i="1"/>
  <c r="P172" i="1"/>
  <c r="P68" i="1"/>
  <c r="P91" i="1"/>
  <c r="P6" i="1"/>
  <c r="P90" i="1"/>
  <c r="P72" i="1"/>
  <c r="P262" i="1"/>
  <c r="P52" i="1"/>
  <c r="P134" i="1"/>
  <c r="P248" i="1"/>
  <c r="P285" i="1"/>
  <c r="P113" i="1"/>
  <c r="P87" i="1"/>
  <c r="P38" i="1"/>
  <c r="P301" i="1"/>
  <c r="P252" i="1"/>
  <c r="P64" i="1"/>
  <c r="P293" i="1"/>
  <c r="P44" i="1"/>
  <c r="P244" i="1"/>
  <c r="P206" i="1"/>
  <c r="P174" i="1"/>
  <c r="P31" i="1"/>
  <c r="P312" i="1"/>
  <c r="P2" i="1"/>
  <c r="P118" i="1"/>
  <c r="P133" i="1"/>
  <c r="P268" i="1"/>
  <c r="P167" i="1"/>
  <c r="P281" i="1"/>
  <c r="P138" i="1"/>
  <c r="P228" i="1"/>
  <c r="P225" i="1"/>
  <c r="P93" i="1"/>
  <c r="P204" i="1"/>
  <c r="P188" i="1"/>
  <c r="P98" i="1"/>
  <c r="P239" i="1"/>
  <c r="P286" i="1"/>
  <c r="P208" i="1"/>
  <c r="P41" i="1"/>
  <c r="P10" i="1"/>
  <c r="P303" i="1"/>
  <c r="P250" i="1"/>
  <c r="P231" i="1"/>
  <c r="P92" i="1"/>
  <c r="P142" i="1"/>
  <c r="P114" i="1"/>
  <c r="P282" i="1"/>
  <c r="P54" i="1"/>
  <c r="P17" i="1"/>
  <c r="P102" i="1"/>
  <c r="P214" i="1"/>
  <c r="P164" i="1"/>
  <c r="P104" i="1"/>
  <c r="P241" i="1"/>
  <c r="P103" i="1"/>
  <c r="P217" i="1"/>
  <c r="P127" i="1"/>
  <c r="P18" i="1"/>
  <c r="P264" i="1"/>
  <c r="P120" i="1"/>
  <c r="P311" i="1"/>
  <c r="P154" i="1"/>
  <c r="P186" i="1"/>
  <c r="P224" i="1"/>
  <c r="P65" i="1"/>
  <c r="P150" i="1"/>
  <c r="P96" i="1"/>
  <c r="P203" i="1"/>
  <c r="P81" i="1"/>
  <c r="P28" i="1"/>
  <c r="P169" i="1"/>
  <c r="P191" i="1"/>
  <c r="P297" i="1"/>
  <c r="P279" i="1"/>
  <c r="P74" i="1"/>
  <c r="P135" i="1"/>
  <c r="P181" i="1"/>
  <c r="P288" i="1"/>
  <c r="P79" i="1"/>
  <c r="P207" i="1"/>
  <c r="P298" i="1"/>
  <c r="P249" i="1"/>
  <c r="P40" i="1"/>
  <c r="P179" i="1"/>
  <c r="P263" i="1"/>
  <c r="P307" i="1"/>
  <c r="P178" i="1"/>
  <c r="P136" i="1"/>
  <c r="P166" i="1"/>
  <c r="P100" i="1"/>
  <c r="P60" i="1"/>
  <c r="P211" i="1"/>
  <c r="P265" i="1"/>
  <c r="P139" i="1"/>
  <c r="P9" i="1"/>
  <c r="P80" i="1"/>
  <c r="P267" i="1"/>
  <c r="P70" i="1"/>
  <c r="P101" i="1"/>
  <c r="P278" i="1"/>
  <c r="P76" i="1"/>
  <c r="P177" i="1"/>
  <c r="P295" i="1"/>
  <c r="P185" i="1"/>
  <c r="P308" i="1"/>
  <c r="P5" i="1"/>
  <c r="P24" i="1"/>
  <c r="P50" i="1"/>
  <c r="P210" i="1"/>
  <c r="P149" i="1"/>
  <c r="P229" i="1"/>
  <c r="P305" i="1"/>
  <c r="P144" i="1"/>
  <c r="P39" i="1"/>
  <c r="P226" i="1"/>
  <c r="P290" i="1"/>
  <c r="P122" i="1"/>
  <c r="P132" i="1"/>
  <c r="P129" i="1"/>
  <c r="P176" i="1"/>
  <c r="P115" i="1"/>
  <c r="P8" i="1"/>
  <c r="P192" i="1"/>
  <c r="P235" i="1"/>
  <c r="P29" i="1"/>
  <c r="P291" i="1"/>
  <c r="P37" i="1"/>
  <c r="P220" i="1"/>
  <c r="P45" i="1"/>
  <c r="P67" i="1"/>
  <c r="P56" i="1"/>
  <c r="P14" i="1"/>
  <c r="P196" i="1"/>
  <c r="P43" i="1"/>
  <c r="P200" i="1"/>
  <c r="P170" i="1"/>
  <c r="P261" i="1"/>
  <c r="P53" i="1"/>
  <c r="P161" i="1"/>
  <c r="P242" i="1"/>
  <c r="P111" i="1"/>
  <c r="P143" i="1"/>
  <c r="P15" i="1"/>
  <c r="P107" i="1"/>
  <c r="P123" i="1"/>
  <c r="P306" i="1"/>
  <c r="P82" i="1"/>
  <c r="P310" i="1"/>
  <c r="P89" i="1"/>
  <c r="P25" i="1"/>
  <c r="P287" i="1"/>
  <c r="P12" i="1"/>
  <c r="P313" i="1"/>
  <c r="P147" i="1"/>
  <c r="P276" i="1"/>
  <c r="P219" i="1"/>
  <c r="P190" i="1"/>
  <c r="P158" i="1"/>
  <c r="P78" i="1"/>
</calcChain>
</file>

<file path=xl/sharedStrings.xml><?xml version="1.0" encoding="utf-8"?>
<sst xmlns="http://schemas.openxmlformats.org/spreadsheetml/2006/main" count="126" uniqueCount="20">
  <si>
    <t>Time (s)</t>
  </si>
  <si>
    <t>Image #</t>
  </si>
  <si>
    <t>Markers</t>
  </si>
  <si>
    <t>YFP adjust</t>
  </si>
  <si>
    <t>Slope of linear trendline</t>
  </si>
  <si>
    <r>
      <t>R</t>
    </r>
    <r>
      <rPr>
        <b/>
        <vertAlign val="subscript"/>
        <sz val="10"/>
        <rFont val="Arial"/>
        <family val="2"/>
      </rPr>
      <t>0</t>
    </r>
  </si>
  <si>
    <r>
      <rPr>
        <b/>
        <sz val="10"/>
        <rFont val="Symbol"/>
        <family val="1"/>
      </rPr>
      <t>D</t>
    </r>
    <r>
      <rPr>
        <b/>
        <sz val="10"/>
        <rFont val="Arial"/>
        <family val="2"/>
      </rPr>
      <t>R/R</t>
    </r>
    <r>
      <rPr>
        <b/>
        <vertAlign val="subscript"/>
        <sz val="10"/>
        <rFont val="Arial"/>
        <family val="2"/>
      </rPr>
      <t>0</t>
    </r>
  </si>
  <si>
    <t>21% O2</t>
  </si>
  <si>
    <r>
      <t>R</t>
    </r>
    <r>
      <rPr>
        <b/>
        <vertAlign val="superscript"/>
        <sz val="10"/>
        <rFont val="Arial"/>
        <family val="2"/>
      </rPr>
      <t>2</t>
    </r>
  </si>
  <si>
    <t>For baseline correction:</t>
  </si>
  <si>
    <t>For O2 pulse line:</t>
  </si>
  <si>
    <t>7% O2</t>
  </si>
  <si>
    <t>R1_DensMeanChannel0::R1_mScarlet</t>
  </si>
  <si>
    <t>R1_DensMeanChannel1::R1_eGFP</t>
  </si>
  <si>
    <t>R2_DensMeanChannel0::R2_mScarlet</t>
  </si>
  <si>
    <t>R2_DensMeanChannel1::R2_eGFP</t>
  </si>
  <si>
    <t>GFP</t>
  </si>
  <si>
    <t>mScarlet</t>
  </si>
  <si>
    <t>GFP/mScarlet ratio</t>
  </si>
  <si>
    <t>GFP/mScarlet, baseline-adjusted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</si>
</sst>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vertAlign val="subscript"/>
      <sz val="10"/>
      <name val="Arial"/>
      <family val="2"/>
    </font>
    <font>
      <b/>
      <sz val="10"/>
      <name val="Symbol"/>
      <family val="1"/>
    </font>
    <font>
      <b/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2" fillId="0" borderId="0" xfId="1" applyFont="1"/>
    <xf numFmtId="0" fontId="1" fillId="0" borderId="0" xfId="0" applyFont="1"/>
    <xf numFmtId="0" fontId="2" fillId="0" borderId="0" xfId="1" applyFont="1" applyAlignment="1">
      <alignment wrapText="1"/>
    </xf>
    <xf numFmtId="0" fontId="1" fillId="2" borderId="0" xfId="1" applyFill="1"/>
    <xf numFmtId="164" fontId="1" fillId="2" borderId="0" xfId="1" applyNumberFormat="1" applyFill="1"/>
    <xf numFmtId="2" fontId="1" fillId="2" borderId="0" xfId="1" applyNumberFormat="1" applyFill="1"/>
    <xf numFmtId="165" fontId="1" fillId="2" borderId="0" xfId="1" applyNumberFormat="1" applyFill="1"/>
    <xf numFmtId="0" fontId="1" fillId="0" borderId="0" xfId="1"/>
    <xf numFmtId="164" fontId="1" fillId="0" borderId="0" xfId="1" applyNumberFormat="1"/>
    <xf numFmtId="2" fontId="1" fillId="0" borderId="0" xfId="1" applyNumberFormat="1"/>
    <xf numFmtId="165" fontId="1" fillId="0" borderId="0" xfId="1" applyNumberFormat="1"/>
    <xf numFmtId="0" fontId="1" fillId="0" borderId="0" xfId="1" quotePrefix="1"/>
    <xf numFmtId="0" fontId="1" fillId="3" borderId="0" xfId="1" applyFill="1"/>
    <xf numFmtId="164" fontId="1" fillId="3" borderId="0" xfId="1" applyNumberFormat="1" applyFill="1"/>
    <xf numFmtId="2" fontId="1" fillId="3" borderId="0" xfId="1" applyNumberFormat="1" applyFill="1"/>
    <xf numFmtId="0" fontId="0" fillId="0" borderId="0" xfId="0" applyAlignment="1">
      <alignment horizontal="center"/>
    </xf>
  </cellXfs>
  <cellStyles count="2">
    <cellStyle name="Normal" xfId="0" builtinId="0"/>
    <cellStyle name="Normal 2" xfId="1" xr:uid="{1D49C091-8A5D-49A2-90C3-7E5CC801D3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889694343762601"/>
          <c:y val="0.20035596321915899"/>
          <c:w val="0.65156849851686605"/>
          <c:h val="0.60479122848313205"/>
        </c:manualLayout>
      </c:layout>
      <c:scatterChart>
        <c:scatterStyle val="lineMarker"/>
        <c:varyColors val="0"/>
        <c:ser>
          <c:idx val="0"/>
          <c:order val="0"/>
          <c:tx>
            <c:v>mScarlet</c:v>
          </c:tx>
          <c:marker>
            <c:symbol val="none"/>
          </c:marker>
          <c:xVal>
            <c:numRef>
              <c:f>'240807B008'!$A$2:$A$321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'240807B008'!$J$2:$J$321</c:f>
              <c:numCache>
                <c:formatCode>0.0</c:formatCode>
                <c:ptCount val="320"/>
                <c:pt idx="0">
                  <c:v>2559.5622765037197</c:v>
                </c:pt>
                <c:pt idx="1">
                  <c:v>2495.99918927101</c:v>
                </c:pt>
                <c:pt idx="2">
                  <c:v>2476.6776562508098</c:v>
                </c:pt>
                <c:pt idx="3">
                  <c:v>2459.52978233863</c:v>
                </c:pt>
                <c:pt idx="4">
                  <c:v>2473.7723537859101</c:v>
                </c:pt>
                <c:pt idx="5">
                  <c:v>2514.1159745955597</c:v>
                </c:pt>
                <c:pt idx="6">
                  <c:v>2345.4959504878898</c:v>
                </c:pt>
                <c:pt idx="7">
                  <c:v>2313.15330590752</c:v>
                </c:pt>
                <c:pt idx="8">
                  <c:v>2324.9757561256797</c:v>
                </c:pt>
                <c:pt idx="9">
                  <c:v>2309.6658296787496</c:v>
                </c:pt>
                <c:pt idx="10">
                  <c:v>2058.4187499387103</c:v>
                </c:pt>
                <c:pt idx="11">
                  <c:v>1878.80527457003</c:v>
                </c:pt>
                <c:pt idx="12">
                  <c:v>2364.5614764623701</c:v>
                </c:pt>
                <c:pt idx="13">
                  <c:v>2317.3298271178601</c:v>
                </c:pt>
                <c:pt idx="14">
                  <c:v>2326.5528560364601</c:v>
                </c:pt>
                <c:pt idx="15">
                  <c:v>2372.4872484950602</c:v>
                </c:pt>
                <c:pt idx="16">
                  <c:v>2359.35735575849</c:v>
                </c:pt>
                <c:pt idx="17">
                  <c:v>2403.77132625376</c:v>
                </c:pt>
                <c:pt idx="18">
                  <c:v>2528.6232470015502</c:v>
                </c:pt>
                <c:pt idx="19">
                  <c:v>2540.9725916383104</c:v>
                </c:pt>
                <c:pt idx="20">
                  <c:v>2446.7571537171902</c:v>
                </c:pt>
                <c:pt idx="21">
                  <c:v>2458.8122373911501</c:v>
                </c:pt>
                <c:pt idx="22">
                  <c:v>2439.7270319988702</c:v>
                </c:pt>
                <c:pt idx="23">
                  <c:v>2420.1583045997199</c:v>
                </c:pt>
                <c:pt idx="24">
                  <c:v>2416.8480566923899</c:v>
                </c:pt>
                <c:pt idx="25">
                  <c:v>2453.4524282798302</c:v>
                </c:pt>
                <c:pt idx="26">
                  <c:v>2417.48663097708</c:v>
                </c:pt>
                <c:pt idx="27">
                  <c:v>2426.41733523938</c:v>
                </c:pt>
                <c:pt idx="28">
                  <c:v>2528.5186438011201</c:v>
                </c:pt>
                <c:pt idx="29">
                  <c:v>2549.2510213373102</c:v>
                </c:pt>
                <c:pt idx="30">
                  <c:v>2533.72719341427</c:v>
                </c:pt>
                <c:pt idx="31">
                  <c:v>2417.2838184827501</c:v>
                </c:pt>
                <c:pt idx="32">
                  <c:v>2431.9058077658201</c:v>
                </c:pt>
                <c:pt idx="33">
                  <c:v>2417.0728771501899</c:v>
                </c:pt>
                <c:pt idx="34">
                  <c:v>2308.9687720449097</c:v>
                </c:pt>
                <c:pt idx="35">
                  <c:v>2201.8295134341297</c:v>
                </c:pt>
                <c:pt idx="36">
                  <c:v>2261.3540748898699</c:v>
                </c:pt>
                <c:pt idx="37">
                  <c:v>2164.1756632622496</c:v>
                </c:pt>
                <c:pt idx="38">
                  <c:v>2095.4634538034497</c:v>
                </c:pt>
                <c:pt idx="39">
                  <c:v>2011.4728719306402</c:v>
                </c:pt>
                <c:pt idx="40">
                  <c:v>2249.2286129668901</c:v>
                </c:pt>
                <c:pt idx="41">
                  <c:v>2278.39377716838</c:v>
                </c:pt>
                <c:pt idx="42">
                  <c:v>2198.4521488779096</c:v>
                </c:pt>
                <c:pt idx="43">
                  <c:v>2210.4465711532703</c:v>
                </c:pt>
                <c:pt idx="44">
                  <c:v>2216.87681404975</c:v>
                </c:pt>
                <c:pt idx="45">
                  <c:v>2374.06916202313</c:v>
                </c:pt>
                <c:pt idx="46">
                  <c:v>2237.9741712129298</c:v>
                </c:pt>
                <c:pt idx="47">
                  <c:v>2342.7392201767902</c:v>
                </c:pt>
                <c:pt idx="48">
                  <c:v>2354.7875786485001</c:v>
                </c:pt>
                <c:pt idx="49">
                  <c:v>2348.94380197282</c:v>
                </c:pt>
                <c:pt idx="50">
                  <c:v>2293.98839048847</c:v>
                </c:pt>
                <c:pt idx="51">
                  <c:v>2375.8691891119101</c:v>
                </c:pt>
                <c:pt idx="52">
                  <c:v>2537.6577603446003</c:v>
                </c:pt>
                <c:pt idx="53">
                  <c:v>2481.7887398944799</c:v>
                </c:pt>
                <c:pt idx="54">
                  <c:v>2490.9070642618799</c:v>
                </c:pt>
                <c:pt idx="55">
                  <c:v>2526.8122142334701</c:v>
                </c:pt>
                <c:pt idx="56">
                  <c:v>2435.7487455799001</c:v>
                </c:pt>
                <c:pt idx="57">
                  <c:v>2301.1712826692301</c:v>
                </c:pt>
                <c:pt idx="58">
                  <c:v>2372.3538597310203</c:v>
                </c:pt>
                <c:pt idx="59">
                  <c:v>2376.3703990042204</c:v>
                </c:pt>
                <c:pt idx="60">
                  <c:v>2288.7127287032899</c:v>
                </c:pt>
                <c:pt idx="61">
                  <c:v>2307.3162274332699</c:v>
                </c:pt>
                <c:pt idx="62">
                  <c:v>2375.5077031798301</c:v>
                </c:pt>
                <c:pt idx="63">
                  <c:v>2408.1168141571698</c:v>
                </c:pt>
                <c:pt idx="64">
                  <c:v>2410.2429391565302</c:v>
                </c:pt>
                <c:pt idx="65">
                  <c:v>2448.0659505850599</c:v>
                </c:pt>
                <c:pt idx="66">
                  <c:v>2428.3255212760696</c:v>
                </c:pt>
                <c:pt idx="67">
                  <c:v>2419.1380391861799</c:v>
                </c:pt>
                <c:pt idx="68">
                  <c:v>2440.4774927266999</c:v>
                </c:pt>
                <c:pt idx="69">
                  <c:v>2482.08830729181</c:v>
                </c:pt>
                <c:pt idx="70">
                  <c:v>2482.4811986070199</c:v>
                </c:pt>
                <c:pt idx="71">
                  <c:v>2478.5007236909</c:v>
                </c:pt>
                <c:pt idx="72">
                  <c:v>2488.8683853921102</c:v>
                </c:pt>
                <c:pt idx="73">
                  <c:v>2527.0979144101498</c:v>
                </c:pt>
                <c:pt idx="74">
                  <c:v>2542.38523670524</c:v>
                </c:pt>
                <c:pt idx="75">
                  <c:v>2526.8888126611596</c:v>
                </c:pt>
                <c:pt idx="76">
                  <c:v>2536.1788451544203</c:v>
                </c:pt>
                <c:pt idx="77">
                  <c:v>2580.1988700342099</c:v>
                </c:pt>
                <c:pt idx="78">
                  <c:v>2586.3050907726101</c:v>
                </c:pt>
                <c:pt idx="79">
                  <c:v>2518.4398069949398</c:v>
                </c:pt>
                <c:pt idx="80">
                  <c:v>2540.9346273963502</c:v>
                </c:pt>
                <c:pt idx="81">
                  <c:v>2559.9316112080301</c:v>
                </c:pt>
                <c:pt idx="82">
                  <c:v>2550.4429158497901</c:v>
                </c:pt>
                <c:pt idx="83">
                  <c:v>2564.6980753151902</c:v>
                </c:pt>
                <c:pt idx="84">
                  <c:v>2442.4127719078301</c:v>
                </c:pt>
                <c:pt idx="85">
                  <c:v>2476.7671274494901</c:v>
                </c:pt>
                <c:pt idx="86">
                  <c:v>2434.0617156606199</c:v>
                </c:pt>
                <c:pt idx="87">
                  <c:v>2441.32167327051</c:v>
                </c:pt>
                <c:pt idx="88">
                  <c:v>2460.3191876866999</c:v>
                </c:pt>
                <c:pt idx="89">
                  <c:v>2440.88102671041</c:v>
                </c:pt>
                <c:pt idx="90">
                  <c:v>2445.5216181726701</c:v>
                </c:pt>
                <c:pt idx="91">
                  <c:v>2350.7998584894599</c:v>
                </c:pt>
                <c:pt idx="92">
                  <c:v>2330.2460450865401</c:v>
                </c:pt>
                <c:pt idx="93">
                  <c:v>2547.0416378578102</c:v>
                </c:pt>
                <c:pt idx="94">
                  <c:v>2541.69022401348</c:v>
                </c:pt>
                <c:pt idx="95">
                  <c:v>2444.1255284617</c:v>
                </c:pt>
                <c:pt idx="96">
                  <c:v>2516.1679028272301</c:v>
                </c:pt>
                <c:pt idx="97">
                  <c:v>2527.59552268993</c:v>
                </c:pt>
                <c:pt idx="98">
                  <c:v>2507.9585382638302</c:v>
                </c:pt>
                <c:pt idx="99">
                  <c:v>2436.4552774639701</c:v>
                </c:pt>
                <c:pt idx="100">
                  <c:v>2359.1334007645301</c:v>
                </c:pt>
                <c:pt idx="101">
                  <c:v>2359.6428476023998</c:v>
                </c:pt>
                <c:pt idx="102">
                  <c:v>2374.6848872450701</c:v>
                </c:pt>
                <c:pt idx="103">
                  <c:v>2397.8252395708</c:v>
                </c:pt>
                <c:pt idx="104">
                  <c:v>2414.72797356828</c:v>
                </c:pt>
                <c:pt idx="105">
                  <c:v>2403.52446099598</c:v>
                </c:pt>
                <c:pt idx="106">
                  <c:v>2381.6299473908198</c:v>
                </c:pt>
                <c:pt idx="107">
                  <c:v>2339.7129254328202</c:v>
                </c:pt>
                <c:pt idx="108">
                  <c:v>2404.30811817227</c:v>
                </c:pt>
                <c:pt idx="109">
                  <c:v>2379.0360818632498</c:v>
                </c:pt>
                <c:pt idx="110">
                  <c:v>2385.8868503190602</c:v>
                </c:pt>
                <c:pt idx="111">
                  <c:v>2409.9416250172399</c:v>
                </c:pt>
                <c:pt idx="112">
                  <c:v>2436.5117737698001</c:v>
                </c:pt>
                <c:pt idx="113">
                  <c:v>2397.0790087117798</c:v>
                </c:pt>
                <c:pt idx="114">
                  <c:v>2377.3825882539104</c:v>
                </c:pt>
                <c:pt idx="115">
                  <c:v>2407.3626311214698</c:v>
                </c:pt>
                <c:pt idx="116">
                  <c:v>2380.4472654811498</c:v>
                </c:pt>
                <c:pt idx="117">
                  <c:v>2266.83484227896</c:v>
                </c:pt>
                <c:pt idx="118">
                  <c:v>2342.1272093067901</c:v>
                </c:pt>
                <c:pt idx="119">
                  <c:v>2322.8642503016699</c:v>
                </c:pt>
                <c:pt idx="120">
                  <c:v>2342.1724252821996</c:v>
                </c:pt>
                <c:pt idx="121">
                  <c:v>2345.7174981501698</c:v>
                </c:pt>
                <c:pt idx="122">
                  <c:v>2380.0584925492299</c:v>
                </c:pt>
                <c:pt idx="123">
                  <c:v>2410.2623730233599</c:v>
                </c:pt>
                <c:pt idx="124">
                  <c:v>2359.6750182532701</c:v>
                </c:pt>
                <c:pt idx="125">
                  <c:v>2413.5011013215803</c:v>
                </c:pt>
                <c:pt idx="126">
                  <c:v>2437.8502202642899</c:v>
                </c:pt>
                <c:pt idx="127">
                  <c:v>2289.4669603524399</c:v>
                </c:pt>
                <c:pt idx="128">
                  <c:v>2274.4427312775297</c:v>
                </c:pt>
                <c:pt idx="129">
                  <c:v>2138.7400881057101</c:v>
                </c:pt>
                <c:pt idx="130">
                  <c:v>2194.2753303965101</c:v>
                </c:pt>
                <c:pt idx="131">
                  <c:v>2260.1949339207499</c:v>
                </c:pt>
                <c:pt idx="132">
                  <c:v>2235.3608614782402</c:v>
                </c:pt>
                <c:pt idx="133">
                  <c:v>2335.1888528692698</c:v>
                </c:pt>
                <c:pt idx="134">
                  <c:v>2329.8042600570902</c:v>
                </c:pt>
                <c:pt idx="135">
                  <c:v>2312.47069706609</c:v>
                </c:pt>
                <c:pt idx="136">
                  <c:v>2320.5449937275898</c:v>
                </c:pt>
                <c:pt idx="137">
                  <c:v>2382.4845864365002</c:v>
                </c:pt>
                <c:pt idx="138">
                  <c:v>2420.8223413753899</c:v>
                </c:pt>
                <c:pt idx="139">
                  <c:v>2354.0631855787897</c:v>
                </c:pt>
                <c:pt idx="140">
                  <c:v>2381.7976414394298</c:v>
                </c:pt>
                <c:pt idx="141">
                  <c:v>2294.4520395746104</c:v>
                </c:pt>
                <c:pt idx="142">
                  <c:v>2336.1214544746799</c:v>
                </c:pt>
                <c:pt idx="143">
                  <c:v>2346.6334412344304</c:v>
                </c:pt>
                <c:pt idx="144">
                  <c:v>2262.0546450215002</c:v>
                </c:pt>
                <c:pt idx="145">
                  <c:v>2266.0654927349601</c:v>
                </c:pt>
                <c:pt idx="146">
                  <c:v>2268.6608793536102</c:v>
                </c:pt>
                <c:pt idx="147">
                  <c:v>2399.2252765540998</c:v>
                </c:pt>
                <c:pt idx="148">
                  <c:v>2415.2004356338302</c:v>
                </c:pt>
                <c:pt idx="149">
                  <c:v>2411.9329906999101</c:v>
                </c:pt>
                <c:pt idx="150">
                  <c:v>2398.28388615841</c:v>
                </c:pt>
                <c:pt idx="151">
                  <c:v>2372.3413619146004</c:v>
                </c:pt>
                <c:pt idx="152">
                  <c:v>2378.66557555381</c:v>
                </c:pt>
                <c:pt idx="153">
                  <c:v>2366.9301036944703</c:v>
                </c:pt>
                <c:pt idx="154">
                  <c:v>2301.14322494011</c:v>
                </c:pt>
                <c:pt idx="155">
                  <c:v>2363.5115489938999</c:v>
                </c:pt>
                <c:pt idx="156">
                  <c:v>2250.73023574235</c:v>
                </c:pt>
                <c:pt idx="157">
                  <c:v>2307.87957732929</c:v>
                </c:pt>
                <c:pt idx="158">
                  <c:v>2305.7493678949299</c:v>
                </c:pt>
                <c:pt idx="159">
                  <c:v>2248.22342241149</c:v>
                </c:pt>
                <c:pt idx="160">
                  <c:v>2177.7029015824201</c:v>
                </c:pt>
                <c:pt idx="161">
                  <c:v>2266.9543407890601</c:v>
                </c:pt>
                <c:pt idx="162">
                  <c:v>2246.87662121924</c:v>
                </c:pt>
                <c:pt idx="163">
                  <c:v>2246.3395025249902</c:v>
                </c:pt>
                <c:pt idx="164">
                  <c:v>2319.1647395583</c:v>
                </c:pt>
                <c:pt idx="165">
                  <c:v>2456.0697389205202</c:v>
                </c:pt>
                <c:pt idx="166">
                  <c:v>2400.5166275085398</c:v>
                </c:pt>
                <c:pt idx="167">
                  <c:v>2348.7237053353397</c:v>
                </c:pt>
                <c:pt idx="168">
                  <c:v>2172.4432648067</c:v>
                </c:pt>
                <c:pt idx="169">
                  <c:v>2075.9692755751598</c:v>
                </c:pt>
                <c:pt idx="170">
                  <c:v>2227.7315369554099</c:v>
                </c:pt>
                <c:pt idx="171">
                  <c:v>2260.0863554121697</c:v>
                </c:pt>
                <c:pt idx="172">
                  <c:v>2213.99431560024</c:v>
                </c:pt>
                <c:pt idx="173">
                  <c:v>2305.7041771990598</c:v>
                </c:pt>
                <c:pt idx="174">
                  <c:v>2259.8446050058096</c:v>
                </c:pt>
                <c:pt idx="175">
                  <c:v>2180.41736198233</c:v>
                </c:pt>
                <c:pt idx="176">
                  <c:v>2211.9885070005198</c:v>
                </c:pt>
                <c:pt idx="177">
                  <c:v>2128.3719450138401</c:v>
                </c:pt>
                <c:pt idx="178">
                  <c:v>2198.6772073683601</c:v>
                </c:pt>
                <c:pt idx="179">
                  <c:v>2266.2636193134399</c:v>
                </c:pt>
                <c:pt idx="180">
                  <c:v>2275.7575680559903</c:v>
                </c:pt>
                <c:pt idx="181">
                  <c:v>2256.9475478862</c:v>
                </c:pt>
                <c:pt idx="182">
                  <c:v>2244.4474480979502</c:v>
                </c:pt>
                <c:pt idx="183">
                  <c:v>2254.62322306229</c:v>
                </c:pt>
                <c:pt idx="184">
                  <c:v>2153.2457965010303</c:v>
                </c:pt>
                <c:pt idx="185">
                  <c:v>2208.2224161301497</c:v>
                </c:pt>
                <c:pt idx="186">
                  <c:v>2198.8980743447796</c:v>
                </c:pt>
                <c:pt idx="187">
                  <c:v>2241.6087472191102</c:v>
                </c:pt>
                <c:pt idx="188">
                  <c:v>2239.4970526995799</c:v>
                </c:pt>
                <c:pt idx="189">
                  <c:v>2214.0156908202403</c:v>
                </c:pt>
                <c:pt idx="190">
                  <c:v>2225.4061628069699</c:v>
                </c:pt>
                <c:pt idx="191">
                  <c:v>2285.8110683423602</c:v>
                </c:pt>
                <c:pt idx="192">
                  <c:v>2307.6297128626798</c:v>
                </c:pt>
                <c:pt idx="193">
                  <c:v>2285.17599813468</c:v>
                </c:pt>
                <c:pt idx="194">
                  <c:v>2203.8589528673797</c:v>
                </c:pt>
                <c:pt idx="195">
                  <c:v>2148.5988509219601</c:v>
                </c:pt>
                <c:pt idx="196">
                  <c:v>2103.9345152235701</c:v>
                </c:pt>
                <c:pt idx="197">
                  <c:v>2177.1713425821499</c:v>
                </c:pt>
                <c:pt idx="198">
                  <c:v>2182.5695247705503</c:v>
                </c:pt>
                <c:pt idx="199">
                  <c:v>1975.9545939432003</c:v>
                </c:pt>
                <c:pt idx="200">
                  <c:v>1896.0029531012399</c:v>
                </c:pt>
                <c:pt idx="201">
                  <c:v>1978.6859527893198</c:v>
                </c:pt>
                <c:pt idx="202">
                  <c:v>2069.8737817238803</c:v>
                </c:pt>
                <c:pt idx="203">
                  <c:v>2017.4530547892</c:v>
                </c:pt>
                <c:pt idx="204">
                  <c:v>2026.4690494064102</c:v>
                </c:pt>
                <c:pt idx="205">
                  <c:v>2003.6267504245502</c:v>
                </c:pt>
                <c:pt idx="206">
                  <c:v>1981.4624590849899</c:v>
                </c:pt>
                <c:pt idx="207">
                  <c:v>1995.8125169197799</c:v>
                </c:pt>
                <c:pt idx="208">
                  <c:v>1911.0442275983</c:v>
                </c:pt>
                <c:pt idx="209">
                  <c:v>1874.86465548716</c:v>
                </c:pt>
                <c:pt idx="210">
                  <c:v>1981.1364859931798</c:v>
                </c:pt>
                <c:pt idx="211">
                  <c:v>2023.1085440650597</c:v>
                </c:pt>
                <c:pt idx="212">
                  <c:v>2082.6504927864203</c:v>
                </c:pt>
                <c:pt idx="213">
                  <c:v>2180.7514895924301</c:v>
                </c:pt>
                <c:pt idx="214">
                  <c:v>2071.4182253477397</c:v>
                </c:pt>
                <c:pt idx="215">
                  <c:v>2078.4424007590901</c:v>
                </c:pt>
                <c:pt idx="216">
                  <c:v>2114.7020443358397</c:v>
                </c:pt>
                <c:pt idx="217">
                  <c:v>2093.4166227601199</c:v>
                </c:pt>
                <c:pt idx="218">
                  <c:v>2066.7149247978996</c:v>
                </c:pt>
                <c:pt idx="219">
                  <c:v>2117.34911894277</c:v>
                </c:pt>
                <c:pt idx="220">
                  <c:v>2040.6338829312299</c:v>
                </c:pt>
                <c:pt idx="221">
                  <c:v>2080.3734657536002</c:v>
                </c:pt>
                <c:pt idx="222">
                  <c:v>2178.2204433739303</c:v>
                </c:pt>
                <c:pt idx="223">
                  <c:v>2023.8723355319403</c:v>
                </c:pt>
                <c:pt idx="224">
                  <c:v>2182.5402838422797</c:v>
                </c:pt>
                <c:pt idx="225">
                  <c:v>1981.4655965777702</c:v>
                </c:pt>
                <c:pt idx="226">
                  <c:v>1904.2868954995699</c:v>
                </c:pt>
                <c:pt idx="227">
                  <c:v>1937.9471365638999</c:v>
                </c:pt>
                <c:pt idx="228">
                  <c:v>1963.6574889868098</c:v>
                </c:pt>
                <c:pt idx="229">
                  <c:v>1951.8810572686998</c:v>
                </c:pt>
                <c:pt idx="230">
                  <c:v>1980.9819135247799</c:v>
                </c:pt>
                <c:pt idx="231">
                  <c:v>2134.3318661323597</c:v>
                </c:pt>
                <c:pt idx="232">
                  <c:v>2139.3561486549902</c:v>
                </c:pt>
                <c:pt idx="233">
                  <c:v>2051.65039761041</c:v>
                </c:pt>
                <c:pt idx="234">
                  <c:v>2030.6747574132999</c:v>
                </c:pt>
                <c:pt idx="235">
                  <c:v>2090.0579700124699</c:v>
                </c:pt>
                <c:pt idx="236">
                  <c:v>2055.3245023884701</c:v>
                </c:pt>
                <c:pt idx="237">
                  <c:v>2045.1291602087299</c:v>
                </c:pt>
                <c:pt idx="238">
                  <c:v>2000.62099885717</c:v>
                </c:pt>
                <c:pt idx="239">
                  <c:v>2000.4672533869898</c:v>
                </c:pt>
                <c:pt idx="240">
                  <c:v>2114.47313119109</c:v>
                </c:pt>
                <c:pt idx="241">
                  <c:v>2094.8687626486799</c:v>
                </c:pt>
                <c:pt idx="242">
                  <c:v>1990.99141552642</c:v>
                </c:pt>
                <c:pt idx="243">
                  <c:v>2059.0077019575601</c:v>
                </c:pt>
                <c:pt idx="244">
                  <c:v>2154.7682254103197</c:v>
                </c:pt>
                <c:pt idx="245">
                  <c:v>2156.6973260650602</c:v>
                </c:pt>
                <c:pt idx="246">
                  <c:v>2079.9072096571804</c:v>
                </c:pt>
                <c:pt idx="247">
                  <c:v>2134.8740383254999</c:v>
                </c:pt>
                <c:pt idx="248">
                  <c:v>2141.32081631952</c:v>
                </c:pt>
                <c:pt idx="249">
                  <c:v>2094.6731047223197</c:v>
                </c:pt>
                <c:pt idx="250">
                  <c:v>2013.13731316644</c:v>
                </c:pt>
                <c:pt idx="251">
                  <c:v>2038.6679070255298</c:v>
                </c:pt>
                <c:pt idx="252">
                  <c:v>2087.8683121850599</c:v>
                </c:pt>
                <c:pt idx="253">
                  <c:v>2001.2872534527201</c:v>
                </c:pt>
                <c:pt idx="254">
                  <c:v>2091.2256733550798</c:v>
                </c:pt>
                <c:pt idx="255">
                  <c:v>1874.01826653698</c:v>
                </c:pt>
                <c:pt idx="256">
                  <c:v>1765.0872185849501</c:v>
                </c:pt>
                <c:pt idx="257">
                  <c:v>1847.2679862243799</c:v>
                </c:pt>
                <c:pt idx="258">
                  <c:v>1942.1122849076401</c:v>
                </c:pt>
                <c:pt idx="259">
                  <c:v>1942.2107600944098</c:v>
                </c:pt>
                <c:pt idx="260">
                  <c:v>1959.4714386545497</c:v>
                </c:pt>
                <c:pt idx="261">
                  <c:v>1898.98004951079</c:v>
                </c:pt>
                <c:pt idx="262">
                  <c:v>1971.4549903710802</c:v>
                </c:pt>
                <c:pt idx="263">
                  <c:v>1910.31624049419</c:v>
                </c:pt>
                <c:pt idx="264">
                  <c:v>1980.79302826309</c:v>
                </c:pt>
                <c:pt idx="265">
                  <c:v>2001.9466418920299</c:v>
                </c:pt>
                <c:pt idx="266">
                  <c:v>1964.0353013560302</c:v>
                </c:pt>
                <c:pt idx="267">
                  <c:v>2098.1403465163403</c:v>
                </c:pt>
                <c:pt idx="268">
                  <c:v>2097.9783574927201</c:v>
                </c:pt>
                <c:pt idx="269">
                  <c:v>2027.3088917874502</c:v>
                </c:pt>
                <c:pt idx="270">
                  <c:v>2014.7555533679799</c:v>
                </c:pt>
                <c:pt idx="271">
                  <c:v>1984.9210703123501</c:v>
                </c:pt>
                <c:pt idx="272">
                  <c:v>2002.9155760096601</c:v>
                </c:pt>
                <c:pt idx="273">
                  <c:v>2061.12493293631</c:v>
                </c:pt>
                <c:pt idx="274">
                  <c:v>1919.1345547916401</c:v>
                </c:pt>
                <c:pt idx="275">
                  <c:v>1871.4890994889302</c:v>
                </c:pt>
                <c:pt idx="276">
                  <c:v>1783.2169419766701</c:v>
                </c:pt>
                <c:pt idx="277">
                  <c:v>1865.81832971535</c:v>
                </c:pt>
                <c:pt idx="278">
                  <c:v>2022.4281004755001</c:v>
                </c:pt>
                <c:pt idx="279">
                  <c:v>1953.7990399800401</c:v>
                </c:pt>
                <c:pt idx="280">
                  <c:v>1914.36196118264</c:v>
                </c:pt>
                <c:pt idx="281">
                  <c:v>1941.5322219438899</c:v>
                </c:pt>
                <c:pt idx="282">
                  <c:v>1805.4145168182101</c:v>
                </c:pt>
                <c:pt idx="283">
                  <c:v>1907.4792586490098</c:v>
                </c:pt>
                <c:pt idx="284">
                  <c:v>1916.62144259567</c:v>
                </c:pt>
                <c:pt idx="285">
                  <c:v>1944.1791663994202</c:v>
                </c:pt>
                <c:pt idx="286">
                  <c:v>2030.6136124828301</c:v>
                </c:pt>
                <c:pt idx="287">
                  <c:v>2058.6160913813201</c:v>
                </c:pt>
                <c:pt idx="288">
                  <c:v>2035.1997609897901</c:v>
                </c:pt>
                <c:pt idx="289">
                  <c:v>2174.0812406172399</c:v>
                </c:pt>
                <c:pt idx="290">
                  <c:v>2144.8610620538698</c:v>
                </c:pt>
                <c:pt idx="291">
                  <c:v>2192.9354635416798</c:v>
                </c:pt>
                <c:pt idx="292">
                  <c:v>2196.92476727955</c:v>
                </c:pt>
                <c:pt idx="293">
                  <c:v>2201.88966188317</c:v>
                </c:pt>
                <c:pt idx="294">
                  <c:v>2145.3541075718699</c:v>
                </c:pt>
                <c:pt idx="295">
                  <c:v>2260.0871918643197</c:v>
                </c:pt>
                <c:pt idx="296">
                  <c:v>2149.5737207726502</c:v>
                </c:pt>
                <c:pt idx="297">
                  <c:v>2136.0168400749603</c:v>
                </c:pt>
                <c:pt idx="298">
                  <c:v>2069.9232558537301</c:v>
                </c:pt>
                <c:pt idx="299">
                  <c:v>2198.5096852240699</c:v>
                </c:pt>
                <c:pt idx="300">
                  <c:v>2209.1707097734497</c:v>
                </c:pt>
                <c:pt idx="301">
                  <c:v>2092.0524519804003</c:v>
                </c:pt>
                <c:pt idx="302">
                  <c:v>2151.1996200810099</c:v>
                </c:pt>
                <c:pt idx="303">
                  <c:v>2107.9180356450202</c:v>
                </c:pt>
                <c:pt idx="304">
                  <c:v>2039.2089883556798</c:v>
                </c:pt>
                <c:pt idx="305">
                  <c:v>2112.2491037182699</c:v>
                </c:pt>
                <c:pt idx="306">
                  <c:v>2058.1118328720099</c:v>
                </c:pt>
                <c:pt idx="307">
                  <c:v>2047.8349632250299</c:v>
                </c:pt>
                <c:pt idx="308">
                  <c:v>2116.83112744138</c:v>
                </c:pt>
                <c:pt idx="309">
                  <c:v>2233.1392928151504</c:v>
                </c:pt>
                <c:pt idx="310">
                  <c:v>2029.8295277237398</c:v>
                </c:pt>
                <c:pt idx="311">
                  <c:v>1981.4201658230502</c:v>
                </c:pt>
                <c:pt idx="312">
                  <c:v>1957.8492694032302</c:v>
                </c:pt>
                <c:pt idx="313">
                  <c:v>2074.2505155122099</c:v>
                </c:pt>
                <c:pt idx="314">
                  <c:v>2211.2709841754104</c:v>
                </c:pt>
                <c:pt idx="315">
                  <c:v>2247.4215588315296</c:v>
                </c:pt>
                <c:pt idx="316">
                  <c:v>2107.8622480455301</c:v>
                </c:pt>
                <c:pt idx="317">
                  <c:v>2033.4275656173998</c:v>
                </c:pt>
                <c:pt idx="318">
                  <c:v>2072.9727116985</c:v>
                </c:pt>
                <c:pt idx="319">
                  <c:v>2034.6053073211601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FD-4FB3-8BB3-55D8E27311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302160"/>
        <c:axId val="674749232"/>
      </c:scatterChart>
      <c:valAx>
        <c:axId val="674302160"/>
        <c:scaling>
          <c:orientation val="minMax"/>
          <c:max val="16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49587444918009099"/>
              <c:y val="0.904319983257905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749232"/>
        <c:crossesAt val="0"/>
        <c:crossBetween val="midCat"/>
        <c:majorUnit val="10"/>
      </c:valAx>
      <c:valAx>
        <c:axId val="674749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mScarlet</a:t>
                </a:r>
              </a:p>
            </c:rich>
          </c:tx>
          <c:layout>
            <c:manualLayout>
              <c:xMode val="edge"/>
              <c:yMode val="edge"/>
              <c:x val="0.11342194610994701"/>
              <c:y val="0.3655863656577810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302160"/>
        <c:crossesAt val="0"/>
        <c:crossBetween val="midCat"/>
      </c:valAx>
      <c:spPr>
        <a:noFill/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corrected data</a:t>
            </a:r>
          </a:p>
        </c:rich>
      </c:tx>
      <c:layout>
        <c:manualLayout>
          <c:xMode val="edge"/>
          <c:yMode val="edge"/>
          <c:x val="0.46015862147666298"/>
          <c:y val="8.1002683653307303E-2"/>
        </c:manualLayout>
      </c:layout>
      <c:overlay val="1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889694343762601"/>
          <c:y val="0.19264140198482901"/>
          <c:w val="0.65156849851686605"/>
          <c:h val="0.61250578971746195"/>
        </c:manualLayout>
      </c:layout>
      <c:scatterChart>
        <c:scatterStyle val="lineMarker"/>
        <c:varyColors val="0"/>
        <c:ser>
          <c:idx val="1"/>
          <c:order val="0"/>
          <c:tx>
            <c:v>O2 Pulse Line</c:v>
          </c:tx>
          <c:marker>
            <c:symbol val="none"/>
          </c:marker>
          <c:xVal>
            <c:numRef>
              <c:f>'[1]Cond. B Template'!$A$82:$A$161</c:f>
              <c:numCache>
                <c:formatCode>General</c:formatCode>
                <c:ptCount val="80"/>
                <c:pt idx="0">
                  <c:v>40.5</c:v>
                </c:pt>
                <c:pt idx="1">
                  <c:v>41</c:v>
                </c:pt>
                <c:pt idx="2">
                  <c:v>41.5</c:v>
                </c:pt>
                <c:pt idx="3">
                  <c:v>42</c:v>
                </c:pt>
                <c:pt idx="4">
                  <c:v>42.5</c:v>
                </c:pt>
                <c:pt idx="5">
                  <c:v>43</c:v>
                </c:pt>
                <c:pt idx="6">
                  <c:v>43.5</c:v>
                </c:pt>
                <c:pt idx="7">
                  <c:v>44</c:v>
                </c:pt>
                <c:pt idx="8">
                  <c:v>44.5</c:v>
                </c:pt>
                <c:pt idx="9">
                  <c:v>45</c:v>
                </c:pt>
                <c:pt idx="10">
                  <c:v>45.5</c:v>
                </c:pt>
                <c:pt idx="11">
                  <c:v>46</c:v>
                </c:pt>
                <c:pt idx="12">
                  <c:v>46.5</c:v>
                </c:pt>
                <c:pt idx="13">
                  <c:v>47</c:v>
                </c:pt>
                <c:pt idx="14">
                  <c:v>47.5</c:v>
                </c:pt>
                <c:pt idx="15">
                  <c:v>48</c:v>
                </c:pt>
                <c:pt idx="16">
                  <c:v>48.5</c:v>
                </c:pt>
                <c:pt idx="17">
                  <c:v>49</c:v>
                </c:pt>
                <c:pt idx="18">
                  <c:v>49.5</c:v>
                </c:pt>
                <c:pt idx="19">
                  <c:v>50</c:v>
                </c:pt>
                <c:pt idx="20">
                  <c:v>50.5</c:v>
                </c:pt>
                <c:pt idx="21">
                  <c:v>51</c:v>
                </c:pt>
                <c:pt idx="22">
                  <c:v>51.5</c:v>
                </c:pt>
                <c:pt idx="23">
                  <c:v>52</c:v>
                </c:pt>
                <c:pt idx="24">
                  <c:v>52.5</c:v>
                </c:pt>
                <c:pt idx="25">
                  <c:v>53</c:v>
                </c:pt>
                <c:pt idx="26">
                  <c:v>53.5</c:v>
                </c:pt>
                <c:pt idx="27">
                  <c:v>54</c:v>
                </c:pt>
                <c:pt idx="28">
                  <c:v>54.5</c:v>
                </c:pt>
                <c:pt idx="29">
                  <c:v>55</c:v>
                </c:pt>
                <c:pt idx="30">
                  <c:v>55.5</c:v>
                </c:pt>
                <c:pt idx="31">
                  <c:v>56</c:v>
                </c:pt>
                <c:pt idx="32">
                  <c:v>56.5</c:v>
                </c:pt>
                <c:pt idx="33">
                  <c:v>57</c:v>
                </c:pt>
                <c:pt idx="34">
                  <c:v>57.5</c:v>
                </c:pt>
                <c:pt idx="35">
                  <c:v>58</c:v>
                </c:pt>
                <c:pt idx="36">
                  <c:v>58.5</c:v>
                </c:pt>
                <c:pt idx="37">
                  <c:v>59</c:v>
                </c:pt>
                <c:pt idx="38">
                  <c:v>59.5</c:v>
                </c:pt>
                <c:pt idx="39">
                  <c:v>60</c:v>
                </c:pt>
                <c:pt idx="40">
                  <c:v>60.5</c:v>
                </c:pt>
                <c:pt idx="41">
                  <c:v>61</c:v>
                </c:pt>
                <c:pt idx="42">
                  <c:v>61.5</c:v>
                </c:pt>
                <c:pt idx="43">
                  <c:v>62</c:v>
                </c:pt>
                <c:pt idx="44">
                  <c:v>62.5</c:v>
                </c:pt>
                <c:pt idx="45">
                  <c:v>63</c:v>
                </c:pt>
                <c:pt idx="46">
                  <c:v>63.5</c:v>
                </c:pt>
                <c:pt idx="47">
                  <c:v>64</c:v>
                </c:pt>
                <c:pt idx="48">
                  <c:v>64.5</c:v>
                </c:pt>
                <c:pt idx="49">
                  <c:v>65</c:v>
                </c:pt>
                <c:pt idx="50">
                  <c:v>65.5</c:v>
                </c:pt>
                <c:pt idx="51">
                  <c:v>66</c:v>
                </c:pt>
                <c:pt idx="52">
                  <c:v>66.5</c:v>
                </c:pt>
                <c:pt idx="53">
                  <c:v>67</c:v>
                </c:pt>
                <c:pt idx="54">
                  <c:v>67.5</c:v>
                </c:pt>
                <c:pt idx="55">
                  <c:v>68</c:v>
                </c:pt>
                <c:pt idx="56">
                  <c:v>68.5</c:v>
                </c:pt>
                <c:pt idx="57">
                  <c:v>69</c:v>
                </c:pt>
                <c:pt idx="58">
                  <c:v>69.5</c:v>
                </c:pt>
                <c:pt idx="59">
                  <c:v>70</c:v>
                </c:pt>
                <c:pt idx="60">
                  <c:v>70.5</c:v>
                </c:pt>
                <c:pt idx="61">
                  <c:v>71</c:v>
                </c:pt>
                <c:pt idx="62">
                  <c:v>71.5</c:v>
                </c:pt>
                <c:pt idx="63">
                  <c:v>72</c:v>
                </c:pt>
                <c:pt idx="64">
                  <c:v>72.5</c:v>
                </c:pt>
                <c:pt idx="65">
                  <c:v>73</c:v>
                </c:pt>
                <c:pt idx="66">
                  <c:v>73.5</c:v>
                </c:pt>
                <c:pt idx="67">
                  <c:v>74</c:v>
                </c:pt>
                <c:pt idx="68">
                  <c:v>74.5</c:v>
                </c:pt>
                <c:pt idx="69">
                  <c:v>75</c:v>
                </c:pt>
                <c:pt idx="70">
                  <c:v>75.5</c:v>
                </c:pt>
                <c:pt idx="71">
                  <c:v>76</c:v>
                </c:pt>
                <c:pt idx="72">
                  <c:v>76.5</c:v>
                </c:pt>
                <c:pt idx="73">
                  <c:v>77</c:v>
                </c:pt>
                <c:pt idx="74">
                  <c:v>77.5</c:v>
                </c:pt>
                <c:pt idx="75">
                  <c:v>78</c:v>
                </c:pt>
                <c:pt idx="76">
                  <c:v>78.5</c:v>
                </c:pt>
                <c:pt idx="77">
                  <c:v>79</c:v>
                </c:pt>
                <c:pt idx="78">
                  <c:v>79.5</c:v>
                </c:pt>
                <c:pt idx="79">
                  <c:v>80</c:v>
                </c:pt>
              </c:numCache>
            </c:numRef>
          </c:xVal>
          <c:yVal>
            <c:numRef>
              <c:f>'[1]Cond. B Template'!$X$64:$X$143</c:f>
              <c:numCache>
                <c:formatCode>General</c:formatCode>
                <c:ptCount val="80"/>
                <c:pt idx="0">
                  <c:v>-13</c:v>
                </c:pt>
                <c:pt idx="1">
                  <c:v>-13</c:v>
                </c:pt>
                <c:pt idx="2">
                  <c:v>-13</c:v>
                </c:pt>
                <c:pt idx="3">
                  <c:v>-13</c:v>
                </c:pt>
                <c:pt idx="4">
                  <c:v>-13</c:v>
                </c:pt>
                <c:pt idx="5">
                  <c:v>-13</c:v>
                </c:pt>
                <c:pt idx="6">
                  <c:v>-13</c:v>
                </c:pt>
                <c:pt idx="7">
                  <c:v>-13</c:v>
                </c:pt>
                <c:pt idx="8">
                  <c:v>-13</c:v>
                </c:pt>
                <c:pt idx="9">
                  <c:v>-13</c:v>
                </c:pt>
                <c:pt idx="10">
                  <c:v>-13</c:v>
                </c:pt>
                <c:pt idx="11">
                  <c:v>-13</c:v>
                </c:pt>
                <c:pt idx="12">
                  <c:v>-13</c:v>
                </c:pt>
                <c:pt idx="13">
                  <c:v>-13</c:v>
                </c:pt>
                <c:pt idx="14">
                  <c:v>-13</c:v>
                </c:pt>
                <c:pt idx="15">
                  <c:v>-13</c:v>
                </c:pt>
                <c:pt idx="16">
                  <c:v>-13</c:v>
                </c:pt>
                <c:pt idx="17">
                  <c:v>-13</c:v>
                </c:pt>
                <c:pt idx="18">
                  <c:v>-13</c:v>
                </c:pt>
                <c:pt idx="19">
                  <c:v>-13</c:v>
                </c:pt>
                <c:pt idx="20">
                  <c:v>-13</c:v>
                </c:pt>
                <c:pt idx="21">
                  <c:v>-13</c:v>
                </c:pt>
                <c:pt idx="22">
                  <c:v>-13</c:v>
                </c:pt>
                <c:pt idx="23">
                  <c:v>-13</c:v>
                </c:pt>
                <c:pt idx="24">
                  <c:v>-13</c:v>
                </c:pt>
                <c:pt idx="25">
                  <c:v>-13</c:v>
                </c:pt>
                <c:pt idx="26">
                  <c:v>-13</c:v>
                </c:pt>
                <c:pt idx="27">
                  <c:v>-13</c:v>
                </c:pt>
                <c:pt idx="28">
                  <c:v>-13</c:v>
                </c:pt>
                <c:pt idx="29">
                  <c:v>-13</c:v>
                </c:pt>
                <c:pt idx="30">
                  <c:v>-13</c:v>
                </c:pt>
                <c:pt idx="31">
                  <c:v>-13</c:v>
                </c:pt>
                <c:pt idx="32">
                  <c:v>-13</c:v>
                </c:pt>
                <c:pt idx="33">
                  <c:v>-13</c:v>
                </c:pt>
                <c:pt idx="34">
                  <c:v>-13</c:v>
                </c:pt>
                <c:pt idx="35">
                  <c:v>-13</c:v>
                </c:pt>
                <c:pt idx="36">
                  <c:v>-13</c:v>
                </c:pt>
                <c:pt idx="37">
                  <c:v>-13</c:v>
                </c:pt>
                <c:pt idx="38">
                  <c:v>-13</c:v>
                </c:pt>
                <c:pt idx="39">
                  <c:v>-13</c:v>
                </c:pt>
                <c:pt idx="40">
                  <c:v>-13</c:v>
                </c:pt>
                <c:pt idx="41">
                  <c:v>-13</c:v>
                </c:pt>
                <c:pt idx="42">
                  <c:v>-13</c:v>
                </c:pt>
                <c:pt idx="43">
                  <c:v>-13</c:v>
                </c:pt>
                <c:pt idx="44">
                  <c:v>-13</c:v>
                </c:pt>
                <c:pt idx="45">
                  <c:v>-13</c:v>
                </c:pt>
                <c:pt idx="46">
                  <c:v>-13</c:v>
                </c:pt>
                <c:pt idx="47">
                  <c:v>-13</c:v>
                </c:pt>
                <c:pt idx="48">
                  <c:v>-13</c:v>
                </c:pt>
                <c:pt idx="49">
                  <c:v>-13</c:v>
                </c:pt>
                <c:pt idx="50">
                  <c:v>-13</c:v>
                </c:pt>
                <c:pt idx="51">
                  <c:v>-13</c:v>
                </c:pt>
                <c:pt idx="52">
                  <c:v>-13</c:v>
                </c:pt>
                <c:pt idx="53">
                  <c:v>-13</c:v>
                </c:pt>
                <c:pt idx="54">
                  <c:v>-13</c:v>
                </c:pt>
                <c:pt idx="55">
                  <c:v>-13</c:v>
                </c:pt>
                <c:pt idx="56">
                  <c:v>-13</c:v>
                </c:pt>
                <c:pt idx="57">
                  <c:v>-13</c:v>
                </c:pt>
                <c:pt idx="58">
                  <c:v>-13</c:v>
                </c:pt>
                <c:pt idx="59">
                  <c:v>-13</c:v>
                </c:pt>
                <c:pt idx="60">
                  <c:v>-13</c:v>
                </c:pt>
                <c:pt idx="61">
                  <c:v>-13</c:v>
                </c:pt>
                <c:pt idx="62">
                  <c:v>-13</c:v>
                </c:pt>
                <c:pt idx="63">
                  <c:v>-13</c:v>
                </c:pt>
                <c:pt idx="64">
                  <c:v>-13</c:v>
                </c:pt>
                <c:pt idx="65">
                  <c:v>-13</c:v>
                </c:pt>
                <c:pt idx="66">
                  <c:v>-13</c:v>
                </c:pt>
                <c:pt idx="67">
                  <c:v>-13</c:v>
                </c:pt>
                <c:pt idx="68">
                  <c:v>-13</c:v>
                </c:pt>
                <c:pt idx="69">
                  <c:v>-13</c:v>
                </c:pt>
                <c:pt idx="70">
                  <c:v>-13</c:v>
                </c:pt>
                <c:pt idx="71">
                  <c:v>-13</c:v>
                </c:pt>
                <c:pt idx="72">
                  <c:v>-13</c:v>
                </c:pt>
                <c:pt idx="73">
                  <c:v>-13</c:v>
                </c:pt>
                <c:pt idx="74">
                  <c:v>-13</c:v>
                </c:pt>
                <c:pt idx="75">
                  <c:v>-13</c:v>
                </c:pt>
                <c:pt idx="76">
                  <c:v>-13</c:v>
                </c:pt>
                <c:pt idx="77">
                  <c:v>-13</c:v>
                </c:pt>
                <c:pt idx="78">
                  <c:v>-13</c:v>
                </c:pt>
                <c:pt idx="79">
                  <c:v>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96-4070-A8B2-8F61A25880E1}"/>
            </c:ext>
          </c:extLst>
        </c:ser>
        <c:ser>
          <c:idx val="0"/>
          <c:order val="1"/>
          <c:tx>
            <c:v>Corrected Data</c:v>
          </c:tx>
          <c:spPr>
            <a:ln w="381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'240807B008'!$A$2:$A$321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'240807B008'!$P$2:$P$321</c:f>
              <c:numCache>
                <c:formatCode>General</c:formatCode>
                <c:ptCount val="320"/>
                <c:pt idx="0">
                  <c:v>-23.124194801813172</c:v>
                </c:pt>
                <c:pt idx="1">
                  <c:v>-22.125236492412618</c:v>
                </c:pt>
                <c:pt idx="2">
                  <c:v>-22.242882922398451</c:v>
                </c:pt>
                <c:pt idx="3">
                  <c:v>-19.360323310153582</c:v>
                </c:pt>
                <c:pt idx="4">
                  <c:v>-18.759333805640601</c:v>
                </c:pt>
                <c:pt idx="5">
                  <c:v>-18.130561873668348</c:v>
                </c:pt>
                <c:pt idx="6">
                  <c:v>-15.05590209760804</c:v>
                </c:pt>
                <c:pt idx="7">
                  <c:v>-13.761055283908416</c:v>
                </c:pt>
                <c:pt idx="8">
                  <c:v>-18.790034404191157</c:v>
                </c:pt>
                <c:pt idx="9">
                  <c:v>-18.511808779169591</c:v>
                </c:pt>
                <c:pt idx="10">
                  <c:v>-17.529793038068171</c:v>
                </c:pt>
                <c:pt idx="11">
                  <c:v>-19.12051673875682</c:v>
                </c:pt>
                <c:pt idx="12">
                  <c:v>-16.98085930165097</c:v>
                </c:pt>
                <c:pt idx="13">
                  <c:v>-12.961083579157014</c:v>
                </c:pt>
                <c:pt idx="14">
                  <c:v>-10.341786312864363</c:v>
                </c:pt>
                <c:pt idx="15">
                  <c:v>-8.9279240475487036</c:v>
                </c:pt>
                <c:pt idx="16">
                  <c:v>-5.8719408646649658</c:v>
                </c:pt>
                <c:pt idx="17">
                  <c:v>-6.4597846511529378</c:v>
                </c:pt>
                <c:pt idx="18">
                  <c:v>-6.7362531754775512</c:v>
                </c:pt>
                <c:pt idx="19">
                  <c:v>-9.6036449048095776</c:v>
                </c:pt>
                <c:pt idx="20">
                  <c:v>-7.3406387653551537</c:v>
                </c:pt>
                <c:pt idx="21">
                  <c:v>-8.0996915065232056</c:v>
                </c:pt>
                <c:pt idx="22">
                  <c:v>-8.1907420361367151</c:v>
                </c:pt>
                <c:pt idx="23">
                  <c:v>-8.5897767802096521</c:v>
                </c:pt>
                <c:pt idx="24">
                  <c:v>-8.2372933045883752</c:v>
                </c:pt>
                <c:pt idx="25">
                  <c:v>-7.9959471862733222</c:v>
                </c:pt>
                <c:pt idx="26">
                  <c:v>-8.5066664497424078</c:v>
                </c:pt>
                <c:pt idx="27">
                  <c:v>-8.107236013907162</c:v>
                </c:pt>
                <c:pt idx="28">
                  <c:v>-10.284027182094009</c:v>
                </c:pt>
                <c:pt idx="29">
                  <c:v>-10.42047068629355</c:v>
                </c:pt>
                <c:pt idx="30">
                  <c:v>-10.88701418765527</c:v>
                </c:pt>
                <c:pt idx="31">
                  <c:v>-11.821087464401323</c:v>
                </c:pt>
                <c:pt idx="32">
                  <c:v>-14.153321577458778</c:v>
                </c:pt>
                <c:pt idx="33">
                  <c:v>-12.987193842926548</c:v>
                </c:pt>
                <c:pt idx="34">
                  <c:v>-13.191879218538419</c:v>
                </c:pt>
                <c:pt idx="35">
                  <c:v>-11.359186728936789</c:v>
                </c:pt>
                <c:pt idx="36">
                  <c:v>-10.091376882327777</c:v>
                </c:pt>
                <c:pt idx="37">
                  <c:v>-9.1700888413623645</c:v>
                </c:pt>
                <c:pt idx="38">
                  <c:v>-12.697321736340836</c:v>
                </c:pt>
                <c:pt idx="39">
                  <c:v>-10.699382437361882</c:v>
                </c:pt>
                <c:pt idx="40">
                  <c:v>-12.737201249132424</c:v>
                </c:pt>
                <c:pt idx="41">
                  <c:v>-13.237738720213176</c:v>
                </c:pt>
                <c:pt idx="42">
                  <c:v>-8.8257132854244755</c:v>
                </c:pt>
                <c:pt idx="43">
                  <c:v>-7.3985128792721326</c:v>
                </c:pt>
                <c:pt idx="44">
                  <c:v>-9.6384167534355214</c:v>
                </c:pt>
                <c:pt idx="45">
                  <c:v>-8.8735225324606066</c:v>
                </c:pt>
                <c:pt idx="46">
                  <c:v>-8.8132651106079241</c:v>
                </c:pt>
                <c:pt idx="47">
                  <c:v>-11.308831667346547</c:v>
                </c:pt>
                <c:pt idx="48">
                  <c:v>-11.933459392160541</c:v>
                </c:pt>
                <c:pt idx="49">
                  <c:v>-6.6456479903786754</c:v>
                </c:pt>
                <c:pt idx="50">
                  <c:v>-6.1235342563148798</c:v>
                </c:pt>
                <c:pt idx="51">
                  <c:v>-7.2264959504913548</c:v>
                </c:pt>
                <c:pt idx="52">
                  <c:v>-10.800570729794256</c:v>
                </c:pt>
                <c:pt idx="53">
                  <c:v>-11.055989932636221</c:v>
                </c:pt>
                <c:pt idx="54">
                  <c:v>-9.8464452578316148</c:v>
                </c:pt>
                <c:pt idx="55">
                  <c:v>-10.09806980247655</c:v>
                </c:pt>
                <c:pt idx="56">
                  <c:v>-7.8903571296397761</c:v>
                </c:pt>
                <c:pt idx="57">
                  <c:v>-5.3856893924191862</c:v>
                </c:pt>
                <c:pt idx="58">
                  <c:v>-6.6215678001962974</c:v>
                </c:pt>
                <c:pt idx="59">
                  <c:v>-6.7889095027153399</c:v>
                </c:pt>
                <c:pt idx="60">
                  <c:v>-6.710865488648043</c:v>
                </c:pt>
                <c:pt idx="61">
                  <c:v>-6.2165168831775182</c:v>
                </c:pt>
                <c:pt idx="62">
                  <c:v>-6.1648334913766396</c:v>
                </c:pt>
                <c:pt idx="63">
                  <c:v>-5.3248510408657674</c:v>
                </c:pt>
                <c:pt idx="64">
                  <c:v>-5.2921360483392208</c:v>
                </c:pt>
                <c:pt idx="65">
                  <c:v>-4.3987783580108086</c:v>
                </c:pt>
                <c:pt idx="66">
                  <c:v>-3.8516678470021715</c:v>
                </c:pt>
                <c:pt idx="67">
                  <c:v>-3.0714136317773351</c:v>
                </c:pt>
                <c:pt idx="68">
                  <c:v>-2.3698964417098582</c:v>
                </c:pt>
                <c:pt idx="69">
                  <c:v>0.17541852541690067</c:v>
                </c:pt>
                <c:pt idx="70">
                  <c:v>1.5140201733447913</c:v>
                </c:pt>
                <c:pt idx="71">
                  <c:v>1.3380209226629241</c:v>
                </c:pt>
                <c:pt idx="72">
                  <c:v>2.0338942215383802</c:v>
                </c:pt>
                <c:pt idx="73">
                  <c:v>2.7732970789672953</c:v>
                </c:pt>
                <c:pt idx="74">
                  <c:v>3.0292960990806868</c:v>
                </c:pt>
                <c:pt idx="75">
                  <c:v>4.2591811909865456</c:v>
                </c:pt>
                <c:pt idx="76">
                  <c:v>5.2332227238138751</c:v>
                </c:pt>
                <c:pt idx="77">
                  <c:v>6.1702809972369472</c:v>
                </c:pt>
                <c:pt idx="78">
                  <c:v>7.2381584909954517</c:v>
                </c:pt>
                <c:pt idx="79">
                  <c:v>9.6361688068635196</c:v>
                </c:pt>
                <c:pt idx="80">
                  <c:v>8.8196021787741579</c:v>
                </c:pt>
                <c:pt idx="81">
                  <c:v>9.5613389894823086</c:v>
                </c:pt>
                <c:pt idx="82">
                  <c:v>9.2913780952422087</c:v>
                </c:pt>
                <c:pt idx="83">
                  <c:v>5.3285065743504596</c:v>
                </c:pt>
                <c:pt idx="84">
                  <c:v>3.3215223872645074</c:v>
                </c:pt>
                <c:pt idx="85">
                  <c:v>0.19986469921573108</c:v>
                </c:pt>
                <c:pt idx="86">
                  <c:v>-1.6826347317474195</c:v>
                </c:pt>
                <c:pt idx="87">
                  <c:v>-4.5891755498035245</c:v>
                </c:pt>
                <c:pt idx="88">
                  <c:v>-7.5844635582608397</c:v>
                </c:pt>
                <c:pt idx="89">
                  <c:v>-10.242442986375279</c:v>
                </c:pt>
                <c:pt idx="90">
                  <c:v>-12.816712415305393</c:v>
                </c:pt>
                <c:pt idx="91">
                  <c:v>-13.819855239198139</c:v>
                </c:pt>
                <c:pt idx="92">
                  <c:v>-16.071293885358664</c:v>
                </c:pt>
                <c:pt idx="93">
                  <c:v>-17.582569688688128</c:v>
                </c:pt>
                <c:pt idx="94">
                  <c:v>-17.967113633709729</c:v>
                </c:pt>
                <c:pt idx="95">
                  <c:v>-17.94204771841919</c:v>
                </c:pt>
                <c:pt idx="96">
                  <c:v>-19.748624617777285</c:v>
                </c:pt>
                <c:pt idx="97">
                  <c:v>-20.728290703437676</c:v>
                </c:pt>
                <c:pt idx="98">
                  <c:v>-22.963856560143757</c:v>
                </c:pt>
                <c:pt idx="99">
                  <c:v>-23.20867948518833</c:v>
                </c:pt>
                <c:pt idx="100">
                  <c:v>-25.21447270139965</c:v>
                </c:pt>
                <c:pt idx="101">
                  <c:v>-27.091877178559393</c:v>
                </c:pt>
                <c:pt idx="102">
                  <c:v>-27.568291101537689</c:v>
                </c:pt>
                <c:pt idx="103">
                  <c:v>-28.372663610268241</c:v>
                </c:pt>
                <c:pt idx="104">
                  <c:v>-28.608634365583114</c:v>
                </c:pt>
                <c:pt idx="105">
                  <c:v>-28.932310921800759</c:v>
                </c:pt>
                <c:pt idx="106">
                  <c:v>-30.160490922614663</c:v>
                </c:pt>
                <c:pt idx="107">
                  <c:v>-29.605788117392564</c:v>
                </c:pt>
                <c:pt idx="108">
                  <c:v>-30.561260702339847</c:v>
                </c:pt>
                <c:pt idx="109">
                  <c:v>-31.062043616435115</c:v>
                </c:pt>
                <c:pt idx="110">
                  <c:v>-31.104559265057784</c:v>
                </c:pt>
                <c:pt idx="111">
                  <c:v>-32.072875791936518</c:v>
                </c:pt>
                <c:pt idx="112">
                  <c:v>-31.916180308676246</c:v>
                </c:pt>
                <c:pt idx="113">
                  <c:v>-32.452807065300824</c:v>
                </c:pt>
                <c:pt idx="114">
                  <c:v>-32.299049447488173</c:v>
                </c:pt>
                <c:pt idx="115">
                  <c:v>-33.20503450864603</c:v>
                </c:pt>
                <c:pt idx="116">
                  <c:v>-33.248084222621081</c:v>
                </c:pt>
                <c:pt idx="117">
                  <c:v>-31.426519955086523</c:v>
                </c:pt>
                <c:pt idx="118">
                  <c:v>-32.628385348441881</c:v>
                </c:pt>
                <c:pt idx="119">
                  <c:v>-32.696250917263001</c:v>
                </c:pt>
                <c:pt idx="120">
                  <c:v>-33.000991344356663</c:v>
                </c:pt>
                <c:pt idx="121">
                  <c:v>-33.672000319057346</c:v>
                </c:pt>
                <c:pt idx="122">
                  <c:v>-33.419474590928836</c:v>
                </c:pt>
                <c:pt idx="123">
                  <c:v>-33.344320032377624</c:v>
                </c:pt>
                <c:pt idx="124">
                  <c:v>-33.121505371575012</c:v>
                </c:pt>
                <c:pt idx="125">
                  <c:v>-32.808674954499722</c:v>
                </c:pt>
                <c:pt idx="126">
                  <c:v>-33.191699734991126</c:v>
                </c:pt>
                <c:pt idx="127">
                  <c:v>-33.709053841911775</c:v>
                </c:pt>
                <c:pt idx="128">
                  <c:v>-33.107883904638612</c:v>
                </c:pt>
                <c:pt idx="129">
                  <c:v>-32.708793956808137</c:v>
                </c:pt>
                <c:pt idx="130">
                  <c:v>-32.948373684422748</c:v>
                </c:pt>
                <c:pt idx="131">
                  <c:v>-32.892895903651379</c:v>
                </c:pt>
                <c:pt idx="132">
                  <c:v>-33.125522822218272</c:v>
                </c:pt>
                <c:pt idx="133">
                  <c:v>-33.713971210896027</c:v>
                </c:pt>
                <c:pt idx="134">
                  <c:v>-33.345285066051211</c:v>
                </c:pt>
                <c:pt idx="135">
                  <c:v>-33.433942472313362</c:v>
                </c:pt>
                <c:pt idx="136">
                  <c:v>-32.452996222808181</c:v>
                </c:pt>
                <c:pt idx="137">
                  <c:v>-31.951489443325947</c:v>
                </c:pt>
                <c:pt idx="138">
                  <c:v>-33.424314758995706</c:v>
                </c:pt>
                <c:pt idx="139">
                  <c:v>-32.860495519536059</c:v>
                </c:pt>
                <c:pt idx="140">
                  <c:v>-33.305131250942011</c:v>
                </c:pt>
                <c:pt idx="141">
                  <c:v>-31.87469226607756</c:v>
                </c:pt>
                <c:pt idx="142">
                  <c:v>-32.251524844282478</c:v>
                </c:pt>
                <c:pt idx="143">
                  <c:v>-31.866005432141836</c:v>
                </c:pt>
                <c:pt idx="144">
                  <c:v>-30.529191665761008</c:v>
                </c:pt>
                <c:pt idx="145">
                  <c:v>-30.622676931765465</c:v>
                </c:pt>
                <c:pt idx="146">
                  <c:v>-30.400624129051923</c:v>
                </c:pt>
                <c:pt idx="147">
                  <c:v>-32.623130768507828</c:v>
                </c:pt>
                <c:pt idx="148">
                  <c:v>-32.711998468290126</c:v>
                </c:pt>
                <c:pt idx="149">
                  <c:v>-32.775342482670915</c:v>
                </c:pt>
                <c:pt idx="150">
                  <c:v>-31.97391354076677</c:v>
                </c:pt>
                <c:pt idx="151">
                  <c:v>-31.929286914349486</c:v>
                </c:pt>
                <c:pt idx="152">
                  <c:v>-32.741885859523947</c:v>
                </c:pt>
                <c:pt idx="153">
                  <c:v>-32.030694123202359</c:v>
                </c:pt>
                <c:pt idx="154">
                  <c:v>-30.861712037451156</c:v>
                </c:pt>
                <c:pt idx="155">
                  <c:v>-30.854754902944663</c:v>
                </c:pt>
                <c:pt idx="156">
                  <c:v>-30.618032068540586</c:v>
                </c:pt>
                <c:pt idx="157">
                  <c:v>-30.671472186598038</c:v>
                </c:pt>
                <c:pt idx="158">
                  <c:v>-30.4010463636465</c:v>
                </c:pt>
                <c:pt idx="159">
                  <c:v>-29.728344222601066</c:v>
                </c:pt>
                <c:pt idx="160">
                  <c:v>-29.648357556762896</c:v>
                </c:pt>
                <c:pt idx="161">
                  <c:v>-28.10312391167783</c:v>
                </c:pt>
                <c:pt idx="162">
                  <c:v>-25.740888943326112</c:v>
                </c:pt>
                <c:pt idx="163">
                  <c:v>-16.456403355404142</c:v>
                </c:pt>
                <c:pt idx="164">
                  <c:v>-6.9586791986137113</c:v>
                </c:pt>
                <c:pt idx="165">
                  <c:v>-0.87426611004139421</c:v>
                </c:pt>
                <c:pt idx="166">
                  <c:v>3.8764867468798156</c:v>
                </c:pt>
                <c:pt idx="167">
                  <c:v>8.5881119432975375</c:v>
                </c:pt>
                <c:pt idx="168">
                  <c:v>13.718147116282719</c:v>
                </c:pt>
                <c:pt idx="169">
                  <c:v>18.416537299690408</c:v>
                </c:pt>
                <c:pt idx="170">
                  <c:v>17.603351623103929</c:v>
                </c:pt>
                <c:pt idx="171">
                  <c:v>18.401113119587198</c:v>
                </c:pt>
                <c:pt idx="172">
                  <c:v>21.627430985843855</c:v>
                </c:pt>
                <c:pt idx="173">
                  <c:v>21.163491060444869</c:v>
                </c:pt>
                <c:pt idx="174">
                  <c:v>22.691453536588494</c:v>
                </c:pt>
                <c:pt idx="175">
                  <c:v>24.844923325254243</c:v>
                </c:pt>
                <c:pt idx="176">
                  <c:v>26.213076185962851</c:v>
                </c:pt>
                <c:pt idx="177">
                  <c:v>27.237837582440772</c:v>
                </c:pt>
                <c:pt idx="178">
                  <c:v>27.698801123575528</c:v>
                </c:pt>
                <c:pt idx="179">
                  <c:v>28.908098927604136</c:v>
                </c:pt>
                <c:pt idx="180">
                  <c:v>29.807425276168775</c:v>
                </c:pt>
                <c:pt idx="181">
                  <c:v>30.895786542432656</c:v>
                </c:pt>
                <c:pt idx="182">
                  <c:v>29.435034475434218</c:v>
                </c:pt>
                <c:pt idx="183">
                  <c:v>32.174034228352596</c:v>
                </c:pt>
                <c:pt idx="184">
                  <c:v>31.929968554185777</c:v>
                </c:pt>
                <c:pt idx="185">
                  <c:v>31.294541118298387</c:v>
                </c:pt>
                <c:pt idx="186">
                  <c:v>34.740361021133275</c:v>
                </c:pt>
                <c:pt idx="187">
                  <c:v>37.548980514575</c:v>
                </c:pt>
                <c:pt idx="188">
                  <c:v>33.31999554897952</c:v>
                </c:pt>
                <c:pt idx="189">
                  <c:v>33.625589407613404</c:v>
                </c:pt>
                <c:pt idx="190">
                  <c:v>33.681860976222019</c:v>
                </c:pt>
                <c:pt idx="191">
                  <c:v>33.782556387063543</c:v>
                </c:pt>
                <c:pt idx="192">
                  <c:v>34.739918298938768</c:v>
                </c:pt>
                <c:pt idx="193">
                  <c:v>34.564680208204315</c:v>
                </c:pt>
                <c:pt idx="194">
                  <c:v>33.248492113857608</c:v>
                </c:pt>
                <c:pt idx="195">
                  <c:v>34.482743055150372</c:v>
                </c:pt>
                <c:pt idx="196">
                  <c:v>33.705595985699802</c:v>
                </c:pt>
                <c:pt idx="197">
                  <c:v>30.927073603562576</c:v>
                </c:pt>
                <c:pt idx="198">
                  <c:v>29.996488184492055</c:v>
                </c:pt>
                <c:pt idx="199">
                  <c:v>27.209511245661211</c:v>
                </c:pt>
                <c:pt idx="200">
                  <c:v>28.776444888888687</c:v>
                </c:pt>
                <c:pt idx="201">
                  <c:v>29.130967195780915</c:v>
                </c:pt>
                <c:pt idx="202">
                  <c:v>29.509571056803296</c:v>
                </c:pt>
                <c:pt idx="203">
                  <c:v>25.036935312498144</c:v>
                </c:pt>
                <c:pt idx="204">
                  <c:v>24.797676605844448</c:v>
                </c:pt>
                <c:pt idx="205">
                  <c:v>24.176932058701251</c:v>
                </c:pt>
                <c:pt idx="206">
                  <c:v>24.593766775868431</c:v>
                </c:pt>
                <c:pt idx="207">
                  <c:v>23.562093286900115</c:v>
                </c:pt>
                <c:pt idx="208">
                  <c:v>24.260508417155226</c:v>
                </c:pt>
                <c:pt idx="209">
                  <c:v>26.056034326434268</c:v>
                </c:pt>
                <c:pt idx="210">
                  <c:v>25.720576713339266</c:v>
                </c:pt>
                <c:pt idx="211">
                  <c:v>23.246472817664973</c:v>
                </c:pt>
                <c:pt idx="212">
                  <c:v>25.940072079979803</c:v>
                </c:pt>
                <c:pt idx="213">
                  <c:v>25.247757272574063</c:v>
                </c:pt>
                <c:pt idx="214">
                  <c:v>24.414896715768673</c:v>
                </c:pt>
                <c:pt idx="215">
                  <c:v>24.761370651282139</c:v>
                </c:pt>
                <c:pt idx="216">
                  <c:v>24.113307403702073</c:v>
                </c:pt>
                <c:pt idx="217">
                  <c:v>23.697346883519469</c:v>
                </c:pt>
                <c:pt idx="218">
                  <c:v>23.2570515601656</c:v>
                </c:pt>
                <c:pt idx="219">
                  <c:v>24.533818293030695</c:v>
                </c:pt>
                <c:pt idx="220">
                  <c:v>24.678849648783618</c:v>
                </c:pt>
                <c:pt idx="221">
                  <c:v>25.793353685665348</c:v>
                </c:pt>
                <c:pt idx="222">
                  <c:v>24.335027348411604</c:v>
                </c:pt>
                <c:pt idx="223">
                  <c:v>25.987971316935671</c:v>
                </c:pt>
                <c:pt idx="224">
                  <c:v>20.021909034632511</c:v>
                </c:pt>
                <c:pt idx="225">
                  <c:v>19.652705006997913</c:v>
                </c:pt>
                <c:pt idx="226">
                  <c:v>19.123842946990234</c:v>
                </c:pt>
                <c:pt idx="227">
                  <c:v>16.415763149024656</c:v>
                </c:pt>
                <c:pt idx="228">
                  <c:v>15.87942399802033</c:v>
                </c:pt>
                <c:pt idx="229">
                  <c:v>16.637173099468082</c:v>
                </c:pt>
                <c:pt idx="230">
                  <c:v>17.325686910609502</c:v>
                </c:pt>
                <c:pt idx="231">
                  <c:v>15.66039404533889</c:v>
                </c:pt>
                <c:pt idx="232">
                  <c:v>13.872420857576587</c:v>
                </c:pt>
                <c:pt idx="233">
                  <c:v>13.705952739517294</c:v>
                </c:pt>
                <c:pt idx="234">
                  <c:v>12.035163225478502</c:v>
                </c:pt>
                <c:pt idx="235">
                  <c:v>14.104918824071188</c:v>
                </c:pt>
                <c:pt idx="236">
                  <c:v>16.078191944896123</c:v>
                </c:pt>
                <c:pt idx="237">
                  <c:v>16.04828976925997</c:v>
                </c:pt>
                <c:pt idx="238">
                  <c:v>14.309850316650675</c:v>
                </c:pt>
                <c:pt idx="239">
                  <c:v>11.790252567458399</c:v>
                </c:pt>
                <c:pt idx="240">
                  <c:v>13.519007498848415</c:v>
                </c:pt>
                <c:pt idx="241">
                  <c:v>14.554909739945652</c:v>
                </c:pt>
                <c:pt idx="242">
                  <c:v>16.776926627750573</c:v>
                </c:pt>
                <c:pt idx="243">
                  <c:v>19.40232449658053</c:v>
                </c:pt>
                <c:pt idx="244">
                  <c:v>12.140472113442321</c:v>
                </c:pt>
                <c:pt idx="245">
                  <c:v>11.775097628445332</c:v>
                </c:pt>
                <c:pt idx="246">
                  <c:v>11.904361150482748</c:v>
                </c:pt>
                <c:pt idx="247">
                  <c:v>12.818827747116609</c:v>
                </c:pt>
                <c:pt idx="248">
                  <c:v>13.446111953240763</c:v>
                </c:pt>
                <c:pt idx="249">
                  <c:v>10.220634866562726</c:v>
                </c:pt>
                <c:pt idx="250">
                  <c:v>6.297695023538437</c:v>
                </c:pt>
                <c:pt idx="251">
                  <c:v>5.5002361566273672</c:v>
                </c:pt>
                <c:pt idx="252">
                  <c:v>4.5196766455160047</c:v>
                </c:pt>
                <c:pt idx="253">
                  <c:v>4.5828377150836186</c:v>
                </c:pt>
                <c:pt idx="254">
                  <c:v>4.2373954409615093</c:v>
                </c:pt>
                <c:pt idx="255">
                  <c:v>5.1624641873527795</c:v>
                </c:pt>
                <c:pt idx="256">
                  <c:v>6.9606996404262516</c:v>
                </c:pt>
                <c:pt idx="257">
                  <c:v>5.4695039514025279</c:v>
                </c:pt>
                <c:pt idx="258">
                  <c:v>5.4571169006744418</c:v>
                </c:pt>
                <c:pt idx="259">
                  <c:v>4.1091579066705801</c:v>
                </c:pt>
                <c:pt idx="260">
                  <c:v>4.4434770154272734</c:v>
                </c:pt>
                <c:pt idx="261">
                  <c:v>0.73596483227866283</c:v>
                </c:pt>
                <c:pt idx="262">
                  <c:v>0.19986349883197024</c:v>
                </c:pt>
                <c:pt idx="263">
                  <c:v>0.53595864775775259</c:v>
                </c:pt>
                <c:pt idx="264">
                  <c:v>0.74025237683170619</c:v>
                </c:pt>
                <c:pt idx="265">
                  <c:v>0.64425017617020131</c:v>
                </c:pt>
                <c:pt idx="266">
                  <c:v>0.96041594435439825</c:v>
                </c:pt>
                <c:pt idx="267">
                  <c:v>-0.66914004009844352</c:v>
                </c:pt>
                <c:pt idx="268">
                  <c:v>-0.72381066599971489</c:v>
                </c:pt>
                <c:pt idx="269">
                  <c:v>-1.0063840273102804</c:v>
                </c:pt>
                <c:pt idx="270">
                  <c:v>-0.4548086796248339</c:v>
                </c:pt>
                <c:pt idx="271">
                  <c:v>-0.2294374378293888</c:v>
                </c:pt>
                <c:pt idx="272">
                  <c:v>0.12984316496099468</c:v>
                </c:pt>
                <c:pt idx="273">
                  <c:v>-0.95711056701252539</c:v>
                </c:pt>
                <c:pt idx="274">
                  <c:v>-1.5743459266150883</c:v>
                </c:pt>
                <c:pt idx="275">
                  <c:v>-1.5744461139636599</c:v>
                </c:pt>
                <c:pt idx="276">
                  <c:v>-0.9255782665592146</c:v>
                </c:pt>
                <c:pt idx="277">
                  <c:v>-0.94716177251945344</c:v>
                </c:pt>
                <c:pt idx="278">
                  <c:v>-0.27131703076507641</c:v>
                </c:pt>
                <c:pt idx="279">
                  <c:v>-0.29275097206173034</c:v>
                </c:pt>
                <c:pt idx="280">
                  <c:v>0.37615171128482733</c:v>
                </c:pt>
                <c:pt idx="281">
                  <c:v>-0.21855566646282509</c:v>
                </c:pt>
                <c:pt idx="282">
                  <c:v>1.0205459046446173</c:v>
                </c:pt>
                <c:pt idx="283">
                  <c:v>0.11113465801045135</c:v>
                </c:pt>
                <c:pt idx="284">
                  <c:v>-0.2603384124587011</c:v>
                </c:pt>
                <c:pt idx="285">
                  <c:v>-3.6228752917650341E-2</c:v>
                </c:pt>
                <c:pt idx="286">
                  <c:v>0.28189977826301194</c:v>
                </c:pt>
                <c:pt idx="287">
                  <c:v>0.309163103004093</c:v>
                </c:pt>
                <c:pt idx="288">
                  <c:v>1.2940819441693894</c:v>
                </c:pt>
                <c:pt idx="289">
                  <c:v>0.91521706325930208</c:v>
                </c:pt>
                <c:pt idx="290">
                  <c:v>0.86056085424938678</c:v>
                </c:pt>
                <c:pt idx="291">
                  <c:v>0.8936686570639637</c:v>
                </c:pt>
                <c:pt idx="292">
                  <c:v>1.8561940982563168</c:v>
                </c:pt>
                <c:pt idx="293">
                  <c:v>2.2108414221653678</c:v>
                </c:pt>
                <c:pt idx="294">
                  <c:v>1.7070788515422086</c:v>
                </c:pt>
                <c:pt idx="295">
                  <c:v>1.5583605228151389</c:v>
                </c:pt>
                <c:pt idx="296">
                  <c:v>2.8089077377623948</c:v>
                </c:pt>
                <c:pt idx="297">
                  <c:v>1.227049075594568</c:v>
                </c:pt>
                <c:pt idx="298">
                  <c:v>0.30087624042870809</c:v>
                </c:pt>
                <c:pt idx="299">
                  <c:v>0.75415113491185781</c:v>
                </c:pt>
                <c:pt idx="300">
                  <c:v>0.75655927173559245</c:v>
                </c:pt>
                <c:pt idx="301">
                  <c:v>2.1901152767216052</c:v>
                </c:pt>
                <c:pt idx="302">
                  <c:v>1.8554301778566218</c:v>
                </c:pt>
                <c:pt idx="303">
                  <c:v>0.68599348677774374</c:v>
                </c:pt>
                <c:pt idx="304">
                  <c:v>0.12510398037321102</c:v>
                </c:pt>
                <c:pt idx="305">
                  <c:v>0.25924381421147469</c:v>
                </c:pt>
                <c:pt idx="306">
                  <c:v>1.71603562369234</c:v>
                </c:pt>
                <c:pt idx="307">
                  <c:v>0.60442507481288388</c:v>
                </c:pt>
                <c:pt idx="308">
                  <c:v>1.1886314371190765</c:v>
                </c:pt>
                <c:pt idx="309">
                  <c:v>-0.93871486762530776</c:v>
                </c:pt>
                <c:pt idx="310">
                  <c:v>0.54819311978283913</c:v>
                </c:pt>
                <c:pt idx="311">
                  <c:v>-1.2910088291768815</c:v>
                </c:pt>
                <c:pt idx="312">
                  <c:v>-0.57344152874760601</c:v>
                </c:pt>
                <c:pt idx="313">
                  <c:v>-1.2439058015906252</c:v>
                </c:pt>
                <c:pt idx="314">
                  <c:v>-1.3119121631083495</c:v>
                </c:pt>
                <c:pt idx="315">
                  <c:v>-1.3509356792666216</c:v>
                </c:pt>
                <c:pt idx="316">
                  <c:v>-2.2153119339766967</c:v>
                </c:pt>
                <c:pt idx="317">
                  <c:v>-1.0487496501232383</c:v>
                </c:pt>
                <c:pt idx="318">
                  <c:v>-1.8967569460302056</c:v>
                </c:pt>
                <c:pt idx="319">
                  <c:v>-1.6369700618114915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796-4070-A8B2-8F61A25880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576608"/>
        <c:axId val="674579728"/>
      </c:scatterChart>
      <c:valAx>
        <c:axId val="674576608"/>
        <c:scaling>
          <c:orientation val="minMax"/>
          <c:max val="16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50460104986876597"/>
              <c:y val="0.88412609323488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9728"/>
        <c:crossesAt val="0"/>
        <c:crossBetween val="midCat"/>
        <c:majorUnit val="10"/>
      </c:valAx>
      <c:valAx>
        <c:axId val="674579728"/>
        <c:scaling>
          <c:orientation val="minMax"/>
          <c:max val="100"/>
          <c:min val="-60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Symbol"/>
                  </a:rPr>
                  <a:t>% D</a:t>
                </a: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R/R</a:t>
                </a:r>
                <a:r>
                  <a:rPr lang="en-US" sz="1400" b="0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0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10871861805317801"/>
              <c:y val="0.4041593677194850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6608"/>
        <c:crossesAt val="0"/>
        <c:crossBetween val="midCat"/>
      </c:valAx>
      <c:spPr>
        <a:solidFill>
          <a:sysClr val="window" lastClr="FFFFFF"/>
        </a:solidFill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889694343762601"/>
          <c:y val="0.20035596321915899"/>
          <c:w val="0.65156849851686605"/>
          <c:h val="0.60479122848313205"/>
        </c:manualLayout>
      </c:layout>
      <c:scatterChart>
        <c:scatterStyle val="lineMarker"/>
        <c:varyColors val="0"/>
        <c:ser>
          <c:idx val="0"/>
          <c:order val="0"/>
          <c:tx>
            <c:v>mScarlet</c:v>
          </c:tx>
          <c:marker>
            <c:symbol val="none"/>
          </c:marker>
          <c:xVal>
            <c:numRef>
              <c:f>'240807B009'!$A$2:$A$321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'240807B009'!$J$2:$J$321</c:f>
              <c:numCache>
                <c:formatCode>0.0</c:formatCode>
                <c:ptCount val="320"/>
                <c:pt idx="0">
                  <c:v>1474.2284812509502</c:v>
                </c:pt>
                <c:pt idx="1">
                  <c:v>1540.0226848877801</c:v>
                </c:pt>
                <c:pt idx="2">
                  <c:v>1601.50606436463</c:v>
                </c:pt>
                <c:pt idx="3">
                  <c:v>1500.51769474406</c:v>
                </c:pt>
                <c:pt idx="4">
                  <c:v>1563.44432877808</c:v>
                </c:pt>
                <c:pt idx="5">
                  <c:v>1523.05032669606</c:v>
                </c:pt>
                <c:pt idx="6">
                  <c:v>1637.70149446953</c:v>
                </c:pt>
                <c:pt idx="7">
                  <c:v>1628.6582737423901</c:v>
                </c:pt>
                <c:pt idx="8">
                  <c:v>1502.72751338598</c:v>
                </c:pt>
                <c:pt idx="9">
                  <c:v>1428.1353203818901</c:v>
                </c:pt>
                <c:pt idx="10">
                  <c:v>1600.5868342257199</c:v>
                </c:pt>
                <c:pt idx="11">
                  <c:v>1588.35891397771</c:v>
                </c:pt>
                <c:pt idx="12">
                  <c:v>1513.25660314216</c:v>
                </c:pt>
                <c:pt idx="13">
                  <c:v>1442.3182788502199</c:v>
                </c:pt>
                <c:pt idx="14">
                  <c:v>1477.2836814851</c:v>
                </c:pt>
                <c:pt idx="15">
                  <c:v>1454.9882535833499</c:v>
                </c:pt>
                <c:pt idx="16">
                  <c:v>1422.47216810802</c:v>
                </c:pt>
                <c:pt idx="17">
                  <c:v>1428.2103206435102</c:v>
                </c:pt>
                <c:pt idx="18">
                  <c:v>1478.0430388067798</c:v>
                </c:pt>
                <c:pt idx="19">
                  <c:v>1500.9844999356199</c:v>
                </c:pt>
                <c:pt idx="20">
                  <c:v>1532.8443548709499</c:v>
                </c:pt>
                <c:pt idx="21">
                  <c:v>1561.0064826785801</c:v>
                </c:pt>
                <c:pt idx="22">
                  <c:v>1607.86672295362</c:v>
                </c:pt>
                <c:pt idx="23">
                  <c:v>1597.12649006622</c:v>
                </c:pt>
                <c:pt idx="24">
                  <c:v>1550.35505148639</c:v>
                </c:pt>
                <c:pt idx="25">
                  <c:v>1597.7170805186799</c:v>
                </c:pt>
                <c:pt idx="26">
                  <c:v>1562.63334368336</c:v>
                </c:pt>
                <c:pt idx="27">
                  <c:v>1537.1042272326399</c:v>
                </c:pt>
                <c:pt idx="28">
                  <c:v>1616.73458568243</c:v>
                </c:pt>
                <c:pt idx="29">
                  <c:v>1585.6410395883699</c:v>
                </c:pt>
                <c:pt idx="30">
                  <c:v>1668.8139063952699</c:v>
                </c:pt>
                <c:pt idx="31">
                  <c:v>1610.62569775308</c:v>
                </c:pt>
                <c:pt idx="32">
                  <c:v>1597.45583263656</c:v>
                </c:pt>
                <c:pt idx="33">
                  <c:v>1542.0751777448102</c:v>
                </c:pt>
                <c:pt idx="34">
                  <c:v>1506.3206028926099</c:v>
                </c:pt>
                <c:pt idx="35">
                  <c:v>1615.3003787459299</c:v>
                </c:pt>
                <c:pt idx="36">
                  <c:v>1568.0868856452898</c:v>
                </c:pt>
                <c:pt idx="37">
                  <c:v>1552.15517951674</c:v>
                </c:pt>
                <c:pt idx="38">
                  <c:v>1604.37090965474</c:v>
                </c:pt>
                <c:pt idx="39">
                  <c:v>1530.6484816939101</c:v>
                </c:pt>
                <c:pt idx="40">
                  <c:v>1704.2610965655299</c:v>
                </c:pt>
                <c:pt idx="41">
                  <c:v>1721.3139134411699</c:v>
                </c:pt>
                <c:pt idx="42">
                  <c:v>1787.69423322168</c:v>
                </c:pt>
                <c:pt idx="43">
                  <c:v>1677.4576391232899</c:v>
                </c:pt>
                <c:pt idx="44">
                  <c:v>1683.24345352619</c:v>
                </c:pt>
                <c:pt idx="45">
                  <c:v>1681.7595364677099</c:v>
                </c:pt>
                <c:pt idx="46">
                  <c:v>1736.2273167696501</c:v>
                </c:pt>
                <c:pt idx="47">
                  <c:v>1626.0032494892798</c:v>
                </c:pt>
                <c:pt idx="48">
                  <c:v>1575.86567409805</c:v>
                </c:pt>
                <c:pt idx="49">
                  <c:v>1649.32504467217</c:v>
                </c:pt>
                <c:pt idx="50">
                  <c:v>1645.9806624292401</c:v>
                </c:pt>
                <c:pt idx="51">
                  <c:v>1648.00591055168</c:v>
                </c:pt>
                <c:pt idx="52">
                  <c:v>1627.1033707367001</c:v>
                </c:pt>
                <c:pt idx="53">
                  <c:v>1616.9047005663699</c:v>
                </c:pt>
                <c:pt idx="54">
                  <c:v>1685.18296166757</c:v>
                </c:pt>
                <c:pt idx="55">
                  <c:v>1652.2828214587</c:v>
                </c:pt>
                <c:pt idx="56">
                  <c:v>1684.39304413533</c:v>
                </c:pt>
                <c:pt idx="57">
                  <c:v>1715.9553802391301</c:v>
                </c:pt>
                <c:pt idx="58">
                  <c:v>1687.3692664052201</c:v>
                </c:pt>
                <c:pt idx="59">
                  <c:v>1679.2437227279399</c:v>
                </c:pt>
                <c:pt idx="60">
                  <c:v>1582.0561127860999</c:v>
                </c:pt>
                <c:pt idx="61">
                  <c:v>1635.3502214873799</c:v>
                </c:pt>
                <c:pt idx="62">
                  <c:v>1689.1596432399999</c:v>
                </c:pt>
                <c:pt idx="63">
                  <c:v>1734.0285491791401</c:v>
                </c:pt>
                <c:pt idx="64">
                  <c:v>1709.11793413037</c:v>
                </c:pt>
                <c:pt idx="65">
                  <c:v>1624.29961331612</c:v>
                </c:pt>
                <c:pt idx="66">
                  <c:v>1669.9768433409699</c:v>
                </c:pt>
                <c:pt idx="67">
                  <c:v>1698.1074619593301</c:v>
                </c:pt>
                <c:pt idx="68">
                  <c:v>1708.29833176291</c:v>
                </c:pt>
                <c:pt idx="69">
                  <c:v>1611.0113150552002</c:v>
                </c:pt>
                <c:pt idx="70">
                  <c:v>1610.8740559698199</c:v>
                </c:pt>
                <c:pt idx="71">
                  <c:v>1700.5214498422699</c:v>
                </c:pt>
                <c:pt idx="72">
                  <c:v>1712.000249277</c:v>
                </c:pt>
                <c:pt idx="73">
                  <c:v>1749.8063964995999</c:v>
                </c:pt>
                <c:pt idx="74">
                  <c:v>1779.76646457109</c:v>
                </c:pt>
                <c:pt idx="75">
                  <c:v>1660.0309198432401</c:v>
                </c:pt>
                <c:pt idx="76">
                  <c:v>1645.6467784446702</c:v>
                </c:pt>
                <c:pt idx="77">
                  <c:v>1658.6286889902799</c:v>
                </c:pt>
                <c:pt idx="78">
                  <c:v>1729.8669232504599</c:v>
                </c:pt>
                <c:pt idx="79">
                  <c:v>1745.2724681150901</c:v>
                </c:pt>
                <c:pt idx="80">
                  <c:v>1734.9863985744801</c:v>
                </c:pt>
                <c:pt idx="81">
                  <c:v>1654.9063106860399</c:v>
                </c:pt>
                <c:pt idx="82">
                  <c:v>1622.1869736474698</c:v>
                </c:pt>
                <c:pt idx="83">
                  <c:v>1689.1128230361201</c:v>
                </c:pt>
                <c:pt idx="84">
                  <c:v>1680.7086670518602</c:v>
                </c:pt>
                <c:pt idx="85">
                  <c:v>1661.2631361393899</c:v>
                </c:pt>
                <c:pt idx="86">
                  <c:v>1667.0188319480499</c:v>
                </c:pt>
                <c:pt idx="87">
                  <c:v>1551.2651877554099</c:v>
                </c:pt>
                <c:pt idx="88">
                  <c:v>1536.7472356277099</c:v>
                </c:pt>
                <c:pt idx="89">
                  <c:v>1586.7901855099699</c:v>
                </c:pt>
                <c:pt idx="90">
                  <c:v>1592.3982160292699</c:v>
                </c:pt>
                <c:pt idx="91">
                  <c:v>1526.9926923043502</c:v>
                </c:pt>
                <c:pt idx="92">
                  <c:v>1560.9520348145602</c:v>
                </c:pt>
                <c:pt idx="93">
                  <c:v>1580.5540162785098</c:v>
                </c:pt>
                <c:pt idx="94">
                  <c:v>1519.4231911535501</c:v>
                </c:pt>
                <c:pt idx="95">
                  <c:v>1466.5340407989499</c:v>
                </c:pt>
                <c:pt idx="96">
                  <c:v>1443.7897308966899</c:v>
                </c:pt>
                <c:pt idx="97">
                  <c:v>1543.0964832761601</c:v>
                </c:pt>
                <c:pt idx="98">
                  <c:v>1579.01845678109</c:v>
                </c:pt>
                <c:pt idx="99">
                  <c:v>1607.10707465621</c:v>
                </c:pt>
                <c:pt idx="100">
                  <c:v>1640.25525598319</c:v>
                </c:pt>
                <c:pt idx="101">
                  <c:v>1585.0181525446801</c:v>
                </c:pt>
                <c:pt idx="102">
                  <c:v>1528.6611132029602</c:v>
                </c:pt>
                <c:pt idx="103">
                  <c:v>1565.6274158895699</c:v>
                </c:pt>
                <c:pt idx="104">
                  <c:v>1568.9359897228899</c:v>
                </c:pt>
                <c:pt idx="105">
                  <c:v>1593.58619681496</c:v>
                </c:pt>
                <c:pt idx="106">
                  <c:v>1570.3083855678001</c:v>
                </c:pt>
                <c:pt idx="107">
                  <c:v>1565.57173359325</c:v>
                </c:pt>
                <c:pt idx="108">
                  <c:v>1592.00386903707</c:v>
                </c:pt>
                <c:pt idx="109">
                  <c:v>1603.30693770583</c:v>
                </c:pt>
                <c:pt idx="110">
                  <c:v>1599.91267308855</c:v>
                </c:pt>
                <c:pt idx="111">
                  <c:v>1607.38178807947</c:v>
                </c:pt>
                <c:pt idx="112">
                  <c:v>1605.2370179197301</c:v>
                </c:pt>
                <c:pt idx="113">
                  <c:v>1601.5522125225402</c:v>
                </c:pt>
                <c:pt idx="114">
                  <c:v>1594.1589032120801</c:v>
                </c:pt>
                <c:pt idx="115">
                  <c:v>1582.1231389666</c:v>
                </c:pt>
                <c:pt idx="116">
                  <c:v>1563.2256002762101</c:v>
                </c:pt>
                <c:pt idx="117">
                  <c:v>1582.3753355526899</c:v>
                </c:pt>
                <c:pt idx="118">
                  <c:v>1581.22556043487</c:v>
                </c:pt>
                <c:pt idx="119">
                  <c:v>1582.1151618444101</c:v>
                </c:pt>
                <c:pt idx="120">
                  <c:v>1559.8211929383701</c:v>
                </c:pt>
                <c:pt idx="121">
                  <c:v>1570.9277959768999</c:v>
                </c:pt>
                <c:pt idx="122">
                  <c:v>1543.33769433726</c:v>
                </c:pt>
                <c:pt idx="123">
                  <c:v>1572.49011314944</c:v>
                </c:pt>
                <c:pt idx="124">
                  <c:v>1531.4722181888699</c:v>
                </c:pt>
                <c:pt idx="125">
                  <c:v>1555.4957414031201</c:v>
                </c:pt>
                <c:pt idx="126">
                  <c:v>1575.5532209512901</c:v>
                </c:pt>
                <c:pt idx="127">
                  <c:v>1615.6459822218601</c:v>
                </c:pt>
                <c:pt idx="128">
                  <c:v>1616.95443655488</c:v>
                </c:pt>
                <c:pt idx="129">
                  <c:v>1616.0345034882998</c:v>
                </c:pt>
                <c:pt idx="130">
                  <c:v>1624.51234550409</c:v>
                </c:pt>
                <c:pt idx="131">
                  <c:v>1618.37338155613</c:v>
                </c:pt>
                <c:pt idx="132">
                  <c:v>1568.4884077128499</c:v>
                </c:pt>
                <c:pt idx="133">
                  <c:v>1577.0482096155201</c:v>
                </c:pt>
                <c:pt idx="134">
                  <c:v>1586.3221814410199</c:v>
                </c:pt>
                <c:pt idx="135">
                  <c:v>1587.5121457131299</c:v>
                </c:pt>
                <c:pt idx="136">
                  <c:v>1564.5356108148999</c:v>
                </c:pt>
                <c:pt idx="137">
                  <c:v>1511.9153829059298</c:v>
                </c:pt>
                <c:pt idx="138">
                  <c:v>1543.2241622317301</c:v>
                </c:pt>
                <c:pt idx="139">
                  <c:v>1579.24717912649</c:v>
                </c:pt>
                <c:pt idx="140">
                  <c:v>1546.8052359548299</c:v>
                </c:pt>
                <c:pt idx="141">
                  <c:v>1517.7934134126699</c:v>
                </c:pt>
                <c:pt idx="142">
                  <c:v>1605.5517963632101</c:v>
                </c:pt>
                <c:pt idx="143">
                  <c:v>1600.18021484213</c:v>
                </c:pt>
                <c:pt idx="144">
                  <c:v>1616.24098848839</c:v>
                </c:pt>
                <c:pt idx="145">
                  <c:v>1628.5359038179099</c:v>
                </c:pt>
                <c:pt idx="146">
                  <c:v>1637.48857727008</c:v>
                </c:pt>
                <c:pt idx="147">
                  <c:v>1594.4774434419601</c:v>
                </c:pt>
                <c:pt idx="148">
                  <c:v>1623.95894039734</c:v>
                </c:pt>
                <c:pt idx="149">
                  <c:v>1523.20198675498</c:v>
                </c:pt>
                <c:pt idx="150">
                  <c:v>1571.3746522067302</c:v>
                </c:pt>
                <c:pt idx="151">
                  <c:v>1598.96081603631</c:v>
                </c:pt>
                <c:pt idx="152">
                  <c:v>1594.8995999822</c:v>
                </c:pt>
                <c:pt idx="153">
                  <c:v>1606.02575670031</c:v>
                </c:pt>
                <c:pt idx="154">
                  <c:v>1609.59209742655</c:v>
                </c:pt>
                <c:pt idx="155">
                  <c:v>1598.62220543134</c:v>
                </c:pt>
                <c:pt idx="156">
                  <c:v>1648.815916263</c:v>
                </c:pt>
                <c:pt idx="157">
                  <c:v>1635.3350993377901</c:v>
                </c:pt>
                <c:pt idx="158">
                  <c:v>1600.6675496688499</c:v>
                </c:pt>
                <c:pt idx="159">
                  <c:v>1630.94238410601</c:v>
                </c:pt>
                <c:pt idx="160">
                  <c:v>1555.2913907285201</c:v>
                </c:pt>
                <c:pt idx="161">
                  <c:v>1612.6867735470998</c:v>
                </c:pt>
                <c:pt idx="162">
                  <c:v>1520.1985823949799</c:v>
                </c:pt>
                <c:pt idx="163">
                  <c:v>1678.7675018593</c:v>
                </c:pt>
                <c:pt idx="164">
                  <c:v>1660.3147259807201</c:v>
                </c:pt>
                <c:pt idx="165">
                  <c:v>1710.6035841569601</c:v>
                </c:pt>
                <c:pt idx="166">
                  <c:v>1701.0677307672099</c:v>
                </c:pt>
                <c:pt idx="167">
                  <c:v>1726.3098503275801</c:v>
                </c:pt>
                <c:pt idx="168">
                  <c:v>1694.1749072315099</c:v>
                </c:pt>
                <c:pt idx="169">
                  <c:v>1522.3099968041599</c:v>
                </c:pt>
                <c:pt idx="170">
                  <c:v>1549.9816726737399</c:v>
                </c:pt>
                <c:pt idx="171">
                  <c:v>1649.6120554658301</c:v>
                </c:pt>
                <c:pt idx="172">
                  <c:v>1656.09931644269</c:v>
                </c:pt>
                <c:pt idx="173">
                  <c:v>1743.5273874238601</c:v>
                </c:pt>
                <c:pt idx="174">
                  <c:v>1749.8840932162002</c:v>
                </c:pt>
                <c:pt idx="175">
                  <c:v>1710.3645174615199</c:v>
                </c:pt>
                <c:pt idx="176">
                  <c:v>1695.45832033291</c:v>
                </c:pt>
                <c:pt idx="177">
                  <c:v>1655.3074370506399</c:v>
                </c:pt>
                <c:pt idx="178">
                  <c:v>1711.1678869429102</c:v>
                </c:pt>
                <c:pt idx="179">
                  <c:v>1696.0573910446799</c:v>
                </c:pt>
                <c:pt idx="180">
                  <c:v>1713.8810441442902</c:v>
                </c:pt>
                <c:pt idx="181">
                  <c:v>1701.4026112389101</c:v>
                </c:pt>
                <c:pt idx="182">
                  <c:v>1652.6038610852499</c:v>
                </c:pt>
                <c:pt idx="183">
                  <c:v>1638.7253002953398</c:v>
                </c:pt>
                <c:pt idx="184">
                  <c:v>1664.1362855976799</c:v>
                </c:pt>
                <c:pt idx="185">
                  <c:v>1723.0242436307101</c:v>
                </c:pt>
                <c:pt idx="186">
                  <c:v>1746.71662296107</c:v>
                </c:pt>
                <c:pt idx="187">
                  <c:v>1742.07258544826</c:v>
                </c:pt>
                <c:pt idx="188">
                  <c:v>1695.06688741724</c:v>
                </c:pt>
                <c:pt idx="189">
                  <c:v>1681.2682119205001</c:v>
                </c:pt>
                <c:pt idx="190">
                  <c:v>1721.1205298013001</c:v>
                </c:pt>
                <c:pt idx="191">
                  <c:v>1713.80794701987</c:v>
                </c:pt>
                <c:pt idx="192">
                  <c:v>1794.9859335626002</c:v>
                </c:pt>
                <c:pt idx="193">
                  <c:v>1824.1316280426499</c:v>
                </c:pt>
                <c:pt idx="194">
                  <c:v>1700.0618823571299</c:v>
                </c:pt>
                <c:pt idx="195">
                  <c:v>1677.75285252248</c:v>
                </c:pt>
                <c:pt idx="196">
                  <c:v>1631.0388912267999</c:v>
                </c:pt>
                <c:pt idx="197">
                  <c:v>1586.30779848563</c:v>
                </c:pt>
                <c:pt idx="198">
                  <c:v>1636.20586841978</c:v>
                </c:pt>
                <c:pt idx="199">
                  <c:v>1602.2057787654301</c:v>
                </c:pt>
                <c:pt idx="200">
                  <c:v>1646.53984311367</c:v>
                </c:pt>
                <c:pt idx="201">
                  <c:v>1695.0201163367399</c:v>
                </c:pt>
                <c:pt idx="202">
                  <c:v>1699.33794390865</c:v>
                </c:pt>
                <c:pt idx="203">
                  <c:v>1717.7209075958599</c:v>
                </c:pt>
                <c:pt idx="204">
                  <c:v>1607.6362133647899</c:v>
                </c:pt>
                <c:pt idx="205">
                  <c:v>1657.02197495419</c:v>
                </c:pt>
                <c:pt idx="206">
                  <c:v>1623.5189472664499</c:v>
                </c:pt>
                <c:pt idx="207">
                  <c:v>1547.14941348455</c:v>
                </c:pt>
                <c:pt idx="208">
                  <c:v>1573.9529281738401</c:v>
                </c:pt>
                <c:pt idx="209">
                  <c:v>1673.4874544535501</c:v>
                </c:pt>
                <c:pt idx="210">
                  <c:v>1711.24656223182</c:v>
                </c:pt>
                <c:pt idx="211">
                  <c:v>1633.23006754527</c:v>
                </c:pt>
                <c:pt idx="212">
                  <c:v>1709.8343104403998</c:v>
                </c:pt>
                <c:pt idx="213">
                  <c:v>1809.23402021058</c:v>
                </c:pt>
                <c:pt idx="214">
                  <c:v>1724.3845505704899</c:v>
                </c:pt>
                <c:pt idx="215">
                  <c:v>1755.8094349763101</c:v>
                </c:pt>
                <c:pt idx="216">
                  <c:v>1728.01284361492</c:v>
                </c:pt>
                <c:pt idx="217">
                  <c:v>1752.5337642242498</c:v>
                </c:pt>
                <c:pt idx="218">
                  <c:v>1735.7846771412801</c:v>
                </c:pt>
                <c:pt idx="219">
                  <c:v>1758.8924115351801</c:v>
                </c:pt>
                <c:pt idx="220">
                  <c:v>1703.2745570725399</c:v>
                </c:pt>
                <c:pt idx="221">
                  <c:v>1753.17968089497</c:v>
                </c:pt>
                <c:pt idx="222">
                  <c:v>1791.0437764756698</c:v>
                </c:pt>
                <c:pt idx="223">
                  <c:v>1745.46205373621</c:v>
                </c:pt>
                <c:pt idx="224">
                  <c:v>1745.4252803117299</c:v>
                </c:pt>
                <c:pt idx="225">
                  <c:v>1740.5945338664601</c:v>
                </c:pt>
                <c:pt idx="226">
                  <c:v>1732.99514941799</c:v>
                </c:pt>
                <c:pt idx="227">
                  <c:v>1720.5050013565101</c:v>
                </c:pt>
                <c:pt idx="228">
                  <c:v>1722.38499817867</c:v>
                </c:pt>
                <c:pt idx="229">
                  <c:v>1702.00455325445</c:v>
                </c:pt>
                <c:pt idx="230">
                  <c:v>1700.2871003559098</c:v>
                </c:pt>
                <c:pt idx="231">
                  <c:v>1686.37073321664</c:v>
                </c:pt>
                <c:pt idx="232">
                  <c:v>1678.24322190476</c:v>
                </c:pt>
                <c:pt idx="233">
                  <c:v>1735.6707325494999</c:v>
                </c:pt>
                <c:pt idx="234">
                  <c:v>1681.5723775542399</c:v>
                </c:pt>
                <c:pt idx="235">
                  <c:v>1704.8365931717801</c:v>
                </c:pt>
                <c:pt idx="236">
                  <c:v>1703.26741048082</c:v>
                </c:pt>
                <c:pt idx="237">
                  <c:v>1751.4650300983399</c:v>
                </c:pt>
                <c:pt idx="238">
                  <c:v>1745.2873773239098</c:v>
                </c:pt>
                <c:pt idx="239">
                  <c:v>1688.60900714952</c:v>
                </c:pt>
                <c:pt idx="240">
                  <c:v>1719.7573773433301</c:v>
                </c:pt>
                <c:pt idx="241">
                  <c:v>1731.6180742615002</c:v>
                </c:pt>
                <c:pt idx="242">
                  <c:v>1680.6993263679601</c:v>
                </c:pt>
                <c:pt idx="243">
                  <c:v>1711.6925160748499</c:v>
                </c:pt>
                <c:pt idx="244">
                  <c:v>1681.26002153525</c:v>
                </c:pt>
                <c:pt idx="245">
                  <c:v>1669.7012207241899</c:v>
                </c:pt>
                <c:pt idx="246">
                  <c:v>1685.3487480205599</c:v>
                </c:pt>
                <c:pt idx="247">
                  <c:v>1700.0620453659799</c:v>
                </c:pt>
                <c:pt idx="248">
                  <c:v>1688.5841564260099</c:v>
                </c:pt>
                <c:pt idx="249">
                  <c:v>1702.1109457449502</c:v>
                </c:pt>
                <c:pt idx="250">
                  <c:v>1627.6229849133899</c:v>
                </c:pt>
                <c:pt idx="251">
                  <c:v>1723.88685865057</c:v>
                </c:pt>
                <c:pt idx="252">
                  <c:v>1728.48468614747</c:v>
                </c:pt>
                <c:pt idx="253">
                  <c:v>1747.95907231827</c:v>
                </c:pt>
                <c:pt idx="254">
                  <c:v>1747.7180268341899</c:v>
                </c:pt>
                <c:pt idx="255">
                  <c:v>1691.7925128278</c:v>
                </c:pt>
                <c:pt idx="256">
                  <c:v>1723.2773414058599</c:v>
                </c:pt>
                <c:pt idx="257">
                  <c:v>1656.5571431727101</c:v>
                </c:pt>
                <c:pt idx="258">
                  <c:v>1642.9170506606899</c:v>
                </c:pt>
                <c:pt idx="259">
                  <c:v>1621.8776117355901</c:v>
                </c:pt>
                <c:pt idx="260">
                  <c:v>1617.2369573584101</c:v>
                </c:pt>
                <c:pt idx="261">
                  <c:v>1686.6189641567998</c:v>
                </c:pt>
                <c:pt idx="262">
                  <c:v>1694.40289878012</c:v>
                </c:pt>
                <c:pt idx="263">
                  <c:v>1669.0813282193301</c:v>
                </c:pt>
                <c:pt idx="264">
                  <c:v>1606.00162812703</c:v>
                </c:pt>
                <c:pt idx="265">
                  <c:v>1648.7814327517499</c:v>
                </c:pt>
                <c:pt idx="266">
                  <c:v>1640.1273448277398</c:v>
                </c:pt>
                <c:pt idx="267">
                  <c:v>1626.81661685521</c:v>
                </c:pt>
                <c:pt idx="268">
                  <c:v>1624.88282929359</c:v>
                </c:pt>
                <c:pt idx="269">
                  <c:v>1620.4301686569399</c:v>
                </c:pt>
                <c:pt idx="270">
                  <c:v>1697.7218800145799</c:v>
                </c:pt>
                <c:pt idx="271">
                  <c:v>1709.37142920464</c:v>
                </c:pt>
                <c:pt idx="272">
                  <c:v>1680.62736687503</c:v>
                </c:pt>
                <c:pt idx="273">
                  <c:v>1631.5901454122099</c:v>
                </c:pt>
                <c:pt idx="274">
                  <c:v>1604.2812848655401</c:v>
                </c:pt>
                <c:pt idx="275">
                  <c:v>1685.98748401884</c:v>
                </c:pt>
                <c:pt idx="276">
                  <c:v>1727.7665228912899</c:v>
                </c:pt>
                <c:pt idx="277">
                  <c:v>1709.6512402287599</c:v>
                </c:pt>
                <c:pt idx="278">
                  <c:v>1701.29584555423</c:v>
                </c:pt>
                <c:pt idx="279">
                  <c:v>1640.11125827814</c:v>
                </c:pt>
                <c:pt idx="280">
                  <c:v>1604.7933774834801</c:v>
                </c:pt>
                <c:pt idx="281">
                  <c:v>1623.75560936381</c:v>
                </c:pt>
                <c:pt idx="282">
                  <c:v>1571.8621281701398</c:v>
                </c:pt>
                <c:pt idx="283">
                  <c:v>1672.00912415887</c:v>
                </c:pt>
                <c:pt idx="284">
                  <c:v>1477.88498215646</c:v>
                </c:pt>
                <c:pt idx="285">
                  <c:v>1683.4845334337899</c:v>
                </c:pt>
                <c:pt idx="286">
                  <c:v>1662.1080134665101</c:v>
                </c:pt>
                <c:pt idx="287">
                  <c:v>1646.6421969189998</c:v>
                </c:pt>
                <c:pt idx="288">
                  <c:v>1649.4828537590502</c:v>
                </c:pt>
                <c:pt idx="289">
                  <c:v>1564.96009392573</c:v>
                </c:pt>
                <c:pt idx="290">
                  <c:v>1564.3397599560001</c:v>
                </c:pt>
                <c:pt idx="291">
                  <c:v>1582.8567929620701</c:v>
                </c:pt>
                <c:pt idx="292">
                  <c:v>1603.9680281590099</c:v>
                </c:pt>
                <c:pt idx="293">
                  <c:v>1617.0619933242299</c:v>
                </c:pt>
                <c:pt idx="294">
                  <c:v>1634.1447011013599</c:v>
                </c:pt>
                <c:pt idx="295">
                  <c:v>1622.37318589088</c:v>
                </c:pt>
                <c:pt idx="296">
                  <c:v>1578.94046516137</c:v>
                </c:pt>
                <c:pt idx="297">
                  <c:v>1609.42496364062</c:v>
                </c:pt>
                <c:pt idx="298">
                  <c:v>1639.1346341636199</c:v>
                </c:pt>
                <c:pt idx="299">
                  <c:v>1607.14171741567</c:v>
                </c:pt>
                <c:pt idx="300">
                  <c:v>1637.170913978</c:v>
                </c:pt>
                <c:pt idx="301">
                  <c:v>1628.9005364854302</c:v>
                </c:pt>
                <c:pt idx="302">
                  <c:v>1622.7606801812399</c:v>
                </c:pt>
                <c:pt idx="303">
                  <c:v>1588.62272177963</c:v>
                </c:pt>
                <c:pt idx="304">
                  <c:v>1600.3779716730098</c:v>
                </c:pt>
                <c:pt idx="305">
                  <c:v>1620.57884298914</c:v>
                </c:pt>
                <c:pt idx="306">
                  <c:v>1631.2141933881001</c:v>
                </c:pt>
                <c:pt idx="307">
                  <c:v>1583.51444550266</c:v>
                </c:pt>
                <c:pt idx="308">
                  <c:v>1569.61924959574</c:v>
                </c:pt>
                <c:pt idx="309">
                  <c:v>1570.24781951767</c:v>
                </c:pt>
                <c:pt idx="310">
                  <c:v>1608.05961858556</c:v>
                </c:pt>
                <c:pt idx="311">
                  <c:v>1651.1681703085001</c:v>
                </c:pt>
                <c:pt idx="312">
                  <c:v>1647.6065357509299</c:v>
                </c:pt>
                <c:pt idx="313">
                  <c:v>1643.70767344262</c:v>
                </c:pt>
                <c:pt idx="314">
                  <c:v>1640.21098115943</c:v>
                </c:pt>
                <c:pt idx="315">
                  <c:v>1643.0696187626002</c:v>
                </c:pt>
                <c:pt idx="316">
                  <c:v>1632.0004232036001</c:v>
                </c:pt>
                <c:pt idx="317">
                  <c:v>1611.9997370471601</c:v>
                </c:pt>
                <c:pt idx="318">
                  <c:v>1540.15739808287</c:v>
                </c:pt>
                <c:pt idx="319">
                  <c:v>1577.5320265609498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3D-064E-A0E3-E608B59F5A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302160"/>
        <c:axId val="674749232"/>
      </c:scatterChart>
      <c:valAx>
        <c:axId val="674302160"/>
        <c:scaling>
          <c:orientation val="minMax"/>
          <c:max val="16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49587444918009099"/>
              <c:y val="0.904319983257905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749232"/>
        <c:crossesAt val="0"/>
        <c:crossBetween val="midCat"/>
        <c:majorUnit val="10"/>
      </c:valAx>
      <c:valAx>
        <c:axId val="674749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mScarlet</a:t>
                </a:r>
              </a:p>
            </c:rich>
          </c:tx>
          <c:layout>
            <c:manualLayout>
              <c:xMode val="edge"/>
              <c:yMode val="edge"/>
              <c:x val="0.11342194610994701"/>
              <c:y val="0.3655863656577810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302160"/>
        <c:crossesAt val="0"/>
        <c:crossBetween val="midCat"/>
      </c:valAx>
      <c:spPr>
        <a:noFill/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corrected data</a:t>
            </a:r>
          </a:p>
        </c:rich>
      </c:tx>
      <c:layout>
        <c:manualLayout>
          <c:xMode val="edge"/>
          <c:yMode val="edge"/>
          <c:x val="0.46015862147666298"/>
          <c:y val="8.1002683653307303E-2"/>
        </c:manualLayout>
      </c:layout>
      <c:overlay val="1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889694343762601"/>
          <c:y val="0.19264140198482901"/>
          <c:w val="0.65156849851686605"/>
          <c:h val="0.61250578971746195"/>
        </c:manualLayout>
      </c:layout>
      <c:scatterChart>
        <c:scatterStyle val="lineMarker"/>
        <c:varyColors val="0"/>
        <c:ser>
          <c:idx val="1"/>
          <c:order val="0"/>
          <c:tx>
            <c:v>O2 Pulse Line</c:v>
          </c:tx>
          <c:marker>
            <c:symbol val="none"/>
          </c:marker>
          <c:xVal>
            <c:numRef>
              <c:f>'[1]Cond. B Template'!$A$82:$A$161</c:f>
              <c:numCache>
                <c:formatCode>General</c:formatCode>
                <c:ptCount val="80"/>
                <c:pt idx="0">
                  <c:v>40.5</c:v>
                </c:pt>
                <c:pt idx="1">
                  <c:v>41</c:v>
                </c:pt>
                <c:pt idx="2">
                  <c:v>41.5</c:v>
                </c:pt>
                <c:pt idx="3">
                  <c:v>42</c:v>
                </c:pt>
                <c:pt idx="4">
                  <c:v>42.5</c:v>
                </c:pt>
                <c:pt idx="5">
                  <c:v>43</c:v>
                </c:pt>
                <c:pt idx="6">
                  <c:v>43.5</c:v>
                </c:pt>
                <c:pt idx="7">
                  <c:v>44</c:v>
                </c:pt>
                <c:pt idx="8">
                  <c:v>44.5</c:v>
                </c:pt>
                <c:pt idx="9">
                  <c:v>45</c:v>
                </c:pt>
                <c:pt idx="10">
                  <c:v>45.5</c:v>
                </c:pt>
                <c:pt idx="11">
                  <c:v>46</c:v>
                </c:pt>
                <c:pt idx="12">
                  <c:v>46.5</c:v>
                </c:pt>
                <c:pt idx="13">
                  <c:v>47</c:v>
                </c:pt>
                <c:pt idx="14">
                  <c:v>47.5</c:v>
                </c:pt>
                <c:pt idx="15">
                  <c:v>48</c:v>
                </c:pt>
                <c:pt idx="16">
                  <c:v>48.5</c:v>
                </c:pt>
                <c:pt idx="17">
                  <c:v>49</c:v>
                </c:pt>
                <c:pt idx="18">
                  <c:v>49.5</c:v>
                </c:pt>
                <c:pt idx="19">
                  <c:v>50</c:v>
                </c:pt>
                <c:pt idx="20">
                  <c:v>50.5</c:v>
                </c:pt>
                <c:pt idx="21">
                  <c:v>51</c:v>
                </c:pt>
                <c:pt idx="22">
                  <c:v>51.5</c:v>
                </c:pt>
                <c:pt idx="23">
                  <c:v>52</c:v>
                </c:pt>
                <c:pt idx="24">
                  <c:v>52.5</c:v>
                </c:pt>
                <c:pt idx="25">
                  <c:v>53</c:v>
                </c:pt>
                <c:pt idx="26">
                  <c:v>53.5</c:v>
                </c:pt>
                <c:pt idx="27">
                  <c:v>54</c:v>
                </c:pt>
                <c:pt idx="28">
                  <c:v>54.5</c:v>
                </c:pt>
                <c:pt idx="29">
                  <c:v>55</c:v>
                </c:pt>
                <c:pt idx="30">
                  <c:v>55.5</c:v>
                </c:pt>
                <c:pt idx="31">
                  <c:v>56</c:v>
                </c:pt>
                <c:pt idx="32">
                  <c:v>56.5</c:v>
                </c:pt>
                <c:pt idx="33">
                  <c:v>57</c:v>
                </c:pt>
                <c:pt idx="34">
                  <c:v>57.5</c:v>
                </c:pt>
                <c:pt idx="35">
                  <c:v>58</c:v>
                </c:pt>
                <c:pt idx="36">
                  <c:v>58.5</c:v>
                </c:pt>
                <c:pt idx="37">
                  <c:v>59</c:v>
                </c:pt>
                <c:pt idx="38">
                  <c:v>59.5</c:v>
                </c:pt>
                <c:pt idx="39">
                  <c:v>60</c:v>
                </c:pt>
                <c:pt idx="40">
                  <c:v>60.5</c:v>
                </c:pt>
                <c:pt idx="41">
                  <c:v>61</c:v>
                </c:pt>
                <c:pt idx="42">
                  <c:v>61.5</c:v>
                </c:pt>
                <c:pt idx="43">
                  <c:v>62</c:v>
                </c:pt>
                <c:pt idx="44">
                  <c:v>62.5</c:v>
                </c:pt>
                <c:pt idx="45">
                  <c:v>63</c:v>
                </c:pt>
                <c:pt idx="46">
                  <c:v>63.5</c:v>
                </c:pt>
                <c:pt idx="47">
                  <c:v>64</c:v>
                </c:pt>
                <c:pt idx="48">
                  <c:v>64.5</c:v>
                </c:pt>
                <c:pt idx="49">
                  <c:v>65</c:v>
                </c:pt>
                <c:pt idx="50">
                  <c:v>65.5</c:v>
                </c:pt>
                <c:pt idx="51">
                  <c:v>66</c:v>
                </c:pt>
                <c:pt idx="52">
                  <c:v>66.5</c:v>
                </c:pt>
                <c:pt idx="53">
                  <c:v>67</c:v>
                </c:pt>
                <c:pt idx="54">
                  <c:v>67.5</c:v>
                </c:pt>
                <c:pt idx="55">
                  <c:v>68</c:v>
                </c:pt>
                <c:pt idx="56">
                  <c:v>68.5</c:v>
                </c:pt>
                <c:pt idx="57">
                  <c:v>69</c:v>
                </c:pt>
                <c:pt idx="58">
                  <c:v>69.5</c:v>
                </c:pt>
                <c:pt idx="59">
                  <c:v>70</c:v>
                </c:pt>
                <c:pt idx="60">
                  <c:v>70.5</c:v>
                </c:pt>
                <c:pt idx="61">
                  <c:v>71</c:v>
                </c:pt>
                <c:pt idx="62">
                  <c:v>71.5</c:v>
                </c:pt>
                <c:pt idx="63">
                  <c:v>72</c:v>
                </c:pt>
                <c:pt idx="64">
                  <c:v>72.5</c:v>
                </c:pt>
                <c:pt idx="65">
                  <c:v>73</c:v>
                </c:pt>
                <c:pt idx="66">
                  <c:v>73.5</c:v>
                </c:pt>
                <c:pt idx="67">
                  <c:v>74</c:v>
                </c:pt>
                <c:pt idx="68">
                  <c:v>74.5</c:v>
                </c:pt>
                <c:pt idx="69">
                  <c:v>75</c:v>
                </c:pt>
                <c:pt idx="70">
                  <c:v>75.5</c:v>
                </c:pt>
                <c:pt idx="71">
                  <c:v>76</c:v>
                </c:pt>
                <c:pt idx="72">
                  <c:v>76.5</c:v>
                </c:pt>
                <c:pt idx="73">
                  <c:v>77</c:v>
                </c:pt>
                <c:pt idx="74">
                  <c:v>77.5</c:v>
                </c:pt>
                <c:pt idx="75">
                  <c:v>78</c:v>
                </c:pt>
                <c:pt idx="76">
                  <c:v>78.5</c:v>
                </c:pt>
                <c:pt idx="77">
                  <c:v>79</c:v>
                </c:pt>
                <c:pt idx="78">
                  <c:v>79.5</c:v>
                </c:pt>
                <c:pt idx="79">
                  <c:v>80</c:v>
                </c:pt>
              </c:numCache>
            </c:numRef>
          </c:xVal>
          <c:yVal>
            <c:numRef>
              <c:f>'[1]Cond. B Template'!$X$64:$X$143</c:f>
              <c:numCache>
                <c:formatCode>General</c:formatCode>
                <c:ptCount val="80"/>
                <c:pt idx="0">
                  <c:v>-13</c:v>
                </c:pt>
                <c:pt idx="1">
                  <c:v>-13</c:v>
                </c:pt>
                <c:pt idx="2">
                  <c:v>-13</c:v>
                </c:pt>
                <c:pt idx="3">
                  <c:v>-13</c:v>
                </c:pt>
                <c:pt idx="4">
                  <c:v>-13</c:v>
                </c:pt>
                <c:pt idx="5">
                  <c:v>-13</c:v>
                </c:pt>
                <c:pt idx="6">
                  <c:v>-13</c:v>
                </c:pt>
                <c:pt idx="7">
                  <c:v>-13</c:v>
                </c:pt>
                <c:pt idx="8">
                  <c:v>-13</c:v>
                </c:pt>
                <c:pt idx="9">
                  <c:v>-13</c:v>
                </c:pt>
                <c:pt idx="10">
                  <c:v>-13</c:v>
                </c:pt>
                <c:pt idx="11">
                  <c:v>-13</c:v>
                </c:pt>
                <c:pt idx="12">
                  <c:v>-13</c:v>
                </c:pt>
                <c:pt idx="13">
                  <c:v>-13</c:v>
                </c:pt>
                <c:pt idx="14">
                  <c:v>-13</c:v>
                </c:pt>
                <c:pt idx="15">
                  <c:v>-13</c:v>
                </c:pt>
                <c:pt idx="16">
                  <c:v>-13</c:v>
                </c:pt>
                <c:pt idx="17">
                  <c:v>-13</c:v>
                </c:pt>
                <c:pt idx="18">
                  <c:v>-13</c:v>
                </c:pt>
                <c:pt idx="19">
                  <c:v>-13</c:v>
                </c:pt>
                <c:pt idx="20">
                  <c:v>-13</c:v>
                </c:pt>
                <c:pt idx="21">
                  <c:v>-13</c:v>
                </c:pt>
                <c:pt idx="22">
                  <c:v>-13</c:v>
                </c:pt>
                <c:pt idx="23">
                  <c:v>-13</c:v>
                </c:pt>
                <c:pt idx="24">
                  <c:v>-13</c:v>
                </c:pt>
                <c:pt idx="25">
                  <c:v>-13</c:v>
                </c:pt>
                <c:pt idx="26">
                  <c:v>-13</c:v>
                </c:pt>
                <c:pt idx="27">
                  <c:v>-13</c:v>
                </c:pt>
                <c:pt idx="28">
                  <c:v>-13</c:v>
                </c:pt>
                <c:pt idx="29">
                  <c:v>-13</c:v>
                </c:pt>
                <c:pt idx="30">
                  <c:v>-13</c:v>
                </c:pt>
                <c:pt idx="31">
                  <c:v>-13</c:v>
                </c:pt>
                <c:pt idx="32">
                  <c:v>-13</c:v>
                </c:pt>
                <c:pt idx="33">
                  <c:v>-13</c:v>
                </c:pt>
                <c:pt idx="34">
                  <c:v>-13</c:v>
                </c:pt>
                <c:pt idx="35">
                  <c:v>-13</c:v>
                </c:pt>
                <c:pt idx="36">
                  <c:v>-13</c:v>
                </c:pt>
                <c:pt idx="37">
                  <c:v>-13</c:v>
                </c:pt>
                <c:pt idx="38">
                  <c:v>-13</c:v>
                </c:pt>
                <c:pt idx="39">
                  <c:v>-13</c:v>
                </c:pt>
                <c:pt idx="40">
                  <c:v>-13</c:v>
                </c:pt>
                <c:pt idx="41">
                  <c:v>-13</c:v>
                </c:pt>
                <c:pt idx="42">
                  <c:v>-13</c:v>
                </c:pt>
                <c:pt idx="43">
                  <c:v>-13</c:v>
                </c:pt>
                <c:pt idx="44">
                  <c:v>-13</c:v>
                </c:pt>
                <c:pt idx="45">
                  <c:v>-13</c:v>
                </c:pt>
                <c:pt idx="46">
                  <c:v>-13</c:v>
                </c:pt>
                <c:pt idx="47">
                  <c:v>-13</c:v>
                </c:pt>
                <c:pt idx="48">
                  <c:v>-13</c:v>
                </c:pt>
                <c:pt idx="49">
                  <c:v>-13</c:v>
                </c:pt>
                <c:pt idx="50">
                  <c:v>-13</c:v>
                </c:pt>
                <c:pt idx="51">
                  <c:v>-13</c:v>
                </c:pt>
                <c:pt idx="52">
                  <c:v>-13</c:v>
                </c:pt>
                <c:pt idx="53">
                  <c:v>-13</c:v>
                </c:pt>
                <c:pt idx="54">
                  <c:v>-13</c:v>
                </c:pt>
                <c:pt idx="55">
                  <c:v>-13</c:v>
                </c:pt>
                <c:pt idx="56">
                  <c:v>-13</c:v>
                </c:pt>
                <c:pt idx="57">
                  <c:v>-13</c:v>
                </c:pt>
                <c:pt idx="58">
                  <c:v>-13</c:v>
                </c:pt>
                <c:pt idx="59">
                  <c:v>-13</c:v>
                </c:pt>
                <c:pt idx="60">
                  <c:v>-13</c:v>
                </c:pt>
                <c:pt idx="61">
                  <c:v>-13</c:v>
                </c:pt>
                <c:pt idx="62">
                  <c:v>-13</c:v>
                </c:pt>
                <c:pt idx="63">
                  <c:v>-13</c:v>
                </c:pt>
                <c:pt idx="64">
                  <c:v>-13</c:v>
                </c:pt>
                <c:pt idx="65">
                  <c:v>-13</c:v>
                </c:pt>
                <c:pt idx="66">
                  <c:v>-13</c:v>
                </c:pt>
                <c:pt idx="67">
                  <c:v>-13</c:v>
                </c:pt>
                <c:pt idx="68">
                  <c:v>-13</c:v>
                </c:pt>
                <c:pt idx="69">
                  <c:v>-13</c:v>
                </c:pt>
                <c:pt idx="70">
                  <c:v>-13</c:v>
                </c:pt>
                <c:pt idx="71">
                  <c:v>-13</c:v>
                </c:pt>
                <c:pt idx="72">
                  <c:v>-13</c:v>
                </c:pt>
                <c:pt idx="73">
                  <c:v>-13</c:v>
                </c:pt>
                <c:pt idx="74">
                  <c:v>-13</c:v>
                </c:pt>
                <c:pt idx="75">
                  <c:v>-13</c:v>
                </c:pt>
                <c:pt idx="76">
                  <c:v>-13</c:v>
                </c:pt>
                <c:pt idx="77">
                  <c:v>-13</c:v>
                </c:pt>
                <c:pt idx="78">
                  <c:v>-13</c:v>
                </c:pt>
                <c:pt idx="79">
                  <c:v>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32-9A41-8A4E-64EAF75B560C}"/>
            </c:ext>
          </c:extLst>
        </c:ser>
        <c:ser>
          <c:idx val="0"/>
          <c:order val="1"/>
          <c:tx>
            <c:v>Corrected Data</c:v>
          </c:tx>
          <c:spPr>
            <a:ln w="381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'240807B009'!$A$2:$A$321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'240807B009'!$P$2:$P$321</c:f>
              <c:numCache>
                <c:formatCode>General</c:formatCode>
                <c:ptCount val="320"/>
                <c:pt idx="0">
                  <c:v>-48.066873418905232</c:v>
                </c:pt>
                <c:pt idx="1">
                  <c:v>-49.194167609059647</c:v>
                </c:pt>
                <c:pt idx="2">
                  <c:v>-50.074938591789461</c:v>
                </c:pt>
                <c:pt idx="3">
                  <c:v>-46.005796645131262</c:v>
                </c:pt>
                <c:pt idx="4">
                  <c:v>-40.463480466609667</c:v>
                </c:pt>
                <c:pt idx="5">
                  <c:v>-37.633456073028746</c:v>
                </c:pt>
                <c:pt idx="6">
                  <c:v>-31.224403920440896</c:v>
                </c:pt>
                <c:pt idx="7">
                  <c:v>-26.817526883611698</c:v>
                </c:pt>
                <c:pt idx="8">
                  <c:v>-26.854133759455873</c:v>
                </c:pt>
                <c:pt idx="9">
                  <c:v>-24.157968228332262</c:v>
                </c:pt>
                <c:pt idx="10">
                  <c:v>-31.751203562809582</c:v>
                </c:pt>
                <c:pt idx="11">
                  <c:v>-31.575711208839728</c:v>
                </c:pt>
                <c:pt idx="12">
                  <c:v>-32.903121022105843</c:v>
                </c:pt>
                <c:pt idx="13">
                  <c:v>-32.483963531012762</c:v>
                </c:pt>
                <c:pt idx="14">
                  <c:v>-31.1453880045723</c:v>
                </c:pt>
                <c:pt idx="15">
                  <c:v>-28.271196932349383</c:v>
                </c:pt>
                <c:pt idx="16">
                  <c:v>-27.545644070211502</c:v>
                </c:pt>
                <c:pt idx="17">
                  <c:v>-26.618700559925134</c:v>
                </c:pt>
                <c:pt idx="18">
                  <c:v>-26.098332195704941</c:v>
                </c:pt>
                <c:pt idx="19">
                  <c:v>-25.963693157413221</c:v>
                </c:pt>
                <c:pt idx="20">
                  <c:v>-25.585866990378321</c:v>
                </c:pt>
                <c:pt idx="21">
                  <c:v>-25.584887990380395</c:v>
                </c:pt>
                <c:pt idx="22">
                  <c:v>-23.49910984386533</c:v>
                </c:pt>
                <c:pt idx="23">
                  <c:v>-23.072386507556722</c:v>
                </c:pt>
                <c:pt idx="24">
                  <c:v>-22.020276163968511</c:v>
                </c:pt>
                <c:pt idx="25">
                  <c:v>-21.259241293497841</c:v>
                </c:pt>
                <c:pt idx="26">
                  <c:v>-18.201883236161084</c:v>
                </c:pt>
                <c:pt idx="27">
                  <c:v>-19.488868283582036</c:v>
                </c:pt>
                <c:pt idx="28">
                  <c:v>-17.033766293257322</c:v>
                </c:pt>
                <c:pt idx="29">
                  <c:v>-19.146297746378863</c:v>
                </c:pt>
                <c:pt idx="30">
                  <c:v>-15.775609856301367</c:v>
                </c:pt>
                <c:pt idx="31">
                  <c:v>-16.713982241255721</c:v>
                </c:pt>
                <c:pt idx="32">
                  <c:v>-15.426291600477022</c:v>
                </c:pt>
                <c:pt idx="33">
                  <c:v>-15.04359673796524</c:v>
                </c:pt>
                <c:pt idx="34">
                  <c:v>-13.963337488632135</c:v>
                </c:pt>
                <c:pt idx="35">
                  <c:v>-12.735781602520751</c:v>
                </c:pt>
                <c:pt idx="36">
                  <c:v>-14.557334424691092</c:v>
                </c:pt>
                <c:pt idx="37">
                  <c:v>-13.033369514815504</c:v>
                </c:pt>
                <c:pt idx="38">
                  <c:v>-12.311481300353231</c:v>
                </c:pt>
                <c:pt idx="39">
                  <c:v>-11.628665354911307</c:v>
                </c:pt>
                <c:pt idx="40">
                  <c:v>-8.4645267998971008</c:v>
                </c:pt>
                <c:pt idx="41">
                  <c:v>-7.4174483162831857</c:v>
                </c:pt>
                <c:pt idx="42">
                  <c:v>-6.2376465772910556</c:v>
                </c:pt>
                <c:pt idx="43">
                  <c:v>-6.4325574087997701</c:v>
                </c:pt>
                <c:pt idx="44">
                  <c:v>-7.2595977831361056</c:v>
                </c:pt>
                <c:pt idx="45">
                  <c:v>-7.0334019184152137</c:v>
                </c:pt>
                <c:pt idx="46">
                  <c:v>-6.846490942668507</c:v>
                </c:pt>
                <c:pt idx="47">
                  <c:v>-4.8874289504705901</c:v>
                </c:pt>
                <c:pt idx="48">
                  <c:v>-5.0304022769310039</c:v>
                </c:pt>
                <c:pt idx="49">
                  <c:v>-3.517319654742729</c:v>
                </c:pt>
                <c:pt idx="50">
                  <c:v>-5.5545578026558315</c:v>
                </c:pt>
                <c:pt idx="51">
                  <c:v>-5.3307228298189973</c:v>
                </c:pt>
                <c:pt idx="52">
                  <c:v>-4.4073287799200873</c:v>
                </c:pt>
                <c:pt idx="53">
                  <c:v>-4.9319904949353193</c:v>
                </c:pt>
                <c:pt idx="54">
                  <c:v>-3.3739555827722589</c:v>
                </c:pt>
                <c:pt idx="55">
                  <c:v>-1.8075210623114801</c:v>
                </c:pt>
                <c:pt idx="56">
                  <c:v>-1.2124893250219002</c:v>
                </c:pt>
                <c:pt idx="57">
                  <c:v>-4.6348947299048537E-2</c:v>
                </c:pt>
                <c:pt idx="58">
                  <c:v>-3.2001008832585942E-2</c:v>
                </c:pt>
                <c:pt idx="59">
                  <c:v>-0.54844332187434131</c:v>
                </c:pt>
                <c:pt idx="60">
                  <c:v>0.48394573766065985</c:v>
                </c:pt>
                <c:pt idx="61">
                  <c:v>2.2318203992440555</c:v>
                </c:pt>
                <c:pt idx="62">
                  <c:v>2.7054235506480793</c:v>
                </c:pt>
                <c:pt idx="63">
                  <c:v>2.9026706889701828</c:v>
                </c:pt>
                <c:pt idx="64">
                  <c:v>0.5479764034187905</c:v>
                </c:pt>
                <c:pt idx="65">
                  <c:v>-0.84899699802330075</c:v>
                </c:pt>
                <c:pt idx="66">
                  <c:v>-0.82401469047718467</c:v>
                </c:pt>
                <c:pt idx="67">
                  <c:v>8.9610508518653265E-2</c:v>
                </c:pt>
                <c:pt idx="68">
                  <c:v>-1.168573168846905</c:v>
                </c:pt>
                <c:pt idx="69">
                  <c:v>-0.45603037264468005</c:v>
                </c:pt>
                <c:pt idx="70">
                  <c:v>-0.52426871008413167</c:v>
                </c:pt>
                <c:pt idx="71">
                  <c:v>-0.46883777438815977</c:v>
                </c:pt>
                <c:pt idx="72">
                  <c:v>-1.7869383203938656</c:v>
                </c:pt>
                <c:pt idx="73">
                  <c:v>-0.471556284655266</c:v>
                </c:pt>
                <c:pt idx="74">
                  <c:v>-1.7191070924423995</c:v>
                </c:pt>
                <c:pt idx="75">
                  <c:v>-0.88071640983892574</c:v>
                </c:pt>
                <c:pt idx="76">
                  <c:v>0.63112339836256715</c:v>
                </c:pt>
                <c:pt idx="77">
                  <c:v>0.73860613524387575</c:v>
                </c:pt>
                <c:pt idx="78">
                  <c:v>-0.21388289901590468</c:v>
                </c:pt>
                <c:pt idx="79">
                  <c:v>-0.96825410125651112</c:v>
                </c:pt>
                <c:pt idx="80">
                  <c:v>-1.3603050001455512</c:v>
                </c:pt>
                <c:pt idx="81">
                  <c:v>-1.0267479697618014</c:v>
                </c:pt>
                <c:pt idx="82">
                  <c:v>-0.82518185146711298</c:v>
                </c:pt>
                <c:pt idx="83">
                  <c:v>-7.1887842588521229</c:v>
                </c:pt>
                <c:pt idx="84">
                  <c:v>-12.392062224120711</c:v>
                </c:pt>
                <c:pt idx="85">
                  <c:v>-16.250899153757814</c:v>
                </c:pt>
                <c:pt idx="86">
                  <c:v>-19.768661329402612</c:v>
                </c:pt>
                <c:pt idx="87">
                  <c:v>-20.425216191735903</c:v>
                </c:pt>
                <c:pt idx="88">
                  <c:v>-22.930318526995542</c:v>
                </c:pt>
                <c:pt idx="89">
                  <c:v>-24.752295855952429</c:v>
                </c:pt>
                <c:pt idx="90">
                  <c:v>-26.741879755871334</c:v>
                </c:pt>
                <c:pt idx="91">
                  <c:v>-27.829187353248425</c:v>
                </c:pt>
                <c:pt idx="92">
                  <c:v>-29.810061193237321</c:v>
                </c:pt>
                <c:pt idx="93">
                  <c:v>-30.456034056143888</c:v>
                </c:pt>
                <c:pt idx="94">
                  <c:v>-31.64098897851143</c:v>
                </c:pt>
                <c:pt idx="95">
                  <c:v>-32.359704543229341</c:v>
                </c:pt>
                <c:pt idx="96">
                  <c:v>-32.452341132135921</c:v>
                </c:pt>
                <c:pt idx="97">
                  <c:v>-32.889716008267108</c:v>
                </c:pt>
                <c:pt idx="98">
                  <c:v>-33.416509769264565</c:v>
                </c:pt>
                <c:pt idx="99">
                  <c:v>-34.12883673841506</c:v>
                </c:pt>
                <c:pt idx="100">
                  <c:v>-34.86333901177445</c:v>
                </c:pt>
                <c:pt idx="101">
                  <c:v>-35.058437812237194</c:v>
                </c:pt>
                <c:pt idx="102">
                  <c:v>-35.628881919969949</c:v>
                </c:pt>
                <c:pt idx="103">
                  <c:v>-36.469224490078247</c:v>
                </c:pt>
                <c:pt idx="104">
                  <c:v>-36.707055859524097</c:v>
                </c:pt>
                <c:pt idx="105">
                  <c:v>-37.183681420387572</c:v>
                </c:pt>
                <c:pt idx="106">
                  <c:v>-37.152403731812342</c:v>
                </c:pt>
                <c:pt idx="107">
                  <c:v>-37.333347805361107</c:v>
                </c:pt>
                <c:pt idx="108">
                  <c:v>-37.868432587269382</c:v>
                </c:pt>
                <c:pt idx="109">
                  <c:v>-38.014968655035574</c:v>
                </c:pt>
                <c:pt idx="110">
                  <c:v>-38.14496092954424</c:v>
                </c:pt>
                <c:pt idx="111">
                  <c:v>-38.150212879149827</c:v>
                </c:pt>
                <c:pt idx="112">
                  <c:v>-38.392723773953058</c:v>
                </c:pt>
                <c:pt idx="113">
                  <c:v>-38.475403873714967</c:v>
                </c:pt>
                <c:pt idx="114">
                  <c:v>-38.250507242611235</c:v>
                </c:pt>
                <c:pt idx="115">
                  <c:v>-38.468055113338757</c:v>
                </c:pt>
                <c:pt idx="116">
                  <c:v>-38.478284023768126</c:v>
                </c:pt>
                <c:pt idx="117">
                  <c:v>-38.71573717613996</c:v>
                </c:pt>
                <c:pt idx="118">
                  <c:v>-38.706245685868907</c:v>
                </c:pt>
                <c:pt idx="119">
                  <c:v>-38.558205208539363</c:v>
                </c:pt>
                <c:pt idx="120">
                  <c:v>-38.658071619845309</c:v>
                </c:pt>
                <c:pt idx="121">
                  <c:v>-38.274866849234748</c:v>
                </c:pt>
                <c:pt idx="122">
                  <c:v>-38.319517191960912</c:v>
                </c:pt>
                <c:pt idx="123">
                  <c:v>-38.312057119705749</c:v>
                </c:pt>
                <c:pt idx="124">
                  <c:v>-38.112335986394662</c:v>
                </c:pt>
                <c:pt idx="125">
                  <c:v>-37.97297362125007</c:v>
                </c:pt>
                <c:pt idx="126">
                  <c:v>-38.086067124509661</c:v>
                </c:pt>
                <c:pt idx="127">
                  <c:v>-37.930906545190759</c:v>
                </c:pt>
                <c:pt idx="128">
                  <c:v>-37.840411654114277</c:v>
                </c:pt>
                <c:pt idx="129">
                  <c:v>-37.780814887995533</c:v>
                </c:pt>
                <c:pt idx="130">
                  <c:v>-37.404764428078231</c:v>
                </c:pt>
                <c:pt idx="131">
                  <c:v>-37.312755471415038</c:v>
                </c:pt>
                <c:pt idx="132">
                  <c:v>-36.974856416132177</c:v>
                </c:pt>
                <c:pt idx="133">
                  <c:v>-36.789018789226283</c:v>
                </c:pt>
                <c:pt idx="134">
                  <c:v>-36.862500070505376</c:v>
                </c:pt>
                <c:pt idx="135">
                  <c:v>-36.514950258082649</c:v>
                </c:pt>
                <c:pt idx="136">
                  <c:v>-36.313916020567405</c:v>
                </c:pt>
                <c:pt idx="137">
                  <c:v>-36.44185056042803</c:v>
                </c:pt>
                <c:pt idx="138">
                  <c:v>-36.205531663112779</c:v>
                </c:pt>
                <c:pt idx="139">
                  <c:v>-35.884304185650734</c:v>
                </c:pt>
                <c:pt idx="140">
                  <c:v>-36.050197826718225</c:v>
                </c:pt>
                <c:pt idx="141">
                  <c:v>-35.762937648810052</c:v>
                </c:pt>
                <c:pt idx="142">
                  <c:v>-35.941218538353382</c:v>
                </c:pt>
                <c:pt idx="143">
                  <c:v>-34.834320665353658</c:v>
                </c:pt>
                <c:pt idx="144">
                  <c:v>-35.0593959849787</c:v>
                </c:pt>
                <c:pt idx="145">
                  <c:v>-34.384814730856711</c:v>
                </c:pt>
                <c:pt idx="146">
                  <c:v>-34.457610389470936</c:v>
                </c:pt>
                <c:pt idx="147">
                  <c:v>-34.266183999265145</c:v>
                </c:pt>
                <c:pt idx="148">
                  <c:v>-34.002423458964927</c:v>
                </c:pt>
                <c:pt idx="149">
                  <c:v>-33.845968311198355</c:v>
                </c:pt>
                <c:pt idx="150">
                  <c:v>-33.995369408272097</c:v>
                </c:pt>
                <c:pt idx="151">
                  <c:v>-33.949495605463603</c:v>
                </c:pt>
                <c:pt idx="152">
                  <c:v>-33.904434135467902</c:v>
                </c:pt>
                <c:pt idx="153">
                  <c:v>-33.652039899602009</c:v>
                </c:pt>
                <c:pt idx="154">
                  <c:v>-33.38808116670949</c:v>
                </c:pt>
                <c:pt idx="155">
                  <c:v>-33.456196168172596</c:v>
                </c:pt>
                <c:pt idx="156">
                  <c:v>-33.513394737062931</c:v>
                </c:pt>
                <c:pt idx="157">
                  <c:v>-32.636622810383706</c:v>
                </c:pt>
                <c:pt idx="158">
                  <c:v>-32.651060959278894</c:v>
                </c:pt>
                <c:pt idx="159">
                  <c:v>-32.811151417733022</c:v>
                </c:pt>
                <c:pt idx="160">
                  <c:v>-32.854057450048899</c:v>
                </c:pt>
                <c:pt idx="161">
                  <c:v>-32.412335007574818</c:v>
                </c:pt>
                <c:pt idx="162">
                  <c:v>-30.463423518406401</c:v>
                </c:pt>
                <c:pt idx="163">
                  <c:v>-1.0792903444801634</c:v>
                </c:pt>
                <c:pt idx="164">
                  <c:v>3.1837392486853777</c:v>
                </c:pt>
                <c:pt idx="165">
                  <c:v>11.411690331015759</c:v>
                </c:pt>
                <c:pt idx="166">
                  <c:v>12.905402695053631</c:v>
                </c:pt>
                <c:pt idx="167">
                  <c:v>14.962236917454003</c:v>
                </c:pt>
                <c:pt idx="168">
                  <c:v>16.304890905280871</c:v>
                </c:pt>
                <c:pt idx="169">
                  <c:v>21.650367413478289</c:v>
                </c:pt>
                <c:pt idx="170">
                  <c:v>23.130812611952379</c:v>
                </c:pt>
                <c:pt idx="171">
                  <c:v>21.888720998251252</c:v>
                </c:pt>
                <c:pt idx="172">
                  <c:v>20.44673506628067</c:v>
                </c:pt>
                <c:pt idx="173">
                  <c:v>20.507994664068992</c:v>
                </c:pt>
                <c:pt idx="174">
                  <c:v>21.353026415897748</c:v>
                </c:pt>
                <c:pt idx="175">
                  <c:v>20.711954430839342</c:v>
                </c:pt>
                <c:pt idx="176">
                  <c:v>20.447757064701282</c:v>
                </c:pt>
                <c:pt idx="177">
                  <c:v>19.54617049119846</c:v>
                </c:pt>
                <c:pt idx="178">
                  <c:v>19.137886864513717</c:v>
                </c:pt>
                <c:pt idx="179">
                  <c:v>19.026568902381484</c:v>
                </c:pt>
                <c:pt idx="180">
                  <c:v>19.35805780870491</c:v>
                </c:pt>
                <c:pt idx="181">
                  <c:v>20.231109839174593</c:v>
                </c:pt>
                <c:pt idx="182">
                  <c:v>20.565893540533278</c:v>
                </c:pt>
                <c:pt idx="183">
                  <c:v>21.090178419357866</c:v>
                </c:pt>
                <c:pt idx="184">
                  <c:v>21.761378366440915</c:v>
                </c:pt>
                <c:pt idx="185">
                  <c:v>17.577830370074764</c:v>
                </c:pt>
                <c:pt idx="186">
                  <c:v>19.595579259266948</c:v>
                </c:pt>
                <c:pt idx="187">
                  <c:v>18.670497183526255</c:v>
                </c:pt>
                <c:pt idx="188">
                  <c:v>18.761241491261856</c:v>
                </c:pt>
                <c:pt idx="189">
                  <c:v>18.294504449939446</c:v>
                </c:pt>
                <c:pt idx="190">
                  <c:v>18.051240069029095</c:v>
                </c:pt>
                <c:pt idx="191">
                  <c:v>17.93055426373795</c:v>
                </c:pt>
                <c:pt idx="192">
                  <c:v>17.362125813973265</c:v>
                </c:pt>
                <c:pt idx="193">
                  <c:v>18.753644584519297</c:v>
                </c:pt>
                <c:pt idx="194">
                  <c:v>20.441328178970576</c:v>
                </c:pt>
                <c:pt idx="195">
                  <c:v>20.093136162268831</c:v>
                </c:pt>
                <c:pt idx="196">
                  <c:v>19.647031684753681</c:v>
                </c:pt>
                <c:pt idx="197">
                  <c:v>20.096568264438083</c:v>
                </c:pt>
                <c:pt idx="198">
                  <c:v>18.72228258272796</c:v>
                </c:pt>
                <c:pt idx="199">
                  <c:v>15.687795976616131</c:v>
                </c:pt>
                <c:pt idx="200">
                  <c:v>16.658349664280145</c:v>
                </c:pt>
                <c:pt idx="201">
                  <c:v>18.04237429598879</c:v>
                </c:pt>
                <c:pt idx="202">
                  <c:v>15.770915161657317</c:v>
                </c:pt>
                <c:pt idx="203">
                  <c:v>17.09405150102587</c:v>
                </c:pt>
                <c:pt idx="204">
                  <c:v>20.122840848026236</c:v>
                </c:pt>
                <c:pt idx="205">
                  <c:v>19.482223079538876</c:v>
                </c:pt>
                <c:pt idx="206">
                  <c:v>17.807526389812651</c:v>
                </c:pt>
                <c:pt idx="207">
                  <c:v>19.474639385953875</c:v>
                </c:pt>
                <c:pt idx="208">
                  <c:v>19.147180606749085</c:v>
                </c:pt>
                <c:pt idx="209">
                  <c:v>16.625934744776423</c:v>
                </c:pt>
                <c:pt idx="210">
                  <c:v>14.443199447507403</c:v>
                </c:pt>
                <c:pt idx="211">
                  <c:v>15.560714739386365</c:v>
                </c:pt>
                <c:pt idx="212">
                  <c:v>15.854805493762166</c:v>
                </c:pt>
                <c:pt idx="213">
                  <c:v>17.784020917245982</c:v>
                </c:pt>
                <c:pt idx="214">
                  <c:v>16.435822342928144</c:v>
                </c:pt>
                <c:pt idx="215">
                  <c:v>17.272623864890665</c:v>
                </c:pt>
                <c:pt idx="216">
                  <c:v>13.717195807248078</c:v>
                </c:pt>
                <c:pt idx="217">
                  <c:v>14.249269606649911</c:v>
                </c:pt>
                <c:pt idx="218">
                  <c:v>13.635472180882413</c:v>
                </c:pt>
                <c:pt idx="219">
                  <c:v>14.820788816527781</c:v>
                </c:pt>
                <c:pt idx="220">
                  <c:v>18.382375134031481</c:v>
                </c:pt>
                <c:pt idx="221">
                  <c:v>14.370470528063063</c:v>
                </c:pt>
                <c:pt idx="222">
                  <c:v>16.045850765710831</c:v>
                </c:pt>
                <c:pt idx="223">
                  <c:v>11.524342091596173</c:v>
                </c:pt>
                <c:pt idx="224">
                  <c:v>12.091651415112475</c:v>
                </c:pt>
                <c:pt idx="225">
                  <c:v>12.913637332777645</c:v>
                </c:pt>
                <c:pt idx="226">
                  <c:v>12.850767222850168</c:v>
                </c:pt>
                <c:pt idx="227">
                  <c:v>13.046600699686243</c:v>
                </c:pt>
                <c:pt idx="228">
                  <c:v>13.9316196886034</c:v>
                </c:pt>
                <c:pt idx="229">
                  <c:v>14.323631641148419</c:v>
                </c:pt>
                <c:pt idx="230">
                  <c:v>16.951168479168409</c:v>
                </c:pt>
                <c:pt idx="231">
                  <c:v>16.380236244626758</c:v>
                </c:pt>
                <c:pt idx="232">
                  <c:v>17.596411950153414</c:v>
                </c:pt>
                <c:pt idx="233">
                  <c:v>18.461789957385875</c:v>
                </c:pt>
                <c:pt idx="234">
                  <c:v>17.853300092254102</c:v>
                </c:pt>
                <c:pt idx="235">
                  <c:v>18.075544621494739</c:v>
                </c:pt>
                <c:pt idx="236">
                  <c:v>19.096453392496294</c:v>
                </c:pt>
                <c:pt idx="237">
                  <c:v>18.196763956177431</c:v>
                </c:pt>
                <c:pt idx="238">
                  <c:v>20.733400744731892</c:v>
                </c:pt>
                <c:pt idx="239">
                  <c:v>17.742198047263845</c:v>
                </c:pt>
                <c:pt idx="240">
                  <c:v>16.043721433726361</c:v>
                </c:pt>
                <c:pt idx="241">
                  <c:v>14.797059789432035</c:v>
                </c:pt>
                <c:pt idx="242">
                  <c:v>13.174465511802083</c:v>
                </c:pt>
                <c:pt idx="243">
                  <c:v>13.790275157679527</c:v>
                </c:pt>
                <c:pt idx="244">
                  <c:v>13.512784700589494</c:v>
                </c:pt>
                <c:pt idx="245">
                  <c:v>14.151548443604375</c:v>
                </c:pt>
                <c:pt idx="246">
                  <c:v>16.440463738405409</c:v>
                </c:pt>
                <c:pt idx="247">
                  <c:v>16.626738302617355</c:v>
                </c:pt>
                <c:pt idx="248">
                  <c:v>15.361850134436628</c:v>
                </c:pt>
                <c:pt idx="249">
                  <c:v>16.254946921526173</c:v>
                </c:pt>
                <c:pt idx="250">
                  <c:v>16.503622946734168</c:v>
                </c:pt>
                <c:pt idx="251">
                  <c:v>16.017819909960053</c:v>
                </c:pt>
                <c:pt idx="252">
                  <c:v>16.016607817636242</c:v>
                </c:pt>
                <c:pt idx="253">
                  <c:v>16.582290586665017</c:v>
                </c:pt>
                <c:pt idx="254">
                  <c:v>15.507154329162551</c:v>
                </c:pt>
                <c:pt idx="255">
                  <c:v>15.783560944154543</c:v>
                </c:pt>
                <c:pt idx="256">
                  <c:v>17.597273759260879</c:v>
                </c:pt>
                <c:pt idx="257">
                  <c:v>16.547978034390617</c:v>
                </c:pt>
                <c:pt idx="258">
                  <c:v>16.428905484333534</c:v>
                </c:pt>
                <c:pt idx="259">
                  <c:v>17.753135376061497</c:v>
                </c:pt>
                <c:pt idx="260">
                  <c:v>15.667601927924252</c:v>
                </c:pt>
                <c:pt idx="261">
                  <c:v>14.812412124929054</c:v>
                </c:pt>
                <c:pt idx="262">
                  <c:v>13.61143704117641</c:v>
                </c:pt>
                <c:pt idx="263">
                  <c:v>10.303414923659172</c:v>
                </c:pt>
                <c:pt idx="264">
                  <c:v>10.904742739964549</c:v>
                </c:pt>
                <c:pt idx="265">
                  <c:v>11.216851970282249</c:v>
                </c:pt>
                <c:pt idx="266">
                  <c:v>11.960807625232055</c:v>
                </c:pt>
                <c:pt idx="267">
                  <c:v>12.458249270978333</c:v>
                </c:pt>
                <c:pt idx="268">
                  <c:v>12.702304744886375</c:v>
                </c:pt>
                <c:pt idx="269">
                  <c:v>12.357869959014645</c:v>
                </c:pt>
                <c:pt idx="270">
                  <c:v>14.331012042797852</c:v>
                </c:pt>
                <c:pt idx="271">
                  <c:v>15.981242860021633</c:v>
                </c:pt>
                <c:pt idx="272">
                  <c:v>13.224381603167803</c:v>
                </c:pt>
                <c:pt idx="273">
                  <c:v>12.917229640888699</c:v>
                </c:pt>
                <c:pt idx="274">
                  <c:v>13.09812066963276</c:v>
                </c:pt>
                <c:pt idx="275">
                  <c:v>14.051200093102528</c:v>
                </c:pt>
                <c:pt idx="276">
                  <c:v>12.721778296257172</c:v>
                </c:pt>
                <c:pt idx="277">
                  <c:v>12.00225517491606</c:v>
                </c:pt>
                <c:pt idx="278">
                  <c:v>11.457758125919637</c:v>
                </c:pt>
                <c:pt idx="279">
                  <c:v>8.8424558005890912</c:v>
                </c:pt>
                <c:pt idx="280">
                  <c:v>8.316886103554646</c:v>
                </c:pt>
                <c:pt idx="281">
                  <c:v>9.0768020367642901</c:v>
                </c:pt>
                <c:pt idx="282">
                  <c:v>8.1290395645730165</c:v>
                </c:pt>
                <c:pt idx="283">
                  <c:v>6.7183722081967474</c:v>
                </c:pt>
                <c:pt idx="284">
                  <c:v>10.859306794777101</c:v>
                </c:pt>
                <c:pt idx="285">
                  <c:v>7.8657558562839043</c:v>
                </c:pt>
                <c:pt idx="286">
                  <c:v>5.997081746833965</c:v>
                </c:pt>
                <c:pt idx="287">
                  <c:v>5.1622832441524462</c:v>
                </c:pt>
                <c:pt idx="288">
                  <c:v>5.9442723614262372</c:v>
                </c:pt>
                <c:pt idx="289">
                  <c:v>5.2381714776995585</c:v>
                </c:pt>
                <c:pt idx="290">
                  <c:v>3.5398853460824795</c:v>
                </c:pt>
                <c:pt idx="291">
                  <c:v>3.4104532333145117</c:v>
                </c:pt>
                <c:pt idx="292">
                  <c:v>1.2194909207677043</c:v>
                </c:pt>
                <c:pt idx="293">
                  <c:v>0.65485289698162308</c:v>
                </c:pt>
                <c:pt idx="294">
                  <c:v>1.4181924838183231</c:v>
                </c:pt>
                <c:pt idx="295">
                  <c:v>1.7041060136366815</c:v>
                </c:pt>
                <c:pt idx="296">
                  <c:v>2.7412132265784099</c:v>
                </c:pt>
                <c:pt idx="297">
                  <c:v>3.0640733186601699</c:v>
                </c:pt>
                <c:pt idx="298">
                  <c:v>1.3227654311803654</c:v>
                </c:pt>
                <c:pt idx="299">
                  <c:v>0.83273040544938737</c:v>
                </c:pt>
                <c:pt idx="300">
                  <c:v>1.148026227008371</c:v>
                </c:pt>
                <c:pt idx="301">
                  <c:v>2.3419462995677729</c:v>
                </c:pt>
                <c:pt idx="302">
                  <c:v>3.8449970709642622</c:v>
                </c:pt>
                <c:pt idx="303">
                  <c:v>3.4900471324639049</c:v>
                </c:pt>
                <c:pt idx="304">
                  <c:v>2.456685997014048</c:v>
                </c:pt>
                <c:pt idx="305">
                  <c:v>2.1779272773768241</c:v>
                </c:pt>
                <c:pt idx="306">
                  <c:v>3.5220130053845491</c:v>
                </c:pt>
                <c:pt idx="307">
                  <c:v>1.1940849229868928</c:v>
                </c:pt>
                <c:pt idx="308">
                  <c:v>0.35221894144377353</c:v>
                </c:pt>
                <c:pt idx="309">
                  <c:v>-0.5562974567171618</c:v>
                </c:pt>
                <c:pt idx="310">
                  <c:v>-0.33155515217019182</c:v>
                </c:pt>
                <c:pt idx="311">
                  <c:v>0.24682018127296729</c:v>
                </c:pt>
                <c:pt idx="312">
                  <c:v>-1.0125603991608518</c:v>
                </c:pt>
                <c:pt idx="313">
                  <c:v>-0.96074773609595965</c:v>
                </c:pt>
                <c:pt idx="314">
                  <c:v>-1.6567655643744028</c:v>
                </c:pt>
                <c:pt idx="315">
                  <c:v>-2.0713018278019675</c:v>
                </c:pt>
                <c:pt idx="316">
                  <c:v>-2.1673897977886791</c:v>
                </c:pt>
                <c:pt idx="317">
                  <c:v>-3.4692477204476879</c:v>
                </c:pt>
                <c:pt idx="318">
                  <c:v>-1.6118567233097629</c:v>
                </c:pt>
                <c:pt idx="319">
                  <c:v>-4.2824200975425404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F32-9A41-8A4E-64EAF75B56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576608"/>
        <c:axId val="674579728"/>
      </c:scatterChart>
      <c:valAx>
        <c:axId val="674576608"/>
        <c:scaling>
          <c:orientation val="minMax"/>
          <c:max val="16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50460104986876597"/>
              <c:y val="0.88412609323488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9728"/>
        <c:crossesAt val="0"/>
        <c:crossBetween val="midCat"/>
        <c:majorUnit val="10"/>
      </c:valAx>
      <c:valAx>
        <c:axId val="674579728"/>
        <c:scaling>
          <c:orientation val="minMax"/>
          <c:max val="100"/>
          <c:min val="-60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Symbol"/>
                  </a:rPr>
                  <a:t>% D</a:t>
                </a: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R/R</a:t>
                </a:r>
                <a:r>
                  <a:rPr lang="en-US" sz="1400" b="0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0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10871861805317801"/>
              <c:y val="0.4041593677194850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6608"/>
        <c:crossesAt val="0"/>
        <c:crossBetween val="midCat"/>
      </c:valAx>
      <c:spPr>
        <a:solidFill>
          <a:sysClr val="window" lastClr="FFFFFF"/>
        </a:solidFill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889694343762601"/>
          <c:y val="0.20035596321915899"/>
          <c:w val="0.65156849851686605"/>
          <c:h val="0.60479122848313205"/>
        </c:manualLayout>
      </c:layout>
      <c:scatterChart>
        <c:scatterStyle val="lineMarker"/>
        <c:varyColors val="0"/>
        <c:ser>
          <c:idx val="0"/>
          <c:order val="0"/>
          <c:tx>
            <c:v>mScarlet</c:v>
          </c:tx>
          <c:marker>
            <c:symbol val="none"/>
          </c:marker>
          <c:xVal>
            <c:numRef>
              <c:f>'240807B011'!$A$2:$A$321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'240807B011'!$J$2:$J$321</c:f>
              <c:numCache>
                <c:formatCode>0.0</c:formatCode>
                <c:ptCount val="320"/>
                <c:pt idx="0">
                  <c:v>680.81303526237002</c:v>
                </c:pt>
                <c:pt idx="1">
                  <c:v>662.47526262528004</c:v>
                </c:pt>
                <c:pt idx="2">
                  <c:v>633.66759737237999</c:v>
                </c:pt>
                <c:pt idx="3">
                  <c:v>620.13404160758</c:v>
                </c:pt>
                <c:pt idx="4">
                  <c:v>626.81373548986005</c:v>
                </c:pt>
                <c:pt idx="5">
                  <c:v>595.57846544664994</c:v>
                </c:pt>
                <c:pt idx="6">
                  <c:v>736.27042689896996</c:v>
                </c:pt>
                <c:pt idx="7">
                  <c:v>693.68151479351002</c:v>
                </c:pt>
                <c:pt idx="8">
                  <c:v>657.84065188301997</c:v>
                </c:pt>
                <c:pt idx="9">
                  <c:v>597.26013916437</c:v>
                </c:pt>
                <c:pt idx="10">
                  <c:v>632.07729023277</c:v>
                </c:pt>
                <c:pt idx="11">
                  <c:v>650.35332580453007</c:v>
                </c:pt>
                <c:pt idx="12">
                  <c:v>609.82455859121001</c:v>
                </c:pt>
                <c:pt idx="13">
                  <c:v>634.16771249698002</c:v>
                </c:pt>
                <c:pt idx="14">
                  <c:v>625.18350775416002</c:v>
                </c:pt>
                <c:pt idx="15">
                  <c:v>612.33996000854995</c:v>
                </c:pt>
                <c:pt idx="16">
                  <c:v>570.59298968776</c:v>
                </c:pt>
                <c:pt idx="17">
                  <c:v>620.85466556234996</c:v>
                </c:pt>
                <c:pt idx="18">
                  <c:v>615.38436232314996</c:v>
                </c:pt>
                <c:pt idx="19">
                  <c:v>597.37027515263992</c:v>
                </c:pt>
                <c:pt idx="20">
                  <c:v>619.80863630124998</c:v>
                </c:pt>
                <c:pt idx="21">
                  <c:v>609.04800330016997</c:v>
                </c:pt>
                <c:pt idx="22">
                  <c:v>607.14554438829998</c:v>
                </c:pt>
                <c:pt idx="23">
                  <c:v>580.28106635020004</c:v>
                </c:pt>
                <c:pt idx="24">
                  <c:v>555.05093114139004</c:v>
                </c:pt>
                <c:pt idx="25">
                  <c:v>538.24407812151003</c:v>
                </c:pt>
                <c:pt idx="26">
                  <c:v>472.32745205812</c:v>
                </c:pt>
                <c:pt idx="27">
                  <c:v>475.78035025229997</c:v>
                </c:pt>
                <c:pt idx="28">
                  <c:v>516.22632548709998</c:v>
                </c:pt>
                <c:pt idx="29">
                  <c:v>476.27435127632998</c:v>
                </c:pt>
                <c:pt idx="30">
                  <c:v>549.29292271522002</c:v>
                </c:pt>
                <c:pt idx="31">
                  <c:v>553.70758425388999</c:v>
                </c:pt>
                <c:pt idx="32">
                  <c:v>542.30417880034997</c:v>
                </c:pt>
                <c:pt idx="33">
                  <c:v>549.25703994287994</c:v>
                </c:pt>
                <c:pt idx="34">
                  <c:v>539.44497926243002</c:v>
                </c:pt>
                <c:pt idx="35">
                  <c:v>582.69131829960008</c:v>
                </c:pt>
                <c:pt idx="36">
                  <c:v>597.67391558968006</c:v>
                </c:pt>
                <c:pt idx="37">
                  <c:v>581.06203059693007</c:v>
                </c:pt>
                <c:pt idx="38">
                  <c:v>583.21949170898006</c:v>
                </c:pt>
                <c:pt idx="39">
                  <c:v>593.67332354615996</c:v>
                </c:pt>
                <c:pt idx="40">
                  <c:v>562.89262724270998</c:v>
                </c:pt>
                <c:pt idx="41">
                  <c:v>573.18899669776999</c:v>
                </c:pt>
                <c:pt idx="42">
                  <c:v>565.24939745793006</c:v>
                </c:pt>
                <c:pt idx="43">
                  <c:v>489.12964200470003</c:v>
                </c:pt>
                <c:pt idx="44">
                  <c:v>516.18571615846997</c:v>
                </c:pt>
                <c:pt idx="45">
                  <c:v>549.52284180885999</c:v>
                </c:pt>
                <c:pt idx="46">
                  <c:v>596.34434871202996</c:v>
                </c:pt>
                <c:pt idx="47">
                  <c:v>611.35567535478003</c:v>
                </c:pt>
                <c:pt idx="48">
                  <c:v>619.86638107386</c:v>
                </c:pt>
                <c:pt idx="49">
                  <c:v>634.77999165684002</c:v>
                </c:pt>
                <c:pt idx="50">
                  <c:v>604.30460558511004</c:v>
                </c:pt>
                <c:pt idx="51">
                  <c:v>626.80689594314003</c:v>
                </c:pt>
                <c:pt idx="52">
                  <c:v>597.76816683112997</c:v>
                </c:pt>
                <c:pt idx="53">
                  <c:v>489.25971937664997</c:v>
                </c:pt>
                <c:pt idx="54">
                  <c:v>445.53606250516998</c:v>
                </c:pt>
                <c:pt idx="55">
                  <c:v>384.82891998703002</c:v>
                </c:pt>
                <c:pt idx="56">
                  <c:v>390.05489474009994</c:v>
                </c:pt>
                <c:pt idx="57">
                  <c:v>374.91442138227001</c:v>
                </c:pt>
                <c:pt idx="58">
                  <c:v>379.32757494806003</c:v>
                </c:pt>
                <c:pt idx="59">
                  <c:v>376.24944606227001</c:v>
                </c:pt>
                <c:pt idx="60">
                  <c:v>400.06194170801996</c:v>
                </c:pt>
                <c:pt idx="61">
                  <c:v>401.54798046551997</c:v>
                </c:pt>
                <c:pt idx="62">
                  <c:v>417.36406167017003</c:v>
                </c:pt>
                <c:pt idx="63">
                  <c:v>426.69011176820004</c:v>
                </c:pt>
                <c:pt idx="64">
                  <c:v>435.17700532361994</c:v>
                </c:pt>
                <c:pt idx="65">
                  <c:v>444.15811437564003</c:v>
                </c:pt>
                <c:pt idx="66">
                  <c:v>450.29470141186994</c:v>
                </c:pt>
                <c:pt idx="67">
                  <c:v>415.55488803496007</c:v>
                </c:pt>
                <c:pt idx="68">
                  <c:v>425.31464622342003</c:v>
                </c:pt>
                <c:pt idx="69">
                  <c:v>413.37740329419</c:v>
                </c:pt>
                <c:pt idx="70">
                  <c:v>413.58743546479002</c:v>
                </c:pt>
                <c:pt idx="71">
                  <c:v>394.2157272028</c:v>
                </c:pt>
                <c:pt idx="72">
                  <c:v>406.59189670524995</c:v>
                </c:pt>
                <c:pt idx="73">
                  <c:v>423.45829382365002</c:v>
                </c:pt>
                <c:pt idx="74">
                  <c:v>445.01495190649007</c:v>
                </c:pt>
                <c:pt idx="75">
                  <c:v>438.58541150233003</c:v>
                </c:pt>
                <c:pt idx="76">
                  <c:v>423.72083024307994</c:v>
                </c:pt>
                <c:pt idx="77">
                  <c:v>376.31537348218001</c:v>
                </c:pt>
                <c:pt idx="78">
                  <c:v>400.55565769426994</c:v>
                </c:pt>
                <c:pt idx="79">
                  <c:v>355.97865558524001</c:v>
                </c:pt>
                <c:pt idx="80">
                  <c:v>385.49719996042006</c:v>
                </c:pt>
                <c:pt idx="81">
                  <c:v>356.61430141233001</c:v>
                </c:pt>
                <c:pt idx="82">
                  <c:v>377.21946246272</c:v>
                </c:pt>
                <c:pt idx="83">
                  <c:v>376.27190883864</c:v>
                </c:pt>
                <c:pt idx="84">
                  <c:v>406.13508075797006</c:v>
                </c:pt>
                <c:pt idx="85">
                  <c:v>420.65625144881994</c:v>
                </c:pt>
                <c:pt idx="86">
                  <c:v>409.83854455440002</c:v>
                </c:pt>
                <c:pt idx="87">
                  <c:v>398.64019252754997</c:v>
                </c:pt>
                <c:pt idx="88">
                  <c:v>387.89689326898002</c:v>
                </c:pt>
                <c:pt idx="89">
                  <c:v>388.58970684831002</c:v>
                </c:pt>
                <c:pt idx="90">
                  <c:v>370.68550541464003</c:v>
                </c:pt>
                <c:pt idx="91">
                  <c:v>358.28277910230997</c:v>
                </c:pt>
                <c:pt idx="92">
                  <c:v>386.69377419674004</c:v>
                </c:pt>
                <c:pt idx="93">
                  <c:v>318.72397204748</c:v>
                </c:pt>
                <c:pt idx="94">
                  <c:v>376.37812423201001</c:v>
                </c:pt>
                <c:pt idx="95">
                  <c:v>342.20928486716997</c:v>
                </c:pt>
                <c:pt idx="96">
                  <c:v>362.04037551560998</c:v>
                </c:pt>
                <c:pt idx="97">
                  <c:v>367.13091055748998</c:v>
                </c:pt>
                <c:pt idx="98">
                  <c:v>292.8699647405</c:v>
                </c:pt>
                <c:pt idx="99">
                  <c:v>377.27929193504002</c:v>
                </c:pt>
                <c:pt idx="100">
                  <c:v>372.66328489827004</c:v>
                </c:pt>
                <c:pt idx="101">
                  <c:v>413.54706791727</c:v>
                </c:pt>
                <c:pt idx="102">
                  <c:v>396.85562321002999</c:v>
                </c:pt>
                <c:pt idx="103">
                  <c:v>386.22590952483995</c:v>
                </c:pt>
                <c:pt idx="104">
                  <c:v>366.35735342782999</c:v>
                </c:pt>
                <c:pt idx="105">
                  <c:v>379.68035414244997</c:v>
                </c:pt>
                <c:pt idx="106">
                  <c:v>373.44401427635</c:v>
                </c:pt>
                <c:pt idx="107">
                  <c:v>356.73227676796</c:v>
                </c:pt>
                <c:pt idx="108">
                  <c:v>355.77783244886001</c:v>
                </c:pt>
                <c:pt idx="109">
                  <c:v>376.74161605472</c:v>
                </c:pt>
                <c:pt idx="110">
                  <c:v>351.79020033220002</c:v>
                </c:pt>
                <c:pt idx="111">
                  <c:v>349.78747322998998</c:v>
                </c:pt>
                <c:pt idx="112">
                  <c:v>346.01663490969997</c:v>
                </c:pt>
                <c:pt idx="113">
                  <c:v>359.61616246700999</c:v>
                </c:pt>
                <c:pt idx="114">
                  <c:v>432.34878262054997</c:v>
                </c:pt>
                <c:pt idx="115">
                  <c:v>397.07031940703001</c:v>
                </c:pt>
                <c:pt idx="116">
                  <c:v>365.00605552814</c:v>
                </c:pt>
                <c:pt idx="117">
                  <c:v>327.83188575173</c:v>
                </c:pt>
                <c:pt idx="118">
                  <c:v>336.42423136008006</c:v>
                </c:pt>
                <c:pt idx="119">
                  <c:v>345.55325102485006</c:v>
                </c:pt>
                <c:pt idx="120">
                  <c:v>330.57636559088996</c:v>
                </c:pt>
                <c:pt idx="121">
                  <c:v>329.30671188223999</c:v>
                </c:pt>
                <c:pt idx="122">
                  <c:v>349.13106769269996</c:v>
                </c:pt>
                <c:pt idx="123">
                  <c:v>392.27819781254993</c:v>
                </c:pt>
                <c:pt idx="124">
                  <c:v>417.54255457635003</c:v>
                </c:pt>
                <c:pt idx="125">
                  <c:v>376.59437885592001</c:v>
                </c:pt>
                <c:pt idx="126">
                  <c:v>370.43730144746996</c:v>
                </c:pt>
                <c:pt idx="127">
                  <c:v>389.99845821598001</c:v>
                </c:pt>
                <c:pt idx="128">
                  <c:v>329.94090837704994</c:v>
                </c:pt>
                <c:pt idx="129">
                  <c:v>360.15203527294</c:v>
                </c:pt>
                <c:pt idx="130">
                  <c:v>302.06261010780997</c:v>
                </c:pt>
                <c:pt idx="131">
                  <c:v>380.62693121103996</c:v>
                </c:pt>
                <c:pt idx="132">
                  <c:v>442.40644399567998</c:v>
                </c:pt>
                <c:pt idx="133">
                  <c:v>398.99664959928998</c:v>
                </c:pt>
                <c:pt idx="134">
                  <c:v>378.43127385192997</c:v>
                </c:pt>
                <c:pt idx="135">
                  <c:v>372.98172972376</c:v>
                </c:pt>
                <c:pt idx="136">
                  <c:v>386.56617694709996</c:v>
                </c:pt>
                <c:pt idx="137">
                  <c:v>398.80951900913999</c:v>
                </c:pt>
                <c:pt idx="138">
                  <c:v>399.51558405489993</c:v>
                </c:pt>
                <c:pt idx="139">
                  <c:v>427.02653670073005</c:v>
                </c:pt>
                <c:pt idx="140">
                  <c:v>371.30684676640999</c:v>
                </c:pt>
                <c:pt idx="141">
                  <c:v>405.08970181223003</c:v>
                </c:pt>
                <c:pt idx="142">
                  <c:v>566.93576648777002</c:v>
                </c:pt>
                <c:pt idx="143">
                  <c:v>594.88954220444998</c:v>
                </c:pt>
                <c:pt idx="144">
                  <c:v>612.95228453917002</c:v>
                </c:pt>
                <c:pt idx="145">
                  <c:v>623.01206279798009</c:v>
                </c:pt>
                <c:pt idx="146">
                  <c:v>635.35310309766999</c:v>
                </c:pt>
                <c:pt idx="147">
                  <c:v>628.60170645635992</c:v>
                </c:pt>
                <c:pt idx="148">
                  <c:v>639.44461336865993</c:v>
                </c:pt>
                <c:pt idx="149">
                  <c:v>652.51822501929996</c:v>
                </c:pt>
                <c:pt idx="150">
                  <c:v>664.14402081347998</c:v>
                </c:pt>
                <c:pt idx="151">
                  <c:v>651.16327937334995</c:v>
                </c:pt>
                <c:pt idx="152">
                  <c:v>650.75890091235999</c:v>
                </c:pt>
                <c:pt idx="153">
                  <c:v>659.10774710597002</c:v>
                </c:pt>
                <c:pt idx="154">
                  <c:v>651.38704992493001</c:v>
                </c:pt>
                <c:pt idx="155">
                  <c:v>633.38237040922002</c:v>
                </c:pt>
                <c:pt idx="156">
                  <c:v>632.53524618719007</c:v>
                </c:pt>
                <c:pt idx="157">
                  <c:v>650.06401831646008</c:v>
                </c:pt>
                <c:pt idx="158">
                  <c:v>631.64283305603999</c:v>
                </c:pt>
                <c:pt idx="159">
                  <c:v>648.47985627525998</c:v>
                </c:pt>
                <c:pt idx="160">
                  <c:v>665.09332578460999</c:v>
                </c:pt>
                <c:pt idx="161">
                  <c:v>661.07016230292004</c:v>
                </c:pt>
                <c:pt idx="162">
                  <c:v>666.24382195045996</c:v>
                </c:pt>
                <c:pt idx="163">
                  <c:v>585.65613528767005</c:v>
                </c:pt>
                <c:pt idx="164">
                  <c:v>543.06227393792005</c:v>
                </c:pt>
                <c:pt idx="165">
                  <c:v>657.88372315235995</c:v>
                </c:pt>
                <c:pt idx="166">
                  <c:v>690.79075113597003</c:v>
                </c:pt>
                <c:pt idx="167">
                  <c:v>718.18530224796007</c:v>
                </c:pt>
                <c:pt idx="168">
                  <c:v>730.69157479004002</c:v>
                </c:pt>
                <c:pt idx="169">
                  <c:v>724.34327533521002</c:v>
                </c:pt>
                <c:pt idx="170">
                  <c:v>729.31003398527002</c:v>
                </c:pt>
                <c:pt idx="171">
                  <c:v>727.41950838260993</c:v>
                </c:pt>
                <c:pt idx="172">
                  <c:v>744.28009412193001</c:v>
                </c:pt>
                <c:pt idx="173">
                  <c:v>732.02326956405</c:v>
                </c:pt>
                <c:pt idx="174">
                  <c:v>732.82180666864997</c:v>
                </c:pt>
                <c:pt idx="175">
                  <c:v>734.37022727781005</c:v>
                </c:pt>
                <c:pt idx="176">
                  <c:v>736.27929773049993</c:v>
                </c:pt>
                <c:pt idx="177">
                  <c:v>721.37280931867008</c:v>
                </c:pt>
                <c:pt idx="178">
                  <c:v>722.6421706657701</c:v>
                </c:pt>
                <c:pt idx="179">
                  <c:v>716.79317465282998</c:v>
                </c:pt>
                <c:pt idx="180">
                  <c:v>703.81686361338996</c:v>
                </c:pt>
                <c:pt idx="181">
                  <c:v>713.89977216754005</c:v>
                </c:pt>
                <c:pt idx="182">
                  <c:v>659.29729489061003</c:v>
                </c:pt>
                <c:pt idx="183">
                  <c:v>695.41053382958</c:v>
                </c:pt>
                <c:pt idx="184">
                  <c:v>728.44851854593003</c:v>
                </c:pt>
                <c:pt idx="185">
                  <c:v>713.38136788906002</c:v>
                </c:pt>
                <c:pt idx="186">
                  <c:v>720.41014469572997</c:v>
                </c:pt>
                <c:pt idx="187">
                  <c:v>704.38936749190998</c:v>
                </c:pt>
                <c:pt idx="188">
                  <c:v>711.60784787623004</c:v>
                </c:pt>
                <c:pt idx="189">
                  <c:v>717.37035289965002</c:v>
                </c:pt>
                <c:pt idx="190">
                  <c:v>725.80272275838001</c:v>
                </c:pt>
                <c:pt idx="191">
                  <c:v>719.40662799933</c:v>
                </c:pt>
                <c:pt idx="192">
                  <c:v>649.93792688503004</c:v>
                </c:pt>
                <c:pt idx="193">
                  <c:v>696.09637954963</c:v>
                </c:pt>
                <c:pt idx="194">
                  <c:v>690.24206396957993</c:v>
                </c:pt>
                <c:pt idx="195">
                  <c:v>674.72197379927002</c:v>
                </c:pt>
                <c:pt idx="196">
                  <c:v>676.45589917611005</c:v>
                </c:pt>
                <c:pt idx="197">
                  <c:v>696.54500734038004</c:v>
                </c:pt>
                <c:pt idx="198">
                  <c:v>703.30143197515997</c:v>
                </c:pt>
                <c:pt idx="199">
                  <c:v>694.30219729970008</c:v>
                </c:pt>
                <c:pt idx="200">
                  <c:v>577.38271572343001</c:v>
                </c:pt>
                <c:pt idx="201">
                  <c:v>598.41109001607003</c:v>
                </c:pt>
                <c:pt idx="202">
                  <c:v>637.55576320800003</c:v>
                </c:pt>
                <c:pt idx="203">
                  <c:v>644.13123110545007</c:v>
                </c:pt>
                <c:pt idx="204">
                  <c:v>668.16504745719999</c:v>
                </c:pt>
                <c:pt idx="205">
                  <c:v>670.10383350572999</c:v>
                </c:pt>
                <c:pt idx="206">
                  <c:v>663.9162516726301</c:v>
                </c:pt>
                <c:pt idx="207">
                  <c:v>654.82794786982004</c:v>
                </c:pt>
                <c:pt idx="208">
                  <c:v>653.71173728359997</c:v>
                </c:pt>
                <c:pt idx="209">
                  <c:v>666.39851817153999</c:v>
                </c:pt>
                <c:pt idx="210">
                  <c:v>679.18282055584996</c:v>
                </c:pt>
                <c:pt idx="211">
                  <c:v>683.03695177560996</c:v>
                </c:pt>
                <c:pt idx="212">
                  <c:v>631.05600096996</c:v>
                </c:pt>
                <c:pt idx="213">
                  <c:v>606.12075329590994</c:v>
                </c:pt>
                <c:pt idx="214">
                  <c:v>633.45526867865999</c:v>
                </c:pt>
                <c:pt idx="215">
                  <c:v>649.83362711228995</c:v>
                </c:pt>
                <c:pt idx="216">
                  <c:v>658.94231870635008</c:v>
                </c:pt>
                <c:pt idx="217">
                  <c:v>603.03380059942003</c:v>
                </c:pt>
                <c:pt idx="218">
                  <c:v>569.09378313949003</c:v>
                </c:pt>
                <c:pt idx="219">
                  <c:v>566.89802812608002</c:v>
                </c:pt>
                <c:pt idx="220">
                  <c:v>522.41387130673991</c:v>
                </c:pt>
                <c:pt idx="221">
                  <c:v>456.27558460808007</c:v>
                </c:pt>
                <c:pt idx="222">
                  <c:v>428.61910700664009</c:v>
                </c:pt>
                <c:pt idx="223">
                  <c:v>466.76608594490006</c:v>
                </c:pt>
                <c:pt idx="224">
                  <c:v>434.89492430988003</c:v>
                </c:pt>
                <c:pt idx="225">
                  <c:v>434.79747169571004</c:v>
                </c:pt>
                <c:pt idx="226">
                  <c:v>447.70005803969002</c:v>
                </c:pt>
                <c:pt idx="227">
                  <c:v>420.85838474748999</c:v>
                </c:pt>
                <c:pt idx="228">
                  <c:v>407.96937969086991</c:v>
                </c:pt>
                <c:pt idx="229">
                  <c:v>402.95092083439994</c:v>
                </c:pt>
                <c:pt idx="230">
                  <c:v>463.48089405623995</c:v>
                </c:pt>
                <c:pt idx="231">
                  <c:v>509.97234251779992</c:v>
                </c:pt>
                <c:pt idx="232">
                  <c:v>513.72127747491004</c:v>
                </c:pt>
                <c:pt idx="233">
                  <c:v>532.53893332351004</c:v>
                </c:pt>
                <c:pt idx="234">
                  <c:v>528.83131001877007</c:v>
                </c:pt>
                <c:pt idx="235">
                  <c:v>502.00002562509997</c:v>
                </c:pt>
                <c:pt idx="236">
                  <c:v>514.07394440635994</c:v>
                </c:pt>
                <c:pt idx="237">
                  <c:v>471.85482987025006</c:v>
                </c:pt>
                <c:pt idx="238">
                  <c:v>487.35772426826009</c:v>
                </c:pt>
                <c:pt idx="239">
                  <c:v>401.21714726468008</c:v>
                </c:pt>
                <c:pt idx="240">
                  <c:v>399.21024604301005</c:v>
                </c:pt>
                <c:pt idx="241">
                  <c:v>381.02777791147997</c:v>
                </c:pt>
                <c:pt idx="242">
                  <c:v>385.14183662617995</c:v>
                </c:pt>
                <c:pt idx="243">
                  <c:v>373.93108128057003</c:v>
                </c:pt>
                <c:pt idx="244">
                  <c:v>367.21431167788</c:v>
                </c:pt>
                <c:pt idx="245">
                  <c:v>371.09915905162001</c:v>
                </c:pt>
                <c:pt idx="246">
                  <c:v>379.09954476408001</c:v>
                </c:pt>
                <c:pt idx="247">
                  <c:v>365.40167983327001</c:v>
                </c:pt>
                <c:pt idx="248">
                  <c:v>351.47339853938001</c:v>
                </c:pt>
                <c:pt idx="249">
                  <c:v>384.90567501226008</c:v>
                </c:pt>
                <c:pt idx="250">
                  <c:v>384.04836170023003</c:v>
                </c:pt>
                <c:pt idx="251">
                  <c:v>374.63617232828</c:v>
                </c:pt>
                <c:pt idx="252">
                  <c:v>367.67140626685</c:v>
                </c:pt>
                <c:pt idx="253">
                  <c:v>362.28689488837</c:v>
                </c:pt>
                <c:pt idx="254">
                  <c:v>360.12882214120998</c:v>
                </c:pt>
                <c:pt idx="255">
                  <c:v>361.36363999376999</c:v>
                </c:pt>
                <c:pt idx="256">
                  <c:v>388.28296563098002</c:v>
                </c:pt>
                <c:pt idx="257">
                  <c:v>411.76985732482996</c:v>
                </c:pt>
                <c:pt idx="258">
                  <c:v>394.99491535720995</c:v>
                </c:pt>
                <c:pt idx="259">
                  <c:v>385.30766045681003</c:v>
                </c:pt>
                <c:pt idx="260">
                  <c:v>380.98844704569001</c:v>
                </c:pt>
                <c:pt idx="261">
                  <c:v>372.11199243497998</c:v>
                </c:pt>
                <c:pt idx="262">
                  <c:v>365.57058948604003</c:v>
                </c:pt>
                <c:pt idx="263">
                  <c:v>359.99099296416</c:v>
                </c:pt>
                <c:pt idx="264">
                  <c:v>358.46788785489002</c:v>
                </c:pt>
                <c:pt idx="265">
                  <c:v>358.57565894124997</c:v>
                </c:pt>
                <c:pt idx="266">
                  <c:v>356.32768248680003</c:v>
                </c:pt>
                <c:pt idx="267">
                  <c:v>355.67720631612002</c:v>
                </c:pt>
                <c:pt idx="268">
                  <c:v>372.14796302543004</c:v>
                </c:pt>
                <c:pt idx="269">
                  <c:v>358.89025772527998</c:v>
                </c:pt>
                <c:pt idx="270">
                  <c:v>343.41823325248998</c:v>
                </c:pt>
                <c:pt idx="271">
                  <c:v>338.35895052205001</c:v>
                </c:pt>
                <c:pt idx="272">
                  <c:v>395.12389550303999</c:v>
                </c:pt>
                <c:pt idx="273">
                  <c:v>471.86079407736997</c:v>
                </c:pt>
                <c:pt idx="274">
                  <c:v>524.65290761053996</c:v>
                </c:pt>
                <c:pt idx="275">
                  <c:v>539.50346006253994</c:v>
                </c:pt>
                <c:pt idx="276">
                  <c:v>527.00915331625004</c:v>
                </c:pt>
                <c:pt idx="277">
                  <c:v>520.65869824830997</c:v>
                </c:pt>
                <c:pt idx="278">
                  <c:v>462.56573665371002</c:v>
                </c:pt>
                <c:pt idx="279">
                  <c:v>468.60822511514004</c:v>
                </c:pt>
                <c:pt idx="280">
                  <c:v>628.45079424353003</c:v>
                </c:pt>
                <c:pt idx="281">
                  <c:v>649.31952623062</c:v>
                </c:pt>
                <c:pt idx="282">
                  <c:v>634.03033668777005</c:v>
                </c:pt>
                <c:pt idx="283">
                  <c:v>646.47170198233005</c:v>
                </c:pt>
                <c:pt idx="284">
                  <c:v>658.97355481336001</c:v>
                </c:pt>
                <c:pt idx="285">
                  <c:v>639.27101939542001</c:v>
                </c:pt>
                <c:pt idx="286">
                  <c:v>626.30587353388</c:v>
                </c:pt>
                <c:pt idx="287">
                  <c:v>620.07176217158008</c:v>
                </c:pt>
                <c:pt idx="288">
                  <c:v>619.57183100608995</c:v>
                </c:pt>
                <c:pt idx="289">
                  <c:v>629.07936977822999</c:v>
                </c:pt>
                <c:pt idx="290">
                  <c:v>632.83039095616994</c:v>
                </c:pt>
                <c:pt idx="291">
                  <c:v>605.50623688463997</c:v>
                </c:pt>
                <c:pt idx="292">
                  <c:v>580.98345672578</c:v>
                </c:pt>
                <c:pt idx="293">
                  <c:v>573.40034867492</c:v>
                </c:pt>
                <c:pt idx="294">
                  <c:v>609.57065343375007</c:v>
                </c:pt>
                <c:pt idx="295">
                  <c:v>609.12558372273998</c:v>
                </c:pt>
                <c:pt idx="296">
                  <c:v>592.3143909539599</c:v>
                </c:pt>
                <c:pt idx="297">
                  <c:v>586.34207471971001</c:v>
                </c:pt>
                <c:pt idx="298">
                  <c:v>591.55772960028003</c:v>
                </c:pt>
                <c:pt idx="299">
                  <c:v>597.23651862238</c:v>
                </c:pt>
                <c:pt idx="300">
                  <c:v>589.41835315446008</c:v>
                </c:pt>
                <c:pt idx="301">
                  <c:v>601.74581342295005</c:v>
                </c:pt>
                <c:pt idx="302">
                  <c:v>600.16357586037998</c:v>
                </c:pt>
                <c:pt idx="303">
                  <c:v>590.55536273542009</c:v>
                </c:pt>
                <c:pt idx="304">
                  <c:v>614.71952931282999</c:v>
                </c:pt>
                <c:pt idx="305">
                  <c:v>595.55215176071999</c:v>
                </c:pt>
                <c:pt idx="306">
                  <c:v>596.10823071057007</c:v>
                </c:pt>
                <c:pt idx="307">
                  <c:v>608.72869302059007</c:v>
                </c:pt>
                <c:pt idx="308">
                  <c:v>614.34232811253003</c:v>
                </c:pt>
                <c:pt idx="309">
                  <c:v>638.11031860351</c:v>
                </c:pt>
                <c:pt idx="310">
                  <c:v>636.84760539782997</c:v>
                </c:pt>
                <c:pt idx="311">
                  <c:v>640.10679988040999</c:v>
                </c:pt>
                <c:pt idx="312">
                  <c:v>636.20643122183003</c:v>
                </c:pt>
                <c:pt idx="313">
                  <c:v>640.70054963062</c:v>
                </c:pt>
                <c:pt idx="314">
                  <c:v>572.88384616737994</c:v>
                </c:pt>
                <c:pt idx="315">
                  <c:v>567.08777783284006</c:v>
                </c:pt>
                <c:pt idx="316">
                  <c:v>569.6652472938099</c:v>
                </c:pt>
                <c:pt idx="317">
                  <c:v>582.29541926520005</c:v>
                </c:pt>
                <c:pt idx="318">
                  <c:v>577.25751265765007</c:v>
                </c:pt>
                <c:pt idx="319">
                  <c:v>567.01246420925997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E3-4B43-AD01-AEF3FA76D9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302160"/>
        <c:axId val="674749232"/>
      </c:scatterChart>
      <c:valAx>
        <c:axId val="674302160"/>
        <c:scaling>
          <c:orientation val="minMax"/>
          <c:max val="16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49587444918009099"/>
              <c:y val="0.904319983257905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749232"/>
        <c:crossesAt val="0"/>
        <c:crossBetween val="midCat"/>
        <c:majorUnit val="10"/>
      </c:valAx>
      <c:valAx>
        <c:axId val="674749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mScarlet</a:t>
                </a:r>
              </a:p>
            </c:rich>
          </c:tx>
          <c:layout>
            <c:manualLayout>
              <c:xMode val="edge"/>
              <c:yMode val="edge"/>
              <c:x val="0.11342194610994701"/>
              <c:y val="0.3655863656577810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302160"/>
        <c:crossesAt val="0"/>
        <c:crossBetween val="midCat"/>
      </c:valAx>
      <c:spPr>
        <a:noFill/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corrected data</a:t>
            </a:r>
          </a:p>
        </c:rich>
      </c:tx>
      <c:layout>
        <c:manualLayout>
          <c:xMode val="edge"/>
          <c:yMode val="edge"/>
          <c:x val="0.46015862147666298"/>
          <c:y val="8.1002683653307303E-2"/>
        </c:manualLayout>
      </c:layout>
      <c:overlay val="1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889694343762601"/>
          <c:y val="0.19264140198482901"/>
          <c:w val="0.65156849851686605"/>
          <c:h val="0.61250578971746195"/>
        </c:manualLayout>
      </c:layout>
      <c:scatterChart>
        <c:scatterStyle val="lineMarker"/>
        <c:varyColors val="0"/>
        <c:ser>
          <c:idx val="1"/>
          <c:order val="0"/>
          <c:tx>
            <c:v>O2 Pulse Line</c:v>
          </c:tx>
          <c:marker>
            <c:symbol val="none"/>
          </c:marker>
          <c:xVal>
            <c:numRef>
              <c:f>'[1]Cond. B Template'!$A$82:$A$161</c:f>
              <c:numCache>
                <c:formatCode>General</c:formatCode>
                <c:ptCount val="80"/>
                <c:pt idx="0">
                  <c:v>40.5</c:v>
                </c:pt>
                <c:pt idx="1">
                  <c:v>41</c:v>
                </c:pt>
                <c:pt idx="2">
                  <c:v>41.5</c:v>
                </c:pt>
                <c:pt idx="3">
                  <c:v>42</c:v>
                </c:pt>
                <c:pt idx="4">
                  <c:v>42.5</c:v>
                </c:pt>
                <c:pt idx="5">
                  <c:v>43</c:v>
                </c:pt>
                <c:pt idx="6">
                  <c:v>43.5</c:v>
                </c:pt>
                <c:pt idx="7">
                  <c:v>44</c:v>
                </c:pt>
                <c:pt idx="8">
                  <c:v>44.5</c:v>
                </c:pt>
                <c:pt idx="9">
                  <c:v>45</c:v>
                </c:pt>
                <c:pt idx="10">
                  <c:v>45.5</c:v>
                </c:pt>
                <c:pt idx="11">
                  <c:v>46</c:v>
                </c:pt>
                <c:pt idx="12">
                  <c:v>46.5</c:v>
                </c:pt>
                <c:pt idx="13">
                  <c:v>47</c:v>
                </c:pt>
                <c:pt idx="14">
                  <c:v>47.5</c:v>
                </c:pt>
                <c:pt idx="15">
                  <c:v>48</c:v>
                </c:pt>
                <c:pt idx="16">
                  <c:v>48.5</c:v>
                </c:pt>
                <c:pt idx="17">
                  <c:v>49</c:v>
                </c:pt>
                <c:pt idx="18">
                  <c:v>49.5</c:v>
                </c:pt>
                <c:pt idx="19">
                  <c:v>50</c:v>
                </c:pt>
                <c:pt idx="20">
                  <c:v>50.5</c:v>
                </c:pt>
                <c:pt idx="21">
                  <c:v>51</c:v>
                </c:pt>
                <c:pt idx="22">
                  <c:v>51.5</c:v>
                </c:pt>
                <c:pt idx="23">
                  <c:v>52</c:v>
                </c:pt>
                <c:pt idx="24">
                  <c:v>52.5</c:v>
                </c:pt>
                <c:pt idx="25">
                  <c:v>53</c:v>
                </c:pt>
                <c:pt idx="26">
                  <c:v>53.5</c:v>
                </c:pt>
                <c:pt idx="27">
                  <c:v>54</c:v>
                </c:pt>
                <c:pt idx="28">
                  <c:v>54.5</c:v>
                </c:pt>
                <c:pt idx="29">
                  <c:v>55</c:v>
                </c:pt>
                <c:pt idx="30">
                  <c:v>55.5</c:v>
                </c:pt>
                <c:pt idx="31">
                  <c:v>56</c:v>
                </c:pt>
                <c:pt idx="32">
                  <c:v>56.5</c:v>
                </c:pt>
                <c:pt idx="33">
                  <c:v>57</c:v>
                </c:pt>
                <c:pt idx="34">
                  <c:v>57.5</c:v>
                </c:pt>
                <c:pt idx="35">
                  <c:v>58</c:v>
                </c:pt>
                <c:pt idx="36">
                  <c:v>58.5</c:v>
                </c:pt>
                <c:pt idx="37">
                  <c:v>59</c:v>
                </c:pt>
                <c:pt idx="38">
                  <c:v>59.5</c:v>
                </c:pt>
                <c:pt idx="39">
                  <c:v>60</c:v>
                </c:pt>
                <c:pt idx="40">
                  <c:v>60.5</c:v>
                </c:pt>
                <c:pt idx="41">
                  <c:v>61</c:v>
                </c:pt>
                <c:pt idx="42">
                  <c:v>61.5</c:v>
                </c:pt>
                <c:pt idx="43">
                  <c:v>62</c:v>
                </c:pt>
                <c:pt idx="44">
                  <c:v>62.5</c:v>
                </c:pt>
                <c:pt idx="45">
                  <c:v>63</c:v>
                </c:pt>
                <c:pt idx="46">
                  <c:v>63.5</c:v>
                </c:pt>
                <c:pt idx="47">
                  <c:v>64</c:v>
                </c:pt>
                <c:pt idx="48">
                  <c:v>64.5</c:v>
                </c:pt>
                <c:pt idx="49">
                  <c:v>65</c:v>
                </c:pt>
                <c:pt idx="50">
                  <c:v>65.5</c:v>
                </c:pt>
                <c:pt idx="51">
                  <c:v>66</c:v>
                </c:pt>
                <c:pt idx="52">
                  <c:v>66.5</c:v>
                </c:pt>
                <c:pt idx="53">
                  <c:v>67</c:v>
                </c:pt>
                <c:pt idx="54">
                  <c:v>67.5</c:v>
                </c:pt>
                <c:pt idx="55">
                  <c:v>68</c:v>
                </c:pt>
                <c:pt idx="56">
                  <c:v>68.5</c:v>
                </c:pt>
                <c:pt idx="57">
                  <c:v>69</c:v>
                </c:pt>
                <c:pt idx="58">
                  <c:v>69.5</c:v>
                </c:pt>
                <c:pt idx="59">
                  <c:v>70</c:v>
                </c:pt>
                <c:pt idx="60">
                  <c:v>70.5</c:v>
                </c:pt>
                <c:pt idx="61">
                  <c:v>71</c:v>
                </c:pt>
                <c:pt idx="62">
                  <c:v>71.5</c:v>
                </c:pt>
                <c:pt idx="63">
                  <c:v>72</c:v>
                </c:pt>
                <c:pt idx="64">
                  <c:v>72.5</c:v>
                </c:pt>
                <c:pt idx="65">
                  <c:v>73</c:v>
                </c:pt>
                <c:pt idx="66">
                  <c:v>73.5</c:v>
                </c:pt>
                <c:pt idx="67">
                  <c:v>74</c:v>
                </c:pt>
                <c:pt idx="68">
                  <c:v>74.5</c:v>
                </c:pt>
                <c:pt idx="69">
                  <c:v>75</c:v>
                </c:pt>
                <c:pt idx="70">
                  <c:v>75.5</c:v>
                </c:pt>
                <c:pt idx="71">
                  <c:v>76</c:v>
                </c:pt>
                <c:pt idx="72">
                  <c:v>76.5</c:v>
                </c:pt>
                <c:pt idx="73">
                  <c:v>77</c:v>
                </c:pt>
                <c:pt idx="74">
                  <c:v>77.5</c:v>
                </c:pt>
                <c:pt idx="75">
                  <c:v>78</c:v>
                </c:pt>
                <c:pt idx="76">
                  <c:v>78.5</c:v>
                </c:pt>
                <c:pt idx="77">
                  <c:v>79</c:v>
                </c:pt>
                <c:pt idx="78">
                  <c:v>79.5</c:v>
                </c:pt>
                <c:pt idx="79">
                  <c:v>80</c:v>
                </c:pt>
              </c:numCache>
            </c:numRef>
          </c:xVal>
          <c:yVal>
            <c:numRef>
              <c:f>'[1]Cond. B Template'!$X$64:$X$143</c:f>
              <c:numCache>
                <c:formatCode>General</c:formatCode>
                <c:ptCount val="80"/>
                <c:pt idx="0">
                  <c:v>-13</c:v>
                </c:pt>
                <c:pt idx="1">
                  <c:v>-13</c:v>
                </c:pt>
                <c:pt idx="2">
                  <c:v>-13</c:v>
                </c:pt>
                <c:pt idx="3">
                  <c:v>-13</c:v>
                </c:pt>
                <c:pt idx="4">
                  <c:v>-13</c:v>
                </c:pt>
                <c:pt idx="5">
                  <c:v>-13</c:v>
                </c:pt>
                <c:pt idx="6">
                  <c:v>-13</c:v>
                </c:pt>
                <c:pt idx="7">
                  <c:v>-13</c:v>
                </c:pt>
                <c:pt idx="8">
                  <c:v>-13</c:v>
                </c:pt>
                <c:pt idx="9">
                  <c:v>-13</c:v>
                </c:pt>
                <c:pt idx="10">
                  <c:v>-13</c:v>
                </c:pt>
                <c:pt idx="11">
                  <c:v>-13</c:v>
                </c:pt>
                <c:pt idx="12">
                  <c:v>-13</c:v>
                </c:pt>
                <c:pt idx="13">
                  <c:v>-13</c:v>
                </c:pt>
                <c:pt idx="14">
                  <c:v>-13</c:v>
                </c:pt>
                <c:pt idx="15">
                  <c:v>-13</c:v>
                </c:pt>
                <c:pt idx="16">
                  <c:v>-13</c:v>
                </c:pt>
                <c:pt idx="17">
                  <c:v>-13</c:v>
                </c:pt>
                <c:pt idx="18">
                  <c:v>-13</c:v>
                </c:pt>
                <c:pt idx="19">
                  <c:v>-13</c:v>
                </c:pt>
                <c:pt idx="20">
                  <c:v>-13</c:v>
                </c:pt>
                <c:pt idx="21">
                  <c:v>-13</c:v>
                </c:pt>
                <c:pt idx="22">
                  <c:v>-13</c:v>
                </c:pt>
                <c:pt idx="23">
                  <c:v>-13</c:v>
                </c:pt>
                <c:pt idx="24">
                  <c:v>-13</c:v>
                </c:pt>
                <c:pt idx="25">
                  <c:v>-13</c:v>
                </c:pt>
                <c:pt idx="26">
                  <c:v>-13</c:v>
                </c:pt>
                <c:pt idx="27">
                  <c:v>-13</c:v>
                </c:pt>
                <c:pt idx="28">
                  <c:v>-13</c:v>
                </c:pt>
                <c:pt idx="29">
                  <c:v>-13</c:v>
                </c:pt>
                <c:pt idx="30">
                  <c:v>-13</c:v>
                </c:pt>
                <c:pt idx="31">
                  <c:v>-13</c:v>
                </c:pt>
                <c:pt idx="32">
                  <c:v>-13</c:v>
                </c:pt>
                <c:pt idx="33">
                  <c:v>-13</c:v>
                </c:pt>
                <c:pt idx="34">
                  <c:v>-13</c:v>
                </c:pt>
                <c:pt idx="35">
                  <c:v>-13</c:v>
                </c:pt>
                <c:pt idx="36">
                  <c:v>-13</c:v>
                </c:pt>
                <c:pt idx="37">
                  <c:v>-13</c:v>
                </c:pt>
                <c:pt idx="38">
                  <c:v>-13</c:v>
                </c:pt>
                <c:pt idx="39">
                  <c:v>-13</c:v>
                </c:pt>
                <c:pt idx="40">
                  <c:v>-13</c:v>
                </c:pt>
                <c:pt idx="41">
                  <c:v>-13</c:v>
                </c:pt>
                <c:pt idx="42">
                  <c:v>-13</c:v>
                </c:pt>
                <c:pt idx="43">
                  <c:v>-13</c:v>
                </c:pt>
                <c:pt idx="44">
                  <c:v>-13</c:v>
                </c:pt>
                <c:pt idx="45">
                  <c:v>-13</c:v>
                </c:pt>
                <c:pt idx="46">
                  <c:v>-13</c:v>
                </c:pt>
                <c:pt idx="47">
                  <c:v>-13</c:v>
                </c:pt>
                <c:pt idx="48">
                  <c:v>-13</c:v>
                </c:pt>
                <c:pt idx="49">
                  <c:v>-13</c:v>
                </c:pt>
                <c:pt idx="50">
                  <c:v>-13</c:v>
                </c:pt>
                <c:pt idx="51">
                  <c:v>-13</c:v>
                </c:pt>
                <c:pt idx="52">
                  <c:v>-13</c:v>
                </c:pt>
                <c:pt idx="53">
                  <c:v>-13</c:v>
                </c:pt>
                <c:pt idx="54">
                  <c:v>-13</c:v>
                </c:pt>
                <c:pt idx="55">
                  <c:v>-13</c:v>
                </c:pt>
                <c:pt idx="56">
                  <c:v>-13</c:v>
                </c:pt>
                <c:pt idx="57">
                  <c:v>-13</c:v>
                </c:pt>
                <c:pt idx="58">
                  <c:v>-13</c:v>
                </c:pt>
                <c:pt idx="59">
                  <c:v>-13</c:v>
                </c:pt>
                <c:pt idx="60">
                  <c:v>-13</c:v>
                </c:pt>
                <c:pt idx="61">
                  <c:v>-13</c:v>
                </c:pt>
                <c:pt idx="62">
                  <c:v>-13</c:v>
                </c:pt>
                <c:pt idx="63">
                  <c:v>-13</c:v>
                </c:pt>
                <c:pt idx="64">
                  <c:v>-13</c:v>
                </c:pt>
                <c:pt idx="65">
                  <c:v>-13</c:v>
                </c:pt>
                <c:pt idx="66">
                  <c:v>-13</c:v>
                </c:pt>
                <c:pt idx="67">
                  <c:v>-13</c:v>
                </c:pt>
                <c:pt idx="68">
                  <c:v>-13</c:v>
                </c:pt>
                <c:pt idx="69">
                  <c:v>-13</c:v>
                </c:pt>
                <c:pt idx="70">
                  <c:v>-13</c:v>
                </c:pt>
                <c:pt idx="71">
                  <c:v>-13</c:v>
                </c:pt>
                <c:pt idx="72">
                  <c:v>-13</c:v>
                </c:pt>
                <c:pt idx="73">
                  <c:v>-13</c:v>
                </c:pt>
                <c:pt idx="74">
                  <c:v>-13</c:v>
                </c:pt>
                <c:pt idx="75">
                  <c:v>-13</c:v>
                </c:pt>
                <c:pt idx="76">
                  <c:v>-13</c:v>
                </c:pt>
                <c:pt idx="77">
                  <c:v>-13</c:v>
                </c:pt>
                <c:pt idx="78">
                  <c:v>-13</c:v>
                </c:pt>
                <c:pt idx="79">
                  <c:v>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1F-7343-BC3B-7B593A740978}"/>
            </c:ext>
          </c:extLst>
        </c:ser>
        <c:ser>
          <c:idx val="0"/>
          <c:order val="1"/>
          <c:tx>
            <c:v>Corrected Data</c:v>
          </c:tx>
          <c:spPr>
            <a:ln w="381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'240807B011'!$A$2:$A$321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'240807B011'!$P$2:$P$321</c:f>
              <c:numCache>
                <c:formatCode>General</c:formatCode>
                <c:ptCount val="320"/>
                <c:pt idx="0">
                  <c:v>-42.564894936024764</c:v>
                </c:pt>
                <c:pt idx="1">
                  <c:v>-41.267970630727078</c:v>
                </c:pt>
                <c:pt idx="2">
                  <c:v>-38.482110031818479</c:v>
                </c:pt>
                <c:pt idx="3">
                  <c:v>-29.146451329199373</c:v>
                </c:pt>
                <c:pt idx="4">
                  <c:v>-23.893836515748401</c:v>
                </c:pt>
                <c:pt idx="5">
                  <c:v>-21.018170611619311</c:v>
                </c:pt>
                <c:pt idx="6">
                  <c:v>-22.172711320258141</c:v>
                </c:pt>
                <c:pt idx="7">
                  <c:v>-20.484628118918806</c:v>
                </c:pt>
                <c:pt idx="8">
                  <c:v>-16.98421122528045</c:v>
                </c:pt>
                <c:pt idx="9">
                  <c:v>-16.334241943906594</c:v>
                </c:pt>
                <c:pt idx="10">
                  <c:v>-19.579027942329713</c:v>
                </c:pt>
                <c:pt idx="11">
                  <c:v>-19.617494678486189</c:v>
                </c:pt>
                <c:pt idx="12">
                  <c:v>-18.466493920259609</c:v>
                </c:pt>
                <c:pt idx="13">
                  <c:v>-16.627358425753929</c:v>
                </c:pt>
                <c:pt idx="14">
                  <c:v>-16.593099752508142</c:v>
                </c:pt>
                <c:pt idx="15">
                  <c:v>-14.847805887905496</c:v>
                </c:pt>
                <c:pt idx="16">
                  <c:v>-12.960993081451496</c:v>
                </c:pt>
                <c:pt idx="17">
                  <c:v>-11.966445672991428</c:v>
                </c:pt>
                <c:pt idx="18">
                  <c:v>-12.667113052472146</c:v>
                </c:pt>
                <c:pt idx="19">
                  <c:v>-11.507367585376844</c:v>
                </c:pt>
                <c:pt idx="20">
                  <c:v>-11.989512381118924</c:v>
                </c:pt>
                <c:pt idx="21">
                  <c:v>-12.159448058825184</c:v>
                </c:pt>
                <c:pt idx="22">
                  <c:v>-12.938191859219096</c:v>
                </c:pt>
                <c:pt idx="23">
                  <c:v>-12.274199282867359</c:v>
                </c:pt>
                <c:pt idx="24">
                  <c:v>-10.180571566164156</c:v>
                </c:pt>
                <c:pt idx="25">
                  <c:v>-8.2604710221756346</c:v>
                </c:pt>
                <c:pt idx="26">
                  <c:v>-3.4454412769303935</c:v>
                </c:pt>
                <c:pt idx="27">
                  <c:v>-2.7005554122469881</c:v>
                </c:pt>
                <c:pt idx="28">
                  <c:v>-3.8370827266893075</c:v>
                </c:pt>
                <c:pt idx="29">
                  <c:v>-1.4871917222612501</c:v>
                </c:pt>
                <c:pt idx="30">
                  <c:v>-3.3306159961014945</c:v>
                </c:pt>
                <c:pt idx="31">
                  <c:v>-3.3056899855554454</c:v>
                </c:pt>
                <c:pt idx="32">
                  <c:v>-3.6161980717691207</c:v>
                </c:pt>
                <c:pt idx="33">
                  <c:v>-4.2219078394930731</c:v>
                </c:pt>
                <c:pt idx="34">
                  <c:v>-4.2620550925879215</c:v>
                </c:pt>
                <c:pt idx="35">
                  <c:v>-4.7657722874990442</c:v>
                </c:pt>
                <c:pt idx="36">
                  <c:v>-5.1186501781049643</c:v>
                </c:pt>
                <c:pt idx="37">
                  <c:v>-4.1615171739432215</c:v>
                </c:pt>
                <c:pt idx="38">
                  <c:v>-3.7363287757341963</c:v>
                </c:pt>
                <c:pt idx="39">
                  <c:v>-5.6129221062187868</c:v>
                </c:pt>
                <c:pt idx="40">
                  <c:v>-5.2417848829180702</c:v>
                </c:pt>
                <c:pt idx="41">
                  <c:v>-5.3828210770887708</c:v>
                </c:pt>
                <c:pt idx="42">
                  <c:v>-5.1660226473917294</c:v>
                </c:pt>
                <c:pt idx="43">
                  <c:v>-4.1919788706284002</c:v>
                </c:pt>
                <c:pt idx="44">
                  <c:v>-5.2481455463874918</c:v>
                </c:pt>
                <c:pt idx="45">
                  <c:v>-7.6379191209509489</c:v>
                </c:pt>
                <c:pt idx="46">
                  <c:v>-9.9127123931788503</c:v>
                </c:pt>
                <c:pt idx="47">
                  <c:v>-10.840475812618132</c:v>
                </c:pt>
                <c:pt idx="48">
                  <c:v>-12.790647644040456</c:v>
                </c:pt>
                <c:pt idx="49">
                  <c:v>-11.397185140828466</c:v>
                </c:pt>
                <c:pt idx="50">
                  <c:v>-11.921975609840777</c:v>
                </c:pt>
                <c:pt idx="51">
                  <c:v>-13.975961412363521</c:v>
                </c:pt>
                <c:pt idx="52">
                  <c:v>-13.191967117524309</c:v>
                </c:pt>
                <c:pt idx="53">
                  <c:v>-10.518817522718784</c:v>
                </c:pt>
                <c:pt idx="54">
                  <c:v>-10.202505628115523</c:v>
                </c:pt>
                <c:pt idx="55">
                  <c:v>-7.3207323183972814</c:v>
                </c:pt>
                <c:pt idx="56">
                  <c:v>-8.3094094277969361</c:v>
                </c:pt>
                <c:pt idx="57">
                  <c:v>-7.3310693836498269</c:v>
                </c:pt>
                <c:pt idx="58">
                  <c:v>-6.9126360218031051</c:v>
                </c:pt>
                <c:pt idx="59">
                  <c:v>-7.6724450166912845</c:v>
                </c:pt>
                <c:pt idx="60">
                  <c:v>-7.866825633720981</c:v>
                </c:pt>
                <c:pt idx="61">
                  <c:v>-6.7858597585579421</c:v>
                </c:pt>
                <c:pt idx="62">
                  <c:v>-5.8819059020162605</c:v>
                </c:pt>
                <c:pt idx="63">
                  <c:v>-4.2788826714858512</c:v>
                </c:pt>
                <c:pt idx="64">
                  <c:v>-1.3932681362665602</c:v>
                </c:pt>
                <c:pt idx="65">
                  <c:v>-1.5901480009128763</c:v>
                </c:pt>
                <c:pt idx="66">
                  <c:v>0.14408161899947006</c:v>
                </c:pt>
                <c:pt idx="67">
                  <c:v>-0.30902396396274762</c:v>
                </c:pt>
                <c:pt idx="68">
                  <c:v>-0.18855492693828196</c:v>
                </c:pt>
                <c:pt idx="69">
                  <c:v>1.7727970134838529</c:v>
                </c:pt>
                <c:pt idx="70">
                  <c:v>1.1153129179526213</c:v>
                </c:pt>
                <c:pt idx="71">
                  <c:v>1.7805629089946202</c:v>
                </c:pt>
                <c:pt idx="72">
                  <c:v>1.051200686472193</c:v>
                </c:pt>
                <c:pt idx="73">
                  <c:v>-0.74965125200350291</c:v>
                </c:pt>
                <c:pt idx="74">
                  <c:v>-0.18375816809338863</c:v>
                </c:pt>
                <c:pt idx="75">
                  <c:v>-1.8345337241083968</c:v>
                </c:pt>
                <c:pt idx="76">
                  <c:v>3.5191166929993938</c:v>
                </c:pt>
                <c:pt idx="77">
                  <c:v>9.7294553528371654</c:v>
                </c:pt>
                <c:pt idx="78">
                  <c:v>4.220615299826096</c:v>
                </c:pt>
                <c:pt idx="79">
                  <c:v>7.7292696465017228</c:v>
                </c:pt>
                <c:pt idx="80">
                  <c:v>6.0143380412614942</c:v>
                </c:pt>
                <c:pt idx="81">
                  <c:v>10.156935367765584</c:v>
                </c:pt>
                <c:pt idx="82">
                  <c:v>9.010817645113244</c:v>
                </c:pt>
                <c:pt idx="83">
                  <c:v>11.749814657236577</c:v>
                </c:pt>
                <c:pt idx="84">
                  <c:v>8.5154523630353438</c:v>
                </c:pt>
                <c:pt idx="85">
                  <c:v>1.1665742182397321</c:v>
                </c:pt>
                <c:pt idx="86">
                  <c:v>-2.3400870788884309</c:v>
                </c:pt>
                <c:pt idx="87">
                  <c:v>-5.5585514574601387</c:v>
                </c:pt>
                <c:pt idx="88">
                  <c:v>-8.705775832938965</c:v>
                </c:pt>
                <c:pt idx="89">
                  <c:v>-10.807546767293905</c:v>
                </c:pt>
                <c:pt idx="90">
                  <c:v>-13.112668275836922</c:v>
                </c:pt>
                <c:pt idx="91">
                  <c:v>-14.088702278573246</c:v>
                </c:pt>
                <c:pt idx="92">
                  <c:v>-17.098769253807731</c:v>
                </c:pt>
                <c:pt idx="93">
                  <c:v>-12.743149649401841</c:v>
                </c:pt>
                <c:pt idx="94">
                  <c:v>-18.085117743772024</c:v>
                </c:pt>
                <c:pt idx="95">
                  <c:v>-17.230868919857254</c:v>
                </c:pt>
                <c:pt idx="96">
                  <c:v>-20.600386833664487</c:v>
                </c:pt>
                <c:pt idx="97">
                  <c:v>-22.005732903343485</c:v>
                </c:pt>
                <c:pt idx="98">
                  <c:v>-16.427601595327989</c:v>
                </c:pt>
                <c:pt idx="99">
                  <c:v>-23.44483526284305</c:v>
                </c:pt>
                <c:pt idx="100">
                  <c:v>-24.278603332805531</c:v>
                </c:pt>
                <c:pt idx="101">
                  <c:v>-26.101043195249208</c:v>
                </c:pt>
                <c:pt idx="102">
                  <c:v>-24.069631356022036</c:v>
                </c:pt>
                <c:pt idx="103">
                  <c:v>-23.993420960022014</c:v>
                </c:pt>
                <c:pt idx="104">
                  <c:v>-23.373024402475135</c:v>
                </c:pt>
                <c:pt idx="105">
                  <c:v>-25.7565258260131</c:v>
                </c:pt>
                <c:pt idx="106">
                  <c:v>-26.19547783793114</c:v>
                </c:pt>
                <c:pt idx="107">
                  <c:v>-24.375935073571842</c:v>
                </c:pt>
                <c:pt idx="108">
                  <c:v>-24.549617889565809</c:v>
                </c:pt>
                <c:pt idx="109">
                  <c:v>-26.135593195218686</c:v>
                </c:pt>
                <c:pt idx="110">
                  <c:v>-24.281173534823075</c:v>
                </c:pt>
                <c:pt idx="111">
                  <c:v>-24.368376194025462</c:v>
                </c:pt>
                <c:pt idx="112">
                  <c:v>-24.425431189839056</c:v>
                </c:pt>
                <c:pt idx="113">
                  <c:v>-24.480042581630894</c:v>
                </c:pt>
                <c:pt idx="114">
                  <c:v>-28.309103678036625</c:v>
                </c:pt>
                <c:pt idx="115">
                  <c:v>-25.351563263880667</c:v>
                </c:pt>
                <c:pt idx="116">
                  <c:v>-24.704665914648018</c:v>
                </c:pt>
                <c:pt idx="117">
                  <c:v>-21.672479889483352</c:v>
                </c:pt>
                <c:pt idx="118">
                  <c:v>-22.466942510340594</c:v>
                </c:pt>
                <c:pt idx="119">
                  <c:v>-23.752893281279508</c:v>
                </c:pt>
                <c:pt idx="120">
                  <c:v>-21.976756741648323</c:v>
                </c:pt>
                <c:pt idx="121">
                  <c:v>-22.00022596938901</c:v>
                </c:pt>
                <c:pt idx="122">
                  <c:v>-23.991612727654793</c:v>
                </c:pt>
                <c:pt idx="123">
                  <c:v>-24.825153119420211</c:v>
                </c:pt>
                <c:pt idx="124">
                  <c:v>-25.793038539287057</c:v>
                </c:pt>
                <c:pt idx="125">
                  <c:v>-22.46157837180975</c:v>
                </c:pt>
                <c:pt idx="126">
                  <c:v>-23.560598872927905</c:v>
                </c:pt>
                <c:pt idx="127">
                  <c:v>-23.832514673016515</c:v>
                </c:pt>
                <c:pt idx="128">
                  <c:v>-19.526746625361454</c:v>
                </c:pt>
                <c:pt idx="129">
                  <c:v>-22.257333240775282</c:v>
                </c:pt>
                <c:pt idx="130">
                  <c:v>-17.032755670414236</c:v>
                </c:pt>
                <c:pt idx="131">
                  <c:v>-22.36290244654489</c:v>
                </c:pt>
                <c:pt idx="132">
                  <c:v>-24.930843954788166</c:v>
                </c:pt>
                <c:pt idx="133">
                  <c:v>-21.928717004191622</c:v>
                </c:pt>
                <c:pt idx="134">
                  <c:v>-20.963761756955449</c:v>
                </c:pt>
                <c:pt idx="135">
                  <c:v>-21.875383629520424</c:v>
                </c:pt>
                <c:pt idx="136">
                  <c:v>-22.66413358449169</c:v>
                </c:pt>
                <c:pt idx="137">
                  <c:v>-22.466578510159703</c:v>
                </c:pt>
                <c:pt idx="138">
                  <c:v>-22.385602173688035</c:v>
                </c:pt>
                <c:pt idx="139">
                  <c:v>-22.898710377339416</c:v>
                </c:pt>
                <c:pt idx="140">
                  <c:v>-19.266597982858581</c:v>
                </c:pt>
                <c:pt idx="141">
                  <c:v>-18.326919577563523</c:v>
                </c:pt>
                <c:pt idx="142">
                  <c:v>-20.079372831240779</c:v>
                </c:pt>
                <c:pt idx="143">
                  <c:v>-23.480963686071828</c:v>
                </c:pt>
                <c:pt idx="144">
                  <c:v>-23.57179671246946</c:v>
                </c:pt>
                <c:pt idx="145">
                  <c:v>-23.94484264993886</c:v>
                </c:pt>
                <c:pt idx="146">
                  <c:v>-23.518517061327707</c:v>
                </c:pt>
                <c:pt idx="147">
                  <c:v>-21.781905087846152</c:v>
                </c:pt>
                <c:pt idx="148">
                  <c:v>-20.636804270378857</c:v>
                </c:pt>
                <c:pt idx="149">
                  <c:v>-23.632832968746484</c:v>
                </c:pt>
                <c:pt idx="150">
                  <c:v>-24.774256026486356</c:v>
                </c:pt>
                <c:pt idx="151">
                  <c:v>-24.07035483093432</c:v>
                </c:pt>
                <c:pt idx="152">
                  <c:v>-24.671751283830652</c:v>
                </c:pt>
                <c:pt idx="153">
                  <c:v>-24.618609869714668</c:v>
                </c:pt>
                <c:pt idx="154">
                  <c:v>-25.564205846413728</c:v>
                </c:pt>
                <c:pt idx="155">
                  <c:v>-23.850814247962024</c:v>
                </c:pt>
                <c:pt idx="156">
                  <c:v>-23.671939168134209</c:v>
                </c:pt>
                <c:pt idx="157">
                  <c:v>-24.234060138961038</c:v>
                </c:pt>
                <c:pt idx="158">
                  <c:v>-22.606114145943721</c:v>
                </c:pt>
                <c:pt idx="159">
                  <c:v>-23.889016633934645</c:v>
                </c:pt>
                <c:pt idx="160">
                  <c:v>-23.277124671867103</c:v>
                </c:pt>
                <c:pt idx="161">
                  <c:v>-24.121777332840285</c:v>
                </c:pt>
                <c:pt idx="162">
                  <c:v>-24.617895462409237</c:v>
                </c:pt>
                <c:pt idx="163">
                  <c:v>-14.796679466984422</c:v>
                </c:pt>
                <c:pt idx="164">
                  <c:v>3.6660343537324058</c:v>
                </c:pt>
                <c:pt idx="165">
                  <c:v>8.4008672298635005</c:v>
                </c:pt>
                <c:pt idx="166">
                  <c:v>16.967360375497758</c:v>
                </c:pt>
                <c:pt idx="167">
                  <c:v>22.164724395434572</c:v>
                </c:pt>
                <c:pt idx="168">
                  <c:v>24.529291184449427</c:v>
                </c:pt>
                <c:pt idx="169">
                  <c:v>28.411394881321293</c:v>
                </c:pt>
                <c:pt idx="170">
                  <c:v>28.914576871227215</c:v>
                </c:pt>
                <c:pt idx="171">
                  <c:v>30.48787217278937</c:v>
                </c:pt>
                <c:pt idx="172">
                  <c:v>28.799841368262243</c:v>
                </c:pt>
                <c:pt idx="173">
                  <c:v>31.78611598221805</c:v>
                </c:pt>
                <c:pt idx="174">
                  <c:v>31.182985290657488</c:v>
                </c:pt>
                <c:pt idx="175">
                  <c:v>28.948500573700482</c:v>
                </c:pt>
                <c:pt idx="176">
                  <c:v>27.10078811332728</c:v>
                </c:pt>
                <c:pt idx="177">
                  <c:v>28.783637504250613</c:v>
                </c:pt>
                <c:pt idx="178">
                  <c:v>27.020747390788465</c:v>
                </c:pt>
                <c:pt idx="179">
                  <c:v>26.066207300006717</c:v>
                </c:pt>
                <c:pt idx="180">
                  <c:v>25.541703454858833</c:v>
                </c:pt>
                <c:pt idx="181">
                  <c:v>23.547614678312268</c:v>
                </c:pt>
                <c:pt idx="182">
                  <c:v>24.104636813590247</c:v>
                </c:pt>
                <c:pt idx="183">
                  <c:v>21.384639713828889</c:v>
                </c:pt>
                <c:pt idx="184">
                  <c:v>19.453620443775357</c:v>
                </c:pt>
                <c:pt idx="185">
                  <c:v>19.129246125066651</c:v>
                </c:pt>
                <c:pt idx="186">
                  <c:v>18.62156866530874</c:v>
                </c:pt>
                <c:pt idx="187">
                  <c:v>19.21546539589194</c:v>
                </c:pt>
                <c:pt idx="188">
                  <c:v>17.407588418605172</c:v>
                </c:pt>
                <c:pt idx="189">
                  <c:v>16.151037521089552</c:v>
                </c:pt>
                <c:pt idx="190">
                  <c:v>14.465786482427584</c:v>
                </c:pt>
                <c:pt idx="191">
                  <c:v>14.090927681845212</c:v>
                </c:pt>
                <c:pt idx="192">
                  <c:v>16.032119393303308</c:v>
                </c:pt>
                <c:pt idx="193">
                  <c:v>14.253021110154727</c:v>
                </c:pt>
                <c:pt idx="194">
                  <c:v>12.486419126135512</c:v>
                </c:pt>
                <c:pt idx="195">
                  <c:v>11.71335661635726</c:v>
                </c:pt>
                <c:pt idx="196">
                  <c:v>11.768944145041239</c:v>
                </c:pt>
                <c:pt idx="197">
                  <c:v>10.190612976040597</c:v>
                </c:pt>
                <c:pt idx="198">
                  <c:v>8.8204037835648847</c:v>
                </c:pt>
                <c:pt idx="199">
                  <c:v>7.1532144131043305</c:v>
                </c:pt>
                <c:pt idx="200">
                  <c:v>8.1734239362207894</c:v>
                </c:pt>
                <c:pt idx="201">
                  <c:v>8.2178585318224577</c:v>
                </c:pt>
                <c:pt idx="202">
                  <c:v>4.9833663246252522</c:v>
                </c:pt>
                <c:pt idx="203">
                  <c:v>4.0527240913867137</c:v>
                </c:pt>
                <c:pt idx="204">
                  <c:v>1.9384184929283141</c:v>
                </c:pt>
                <c:pt idx="205">
                  <c:v>2.5626610408855943</c:v>
                </c:pt>
                <c:pt idx="206">
                  <c:v>2.5641355549071165</c:v>
                </c:pt>
                <c:pt idx="207">
                  <c:v>1.551900935374348</c:v>
                </c:pt>
                <c:pt idx="208">
                  <c:v>-8.0964541922620287E-2</c:v>
                </c:pt>
                <c:pt idx="209">
                  <c:v>0.40659883489209414</c:v>
                </c:pt>
                <c:pt idx="210">
                  <c:v>-1.2089179108911097</c:v>
                </c:pt>
                <c:pt idx="211">
                  <c:v>-0.30656940849963871</c:v>
                </c:pt>
                <c:pt idx="212">
                  <c:v>1.8535535983271703</c:v>
                </c:pt>
                <c:pt idx="213">
                  <c:v>2.0597413651220284</c:v>
                </c:pt>
                <c:pt idx="214">
                  <c:v>0.23334267820534516</c:v>
                </c:pt>
                <c:pt idx="215">
                  <c:v>1.7772221960992578</c:v>
                </c:pt>
                <c:pt idx="216">
                  <c:v>1.0783137868288737</c:v>
                </c:pt>
                <c:pt idx="217">
                  <c:v>6.839344946715376E-3</c:v>
                </c:pt>
                <c:pt idx="218">
                  <c:v>1.1616157543596737</c:v>
                </c:pt>
                <c:pt idx="219">
                  <c:v>3.0181505285880323</c:v>
                </c:pt>
                <c:pt idx="220">
                  <c:v>3.8520499060744728</c:v>
                </c:pt>
                <c:pt idx="221">
                  <c:v>6.2550379843658712</c:v>
                </c:pt>
                <c:pt idx="222">
                  <c:v>7.1662107465215676</c:v>
                </c:pt>
                <c:pt idx="223">
                  <c:v>5.2740116889950901</c:v>
                </c:pt>
                <c:pt idx="224">
                  <c:v>7.6643624529233234</c:v>
                </c:pt>
                <c:pt idx="225">
                  <c:v>6.0412668172931223</c:v>
                </c:pt>
                <c:pt idx="226">
                  <c:v>6.6970236851209579</c:v>
                </c:pt>
                <c:pt idx="227">
                  <c:v>7.3414011394363197</c:v>
                </c:pt>
                <c:pt idx="228">
                  <c:v>9.3273502842702882</c:v>
                </c:pt>
                <c:pt idx="229">
                  <c:v>9.1935120939841077</c:v>
                </c:pt>
                <c:pt idx="230">
                  <c:v>10.20752658329228</c:v>
                </c:pt>
                <c:pt idx="231">
                  <c:v>4.1216552173121244</c:v>
                </c:pt>
                <c:pt idx="232">
                  <c:v>1.6105285726125338</c:v>
                </c:pt>
                <c:pt idx="233">
                  <c:v>2.4053132232287755</c:v>
                </c:pt>
                <c:pt idx="234">
                  <c:v>2.0346679178235223</c:v>
                </c:pt>
                <c:pt idx="235">
                  <c:v>2.5900511637743961</c:v>
                </c:pt>
                <c:pt idx="236">
                  <c:v>1.5015506425083689</c:v>
                </c:pt>
                <c:pt idx="237">
                  <c:v>3.8025563396284898</c:v>
                </c:pt>
                <c:pt idx="238">
                  <c:v>4.2006726173392233</c:v>
                </c:pt>
                <c:pt idx="239">
                  <c:v>8.1494411929290251</c:v>
                </c:pt>
                <c:pt idx="240">
                  <c:v>8.527038781801112</c:v>
                </c:pt>
                <c:pt idx="241">
                  <c:v>9.0423103795399147</c:v>
                </c:pt>
                <c:pt idx="242">
                  <c:v>8.3198427035452962</c:v>
                </c:pt>
                <c:pt idx="243">
                  <c:v>8.7763762147491136</c:v>
                </c:pt>
                <c:pt idx="244">
                  <c:v>8.7733569361756309</c:v>
                </c:pt>
                <c:pt idx="245">
                  <c:v>8.1581296553093718</c:v>
                </c:pt>
                <c:pt idx="246">
                  <c:v>8.6463178926053139</c:v>
                </c:pt>
                <c:pt idx="247">
                  <c:v>9.5427491897309071</c:v>
                </c:pt>
                <c:pt idx="248">
                  <c:v>10.96128706782031</c:v>
                </c:pt>
                <c:pt idx="249">
                  <c:v>9.1388253484328406</c:v>
                </c:pt>
                <c:pt idx="250">
                  <c:v>12.209320318644973</c:v>
                </c:pt>
                <c:pt idx="251">
                  <c:v>13.548973704599335</c:v>
                </c:pt>
                <c:pt idx="252">
                  <c:v>15.06873410300407</c:v>
                </c:pt>
                <c:pt idx="253">
                  <c:v>16.525051900019427</c:v>
                </c:pt>
                <c:pt idx="254">
                  <c:v>16.075060470485663</c:v>
                </c:pt>
                <c:pt idx="255">
                  <c:v>15.000012966984947</c:v>
                </c:pt>
                <c:pt idx="256">
                  <c:v>14.781346640836732</c:v>
                </c:pt>
                <c:pt idx="257">
                  <c:v>14.280191235678124</c:v>
                </c:pt>
                <c:pt idx="258">
                  <c:v>14.62533107641922</c:v>
                </c:pt>
                <c:pt idx="259">
                  <c:v>15.98788798373536</c:v>
                </c:pt>
                <c:pt idx="260">
                  <c:v>16.440514025707195</c:v>
                </c:pt>
                <c:pt idx="261">
                  <c:v>16.15356258521599</c:v>
                </c:pt>
                <c:pt idx="262">
                  <c:v>17.414257991416108</c:v>
                </c:pt>
                <c:pt idx="263">
                  <c:v>16.069176886062561</c:v>
                </c:pt>
                <c:pt idx="264">
                  <c:v>17.816977831453119</c:v>
                </c:pt>
                <c:pt idx="265">
                  <c:v>17.913094422188959</c:v>
                </c:pt>
                <c:pt idx="266">
                  <c:v>17.021932579926283</c:v>
                </c:pt>
                <c:pt idx="267">
                  <c:v>16.088931966576023</c:v>
                </c:pt>
                <c:pt idx="268">
                  <c:v>16.417935358198964</c:v>
                </c:pt>
                <c:pt idx="269">
                  <c:v>17.779299771926922</c:v>
                </c:pt>
                <c:pt idx="270">
                  <c:v>17.755903293046895</c:v>
                </c:pt>
                <c:pt idx="271">
                  <c:v>21.176349248716974</c:v>
                </c:pt>
                <c:pt idx="272">
                  <c:v>19.82336336804579</c:v>
                </c:pt>
                <c:pt idx="273">
                  <c:v>15.491468903470498</c:v>
                </c:pt>
                <c:pt idx="274">
                  <c:v>16.124253321218937</c:v>
                </c:pt>
                <c:pt idx="275">
                  <c:v>14.719603710277909</c:v>
                </c:pt>
                <c:pt idx="276">
                  <c:v>11.612544166590833</c:v>
                </c:pt>
                <c:pt idx="277">
                  <c:v>13.409418529367912</c:v>
                </c:pt>
                <c:pt idx="278">
                  <c:v>16.706250242752795</c:v>
                </c:pt>
                <c:pt idx="279">
                  <c:v>17.835612197154312</c:v>
                </c:pt>
                <c:pt idx="280">
                  <c:v>10.567557236103065</c:v>
                </c:pt>
                <c:pt idx="281">
                  <c:v>9.8353100202870714</c:v>
                </c:pt>
                <c:pt idx="282">
                  <c:v>10.362292599934687</c:v>
                </c:pt>
                <c:pt idx="283">
                  <c:v>10.244394051877077</c:v>
                </c:pt>
                <c:pt idx="284">
                  <c:v>7.8730493983832206</c:v>
                </c:pt>
                <c:pt idx="285">
                  <c:v>7.4060429224739881</c:v>
                </c:pt>
                <c:pt idx="286">
                  <c:v>6.9459015646649691</c:v>
                </c:pt>
                <c:pt idx="287">
                  <c:v>7.8298822073798267</c:v>
                </c:pt>
                <c:pt idx="288">
                  <c:v>7.7130164636052641</c:v>
                </c:pt>
                <c:pt idx="289">
                  <c:v>8.0039398997698878</c:v>
                </c:pt>
                <c:pt idx="290">
                  <c:v>7.0745576320478403</c:v>
                </c:pt>
                <c:pt idx="291">
                  <c:v>5.783245350569322</c:v>
                </c:pt>
                <c:pt idx="292">
                  <c:v>4.8333312340246044</c:v>
                </c:pt>
                <c:pt idx="293">
                  <c:v>5.1814362890232486</c:v>
                </c:pt>
                <c:pt idx="294">
                  <c:v>5.476202883649246</c:v>
                </c:pt>
                <c:pt idx="295">
                  <c:v>5.3852848349523326</c:v>
                </c:pt>
                <c:pt idx="296">
                  <c:v>4.5679463102693312</c:v>
                </c:pt>
                <c:pt idx="297">
                  <c:v>3.9812489313286745</c:v>
                </c:pt>
                <c:pt idx="298">
                  <c:v>3.5882454776671202</c:v>
                </c:pt>
                <c:pt idx="299">
                  <c:v>1.9493749910074687</c:v>
                </c:pt>
                <c:pt idx="300">
                  <c:v>1.8967546936885558</c:v>
                </c:pt>
                <c:pt idx="301">
                  <c:v>0.78898518167422105</c:v>
                </c:pt>
                <c:pt idx="302">
                  <c:v>1.3860078066074586</c:v>
                </c:pt>
                <c:pt idx="303">
                  <c:v>-0.61838965191594597</c:v>
                </c:pt>
                <c:pt idx="304">
                  <c:v>0.2533232920927968</c:v>
                </c:pt>
                <c:pt idx="305">
                  <c:v>9.6165926646505015E-2</c:v>
                </c:pt>
                <c:pt idx="306">
                  <c:v>-0.40565284638946913</c:v>
                </c:pt>
                <c:pt idx="307">
                  <c:v>-7.3087947491667915E-2</c:v>
                </c:pt>
                <c:pt idx="308">
                  <c:v>-0.2633771355940806</c:v>
                </c:pt>
                <c:pt idx="309">
                  <c:v>1.1317766431784342</c:v>
                </c:pt>
                <c:pt idx="310">
                  <c:v>1.5939258529879228</c:v>
                </c:pt>
                <c:pt idx="311">
                  <c:v>0.23608434299376446</c:v>
                </c:pt>
                <c:pt idx="312">
                  <c:v>0.7845703856901729</c:v>
                </c:pt>
                <c:pt idx="313">
                  <c:v>0.87381983966053778</c:v>
                </c:pt>
                <c:pt idx="314">
                  <c:v>-1.795566265259477</c:v>
                </c:pt>
                <c:pt idx="315">
                  <c:v>-2.1706631558066789</c:v>
                </c:pt>
                <c:pt idx="316">
                  <c:v>-1.6308590904682261</c:v>
                </c:pt>
                <c:pt idx="317">
                  <c:v>-1.309736315089185</c:v>
                </c:pt>
                <c:pt idx="318">
                  <c:v>-1.718160855863033</c:v>
                </c:pt>
                <c:pt idx="319">
                  <c:v>-1.7191402390407742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1F-7343-BC3B-7B593A7409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576608"/>
        <c:axId val="674579728"/>
      </c:scatterChart>
      <c:valAx>
        <c:axId val="674576608"/>
        <c:scaling>
          <c:orientation val="minMax"/>
          <c:max val="16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50460104986876597"/>
              <c:y val="0.88412609323488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9728"/>
        <c:crossesAt val="0"/>
        <c:crossBetween val="midCat"/>
        <c:majorUnit val="10"/>
      </c:valAx>
      <c:valAx>
        <c:axId val="674579728"/>
        <c:scaling>
          <c:orientation val="minMax"/>
          <c:max val="100"/>
          <c:min val="-60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Symbol"/>
                  </a:rPr>
                  <a:t>% D</a:t>
                </a: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R/R</a:t>
                </a:r>
                <a:r>
                  <a:rPr lang="en-US" sz="1400" b="0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0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10871861805317801"/>
              <c:y val="0.4041593677194850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6608"/>
        <c:crossesAt val="0"/>
        <c:crossBetween val="midCat"/>
      </c:valAx>
      <c:spPr>
        <a:solidFill>
          <a:sysClr val="window" lastClr="FFFFFF"/>
        </a:solidFill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889694343762601"/>
          <c:y val="0.20035596321915899"/>
          <c:w val="0.65156849851686605"/>
          <c:h val="0.60479122848313205"/>
        </c:manualLayout>
      </c:layout>
      <c:scatterChart>
        <c:scatterStyle val="lineMarker"/>
        <c:varyColors val="0"/>
        <c:ser>
          <c:idx val="0"/>
          <c:order val="0"/>
          <c:tx>
            <c:v>mScarlet</c:v>
          </c:tx>
          <c:marker>
            <c:symbol val="none"/>
          </c:marker>
          <c:xVal>
            <c:numRef>
              <c:f>'240807B012'!$A$2:$A$321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'240807B012'!$J$2:$J$321</c:f>
              <c:numCache>
                <c:formatCode>0.0</c:formatCode>
                <c:ptCount val="320"/>
                <c:pt idx="0">
                  <c:v>1066.13493125578</c:v>
                </c:pt>
                <c:pt idx="1">
                  <c:v>1045.1855762988</c:v>
                </c:pt>
                <c:pt idx="2">
                  <c:v>1061.8852189966801</c:v>
                </c:pt>
                <c:pt idx="3">
                  <c:v>1031.6815426267101</c:v>
                </c:pt>
                <c:pt idx="4">
                  <c:v>1106.2660974344999</c:v>
                </c:pt>
                <c:pt idx="5">
                  <c:v>1107.2268176034499</c:v>
                </c:pt>
                <c:pt idx="6">
                  <c:v>1103.7234570504102</c:v>
                </c:pt>
                <c:pt idx="7">
                  <c:v>931.68444907050991</c:v>
                </c:pt>
                <c:pt idx="8">
                  <c:v>994.02871711091996</c:v>
                </c:pt>
                <c:pt idx="9">
                  <c:v>889.65437489294004</c:v>
                </c:pt>
                <c:pt idx="10">
                  <c:v>1001.2210701062901</c:v>
                </c:pt>
                <c:pt idx="11">
                  <c:v>1113.9008296113202</c:v>
                </c:pt>
                <c:pt idx="12">
                  <c:v>1133.0270411895799</c:v>
                </c:pt>
                <c:pt idx="13">
                  <c:v>1234.57336578487</c:v>
                </c:pt>
                <c:pt idx="14">
                  <c:v>1272.1755868544899</c:v>
                </c:pt>
                <c:pt idx="15">
                  <c:v>1054.61656800069</c:v>
                </c:pt>
                <c:pt idx="16">
                  <c:v>1105.5752053170399</c:v>
                </c:pt>
                <c:pt idx="17">
                  <c:v>1098.59857010974</c:v>
                </c:pt>
                <c:pt idx="18">
                  <c:v>1157.64278758054</c:v>
                </c:pt>
                <c:pt idx="19">
                  <c:v>1151.39387664274</c:v>
                </c:pt>
                <c:pt idx="20">
                  <c:v>1151.43951690312</c:v>
                </c:pt>
                <c:pt idx="21">
                  <c:v>1116.0340087613802</c:v>
                </c:pt>
                <c:pt idx="22">
                  <c:v>1101.0629788644799</c:v>
                </c:pt>
                <c:pt idx="23">
                  <c:v>1124.72884967805</c:v>
                </c:pt>
                <c:pt idx="24">
                  <c:v>1221.6841457667899</c:v>
                </c:pt>
                <c:pt idx="25">
                  <c:v>1156.29480426553</c:v>
                </c:pt>
                <c:pt idx="26">
                  <c:v>991.47435065078002</c:v>
                </c:pt>
                <c:pt idx="27">
                  <c:v>1156.0953647256699</c:v>
                </c:pt>
                <c:pt idx="28">
                  <c:v>1149.3325730502499</c:v>
                </c:pt>
                <c:pt idx="29">
                  <c:v>1110.7324933431801</c:v>
                </c:pt>
                <c:pt idx="30">
                  <c:v>1026.22229671535</c:v>
                </c:pt>
                <c:pt idx="31">
                  <c:v>1116.6572449851201</c:v>
                </c:pt>
                <c:pt idx="32">
                  <c:v>1132.41618918053</c:v>
                </c:pt>
                <c:pt idx="33">
                  <c:v>1125.2492717669902</c:v>
                </c:pt>
                <c:pt idx="34">
                  <c:v>1105.72152955609</c:v>
                </c:pt>
                <c:pt idx="35">
                  <c:v>995.1304118116301</c:v>
                </c:pt>
                <c:pt idx="36">
                  <c:v>1010.5805432409099</c:v>
                </c:pt>
                <c:pt idx="37">
                  <c:v>1111.74890277999</c:v>
                </c:pt>
                <c:pt idx="38">
                  <c:v>1080.46371261278</c:v>
                </c:pt>
                <c:pt idx="39">
                  <c:v>1002.27866212641</c:v>
                </c:pt>
                <c:pt idx="40">
                  <c:v>992.00977656464011</c:v>
                </c:pt>
                <c:pt idx="41">
                  <c:v>1043.8848223868499</c:v>
                </c:pt>
                <c:pt idx="42">
                  <c:v>1019.4809649367301</c:v>
                </c:pt>
                <c:pt idx="43">
                  <c:v>977.3519201127001</c:v>
                </c:pt>
                <c:pt idx="44">
                  <c:v>999.12712429144005</c:v>
                </c:pt>
                <c:pt idx="45">
                  <c:v>981.10728031400993</c:v>
                </c:pt>
                <c:pt idx="46">
                  <c:v>1083.09949157713</c:v>
                </c:pt>
                <c:pt idx="47">
                  <c:v>945.30881487479007</c:v>
                </c:pt>
                <c:pt idx="48">
                  <c:v>995.4951808241799</c:v>
                </c:pt>
                <c:pt idx="49">
                  <c:v>1067.57792165414</c:v>
                </c:pt>
                <c:pt idx="50">
                  <c:v>1048.2733638780398</c:v>
                </c:pt>
                <c:pt idx="51">
                  <c:v>1029.15909618973</c:v>
                </c:pt>
                <c:pt idx="52">
                  <c:v>970.16640342516007</c:v>
                </c:pt>
                <c:pt idx="53">
                  <c:v>1011.98027733908</c:v>
                </c:pt>
                <c:pt idx="54">
                  <c:v>1034.4588486122698</c:v>
                </c:pt>
                <c:pt idx="55">
                  <c:v>964.8468978840599</c:v>
                </c:pt>
                <c:pt idx="56">
                  <c:v>948.35055943136001</c:v>
                </c:pt>
                <c:pt idx="57">
                  <c:v>920.67145364400994</c:v>
                </c:pt>
                <c:pt idx="58">
                  <c:v>982.90229897204995</c:v>
                </c:pt>
                <c:pt idx="59">
                  <c:v>1088.6860072815898</c:v>
                </c:pt>
                <c:pt idx="60">
                  <c:v>1055.9319420106199</c:v>
                </c:pt>
                <c:pt idx="61">
                  <c:v>1078.47790704309</c:v>
                </c:pt>
                <c:pt idx="62">
                  <c:v>1039.0292898018199</c:v>
                </c:pt>
                <c:pt idx="63">
                  <c:v>1059.1874960288101</c:v>
                </c:pt>
                <c:pt idx="64">
                  <c:v>990.05392442373989</c:v>
                </c:pt>
                <c:pt idx="65">
                  <c:v>978.92136679722989</c:v>
                </c:pt>
                <c:pt idx="66">
                  <c:v>885.09697130146992</c:v>
                </c:pt>
                <c:pt idx="67">
                  <c:v>963.88391786905993</c:v>
                </c:pt>
                <c:pt idx="68">
                  <c:v>901.21381685754011</c:v>
                </c:pt>
                <c:pt idx="69">
                  <c:v>898.14116976000003</c:v>
                </c:pt>
                <c:pt idx="70">
                  <c:v>1007.8519491480499</c:v>
                </c:pt>
                <c:pt idx="71">
                  <c:v>992.40357387771996</c:v>
                </c:pt>
                <c:pt idx="72">
                  <c:v>856.30385345784998</c:v>
                </c:pt>
                <c:pt idx="73">
                  <c:v>1028.55916804362</c:v>
                </c:pt>
                <c:pt idx="74">
                  <c:v>1060.8994439636299</c:v>
                </c:pt>
                <c:pt idx="75">
                  <c:v>1037.08923335175</c:v>
                </c:pt>
                <c:pt idx="76">
                  <c:v>1000.1134009812901</c:v>
                </c:pt>
                <c:pt idx="77">
                  <c:v>996.35317777314015</c:v>
                </c:pt>
                <c:pt idx="78">
                  <c:v>1043.8532963787402</c:v>
                </c:pt>
                <c:pt idx="79">
                  <c:v>948.10642752759986</c:v>
                </c:pt>
                <c:pt idx="80">
                  <c:v>844.01879695936998</c:v>
                </c:pt>
                <c:pt idx="81">
                  <c:v>1014.9953051643099</c:v>
                </c:pt>
                <c:pt idx="82">
                  <c:v>977.89859154930991</c:v>
                </c:pt>
                <c:pt idx="83">
                  <c:v>901.22109433642004</c:v>
                </c:pt>
                <c:pt idx="84">
                  <c:v>874.32351282089985</c:v>
                </c:pt>
                <c:pt idx="85">
                  <c:v>1041.12535963501</c:v>
                </c:pt>
                <c:pt idx="86">
                  <c:v>1076.0604894841499</c:v>
                </c:pt>
                <c:pt idx="87">
                  <c:v>1013.4809228604099</c:v>
                </c:pt>
                <c:pt idx="88">
                  <c:v>947.79530516434988</c:v>
                </c:pt>
                <c:pt idx="89">
                  <c:v>957.82159624418011</c:v>
                </c:pt>
                <c:pt idx="90">
                  <c:v>1002.89295774649</c:v>
                </c:pt>
                <c:pt idx="91">
                  <c:v>1083.5126760563301</c:v>
                </c:pt>
                <c:pt idx="92">
                  <c:v>1217.57084776958</c:v>
                </c:pt>
                <c:pt idx="93">
                  <c:v>1217.2408605575999</c:v>
                </c:pt>
                <c:pt idx="94">
                  <c:v>1210.74172297376</c:v>
                </c:pt>
                <c:pt idx="95">
                  <c:v>1207.30089958543</c:v>
                </c:pt>
                <c:pt idx="96">
                  <c:v>1206.49897386199</c:v>
                </c:pt>
                <c:pt idx="97">
                  <c:v>1201.8050169695898</c:v>
                </c:pt>
                <c:pt idx="98">
                  <c:v>1184.62672891281</c:v>
                </c:pt>
                <c:pt idx="99">
                  <c:v>1186.5064171546501</c:v>
                </c:pt>
                <c:pt idx="100">
                  <c:v>1188.82560531735</c:v>
                </c:pt>
                <c:pt idx="101">
                  <c:v>1188.4965078862399</c:v>
                </c:pt>
                <c:pt idx="102">
                  <c:v>1190.9129239858401</c:v>
                </c:pt>
                <c:pt idx="103">
                  <c:v>1185.9949728332999</c:v>
                </c:pt>
                <c:pt idx="104">
                  <c:v>1184.56870812895</c:v>
                </c:pt>
                <c:pt idx="105">
                  <c:v>1181.6666666666301</c:v>
                </c:pt>
                <c:pt idx="106">
                  <c:v>1178.9191591496601</c:v>
                </c:pt>
                <c:pt idx="107">
                  <c:v>1179.68569657649</c:v>
                </c:pt>
                <c:pt idx="108">
                  <c:v>1174.32173339668</c:v>
                </c:pt>
                <c:pt idx="109">
                  <c:v>1175.5787097114601</c:v>
                </c:pt>
                <c:pt idx="110">
                  <c:v>1174.5945350003001</c:v>
                </c:pt>
                <c:pt idx="111">
                  <c:v>1179.4734847285799</c:v>
                </c:pt>
                <c:pt idx="112">
                  <c:v>1177.48218863744</c:v>
                </c:pt>
                <c:pt idx="113">
                  <c:v>1176.2998364719899</c:v>
                </c:pt>
                <c:pt idx="114">
                  <c:v>1168.9648704963499</c:v>
                </c:pt>
                <c:pt idx="115">
                  <c:v>1165.66278947093</c:v>
                </c:pt>
                <c:pt idx="116">
                  <c:v>1166.33915703962</c:v>
                </c:pt>
                <c:pt idx="117">
                  <c:v>1170.1207733290901</c:v>
                </c:pt>
                <c:pt idx="118">
                  <c:v>1176.7555810518602</c:v>
                </c:pt>
                <c:pt idx="119">
                  <c:v>1174.29915598456</c:v>
                </c:pt>
                <c:pt idx="120">
                  <c:v>1161.1444558737799</c:v>
                </c:pt>
                <c:pt idx="121">
                  <c:v>1161.06228569922</c:v>
                </c:pt>
                <c:pt idx="122">
                  <c:v>1147.29576673521</c:v>
                </c:pt>
                <c:pt idx="123">
                  <c:v>1030.77417840372</c:v>
                </c:pt>
                <c:pt idx="124">
                  <c:v>1026.8411971830599</c:v>
                </c:pt>
                <c:pt idx="125">
                  <c:v>1032.0840505998899</c:v>
                </c:pt>
                <c:pt idx="126">
                  <c:v>1108.5122457330501</c:v>
                </c:pt>
                <c:pt idx="127">
                  <c:v>1112.3733252373102</c:v>
                </c:pt>
                <c:pt idx="128">
                  <c:v>1107.4872597031901</c:v>
                </c:pt>
                <c:pt idx="129">
                  <c:v>1115.6063879685601</c:v>
                </c:pt>
                <c:pt idx="130">
                  <c:v>1118.58365827584</c:v>
                </c:pt>
                <c:pt idx="131">
                  <c:v>1115.6723629499202</c:v>
                </c:pt>
                <c:pt idx="132">
                  <c:v>1125.64375305253</c:v>
                </c:pt>
                <c:pt idx="133">
                  <c:v>1118.1854050890699</c:v>
                </c:pt>
                <c:pt idx="134">
                  <c:v>1095.09433671695</c:v>
                </c:pt>
                <c:pt idx="135">
                  <c:v>1098.2763071399299</c:v>
                </c:pt>
                <c:pt idx="136">
                  <c:v>1016.04912669032</c:v>
                </c:pt>
                <c:pt idx="137">
                  <c:v>1019.7080339223</c:v>
                </c:pt>
                <c:pt idx="138">
                  <c:v>1026.12928409242</c:v>
                </c:pt>
                <c:pt idx="139">
                  <c:v>1024.4556862848101</c:v>
                </c:pt>
                <c:pt idx="140">
                  <c:v>1032.9985489488699</c:v>
                </c:pt>
                <c:pt idx="141">
                  <c:v>1026.3485140340501</c:v>
                </c:pt>
                <c:pt idx="142">
                  <c:v>1027.6195443945201</c:v>
                </c:pt>
                <c:pt idx="143">
                  <c:v>1037.12900126046</c:v>
                </c:pt>
                <c:pt idx="144">
                  <c:v>1032.5087603262</c:v>
                </c:pt>
                <c:pt idx="145">
                  <c:v>1083.2253230451799</c:v>
                </c:pt>
                <c:pt idx="146">
                  <c:v>1076.5626439059699</c:v>
                </c:pt>
                <c:pt idx="147">
                  <c:v>1047.09524262525</c:v>
                </c:pt>
                <c:pt idx="148">
                  <c:v>975.79359018402999</c:v>
                </c:pt>
                <c:pt idx="149">
                  <c:v>1015.57906349924</c:v>
                </c:pt>
                <c:pt idx="150">
                  <c:v>993.13949827795011</c:v>
                </c:pt>
                <c:pt idx="151">
                  <c:v>976.50614204298006</c:v>
                </c:pt>
                <c:pt idx="152">
                  <c:v>980.34278025874005</c:v>
                </c:pt>
                <c:pt idx="153">
                  <c:v>978.28063226132997</c:v>
                </c:pt>
                <c:pt idx="154">
                  <c:v>968.51497062420992</c:v>
                </c:pt>
                <c:pt idx="155">
                  <c:v>956.33617489804999</c:v>
                </c:pt>
                <c:pt idx="156">
                  <c:v>983.98230320010998</c:v>
                </c:pt>
                <c:pt idx="157">
                  <c:v>1010.18472548862</c:v>
                </c:pt>
                <c:pt idx="158">
                  <c:v>869.95425221745995</c:v>
                </c:pt>
                <c:pt idx="159">
                  <c:v>991.59727910932997</c:v>
                </c:pt>
                <c:pt idx="160">
                  <c:v>1026.8717875883101</c:v>
                </c:pt>
                <c:pt idx="161">
                  <c:v>1030.3550074559701</c:v>
                </c:pt>
                <c:pt idx="162">
                  <c:v>1009.2957773028299</c:v>
                </c:pt>
                <c:pt idx="163">
                  <c:v>1011.0467872899001</c:v>
                </c:pt>
                <c:pt idx="164">
                  <c:v>1023.46073108461</c:v>
                </c:pt>
                <c:pt idx="165">
                  <c:v>1036.1084024726501</c:v>
                </c:pt>
                <c:pt idx="166">
                  <c:v>1050.9734912143599</c:v>
                </c:pt>
                <c:pt idx="167">
                  <c:v>1097.31155655265</c:v>
                </c:pt>
                <c:pt idx="168">
                  <c:v>1096.46082225441</c:v>
                </c:pt>
                <c:pt idx="169">
                  <c:v>1097.3736343293699</c:v>
                </c:pt>
                <c:pt idx="170">
                  <c:v>1145.6023430301</c:v>
                </c:pt>
                <c:pt idx="171">
                  <c:v>1101.5323943662499</c:v>
                </c:pt>
                <c:pt idx="172">
                  <c:v>932.61367534816009</c:v>
                </c:pt>
                <c:pt idx="173">
                  <c:v>877.77755693038989</c:v>
                </c:pt>
                <c:pt idx="174">
                  <c:v>871.11577895996993</c:v>
                </c:pt>
                <c:pt idx="175">
                  <c:v>923.46446752994996</c:v>
                </c:pt>
                <c:pt idx="176">
                  <c:v>898.00363970765989</c:v>
                </c:pt>
                <c:pt idx="177">
                  <c:v>956.50677171853999</c:v>
                </c:pt>
                <c:pt idx="178">
                  <c:v>1090.0914926415001</c:v>
                </c:pt>
                <c:pt idx="179">
                  <c:v>1130.0018116230101</c:v>
                </c:pt>
                <c:pt idx="180">
                  <c:v>1049.29481180874</c:v>
                </c:pt>
                <c:pt idx="181">
                  <c:v>1133.70985119754</c:v>
                </c:pt>
                <c:pt idx="182">
                  <c:v>1151.4469244847999</c:v>
                </c:pt>
                <c:pt idx="183">
                  <c:v>1155.9809262354199</c:v>
                </c:pt>
                <c:pt idx="184">
                  <c:v>1146.0123232805101</c:v>
                </c:pt>
                <c:pt idx="185">
                  <c:v>1150.6177475398799</c:v>
                </c:pt>
                <c:pt idx="186">
                  <c:v>1097.8269317660699</c:v>
                </c:pt>
                <c:pt idx="187">
                  <c:v>1053.38075029124</c:v>
                </c:pt>
                <c:pt idx="188">
                  <c:v>1033.53710067421</c:v>
                </c:pt>
                <c:pt idx="189">
                  <c:v>1063.9708761340298</c:v>
                </c:pt>
                <c:pt idx="190">
                  <c:v>1034.9233170955399</c:v>
                </c:pt>
                <c:pt idx="191">
                  <c:v>1043.96629160933</c:v>
                </c:pt>
                <c:pt idx="192">
                  <c:v>997.73846174308005</c:v>
                </c:pt>
                <c:pt idx="193">
                  <c:v>961.65680352175991</c:v>
                </c:pt>
                <c:pt idx="194">
                  <c:v>1038.07422628313</c:v>
                </c:pt>
                <c:pt idx="195">
                  <c:v>1120.1694835680401</c:v>
                </c:pt>
                <c:pt idx="196">
                  <c:v>1107.1763613697001</c:v>
                </c:pt>
                <c:pt idx="197">
                  <c:v>1019.31429670302</c:v>
                </c:pt>
                <c:pt idx="198">
                  <c:v>1017.5627065595399</c:v>
                </c:pt>
                <c:pt idx="199">
                  <c:v>991.18192620882996</c:v>
                </c:pt>
                <c:pt idx="200">
                  <c:v>976.88444302178004</c:v>
                </c:pt>
                <c:pt idx="201">
                  <c:v>1070.2374626547501</c:v>
                </c:pt>
                <c:pt idx="202">
                  <c:v>1073.07039319252</c:v>
                </c:pt>
                <c:pt idx="203">
                  <c:v>1004.0107902094601</c:v>
                </c:pt>
                <c:pt idx="204">
                  <c:v>1007.4482486679999</c:v>
                </c:pt>
                <c:pt idx="205">
                  <c:v>1010.5225536741499</c:v>
                </c:pt>
                <c:pt idx="206">
                  <c:v>1000.5722213430699</c:v>
                </c:pt>
                <c:pt idx="207">
                  <c:v>1020.35588173235</c:v>
                </c:pt>
                <c:pt idx="208">
                  <c:v>1059.4075108520699</c:v>
                </c:pt>
                <c:pt idx="209">
                  <c:v>1067.8510060045901</c:v>
                </c:pt>
                <c:pt idx="210">
                  <c:v>1100.1825268924401</c:v>
                </c:pt>
                <c:pt idx="211">
                  <c:v>1112.8499395998599</c:v>
                </c:pt>
                <c:pt idx="212">
                  <c:v>1101.21467125092</c:v>
                </c:pt>
                <c:pt idx="213">
                  <c:v>1087.90539972479</c:v>
                </c:pt>
                <c:pt idx="214">
                  <c:v>1092.9034828512199</c:v>
                </c:pt>
                <c:pt idx="215">
                  <c:v>1005.1713168107401</c:v>
                </c:pt>
                <c:pt idx="216">
                  <c:v>986.22019618492993</c:v>
                </c:pt>
                <c:pt idx="217">
                  <c:v>1063.11744244899</c:v>
                </c:pt>
                <c:pt idx="218">
                  <c:v>1062.2721407752801</c:v>
                </c:pt>
                <c:pt idx="219">
                  <c:v>1077.3077717855701</c:v>
                </c:pt>
                <c:pt idx="220">
                  <c:v>1038.04431994691</c:v>
                </c:pt>
                <c:pt idx="221">
                  <c:v>1134.0404551602999</c:v>
                </c:pt>
                <c:pt idx="222">
                  <c:v>1146.0243707063501</c:v>
                </c:pt>
                <c:pt idx="223">
                  <c:v>1095.8954566674402</c:v>
                </c:pt>
                <c:pt idx="224">
                  <c:v>1010.81605252678</c:v>
                </c:pt>
                <c:pt idx="225">
                  <c:v>1063.6140845070399</c:v>
                </c:pt>
                <c:pt idx="226">
                  <c:v>1045.2938967136399</c:v>
                </c:pt>
                <c:pt idx="227">
                  <c:v>1032.7586854459701</c:v>
                </c:pt>
                <c:pt idx="228">
                  <c:v>1076.0882629108</c:v>
                </c:pt>
                <c:pt idx="229">
                  <c:v>1080.2807511737499</c:v>
                </c:pt>
                <c:pt idx="230">
                  <c:v>1060.48638497655</c:v>
                </c:pt>
                <c:pt idx="231">
                  <c:v>1070.65003088703</c:v>
                </c:pt>
                <c:pt idx="232">
                  <c:v>1029.59188753536</c:v>
                </c:pt>
                <c:pt idx="233">
                  <c:v>1059.7709017079801</c:v>
                </c:pt>
                <c:pt idx="234">
                  <c:v>1033.10458546732</c:v>
                </c:pt>
                <c:pt idx="235">
                  <c:v>823.49073198154008</c:v>
                </c:pt>
                <c:pt idx="236">
                  <c:v>840.39893191390001</c:v>
                </c:pt>
                <c:pt idx="237">
                  <c:v>819.00895224793999</c:v>
                </c:pt>
                <c:pt idx="238">
                  <c:v>1041.70272879101</c:v>
                </c:pt>
                <c:pt idx="239">
                  <c:v>1042.0428216356599</c:v>
                </c:pt>
                <c:pt idx="240">
                  <c:v>1045.9635779589901</c:v>
                </c:pt>
                <c:pt idx="241">
                  <c:v>1049.62721769215</c:v>
                </c:pt>
                <c:pt idx="242">
                  <c:v>1019.15761057574</c:v>
                </c:pt>
                <c:pt idx="243">
                  <c:v>1006.41898672743</c:v>
                </c:pt>
                <c:pt idx="244">
                  <c:v>969.8551117651399</c:v>
                </c:pt>
                <c:pt idx="245">
                  <c:v>962.48047964401007</c:v>
                </c:pt>
                <c:pt idx="246">
                  <c:v>896.57353811927987</c:v>
                </c:pt>
                <c:pt idx="247">
                  <c:v>954.53564921868997</c:v>
                </c:pt>
                <c:pt idx="248">
                  <c:v>1041.74198839065</c:v>
                </c:pt>
                <c:pt idx="249">
                  <c:v>1065.03562878204</c:v>
                </c:pt>
                <c:pt idx="250">
                  <c:v>1030.4203974315299</c:v>
                </c:pt>
                <c:pt idx="251">
                  <c:v>967.68666455662003</c:v>
                </c:pt>
                <c:pt idx="252">
                  <c:v>968.42351374165003</c:v>
                </c:pt>
                <c:pt idx="253">
                  <c:v>951.86264968087994</c:v>
                </c:pt>
                <c:pt idx="254">
                  <c:v>1077.5389671361299</c:v>
                </c:pt>
                <c:pt idx="255">
                  <c:v>1062.93239436623</c:v>
                </c:pt>
                <c:pt idx="256">
                  <c:v>1089.7258215962599</c:v>
                </c:pt>
                <c:pt idx="257">
                  <c:v>989.48193925453995</c:v>
                </c:pt>
                <c:pt idx="258">
                  <c:v>892.50328638494011</c:v>
                </c:pt>
                <c:pt idx="259">
                  <c:v>1055.9875626491598</c:v>
                </c:pt>
                <c:pt idx="260">
                  <c:v>1020.66865734747</c:v>
                </c:pt>
                <c:pt idx="261">
                  <c:v>1019.04832597835</c:v>
                </c:pt>
                <c:pt idx="262">
                  <c:v>1067.32991041935</c:v>
                </c:pt>
                <c:pt idx="263">
                  <c:v>1050.4657276995799</c:v>
                </c:pt>
                <c:pt idx="264">
                  <c:v>963.04976525824009</c:v>
                </c:pt>
                <c:pt idx="265">
                  <c:v>810.69577464789006</c:v>
                </c:pt>
                <c:pt idx="266">
                  <c:v>939.41329324256003</c:v>
                </c:pt>
                <c:pt idx="267">
                  <c:v>967.79370355211995</c:v>
                </c:pt>
                <c:pt idx="268">
                  <c:v>978.16000633608996</c:v>
                </c:pt>
                <c:pt idx="269">
                  <c:v>962.43076503381008</c:v>
                </c:pt>
                <c:pt idx="270">
                  <c:v>964.58907119697005</c:v>
                </c:pt>
                <c:pt idx="271">
                  <c:v>899.74659734100987</c:v>
                </c:pt>
                <c:pt idx="272">
                  <c:v>980.9924663244301</c:v>
                </c:pt>
                <c:pt idx="273">
                  <c:v>969.02665892257005</c:v>
                </c:pt>
                <c:pt idx="274">
                  <c:v>962.66596354137005</c:v>
                </c:pt>
                <c:pt idx="275">
                  <c:v>925.00169787044001</c:v>
                </c:pt>
                <c:pt idx="276">
                  <c:v>906.03043869141004</c:v>
                </c:pt>
                <c:pt idx="277">
                  <c:v>985.64057489593006</c:v>
                </c:pt>
                <c:pt idx="278">
                  <c:v>1012.1897953759901</c:v>
                </c:pt>
                <c:pt idx="279">
                  <c:v>972.55927008593994</c:v>
                </c:pt>
                <c:pt idx="280">
                  <c:v>950.61639206310997</c:v>
                </c:pt>
                <c:pt idx="281">
                  <c:v>946.79253272657002</c:v>
                </c:pt>
                <c:pt idx="282">
                  <c:v>920.25180992496007</c:v>
                </c:pt>
                <c:pt idx="283">
                  <c:v>962.90253415916993</c:v>
                </c:pt>
                <c:pt idx="284">
                  <c:v>996.22753251537995</c:v>
                </c:pt>
                <c:pt idx="285">
                  <c:v>1022.95437198353</c:v>
                </c:pt>
                <c:pt idx="286">
                  <c:v>984.99632845402004</c:v>
                </c:pt>
                <c:pt idx="287">
                  <c:v>983.88582282593995</c:v>
                </c:pt>
                <c:pt idx="288">
                  <c:v>976.96525382414006</c:v>
                </c:pt>
                <c:pt idx="289">
                  <c:v>975.9205166971401</c:v>
                </c:pt>
                <c:pt idx="290">
                  <c:v>891.00528038119</c:v>
                </c:pt>
                <c:pt idx="291">
                  <c:v>838.22525119564011</c:v>
                </c:pt>
                <c:pt idx="292">
                  <c:v>828.97243694213</c:v>
                </c:pt>
                <c:pt idx="293">
                  <c:v>834.58926768512993</c:v>
                </c:pt>
                <c:pt idx="294">
                  <c:v>829.32694341022989</c:v>
                </c:pt>
                <c:pt idx="295">
                  <c:v>829.90213365485999</c:v>
                </c:pt>
                <c:pt idx="296">
                  <c:v>815.02706928305997</c:v>
                </c:pt>
                <c:pt idx="297">
                  <c:v>822.17202796585002</c:v>
                </c:pt>
                <c:pt idx="298">
                  <c:v>822.88621272950002</c:v>
                </c:pt>
                <c:pt idx="299">
                  <c:v>819.45120241676</c:v>
                </c:pt>
                <c:pt idx="300">
                  <c:v>863.89759640468992</c:v>
                </c:pt>
                <c:pt idx="301">
                  <c:v>834.62493104320993</c:v>
                </c:pt>
                <c:pt idx="302">
                  <c:v>848.66412781325994</c:v>
                </c:pt>
                <c:pt idx="303">
                  <c:v>791.62714032538997</c:v>
                </c:pt>
                <c:pt idx="304">
                  <c:v>879.12918183253009</c:v>
                </c:pt>
                <c:pt idx="305">
                  <c:v>880.26481774541992</c:v>
                </c:pt>
                <c:pt idx="306">
                  <c:v>873.78760879887</c:v>
                </c:pt>
                <c:pt idx="307">
                  <c:v>864.88033933054999</c:v>
                </c:pt>
                <c:pt idx="308">
                  <c:v>862.64338256966994</c:v>
                </c:pt>
                <c:pt idx="309">
                  <c:v>865.67223798905002</c:v>
                </c:pt>
                <c:pt idx="310">
                  <c:v>886.76109543252994</c:v>
                </c:pt>
                <c:pt idx="311">
                  <c:v>876.30626080184993</c:v>
                </c:pt>
                <c:pt idx="312">
                  <c:v>893.91289307765987</c:v>
                </c:pt>
                <c:pt idx="313">
                  <c:v>859.17308935943993</c:v>
                </c:pt>
                <c:pt idx="314">
                  <c:v>878.99147843034984</c:v>
                </c:pt>
                <c:pt idx="315">
                  <c:v>881.23286384975995</c:v>
                </c:pt>
                <c:pt idx="316">
                  <c:v>855.41714612505007</c:v>
                </c:pt>
                <c:pt idx="317">
                  <c:v>874.13663700808002</c:v>
                </c:pt>
                <c:pt idx="318">
                  <c:v>874.29063825830997</c:v>
                </c:pt>
                <c:pt idx="319">
                  <c:v>889.25570999478998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38-804B-949F-00F63B8801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302160"/>
        <c:axId val="674749232"/>
      </c:scatterChart>
      <c:valAx>
        <c:axId val="674302160"/>
        <c:scaling>
          <c:orientation val="minMax"/>
          <c:max val="16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49587444918009099"/>
              <c:y val="0.904319983257905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749232"/>
        <c:crossesAt val="0"/>
        <c:crossBetween val="midCat"/>
        <c:majorUnit val="10"/>
      </c:valAx>
      <c:valAx>
        <c:axId val="674749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mScarlet</a:t>
                </a:r>
              </a:p>
            </c:rich>
          </c:tx>
          <c:layout>
            <c:manualLayout>
              <c:xMode val="edge"/>
              <c:yMode val="edge"/>
              <c:x val="0.11342194610994701"/>
              <c:y val="0.3655863656577810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302160"/>
        <c:crossesAt val="0"/>
        <c:crossBetween val="midCat"/>
      </c:valAx>
      <c:spPr>
        <a:noFill/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corrected data</a:t>
            </a:r>
          </a:p>
        </c:rich>
      </c:tx>
      <c:layout>
        <c:manualLayout>
          <c:xMode val="edge"/>
          <c:yMode val="edge"/>
          <c:x val="0.46015862147666298"/>
          <c:y val="8.1002683653307303E-2"/>
        </c:manualLayout>
      </c:layout>
      <c:overlay val="1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889694343762601"/>
          <c:y val="0.19264140198482901"/>
          <c:w val="0.65156849851686605"/>
          <c:h val="0.61250578971746195"/>
        </c:manualLayout>
      </c:layout>
      <c:scatterChart>
        <c:scatterStyle val="lineMarker"/>
        <c:varyColors val="0"/>
        <c:ser>
          <c:idx val="1"/>
          <c:order val="0"/>
          <c:tx>
            <c:v>O2 Pulse Line</c:v>
          </c:tx>
          <c:marker>
            <c:symbol val="none"/>
          </c:marker>
          <c:xVal>
            <c:numRef>
              <c:f>'[1]Cond. B Template'!$A$82:$A$161</c:f>
              <c:numCache>
                <c:formatCode>General</c:formatCode>
                <c:ptCount val="80"/>
                <c:pt idx="0">
                  <c:v>40.5</c:v>
                </c:pt>
                <c:pt idx="1">
                  <c:v>41</c:v>
                </c:pt>
                <c:pt idx="2">
                  <c:v>41.5</c:v>
                </c:pt>
                <c:pt idx="3">
                  <c:v>42</c:v>
                </c:pt>
                <c:pt idx="4">
                  <c:v>42.5</c:v>
                </c:pt>
                <c:pt idx="5">
                  <c:v>43</c:v>
                </c:pt>
                <c:pt idx="6">
                  <c:v>43.5</c:v>
                </c:pt>
                <c:pt idx="7">
                  <c:v>44</c:v>
                </c:pt>
                <c:pt idx="8">
                  <c:v>44.5</c:v>
                </c:pt>
                <c:pt idx="9">
                  <c:v>45</c:v>
                </c:pt>
                <c:pt idx="10">
                  <c:v>45.5</c:v>
                </c:pt>
                <c:pt idx="11">
                  <c:v>46</c:v>
                </c:pt>
                <c:pt idx="12">
                  <c:v>46.5</c:v>
                </c:pt>
                <c:pt idx="13">
                  <c:v>47</c:v>
                </c:pt>
                <c:pt idx="14">
                  <c:v>47.5</c:v>
                </c:pt>
                <c:pt idx="15">
                  <c:v>48</c:v>
                </c:pt>
                <c:pt idx="16">
                  <c:v>48.5</c:v>
                </c:pt>
                <c:pt idx="17">
                  <c:v>49</c:v>
                </c:pt>
                <c:pt idx="18">
                  <c:v>49.5</c:v>
                </c:pt>
                <c:pt idx="19">
                  <c:v>50</c:v>
                </c:pt>
                <c:pt idx="20">
                  <c:v>50.5</c:v>
                </c:pt>
                <c:pt idx="21">
                  <c:v>51</c:v>
                </c:pt>
                <c:pt idx="22">
                  <c:v>51.5</c:v>
                </c:pt>
                <c:pt idx="23">
                  <c:v>52</c:v>
                </c:pt>
                <c:pt idx="24">
                  <c:v>52.5</c:v>
                </c:pt>
                <c:pt idx="25">
                  <c:v>53</c:v>
                </c:pt>
                <c:pt idx="26">
                  <c:v>53.5</c:v>
                </c:pt>
                <c:pt idx="27">
                  <c:v>54</c:v>
                </c:pt>
                <c:pt idx="28">
                  <c:v>54.5</c:v>
                </c:pt>
                <c:pt idx="29">
                  <c:v>55</c:v>
                </c:pt>
                <c:pt idx="30">
                  <c:v>55.5</c:v>
                </c:pt>
                <c:pt idx="31">
                  <c:v>56</c:v>
                </c:pt>
                <c:pt idx="32">
                  <c:v>56.5</c:v>
                </c:pt>
                <c:pt idx="33">
                  <c:v>57</c:v>
                </c:pt>
                <c:pt idx="34">
                  <c:v>57.5</c:v>
                </c:pt>
                <c:pt idx="35">
                  <c:v>58</c:v>
                </c:pt>
                <c:pt idx="36">
                  <c:v>58.5</c:v>
                </c:pt>
                <c:pt idx="37">
                  <c:v>59</c:v>
                </c:pt>
                <c:pt idx="38">
                  <c:v>59.5</c:v>
                </c:pt>
                <c:pt idx="39">
                  <c:v>60</c:v>
                </c:pt>
                <c:pt idx="40">
                  <c:v>60.5</c:v>
                </c:pt>
                <c:pt idx="41">
                  <c:v>61</c:v>
                </c:pt>
                <c:pt idx="42">
                  <c:v>61.5</c:v>
                </c:pt>
                <c:pt idx="43">
                  <c:v>62</c:v>
                </c:pt>
                <c:pt idx="44">
                  <c:v>62.5</c:v>
                </c:pt>
                <c:pt idx="45">
                  <c:v>63</c:v>
                </c:pt>
                <c:pt idx="46">
                  <c:v>63.5</c:v>
                </c:pt>
                <c:pt idx="47">
                  <c:v>64</c:v>
                </c:pt>
                <c:pt idx="48">
                  <c:v>64.5</c:v>
                </c:pt>
                <c:pt idx="49">
                  <c:v>65</c:v>
                </c:pt>
                <c:pt idx="50">
                  <c:v>65.5</c:v>
                </c:pt>
                <c:pt idx="51">
                  <c:v>66</c:v>
                </c:pt>
                <c:pt idx="52">
                  <c:v>66.5</c:v>
                </c:pt>
                <c:pt idx="53">
                  <c:v>67</c:v>
                </c:pt>
                <c:pt idx="54">
                  <c:v>67.5</c:v>
                </c:pt>
                <c:pt idx="55">
                  <c:v>68</c:v>
                </c:pt>
                <c:pt idx="56">
                  <c:v>68.5</c:v>
                </c:pt>
                <c:pt idx="57">
                  <c:v>69</c:v>
                </c:pt>
                <c:pt idx="58">
                  <c:v>69.5</c:v>
                </c:pt>
                <c:pt idx="59">
                  <c:v>70</c:v>
                </c:pt>
                <c:pt idx="60">
                  <c:v>70.5</c:v>
                </c:pt>
                <c:pt idx="61">
                  <c:v>71</c:v>
                </c:pt>
                <c:pt idx="62">
                  <c:v>71.5</c:v>
                </c:pt>
                <c:pt idx="63">
                  <c:v>72</c:v>
                </c:pt>
                <c:pt idx="64">
                  <c:v>72.5</c:v>
                </c:pt>
                <c:pt idx="65">
                  <c:v>73</c:v>
                </c:pt>
                <c:pt idx="66">
                  <c:v>73.5</c:v>
                </c:pt>
                <c:pt idx="67">
                  <c:v>74</c:v>
                </c:pt>
                <c:pt idx="68">
                  <c:v>74.5</c:v>
                </c:pt>
                <c:pt idx="69">
                  <c:v>75</c:v>
                </c:pt>
                <c:pt idx="70">
                  <c:v>75.5</c:v>
                </c:pt>
                <c:pt idx="71">
                  <c:v>76</c:v>
                </c:pt>
                <c:pt idx="72">
                  <c:v>76.5</c:v>
                </c:pt>
                <c:pt idx="73">
                  <c:v>77</c:v>
                </c:pt>
                <c:pt idx="74">
                  <c:v>77.5</c:v>
                </c:pt>
                <c:pt idx="75">
                  <c:v>78</c:v>
                </c:pt>
                <c:pt idx="76">
                  <c:v>78.5</c:v>
                </c:pt>
                <c:pt idx="77">
                  <c:v>79</c:v>
                </c:pt>
                <c:pt idx="78">
                  <c:v>79.5</c:v>
                </c:pt>
                <c:pt idx="79">
                  <c:v>80</c:v>
                </c:pt>
              </c:numCache>
            </c:numRef>
          </c:xVal>
          <c:yVal>
            <c:numRef>
              <c:f>'[1]Cond. B Template'!$X$64:$X$143</c:f>
              <c:numCache>
                <c:formatCode>General</c:formatCode>
                <c:ptCount val="80"/>
                <c:pt idx="0">
                  <c:v>-13</c:v>
                </c:pt>
                <c:pt idx="1">
                  <c:v>-13</c:v>
                </c:pt>
                <c:pt idx="2">
                  <c:v>-13</c:v>
                </c:pt>
                <c:pt idx="3">
                  <c:v>-13</c:v>
                </c:pt>
                <c:pt idx="4">
                  <c:v>-13</c:v>
                </c:pt>
                <c:pt idx="5">
                  <c:v>-13</c:v>
                </c:pt>
                <c:pt idx="6">
                  <c:v>-13</c:v>
                </c:pt>
                <c:pt idx="7">
                  <c:v>-13</c:v>
                </c:pt>
                <c:pt idx="8">
                  <c:v>-13</c:v>
                </c:pt>
                <c:pt idx="9">
                  <c:v>-13</c:v>
                </c:pt>
                <c:pt idx="10">
                  <c:v>-13</c:v>
                </c:pt>
                <c:pt idx="11">
                  <c:v>-13</c:v>
                </c:pt>
                <c:pt idx="12">
                  <c:v>-13</c:v>
                </c:pt>
                <c:pt idx="13">
                  <c:v>-13</c:v>
                </c:pt>
                <c:pt idx="14">
                  <c:v>-13</c:v>
                </c:pt>
                <c:pt idx="15">
                  <c:v>-13</c:v>
                </c:pt>
                <c:pt idx="16">
                  <c:v>-13</c:v>
                </c:pt>
                <c:pt idx="17">
                  <c:v>-13</c:v>
                </c:pt>
                <c:pt idx="18">
                  <c:v>-13</c:v>
                </c:pt>
                <c:pt idx="19">
                  <c:v>-13</c:v>
                </c:pt>
                <c:pt idx="20">
                  <c:v>-13</c:v>
                </c:pt>
                <c:pt idx="21">
                  <c:v>-13</c:v>
                </c:pt>
                <c:pt idx="22">
                  <c:v>-13</c:v>
                </c:pt>
                <c:pt idx="23">
                  <c:v>-13</c:v>
                </c:pt>
                <c:pt idx="24">
                  <c:v>-13</c:v>
                </c:pt>
                <c:pt idx="25">
                  <c:v>-13</c:v>
                </c:pt>
                <c:pt idx="26">
                  <c:v>-13</c:v>
                </c:pt>
                <c:pt idx="27">
                  <c:v>-13</c:v>
                </c:pt>
                <c:pt idx="28">
                  <c:v>-13</c:v>
                </c:pt>
                <c:pt idx="29">
                  <c:v>-13</c:v>
                </c:pt>
                <c:pt idx="30">
                  <c:v>-13</c:v>
                </c:pt>
                <c:pt idx="31">
                  <c:v>-13</c:v>
                </c:pt>
                <c:pt idx="32">
                  <c:v>-13</c:v>
                </c:pt>
                <c:pt idx="33">
                  <c:v>-13</c:v>
                </c:pt>
                <c:pt idx="34">
                  <c:v>-13</c:v>
                </c:pt>
                <c:pt idx="35">
                  <c:v>-13</c:v>
                </c:pt>
                <c:pt idx="36">
                  <c:v>-13</c:v>
                </c:pt>
                <c:pt idx="37">
                  <c:v>-13</c:v>
                </c:pt>
                <c:pt idx="38">
                  <c:v>-13</c:v>
                </c:pt>
                <c:pt idx="39">
                  <c:v>-13</c:v>
                </c:pt>
                <c:pt idx="40">
                  <c:v>-13</c:v>
                </c:pt>
                <c:pt idx="41">
                  <c:v>-13</c:v>
                </c:pt>
                <c:pt idx="42">
                  <c:v>-13</c:v>
                </c:pt>
                <c:pt idx="43">
                  <c:v>-13</c:v>
                </c:pt>
                <c:pt idx="44">
                  <c:v>-13</c:v>
                </c:pt>
                <c:pt idx="45">
                  <c:v>-13</c:v>
                </c:pt>
                <c:pt idx="46">
                  <c:v>-13</c:v>
                </c:pt>
                <c:pt idx="47">
                  <c:v>-13</c:v>
                </c:pt>
                <c:pt idx="48">
                  <c:v>-13</c:v>
                </c:pt>
                <c:pt idx="49">
                  <c:v>-13</c:v>
                </c:pt>
                <c:pt idx="50">
                  <c:v>-13</c:v>
                </c:pt>
                <c:pt idx="51">
                  <c:v>-13</c:v>
                </c:pt>
                <c:pt idx="52">
                  <c:v>-13</c:v>
                </c:pt>
                <c:pt idx="53">
                  <c:v>-13</c:v>
                </c:pt>
                <c:pt idx="54">
                  <c:v>-13</c:v>
                </c:pt>
                <c:pt idx="55">
                  <c:v>-13</c:v>
                </c:pt>
                <c:pt idx="56">
                  <c:v>-13</c:v>
                </c:pt>
                <c:pt idx="57">
                  <c:v>-13</c:v>
                </c:pt>
                <c:pt idx="58">
                  <c:v>-13</c:v>
                </c:pt>
                <c:pt idx="59">
                  <c:v>-13</c:v>
                </c:pt>
                <c:pt idx="60">
                  <c:v>-13</c:v>
                </c:pt>
                <c:pt idx="61">
                  <c:v>-13</c:v>
                </c:pt>
                <c:pt idx="62">
                  <c:v>-13</c:v>
                </c:pt>
                <c:pt idx="63">
                  <c:v>-13</c:v>
                </c:pt>
                <c:pt idx="64">
                  <c:v>-13</c:v>
                </c:pt>
                <c:pt idx="65">
                  <c:v>-13</c:v>
                </c:pt>
                <c:pt idx="66">
                  <c:v>-13</c:v>
                </c:pt>
                <c:pt idx="67">
                  <c:v>-13</c:v>
                </c:pt>
                <c:pt idx="68">
                  <c:v>-13</c:v>
                </c:pt>
                <c:pt idx="69">
                  <c:v>-13</c:v>
                </c:pt>
                <c:pt idx="70">
                  <c:v>-13</c:v>
                </c:pt>
                <c:pt idx="71">
                  <c:v>-13</c:v>
                </c:pt>
                <c:pt idx="72">
                  <c:v>-13</c:v>
                </c:pt>
                <c:pt idx="73">
                  <c:v>-13</c:v>
                </c:pt>
                <c:pt idx="74">
                  <c:v>-13</c:v>
                </c:pt>
                <c:pt idx="75">
                  <c:v>-13</c:v>
                </c:pt>
                <c:pt idx="76">
                  <c:v>-13</c:v>
                </c:pt>
                <c:pt idx="77">
                  <c:v>-13</c:v>
                </c:pt>
                <c:pt idx="78">
                  <c:v>-13</c:v>
                </c:pt>
                <c:pt idx="79">
                  <c:v>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53-3E43-BDD5-DC63EFB2B836}"/>
            </c:ext>
          </c:extLst>
        </c:ser>
        <c:ser>
          <c:idx val="0"/>
          <c:order val="1"/>
          <c:tx>
            <c:v>Corrected Data</c:v>
          </c:tx>
          <c:spPr>
            <a:ln w="381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'240807B012'!$A$2:$A$321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'240807B012'!$P$2:$P$321</c:f>
              <c:numCache>
                <c:formatCode>General</c:formatCode>
                <c:ptCount val="320"/>
                <c:pt idx="0">
                  <c:v>-17.612209398782529</c:v>
                </c:pt>
                <c:pt idx="1">
                  <c:v>-18.195293366937609</c:v>
                </c:pt>
                <c:pt idx="2">
                  <c:v>-17.232471545847527</c:v>
                </c:pt>
                <c:pt idx="3">
                  <c:v>-9.9770142392753129</c:v>
                </c:pt>
                <c:pt idx="4">
                  <c:v>-6.0736671680099681</c:v>
                </c:pt>
                <c:pt idx="5">
                  <c:v>0.29835734573596107</c:v>
                </c:pt>
                <c:pt idx="6">
                  <c:v>7.8863279793475334</c:v>
                </c:pt>
                <c:pt idx="7">
                  <c:v>16.041022395813741</c:v>
                </c:pt>
                <c:pt idx="8">
                  <c:v>17.177117526656925</c:v>
                </c:pt>
                <c:pt idx="9">
                  <c:v>19.341958025733614</c:v>
                </c:pt>
                <c:pt idx="10">
                  <c:v>18.471913162355889</c:v>
                </c:pt>
                <c:pt idx="11">
                  <c:v>17.551801341973892</c:v>
                </c:pt>
                <c:pt idx="12">
                  <c:v>16.009121810400945</c:v>
                </c:pt>
                <c:pt idx="13">
                  <c:v>15.486136859855732</c:v>
                </c:pt>
                <c:pt idx="14">
                  <c:v>13.175356987468115</c:v>
                </c:pt>
                <c:pt idx="15">
                  <c:v>16.776133597646758</c:v>
                </c:pt>
                <c:pt idx="16">
                  <c:v>16.862360917236295</c:v>
                </c:pt>
                <c:pt idx="17">
                  <c:v>17.397388165990691</c:v>
                </c:pt>
                <c:pt idx="18">
                  <c:v>16.593341737800646</c:v>
                </c:pt>
                <c:pt idx="19">
                  <c:v>18.281626063828135</c:v>
                </c:pt>
                <c:pt idx="20">
                  <c:v>18.324560698760227</c:v>
                </c:pt>
                <c:pt idx="21">
                  <c:v>18.969230407713606</c:v>
                </c:pt>
                <c:pt idx="22">
                  <c:v>17.204089461723786</c:v>
                </c:pt>
                <c:pt idx="23">
                  <c:v>17.037966838457528</c:v>
                </c:pt>
                <c:pt idx="24">
                  <c:v>12.787320351024443</c:v>
                </c:pt>
                <c:pt idx="25">
                  <c:v>11.330974184274705</c:v>
                </c:pt>
                <c:pt idx="26">
                  <c:v>17.119135087994479</c:v>
                </c:pt>
                <c:pt idx="27">
                  <c:v>14.007601124205801</c:v>
                </c:pt>
                <c:pt idx="28">
                  <c:v>14.451917442636431</c:v>
                </c:pt>
                <c:pt idx="29">
                  <c:v>12.876995008749276</c:v>
                </c:pt>
                <c:pt idx="30">
                  <c:v>12.486647586622203</c:v>
                </c:pt>
                <c:pt idx="31">
                  <c:v>11.267797926852435</c:v>
                </c:pt>
                <c:pt idx="32">
                  <c:v>11.406905149609853</c:v>
                </c:pt>
                <c:pt idx="33">
                  <c:v>11.234429135096828</c:v>
                </c:pt>
                <c:pt idx="34">
                  <c:v>8.8099829996602281</c:v>
                </c:pt>
                <c:pt idx="35">
                  <c:v>8.7562866089822506</c:v>
                </c:pt>
                <c:pt idx="36">
                  <c:v>8.5574273382830697</c:v>
                </c:pt>
                <c:pt idx="37">
                  <c:v>8.298199074739987</c:v>
                </c:pt>
                <c:pt idx="38">
                  <c:v>8.7985294687517293</c:v>
                </c:pt>
                <c:pt idx="39">
                  <c:v>7.7379593440455903</c:v>
                </c:pt>
                <c:pt idx="40">
                  <c:v>6.8495475615722476</c:v>
                </c:pt>
                <c:pt idx="41">
                  <c:v>6.2084790623058081</c:v>
                </c:pt>
                <c:pt idx="42">
                  <c:v>4.735339066701874</c:v>
                </c:pt>
                <c:pt idx="43">
                  <c:v>7.6196189819725157</c:v>
                </c:pt>
                <c:pt idx="44">
                  <c:v>7.1518739196153591</c:v>
                </c:pt>
                <c:pt idx="45">
                  <c:v>7.2154532089490537</c:v>
                </c:pt>
                <c:pt idx="46">
                  <c:v>4.6792069682266648</c:v>
                </c:pt>
                <c:pt idx="47">
                  <c:v>6.2002392666025914</c:v>
                </c:pt>
                <c:pt idx="48">
                  <c:v>7.4710615287738493</c:v>
                </c:pt>
                <c:pt idx="49">
                  <c:v>5.9791868833187598</c:v>
                </c:pt>
                <c:pt idx="50">
                  <c:v>4.7746100428141967</c:v>
                </c:pt>
                <c:pt idx="51">
                  <c:v>4.7955744481578657</c:v>
                </c:pt>
                <c:pt idx="52">
                  <c:v>4.7734702208896387</c:v>
                </c:pt>
                <c:pt idx="53">
                  <c:v>2.9799828407235363</c:v>
                </c:pt>
                <c:pt idx="54">
                  <c:v>2.6618029054527401</c:v>
                </c:pt>
                <c:pt idx="55">
                  <c:v>0.94459254802549686</c:v>
                </c:pt>
                <c:pt idx="56">
                  <c:v>2.9755366562939343</c:v>
                </c:pt>
                <c:pt idx="57">
                  <c:v>4.2083141306290468</c:v>
                </c:pt>
                <c:pt idx="58">
                  <c:v>2.4794624966343886</c:v>
                </c:pt>
                <c:pt idx="59">
                  <c:v>3.2980147667189854</c:v>
                </c:pt>
                <c:pt idx="60">
                  <c:v>2.3360677416370339</c:v>
                </c:pt>
                <c:pt idx="61">
                  <c:v>2.458057788079691</c:v>
                </c:pt>
                <c:pt idx="62">
                  <c:v>2.0196797123770116</c:v>
                </c:pt>
                <c:pt idx="63">
                  <c:v>2.1716159325063362</c:v>
                </c:pt>
                <c:pt idx="64">
                  <c:v>0.88288529136699312</c:v>
                </c:pt>
                <c:pt idx="65">
                  <c:v>0.41336125167568849</c:v>
                </c:pt>
                <c:pt idx="66">
                  <c:v>0.6747257414431399</c:v>
                </c:pt>
                <c:pt idx="67">
                  <c:v>2.0406074414276381</c:v>
                </c:pt>
                <c:pt idx="68">
                  <c:v>1.0423350831138429</c:v>
                </c:pt>
                <c:pt idx="69">
                  <c:v>2.7251552872593452</c:v>
                </c:pt>
                <c:pt idx="70">
                  <c:v>1.7446092850775301</c:v>
                </c:pt>
                <c:pt idx="71">
                  <c:v>1.8803008137734876</c:v>
                </c:pt>
                <c:pt idx="72">
                  <c:v>0.14350645418883512</c:v>
                </c:pt>
                <c:pt idx="73">
                  <c:v>-1.4682423015799191</c:v>
                </c:pt>
                <c:pt idx="74">
                  <c:v>-4.314913606043012</c:v>
                </c:pt>
                <c:pt idx="75">
                  <c:v>-4.5696417616676692</c:v>
                </c:pt>
                <c:pt idx="76">
                  <c:v>-3.4128564398683716</c:v>
                </c:pt>
                <c:pt idx="77">
                  <c:v>-2.8378853834529045</c:v>
                </c:pt>
                <c:pt idx="78">
                  <c:v>-1.8198060681883288</c:v>
                </c:pt>
                <c:pt idx="79">
                  <c:v>-2.1095622631261977</c:v>
                </c:pt>
                <c:pt idx="80">
                  <c:v>8.2710200208378895E-2</c:v>
                </c:pt>
                <c:pt idx="81">
                  <c:v>-2.6321236365429099</c:v>
                </c:pt>
                <c:pt idx="82">
                  <c:v>-1.7816864261737637</c:v>
                </c:pt>
                <c:pt idx="83">
                  <c:v>-0.52852318056018155</c:v>
                </c:pt>
                <c:pt idx="84">
                  <c:v>-3.32527144484916</c:v>
                </c:pt>
                <c:pt idx="85">
                  <c:v>-9.6080272945162726</c:v>
                </c:pt>
                <c:pt idx="86">
                  <c:v>-13.071782076041863</c:v>
                </c:pt>
                <c:pt idx="87">
                  <c:v>-15.389198219777695</c:v>
                </c:pt>
                <c:pt idx="88">
                  <c:v>-19.542536445610697</c:v>
                </c:pt>
                <c:pt idx="89">
                  <c:v>-22.059418950422256</c:v>
                </c:pt>
                <c:pt idx="90">
                  <c:v>-20.448214316231667</c:v>
                </c:pt>
                <c:pt idx="91">
                  <c:v>-22.520916250587014</c:v>
                </c:pt>
                <c:pt idx="92">
                  <c:v>-26.375975284786122</c:v>
                </c:pt>
                <c:pt idx="93">
                  <c:v>-27.22640450997983</c:v>
                </c:pt>
                <c:pt idx="94">
                  <c:v>-27.9939394858859</c:v>
                </c:pt>
                <c:pt idx="95">
                  <c:v>-28.801955444625655</c:v>
                </c:pt>
                <c:pt idx="96">
                  <c:v>-29.420312156696415</c:v>
                </c:pt>
                <c:pt idx="97">
                  <c:v>-29.627096303998091</c:v>
                </c:pt>
                <c:pt idx="98">
                  <c:v>-30.894986617369284</c:v>
                </c:pt>
                <c:pt idx="99">
                  <c:v>-30.670875739657944</c:v>
                </c:pt>
                <c:pt idx="100">
                  <c:v>-31.520897905413538</c:v>
                </c:pt>
                <c:pt idx="101">
                  <c:v>-31.440371500682961</c:v>
                </c:pt>
                <c:pt idx="102">
                  <c:v>-32.106452091684112</c:v>
                </c:pt>
                <c:pt idx="103">
                  <c:v>-32.225271059100557</c:v>
                </c:pt>
                <c:pt idx="104">
                  <c:v>-32.646724362083148</c:v>
                </c:pt>
                <c:pt idx="105">
                  <c:v>-31.89019947848184</c:v>
                </c:pt>
                <c:pt idx="106">
                  <c:v>-32.352269122299113</c:v>
                </c:pt>
                <c:pt idx="107">
                  <c:v>-32.231543840721663</c:v>
                </c:pt>
                <c:pt idx="108">
                  <c:v>-31.811137501740294</c:v>
                </c:pt>
                <c:pt idx="109">
                  <c:v>-31.914340848270008</c:v>
                </c:pt>
                <c:pt idx="110">
                  <c:v>-32.578590792241066</c:v>
                </c:pt>
                <c:pt idx="111">
                  <c:v>-31.821509841213931</c:v>
                </c:pt>
                <c:pt idx="112">
                  <c:v>-32.203647309400843</c:v>
                </c:pt>
                <c:pt idx="113">
                  <c:v>-31.806302582701413</c:v>
                </c:pt>
                <c:pt idx="114">
                  <c:v>-31.9833355163696</c:v>
                </c:pt>
                <c:pt idx="115">
                  <c:v>-31.934536100737898</c:v>
                </c:pt>
                <c:pt idx="116">
                  <c:v>-31.129889119726972</c:v>
                </c:pt>
                <c:pt idx="117">
                  <c:v>-31.572958616358964</c:v>
                </c:pt>
                <c:pt idx="118">
                  <c:v>-31.841128011259112</c:v>
                </c:pt>
                <c:pt idx="119">
                  <c:v>-31.848575821436732</c:v>
                </c:pt>
                <c:pt idx="120">
                  <c:v>-32.251180907841089</c:v>
                </c:pt>
                <c:pt idx="121">
                  <c:v>-32.2324166554003</c:v>
                </c:pt>
                <c:pt idx="122">
                  <c:v>-32.356308612664222</c:v>
                </c:pt>
                <c:pt idx="123">
                  <c:v>-30.562315590846996</c:v>
                </c:pt>
                <c:pt idx="124">
                  <c:v>-30.690485125115913</c:v>
                </c:pt>
                <c:pt idx="125">
                  <c:v>-29.393667745901546</c:v>
                </c:pt>
                <c:pt idx="126">
                  <c:v>-30.154344261895766</c:v>
                </c:pt>
                <c:pt idx="127">
                  <c:v>-29.398356074050607</c:v>
                </c:pt>
                <c:pt idx="128">
                  <c:v>-29.110908873758142</c:v>
                </c:pt>
                <c:pt idx="129">
                  <c:v>-28.972767001978433</c:v>
                </c:pt>
                <c:pt idx="130">
                  <c:v>-28.684675412300354</c:v>
                </c:pt>
                <c:pt idx="131">
                  <c:v>-29.001577499417103</c:v>
                </c:pt>
                <c:pt idx="132">
                  <c:v>-29.302330934260802</c:v>
                </c:pt>
                <c:pt idx="133">
                  <c:v>-29.314618654490314</c:v>
                </c:pt>
                <c:pt idx="134">
                  <c:v>-28.866232620629184</c:v>
                </c:pt>
                <c:pt idx="135">
                  <c:v>-28.044315242396543</c:v>
                </c:pt>
                <c:pt idx="136">
                  <c:v>-27.523364235434101</c:v>
                </c:pt>
                <c:pt idx="137">
                  <c:v>-27.121862492908022</c:v>
                </c:pt>
                <c:pt idx="138">
                  <c:v>-27.41348223091115</c:v>
                </c:pt>
                <c:pt idx="139">
                  <c:v>-26.978526495239429</c:v>
                </c:pt>
                <c:pt idx="140">
                  <c:v>-24.742592878031612</c:v>
                </c:pt>
                <c:pt idx="141">
                  <c:v>-23.822216843541966</c:v>
                </c:pt>
                <c:pt idx="142">
                  <c:v>-23.945103049113932</c:v>
                </c:pt>
                <c:pt idx="143">
                  <c:v>-23.647189590104503</c:v>
                </c:pt>
                <c:pt idx="144">
                  <c:v>-23.363846970635947</c:v>
                </c:pt>
                <c:pt idx="145">
                  <c:v>-24.886602656521134</c:v>
                </c:pt>
                <c:pt idx="146">
                  <c:v>-25.024523261535197</c:v>
                </c:pt>
                <c:pt idx="147">
                  <c:v>-26.043058406855184</c:v>
                </c:pt>
                <c:pt idx="148">
                  <c:v>-25.518272137391207</c:v>
                </c:pt>
                <c:pt idx="149">
                  <c:v>-25.292808670900719</c:v>
                </c:pt>
                <c:pt idx="150">
                  <c:v>-22.825858070263745</c:v>
                </c:pt>
                <c:pt idx="151">
                  <c:v>-22.114757454333848</c:v>
                </c:pt>
                <c:pt idx="152">
                  <c:v>-22.673197794507551</c:v>
                </c:pt>
                <c:pt idx="153">
                  <c:v>-21.688145315996415</c:v>
                </c:pt>
                <c:pt idx="154">
                  <c:v>-21.830742069275789</c:v>
                </c:pt>
                <c:pt idx="155">
                  <c:v>-20.74243984679444</c:v>
                </c:pt>
                <c:pt idx="156">
                  <c:v>-22.273293576320615</c:v>
                </c:pt>
                <c:pt idx="157">
                  <c:v>-22.750243969534068</c:v>
                </c:pt>
                <c:pt idx="158">
                  <c:v>-17.096796250002079</c:v>
                </c:pt>
                <c:pt idx="159">
                  <c:v>-21.172739199900661</c:v>
                </c:pt>
                <c:pt idx="160">
                  <c:v>-23.852960220612861</c:v>
                </c:pt>
                <c:pt idx="161">
                  <c:v>-21.963010547495301</c:v>
                </c:pt>
                <c:pt idx="162">
                  <c:v>-8.5402567765001027</c:v>
                </c:pt>
                <c:pt idx="163">
                  <c:v>16.695949577385058</c:v>
                </c:pt>
                <c:pt idx="164">
                  <c:v>36.022646778604773</c:v>
                </c:pt>
                <c:pt idx="165">
                  <c:v>51.247680161055207</c:v>
                </c:pt>
                <c:pt idx="166">
                  <c:v>63.570545970046545</c:v>
                </c:pt>
                <c:pt idx="167">
                  <c:v>69.551289978459238</c:v>
                </c:pt>
                <c:pt idx="168">
                  <c:v>76.892383393225344</c:v>
                </c:pt>
                <c:pt idx="169">
                  <c:v>81.807342326590089</c:v>
                </c:pt>
                <c:pt idx="170">
                  <c:v>82.730723787218039</c:v>
                </c:pt>
                <c:pt idx="171">
                  <c:v>84.710924354920678</c:v>
                </c:pt>
                <c:pt idx="172">
                  <c:v>86.481197568077647</c:v>
                </c:pt>
                <c:pt idx="173">
                  <c:v>88.436145987327293</c:v>
                </c:pt>
                <c:pt idx="174">
                  <c:v>82.076760894868386</c:v>
                </c:pt>
                <c:pt idx="175">
                  <c:v>82.786507530944391</c:v>
                </c:pt>
                <c:pt idx="176">
                  <c:v>81.098583781482475</c:v>
                </c:pt>
                <c:pt idx="177">
                  <c:v>77.086093200097565</c:v>
                </c:pt>
                <c:pt idx="178">
                  <c:v>71.221123568406568</c:v>
                </c:pt>
                <c:pt idx="179">
                  <c:v>71.250164871932995</c:v>
                </c:pt>
                <c:pt idx="180">
                  <c:v>71.792296510831406</c:v>
                </c:pt>
                <c:pt idx="181">
                  <c:v>73.269513775903889</c:v>
                </c:pt>
                <c:pt idx="182">
                  <c:v>73.456850537063957</c:v>
                </c:pt>
                <c:pt idx="183">
                  <c:v>74.930053259919873</c:v>
                </c:pt>
                <c:pt idx="184">
                  <c:v>77.382491424838491</c:v>
                </c:pt>
                <c:pt idx="185">
                  <c:v>81.545910640096409</c:v>
                </c:pt>
                <c:pt idx="186">
                  <c:v>82.846617450184283</c:v>
                </c:pt>
                <c:pt idx="187">
                  <c:v>82.823102667661303</c:v>
                </c:pt>
                <c:pt idx="188">
                  <c:v>75.538146532064914</c:v>
                </c:pt>
                <c:pt idx="189">
                  <c:v>74.00840981207503</c:v>
                </c:pt>
                <c:pt idx="190">
                  <c:v>79.394141423103434</c:v>
                </c:pt>
                <c:pt idx="191">
                  <c:v>74.462345956780354</c:v>
                </c:pt>
                <c:pt idx="192">
                  <c:v>67.32609401899586</c:v>
                </c:pt>
                <c:pt idx="193">
                  <c:v>64.291149752224612</c:v>
                </c:pt>
                <c:pt idx="194">
                  <c:v>66.10257588226041</c:v>
                </c:pt>
                <c:pt idx="195">
                  <c:v>61.637467153926892</c:v>
                </c:pt>
                <c:pt idx="196">
                  <c:v>59.945955680921024</c:v>
                </c:pt>
                <c:pt idx="197">
                  <c:v>53.81336760560712</c:v>
                </c:pt>
                <c:pt idx="198">
                  <c:v>52.597303936871455</c:v>
                </c:pt>
                <c:pt idx="199">
                  <c:v>53.54291026197501</c:v>
                </c:pt>
                <c:pt idx="200">
                  <c:v>55.457666323637319</c:v>
                </c:pt>
                <c:pt idx="201">
                  <c:v>55.315143225677311</c:v>
                </c:pt>
                <c:pt idx="202">
                  <c:v>55.678616508901271</c:v>
                </c:pt>
                <c:pt idx="203">
                  <c:v>59.640259505697038</c:v>
                </c:pt>
                <c:pt idx="204">
                  <c:v>58.791038798587095</c:v>
                </c:pt>
                <c:pt idx="205">
                  <c:v>56.874834448846826</c:v>
                </c:pt>
                <c:pt idx="206">
                  <c:v>54.956770473580541</c:v>
                </c:pt>
                <c:pt idx="207">
                  <c:v>52.08483029034231</c:v>
                </c:pt>
                <c:pt idx="208">
                  <c:v>52.733090083440018</c:v>
                </c:pt>
                <c:pt idx="209">
                  <c:v>53.354642504838026</c:v>
                </c:pt>
                <c:pt idx="210">
                  <c:v>55.46885732917999</c:v>
                </c:pt>
                <c:pt idx="211">
                  <c:v>53.504038323543298</c:v>
                </c:pt>
                <c:pt idx="212">
                  <c:v>51.230196279511887</c:v>
                </c:pt>
                <c:pt idx="213">
                  <c:v>52.334541163649227</c:v>
                </c:pt>
                <c:pt idx="214">
                  <c:v>48.567836238206212</c:v>
                </c:pt>
                <c:pt idx="215">
                  <c:v>46.379249586347754</c:v>
                </c:pt>
                <c:pt idx="216">
                  <c:v>47.572263807716432</c:v>
                </c:pt>
                <c:pt idx="217">
                  <c:v>47.275504018275008</c:v>
                </c:pt>
                <c:pt idx="218">
                  <c:v>45.672126096017628</c:v>
                </c:pt>
                <c:pt idx="219">
                  <c:v>46.540507353858054</c:v>
                </c:pt>
                <c:pt idx="220">
                  <c:v>47.766318792308802</c:v>
                </c:pt>
                <c:pt idx="221">
                  <c:v>42.863391577079426</c:v>
                </c:pt>
                <c:pt idx="222">
                  <c:v>40.239664458672699</c:v>
                </c:pt>
                <c:pt idx="223">
                  <c:v>34.9491377167694</c:v>
                </c:pt>
                <c:pt idx="224">
                  <c:v>38.754775231259288</c:v>
                </c:pt>
                <c:pt idx="225">
                  <c:v>39.383036768581071</c:v>
                </c:pt>
                <c:pt idx="226">
                  <c:v>41.825324035323732</c:v>
                </c:pt>
                <c:pt idx="227">
                  <c:v>41.999397698348872</c:v>
                </c:pt>
                <c:pt idx="228">
                  <c:v>36.836782118595998</c:v>
                </c:pt>
                <c:pt idx="229">
                  <c:v>33.805163903280025</c:v>
                </c:pt>
                <c:pt idx="230">
                  <c:v>29.146310695432632</c:v>
                </c:pt>
                <c:pt idx="231">
                  <c:v>31.211598893849953</c:v>
                </c:pt>
                <c:pt idx="232">
                  <c:v>33.212309006394584</c:v>
                </c:pt>
                <c:pt idx="233">
                  <c:v>31.424839840610723</c:v>
                </c:pt>
                <c:pt idx="234">
                  <c:v>29.345663901561871</c:v>
                </c:pt>
                <c:pt idx="235">
                  <c:v>30.856549300415303</c:v>
                </c:pt>
                <c:pt idx="236">
                  <c:v>30.193790902352806</c:v>
                </c:pt>
                <c:pt idx="237">
                  <c:v>29.65105496926207</c:v>
                </c:pt>
                <c:pt idx="238">
                  <c:v>23.640546201156766</c:v>
                </c:pt>
                <c:pt idx="239">
                  <c:v>22.902997034558236</c:v>
                </c:pt>
                <c:pt idx="240">
                  <c:v>20.593251435728146</c:v>
                </c:pt>
                <c:pt idx="241">
                  <c:v>22.83951985477843</c:v>
                </c:pt>
                <c:pt idx="242">
                  <c:v>19.634448048125808</c:v>
                </c:pt>
                <c:pt idx="243">
                  <c:v>18.702244195542399</c:v>
                </c:pt>
                <c:pt idx="244">
                  <c:v>22.093201618628992</c:v>
                </c:pt>
                <c:pt idx="245">
                  <c:v>19.649521858530438</c:v>
                </c:pt>
                <c:pt idx="246">
                  <c:v>19.26780825885551</c:v>
                </c:pt>
                <c:pt idx="247">
                  <c:v>18.510623203557117</c:v>
                </c:pt>
                <c:pt idx="248">
                  <c:v>15.241738850632409</c:v>
                </c:pt>
                <c:pt idx="249">
                  <c:v>14.986784514794271</c:v>
                </c:pt>
                <c:pt idx="250">
                  <c:v>16.024152783675</c:v>
                </c:pt>
                <c:pt idx="251">
                  <c:v>17.263180775346839</c:v>
                </c:pt>
                <c:pt idx="252">
                  <c:v>18.506099648306833</c:v>
                </c:pt>
                <c:pt idx="253">
                  <c:v>21.211585153505336</c:v>
                </c:pt>
                <c:pt idx="254">
                  <c:v>16.368375166025885</c:v>
                </c:pt>
                <c:pt idx="255">
                  <c:v>17.734355728570854</c:v>
                </c:pt>
                <c:pt idx="256">
                  <c:v>18.287674764551923</c:v>
                </c:pt>
                <c:pt idx="257">
                  <c:v>17.341860307120545</c:v>
                </c:pt>
                <c:pt idx="258">
                  <c:v>19.867922573589972</c:v>
                </c:pt>
                <c:pt idx="259">
                  <c:v>18.442687076741176</c:v>
                </c:pt>
                <c:pt idx="260">
                  <c:v>18.031636338877387</c:v>
                </c:pt>
                <c:pt idx="261">
                  <c:v>18.220635812641216</c:v>
                </c:pt>
                <c:pt idx="262">
                  <c:v>18.82207062652062</c:v>
                </c:pt>
                <c:pt idx="263">
                  <c:v>17.051116780779754</c:v>
                </c:pt>
                <c:pt idx="264">
                  <c:v>14.282814736561122</c:v>
                </c:pt>
                <c:pt idx="265">
                  <c:v>16.537269783450821</c:v>
                </c:pt>
                <c:pt idx="266">
                  <c:v>18.425555364217942</c:v>
                </c:pt>
                <c:pt idx="267">
                  <c:v>18.99400738927946</c:v>
                </c:pt>
                <c:pt idx="268">
                  <c:v>20.44392475951005</c:v>
                </c:pt>
                <c:pt idx="269">
                  <c:v>21.621959950228433</c:v>
                </c:pt>
                <c:pt idx="270">
                  <c:v>20.083044566581158</c:v>
                </c:pt>
                <c:pt idx="271">
                  <c:v>20.805806408361825</c:v>
                </c:pt>
                <c:pt idx="272">
                  <c:v>21.777595876011052</c:v>
                </c:pt>
                <c:pt idx="273">
                  <c:v>19.989521371440855</c:v>
                </c:pt>
                <c:pt idx="274">
                  <c:v>18.937800742240892</c:v>
                </c:pt>
                <c:pt idx="275">
                  <c:v>20.837427030843404</c:v>
                </c:pt>
                <c:pt idx="276">
                  <c:v>24.011673914100051</c:v>
                </c:pt>
                <c:pt idx="277">
                  <c:v>19.443500769889351</c:v>
                </c:pt>
                <c:pt idx="278">
                  <c:v>20.598347136490027</c:v>
                </c:pt>
                <c:pt idx="279">
                  <c:v>20.059864461217821</c:v>
                </c:pt>
                <c:pt idx="280">
                  <c:v>20.760530163595227</c:v>
                </c:pt>
                <c:pt idx="281">
                  <c:v>24.834045568198377</c:v>
                </c:pt>
                <c:pt idx="282">
                  <c:v>27.83679647380351</c:v>
                </c:pt>
                <c:pt idx="283">
                  <c:v>23.356258830422131</c:v>
                </c:pt>
                <c:pt idx="284">
                  <c:v>20.147759076591367</c:v>
                </c:pt>
                <c:pt idx="285">
                  <c:v>17.338068796874463</c:v>
                </c:pt>
                <c:pt idx="286">
                  <c:v>16.902919323094217</c:v>
                </c:pt>
                <c:pt idx="287">
                  <c:v>14.931997880424325</c:v>
                </c:pt>
                <c:pt idx="288">
                  <c:v>13.023773379929438</c:v>
                </c:pt>
                <c:pt idx="289">
                  <c:v>12.901180415904257</c:v>
                </c:pt>
                <c:pt idx="290">
                  <c:v>15.425933365798375</c:v>
                </c:pt>
                <c:pt idx="291">
                  <c:v>17.18217111353211</c:v>
                </c:pt>
                <c:pt idx="292">
                  <c:v>15.796281205052725</c:v>
                </c:pt>
                <c:pt idx="293">
                  <c:v>15.864588984422786</c:v>
                </c:pt>
                <c:pt idx="294">
                  <c:v>15.158318240864071</c:v>
                </c:pt>
                <c:pt idx="295">
                  <c:v>14.351465064628899</c:v>
                </c:pt>
                <c:pt idx="296">
                  <c:v>16.268447564170476</c:v>
                </c:pt>
                <c:pt idx="297">
                  <c:v>15.31372061355186</c:v>
                </c:pt>
                <c:pt idx="298">
                  <c:v>15.317439132083896</c:v>
                </c:pt>
                <c:pt idx="299">
                  <c:v>15.774825305892875</c:v>
                </c:pt>
                <c:pt idx="300">
                  <c:v>15.880291505873782</c:v>
                </c:pt>
                <c:pt idx="301">
                  <c:v>16.324325890572116</c:v>
                </c:pt>
                <c:pt idx="302">
                  <c:v>15.557337896941265</c:v>
                </c:pt>
                <c:pt idx="303">
                  <c:v>19.502271150140967</c:v>
                </c:pt>
                <c:pt idx="304">
                  <c:v>13.072235679481309</c:v>
                </c:pt>
                <c:pt idx="305">
                  <c:v>13.51557938572466</c:v>
                </c:pt>
                <c:pt idx="306">
                  <c:v>11.975866711440997</c:v>
                </c:pt>
                <c:pt idx="307">
                  <c:v>14.065124277456054</c:v>
                </c:pt>
                <c:pt idx="308">
                  <c:v>14.175689064697996</c:v>
                </c:pt>
                <c:pt idx="309">
                  <c:v>13.681898628160887</c:v>
                </c:pt>
                <c:pt idx="310">
                  <c:v>12.409743559956539</c:v>
                </c:pt>
                <c:pt idx="311">
                  <c:v>10.525496124774602</c:v>
                </c:pt>
                <c:pt idx="312">
                  <c:v>9.2362937151852087</c:v>
                </c:pt>
                <c:pt idx="313">
                  <c:v>11.151908788405564</c:v>
                </c:pt>
                <c:pt idx="314">
                  <c:v>8.0167333766433764</c:v>
                </c:pt>
                <c:pt idx="315">
                  <c:v>10.074249257543674</c:v>
                </c:pt>
                <c:pt idx="316">
                  <c:v>10.163720773206197</c:v>
                </c:pt>
                <c:pt idx="317">
                  <c:v>10.199543598330679</c:v>
                </c:pt>
                <c:pt idx="318">
                  <c:v>11.091795731149514</c:v>
                </c:pt>
                <c:pt idx="319">
                  <c:v>12.613570434989116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F53-3E43-BDD5-DC63EFB2B8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576608"/>
        <c:axId val="674579728"/>
      </c:scatterChart>
      <c:valAx>
        <c:axId val="674576608"/>
        <c:scaling>
          <c:orientation val="minMax"/>
          <c:max val="16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50460104986876597"/>
              <c:y val="0.88412609323488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9728"/>
        <c:crossesAt val="0"/>
        <c:crossBetween val="midCat"/>
        <c:majorUnit val="10"/>
      </c:valAx>
      <c:valAx>
        <c:axId val="674579728"/>
        <c:scaling>
          <c:orientation val="minMax"/>
          <c:max val="100"/>
          <c:min val="-60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Symbol"/>
                  </a:rPr>
                  <a:t>% D</a:t>
                </a: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R/R</a:t>
                </a:r>
                <a:r>
                  <a:rPr lang="en-US" sz="1400" b="0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0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10871861805317801"/>
              <c:y val="0.4041593677194850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6608"/>
        <c:crossesAt val="0"/>
        <c:crossBetween val="midCat"/>
      </c:valAx>
      <c:spPr>
        <a:solidFill>
          <a:sysClr val="window" lastClr="FFFFFF"/>
        </a:solidFill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889694343762601"/>
          <c:y val="0.20035596321915899"/>
          <c:w val="0.65156849851686605"/>
          <c:h val="0.60479122848313205"/>
        </c:manualLayout>
      </c:layout>
      <c:scatterChart>
        <c:scatterStyle val="lineMarker"/>
        <c:varyColors val="0"/>
        <c:ser>
          <c:idx val="0"/>
          <c:order val="0"/>
          <c:tx>
            <c:v>mScarlet</c:v>
          </c:tx>
          <c:marker>
            <c:symbol val="none"/>
          </c:marker>
          <c:xVal>
            <c:numRef>
              <c:f>'240807B014'!$A$2:$A$321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'240807B014'!$J$2:$J$321</c:f>
              <c:numCache>
                <c:formatCode>0.0</c:formatCode>
                <c:ptCount val="320"/>
                <c:pt idx="0">
                  <c:v>326.8855088757</c:v>
                </c:pt>
                <c:pt idx="1">
                  <c:v>327.98539569628002</c:v>
                </c:pt>
                <c:pt idx="2">
                  <c:v>330.92303295625004</c:v>
                </c:pt>
                <c:pt idx="3">
                  <c:v>323.27275325311996</c:v>
                </c:pt>
                <c:pt idx="4">
                  <c:v>318.50988712936999</c:v>
                </c:pt>
                <c:pt idx="5">
                  <c:v>328.76455341709004</c:v>
                </c:pt>
                <c:pt idx="6">
                  <c:v>318.82044804177002</c:v>
                </c:pt>
                <c:pt idx="7">
                  <c:v>289.82075745764001</c:v>
                </c:pt>
                <c:pt idx="8">
                  <c:v>235.34443375948001</c:v>
                </c:pt>
                <c:pt idx="9">
                  <c:v>192.13139808717</c:v>
                </c:pt>
                <c:pt idx="10">
                  <c:v>194.98199621769004</c:v>
                </c:pt>
                <c:pt idx="11">
                  <c:v>293.33065561507999</c:v>
                </c:pt>
                <c:pt idx="12">
                  <c:v>303.51723906504998</c:v>
                </c:pt>
                <c:pt idx="13">
                  <c:v>377.37159199232002</c:v>
                </c:pt>
                <c:pt idx="14">
                  <c:v>376.85766898368001</c:v>
                </c:pt>
                <c:pt idx="15">
                  <c:v>372.43389117740998</c:v>
                </c:pt>
                <c:pt idx="16">
                  <c:v>374.93719254832001</c:v>
                </c:pt>
                <c:pt idx="17">
                  <c:v>367.33262614788998</c:v>
                </c:pt>
                <c:pt idx="18">
                  <c:v>372.55994752721</c:v>
                </c:pt>
                <c:pt idx="19">
                  <c:v>367.86413349319002</c:v>
                </c:pt>
                <c:pt idx="20">
                  <c:v>367.29288838113996</c:v>
                </c:pt>
                <c:pt idx="21">
                  <c:v>363.34086578848002</c:v>
                </c:pt>
                <c:pt idx="22">
                  <c:v>364.30312201257004</c:v>
                </c:pt>
                <c:pt idx="23">
                  <c:v>362.85704324449</c:v>
                </c:pt>
                <c:pt idx="24">
                  <c:v>364.29996956255002</c:v>
                </c:pt>
                <c:pt idx="25">
                  <c:v>361.73207010569996</c:v>
                </c:pt>
                <c:pt idx="26">
                  <c:v>368.18120427687001</c:v>
                </c:pt>
                <c:pt idx="27">
                  <c:v>362.88220477772995</c:v>
                </c:pt>
                <c:pt idx="28">
                  <c:v>358.72677187683996</c:v>
                </c:pt>
                <c:pt idx="29">
                  <c:v>354.88032295694995</c:v>
                </c:pt>
                <c:pt idx="30">
                  <c:v>363.77083927414003</c:v>
                </c:pt>
                <c:pt idx="31">
                  <c:v>365.63952478227998</c:v>
                </c:pt>
                <c:pt idx="32">
                  <c:v>367.29821100962999</c:v>
                </c:pt>
                <c:pt idx="33">
                  <c:v>368.45422198444999</c:v>
                </c:pt>
                <c:pt idx="34">
                  <c:v>372.73691488905001</c:v>
                </c:pt>
                <c:pt idx="35">
                  <c:v>367.19584892661999</c:v>
                </c:pt>
                <c:pt idx="36">
                  <c:v>366.60649593334</c:v>
                </c:pt>
                <c:pt idx="37">
                  <c:v>366.95202399367997</c:v>
                </c:pt>
                <c:pt idx="38">
                  <c:v>370.67096444100002</c:v>
                </c:pt>
                <c:pt idx="39">
                  <c:v>369.36867257507998</c:v>
                </c:pt>
                <c:pt idx="40">
                  <c:v>365.24331360357002</c:v>
                </c:pt>
                <c:pt idx="41">
                  <c:v>362.17891260020997</c:v>
                </c:pt>
                <c:pt idx="42">
                  <c:v>364.09569335126997</c:v>
                </c:pt>
                <c:pt idx="43">
                  <c:v>360.62199700458001</c:v>
                </c:pt>
                <c:pt idx="44">
                  <c:v>348.9176283402</c:v>
                </c:pt>
                <c:pt idx="45">
                  <c:v>357.80436240098999</c:v>
                </c:pt>
                <c:pt idx="46">
                  <c:v>357.54720344739002</c:v>
                </c:pt>
                <c:pt idx="47">
                  <c:v>364.11977298686003</c:v>
                </c:pt>
                <c:pt idx="48">
                  <c:v>366.53737759011</c:v>
                </c:pt>
                <c:pt idx="49">
                  <c:v>366.17164168528996</c:v>
                </c:pt>
                <c:pt idx="50">
                  <c:v>370.04391971152</c:v>
                </c:pt>
                <c:pt idx="51">
                  <c:v>372.06903796852004</c:v>
                </c:pt>
                <c:pt idx="52">
                  <c:v>373.58750073609997</c:v>
                </c:pt>
                <c:pt idx="53">
                  <c:v>376.54821903581001</c:v>
                </c:pt>
                <c:pt idx="54">
                  <c:v>375.25257447727006</c:v>
                </c:pt>
                <c:pt idx="55">
                  <c:v>378.16434393461003</c:v>
                </c:pt>
                <c:pt idx="56">
                  <c:v>382.53196322887999</c:v>
                </c:pt>
                <c:pt idx="57">
                  <c:v>385.22837078049997</c:v>
                </c:pt>
                <c:pt idx="58">
                  <c:v>382.22272097230001</c:v>
                </c:pt>
                <c:pt idx="59">
                  <c:v>380.92862470871</c:v>
                </c:pt>
                <c:pt idx="60">
                  <c:v>383.20605732709004</c:v>
                </c:pt>
                <c:pt idx="61">
                  <c:v>384.40327815399002</c:v>
                </c:pt>
                <c:pt idx="62">
                  <c:v>382.73310880138001</c:v>
                </c:pt>
                <c:pt idx="63">
                  <c:v>383.52843882622</c:v>
                </c:pt>
                <c:pt idx="64">
                  <c:v>382.76615125660999</c:v>
                </c:pt>
                <c:pt idx="65">
                  <c:v>380.85312324142001</c:v>
                </c:pt>
                <c:pt idx="66">
                  <c:v>380.89870568373999</c:v>
                </c:pt>
                <c:pt idx="67">
                  <c:v>371.24648283624003</c:v>
                </c:pt>
                <c:pt idx="68">
                  <c:v>379.59163920832003</c:v>
                </c:pt>
                <c:pt idx="69">
                  <c:v>378.29658524846997</c:v>
                </c:pt>
                <c:pt idx="70">
                  <c:v>378.42019930436004</c:v>
                </c:pt>
                <c:pt idx="71">
                  <c:v>379.02236039329</c:v>
                </c:pt>
                <c:pt idx="72">
                  <c:v>363.77608357080999</c:v>
                </c:pt>
                <c:pt idx="73">
                  <c:v>375.58476940985003</c:v>
                </c:pt>
                <c:pt idx="74">
                  <c:v>379.21462483271</c:v>
                </c:pt>
                <c:pt idx="75">
                  <c:v>379.53545301068999</c:v>
                </c:pt>
                <c:pt idx="76">
                  <c:v>377.26488451070998</c:v>
                </c:pt>
                <c:pt idx="77">
                  <c:v>377.03734935802004</c:v>
                </c:pt>
                <c:pt idx="78">
                  <c:v>379.92431505703001</c:v>
                </c:pt>
                <c:pt idx="79">
                  <c:v>373.19991764073001</c:v>
                </c:pt>
                <c:pt idx="80">
                  <c:v>371.92706929163</c:v>
                </c:pt>
                <c:pt idx="81">
                  <c:v>372.98364501098001</c:v>
                </c:pt>
                <c:pt idx="82">
                  <c:v>370.27689133064996</c:v>
                </c:pt>
                <c:pt idx="83">
                  <c:v>365.14843306903003</c:v>
                </c:pt>
                <c:pt idx="84">
                  <c:v>372.49114266516</c:v>
                </c:pt>
                <c:pt idx="85">
                  <c:v>373.08975060211998</c:v>
                </c:pt>
                <c:pt idx="86">
                  <c:v>362.81905894822</c:v>
                </c:pt>
                <c:pt idx="87">
                  <c:v>359.68753446149998</c:v>
                </c:pt>
                <c:pt idx="88">
                  <c:v>360.48961065727002</c:v>
                </c:pt>
                <c:pt idx="89">
                  <c:v>372.70537327777004</c:v>
                </c:pt>
                <c:pt idx="90">
                  <c:v>369.56841507907001</c:v>
                </c:pt>
                <c:pt idx="91">
                  <c:v>361.27703521272997</c:v>
                </c:pt>
                <c:pt idx="92">
                  <c:v>359.85031362034999</c:v>
                </c:pt>
                <c:pt idx="93">
                  <c:v>359.00005785537002</c:v>
                </c:pt>
                <c:pt idx="94">
                  <c:v>358.50043628637997</c:v>
                </c:pt>
                <c:pt idx="95">
                  <c:v>358.37122944237001</c:v>
                </c:pt>
                <c:pt idx="96">
                  <c:v>358.51439555368</c:v>
                </c:pt>
                <c:pt idx="97">
                  <c:v>354.41833358911998</c:v>
                </c:pt>
                <c:pt idx="98">
                  <c:v>352.77276864184</c:v>
                </c:pt>
                <c:pt idx="99">
                  <c:v>348.72464859799999</c:v>
                </c:pt>
                <c:pt idx="100">
                  <c:v>350.38782613343</c:v>
                </c:pt>
                <c:pt idx="101">
                  <c:v>357.42895139089001</c:v>
                </c:pt>
                <c:pt idx="102">
                  <c:v>350.75940825462999</c:v>
                </c:pt>
                <c:pt idx="103">
                  <c:v>350.57678029913001</c:v>
                </c:pt>
                <c:pt idx="104">
                  <c:v>341.02012634048998</c:v>
                </c:pt>
                <c:pt idx="105">
                  <c:v>344.44688769646996</c:v>
                </c:pt>
                <c:pt idx="106">
                  <c:v>348.84975722653002</c:v>
                </c:pt>
                <c:pt idx="107">
                  <c:v>349.87656867484998</c:v>
                </c:pt>
                <c:pt idx="108">
                  <c:v>347.95107436968999</c:v>
                </c:pt>
                <c:pt idx="109">
                  <c:v>351.43087338399005</c:v>
                </c:pt>
                <c:pt idx="110">
                  <c:v>340.48812567852002</c:v>
                </c:pt>
                <c:pt idx="111">
                  <c:v>343.9265171106</c:v>
                </c:pt>
                <c:pt idx="112">
                  <c:v>338.10717003011001</c:v>
                </c:pt>
                <c:pt idx="113">
                  <c:v>341.96673362420995</c:v>
                </c:pt>
                <c:pt idx="114">
                  <c:v>337.01701581745999</c:v>
                </c:pt>
                <c:pt idx="115">
                  <c:v>346.38649232271996</c:v>
                </c:pt>
                <c:pt idx="116">
                  <c:v>349.51851574186998</c:v>
                </c:pt>
                <c:pt idx="117">
                  <c:v>346.58832977556</c:v>
                </c:pt>
                <c:pt idx="118">
                  <c:v>345.35188834360997</c:v>
                </c:pt>
                <c:pt idx="119">
                  <c:v>343.03156723245002</c:v>
                </c:pt>
                <c:pt idx="120">
                  <c:v>336.66824413754</c:v>
                </c:pt>
                <c:pt idx="121">
                  <c:v>336.01754793560002</c:v>
                </c:pt>
                <c:pt idx="122">
                  <c:v>333.45383028957997</c:v>
                </c:pt>
                <c:pt idx="123">
                  <c:v>333.71899472779</c:v>
                </c:pt>
                <c:pt idx="124">
                  <c:v>331.7940851916</c:v>
                </c:pt>
                <c:pt idx="125">
                  <c:v>334.94076640372998</c:v>
                </c:pt>
                <c:pt idx="126">
                  <c:v>332.49313952646997</c:v>
                </c:pt>
                <c:pt idx="127">
                  <c:v>329.27697016187</c:v>
                </c:pt>
                <c:pt idx="128">
                  <c:v>332.61307683456005</c:v>
                </c:pt>
                <c:pt idx="129">
                  <c:v>331.77739147431998</c:v>
                </c:pt>
                <c:pt idx="130">
                  <c:v>334.15273690667004</c:v>
                </c:pt>
                <c:pt idx="131">
                  <c:v>330.65412227399997</c:v>
                </c:pt>
                <c:pt idx="132">
                  <c:v>314.56577340971</c:v>
                </c:pt>
                <c:pt idx="133">
                  <c:v>305.78697466758001</c:v>
                </c:pt>
                <c:pt idx="134">
                  <c:v>308.33424282214003</c:v>
                </c:pt>
                <c:pt idx="135">
                  <c:v>305.80607487997997</c:v>
                </c:pt>
                <c:pt idx="136">
                  <c:v>319.50009128577005</c:v>
                </c:pt>
                <c:pt idx="137">
                  <c:v>336.72197379139004</c:v>
                </c:pt>
                <c:pt idx="138">
                  <c:v>337.49370624397</c:v>
                </c:pt>
                <c:pt idx="139">
                  <c:v>338.68234582076002</c:v>
                </c:pt>
                <c:pt idx="140">
                  <c:v>343.70377298036999</c:v>
                </c:pt>
                <c:pt idx="141">
                  <c:v>340.10269331338998</c:v>
                </c:pt>
                <c:pt idx="142">
                  <c:v>349.68679680543005</c:v>
                </c:pt>
                <c:pt idx="143">
                  <c:v>349.46248528032004</c:v>
                </c:pt>
                <c:pt idx="144">
                  <c:v>349.56977640048001</c:v>
                </c:pt>
                <c:pt idx="145">
                  <c:v>337.47445411712999</c:v>
                </c:pt>
                <c:pt idx="146">
                  <c:v>353.73693994222998</c:v>
                </c:pt>
                <c:pt idx="147">
                  <c:v>344.53327402707998</c:v>
                </c:pt>
                <c:pt idx="148">
                  <c:v>337.26241464597001</c:v>
                </c:pt>
                <c:pt idx="149">
                  <c:v>339.33062124417</c:v>
                </c:pt>
                <c:pt idx="150">
                  <c:v>337.55036547099002</c:v>
                </c:pt>
                <c:pt idx="151">
                  <c:v>337.69265421506998</c:v>
                </c:pt>
                <c:pt idx="152">
                  <c:v>348.00695379986001</c:v>
                </c:pt>
                <c:pt idx="153">
                  <c:v>342.14562336931999</c:v>
                </c:pt>
                <c:pt idx="154">
                  <c:v>344.41612018388997</c:v>
                </c:pt>
                <c:pt idx="155">
                  <c:v>347.74167486153999</c:v>
                </c:pt>
                <c:pt idx="156">
                  <c:v>351.85889647122002</c:v>
                </c:pt>
                <c:pt idx="157">
                  <c:v>350.11839964126</c:v>
                </c:pt>
                <c:pt idx="158">
                  <c:v>338.21105523169001</c:v>
                </c:pt>
                <c:pt idx="159">
                  <c:v>335.84220463128997</c:v>
                </c:pt>
                <c:pt idx="160">
                  <c:v>343.49941311795999</c:v>
                </c:pt>
                <c:pt idx="161">
                  <c:v>351.14336668429002</c:v>
                </c:pt>
                <c:pt idx="162">
                  <c:v>350.67298332998001</c:v>
                </c:pt>
                <c:pt idx="163">
                  <c:v>364.01283679948995</c:v>
                </c:pt>
                <c:pt idx="164">
                  <c:v>355.10750259577003</c:v>
                </c:pt>
                <c:pt idx="165">
                  <c:v>347.89801130467998</c:v>
                </c:pt>
                <c:pt idx="166">
                  <c:v>347.27025428423002</c:v>
                </c:pt>
                <c:pt idx="167">
                  <c:v>345.77871158278003</c:v>
                </c:pt>
                <c:pt idx="168">
                  <c:v>365.11572602317005</c:v>
                </c:pt>
                <c:pt idx="169">
                  <c:v>367.47227732839997</c:v>
                </c:pt>
                <c:pt idx="170">
                  <c:v>360.97431275649001</c:v>
                </c:pt>
                <c:pt idx="171">
                  <c:v>361.34985310995</c:v>
                </c:pt>
                <c:pt idx="172">
                  <c:v>367.72406793777998</c:v>
                </c:pt>
                <c:pt idx="173">
                  <c:v>351.37261950615004</c:v>
                </c:pt>
                <c:pt idx="174">
                  <c:v>370.04409105428999</c:v>
                </c:pt>
                <c:pt idx="175">
                  <c:v>373.74334318007004</c:v>
                </c:pt>
                <c:pt idx="176">
                  <c:v>369.61194747154002</c:v>
                </c:pt>
                <c:pt idx="177">
                  <c:v>361.06355469594001</c:v>
                </c:pt>
                <c:pt idx="178">
                  <c:v>354.29738788031</c:v>
                </c:pt>
                <c:pt idx="179">
                  <c:v>357.93533431381002</c:v>
                </c:pt>
                <c:pt idx="180">
                  <c:v>359.18417910776998</c:v>
                </c:pt>
                <c:pt idx="181">
                  <c:v>357.05538084676999</c:v>
                </c:pt>
                <c:pt idx="182">
                  <c:v>352.29349594649</c:v>
                </c:pt>
                <c:pt idx="183">
                  <c:v>360.79899179908</c:v>
                </c:pt>
                <c:pt idx="184">
                  <c:v>351.82158352987</c:v>
                </c:pt>
                <c:pt idx="185">
                  <c:v>358.32419622033001</c:v>
                </c:pt>
                <c:pt idx="186">
                  <c:v>359.88344036265994</c:v>
                </c:pt>
                <c:pt idx="187">
                  <c:v>370.71308895787001</c:v>
                </c:pt>
                <c:pt idx="188">
                  <c:v>356.16339611319</c:v>
                </c:pt>
                <c:pt idx="189">
                  <c:v>346.96390611027999</c:v>
                </c:pt>
                <c:pt idx="190">
                  <c:v>367.10826177035</c:v>
                </c:pt>
                <c:pt idx="191">
                  <c:v>352.95030042572</c:v>
                </c:pt>
                <c:pt idx="192">
                  <c:v>351.74832532535004</c:v>
                </c:pt>
                <c:pt idx="193">
                  <c:v>370.29950627937001</c:v>
                </c:pt>
                <c:pt idx="194">
                  <c:v>356.90408215715001</c:v>
                </c:pt>
                <c:pt idx="195">
                  <c:v>347.70488058171998</c:v>
                </c:pt>
                <c:pt idx="196">
                  <c:v>352.18052702020003</c:v>
                </c:pt>
                <c:pt idx="197">
                  <c:v>357.02997453882</c:v>
                </c:pt>
                <c:pt idx="198">
                  <c:v>353.30486641024999</c:v>
                </c:pt>
                <c:pt idx="199">
                  <c:v>358.98984937443998</c:v>
                </c:pt>
                <c:pt idx="200">
                  <c:v>351.17080312013002</c:v>
                </c:pt>
                <c:pt idx="201">
                  <c:v>358.43431617464</c:v>
                </c:pt>
                <c:pt idx="202">
                  <c:v>360.39339349902002</c:v>
                </c:pt>
                <c:pt idx="203">
                  <c:v>356.70263394373995</c:v>
                </c:pt>
                <c:pt idx="204">
                  <c:v>358.09551951360999</c:v>
                </c:pt>
                <c:pt idx="205">
                  <c:v>359.13132102617999</c:v>
                </c:pt>
                <c:pt idx="206">
                  <c:v>363.36917350836001</c:v>
                </c:pt>
                <c:pt idx="207">
                  <c:v>362.25049721880004</c:v>
                </c:pt>
                <c:pt idx="208">
                  <c:v>361.25111270271998</c:v>
                </c:pt>
                <c:pt idx="209">
                  <c:v>348.44106953826997</c:v>
                </c:pt>
                <c:pt idx="210">
                  <c:v>347.76718960274002</c:v>
                </c:pt>
                <c:pt idx="211">
                  <c:v>342.71319581714005</c:v>
                </c:pt>
                <c:pt idx="212">
                  <c:v>344.53406028454003</c:v>
                </c:pt>
                <c:pt idx="213">
                  <c:v>348.03683175458997</c:v>
                </c:pt>
                <c:pt idx="214">
                  <c:v>341.31375441579996</c:v>
                </c:pt>
                <c:pt idx="215">
                  <c:v>343.19944341227</c:v>
                </c:pt>
                <c:pt idx="216">
                  <c:v>340.95768311952997</c:v>
                </c:pt>
                <c:pt idx="217">
                  <c:v>342.92761437399997</c:v>
                </c:pt>
                <c:pt idx="218">
                  <c:v>342.70888394325999</c:v>
                </c:pt>
                <c:pt idx="219">
                  <c:v>343.74689963291002</c:v>
                </c:pt>
                <c:pt idx="220">
                  <c:v>343.47893252292999</c:v>
                </c:pt>
                <c:pt idx="221">
                  <c:v>343.14317727573996</c:v>
                </c:pt>
                <c:pt idx="222">
                  <c:v>352.30095894354002</c:v>
                </c:pt>
                <c:pt idx="223">
                  <c:v>353.79706506212</c:v>
                </c:pt>
                <c:pt idx="224">
                  <c:v>357.17428543712998</c:v>
                </c:pt>
                <c:pt idx="225">
                  <c:v>354.42471381623</c:v>
                </c:pt>
                <c:pt idx="226">
                  <c:v>356.06395084486002</c:v>
                </c:pt>
                <c:pt idx="227">
                  <c:v>351.54891136574003</c:v>
                </c:pt>
                <c:pt idx="228">
                  <c:v>355.37379808186</c:v>
                </c:pt>
                <c:pt idx="229">
                  <c:v>332.78575421104</c:v>
                </c:pt>
                <c:pt idx="230">
                  <c:v>349.87406365636002</c:v>
                </c:pt>
                <c:pt idx="231">
                  <c:v>345.97591534730003</c:v>
                </c:pt>
                <c:pt idx="232">
                  <c:v>343.29411056557001</c:v>
                </c:pt>
                <c:pt idx="233">
                  <c:v>344.25480869947</c:v>
                </c:pt>
                <c:pt idx="234">
                  <c:v>344.94915061976002</c:v>
                </c:pt>
                <c:pt idx="235">
                  <c:v>353.52613926087997</c:v>
                </c:pt>
                <c:pt idx="236">
                  <c:v>342.53078404986002</c:v>
                </c:pt>
                <c:pt idx="237">
                  <c:v>352.74763959232001</c:v>
                </c:pt>
                <c:pt idx="238">
                  <c:v>347.14556452670001</c:v>
                </c:pt>
                <c:pt idx="239">
                  <c:v>347.41568617910002</c:v>
                </c:pt>
                <c:pt idx="240">
                  <c:v>340.90004603712998</c:v>
                </c:pt>
                <c:pt idx="241">
                  <c:v>346.30908132077997</c:v>
                </c:pt>
                <c:pt idx="242">
                  <c:v>341.05852402509004</c:v>
                </c:pt>
                <c:pt idx="243">
                  <c:v>347.21073407571998</c:v>
                </c:pt>
                <c:pt idx="244">
                  <c:v>337.42756262013</c:v>
                </c:pt>
                <c:pt idx="245">
                  <c:v>342.79273972087003</c:v>
                </c:pt>
                <c:pt idx="246">
                  <c:v>341.71609754309998</c:v>
                </c:pt>
                <c:pt idx="247">
                  <c:v>344.69368153873</c:v>
                </c:pt>
                <c:pt idx="248">
                  <c:v>345.29795626125997</c:v>
                </c:pt>
                <c:pt idx="249">
                  <c:v>353.25660215675998</c:v>
                </c:pt>
                <c:pt idx="250">
                  <c:v>350.64989666133999</c:v>
                </c:pt>
                <c:pt idx="251">
                  <c:v>350.07172410223995</c:v>
                </c:pt>
                <c:pt idx="252">
                  <c:v>347.38567051857001</c:v>
                </c:pt>
                <c:pt idx="253">
                  <c:v>348.64907740237999</c:v>
                </c:pt>
                <c:pt idx="254">
                  <c:v>344.42945551859003</c:v>
                </c:pt>
                <c:pt idx="255">
                  <c:v>346.52202458597998</c:v>
                </c:pt>
                <c:pt idx="256">
                  <c:v>353.14235203897999</c:v>
                </c:pt>
                <c:pt idx="257">
                  <c:v>353.2401675031</c:v>
                </c:pt>
                <c:pt idx="258">
                  <c:v>355.47672647002003</c:v>
                </c:pt>
                <c:pt idx="259">
                  <c:v>342.50849544881999</c:v>
                </c:pt>
                <c:pt idx="260">
                  <c:v>342.72104250550001</c:v>
                </c:pt>
                <c:pt idx="261">
                  <c:v>345.39595846483996</c:v>
                </c:pt>
                <c:pt idx="262">
                  <c:v>338.98030388294001</c:v>
                </c:pt>
                <c:pt idx="263">
                  <c:v>342.76308384917996</c:v>
                </c:pt>
                <c:pt idx="264">
                  <c:v>340.71243669105002</c:v>
                </c:pt>
                <c:pt idx="265">
                  <c:v>344.16994935283998</c:v>
                </c:pt>
                <c:pt idx="266">
                  <c:v>345.36317510190997</c:v>
                </c:pt>
                <c:pt idx="267">
                  <c:v>340.60085716895003</c:v>
                </c:pt>
                <c:pt idx="268">
                  <c:v>340.2833261239</c:v>
                </c:pt>
                <c:pt idx="269">
                  <c:v>340.52169100651997</c:v>
                </c:pt>
                <c:pt idx="270">
                  <c:v>331.99882395206998</c:v>
                </c:pt>
                <c:pt idx="271">
                  <c:v>340.15700619020004</c:v>
                </c:pt>
                <c:pt idx="272">
                  <c:v>343.48227349465998</c:v>
                </c:pt>
                <c:pt idx="273">
                  <c:v>342.83398987057001</c:v>
                </c:pt>
                <c:pt idx="274">
                  <c:v>341.35846933033002</c:v>
                </c:pt>
                <c:pt idx="275">
                  <c:v>344.52054023636003</c:v>
                </c:pt>
                <c:pt idx="276">
                  <c:v>343.19020821609996</c:v>
                </c:pt>
                <c:pt idx="277">
                  <c:v>334.8851997749</c:v>
                </c:pt>
                <c:pt idx="278">
                  <c:v>338.05783549210997</c:v>
                </c:pt>
                <c:pt idx="279">
                  <c:v>338.35471232949999</c:v>
                </c:pt>
                <c:pt idx="280">
                  <c:v>334.78341900632</c:v>
                </c:pt>
                <c:pt idx="281">
                  <c:v>332.63568914340999</c:v>
                </c:pt>
                <c:pt idx="282">
                  <c:v>333.93315111075003</c:v>
                </c:pt>
                <c:pt idx="283">
                  <c:v>331.29198375776997</c:v>
                </c:pt>
                <c:pt idx="284">
                  <c:v>326.28066958907999</c:v>
                </c:pt>
                <c:pt idx="285">
                  <c:v>326.39974706404996</c:v>
                </c:pt>
                <c:pt idx="286">
                  <c:v>324.85739701949001</c:v>
                </c:pt>
                <c:pt idx="287">
                  <c:v>325.83145546114997</c:v>
                </c:pt>
                <c:pt idx="288">
                  <c:v>323.67150077121005</c:v>
                </c:pt>
                <c:pt idx="289">
                  <c:v>321.43403102709999</c:v>
                </c:pt>
                <c:pt idx="290">
                  <c:v>320.38514249030999</c:v>
                </c:pt>
                <c:pt idx="291">
                  <c:v>321.49250928942001</c:v>
                </c:pt>
                <c:pt idx="292">
                  <c:v>317.27463845213003</c:v>
                </c:pt>
                <c:pt idx="293">
                  <c:v>300.35965794625997</c:v>
                </c:pt>
                <c:pt idx="294">
                  <c:v>327.27199116476004</c:v>
                </c:pt>
                <c:pt idx="295">
                  <c:v>326.51866189780998</c:v>
                </c:pt>
                <c:pt idx="296">
                  <c:v>323.83323733915</c:v>
                </c:pt>
                <c:pt idx="297">
                  <c:v>322.30649902620996</c:v>
                </c:pt>
                <c:pt idx="298">
                  <c:v>321.31727397933997</c:v>
                </c:pt>
                <c:pt idx="299">
                  <c:v>325.42973918538996</c:v>
                </c:pt>
                <c:pt idx="300">
                  <c:v>323.89185453200002</c:v>
                </c:pt>
                <c:pt idx="301">
                  <c:v>315.05048853169001</c:v>
                </c:pt>
                <c:pt idx="302">
                  <c:v>318.27326521209</c:v>
                </c:pt>
                <c:pt idx="303">
                  <c:v>322.98744396143002</c:v>
                </c:pt>
                <c:pt idx="304">
                  <c:v>321.19854680550003</c:v>
                </c:pt>
                <c:pt idx="305">
                  <c:v>322.55669447666003</c:v>
                </c:pt>
                <c:pt idx="306">
                  <c:v>308.35803279287001</c:v>
                </c:pt>
                <c:pt idx="307">
                  <c:v>325.05500023974002</c:v>
                </c:pt>
                <c:pt idx="308">
                  <c:v>316.91202295903003</c:v>
                </c:pt>
                <c:pt idx="309">
                  <c:v>309.40335685679997</c:v>
                </c:pt>
                <c:pt idx="310">
                  <c:v>334.15324187440001</c:v>
                </c:pt>
                <c:pt idx="311">
                  <c:v>333.10652094391003</c:v>
                </c:pt>
                <c:pt idx="312">
                  <c:v>332.14934678201001</c:v>
                </c:pt>
                <c:pt idx="313">
                  <c:v>331.54043119875001</c:v>
                </c:pt>
                <c:pt idx="314">
                  <c:v>328.70593068811002</c:v>
                </c:pt>
                <c:pt idx="315">
                  <c:v>325.86734789905</c:v>
                </c:pt>
                <c:pt idx="316">
                  <c:v>332.93953509964001</c:v>
                </c:pt>
                <c:pt idx="317">
                  <c:v>331.61965525322</c:v>
                </c:pt>
                <c:pt idx="318">
                  <c:v>332.58632406727997</c:v>
                </c:pt>
                <c:pt idx="319">
                  <c:v>330.18454349029997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3E-7142-AFC5-BACC30D30B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302160"/>
        <c:axId val="674749232"/>
      </c:scatterChart>
      <c:valAx>
        <c:axId val="674302160"/>
        <c:scaling>
          <c:orientation val="minMax"/>
          <c:max val="16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49587444918009099"/>
              <c:y val="0.904319983257905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749232"/>
        <c:crossesAt val="0"/>
        <c:crossBetween val="midCat"/>
        <c:majorUnit val="10"/>
      </c:valAx>
      <c:valAx>
        <c:axId val="674749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mScarlet</a:t>
                </a:r>
              </a:p>
            </c:rich>
          </c:tx>
          <c:layout>
            <c:manualLayout>
              <c:xMode val="edge"/>
              <c:yMode val="edge"/>
              <c:x val="0.11342194610994701"/>
              <c:y val="0.3655863656577810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302160"/>
        <c:crossesAt val="0"/>
        <c:crossBetween val="midCat"/>
      </c:valAx>
      <c:spPr>
        <a:noFill/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corrected data</a:t>
            </a:r>
          </a:p>
        </c:rich>
      </c:tx>
      <c:layout>
        <c:manualLayout>
          <c:xMode val="edge"/>
          <c:yMode val="edge"/>
          <c:x val="0.46015862147666298"/>
          <c:y val="8.1002683653307303E-2"/>
        </c:manualLayout>
      </c:layout>
      <c:overlay val="1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889694343762601"/>
          <c:y val="0.19264140198482901"/>
          <c:w val="0.65156849851686605"/>
          <c:h val="0.61250578971746195"/>
        </c:manualLayout>
      </c:layout>
      <c:scatterChart>
        <c:scatterStyle val="lineMarker"/>
        <c:varyColors val="0"/>
        <c:ser>
          <c:idx val="1"/>
          <c:order val="0"/>
          <c:tx>
            <c:v>O2 Pulse Line</c:v>
          </c:tx>
          <c:marker>
            <c:symbol val="none"/>
          </c:marker>
          <c:xVal>
            <c:numRef>
              <c:f>'[1]Cond. B Template'!$A$82:$A$161</c:f>
              <c:numCache>
                <c:formatCode>General</c:formatCode>
                <c:ptCount val="80"/>
                <c:pt idx="0">
                  <c:v>40.5</c:v>
                </c:pt>
                <c:pt idx="1">
                  <c:v>41</c:v>
                </c:pt>
                <c:pt idx="2">
                  <c:v>41.5</c:v>
                </c:pt>
                <c:pt idx="3">
                  <c:v>42</c:v>
                </c:pt>
                <c:pt idx="4">
                  <c:v>42.5</c:v>
                </c:pt>
                <c:pt idx="5">
                  <c:v>43</c:v>
                </c:pt>
                <c:pt idx="6">
                  <c:v>43.5</c:v>
                </c:pt>
                <c:pt idx="7">
                  <c:v>44</c:v>
                </c:pt>
                <c:pt idx="8">
                  <c:v>44.5</c:v>
                </c:pt>
                <c:pt idx="9">
                  <c:v>45</c:v>
                </c:pt>
                <c:pt idx="10">
                  <c:v>45.5</c:v>
                </c:pt>
                <c:pt idx="11">
                  <c:v>46</c:v>
                </c:pt>
                <c:pt idx="12">
                  <c:v>46.5</c:v>
                </c:pt>
                <c:pt idx="13">
                  <c:v>47</c:v>
                </c:pt>
                <c:pt idx="14">
                  <c:v>47.5</c:v>
                </c:pt>
                <c:pt idx="15">
                  <c:v>48</c:v>
                </c:pt>
                <c:pt idx="16">
                  <c:v>48.5</c:v>
                </c:pt>
                <c:pt idx="17">
                  <c:v>49</c:v>
                </c:pt>
                <c:pt idx="18">
                  <c:v>49.5</c:v>
                </c:pt>
                <c:pt idx="19">
                  <c:v>50</c:v>
                </c:pt>
                <c:pt idx="20">
                  <c:v>50.5</c:v>
                </c:pt>
                <c:pt idx="21">
                  <c:v>51</c:v>
                </c:pt>
                <c:pt idx="22">
                  <c:v>51.5</c:v>
                </c:pt>
                <c:pt idx="23">
                  <c:v>52</c:v>
                </c:pt>
                <c:pt idx="24">
                  <c:v>52.5</c:v>
                </c:pt>
                <c:pt idx="25">
                  <c:v>53</c:v>
                </c:pt>
                <c:pt idx="26">
                  <c:v>53.5</c:v>
                </c:pt>
                <c:pt idx="27">
                  <c:v>54</c:v>
                </c:pt>
                <c:pt idx="28">
                  <c:v>54.5</c:v>
                </c:pt>
                <c:pt idx="29">
                  <c:v>55</c:v>
                </c:pt>
                <c:pt idx="30">
                  <c:v>55.5</c:v>
                </c:pt>
                <c:pt idx="31">
                  <c:v>56</c:v>
                </c:pt>
                <c:pt idx="32">
                  <c:v>56.5</c:v>
                </c:pt>
                <c:pt idx="33">
                  <c:v>57</c:v>
                </c:pt>
                <c:pt idx="34">
                  <c:v>57.5</c:v>
                </c:pt>
                <c:pt idx="35">
                  <c:v>58</c:v>
                </c:pt>
                <c:pt idx="36">
                  <c:v>58.5</c:v>
                </c:pt>
                <c:pt idx="37">
                  <c:v>59</c:v>
                </c:pt>
                <c:pt idx="38">
                  <c:v>59.5</c:v>
                </c:pt>
                <c:pt idx="39">
                  <c:v>60</c:v>
                </c:pt>
                <c:pt idx="40">
                  <c:v>60.5</c:v>
                </c:pt>
                <c:pt idx="41">
                  <c:v>61</c:v>
                </c:pt>
                <c:pt idx="42">
                  <c:v>61.5</c:v>
                </c:pt>
                <c:pt idx="43">
                  <c:v>62</c:v>
                </c:pt>
                <c:pt idx="44">
                  <c:v>62.5</c:v>
                </c:pt>
                <c:pt idx="45">
                  <c:v>63</c:v>
                </c:pt>
                <c:pt idx="46">
                  <c:v>63.5</c:v>
                </c:pt>
                <c:pt idx="47">
                  <c:v>64</c:v>
                </c:pt>
                <c:pt idx="48">
                  <c:v>64.5</c:v>
                </c:pt>
                <c:pt idx="49">
                  <c:v>65</c:v>
                </c:pt>
                <c:pt idx="50">
                  <c:v>65.5</c:v>
                </c:pt>
                <c:pt idx="51">
                  <c:v>66</c:v>
                </c:pt>
                <c:pt idx="52">
                  <c:v>66.5</c:v>
                </c:pt>
                <c:pt idx="53">
                  <c:v>67</c:v>
                </c:pt>
                <c:pt idx="54">
                  <c:v>67.5</c:v>
                </c:pt>
                <c:pt idx="55">
                  <c:v>68</c:v>
                </c:pt>
                <c:pt idx="56">
                  <c:v>68.5</c:v>
                </c:pt>
                <c:pt idx="57">
                  <c:v>69</c:v>
                </c:pt>
                <c:pt idx="58">
                  <c:v>69.5</c:v>
                </c:pt>
                <c:pt idx="59">
                  <c:v>70</c:v>
                </c:pt>
                <c:pt idx="60">
                  <c:v>70.5</c:v>
                </c:pt>
                <c:pt idx="61">
                  <c:v>71</c:v>
                </c:pt>
                <c:pt idx="62">
                  <c:v>71.5</c:v>
                </c:pt>
                <c:pt idx="63">
                  <c:v>72</c:v>
                </c:pt>
                <c:pt idx="64">
                  <c:v>72.5</c:v>
                </c:pt>
                <c:pt idx="65">
                  <c:v>73</c:v>
                </c:pt>
                <c:pt idx="66">
                  <c:v>73.5</c:v>
                </c:pt>
                <c:pt idx="67">
                  <c:v>74</c:v>
                </c:pt>
                <c:pt idx="68">
                  <c:v>74.5</c:v>
                </c:pt>
                <c:pt idx="69">
                  <c:v>75</c:v>
                </c:pt>
                <c:pt idx="70">
                  <c:v>75.5</c:v>
                </c:pt>
                <c:pt idx="71">
                  <c:v>76</c:v>
                </c:pt>
                <c:pt idx="72">
                  <c:v>76.5</c:v>
                </c:pt>
                <c:pt idx="73">
                  <c:v>77</c:v>
                </c:pt>
                <c:pt idx="74">
                  <c:v>77.5</c:v>
                </c:pt>
                <c:pt idx="75">
                  <c:v>78</c:v>
                </c:pt>
                <c:pt idx="76">
                  <c:v>78.5</c:v>
                </c:pt>
                <c:pt idx="77">
                  <c:v>79</c:v>
                </c:pt>
                <c:pt idx="78">
                  <c:v>79.5</c:v>
                </c:pt>
                <c:pt idx="79">
                  <c:v>80</c:v>
                </c:pt>
              </c:numCache>
            </c:numRef>
          </c:xVal>
          <c:yVal>
            <c:numRef>
              <c:f>'[1]Cond. B Template'!$X$64:$X$143</c:f>
              <c:numCache>
                <c:formatCode>General</c:formatCode>
                <c:ptCount val="80"/>
                <c:pt idx="0">
                  <c:v>-13</c:v>
                </c:pt>
                <c:pt idx="1">
                  <c:v>-13</c:v>
                </c:pt>
                <c:pt idx="2">
                  <c:v>-13</c:v>
                </c:pt>
                <c:pt idx="3">
                  <c:v>-13</c:v>
                </c:pt>
                <c:pt idx="4">
                  <c:v>-13</c:v>
                </c:pt>
                <c:pt idx="5">
                  <c:v>-13</c:v>
                </c:pt>
                <c:pt idx="6">
                  <c:v>-13</c:v>
                </c:pt>
                <c:pt idx="7">
                  <c:v>-13</c:v>
                </c:pt>
                <c:pt idx="8">
                  <c:v>-13</c:v>
                </c:pt>
                <c:pt idx="9">
                  <c:v>-13</c:v>
                </c:pt>
                <c:pt idx="10">
                  <c:v>-13</c:v>
                </c:pt>
                <c:pt idx="11">
                  <c:v>-13</c:v>
                </c:pt>
                <c:pt idx="12">
                  <c:v>-13</c:v>
                </c:pt>
                <c:pt idx="13">
                  <c:v>-13</c:v>
                </c:pt>
                <c:pt idx="14">
                  <c:v>-13</c:v>
                </c:pt>
                <c:pt idx="15">
                  <c:v>-13</c:v>
                </c:pt>
                <c:pt idx="16">
                  <c:v>-13</c:v>
                </c:pt>
                <c:pt idx="17">
                  <c:v>-13</c:v>
                </c:pt>
                <c:pt idx="18">
                  <c:v>-13</c:v>
                </c:pt>
                <c:pt idx="19">
                  <c:v>-13</c:v>
                </c:pt>
                <c:pt idx="20">
                  <c:v>-13</c:v>
                </c:pt>
                <c:pt idx="21">
                  <c:v>-13</c:v>
                </c:pt>
                <c:pt idx="22">
                  <c:v>-13</c:v>
                </c:pt>
                <c:pt idx="23">
                  <c:v>-13</c:v>
                </c:pt>
                <c:pt idx="24">
                  <c:v>-13</c:v>
                </c:pt>
                <c:pt idx="25">
                  <c:v>-13</c:v>
                </c:pt>
                <c:pt idx="26">
                  <c:v>-13</c:v>
                </c:pt>
                <c:pt idx="27">
                  <c:v>-13</c:v>
                </c:pt>
                <c:pt idx="28">
                  <c:v>-13</c:v>
                </c:pt>
                <c:pt idx="29">
                  <c:v>-13</c:v>
                </c:pt>
                <c:pt idx="30">
                  <c:v>-13</c:v>
                </c:pt>
                <c:pt idx="31">
                  <c:v>-13</c:v>
                </c:pt>
                <c:pt idx="32">
                  <c:v>-13</c:v>
                </c:pt>
                <c:pt idx="33">
                  <c:v>-13</c:v>
                </c:pt>
                <c:pt idx="34">
                  <c:v>-13</c:v>
                </c:pt>
                <c:pt idx="35">
                  <c:v>-13</c:v>
                </c:pt>
                <c:pt idx="36">
                  <c:v>-13</c:v>
                </c:pt>
                <c:pt idx="37">
                  <c:v>-13</c:v>
                </c:pt>
                <c:pt idx="38">
                  <c:v>-13</c:v>
                </c:pt>
                <c:pt idx="39">
                  <c:v>-13</c:v>
                </c:pt>
                <c:pt idx="40">
                  <c:v>-13</c:v>
                </c:pt>
                <c:pt idx="41">
                  <c:v>-13</c:v>
                </c:pt>
                <c:pt idx="42">
                  <c:v>-13</c:v>
                </c:pt>
                <c:pt idx="43">
                  <c:v>-13</c:v>
                </c:pt>
                <c:pt idx="44">
                  <c:v>-13</c:v>
                </c:pt>
                <c:pt idx="45">
                  <c:v>-13</c:v>
                </c:pt>
                <c:pt idx="46">
                  <c:v>-13</c:v>
                </c:pt>
                <c:pt idx="47">
                  <c:v>-13</c:v>
                </c:pt>
                <c:pt idx="48">
                  <c:v>-13</c:v>
                </c:pt>
                <c:pt idx="49">
                  <c:v>-13</c:v>
                </c:pt>
                <c:pt idx="50">
                  <c:v>-13</c:v>
                </c:pt>
                <c:pt idx="51">
                  <c:v>-13</c:v>
                </c:pt>
                <c:pt idx="52">
                  <c:v>-13</c:v>
                </c:pt>
                <c:pt idx="53">
                  <c:v>-13</c:v>
                </c:pt>
                <c:pt idx="54">
                  <c:v>-13</c:v>
                </c:pt>
                <c:pt idx="55">
                  <c:v>-13</c:v>
                </c:pt>
                <c:pt idx="56">
                  <c:v>-13</c:v>
                </c:pt>
                <c:pt idx="57">
                  <c:v>-13</c:v>
                </c:pt>
                <c:pt idx="58">
                  <c:v>-13</c:v>
                </c:pt>
                <c:pt idx="59">
                  <c:v>-13</c:v>
                </c:pt>
                <c:pt idx="60">
                  <c:v>-13</c:v>
                </c:pt>
                <c:pt idx="61">
                  <c:v>-13</c:v>
                </c:pt>
                <c:pt idx="62">
                  <c:v>-13</c:v>
                </c:pt>
                <c:pt idx="63">
                  <c:v>-13</c:v>
                </c:pt>
                <c:pt idx="64">
                  <c:v>-13</c:v>
                </c:pt>
                <c:pt idx="65">
                  <c:v>-13</c:v>
                </c:pt>
                <c:pt idx="66">
                  <c:v>-13</c:v>
                </c:pt>
                <c:pt idx="67">
                  <c:v>-13</c:v>
                </c:pt>
                <c:pt idx="68">
                  <c:v>-13</c:v>
                </c:pt>
                <c:pt idx="69">
                  <c:v>-13</c:v>
                </c:pt>
                <c:pt idx="70">
                  <c:v>-13</c:v>
                </c:pt>
                <c:pt idx="71">
                  <c:v>-13</c:v>
                </c:pt>
                <c:pt idx="72">
                  <c:v>-13</c:v>
                </c:pt>
                <c:pt idx="73">
                  <c:v>-13</c:v>
                </c:pt>
                <c:pt idx="74">
                  <c:v>-13</c:v>
                </c:pt>
                <c:pt idx="75">
                  <c:v>-13</c:v>
                </c:pt>
                <c:pt idx="76">
                  <c:v>-13</c:v>
                </c:pt>
                <c:pt idx="77">
                  <c:v>-13</c:v>
                </c:pt>
                <c:pt idx="78">
                  <c:v>-13</c:v>
                </c:pt>
                <c:pt idx="79">
                  <c:v>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73-4F47-9936-7C414E55C6CA}"/>
            </c:ext>
          </c:extLst>
        </c:ser>
        <c:ser>
          <c:idx val="0"/>
          <c:order val="1"/>
          <c:tx>
            <c:v>Corrected Data</c:v>
          </c:tx>
          <c:spPr>
            <a:ln w="381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'240807B014'!$A$2:$A$321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'240807B014'!$P$2:$P$321</c:f>
              <c:numCache>
                <c:formatCode>General</c:formatCode>
                <c:ptCount val="320"/>
                <c:pt idx="0">
                  <c:v>-6.0555282909511439</c:v>
                </c:pt>
                <c:pt idx="1">
                  <c:v>-7.225691014847528</c:v>
                </c:pt>
                <c:pt idx="2">
                  <c:v>-7.5969774805366637</c:v>
                </c:pt>
                <c:pt idx="3">
                  <c:v>-3.9277224913812372</c:v>
                </c:pt>
                <c:pt idx="4">
                  <c:v>-3.1827045458107155</c:v>
                </c:pt>
                <c:pt idx="5">
                  <c:v>-4.3526341337829768</c:v>
                </c:pt>
                <c:pt idx="6">
                  <c:v>-3.8072715833243507</c:v>
                </c:pt>
                <c:pt idx="7">
                  <c:v>-2.950680252944712</c:v>
                </c:pt>
                <c:pt idx="8">
                  <c:v>1.7812875871257092</c:v>
                </c:pt>
                <c:pt idx="9">
                  <c:v>4.6828578219888488</c:v>
                </c:pt>
                <c:pt idx="10">
                  <c:v>4.1947852386987989</c:v>
                </c:pt>
                <c:pt idx="11">
                  <c:v>-3.2356828714279313</c:v>
                </c:pt>
                <c:pt idx="12">
                  <c:v>-4.0161031769337603</c:v>
                </c:pt>
                <c:pt idx="13">
                  <c:v>-10.418118473945102</c:v>
                </c:pt>
                <c:pt idx="14">
                  <c:v>-11.390566888605928</c:v>
                </c:pt>
                <c:pt idx="15">
                  <c:v>-13.59459504790934</c:v>
                </c:pt>
                <c:pt idx="16">
                  <c:v>-13.363879987219168</c:v>
                </c:pt>
                <c:pt idx="17">
                  <c:v>-12.381315969088098</c:v>
                </c:pt>
                <c:pt idx="18">
                  <c:v>-13.307225266483325</c:v>
                </c:pt>
                <c:pt idx="19">
                  <c:v>-13.28987422937232</c:v>
                </c:pt>
                <c:pt idx="20">
                  <c:v>-13.65558250157928</c:v>
                </c:pt>
                <c:pt idx="21">
                  <c:v>-13.464198757539739</c:v>
                </c:pt>
                <c:pt idx="22">
                  <c:v>-13.239847512677869</c:v>
                </c:pt>
                <c:pt idx="23">
                  <c:v>-13.01020662392855</c:v>
                </c:pt>
                <c:pt idx="24">
                  <c:v>-13.41572819794427</c:v>
                </c:pt>
                <c:pt idx="25">
                  <c:v>-13.418387286637962</c:v>
                </c:pt>
                <c:pt idx="26">
                  <c:v>-13.463053295505063</c:v>
                </c:pt>
                <c:pt idx="27">
                  <c:v>-12.508285901864749</c:v>
                </c:pt>
                <c:pt idx="28">
                  <c:v>-12.151230768814314</c:v>
                </c:pt>
                <c:pt idx="29">
                  <c:v>-12.047249423727743</c:v>
                </c:pt>
                <c:pt idx="30">
                  <c:v>-12.775489111812718</c:v>
                </c:pt>
                <c:pt idx="31">
                  <c:v>-12.564937840629625</c:v>
                </c:pt>
                <c:pt idx="32">
                  <c:v>-11.328583402241852</c:v>
                </c:pt>
                <c:pt idx="33">
                  <c:v>-11.447680141905826</c:v>
                </c:pt>
                <c:pt idx="34">
                  <c:v>-10.692073605800163</c:v>
                </c:pt>
                <c:pt idx="35">
                  <c:v>-9.4194456066248229</c:v>
                </c:pt>
                <c:pt idx="36">
                  <c:v>-10.086904828254276</c:v>
                </c:pt>
                <c:pt idx="37">
                  <c:v>-10.945318388776947</c:v>
                </c:pt>
                <c:pt idx="38">
                  <c:v>-10.787802827761009</c:v>
                </c:pt>
                <c:pt idx="39">
                  <c:v>-10.958216279647234</c:v>
                </c:pt>
                <c:pt idx="40">
                  <c:v>-12.289351767511304</c:v>
                </c:pt>
                <c:pt idx="41">
                  <c:v>-13.600233055887202</c:v>
                </c:pt>
                <c:pt idx="42">
                  <c:v>-13.854138616518918</c:v>
                </c:pt>
                <c:pt idx="43">
                  <c:v>-14.574969224935147</c:v>
                </c:pt>
                <c:pt idx="44">
                  <c:v>-13.808646214532699</c:v>
                </c:pt>
                <c:pt idx="45">
                  <c:v>-14.021279325365956</c:v>
                </c:pt>
                <c:pt idx="46">
                  <c:v>-14.631371058553572</c:v>
                </c:pt>
                <c:pt idx="47">
                  <c:v>-13.511786834400461</c:v>
                </c:pt>
                <c:pt idx="48">
                  <c:v>-12.318961553074768</c:v>
                </c:pt>
                <c:pt idx="49">
                  <c:v>-11.222293714691151</c:v>
                </c:pt>
                <c:pt idx="50">
                  <c:v>-10.742883050731402</c:v>
                </c:pt>
                <c:pt idx="51">
                  <c:v>-9.5307842047442257</c:v>
                </c:pt>
                <c:pt idx="52">
                  <c:v>-9.6065868765811704</c:v>
                </c:pt>
                <c:pt idx="53">
                  <c:v>-7.2398888090457501</c:v>
                </c:pt>
                <c:pt idx="54">
                  <c:v>-6.3572671458902583</c:v>
                </c:pt>
                <c:pt idx="55">
                  <c:v>-4.5535563536305137</c:v>
                </c:pt>
                <c:pt idx="56">
                  <c:v>-2.7286649117308226</c:v>
                </c:pt>
                <c:pt idx="57">
                  <c:v>-1.9957473501473169</c:v>
                </c:pt>
                <c:pt idx="58">
                  <c:v>-2.4034931775005717</c:v>
                </c:pt>
                <c:pt idx="59">
                  <c:v>-0.93784109382288527</c:v>
                </c:pt>
                <c:pt idx="60">
                  <c:v>-1.5597181008858734</c:v>
                </c:pt>
                <c:pt idx="61">
                  <c:v>-0.16092124189825374</c:v>
                </c:pt>
                <c:pt idx="62">
                  <c:v>0.59900932728024259</c:v>
                </c:pt>
                <c:pt idx="63">
                  <c:v>1.06307741378506</c:v>
                </c:pt>
                <c:pt idx="64">
                  <c:v>2.1954730321286338</c:v>
                </c:pt>
                <c:pt idx="65">
                  <c:v>2.5282073969395569</c:v>
                </c:pt>
                <c:pt idx="66">
                  <c:v>3.6795320978910624</c:v>
                </c:pt>
                <c:pt idx="67">
                  <c:v>1.833564364453812</c:v>
                </c:pt>
                <c:pt idx="68">
                  <c:v>1.7949140921432793</c:v>
                </c:pt>
                <c:pt idx="69">
                  <c:v>2.3629337031593609</c:v>
                </c:pt>
                <c:pt idx="70">
                  <c:v>1.4739067426814008</c:v>
                </c:pt>
                <c:pt idx="71">
                  <c:v>1.025671945409143</c:v>
                </c:pt>
                <c:pt idx="72">
                  <c:v>0.52365845355378826</c:v>
                </c:pt>
                <c:pt idx="73">
                  <c:v>-1.0383803415282025</c:v>
                </c:pt>
                <c:pt idx="74">
                  <c:v>-1.481153117253543</c:v>
                </c:pt>
                <c:pt idx="75">
                  <c:v>-2.5200924248534862</c:v>
                </c:pt>
                <c:pt idx="76">
                  <c:v>-1.1494181184461876</c:v>
                </c:pt>
                <c:pt idx="77">
                  <c:v>-3.0231446416900161</c:v>
                </c:pt>
                <c:pt idx="78">
                  <c:v>-3.7407223426363578</c:v>
                </c:pt>
                <c:pt idx="79">
                  <c:v>-4.4063982402330097</c:v>
                </c:pt>
                <c:pt idx="80">
                  <c:v>-3.1919670398292292</c:v>
                </c:pt>
                <c:pt idx="81">
                  <c:v>-0.35562929206186666</c:v>
                </c:pt>
                <c:pt idx="82">
                  <c:v>-1.7985009245001109</c:v>
                </c:pt>
                <c:pt idx="83">
                  <c:v>-0.5385945883630352</c:v>
                </c:pt>
                <c:pt idx="84">
                  <c:v>-0.75928821478191322</c:v>
                </c:pt>
                <c:pt idx="85">
                  <c:v>-0.73901441674517576</c:v>
                </c:pt>
                <c:pt idx="86">
                  <c:v>-3.46264043477544</c:v>
                </c:pt>
                <c:pt idx="87">
                  <c:v>-8.3429993251257848</c:v>
                </c:pt>
                <c:pt idx="88">
                  <c:v>-11.612074850610934</c:v>
                </c:pt>
                <c:pt idx="89">
                  <c:v>-13.975985784160741</c:v>
                </c:pt>
                <c:pt idx="90">
                  <c:v>-16.062906227410465</c:v>
                </c:pt>
                <c:pt idx="91">
                  <c:v>-19.311101340732201</c:v>
                </c:pt>
                <c:pt idx="92">
                  <c:v>-20.578961934220434</c:v>
                </c:pt>
                <c:pt idx="93">
                  <c:v>-21.655075404712669</c:v>
                </c:pt>
                <c:pt idx="94">
                  <c:v>-23.921059797289736</c:v>
                </c:pt>
                <c:pt idx="95">
                  <c:v>-24.866517801479773</c:v>
                </c:pt>
                <c:pt idx="96">
                  <c:v>-25.539764338082037</c:v>
                </c:pt>
                <c:pt idx="97">
                  <c:v>-25.488246863672217</c:v>
                </c:pt>
                <c:pt idx="98">
                  <c:v>-26.738954501046802</c:v>
                </c:pt>
                <c:pt idx="99">
                  <c:v>-27.308664068268403</c:v>
                </c:pt>
                <c:pt idx="100">
                  <c:v>-27.83047452487985</c:v>
                </c:pt>
                <c:pt idx="101">
                  <c:v>-27.73713849841797</c:v>
                </c:pt>
                <c:pt idx="102">
                  <c:v>-27.783492974336539</c:v>
                </c:pt>
                <c:pt idx="103">
                  <c:v>-28.121718527199384</c:v>
                </c:pt>
                <c:pt idx="104">
                  <c:v>-28.876158136333686</c:v>
                </c:pt>
                <c:pt idx="105">
                  <c:v>-28.027074069678488</c:v>
                </c:pt>
                <c:pt idx="106">
                  <c:v>-28.720404125918119</c:v>
                </c:pt>
                <c:pt idx="107">
                  <c:v>-29.582415166831481</c:v>
                </c:pt>
                <c:pt idx="108">
                  <c:v>-29.17393117824113</c:v>
                </c:pt>
                <c:pt idx="109">
                  <c:v>-29.70316081483821</c:v>
                </c:pt>
                <c:pt idx="110">
                  <c:v>-29.670882807426896</c:v>
                </c:pt>
                <c:pt idx="111">
                  <c:v>-28.924803751135258</c:v>
                </c:pt>
                <c:pt idx="112">
                  <c:v>-29.79790581680577</c:v>
                </c:pt>
                <c:pt idx="113">
                  <c:v>-29.327214170726069</c:v>
                </c:pt>
                <c:pt idx="114">
                  <c:v>-29.583326142715144</c:v>
                </c:pt>
                <c:pt idx="115">
                  <c:v>-29.511168614416196</c:v>
                </c:pt>
                <c:pt idx="116">
                  <c:v>-30.122974311821565</c:v>
                </c:pt>
                <c:pt idx="117">
                  <c:v>-29.031972887359821</c:v>
                </c:pt>
                <c:pt idx="118">
                  <c:v>-29.830606195168091</c:v>
                </c:pt>
                <c:pt idx="119">
                  <c:v>-30.446151428269904</c:v>
                </c:pt>
                <c:pt idx="120">
                  <c:v>-28.847922594338769</c:v>
                </c:pt>
                <c:pt idx="121">
                  <c:v>-28.824796544566627</c:v>
                </c:pt>
                <c:pt idx="122">
                  <c:v>-28.921904979173718</c:v>
                </c:pt>
                <c:pt idx="123">
                  <c:v>-28.399161583745968</c:v>
                </c:pt>
                <c:pt idx="124">
                  <c:v>-28.134009613540918</c:v>
                </c:pt>
                <c:pt idx="125">
                  <c:v>-27.989752143625164</c:v>
                </c:pt>
                <c:pt idx="126">
                  <c:v>-28.136674060960985</c:v>
                </c:pt>
                <c:pt idx="127">
                  <c:v>-28.165530639798479</c:v>
                </c:pt>
                <c:pt idx="128">
                  <c:v>-27.673159308901212</c:v>
                </c:pt>
                <c:pt idx="129">
                  <c:v>-26.999014630489242</c:v>
                </c:pt>
                <c:pt idx="130">
                  <c:v>-27.164575582679518</c:v>
                </c:pt>
                <c:pt idx="131">
                  <c:v>-27.208029345097735</c:v>
                </c:pt>
                <c:pt idx="132">
                  <c:v>-26.571092025667692</c:v>
                </c:pt>
                <c:pt idx="133">
                  <c:v>-26.991604514444855</c:v>
                </c:pt>
                <c:pt idx="134">
                  <c:v>-26.753906649220188</c:v>
                </c:pt>
                <c:pt idx="135">
                  <c:v>-27.480668494245108</c:v>
                </c:pt>
                <c:pt idx="136">
                  <c:v>-26.077889423951639</c:v>
                </c:pt>
                <c:pt idx="137">
                  <c:v>-25.507768339536113</c:v>
                </c:pt>
                <c:pt idx="138">
                  <c:v>-26.226790253645522</c:v>
                </c:pt>
                <c:pt idx="139">
                  <c:v>-25.122761164937646</c:v>
                </c:pt>
                <c:pt idx="140">
                  <c:v>-25.421304496194104</c:v>
                </c:pt>
                <c:pt idx="141">
                  <c:v>-26.047263268092909</c:v>
                </c:pt>
                <c:pt idx="142">
                  <c:v>-24.471608791185655</c:v>
                </c:pt>
                <c:pt idx="143">
                  <c:v>-24.787766702215048</c:v>
                </c:pt>
                <c:pt idx="144">
                  <c:v>-23.844377511984391</c:v>
                </c:pt>
                <c:pt idx="145">
                  <c:v>-24.421303448133521</c:v>
                </c:pt>
                <c:pt idx="146">
                  <c:v>-23.30255297142142</c:v>
                </c:pt>
                <c:pt idx="147">
                  <c:v>-23.245987583870459</c:v>
                </c:pt>
                <c:pt idx="148">
                  <c:v>-22.927760040748815</c:v>
                </c:pt>
                <c:pt idx="149">
                  <c:v>-23.632356747743632</c:v>
                </c:pt>
                <c:pt idx="150">
                  <c:v>-23.31573684477171</c:v>
                </c:pt>
                <c:pt idx="151">
                  <c:v>-23.114839781862216</c:v>
                </c:pt>
                <c:pt idx="152">
                  <c:v>-23.646137207212035</c:v>
                </c:pt>
                <c:pt idx="153">
                  <c:v>-22.276051167016163</c:v>
                </c:pt>
                <c:pt idx="154">
                  <c:v>-22.729817883998894</c:v>
                </c:pt>
                <c:pt idx="155">
                  <c:v>-22.406703247785735</c:v>
                </c:pt>
                <c:pt idx="156">
                  <c:v>-21.822179593806858</c:v>
                </c:pt>
                <c:pt idx="157">
                  <c:v>-22.609068185074179</c:v>
                </c:pt>
                <c:pt idx="158">
                  <c:v>-22.256922034872982</c:v>
                </c:pt>
                <c:pt idx="159">
                  <c:v>-22.538523421331877</c:v>
                </c:pt>
                <c:pt idx="160">
                  <c:v>-22.524620795386465</c:v>
                </c:pt>
                <c:pt idx="161">
                  <c:v>-22.510773949171288</c:v>
                </c:pt>
                <c:pt idx="162">
                  <c:v>-19.696916645717454</c:v>
                </c:pt>
                <c:pt idx="163">
                  <c:v>-6.6044433371416762</c:v>
                </c:pt>
                <c:pt idx="164">
                  <c:v>-1.8134519134386937</c:v>
                </c:pt>
                <c:pt idx="165">
                  <c:v>1.7348562495275575</c:v>
                </c:pt>
                <c:pt idx="166">
                  <c:v>4.2529527167922829</c:v>
                </c:pt>
                <c:pt idx="167">
                  <c:v>11.047806391124904</c:v>
                </c:pt>
                <c:pt idx="168">
                  <c:v>14.653949465738577</c:v>
                </c:pt>
                <c:pt idx="169">
                  <c:v>20.796006969766715</c:v>
                </c:pt>
                <c:pt idx="170">
                  <c:v>22.735296303058668</c:v>
                </c:pt>
                <c:pt idx="171">
                  <c:v>24.159026393267339</c:v>
                </c:pt>
                <c:pt idx="172">
                  <c:v>29.954463482972503</c:v>
                </c:pt>
                <c:pt idx="173">
                  <c:v>31.672265125295272</c:v>
                </c:pt>
                <c:pt idx="174">
                  <c:v>35.347520520873644</c:v>
                </c:pt>
                <c:pt idx="175">
                  <c:v>36.10589436499297</c:v>
                </c:pt>
                <c:pt idx="176">
                  <c:v>34.238137083577932</c:v>
                </c:pt>
                <c:pt idx="177">
                  <c:v>33.924415499742892</c:v>
                </c:pt>
                <c:pt idx="178">
                  <c:v>32.82145257108975</c:v>
                </c:pt>
                <c:pt idx="179">
                  <c:v>29.164686392105839</c:v>
                </c:pt>
                <c:pt idx="180">
                  <c:v>28.09519042236716</c:v>
                </c:pt>
                <c:pt idx="181">
                  <c:v>27.595343958683639</c:v>
                </c:pt>
                <c:pt idx="182">
                  <c:v>28.345871973463765</c:v>
                </c:pt>
                <c:pt idx="183">
                  <c:v>31.234631855665775</c:v>
                </c:pt>
                <c:pt idx="184">
                  <c:v>32.478075614737804</c:v>
                </c:pt>
                <c:pt idx="185">
                  <c:v>31.977085468003796</c:v>
                </c:pt>
                <c:pt idx="186">
                  <c:v>33.378473292975897</c:v>
                </c:pt>
                <c:pt idx="187">
                  <c:v>35.782924043048823</c:v>
                </c:pt>
                <c:pt idx="188">
                  <c:v>35.906230901062372</c:v>
                </c:pt>
                <c:pt idx="189">
                  <c:v>34.980267722628092</c:v>
                </c:pt>
                <c:pt idx="190">
                  <c:v>34.634189847121426</c:v>
                </c:pt>
                <c:pt idx="191">
                  <c:v>35.214538138498561</c:v>
                </c:pt>
                <c:pt idx="192">
                  <c:v>32.626999319058378</c:v>
                </c:pt>
                <c:pt idx="193">
                  <c:v>30.559654692298572</c:v>
                </c:pt>
                <c:pt idx="194">
                  <c:v>30.082755033669233</c:v>
                </c:pt>
                <c:pt idx="195">
                  <c:v>30.179196524610099</c:v>
                </c:pt>
                <c:pt idx="196">
                  <c:v>30.527269337318469</c:v>
                </c:pt>
                <c:pt idx="197">
                  <c:v>26.722583995821282</c:v>
                </c:pt>
                <c:pt idx="198">
                  <c:v>27.340513976794728</c:v>
                </c:pt>
                <c:pt idx="199">
                  <c:v>24.774465355218389</c:v>
                </c:pt>
                <c:pt idx="200">
                  <c:v>24.171946638103776</c:v>
                </c:pt>
                <c:pt idx="201">
                  <c:v>25.114356831905294</c:v>
                </c:pt>
                <c:pt idx="202">
                  <c:v>23.89273203858696</c:v>
                </c:pt>
                <c:pt idx="203">
                  <c:v>24.153209850241176</c:v>
                </c:pt>
                <c:pt idx="204">
                  <c:v>23.137842867447063</c:v>
                </c:pt>
                <c:pt idx="205">
                  <c:v>23.140430324418034</c:v>
                </c:pt>
                <c:pt idx="206">
                  <c:v>22.886901575229153</c:v>
                </c:pt>
                <c:pt idx="207">
                  <c:v>22.479306902259953</c:v>
                </c:pt>
                <c:pt idx="208">
                  <c:v>21.301574769363921</c:v>
                </c:pt>
                <c:pt idx="209">
                  <c:v>20.584954465560497</c:v>
                </c:pt>
                <c:pt idx="210">
                  <c:v>21.638202991609248</c:v>
                </c:pt>
                <c:pt idx="211">
                  <c:v>23.041349727081872</c:v>
                </c:pt>
                <c:pt idx="212">
                  <c:v>22.877677829631622</c:v>
                </c:pt>
                <c:pt idx="213">
                  <c:v>22.616313037625833</c:v>
                </c:pt>
                <c:pt idx="214">
                  <c:v>22.826553773997887</c:v>
                </c:pt>
                <c:pt idx="215">
                  <c:v>23.132959184088918</c:v>
                </c:pt>
                <c:pt idx="216">
                  <c:v>25.720563399992059</c:v>
                </c:pt>
                <c:pt idx="217">
                  <c:v>25.375587693787345</c:v>
                </c:pt>
                <c:pt idx="218">
                  <c:v>25.783188691021806</c:v>
                </c:pt>
                <c:pt idx="219">
                  <c:v>28.128192687345045</c:v>
                </c:pt>
                <c:pt idx="220">
                  <c:v>29.730498852519293</c:v>
                </c:pt>
                <c:pt idx="221">
                  <c:v>31.205170748165095</c:v>
                </c:pt>
                <c:pt idx="222">
                  <c:v>33.226873395080844</c:v>
                </c:pt>
                <c:pt idx="223">
                  <c:v>31.727184938824877</c:v>
                </c:pt>
                <c:pt idx="224">
                  <c:v>31.24400021739962</c:v>
                </c:pt>
                <c:pt idx="225">
                  <c:v>32.537582854425153</c:v>
                </c:pt>
                <c:pt idx="226">
                  <c:v>30.793440247732402</c:v>
                </c:pt>
                <c:pt idx="227">
                  <c:v>28.426465181576528</c:v>
                </c:pt>
                <c:pt idx="228">
                  <c:v>29.169167585214218</c:v>
                </c:pt>
                <c:pt idx="229">
                  <c:v>35.132164668443707</c:v>
                </c:pt>
                <c:pt idx="230">
                  <c:v>37.562656154581447</c:v>
                </c:pt>
                <c:pt idx="231">
                  <c:v>41.069037163571522</c:v>
                </c:pt>
                <c:pt idx="232">
                  <c:v>42.105381014351522</c:v>
                </c:pt>
                <c:pt idx="233">
                  <c:v>44.642083374863681</c:v>
                </c:pt>
                <c:pt idx="234">
                  <c:v>45.130559206582546</c:v>
                </c:pt>
                <c:pt idx="235">
                  <c:v>44.389393923408718</c:v>
                </c:pt>
                <c:pt idx="236">
                  <c:v>42.534033342710877</c:v>
                </c:pt>
                <c:pt idx="237">
                  <c:v>42.122027160030697</c:v>
                </c:pt>
                <c:pt idx="238">
                  <c:v>42.836918886229235</c:v>
                </c:pt>
                <c:pt idx="239">
                  <c:v>40.097417616173928</c:v>
                </c:pt>
                <c:pt idx="240">
                  <c:v>39.733753118543007</c:v>
                </c:pt>
                <c:pt idx="241">
                  <c:v>39.702577960079338</c:v>
                </c:pt>
                <c:pt idx="242">
                  <c:v>38.549520470430039</c:v>
                </c:pt>
                <c:pt idx="243">
                  <c:v>36.936206832800735</c:v>
                </c:pt>
                <c:pt idx="244">
                  <c:v>35.918388615141779</c:v>
                </c:pt>
                <c:pt idx="245">
                  <c:v>36.571813134188488</c:v>
                </c:pt>
                <c:pt idx="246">
                  <c:v>37.199908648920868</c:v>
                </c:pt>
                <c:pt idx="247">
                  <c:v>39.909535108628333</c:v>
                </c:pt>
                <c:pt idx="248">
                  <c:v>40.016552040976158</c:v>
                </c:pt>
                <c:pt idx="249">
                  <c:v>39.009407244989767</c:v>
                </c:pt>
                <c:pt idx="250">
                  <c:v>36.50424038175575</c:v>
                </c:pt>
                <c:pt idx="251">
                  <c:v>34.599155719759928</c:v>
                </c:pt>
                <c:pt idx="252">
                  <c:v>32.679268716267231</c:v>
                </c:pt>
                <c:pt idx="253">
                  <c:v>28.959399446595867</c:v>
                </c:pt>
                <c:pt idx="254">
                  <c:v>27.335661449703224</c:v>
                </c:pt>
                <c:pt idx="255">
                  <c:v>27.881030539338791</c:v>
                </c:pt>
                <c:pt idx="256">
                  <c:v>27.735042636400969</c:v>
                </c:pt>
                <c:pt idx="257">
                  <c:v>28.030988040697522</c:v>
                </c:pt>
                <c:pt idx="258">
                  <c:v>27.71546972613476</c:v>
                </c:pt>
                <c:pt idx="259">
                  <c:v>26.194225634781287</c:v>
                </c:pt>
                <c:pt idx="260">
                  <c:v>23.634065734008267</c:v>
                </c:pt>
                <c:pt idx="261">
                  <c:v>21.71364673219086</c:v>
                </c:pt>
                <c:pt idx="262">
                  <c:v>22.714309562425548</c:v>
                </c:pt>
                <c:pt idx="263">
                  <c:v>21.09423537967935</c:v>
                </c:pt>
                <c:pt idx="264">
                  <c:v>18.910752208984299</c:v>
                </c:pt>
                <c:pt idx="265">
                  <c:v>16.959481929927499</c:v>
                </c:pt>
                <c:pt idx="266">
                  <c:v>16.9251199078256</c:v>
                </c:pt>
                <c:pt idx="267">
                  <c:v>14.896823884421265</c:v>
                </c:pt>
                <c:pt idx="268">
                  <c:v>12.896757044297674</c:v>
                </c:pt>
                <c:pt idx="269">
                  <c:v>13.454817664974323</c:v>
                </c:pt>
                <c:pt idx="270">
                  <c:v>12.126392658279622</c:v>
                </c:pt>
                <c:pt idx="271">
                  <c:v>13.476793887831503</c:v>
                </c:pt>
                <c:pt idx="272">
                  <c:v>11.181571993372561</c:v>
                </c:pt>
                <c:pt idx="273">
                  <c:v>10.983017592022829</c:v>
                </c:pt>
                <c:pt idx="274">
                  <c:v>10.09299706852179</c:v>
                </c:pt>
                <c:pt idx="275">
                  <c:v>9.828903974116173</c:v>
                </c:pt>
                <c:pt idx="276">
                  <c:v>8.8955611206302283</c:v>
                </c:pt>
                <c:pt idx="277">
                  <c:v>6.9440821491856113</c:v>
                </c:pt>
                <c:pt idx="278">
                  <c:v>6.1272404579692932</c:v>
                </c:pt>
                <c:pt idx="279">
                  <c:v>5.0234955702193318</c:v>
                </c:pt>
                <c:pt idx="280">
                  <c:v>5.1700318794502964</c:v>
                </c:pt>
                <c:pt idx="281">
                  <c:v>5.229160941633455</c:v>
                </c:pt>
                <c:pt idx="282">
                  <c:v>4.3314543314721767</c:v>
                </c:pt>
                <c:pt idx="283">
                  <c:v>2.9158437033054629</c:v>
                </c:pt>
                <c:pt idx="284">
                  <c:v>2.3764933058291415</c:v>
                </c:pt>
                <c:pt idx="285">
                  <c:v>1.9874214253959639</c:v>
                </c:pt>
                <c:pt idx="286">
                  <c:v>1.5934201755126391</c:v>
                </c:pt>
                <c:pt idx="287">
                  <c:v>0.49104279730912048</c:v>
                </c:pt>
                <c:pt idx="288">
                  <c:v>0.76914089124941953</c:v>
                </c:pt>
                <c:pt idx="289">
                  <c:v>-1.296558935652617</c:v>
                </c:pt>
                <c:pt idx="290">
                  <c:v>-2.1261765036404383</c:v>
                </c:pt>
                <c:pt idx="291">
                  <c:v>-1.6002484769287335</c:v>
                </c:pt>
                <c:pt idx="292">
                  <c:v>-3.5115997259735807</c:v>
                </c:pt>
                <c:pt idx="293">
                  <c:v>-4.8449279190478283</c:v>
                </c:pt>
                <c:pt idx="294">
                  <c:v>-3.0956133652801676</c:v>
                </c:pt>
                <c:pt idx="295">
                  <c:v>-4.2435286436218282</c:v>
                </c:pt>
                <c:pt idx="296">
                  <c:v>-3.3123599287503485</c:v>
                </c:pt>
                <c:pt idx="297">
                  <c:v>-4.27537495938296</c:v>
                </c:pt>
                <c:pt idx="298">
                  <c:v>-3.0001205662291492</c:v>
                </c:pt>
                <c:pt idx="299">
                  <c:v>-3.4149121088874703</c:v>
                </c:pt>
                <c:pt idx="300">
                  <c:v>-4.6891056939897231</c:v>
                </c:pt>
                <c:pt idx="301">
                  <c:v>-4.6829113753288976</c:v>
                </c:pt>
                <c:pt idx="302">
                  <c:v>-4.4163944251058744</c:v>
                </c:pt>
                <c:pt idx="303">
                  <c:v>-4.286076133192088</c:v>
                </c:pt>
                <c:pt idx="304">
                  <c:v>-4.5693902913625939</c:v>
                </c:pt>
                <c:pt idx="305">
                  <c:v>-5.2070893771941575</c:v>
                </c:pt>
                <c:pt idx="306">
                  <c:v>-4.6738033481843777</c:v>
                </c:pt>
                <c:pt idx="307">
                  <c:v>-4.6203493997961944</c:v>
                </c:pt>
                <c:pt idx="308">
                  <c:v>-2.454626385178146</c:v>
                </c:pt>
                <c:pt idx="309">
                  <c:v>-0.12548042279718674</c:v>
                </c:pt>
                <c:pt idx="310">
                  <c:v>-0.24359503782618577</c:v>
                </c:pt>
                <c:pt idx="311">
                  <c:v>7.5588996457309635E-3</c:v>
                </c:pt>
                <c:pt idx="312">
                  <c:v>1.9056902769431177</c:v>
                </c:pt>
                <c:pt idx="313">
                  <c:v>2.7630935635823062</c:v>
                </c:pt>
                <c:pt idx="314">
                  <c:v>3.7969771477416807</c:v>
                </c:pt>
                <c:pt idx="315">
                  <c:v>4.4263108556092527</c:v>
                </c:pt>
                <c:pt idx="316">
                  <c:v>4.5477633778250821</c:v>
                </c:pt>
                <c:pt idx="317">
                  <c:v>6.1741398156584868</c:v>
                </c:pt>
                <c:pt idx="318">
                  <c:v>6.6136923198463968</c:v>
                </c:pt>
                <c:pt idx="319">
                  <c:v>7.096714099764986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173-4F47-9936-7C414E55C6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576608"/>
        <c:axId val="674579728"/>
      </c:scatterChart>
      <c:valAx>
        <c:axId val="674576608"/>
        <c:scaling>
          <c:orientation val="minMax"/>
          <c:max val="16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50460104986876597"/>
              <c:y val="0.88412609323488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9728"/>
        <c:crossesAt val="0"/>
        <c:crossBetween val="midCat"/>
        <c:majorUnit val="10"/>
      </c:valAx>
      <c:valAx>
        <c:axId val="674579728"/>
        <c:scaling>
          <c:orientation val="minMax"/>
          <c:max val="100"/>
          <c:min val="-60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Symbol"/>
                  </a:rPr>
                  <a:t>% D</a:t>
                </a: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R/R</a:t>
                </a:r>
                <a:r>
                  <a:rPr lang="en-US" sz="1400" b="0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0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10871861805317801"/>
              <c:y val="0.4041593677194850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6608"/>
        <c:crossesAt val="0"/>
        <c:crossBetween val="midCat"/>
      </c:valAx>
      <c:spPr>
        <a:solidFill>
          <a:sysClr val="window" lastClr="FFFFFF"/>
        </a:solidFill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889694343762601"/>
          <c:y val="0.20035596321915899"/>
          <c:w val="0.65156849851686605"/>
          <c:h val="0.60479122848313205"/>
        </c:manualLayout>
      </c:layout>
      <c:scatterChart>
        <c:scatterStyle val="lineMarker"/>
        <c:varyColors val="0"/>
        <c:ser>
          <c:idx val="0"/>
          <c:order val="0"/>
          <c:tx>
            <c:v>mScarlet</c:v>
          </c:tx>
          <c:marker>
            <c:symbol val="none"/>
          </c:marker>
          <c:xVal>
            <c:numRef>
              <c:f>'240807B015'!$A$2:$A$321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'240807B015'!$J$2:$J$321</c:f>
              <c:numCache>
                <c:formatCode>0.0</c:formatCode>
                <c:ptCount val="320"/>
                <c:pt idx="0">
                  <c:v>806.60763581968001</c:v>
                </c:pt>
                <c:pt idx="1">
                  <c:v>807.18519072549998</c:v>
                </c:pt>
                <c:pt idx="2">
                  <c:v>812.24906677092008</c:v>
                </c:pt>
                <c:pt idx="3">
                  <c:v>825.1467872441699</c:v>
                </c:pt>
                <c:pt idx="4">
                  <c:v>780.64129666145993</c:v>
                </c:pt>
                <c:pt idx="5">
                  <c:v>791.34916026382007</c:v>
                </c:pt>
                <c:pt idx="6">
                  <c:v>785.30677738492</c:v>
                </c:pt>
                <c:pt idx="7">
                  <c:v>671.81777044944999</c:v>
                </c:pt>
                <c:pt idx="8">
                  <c:v>646.7640511321199</c:v>
                </c:pt>
                <c:pt idx="9">
                  <c:v>893.47828075067991</c:v>
                </c:pt>
                <c:pt idx="10">
                  <c:v>888.47358740737002</c:v>
                </c:pt>
                <c:pt idx="11">
                  <c:v>948.19464370710011</c:v>
                </c:pt>
                <c:pt idx="12">
                  <c:v>958.13848167540004</c:v>
                </c:pt>
                <c:pt idx="13">
                  <c:v>958.78429999316995</c:v>
                </c:pt>
                <c:pt idx="14">
                  <c:v>957.29621778743012</c:v>
                </c:pt>
                <c:pt idx="15">
                  <c:v>937.71769365387001</c:v>
                </c:pt>
                <c:pt idx="16">
                  <c:v>936.43370636456996</c:v>
                </c:pt>
                <c:pt idx="17">
                  <c:v>944.02508519848004</c:v>
                </c:pt>
                <c:pt idx="18">
                  <c:v>946.10696324953994</c:v>
                </c:pt>
                <c:pt idx="19">
                  <c:v>955.60256516531001</c:v>
                </c:pt>
                <c:pt idx="20">
                  <c:v>959.36497190756018</c:v>
                </c:pt>
                <c:pt idx="21">
                  <c:v>956.52632403059988</c:v>
                </c:pt>
                <c:pt idx="22">
                  <c:v>954.86280740535994</c:v>
                </c:pt>
                <c:pt idx="23">
                  <c:v>952.49578612876007</c:v>
                </c:pt>
                <c:pt idx="24">
                  <c:v>948.15361057383006</c:v>
                </c:pt>
                <c:pt idx="25">
                  <c:v>944.49921248968008</c:v>
                </c:pt>
                <c:pt idx="26">
                  <c:v>937.81504559275004</c:v>
                </c:pt>
                <c:pt idx="27">
                  <c:v>931.17182462923006</c:v>
                </c:pt>
                <c:pt idx="28">
                  <c:v>961.74088833545011</c:v>
                </c:pt>
                <c:pt idx="29">
                  <c:v>946.64211587498994</c:v>
                </c:pt>
                <c:pt idx="30">
                  <c:v>951.31557552036998</c:v>
                </c:pt>
                <c:pt idx="31">
                  <c:v>951.05737116763999</c:v>
                </c:pt>
                <c:pt idx="32">
                  <c:v>946.37351598169994</c:v>
                </c:pt>
                <c:pt idx="33">
                  <c:v>943.58178556603013</c:v>
                </c:pt>
                <c:pt idx="34">
                  <c:v>940.05450690862995</c:v>
                </c:pt>
                <c:pt idx="35">
                  <c:v>935.5163464389899</c:v>
                </c:pt>
                <c:pt idx="36">
                  <c:v>942.27767301195001</c:v>
                </c:pt>
                <c:pt idx="37">
                  <c:v>944.53926051115991</c:v>
                </c:pt>
                <c:pt idx="38">
                  <c:v>943.61483128741997</c:v>
                </c:pt>
                <c:pt idx="39">
                  <c:v>942.85227717487999</c:v>
                </c:pt>
                <c:pt idx="40">
                  <c:v>936.76345549425992</c:v>
                </c:pt>
                <c:pt idx="41">
                  <c:v>937.8957955287101</c:v>
                </c:pt>
                <c:pt idx="42">
                  <c:v>940.01820553876996</c:v>
                </c:pt>
                <c:pt idx="43">
                  <c:v>932.67899246872003</c:v>
                </c:pt>
                <c:pt idx="44">
                  <c:v>934.49701417307006</c:v>
                </c:pt>
                <c:pt idx="45">
                  <c:v>942.02283105020001</c:v>
                </c:pt>
                <c:pt idx="46">
                  <c:v>945.09281563187994</c:v>
                </c:pt>
                <c:pt idx="47">
                  <c:v>938.35895155072001</c:v>
                </c:pt>
                <c:pt idx="48">
                  <c:v>929.73808041275993</c:v>
                </c:pt>
                <c:pt idx="49">
                  <c:v>935.98108580918006</c:v>
                </c:pt>
                <c:pt idx="50">
                  <c:v>933.60515625924995</c:v>
                </c:pt>
                <c:pt idx="51">
                  <c:v>939.70338907666007</c:v>
                </c:pt>
                <c:pt idx="52">
                  <c:v>929.97693470911008</c:v>
                </c:pt>
                <c:pt idx="53">
                  <c:v>924.28894324857015</c:v>
                </c:pt>
                <c:pt idx="54">
                  <c:v>923.37076439544001</c:v>
                </c:pt>
                <c:pt idx="55">
                  <c:v>923.20556840423001</c:v>
                </c:pt>
                <c:pt idx="56">
                  <c:v>923.09338789065009</c:v>
                </c:pt>
                <c:pt idx="57">
                  <c:v>925.11381426789012</c:v>
                </c:pt>
                <c:pt idx="58">
                  <c:v>916.16726264607996</c:v>
                </c:pt>
                <c:pt idx="59">
                  <c:v>913.71989266441005</c:v>
                </c:pt>
                <c:pt idx="60">
                  <c:v>914.25326454369008</c:v>
                </c:pt>
                <c:pt idx="61">
                  <c:v>912.03391448737</c:v>
                </c:pt>
                <c:pt idx="62">
                  <c:v>920.98161655699005</c:v>
                </c:pt>
                <c:pt idx="63">
                  <c:v>916.5175324674899</c:v>
                </c:pt>
                <c:pt idx="64">
                  <c:v>925.08317025438998</c:v>
                </c:pt>
                <c:pt idx="65">
                  <c:v>922.87549961452999</c:v>
                </c:pt>
                <c:pt idx="66">
                  <c:v>910.20855719622989</c:v>
                </c:pt>
                <c:pt idx="67">
                  <c:v>910.57934827733993</c:v>
                </c:pt>
                <c:pt idx="68">
                  <c:v>915.35356994600988</c:v>
                </c:pt>
                <c:pt idx="69">
                  <c:v>916.64975093397004</c:v>
                </c:pt>
                <c:pt idx="70">
                  <c:v>915.47309494155002</c:v>
                </c:pt>
                <c:pt idx="71">
                  <c:v>917.94213366545989</c:v>
                </c:pt>
                <c:pt idx="72">
                  <c:v>907.02360789898</c:v>
                </c:pt>
                <c:pt idx="73">
                  <c:v>909.3413835023</c:v>
                </c:pt>
                <c:pt idx="74">
                  <c:v>908.56983632801996</c:v>
                </c:pt>
                <c:pt idx="75">
                  <c:v>910.50810057522017</c:v>
                </c:pt>
                <c:pt idx="76">
                  <c:v>907.50045365589006</c:v>
                </c:pt>
                <c:pt idx="77">
                  <c:v>904.01961987789002</c:v>
                </c:pt>
                <c:pt idx="78">
                  <c:v>905.83472098680011</c:v>
                </c:pt>
                <c:pt idx="79">
                  <c:v>919.17900096014</c:v>
                </c:pt>
                <c:pt idx="80">
                  <c:v>920.14159297258004</c:v>
                </c:pt>
                <c:pt idx="81">
                  <c:v>922.00018023486007</c:v>
                </c:pt>
                <c:pt idx="82">
                  <c:v>918.75841881851011</c:v>
                </c:pt>
                <c:pt idx="83">
                  <c:v>926.14313170614003</c:v>
                </c:pt>
                <c:pt idx="84">
                  <c:v>919.49286135400007</c:v>
                </c:pt>
                <c:pt idx="85">
                  <c:v>909.29504354266999</c:v>
                </c:pt>
                <c:pt idx="86">
                  <c:v>910.83414944331992</c:v>
                </c:pt>
                <c:pt idx="87">
                  <c:v>913.12815284583996</c:v>
                </c:pt>
                <c:pt idx="88">
                  <c:v>906.38073256190012</c:v>
                </c:pt>
                <c:pt idx="89">
                  <c:v>905.31231913355009</c:v>
                </c:pt>
                <c:pt idx="90">
                  <c:v>894.0584272407001</c:v>
                </c:pt>
                <c:pt idx="91">
                  <c:v>890.59198544647995</c:v>
                </c:pt>
                <c:pt idx="92">
                  <c:v>882.38641753831996</c:v>
                </c:pt>
                <c:pt idx="93">
                  <c:v>877.58452338843006</c:v>
                </c:pt>
                <c:pt idx="94">
                  <c:v>876.03092121885993</c:v>
                </c:pt>
                <c:pt idx="95">
                  <c:v>866.18021459734996</c:v>
                </c:pt>
                <c:pt idx="96">
                  <c:v>862.68761180453998</c:v>
                </c:pt>
                <c:pt idx="97">
                  <c:v>857.79311823066996</c:v>
                </c:pt>
                <c:pt idx="98">
                  <c:v>853.90654740848993</c:v>
                </c:pt>
                <c:pt idx="99">
                  <c:v>853.83247174355995</c:v>
                </c:pt>
                <c:pt idx="100">
                  <c:v>848.61135563528001</c:v>
                </c:pt>
                <c:pt idx="101">
                  <c:v>847.04587060151005</c:v>
                </c:pt>
                <c:pt idx="102">
                  <c:v>846.93855003622002</c:v>
                </c:pt>
                <c:pt idx="103">
                  <c:v>848.26615291324003</c:v>
                </c:pt>
                <c:pt idx="104">
                  <c:v>843.99523977967999</c:v>
                </c:pt>
                <c:pt idx="105">
                  <c:v>842.14749861033999</c:v>
                </c:pt>
                <c:pt idx="106">
                  <c:v>846.83408711911</c:v>
                </c:pt>
                <c:pt idx="107">
                  <c:v>844.98815335119002</c:v>
                </c:pt>
                <c:pt idx="108">
                  <c:v>837.88395067966997</c:v>
                </c:pt>
                <c:pt idx="109">
                  <c:v>838.70808193103994</c:v>
                </c:pt>
                <c:pt idx="110">
                  <c:v>850.83090269004003</c:v>
                </c:pt>
                <c:pt idx="111">
                  <c:v>856.56189345901998</c:v>
                </c:pt>
                <c:pt idx="112">
                  <c:v>848.46752399037007</c:v>
                </c:pt>
                <c:pt idx="113">
                  <c:v>849.80183954427002</c:v>
                </c:pt>
                <c:pt idx="114">
                  <c:v>835.23141466888001</c:v>
                </c:pt>
                <c:pt idx="115">
                  <c:v>825.50829914210999</c:v>
                </c:pt>
                <c:pt idx="116">
                  <c:v>833.91666610151992</c:v>
                </c:pt>
                <c:pt idx="117">
                  <c:v>839.59868893418002</c:v>
                </c:pt>
                <c:pt idx="118">
                  <c:v>842.31757808836005</c:v>
                </c:pt>
                <c:pt idx="119">
                  <c:v>841.03606347690993</c:v>
                </c:pt>
                <c:pt idx="120">
                  <c:v>851.07842177520001</c:v>
                </c:pt>
                <c:pt idx="121">
                  <c:v>834.83106693044999</c:v>
                </c:pt>
                <c:pt idx="122">
                  <c:v>840.84574276674994</c:v>
                </c:pt>
                <c:pt idx="123">
                  <c:v>847.78093859522005</c:v>
                </c:pt>
                <c:pt idx="124">
                  <c:v>851.27313444926995</c:v>
                </c:pt>
                <c:pt idx="125">
                  <c:v>841.46174970795005</c:v>
                </c:pt>
                <c:pt idx="126">
                  <c:v>839.15054062811998</c:v>
                </c:pt>
                <c:pt idx="127">
                  <c:v>832.06876124531993</c:v>
                </c:pt>
                <c:pt idx="128">
                  <c:v>847.42602518952003</c:v>
                </c:pt>
                <c:pt idx="129">
                  <c:v>831.14736166655996</c:v>
                </c:pt>
                <c:pt idx="130">
                  <c:v>836.66818139181999</c:v>
                </c:pt>
                <c:pt idx="131">
                  <c:v>847.34626335582004</c:v>
                </c:pt>
                <c:pt idx="132">
                  <c:v>840.26920082543006</c:v>
                </c:pt>
                <c:pt idx="133">
                  <c:v>839.30396560103998</c:v>
                </c:pt>
                <c:pt idx="134">
                  <c:v>831.44325280759995</c:v>
                </c:pt>
                <c:pt idx="135">
                  <c:v>839.65822326065006</c:v>
                </c:pt>
                <c:pt idx="136">
                  <c:v>841.58717926853001</c:v>
                </c:pt>
                <c:pt idx="137">
                  <c:v>833.42625713092002</c:v>
                </c:pt>
                <c:pt idx="138">
                  <c:v>835.67799498597003</c:v>
                </c:pt>
                <c:pt idx="139">
                  <c:v>835.72290762422006</c:v>
                </c:pt>
                <c:pt idx="140">
                  <c:v>846.15406664904992</c:v>
                </c:pt>
                <c:pt idx="141">
                  <c:v>832.97243350871008</c:v>
                </c:pt>
                <c:pt idx="142">
                  <c:v>821.89513477331002</c:v>
                </c:pt>
                <c:pt idx="143">
                  <c:v>816.54283284017004</c:v>
                </c:pt>
                <c:pt idx="144">
                  <c:v>807.96449633754003</c:v>
                </c:pt>
                <c:pt idx="145">
                  <c:v>807.84732244117993</c:v>
                </c:pt>
                <c:pt idx="146">
                  <c:v>812.63924073300996</c:v>
                </c:pt>
                <c:pt idx="147">
                  <c:v>803.59408549428008</c:v>
                </c:pt>
                <c:pt idx="148">
                  <c:v>811.18658790323002</c:v>
                </c:pt>
                <c:pt idx="149">
                  <c:v>808.97491707242</c:v>
                </c:pt>
                <c:pt idx="150">
                  <c:v>804.99732755754007</c:v>
                </c:pt>
                <c:pt idx="151">
                  <c:v>809.24486275379991</c:v>
                </c:pt>
                <c:pt idx="152">
                  <c:v>812.91012313358999</c:v>
                </c:pt>
                <c:pt idx="153">
                  <c:v>806.81640601683</c:v>
                </c:pt>
                <c:pt idx="154">
                  <c:v>809.15122536688</c:v>
                </c:pt>
                <c:pt idx="155">
                  <c:v>808.95203971996</c:v>
                </c:pt>
                <c:pt idx="156">
                  <c:v>805.74517570413991</c:v>
                </c:pt>
                <c:pt idx="157">
                  <c:v>823.80164234976996</c:v>
                </c:pt>
                <c:pt idx="158">
                  <c:v>814.02580177537004</c:v>
                </c:pt>
                <c:pt idx="159">
                  <c:v>803.09650552993003</c:v>
                </c:pt>
                <c:pt idx="160">
                  <c:v>800.5087715633</c:v>
                </c:pt>
                <c:pt idx="161">
                  <c:v>806.45905680006001</c:v>
                </c:pt>
                <c:pt idx="162">
                  <c:v>837.70272100779994</c:v>
                </c:pt>
                <c:pt idx="163">
                  <c:v>862.15830694729004</c:v>
                </c:pt>
                <c:pt idx="164">
                  <c:v>879.15519480523005</c:v>
                </c:pt>
                <c:pt idx="165">
                  <c:v>893.47532467532994</c:v>
                </c:pt>
                <c:pt idx="166">
                  <c:v>901.71558441555999</c:v>
                </c:pt>
                <c:pt idx="167">
                  <c:v>910.42402597401997</c:v>
                </c:pt>
                <c:pt idx="168">
                  <c:v>927.68311688313997</c:v>
                </c:pt>
                <c:pt idx="169">
                  <c:v>922.87207792213007</c:v>
                </c:pt>
                <c:pt idx="170">
                  <c:v>920.39935064936992</c:v>
                </c:pt>
                <c:pt idx="171">
                  <c:v>923.95389610392988</c:v>
                </c:pt>
                <c:pt idx="172">
                  <c:v>914.42012987013004</c:v>
                </c:pt>
                <c:pt idx="173">
                  <c:v>913.65194805197996</c:v>
                </c:pt>
                <c:pt idx="174">
                  <c:v>920.57727272723992</c:v>
                </c:pt>
                <c:pt idx="175">
                  <c:v>917.89610389612994</c:v>
                </c:pt>
                <c:pt idx="176">
                  <c:v>912.84415584417002</c:v>
                </c:pt>
                <c:pt idx="177">
                  <c:v>907.30129870131998</c:v>
                </c:pt>
                <c:pt idx="178">
                  <c:v>911.1272727273099</c:v>
                </c:pt>
                <c:pt idx="179">
                  <c:v>903.56623376626999</c:v>
                </c:pt>
                <c:pt idx="180">
                  <c:v>916.12597402601989</c:v>
                </c:pt>
                <c:pt idx="181">
                  <c:v>911.12337662338996</c:v>
                </c:pt>
                <c:pt idx="182">
                  <c:v>907.80909090908995</c:v>
                </c:pt>
                <c:pt idx="183">
                  <c:v>900.66688311684993</c:v>
                </c:pt>
                <c:pt idx="184">
                  <c:v>899.40584415587989</c:v>
                </c:pt>
                <c:pt idx="185">
                  <c:v>911.81233766232003</c:v>
                </c:pt>
                <c:pt idx="186">
                  <c:v>902.92012987011003</c:v>
                </c:pt>
                <c:pt idx="187">
                  <c:v>894.3746753247101</c:v>
                </c:pt>
                <c:pt idx="188">
                  <c:v>903.3987012987601</c:v>
                </c:pt>
                <c:pt idx="189">
                  <c:v>893.90389610392003</c:v>
                </c:pt>
                <c:pt idx="190">
                  <c:v>891.42532467528008</c:v>
                </c:pt>
                <c:pt idx="191">
                  <c:v>901.27922077924995</c:v>
                </c:pt>
                <c:pt idx="192">
                  <c:v>897.08636363640005</c:v>
                </c:pt>
                <c:pt idx="193">
                  <c:v>894.29740259740993</c:v>
                </c:pt>
                <c:pt idx="194">
                  <c:v>890.9954545454201</c:v>
                </c:pt>
                <c:pt idx="195">
                  <c:v>894.97207792212998</c:v>
                </c:pt>
                <c:pt idx="196">
                  <c:v>893.34025974026997</c:v>
                </c:pt>
                <c:pt idx="197">
                  <c:v>884.27272727275999</c:v>
                </c:pt>
                <c:pt idx="198">
                  <c:v>883.65324675322006</c:v>
                </c:pt>
                <c:pt idx="199">
                  <c:v>879.82792207789998</c:v>
                </c:pt>
                <c:pt idx="200">
                  <c:v>879.9389610389801</c:v>
                </c:pt>
                <c:pt idx="201">
                  <c:v>884.16948051944996</c:v>
                </c:pt>
                <c:pt idx="202">
                  <c:v>877.74545454540998</c:v>
                </c:pt>
                <c:pt idx="203">
                  <c:v>877.35714285713993</c:v>
                </c:pt>
                <c:pt idx="204">
                  <c:v>870.45129870130995</c:v>
                </c:pt>
                <c:pt idx="205">
                  <c:v>878.32402597404996</c:v>
                </c:pt>
                <c:pt idx="206">
                  <c:v>879.19090909089005</c:v>
                </c:pt>
                <c:pt idx="207">
                  <c:v>873.06168831172999</c:v>
                </c:pt>
                <c:pt idx="208">
                  <c:v>871.27077922077001</c:v>
                </c:pt>
                <c:pt idx="209">
                  <c:v>865.85844155843995</c:v>
                </c:pt>
                <c:pt idx="210">
                  <c:v>858.69415584415003</c:v>
                </c:pt>
                <c:pt idx="211">
                  <c:v>859.43701298701012</c:v>
                </c:pt>
                <c:pt idx="212">
                  <c:v>858.86168831168993</c:v>
                </c:pt>
                <c:pt idx="213">
                  <c:v>862.59740259739999</c:v>
                </c:pt>
                <c:pt idx="214">
                  <c:v>855.67142857142994</c:v>
                </c:pt>
                <c:pt idx="215">
                  <c:v>859.61363636364001</c:v>
                </c:pt>
                <c:pt idx="216">
                  <c:v>861.8980519480499</c:v>
                </c:pt>
                <c:pt idx="217">
                  <c:v>856.85714285714994</c:v>
                </c:pt>
                <c:pt idx="218">
                  <c:v>852.26623376624002</c:v>
                </c:pt>
                <c:pt idx="219">
                  <c:v>858.66038961038998</c:v>
                </c:pt>
                <c:pt idx="220">
                  <c:v>855.75909090908999</c:v>
                </c:pt>
                <c:pt idx="221">
                  <c:v>858.12922077922008</c:v>
                </c:pt>
                <c:pt idx="222">
                  <c:v>843.45714285713996</c:v>
                </c:pt>
                <c:pt idx="223">
                  <c:v>845.91623376623011</c:v>
                </c:pt>
                <c:pt idx="224">
                  <c:v>844.63961038962009</c:v>
                </c:pt>
                <c:pt idx="225">
                  <c:v>851.51103896102995</c:v>
                </c:pt>
                <c:pt idx="226">
                  <c:v>842.69415584415003</c:v>
                </c:pt>
                <c:pt idx="227">
                  <c:v>841.55714285713998</c:v>
                </c:pt>
                <c:pt idx="228">
                  <c:v>834.65584415583999</c:v>
                </c:pt>
                <c:pt idx="229">
                  <c:v>844.63051948052009</c:v>
                </c:pt>
                <c:pt idx="230">
                  <c:v>851.6064935064901</c:v>
                </c:pt>
                <c:pt idx="231">
                  <c:v>852.03571428572002</c:v>
                </c:pt>
                <c:pt idx="232">
                  <c:v>843.09805194805006</c:v>
                </c:pt>
                <c:pt idx="233">
                  <c:v>846.26168831169002</c:v>
                </c:pt>
                <c:pt idx="234">
                  <c:v>848.59935064935007</c:v>
                </c:pt>
                <c:pt idx="235">
                  <c:v>851.07402597402006</c:v>
                </c:pt>
                <c:pt idx="236">
                  <c:v>840.19740259740001</c:v>
                </c:pt>
                <c:pt idx="237">
                  <c:v>839.46103896104</c:v>
                </c:pt>
                <c:pt idx="238">
                  <c:v>844.84025974026008</c:v>
                </c:pt>
                <c:pt idx="239">
                  <c:v>842.34480519480996</c:v>
                </c:pt>
                <c:pt idx="240">
                  <c:v>847.94090909091005</c:v>
                </c:pt>
                <c:pt idx="241">
                  <c:v>834.82987012986996</c:v>
                </c:pt>
                <c:pt idx="242">
                  <c:v>835.08116883116998</c:v>
                </c:pt>
                <c:pt idx="243">
                  <c:v>836.58766233766005</c:v>
                </c:pt>
                <c:pt idx="244">
                  <c:v>839.98506493506</c:v>
                </c:pt>
                <c:pt idx="245">
                  <c:v>836.14610389610004</c:v>
                </c:pt>
                <c:pt idx="246">
                  <c:v>831.39740259740006</c:v>
                </c:pt>
                <c:pt idx="247">
                  <c:v>839.39220779221</c:v>
                </c:pt>
                <c:pt idx="248">
                  <c:v>839.16753246753001</c:v>
                </c:pt>
                <c:pt idx="249">
                  <c:v>825.61688311687999</c:v>
                </c:pt>
                <c:pt idx="250">
                  <c:v>821.06688311687992</c:v>
                </c:pt>
                <c:pt idx="251">
                  <c:v>821.76103896103996</c:v>
                </c:pt>
                <c:pt idx="252">
                  <c:v>822.71363636363003</c:v>
                </c:pt>
                <c:pt idx="253">
                  <c:v>812.70389610389998</c:v>
                </c:pt>
                <c:pt idx="254">
                  <c:v>817.51948051948</c:v>
                </c:pt>
                <c:pt idx="255">
                  <c:v>821.30714285713998</c:v>
                </c:pt>
                <c:pt idx="256">
                  <c:v>821.51038961039001</c:v>
                </c:pt>
                <c:pt idx="257">
                  <c:v>808.6077922078</c:v>
                </c:pt>
                <c:pt idx="258">
                  <c:v>824.71103896104</c:v>
                </c:pt>
                <c:pt idx="259">
                  <c:v>826.63116883117004</c:v>
                </c:pt>
                <c:pt idx="260">
                  <c:v>817.81493506493007</c:v>
                </c:pt>
                <c:pt idx="261">
                  <c:v>807.85519480519997</c:v>
                </c:pt>
                <c:pt idx="262">
                  <c:v>833.60064935064997</c:v>
                </c:pt>
                <c:pt idx="263">
                  <c:v>822.17532467532999</c:v>
                </c:pt>
                <c:pt idx="264">
                  <c:v>822.89350649350001</c:v>
                </c:pt>
                <c:pt idx="265">
                  <c:v>813.09545454545992</c:v>
                </c:pt>
                <c:pt idx="266">
                  <c:v>842.70388337152997</c:v>
                </c:pt>
                <c:pt idx="267">
                  <c:v>843.11389949919999</c:v>
                </c:pt>
                <c:pt idx="268">
                  <c:v>846.76819879467007</c:v>
                </c:pt>
                <c:pt idx="269">
                  <c:v>840.30964688905999</c:v>
                </c:pt>
                <c:pt idx="270">
                  <c:v>817.31773194125992</c:v>
                </c:pt>
                <c:pt idx="271">
                  <c:v>826.77715389186005</c:v>
                </c:pt>
                <c:pt idx="272">
                  <c:v>827.97506578388004</c:v>
                </c:pt>
                <c:pt idx="273">
                  <c:v>833.62826585179005</c:v>
                </c:pt>
                <c:pt idx="274">
                  <c:v>826.03907138612999</c:v>
                </c:pt>
                <c:pt idx="275">
                  <c:v>829.23119005178</c:v>
                </c:pt>
                <c:pt idx="276">
                  <c:v>833.61499023852002</c:v>
                </c:pt>
                <c:pt idx="277">
                  <c:v>825.27220524574</c:v>
                </c:pt>
                <c:pt idx="278">
                  <c:v>834.85211357269998</c:v>
                </c:pt>
                <c:pt idx="279">
                  <c:v>836.36319497496004</c:v>
                </c:pt>
                <c:pt idx="280">
                  <c:v>836.66083948731</c:v>
                </c:pt>
                <c:pt idx="281">
                  <c:v>829.20090824209001</c:v>
                </c:pt>
                <c:pt idx="282">
                  <c:v>824.78326542738</c:v>
                </c:pt>
                <c:pt idx="283">
                  <c:v>830.48873185638001</c:v>
                </c:pt>
                <c:pt idx="284">
                  <c:v>833.54462269757005</c:v>
                </c:pt>
                <c:pt idx="285">
                  <c:v>834.79547152194993</c:v>
                </c:pt>
                <c:pt idx="286">
                  <c:v>829.28239962651992</c:v>
                </c:pt>
                <c:pt idx="287">
                  <c:v>825.22999320940994</c:v>
                </c:pt>
                <c:pt idx="288">
                  <c:v>814.43883795941997</c:v>
                </c:pt>
                <c:pt idx="289">
                  <c:v>822.58399117222996</c:v>
                </c:pt>
                <c:pt idx="290">
                  <c:v>819.57015533485992</c:v>
                </c:pt>
                <c:pt idx="291">
                  <c:v>820.72564722857999</c:v>
                </c:pt>
                <c:pt idx="292">
                  <c:v>814.02407265936006</c:v>
                </c:pt>
                <c:pt idx="293">
                  <c:v>828.31944656649989</c:v>
                </c:pt>
                <c:pt idx="294">
                  <c:v>831.19912146676995</c:v>
                </c:pt>
                <c:pt idx="295">
                  <c:v>826.27971734149003</c:v>
                </c:pt>
                <c:pt idx="296">
                  <c:v>817.46092012562997</c:v>
                </c:pt>
                <c:pt idx="297">
                  <c:v>821.85546218488003</c:v>
                </c:pt>
                <c:pt idx="298">
                  <c:v>830.31964604024006</c:v>
                </c:pt>
                <c:pt idx="299">
                  <c:v>822.35808080807999</c:v>
                </c:pt>
                <c:pt idx="300">
                  <c:v>820.95270774975995</c:v>
                </c:pt>
                <c:pt idx="301">
                  <c:v>822.10207113148999</c:v>
                </c:pt>
                <c:pt idx="302">
                  <c:v>824.56246498600001</c:v>
                </c:pt>
                <c:pt idx="303">
                  <c:v>818.91535098887994</c:v>
                </c:pt>
                <c:pt idx="304">
                  <c:v>814.07205670145993</c:v>
                </c:pt>
                <c:pt idx="305">
                  <c:v>833.64921483745002</c:v>
                </c:pt>
                <c:pt idx="306">
                  <c:v>819.52166199812996</c:v>
                </c:pt>
                <c:pt idx="307">
                  <c:v>815.05595874713003</c:v>
                </c:pt>
                <c:pt idx="308">
                  <c:v>816.66312282489002</c:v>
                </c:pt>
                <c:pt idx="309">
                  <c:v>817.85135387488992</c:v>
                </c:pt>
                <c:pt idx="310">
                  <c:v>819.03867668279997</c:v>
                </c:pt>
                <c:pt idx="311">
                  <c:v>817.97957304133001</c:v>
                </c:pt>
                <c:pt idx="312">
                  <c:v>817.10731262202</c:v>
                </c:pt>
                <c:pt idx="313">
                  <c:v>814.56190900602996</c:v>
                </c:pt>
                <c:pt idx="314">
                  <c:v>810.97290552583991</c:v>
                </c:pt>
                <c:pt idx="315">
                  <c:v>798.93176725235992</c:v>
                </c:pt>
                <c:pt idx="316">
                  <c:v>802.74346405228994</c:v>
                </c:pt>
                <c:pt idx="317">
                  <c:v>807.50970630675999</c:v>
                </c:pt>
                <c:pt idx="318">
                  <c:v>802.49194890077001</c:v>
                </c:pt>
                <c:pt idx="319">
                  <c:v>799.49114251761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D8-CF46-A457-495C8D9FE3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302160"/>
        <c:axId val="674749232"/>
      </c:scatterChart>
      <c:valAx>
        <c:axId val="674302160"/>
        <c:scaling>
          <c:orientation val="minMax"/>
          <c:max val="16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49587444918009099"/>
              <c:y val="0.904319983257905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749232"/>
        <c:crossesAt val="0"/>
        <c:crossBetween val="midCat"/>
        <c:majorUnit val="10"/>
      </c:valAx>
      <c:valAx>
        <c:axId val="674749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mScarlet</a:t>
                </a:r>
              </a:p>
            </c:rich>
          </c:tx>
          <c:layout>
            <c:manualLayout>
              <c:xMode val="edge"/>
              <c:yMode val="edge"/>
              <c:x val="0.11342194610994701"/>
              <c:y val="0.3655863656577810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302160"/>
        <c:crossesAt val="0"/>
        <c:crossBetween val="midCat"/>
      </c:valAx>
      <c:spPr>
        <a:noFill/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corrected data</a:t>
            </a:r>
          </a:p>
        </c:rich>
      </c:tx>
      <c:layout>
        <c:manualLayout>
          <c:xMode val="edge"/>
          <c:yMode val="edge"/>
          <c:x val="0.46015862147666298"/>
          <c:y val="8.1002683653307303E-2"/>
        </c:manualLayout>
      </c:layout>
      <c:overlay val="1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889694343762601"/>
          <c:y val="0.19264140198482901"/>
          <c:w val="0.65156849851686605"/>
          <c:h val="0.61250578971746195"/>
        </c:manualLayout>
      </c:layout>
      <c:scatterChart>
        <c:scatterStyle val="lineMarker"/>
        <c:varyColors val="0"/>
        <c:ser>
          <c:idx val="1"/>
          <c:order val="0"/>
          <c:tx>
            <c:v>O2 Pulse Line</c:v>
          </c:tx>
          <c:marker>
            <c:symbol val="none"/>
          </c:marker>
          <c:xVal>
            <c:numRef>
              <c:f>'[1]Cond. B Template'!$A$82:$A$161</c:f>
              <c:numCache>
                <c:formatCode>General</c:formatCode>
                <c:ptCount val="80"/>
                <c:pt idx="0">
                  <c:v>40.5</c:v>
                </c:pt>
                <c:pt idx="1">
                  <c:v>41</c:v>
                </c:pt>
                <c:pt idx="2">
                  <c:v>41.5</c:v>
                </c:pt>
                <c:pt idx="3">
                  <c:v>42</c:v>
                </c:pt>
                <c:pt idx="4">
                  <c:v>42.5</c:v>
                </c:pt>
                <c:pt idx="5">
                  <c:v>43</c:v>
                </c:pt>
                <c:pt idx="6">
                  <c:v>43.5</c:v>
                </c:pt>
                <c:pt idx="7">
                  <c:v>44</c:v>
                </c:pt>
                <c:pt idx="8">
                  <c:v>44.5</c:v>
                </c:pt>
                <c:pt idx="9">
                  <c:v>45</c:v>
                </c:pt>
                <c:pt idx="10">
                  <c:v>45.5</c:v>
                </c:pt>
                <c:pt idx="11">
                  <c:v>46</c:v>
                </c:pt>
                <c:pt idx="12">
                  <c:v>46.5</c:v>
                </c:pt>
                <c:pt idx="13">
                  <c:v>47</c:v>
                </c:pt>
                <c:pt idx="14">
                  <c:v>47.5</c:v>
                </c:pt>
                <c:pt idx="15">
                  <c:v>48</c:v>
                </c:pt>
                <c:pt idx="16">
                  <c:v>48.5</c:v>
                </c:pt>
                <c:pt idx="17">
                  <c:v>49</c:v>
                </c:pt>
                <c:pt idx="18">
                  <c:v>49.5</c:v>
                </c:pt>
                <c:pt idx="19">
                  <c:v>50</c:v>
                </c:pt>
                <c:pt idx="20">
                  <c:v>50.5</c:v>
                </c:pt>
                <c:pt idx="21">
                  <c:v>51</c:v>
                </c:pt>
                <c:pt idx="22">
                  <c:v>51.5</c:v>
                </c:pt>
                <c:pt idx="23">
                  <c:v>52</c:v>
                </c:pt>
                <c:pt idx="24">
                  <c:v>52.5</c:v>
                </c:pt>
                <c:pt idx="25">
                  <c:v>53</c:v>
                </c:pt>
                <c:pt idx="26">
                  <c:v>53.5</c:v>
                </c:pt>
                <c:pt idx="27">
                  <c:v>54</c:v>
                </c:pt>
                <c:pt idx="28">
                  <c:v>54.5</c:v>
                </c:pt>
                <c:pt idx="29">
                  <c:v>55</c:v>
                </c:pt>
                <c:pt idx="30">
                  <c:v>55.5</c:v>
                </c:pt>
                <c:pt idx="31">
                  <c:v>56</c:v>
                </c:pt>
                <c:pt idx="32">
                  <c:v>56.5</c:v>
                </c:pt>
                <c:pt idx="33">
                  <c:v>57</c:v>
                </c:pt>
                <c:pt idx="34">
                  <c:v>57.5</c:v>
                </c:pt>
                <c:pt idx="35">
                  <c:v>58</c:v>
                </c:pt>
                <c:pt idx="36">
                  <c:v>58.5</c:v>
                </c:pt>
                <c:pt idx="37">
                  <c:v>59</c:v>
                </c:pt>
                <c:pt idx="38">
                  <c:v>59.5</c:v>
                </c:pt>
                <c:pt idx="39">
                  <c:v>60</c:v>
                </c:pt>
                <c:pt idx="40">
                  <c:v>60.5</c:v>
                </c:pt>
                <c:pt idx="41">
                  <c:v>61</c:v>
                </c:pt>
                <c:pt idx="42">
                  <c:v>61.5</c:v>
                </c:pt>
                <c:pt idx="43">
                  <c:v>62</c:v>
                </c:pt>
                <c:pt idx="44">
                  <c:v>62.5</c:v>
                </c:pt>
                <c:pt idx="45">
                  <c:v>63</c:v>
                </c:pt>
                <c:pt idx="46">
                  <c:v>63.5</c:v>
                </c:pt>
                <c:pt idx="47">
                  <c:v>64</c:v>
                </c:pt>
                <c:pt idx="48">
                  <c:v>64.5</c:v>
                </c:pt>
                <c:pt idx="49">
                  <c:v>65</c:v>
                </c:pt>
                <c:pt idx="50">
                  <c:v>65.5</c:v>
                </c:pt>
                <c:pt idx="51">
                  <c:v>66</c:v>
                </c:pt>
                <c:pt idx="52">
                  <c:v>66.5</c:v>
                </c:pt>
                <c:pt idx="53">
                  <c:v>67</c:v>
                </c:pt>
                <c:pt idx="54">
                  <c:v>67.5</c:v>
                </c:pt>
                <c:pt idx="55">
                  <c:v>68</c:v>
                </c:pt>
                <c:pt idx="56">
                  <c:v>68.5</c:v>
                </c:pt>
                <c:pt idx="57">
                  <c:v>69</c:v>
                </c:pt>
                <c:pt idx="58">
                  <c:v>69.5</c:v>
                </c:pt>
                <c:pt idx="59">
                  <c:v>70</c:v>
                </c:pt>
                <c:pt idx="60">
                  <c:v>70.5</c:v>
                </c:pt>
                <c:pt idx="61">
                  <c:v>71</c:v>
                </c:pt>
                <c:pt idx="62">
                  <c:v>71.5</c:v>
                </c:pt>
                <c:pt idx="63">
                  <c:v>72</c:v>
                </c:pt>
                <c:pt idx="64">
                  <c:v>72.5</c:v>
                </c:pt>
                <c:pt idx="65">
                  <c:v>73</c:v>
                </c:pt>
                <c:pt idx="66">
                  <c:v>73.5</c:v>
                </c:pt>
                <c:pt idx="67">
                  <c:v>74</c:v>
                </c:pt>
                <c:pt idx="68">
                  <c:v>74.5</c:v>
                </c:pt>
                <c:pt idx="69">
                  <c:v>75</c:v>
                </c:pt>
                <c:pt idx="70">
                  <c:v>75.5</c:v>
                </c:pt>
                <c:pt idx="71">
                  <c:v>76</c:v>
                </c:pt>
                <c:pt idx="72">
                  <c:v>76.5</c:v>
                </c:pt>
                <c:pt idx="73">
                  <c:v>77</c:v>
                </c:pt>
                <c:pt idx="74">
                  <c:v>77.5</c:v>
                </c:pt>
                <c:pt idx="75">
                  <c:v>78</c:v>
                </c:pt>
                <c:pt idx="76">
                  <c:v>78.5</c:v>
                </c:pt>
                <c:pt idx="77">
                  <c:v>79</c:v>
                </c:pt>
                <c:pt idx="78">
                  <c:v>79.5</c:v>
                </c:pt>
                <c:pt idx="79">
                  <c:v>80</c:v>
                </c:pt>
              </c:numCache>
            </c:numRef>
          </c:xVal>
          <c:yVal>
            <c:numRef>
              <c:f>'[1]Cond. B Template'!$X$64:$X$143</c:f>
              <c:numCache>
                <c:formatCode>General</c:formatCode>
                <c:ptCount val="80"/>
                <c:pt idx="0">
                  <c:v>-13</c:v>
                </c:pt>
                <c:pt idx="1">
                  <c:v>-13</c:v>
                </c:pt>
                <c:pt idx="2">
                  <c:v>-13</c:v>
                </c:pt>
                <c:pt idx="3">
                  <c:v>-13</c:v>
                </c:pt>
                <c:pt idx="4">
                  <c:v>-13</c:v>
                </c:pt>
                <c:pt idx="5">
                  <c:v>-13</c:v>
                </c:pt>
                <c:pt idx="6">
                  <c:v>-13</c:v>
                </c:pt>
                <c:pt idx="7">
                  <c:v>-13</c:v>
                </c:pt>
                <c:pt idx="8">
                  <c:v>-13</c:v>
                </c:pt>
                <c:pt idx="9">
                  <c:v>-13</c:v>
                </c:pt>
                <c:pt idx="10">
                  <c:v>-13</c:v>
                </c:pt>
                <c:pt idx="11">
                  <c:v>-13</c:v>
                </c:pt>
                <c:pt idx="12">
                  <c:v>-13</c:v>
                </c:pt>
                <c:pt idx="13">
                  <c:v>-13</c:v>
                </c:pt>
                <c:pt idx="14">
                  <c:v>-13</c:v>
                </c:pt>
                <c:pt idx="15">
                  <c:v>-13</c:v>
                </c:pt>
                <c:pt idx="16">
                  <c:v>-13</c:v>
                </c:pt>
                <c:pt idx="17">
                  <c:v>-13</c:v>
                </c:pt>
                <c:pt idx="18">
                  <c:v>-13</c:v>
                </c:pt>
                <c:pt idx="19">
                  <c:v>-13</c:v>
                </c:pt>
                <c:pt idx="20">
                  <c:v>-13</c:v>
                </c:pt>
                <c:pt idx="21">
                  <c:v>-13</c:v>
                </c:pt>
                <c:pt idx="22">
                  <c:v>-13</c:v>
                </c:pt>
                <c:pt idx="23">
                  <c:v>-13</c:v>
                </c:pt>
                <c:pt idx="24">
                  <c:v>-13</c:v>
                </c:pt>
                <c:pt idx="25">
                  <c:v>-13</c:v>
                </c:pt>
                <c:pt idx="26">
                  <c:v>-13</c:v>
                </c:pt>
                <c:pt idx="27">
                  <c:v>-13</c:v>
                </c:pt>
                <c:pt idx="28">
                  <c:v>-13</c:v>
                </c:pt>
                <c:pt idx="29">
                  <c:v>-13</c:v>
                </c:pt>
                <c:pt idx="30">
                  <c:v>-13</c:v>
                </c:pt>
                <c:pt idx="31">
                  <c:v>-13</c:v>
                </c:pt>
                <c:pt idx="32">
                  <c:v>-13</c:v>
                </c:pt>
                <c:pt idx="33">
                  <c:v>-13</c:v>
                </c:pt>
                <c:pt idx="34">
                  <c:v>-13</c:v>
                </c:pt>
                <c:pt idx="35">
                  <c:v>-13</c:v>
                </c:pt>
                <c:pt idx="36">
                  <c:v>-13</c:v>
                </c:pt>
                <c:pt idx="37">
                  <c:v>-13</c:v>
                </c:pt>
                <c:pt idx="38">
                  <c:v>-13</c:v>
                </c:pt>
                <c:pt idx="39">
                  <c:v>-13</c:v>
                </c:pt>
                <c:pt idx="40">
                  <c:v>-13</c:v>
                </c:pt>
                <c:pt idx="41">
                  <c:v>-13</c:v>
                </c:pt>
                <c:pt idx="42">
                  <c:v>-13</c:v>
                </c:pt>
                <c:pt idx="43">
                  <c:v>-13</c:v>
                </c:pt>
                <c:pt idx="44">
                  <c:v>-13</c:v>
                </c:pt>
                <c:pt idx="45">
                  <c:v>-13</c:v>
                </c:pt>
                <c:pt idx="46">
                  <c:v>-13</c:v>
                </c:pt>
                <c:pt idx="47">
                  <c:v>-13</c:v>
                </c:pt>
                <c:pt idx="48">
                  <c:v>-13</c:v>
                </c:pt>
                <c:pt idx="49">
                  <c:v>-13</c:v>
                </c:pt>
                <c:pt idx="50">
                  <c:v>-13</c:v>
                </c:pt>
                <c:pt idx="51">
                  <c:v>-13</c:v>
                </c:pt>
                <c:pt idx="52">
                  <c:v>-13</c:v>
                </c:pt>
                <c:pt idx="53">
                  <c:v>-13</c:v>
                </c:pt>
                <c:pt idx="54">
                  <c:v>-13</c:v>
                </c:pt>
                <c:pt idx="55">
                  <c:v>-13</c:v>
                </c:pt>
                <c:pt idx="56">
                  <c:v>-13</c:v>
                </c:pt>
                <c:pt idx="57">
                  <c:v>-13</c:v>
                </c:pt>
                <c:pt idx="58">
                  <c:v>-13</c:v>
                </c:pt>
                <c:pt idx="59">
                  <c:v>-13</c:v>
                </c:pt>
                <c:pt idx="60">
                  <c:v>-13</c:v>
                </c:pt>
                <c:pt idx="61">
                  <c:v>-13</c:v>
                </c:pt>
                <c:pt idx="62">
                  <c:v>-13</c:v>
                </c:pt>
                <c:pt idx="63">
                  <c:v>-13</c:v>
                </c:pt>
                <c:pt idx="64">
                  <c:v>-13</c:v>
                </c:pt>
                <c:pt idx="65">
                  <c:v>-13</c:v>
                </c:pt>
                <c:pt idx="66">
                  <c:v>-13</c:v>
                </c:pt>
                <c:pt idx="67">
                  <c:v>-13</c:v>
                </c:pt>
                <c:pt idx="68">
                  <c:v>-13</c:v>
                </c:pt>
                <c:pt idx="69">
                  <c:v>-13</c:v>
                </c:pt>
                <c:pt idx="70">
                  <c:v>-13</c:v>
                </c:pt>
                <c:pt idx="71">
                  <c:v>-13</c:v>
                </c:pt>
                <c:pt idx="72">
                  <c:v>-13</c:v>
                </c:pt>
                <c:pt idx="73">
                  <c:v>-13</c:v>
                </c:pt>
                <c:pt idx="74">
                  <c:v>-13</c:v>
                </c:pt>
                <c:pt idx="75">
                  <c:v>-13</c:v>
                </c:pt>
                <c:pt idx="76">
                  <c:v>-13</c:v>
                </c:pt>
                <c:pt idx="77">
                  <c:v>-13</c:v>
                </c:pt>
                <c:pt idx="78">
                  <c:v>-13</c:v>
                </c:pt>
                <c:pt idx="79">
                  <c:v>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58-C545-900E-DAAA4A58BCB6}"/>
            </c:ext>
          </c:extLst>
        </c:ser>
        <c:ser>
          <c:idx val="0"/>
          <c:order val="1"/>
          <c:tx>
            <c:v>Corrected Data</c:v>
          </c:tx>
          <c:spPr>
            <a:ln w="381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'240807B015'!$A$2:$A$321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'240807B015'!$P$2:$P$321</c:f>
              <c:numCache>
                <c:formatCode>General</c:formatCode>
                <c:ptCount val="320"/>
                <c:pt idx="0">
                  <c:v>-28.904982190960187</c:v>
                </c:pt>
                <c:pt idx="1">
                  <c:v>-32.99819601609169</c:v>
                </c:pt>
                <c:pt idx="2">
                  <c:v>-27.461056872433726</c:v>
                </c:pt>
                <c:pt idx="3">
                  <c:v>-12.16288373560683</c:v>
                </c:pt>
                <c:pt idx="4">
                  <c:v>-4.5652022802235832</c:v>
                </c:pt>
                <c:pt idx="5">
                  <c:v>-0.85399568949614257</c:v>
                </c:pt>
                <c:pt idx="6">
                  <c:v>1.7816412573612006</c:v>
                </c:pt>
                <c:pt idx="7">
                  <c:v>7.2123631521624763</c:v>
                </c:pt>
                <c:pt idx="8">
                  <c:v>10.262557567301506</c:v>
                </c:pt>
                <c:pt idx="9">
                  <c:v>8.9771622989133579</c:v>
                </c:pt>
                <c:pt idx="10">
                  <c:v>11.033529474966173</c:v>
                </c:pt>
                <c:pt idx="11">
                  <c:v>12.022629158622868</c:v>
                </c:pt>
                <c:pt idx="12">
                  <c:v>12.644963014120888</c:v>
                </c:pt>
                <c:pt idx="13">
                  <c:v>12.398539466229526</c:v>
                </c:pt>
                <c:pt idx="14">
                  <c:v>13.407395676248687</c:v>
                </c:pt>
                <c:pt idx="15">
                  <c:v>13.221033243576549</c:v>
                </c:pt>
                <c:pt idx="16">
                  <c:v>14.09411579588618</c:v>
                </c:pt>
                <c:pt idx="17">
                  <c:v>15.121682465851402</c:v>
                </c:pt>
                <c:pt idx="18">
                  <c:v>13.990107706575062</c:v>
                </c:pt>
                <c:pt idx="19">
                  <c:v>13.673920373460415</c:v>
                </c:pt>
                <c:pt idx="20">
                  <c:v>13.443440846137019</c:v>
                </c:pt>
                <c:pt idx="21">
                  <c:v>12.708130890538779</c:v>
                </c:pt>
                <c:pt idx="22">
                  <c:v>11.522735216555265</c:v>
                </c:pt>
                <c:pt idx="23">
                  <c:v>11.491105168983868</c:v>
                </c:pt>
                <c:pt idx="24">
                  <c:v>11.224007609459031</c:v>
                </c:pt>
                <c:pt idx="25">
                  <c:v>10.194993090166021</c:v>
                </c:pt>
                <c:pt idx="26">
                  <c:v>10.192329235195947</c:v>
                </c:pt>
                <c:pt idx="27">
                  <c:v>8.2930290016539381</c:v>
                </c:pt>
                <c:pt idx="28">
                  <c:v>8.0360235982684038</c:v>
                </c:pt>
                <c:pt idx="29">
                  <c:v>8.0900841117167257</c:v>
                </c:pt>
                <c:pt idx="30">
                  <c:v>7.5502225660980233</c:v>
                </c:pt>
                <c:pt idx="31">
                  <c:v>7.7734124002561602</c:v>
                </c:pt>
                <c:pt idx="32">
                  <c:v>5.5447823314477365</c:v>
                </c:pt>
                <c:pt idx="33">
                  <c:v>4.1324404455707144</c:v>
                </c:pt>
                <c:pt idx="34">
                  <c:v>5.8186059431348331</c:v>
                </c:pt>
                <c:pt idx="35">
                  <c:v>5.6757554946479196</c:v>
                </c:pt>
                <c:pt idx="36">
                  <c:v>5.6903046424035697</c:v>
                </c:pt>
                <c:pt idx="37">
                  <c:v>5.9017924328154789</c:v>
                </c:pt>
                <c:pt idx="38">
                  <c:v>5.5886187699168408</c:v>
                </c:pt>
                <c:pt idx="39">
                  <c:v>5.1731420722252981</c:v>
                </c:pt>
                <c:pt idx="40">
                  <c:v>6.8566653543565463</c:v>
                </c:pt>
                <c:pt idx="41">
                  <c:v>7.4183526990948048</c:v>
                </c:pt>
                <c:pt idx="42">
                  <c:v>6.0381437884118503</c:v>
                </c:pt>
                <c:pt idx="43">
                  <c:v>5.4283109628020316</c:v>
                </c:pt>
                <c:pt idx="44">
                  <c:v>5.3138648012135015</c:v>
                </c:pt>
                <c:pt idx="45">
                  <c:v>6.0230647344386492</c:v>
                </c:pt>
                <c:pt idx="46">
                  <c:v>6.4748522353240991</c:v>
                </c:pt>
                <c:pt idx="47">
                  <c:v>4.6167573429409217</c:v>
                </c:pt>
                <c:pt idx="48">
                  <c:v>5.1163483305242794</c:v>
                </c:pt>
                <c:pt idx="49">
                  <c:v>5.3232883705391947</c:v>
                </c:pt>
                <c:pt idx="50">
                  <c:v>4.2193500027904669</c:v>
                </c:pt>
                <c:pt idx="51">
                  <c:v>4.2612253561670652</c:v>
                </c:pt>
                <c:pt idx="52">
                  <c:v>4.3168596658789484</c:v>
                </c:pt>
                <c:pt idx="53">
                  <c:v>3.3101605017373927</c:v>
                </c:pt>
                <c:pt idx="54">
                  <c:v>2.6404527405783815</c:v>
                </c:pt>
                <c:pt idx="55">
                  <c:v>0.56662338386499456</c:v>
                </c:pt>
                <c:pt idx="56">
                  <c:v>-7.0865688713881797E-2</c:v>
                </c:pt>
                <c:pt idx="57">
                  <c:v>-0.58409580618867785</c:v>
                </c:pt>
                <c:pt idx="58">
                  <c:v>-2.0754759987135567</c:v>
                </c:pt>
                <c:pt idx="59">
                  <c:v>-1.8879792118959349</c:v>
                </c:pt>
                <c:pt idx="60">
                  <c:v>-0.93728284720013844</c:v>
                </c:pt>
                <c:pt idx="61">
                  <c:v>-2.3142314563689532</c:v>
                </c:pt>
                <c:pt idx="62">
                  <c:v>-1.2393711981799806</c:v>
                </c:pt>
                <c:pt idx="63">
                  <c:v>-0.76371404400481002</c:v>
                </c:pt>
                <c:pt idx="64">
                  <c:v>0.10752960760424975</c:v>
                </c:pt>
                <c:pt idx="65">
                  <c:v>-0.33205637495685975</c:v>
                </c:pt>
                <c:pt idx="66">
                  <c:v>-0.46704164172412016</c:v>
                </c:pt>
                <c:pt idx="67">
                  <c:v>0.21876517090024086</c:v>
                </c:pt>
                <c:pt idx="68">
                  <c:v>0.47637459835079371</c:v>
                </c:pt>
                <c:pt idx="69">
                  <c:v>-1.3123524023183599</c:v>
                </c:pt>
                <c:pt idx="70">
                  <c:v>-0.46121364155482603</c:v>
                </c:pt>
                <c:pt idx="71">
                  <c:v>-0.31140728270529</c:v>
                </c:pt>
                <c:pt idx="72">
                  <c:v>-0.57666197885325243</c:v>
                </c:pt>
                <c:pt idx="73">
                  <c:v>0.34288977461679548</c:v>
                </c:pt>
                <c:pt idx="74">
                  <c:v>0.90322028894356876</c:v>
                </c:pt>
                <c:pt idx="75">
                  <c:v>1.9097999090316897</c:v>
                </c:pt>
                <c:pt idx="76">
                  <c:v>1.6485070255553458</c:v>
                </c:pt>
                <c:pt idx="77">
                  <c:v>1.0369566819367644</c:v>
                </c:pt>
                <c:pt idx="78">
                  <c:v>0.35522421559923384</c:v>
                </c:pt>
                <c:pt idx="79">
                  <c:v>1.7160655953283193</c:v>
                </c:pt>
                <c:pt idx="80">
                  <c:v>-1.1272410687952412</c:v>
                </c:pt>
                <c:pt idx="81">
                  <c:v>-0.51604433102013658</c:v>
                </c:pt>
                <c:pt idx="82">
                  <c:v>-1.8313017417457413E-2</c:v>
                </c:pt>
                <c:pt idx="83">
                  <c:v>-4.6136343477238176E-2</c:v>
                </c:pt>
                <c:pt idx="84">
                  <c:v>-0.15038940220354244</c:v>
                </c:pt>
                <c:pt idx="85">
                  <c:v>0.56324334491709971</c:v>
                </c:pt>
                <c:pt idx="86">
                  <c:v>0.18885366115818988</c:v>
                </c:pt>
                <c:pt idx="87">
                  <c:v>0.78146100075816194</c:v>
                </c:pt>
                <c:pt idx="88">
                  <c:v>-0.31460995284367099</c:v>
                </c:pt>
                <c:pt idx="89">
                  <c:v>-1.0445441639075306</c:v>
                </c:pt>
                <c:pt idx="90">
                  <c:v>-7.3495435944842811</c:v>
                </c:pt>
                <c:pt idx="91">
                  <c:v>-13.966005687608089</c:v>
                </c:pt>
                <c:pt idx="92">
                  <c:v>-18.962841690927682</c:v>
                </c:pt>
                <c:pt idx="93">
                  <c:v>-23.387260025351278</c:v>
                </c:pt>
                <c:pt idx="94">
                  <c:v>-27.533142592190707</c:v>
                </c:pt>
                <c:pt idx="95">
                  <c:v>-30.945942870907885</c:v>
                </c:pt>
                <c:pt idx="96">
                  <c:v>-34.06327170942356</c:v>
                </c:pt>
                <c:pt idx="97">
                  <c:v>-36.825005659831987</c:v>
                </c:pt>
                <c:pt idx="98">
                  <c:v>-39.085137812515761</c:v>
                </c:pt>
                <c:pt idx="99">
                  <c:v>-41.173869362523931</c:v>
                </c:pt>
                <c:pt idx="100">
                  <c:v>-42.844261063380209</c:v>
                </c:pt>
                <c:pt idx="101">
                  <c:v>-43.924288927598703</c:v>
                </c:pt>
                <c:pt idx="102">
                  <c:v>-45.729513931395338</c:v>
                </c:pt>
                <c:pt idx="103">
                  <c:v>-47.162483261630193</c:v>
                </c:pt>
                <c:pt idx="104">
                  <c:v>-47.548429156122417</c:v>
                </c:pt>
                <c:pt idx="105">
                  <c:v>-48.362435750925705</c:v>
                </c:pt>
                <c:pt idx="106">
                  <c:v>-49.391197610316198</c:v>
                </c:pt>
                <c:pt idx="107">
                  <c:v>-49.663383938941095</c:v>
                </c:pt>
                <c:pt idx="108">
                  <c:v>-49.784858300991047</c:v>
                </c:pt>
                <c:pt idx="109">
                  <c:v>-49.862860091859382</c:v>
                </c:pt>
                <c:pt idx="110">
                  <c:v>-50.090445089772849</c:v>
                </c:pt>
                <c:pt idx="111">
                  <c:v>-50.216895906095203</c:v>
                </c:pt>
                <c:pt idx="112">
                  <c:v>-50.313890181829656</c:v>
                </c:pt>
                <c:pt idx="113">
                  <c:v>-50.735691409016326</c:v>
                </c:pt>
                <c:pt idx="114">
                  <c:v>-51.018066615346584</c:v>
                </c:pt>
                <c:pt idx="115">
                  <c:v>-51.450038603898605</c:v>
                </c:pt>
                <c:pt idx="116">
                  <c:v>-51.273021403125007</c:v>
                </c:pt>
                <c:pt idx="117">
                  <c:v>-51.412328659113207</c:v>
                </c:pt>
                <c:pt idx="118">
                  <c:v>-51.42195772287743</c:v>
                </c:pt>
                <c:pt idx="119">
                  <c:v>-51.493235139038696</c:v>
                </c:pt>
                <c:pt idx="120">
                  <c:v>-51.493916806360339</c:v>
                </c:pt>
                <c:pt idx="121">
                  <c:v>-51.787836310564941</c:v>
                </c:pt>
                <c:pt idx="122">
                  <c:v>-51.257897971000958</c:v>
                </c:pt>
                <c:pt idx="123">
                  <c:v>-51.404466027730443</c:v>
                </c:pt>
                <c:pt idx="124">
                  <c:v>-51.561032592698872</c:v>
                </c:pt>
                <c:pt idx="125">
                  <c:v>-51.18303472623731</c:v>
                </c:pt>
                <c:pt idx="126">
                  <c:v>-51.490674636984423</c:v>
                </c:pt>
                <c:pt idx="127">
                  <c:v>-50.93115912077868</c:v>
                </c:pt>
                <c:pt idx="128">
                  <c:v>-51.404540076181071</c:v>
                </c:pt>
                <c:pt idx="129">
                  <c:v>-51.078193638849193</c:v>
                </c:pt>
                <c:pt idx="130">
                  <c:v>-50.950845648057417</c:v>
                </c:pt>
                <c:pt idx="131">
                  <c:v>-50.608687666594143</c:v>
                </c:pt>
                <c:pt idx="132">
                  <c:v>-50.534117722393489</c:v>
                </c:pt>
                <c:pt idx="133">
                  <c:v>-50.644568974436808</c:v>
                </c:pt>
                <c:pt idx="134">
                  <c:v>-50.52697418012211</c:v>
                </c:pt>
                <c:pt idx="135">
                  <c:v>-50.661428615790463</c:v>
                </c:pt>
                <c:pt idx="136">
                  <c:v>-50.492798188754293</c:v>
                </c:pt>
                <c:pt idx="137">
                  <c:v>-50.768088112840729</c:v>
                </c:pt>
                <c:pt idx="138">
                  <c:v>-50.090374391655658</c:v>
                </c:pt>
                <c:pt idx="139">
                  <c:v>-50.178417430639044</c:v>
                </c:pt>
                <c:pt idx="140">
                  <c:v>-49.991036420917808</c:v>
                </c:pt>
                <c:pt idx="141">
                  <c:v>-50.018907817735091</c:v>
                </c:pt>
                <c:pt idx="142">
                  <c:v>-50.116000935336928</c:v>
                </c:pt>
                <c:pt idx="143">
                  <c:v>-49.874738393537093</c:v>
                </c:pt>
                <c:pt idx="144">
                  <c:v>-49.840821230795996</c:v>
                </c:pt>
                <c:pt idx="145">
                  <c:v>-49.23472724690992</c:v>
                </c:pt>
                <c:pt idx="146">
                  <c:v>-49.761671264010566</c:v>
                </c:pt>
                <c:pt idx="147">
                  <c:v>-49.427336668134259</c:v>
                </c:pt>
                <c:pt idx="148">
                  <c:v>-49.648393769214401</c:v>
                </c:pt>
                <c:pt idx="149">
                  <c:v>-49.371501262092977</c:v>
                </c:pt>
                <c:pt idx="150">
                  <c:v>-49.192586922386639</c:v>
                </c:pt>
                <c:pt idx="151">
                  <c:v>-49.017780340051068</c:v>
                </c:pt>
                <c:pt idx="152">
                  <c:v>-49.027234244933972</c:v>
                </c:pt>
                <c:pt idx="153">
                  <c:v>-48.484122271102727</c:v>
                </c:pt>
                <c:pt idx="154">
                  <c:v>-48.438415448180521</c:v>
                </c:pt>
                <c:pt idx="155">
                  <c:v>-48.39554575540857</c:v>
                </c:pt>
                <c:pt idx="156">
                  <c:v>-48.090926821299071</c:v>
                </c:pt>
                <c:pt idx="157">
                  <c:v>-48.106520398088392</c:v>
                </c:pt>
                <c:pt idx="158">
                  <c:v>-48.039013668922223</c:v>
                </c:pt>
                <c:pt idx="159">
                  <c:v>-47.878857959057783</c:v>
                </c:pt>
                <c:pt idx="160">
                  <c:v>-48.059207610773996</c:v>
                </c:pt>
                <c:pt idx="161">
                  <c:v>-47.801827389651166</c:v>
                </c:pt>
                <c:pt idx="162">
                  <c:v>-30.760368950017554</c:v>
                </c:pt>
                <c:pt idx="163">
                  <c:v>-14.71544555063792</c:v>
                </c:pt>
                <c:pt idx="164">
                  <c:v>-3.2958978098293268</c:v>
                </c:pt>
                <c:pt idx="165">
                  <c:v>7.4526687086593224</c:v>
                </c:pt>
                <c:pt idx="166">
                  <c:v>19.131452342094725</c:v>
                </c:pt>
                <c:pt idx="167">
                  <c:v>27.020699832868779</c:v>
                </c:pt>
                <c:pt idx="168">
                  <c:v>30.487755047312181</c:v>
                </c:pt>
                <c:pt idx="169">
                  <c:v>31.203827270195017</c:v>
                </c:pt>
                <c:pt idx="170">
                  <c:v>32.49310814996992</c:v>
                </c:pt>
                <c:pt idx="171">
                  <c:v>35.017488065975094</c:v>
                </c:pt>
                <c:pt idx="172">
                  <c:v>37.793600424675397</c:v>
                </c:pt>
                <c:pt idx="173">
                  <c:v>38.845852622059951</c:v>
                </c:pt>
                <c:pt idx="174">
                  <c:v>37.684497227609363</c:v>
                </c:pt>
                <c:pt idx="175">
                  <c:v>37.857704509430924</c:v>
                </c:pt>
                <c:pt idx="176">
                  <c:v>35.741120198575501</c:v>
                </c:pt>
                <c:pt idx="177">
                  <c:v>36.664152419450744</c:v>
                </c:pt>
                <c:pt idx="178">
                  <c:v>37.827288179920679</c:v>
                </c:pt>
                <c:pt idx="179">
                  <c:v>40.86415170697736</c:v>
                </c:pt>
                <c:pt idx="180">
                  <c:v>38.949555566228227</c:v>
                </c:pt>
                <c:pt idx="181">
                  <c:v>37.313439862846714</c:v>
                </c:pt>
                <c:pt idx="182">
                  <c:v>34.540907962058206</c:v>
                </c:pt>
                <c:pt idx="183">
                  <c:v>32.845635413335337</c:v>
                </c:pt>
                <c:pt idx="184">
                  <c:v>33.272213162776403</c:v>
                </c:pt>
                <c:pt idx="185">
                  <c:v>32.589874265880894</c:v>
                </c:pt>
                <c:pt idx="186">
                  <c:v>31.638651906469423</c:v>
                </c:pt>
                <c:pt idx="187">
                  <c:v>31.282739334543997</c:v>
                </c:pt>
                <c:pt idx="188">
                  <c:v>31.208207185866282</c:v>
                </c:pt>
                <c:pt idx="189">
                  <c:v>27.63054806345059</c:v>
                </c:pt>
                <c:pt idx="190">
                  <c:v>27.825411470100292</c:v>
                </c:pt>
                <c:pt idx="191">
                  <c:v>27.092044815139726</c:v>
                </c:pt>
                <c:pt idx="192">
                  <c:v>25.967760189376847</c:v>
                </c:pt>
                <c:pt idx="193">
                  <c:v>25.609091550770991</c:v>
                </c:pt>
                <c:pt idx="194">
                  <c:v>25.270347213985549</c:v>
                </c:pt>
                <c:pt idx="195">
                  <c:v>24.375513240174286</c:v>
                </c:pt>
                <c:pt idx="196">
                  <c:v>23.266159922670038</c:v>
                </c:pt>
                <c:pt idx="197">
                  <c:v>23.297294631669537</c:v>
                </c:pt>
                <c:pt idx="198">
                  <c:v>22.750671732563287</c:v>
                </c:pt>
                <c:pt idx="199">
                  <c:v>21.860949960764824</c:v>
                </c:pt>
                <c:pt idx="200">
                  <c:v>20.694890570482009</c:v>
                </c:pt>
                <c:pt idx="201">
                  <c:v>19.930468410714074</c:v>
                </c:pt>
                <c:pt idx="202">
                  <c:v>18.431594576773769</c:v>
                </c:pt>
                <c:pt idx="203">
                  <c:v>16.94976694299881</c:v>
                </c:pt>
                <c:pt idx="204">
                  <c:v>16.867379183208797</c:v>
                </c:pt>
                <c:pt idx="205">
                  <c:v>17.397180185612903</c:v>
                </c:pt>
                <c:pt idx="206">
                  <c:v>16.319758698431112</c:v>
                </c:pt>
                <c:pt idx="207">
                  <c:v>15.144898069194216</c:v>
                </c:pt>
                <c:pt idx="208">
                  <c:v>14.108772079804</c:v>
                </c:pt>
                <c:pt idx="209">
                  <c:v>12.272358376482471</c:v>
                </c:pt>
                <c:pt idx="210">
                  <c:v>11.819733640399905</c:v>
                </c:pt>
                <c:pt idx="211">
                  <c:v>12.169319239169619</c:v>
                </c:pt>
                <c:pt idx="212">
                  <c:v>13.226493110262322</c:v>
                </c:pt>
                <c:pt idx="213">
                  <c:v>10.54746197328617</c:v>
                </c:pt>
                <c:pt idx="214">
                  <c:v>8.6549144181679853</c:v>
                </c:pt>
                <c:pt idx="215">
                  <c:v>7.2604275113653847</c:v>
                </c:pt>
                <c:pt idx="216">
                  <c:v>6.5575502190951633</c:v>
                </c:pt>
                <c:pt idx="217">
                  <c:v>4.7560710728390125</c:v>
                </c:pt>
                <c:pt idx="218">
                  <c:v>4.5538261727330624</c:v>
                </c:pt>
                <c:pt idx="219">
                  <c:v>4.3701451839495746</c:v>
                </c:pt>
                <c:pt idx="220">
                  <c:v>2.7328205648895145</c:v>
                </c:pt>
                <c:pt idx="221">
                  <c:v>2.5555155019903673</c:v>
                </c:pt>
                <c:pt idx="222">
                  <c:v>0.86491628132977416</c:v>
                </c:pt>
                <c:pt idx="223">
                  <c:v>2.9347912425987688</c:v>
                </c:pt>
                <c:pt idx="224">
                  <c:v>1.8819022634906153</c:v>
                </c:pt>
                <c:pt idx="225">
                  <c:v>1.2765292490748559</c:v>
                </c:pt>
                <c:pt idx="226">
                  <c:v>0.39926632550503027</c:v>
                </c:pt>
                <c:pt idx="227">
                  <c:v>0.2416881711129909</c:v>
                </c:pt>
                <c:pt idx="228">
                  <c:v>-0.29758973811276013</c:v>
                </c:pt>
                <c:pt idx="229">
                  <c:v>1.3711592667204855</c:v>
                </c:pt>
                <c:pt idx="230">
                  <c:v>2.2161782604478715</c:v>
                </c:pt>
                <c:pt idx="231">
                  <c:v>3.3365126827069327</c:v>
                </c:pt>
                <c:pt idx="232">
                  <c:v>5.303632121076931</c:v>
                </c:pt>
                <c:pt idx="233">
                  <c:v>5.8717703107759149</c:v>
                </c:pt>
                <c:pt idx="234">
                  <c:v>4.9345136206499607</c:v>
                </c:pt>
                <c:pt idx="235">
                  <c:v>5.4698917713806434</c:v>
                </c:pt>
                <c:pt idx="236">
                  <c:v>4.4120894824707015</c:v>
                </c:pt>
                <c:pt idx="237">
                  <c:v>4.1268919207894861</c:v>
                </c:pt>
                <c:pt idx="238">
                  <c:v>5.0014078188332967</c:v>
                </c:pt>
                <c:pt idx="239">
                  <c:v>5.9564773011346572</c:v>
                </c:pt>
                <c:pt idx="240">
                  <c:v>4.5097314171536631</c:v>
                </c:pt>
                <c:pt idx="241">
                  <c:v>3.8290408178601751</c:v>
                </c:pt>
                <c:pt idx="242">
                  <c:v>2.6968852909749961</c:v>
                </c:pt>
                <c:pt idx="243">
                  <c:v>2.0417646103400253</c:v>
                </c:pt>
                <c:pt idx="244">
                  <c:v>1.3858616428684696</c:v>
                </c:pt>
                <c:pt idx="245">
                  <c:v>2.6252568158944487</c:v>
                </c:pt>
                <c:pt idx="246">
                  <c:v>3.4194787067505663</c:v>
                </c:pt>
                <c:pt idx="247">
                  <c:v>2.9776942346276138</c:v>
                </c:pt>
                <c:pt idx="248">
                  <c:v>2.4462845380745315</c:v>
                </c:pt>
                <c:pt idx="249">
                  <c:v>0.81541789681538923</c:v>
                </c:pt>
                <c:pt idx="250">
                  <c:v>1.5583992280795411</c:v>
                </c:pt>
                <c:pt idx="251">
                  <c:v>1.2970024991050924</c:v>
                </c:pt>
                <c:pt idx="252">
                  <c:v>1.8843402311032108E-2</c:v>
                </c:pt>
                <c:pt idx="253">
                  <c:v>-0.67090921688739269</c:v>
                </c:pt>
                <c:pt idx="254">
                  <c:v>-0.49776980887378774</c:v>
                </c:pt>
                <c:pt idx="255">
                  <c:v>-0.25466399798293088</c:v>
                </c:pt>
                <c:pt idx="256">
                  <c:v>-8.0261375265210627E-2</c:v>
                </c:pt>
                <c:pt idx="257">
                  <c:v>-1.0431552228334167</c:v>
                </c:pt>
                <c:pt idx="258">
                  <c:v>0.48220166514066226</c:v>
                </c:pt>
                <c:pt idx="259">
                  <c:v>0.10605083810702835</c:v>
                </c:pt>
                <c:pt idx="260">
                  <c:v>-0.34476977958861305</c:v>
                </c:pt>
                <c:pt idx="261">
                  <c:v>-0.4501965890341933</c:v>
                </c:pt>
                <c:pt idx="262">
                  <c:v>-0.59647215367771644</c:v>
                </c:pt>
                <c:pt idx="263">
                  <c:v>-2.2531574175802098</c:v>
                </c:pt>
                <c:pt idx="264">
                  <c:v>-3.8956709647089802</c:v>
                </c:pt>
                <c:pt idx="265">
                  <c:v>-1.7203823792339157</c:v>
                </c:pt>
                <c:pt idx="266">
                  <c:v>-0.4078901792221164</c:v>
                </c:pt>
                <c:pt idx="267">
                  <c:v>8.4098465620327124E-3</c:v>
                </c:pt>
                <c:pt idx="268">
                  <c:v>0.47427376210173011</c:v>
                </c:pt>
                <c:pt idx="269">
                  <c:v>1.4004049277606643</c:v>
                </c:pt>
                <c:pt idx="270">
                  <c:v>2.1509861371587502</c:v>
                </c:pt>
                <c:pt idx="271">
                  <c:v>1.1738843120653251</c:v>
                </c:pt>
                <c:pt idx="272">
                  <c:v>2.6743233776911679</c:v>
                </c:pt>
                <c:pt idx="273">
                  <c:v>4.1158190187793338</c:v>
                </c:pt>
                <c:pt idx="274">
                  <c:v>3.4284438362994676</c:v>
                </c:pt>
                <c:pt idx="275">
                  <c:v>1.8706428440829332</c:v>
                </c:pt>
                <c:pt idx="276">
                  <c:v>1.5530930324563061</c:v>
                </c:pt>
                <c:pt idx="277">
                  <c:v>0.82941247181587596</c:v>
                </c:pt>
                <c:pt idx="278">
                  <c:v>2.7801460805147773</c:v>
                </c:pt>
                <c:pt idx="279">
                  <c:v>3.4050982710423212</c:v>
                </c:pt>
                <c:pt idx="280">
                  <c:v>4.9235120193282551</c:v>
                </c:pt>
                <c:pt idx="281">
                  <c:v>4.3351766469091118</c:v>
                </c:pt>
                <c:pt idx="282">
                  <c:v>5.1025525574366517</c:v>
                </c:pt>
                <c:pt idx="283">
                  <c:v>3.2571230781352232</c:v>
                </c:pt>
                <c:pt idx="284">
                  <c:v>3.6499708440975462</c:v>
                </c:pt>
                <c:pt idx="285">
                  <c:v>2.9645391236866416</c:v>
                </c:pt>
                <c:pt idx="286">
                  <c:v>3.6671519937018018</c:v>
                </c:pt>
                <c:pt idx="287">
                  <c:v>3.6472061635613193</c:v>
                </c:pt>
                <c:pt idx="288">
                  <c:v>4.2161641809612123</c:v>
                </c:pt>
                <c:pt idx="289">
                  <c:v>4.771620027074543</c:v>
                </c:pt>
                <c:pt idx="290">
                  <c:v>4.6214300787464992</c:v>
                </c:pt>
                <c:pt idx="291">
                  <c:v>4.3708907551502554</c:v>
                </c:pt>
                <c:pt idx="292">
                  <c:v>4.1037246529063678</c:v>
                </c:pt>
                <c:pt idx="293">
                  <c:v>4.5290488976250307</c:v>
                </c:pt>
                <c:pt idx="294">
                  <c:v>6.0102012227405917</c:v>
                </c:pt>
                <c:pt idx="295">
                  <c:v>6.6357317287512636</c:v>
                </c:pt>
                <c:pt idx="296">
                  <c:v>9.2022697393620589</c:v>
                </c:pt>
                <c:pt idx="297">
                  <c:v>7.5944906139705672</c:v>
                </c:pt>
                <c:pt idx="298">
                  <c:v>5.7332971431098683</c:v>
                </c:pt>
                <c:pt idx="299">
                  <c:v>5.2133526816867954</c:v>
                </c:pt>
                <c:pt idx="300">
                  <c:v>4.2509130509603352</c:v>
                </c:pt>
                <c:pt idx="301">
                  <c:v>5.1414826344730997</c:v>
                </c:pt>
                <c:pt idx="302">
                  <c:v>5.3300362153115479</c:v>
                </c:pt>
                <c:pt idx="303">
                  <c:v>4.6159238277176744</c:v>
                </c:pt>
                <c:pt idx="304">
                  <c:v>4.6517187715011632</c:v>
                </c:pt>
                <c:pt idx="305">
                  <c:v>4.4800035651977792</c:v>
                </c:pt>
                <c:pt idx="306">
                  <c:v>3.6111841250196952</c:v>
                </c:pt>
                <c:pt idx="307">
                  <c:v>3.2609575285471988</c:v>
                </c:pt>
                <c:pt idx="308">
                  <c:v>3.0816834156523591</c:v>
                </c:pt>
                <c:pt idx="309">
                  <c:v>2.5599366118626179</c:v>
                </c:pt>
                <c:pt idx="310">
                  <c:v>0.85692911752187129</c:v>
                </c:pt>
                <c:pt idx="311">
                  <c:v>-0.50353964641502336</c:v>
                </c:pt>
                <c:pt idx="312">
                  <c:v>-1.6991907066992848</c:v>
                </c:pt>
                <c:pt idx="313">
                  <c:v>-3.097268561400377</c:v>
                </c:pt>
                <c:pt idx="314">
                  <c:v>-4.578062651144819</c:v>
                </c:pt>
                <c:pt idx="315">
                  <c:v>-4.2818414208622073</c:v>
                </c:pt>
                <c:pt idx="316">
                  <c:v>-5.2549903072677102</c:v>
                </c:pt>
                <c:pt idx="317">
                  <c:v>-5.4522735145115586</c:v>
                </c:pt>
                <c:pt idx="318">
                  <c:v>-6.1589912811706702</c:v>
                </c:pt>
                <c:pt idx="319">
                  <c:v>-7.5713710671073988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58-C545-900E-DAAA4A58BC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576608"/>
        <c:axId val="674579728"/>
      </c:scatterChart>
      <c:valAx>
        <c:axId val="674576608"/>
        <c:scaling>
          <c:orientation val="minMax"/>
          <c:max val="16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50460104986876597"/>
              <c:y val="0.88412609323488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9728"/>
        <c:crossesAt val="0"/>
        <c:crossBetween val="midCat"/>
        <c:majorUnit val="10"/>
      </c:valAx>
      <c:valAx>
        <c:axId val="674579728"/>
        <c:scaling>
          <c:orientation val="minMax"/>
          <c:max val="100"/>
          <c:min val="-60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Symbol"/>
                  </a:rPr>
                  <a:t>% D</a:t>
                </a: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R/R</a:t>
                </a:r>
                <a:r>
                  <a:rPr lang="en-US" sz="1400" b="0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0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10871861805317801"/>
              <c:y val="0.4041593677194850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6608"/>
        <c:crossesAt val="0"/>
        <c:crossBetween val="midCat"/>
      </c:valAx>
      <c:spPr>
        <a:solidFill>
          <a:sysClr val="window" lastClr="FFFFFF"/>
        </a:solidFill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476250</xdr:colOff>
      <xdr:row>1</xdr:row>
      <xdr:rowOff>79375</xdr:rowOff>
    </xdr:from>
    <xdr:to>
      <xdr:col>24</xdr:col>
      <xdr:colOff>400050</xdr:colOff>
      <xdr:row>26</xdr:row>
      <xdr:rowOff>85725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BE757681-EAF2-41C2-BBE0-91F376B16A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644525</xdr:colOff>
      <xdr:row>28</xdr:row>
      <xdr:rowOff>3175</xdr:rowOff>
    </xdr:from>
    <xdr:to>
      <xdr:col>24</xdr:col>
      <xdr:colOff>644525</xdr:colOff>
      <xdr:row>50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40A90A-8F50-41E9-8976-09F3B90535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476250</xdr:colOff>
      <xdr:row>1</xdr:row>
      <xdr:rowOff>79375</xdr:rowOff>
    </xdr:from>
    <xdr:to>
      <xdr:col>24</xdr:col>
      <xdr:colOff>400050</xdr:colOff>
      <xdr:row>26</xdr:row>
      <xdr:rowOff>85725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1580A498-F25E-9542-9823-AD137C73AC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644525</xdr:colOff>
      <xdr:row>28</xdr:row>
      <xdr:rowOff>3175</xdr:rowOff>
    </xdr:from>
    <xdr:to>
      <xdr:col>24</xdr:col>
      <xdr:colOff>644525</xdr:colOff>
      <xdr:row>50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CCCCA7A-D1A1-7648-8FC8-37FF9D9ECE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476250</xdr:colOff>
      <xdr:row>1</xdr:row>
      <xdr:rowOff>79375</xdr:rowOff>
    </xdr:from>
    <xdr:to>
      <xdr:col>24</xdr:col>
      <xdr:colOff>400050</xdr:colOff>
      <xdr:row>26</xdr:row>
      <xdr:rowOff>85725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1109EBCE-0DB9-5546-8618-FDAA7D9086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644525</xdr:colOff>
      <xdr:row>28</xdr:row>
      <xdr:rowOff>3175</xdr:rowOff>
    </xdr:from>
    <xdr:to>
      <xdr:col>24</xdr:col>
      <xdr:colOff>644525</xdr:colOff>
      <xdr:row>50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BA43179-A760-1D4A-99B7-89145C6CFD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476250</xdr:colOff>
      <xdr:row>1</xdr:row>
      <xdr:rowOff>79375</xdr:rowOff>
    </xdr:from>
    <xdr:to>
      <xdr:col>24</xdr:col>
      <xdr:colOff>400050</xdr:colOff>
      <xdr:row>26</xdr:row>
      <xdr:rowOff>85725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AD212F5-9AB3-BC46-867D-3564CAE9CC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644525</xdr:colOff>
      <xdr:row>28</xdr:row>
      <xdr:rowOff>3175</xdr:rowOff>
    </xdr:from>
    <xdr:to>
      <xdr:col>24</xdr:col>
      <xdr:colOff>644525</xdr:colOff>
      <xdr:row>50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20C2401-AD4B-AE42-A3E5-7FA3ED3F36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476250</xdr:colOff>
      <xdr:row>1</xdr:row>
      <xdr:rowOff>79375</xdr:rowOff>
    </xdr:from>
    <xdr:to>
      <xdr:col>24</xdr:col>
      <xdr:colOff>400050</xdr:colOff>
      <xdr:row>26</xdr:row>
      <xdr:rowOff>85725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2E0D8330-ACCB-6741-869E-ECA22A3AE7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644525</xdr:colOff>
      <xdr:row>28</xdr:row>
      <xdr:rowOff>3175</xdr:rowOff>
    </xdr:from>
    <xdr:to>
      <xdr:col>24</xdr:col>
      <xdr:colOff>644525</xdr:colOff>
      <xdr:row>50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5B47CF2-5AD7-C143-94EB-1132944869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476250</xdr:colOff>
      <xdr:row>1</xdr:row>
      <xdr:rowOff>79375</xdr:rowOff>
    </xdr:from>
    <xdr:to>
      <xdr:col>24</xdr:col>
      <xdr:colOff>400050</xdr:colOff>
      <xdr:row>26</xdr:row>
      <xdr:rowOff>85725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A0B97DAD-90D7-5848-ABE7-FBB8E3239C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644525</xdr:colOff>
      <xdr:row>28</xdr:row>
      <xdr:rowOff>3175</xdr:rowOff>
    </xdr:from>
    <xdr:to>
      <xdr:col>24</xdr:col>
      <xdr:colOff>644525</xdr:colOff>
      <xdr:row>50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96A8A2B-11FB-3743-B249-E1CF989503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reannawalsh/Documents/UCLA%20::%202019-2027/Hallem%20Lab/Data/Calcium%20Imaging%20Data/Analysis%20Worksheets/2024-0705_Walsh_CI_DataWork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. A Template"/>
      <sheetName val="Cond. B Template"/>
    </sheetNames>
    <sheetDataSet>
      <sheetData sheetId="0"/>
      <sheetData sheetId="1">
        <row r="64">
          <cell r="X64">
            <v>-13</v>
          </cell>
        </row>
        <row r="65">
          <cell r="X65">
            <v>-13</v>
          </cell>
        </row>
        <row r="66">
          <cell r="X66">
            <v>-13</v>
          </cell>
        </row>
        <row r="67">
          <cell r="X67">
            <v>-13</v>
          </cell>
        </row>
        <row r="68">
          <cell r="X68">
            <v>-13</v>
          </cell>
        </row>
        <row r="69">
          <cell r="X69">
            <v>-13</v>
          </cell>
        </row>
        <row r="70">
          <cell r="X70">
            <v>-13</v>
          </cell>
        </row>
        <row r="71">
          <cell r="X71">
            <v>-13</v>
          </cell>
        </row>
        <row r="72">
          <cell r="X72">
            <v>-13</v>
          </cell>
        </row>
        <row r="73">
          <cell r="X73">
            <v>-13</v>
          </cell>
        </row>
        <row r="74">
          <cell r="X74">
            <v>-13</v>
          </cell>
        </row>
        <row r="75">
          <cell r="X75">
            <v>-13</v>
          </cell>
        </row>
        <row r="76">
          <cell r="X76">
            <v>-13</v>
          </cell>
        </row>
        <row r="77">
          <cell r="X77">
            <v>-13</v>
          </cell>
        </row>
        <row r="78">
          <cell r="X78">
            <v>-13</v>
          </cell>
        </row>
        <row r="79">
          <cell r="X79">
            <v>-13</v>
          </cell>
        </row>
        <row r="80">
          <cell r="X80">
            <v>-13</v>
          </cell>
        </row>
        <row r="81">
          <cell r="X81">
            <v>-13</v>
          </cell>
        </row>
        <row r="82">
          <cell r="A82">
            <v>40.5</v>
          </cell>
          <cell r="X82">
            <v>-13</v>
          </cell>
        </row>
        <row r="83">
          <cell r="A83">
            <v>41</v>
          </cell>
          <cell r="X83">
            <v>-13</v>
          </cell>
        </row>
        <row r="84">
          <cell r="A84">
            <v>41.5</v>
          </cell>
          <cell r="X84">
            <v>-13</v>
          </cell>
        </row>
        <row r="85">
          <cell r="A85">
            <v>42</v>
          </cell>
          <cell r="X85">
            <v>-13</v>
          </cell>
        </row>
        <row r="86">
          <cell r="A86">
            <v>42.5</v>
          </cell>
          <cell r="X86">
            <v>-13</v>
          </cell>
        </row>
        <row r="87">
          <cell r="A87">
            <v>43</v>
          </cell>
          <cell r="X87">
            <v>-13</v>
          </cell>
        </row>
        <row r="88">
          <cell r="A88">
            <v>43.5</v>
          </cell>
          <cell r="X88">
            <v>-13</v>
          </cell>
        </row>
        <row r="89">
          <cell r="A89">
            <v>44</v>
          </cell>
          <cell r="X89">
            <v>-13</v>
          </cell>
        </row>
        <row r="90">
          <cell r="A90">
            <v>44.5</v>
          </cell>
          <cell r="X90">
            <v>-13</v>
          </cell>
        </row>
        <row r="91">
          <cell r="A91">
            <v>45</v>
          </cell>
          <cell r="X91">
            <v>-13</v>
          </cell>
        </row>
        <row r="92">
          <cell r="A92">
            <v>45.5</v>
          </cell>
          <cell r="X92">
            <v>-13</v>
          </cell>
        </row>
        <row r="93">
          <cell r="A93">
            <v>46</v>
          </cell>
          <cell r="X93">
            <v>-13</v>
          </cell>
        </row>
        <row r="94">
          <cell r="A94">
            <v>46.5</v>
          </cell>
          <cell r="X94">
            <v>-13</v>
          </cell>
        </row>
        <row r="95">
          <cell r="A95">
            <v>47</v>
          </cell>
          <cell r="X95">
            <v>-13</v>
          </cell>
        </row>
        <row r="96">
          <cell r="A96">
            <v>47.5</v>
          </cell>
          <cell r="X96">
            <v>-13</v>
          </cell>
        </row>
        <row r="97">
          <cell r="A97">
            <v>48</v>
          </cell>
          <cell r="X97">
            <v>-13</v>
          </cell>
        </row>
        <row r="98">
          <cell r="A98">
            <v>48.5</v>
          </cell>
          <cell r="X98">
            <v>-13</v>
          </cell>
        </row>
        <row r="99">
          <cell r="A99">
            <v>49</v>
          </cell>
          <cell r="X99">
            <v>-13</v>
          </cell>
        </row>
        <row r="100">
          <cell r="A100">
            <v>49.5</v>
          </cell>
          <cell r="X100">
            <v>-13</v>
          </cell>
        </row>
        <row r="101">
          <cell r="A101">
            <v>50</v>
          </cell>
          <cell r="X101">
            <v>-13</v>
          </cell>
        </row>
        <row r="102">
          <cell r="A102">
            <v>50.5</v>
          </cell>
          <cell r="X102">
            <v>-13</v>
          </cell>
        </row>
        <row r="103">
          <cell r="A103">
            <v>51</v>
          </cell>
          <cell r="X103">
            <v>-13</v>
          </cell>
        </row>
        <row r="104">
          <cell r="A104">
            <v>51.5</v>
          </cell>
          <cell r="X104">
            <v>-13</v>
          </cell>
        </row>
        <row r="105">
          <cell r="A105">
            <v>52</v>
          </cell>
          <cell r="X105">
            <v>-13</v>
          </cell>
        </row>
        <row r="106">
          <cell r="A106">
            <v>52.5</v>
          </cell>
          <cell r="X106">
            <v>-13</v>
          </cell>
        </row>
        <row r="107">
          <cell r="A107">
            <v>53</v>
          </cell>
          <cell r="X107">
            <v>-13</v>
          </cell>
        </row>
        <row r="108">
          <cell r="A108">
            <v>53.5</v>
          </cell>
          <cell r="X108">
            <v>-13</v>
          </cell>
        </row>
        <row r="109">
          <cell r="A109">
            <v>54</v>
          </cell>
          <cell r="X109">
            <v>-13</v>
          </cell>
        </row>
        <row r="110">
          <cell r="A110">
            <v>54.5</v>
          </cell>
          <cell r="X110">
            <v>-13</v>
          </cell>
        </row>
        <row r="111">
          <cell r="A111">
            <v>55</v>
          </cell>
          <cell r="X111">
            <v>-13</v>
          </cell>
        </row>
        <row r="112">
          <cell r="A112">
            <v>55.5</v>
          </cell>
          <cell r="X112">
            <v>-13</v>
          </cell>
        </row>
        <row r="113">
          <cell r="A113">
            <v>56</v>
          </cell>
          <cell r="X113">
            <v>-13</v>
          </cell>
        </row>
        <row r="114">
          <cell r="A114">
            <v>56.5</v>
          </cell>
          <cell r="X114">
            <v>-13</v>
          </cell>
        </row>
        <row r="115">
          <cell r="A115">
            <v>57</v>
          </cell>
          <cell r="X115">
            <v>-13</v>
          </cell>
        </row>
        <row r="116">
          <cell r="A116">
            <v>57.5</v>
          </cell>
          <cell r="X116">
            <v>-13</v>
          </cell>
        </row>
        <row r="117">
          <cell r="A117">
            <v>58</v>
          </cell>
          <cell r="X117">
            <v>-13</v>
          </cell>
        </row>
        <row r="118">
          <cell r="A118">
            <v>58.5</v>
          </cell>
          <cell r="X118">
            <v>-13</v>
          </cell>
        </row>
        <row r="119">
          <cell r="A119">
            <v>59</v>
          </cell>
          <cell r="X119">
            <v>-13</v>
          </cell>
        </row>
        <row r="120">
          <cell r="A120">
            <v>59.5</v>
          </cell>
          <cell r="X120">
            <v>-13</v>
          </cell>
        </row>
        <row r="121">
          <cell r="A121">
            <v>60</v>
          </cell>
          <cell r="X121">
            <v>-13</v>
          </cell>
        </row>
        <row r="122">
          <cell r="A122">
            <v>60.5</v>
          </cell>
          <cell r="X122">
            <v>-13</v>
          </cell>
        </row>
        <row r="123">
          <cell r="A123">
            <v>61</v>
          </cell>
          <cell r="X123">
            <v>-13</v>
          </cell>
        </row>
        <row r="124">
          <cell r="A124">
            <v>61.5</v>
          </cell>
          <cell r="X124">
            <v>-13</v>
          </cell>
        </row>
        <row r="125">
          <cell r="A125">
            <v>62</v>
          </cell>
          <cell r="X125">
            <v>-13</v>
          </cell>
        </row>
        <row r="126">
          <cell r="A126">
            <v>62.5</v>
          </cell>
          <cell r="X126">
            <v>-13</v>
          </cell>
        </row>
        <row r="127">
          <cell r="A127">
            <v>63</v>
          </cell>
          <cell r="X127">
            <v>-13</v>
          </cell>
        </row>
        <row r="128">
          <cell r="A128">
            <v>63.5</v>
          </cell>
          <cell r="X128">
            <v>-13</v>
          </cell>
        </row>
        <row r="129">
          <cell r="A129">
            <v>64</v>
          </cell>
          <cell r="X129">
            <v>-13</v>
          </cell>
        </row>
        <row r="130">
          <cell r="A130">
            <v>64.5</v>
          </cell>
          <cell r="X130">
            <v>-13</v>
          </cell>
        </row>
        <row r="131">
          <cell r="A131">
            <v>65</v>
          </cell>
          <cell r="X131">
            <v>-13</v>
          </cell>
        </row>
        <row r="132">
          <cell r="A132">
            <v>65.5</v>
          </cell>
          <cell r="X132">
            <v>-13</v>
          </cell>
        </row>
        <row r="133">
          <cell r="A133">
            <v>66</v>
          </cell>
          <cell r="X133">
            <v>-13</v>
          </cell>
        </row>
        <row r="134">
          <cell r="A134">
            <v>66.5</v>
          </cell>
          <cell r="X134">
            <v>-13</v>
          </cell>
        </row>
        <row r="135">
          <cell r="A135">
            <v>67</v>
          </cell>
          <cell r="X135">
            <v>-13</v>
          </cell>
        </row>
        <row r="136">
          <cell r="A136">
            <v>67.5</v>
          </cell>
          <cell r="X136">
            <v>-13</v>
          </cell>
        </row>
        <row r="137">
          <cell r="A137">
            <v>68</v>
          </cell>
          <cell r="X137">
            <v>-13</v>
          </cell>
        </row>
        <row r="138">
          <cell r="A138">
            <v>68.5</v>
          </cell>
          <cell r="X138">
            <v>-13</v>
          </cell>
        </row>
        <row r="139">
          <cell r="A139">
            <v>69</v>
          </cell>
          <cell r="X139">
            <v>-13</v>
          </cell>
        </row>
        <row r="140">
          <cell r="A140">
            <v>69.5</v>
          </cell>
          <cell r="X140">
            <v>-13</v>
          </cell>
        </row>
        <row r="141">
          <cell r="A141">
            <v>70</v>
          </cell>
          <cell r="X141">
            <v>-13</v>
          </cell>
        </row>
        <row r="142">
          <cell r="A142">
            <v>70.5</v>
          </cell>
          <cell r="X142">
            <v>-13</v>
          </cell>
        </row>
        <row r="143">
          <cell r="A143">
            <v>71</v>
          </cell>
          <cell r="X143">
            <v>-13</v>
          </cell>
        </row>
        <row r="144">
          <cell r="A144">
            <v>71.5</v>
          </cell>
        </row>
        <row r="145">
          <cell r="A145">
            <v>72</v>
          </cell>
        </row>
        <row r="146">
          <cell r="A146">
            <v>72.5</v>
          </cell>
        </row>
        <row r="147">
          <cell r="A147">
            <v>73</v>
          </cell>
        </row>
        <row r="148">
          <cell r="A148">
            <v>73.5</v>
          </cell>
        </row>
        <row r="149">
          <cell r="A149">
            <v>74</v>
          </cell>
        </row>
        <row r="150">
          <cell r="A150">
            <v>74.5</v>
          </cell>
        </row>
        <row r="151">
          <cell r="A151">
            <v>75</v>
          </cell>
        </row>
        <row r="152">
          <cell r="A152">
            <v>75.5</v>
          </cell>
        </row>
        <row r="153">
          <cell r="A153">
            <v>76</v>
          </cell>
        </row>
        <row r="154">
          <cell r="A154">
            <v>76.5</v>
          </cell>
        </row>
        <row r="155">
          <cell r="A155">
            <v>77</v>
          </cell>
        </row>
        <row r="156">
          <cell r="A156">
            <v>77.5</v>
          </cell>
        </row>
        <row r="157">
          <cell r="A157">
            <v>78</v>
          </cell>
        </row>
        <row r="158">
          <cell r="A158">
            <v>78.5</v>
          </cell>
        </row>
        <row r="159">
          <cell r="A159">
            <v>79</v>
          </cell>
        </row>
        <row r="160">
          <cell r="A160">
            <v>79.5</v>
          </cell>
        </row>
        <row r="161">
          <cell r="A161">
            <v>80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529B9-751D-423C-B44D-F20CD410FAF0}">
  <dimension ref="A1:Y798"/>
  <sheetViews>
    <sheetView topLeftCell="D1" zoomScale="70" zoomScaleNormal="70" workbookViewId="0">
      <selection activeCell="P2" sqref="P2:P322"/>
    </sheetView>
  </sheetViews>
  <sheetFormatPr baseColWidth="10" defaultColWidth="13.5" defaultRowHeight="15" x14ac:dyDescent="0.2"/>
  <cols>
    <col min="1" max="2" width="13.5" style="8"/>
    <col min="3" max="3" width="15.83203125" style="8" customWidth="1"/>
    <col min="4" max="4" width="36.6640625" customWidth="1"/>
    <col min="5" max="6" width="36.5" customWidth="1"/>
    <col min="7" max="7" width="36" customWidth="1"/>
    <col min="8" max="8" width="5.33203125" style="8" customWidth="1"/>
    <col min="9" max="10" width="10" style="8" customWidth="1"/>
    <col min="11" max="11" width="15.83203125" style="8" customWidth="1"/>
    <col min="12" max="12" width="20.6640625" style="8" customWidth="1"/>
    <col min="13" max="13" width="14.6640625" style="8" customWidth="1"/>
    <col min="14" max="14" width="13.5" style="8"/>
    <col min="15" max="15" width="11" style="8" customWidth="1"/>
    <col min="16" max="16" width="11.1640625" style="8" customWidth="1"/>
    <col min="17" max="16384" width="13.5" style="8"/>
  </cols>
  <sheetData>
    <row r="1" spans="1:16" s="1" customFormat="1" ht="55.5" customHeight="1" x14ac:dyDescent="0.2">
      <c r="A1" s="1" t="s">
        <v>0</v>
      </c>
      <c r="B1" s="1" t="s">
        <v>1</v>
      </c>
      <c r="C1" s="1" t="s">
        <v>2</v>
      </c>
      <c r="D1" s="2" t="s">
        <v>12</v>
      </c>
      <c r="E1" s="2" t="s">
        <v>13</v>
      </c>
      <c r="F1" s="2" t="s">
        <v>14</v>
      </c>
      <c r="G1" s="2" t="s">
        <v>15</v>
      </c>
      <c r="I1" s="1" t="s">
        <v>16</v>
      </c>
      <c r="J1" s="1" t="s">
        <v>17</v>
      </c>
      <c r="K1" s="1" t="s">
        <v>3</v>
      </c>
      <c r="L1" s="1" t="s">
        <v>18</v>
      </c>
      <c r="M1" s="3" t="s">
        <v>19</v>
      </c>
      <c r="N1" s="3" t="s">
        <v>4</v>
      </c>
      <c r="O1" s="1" t="s">
        <v>5</v>
      </c>
      <c r="P1" s="1" t="s">
        <v>6</v>
      </c>
    </row>
    <row r="2" spans="1:16" x14ac:dyDescent="0.2">
      <c r="A2" s="8">
        <v>0</v>
      </c>
      <c r="B2" s="4">
        <v>0</v>
      </c>
      <c r="C2" s="4" t="s">
        <v>7</v>
      </c>
      <c r="D2">
        <v>2685.5094130675998</v>
      </c>
      <c r="E2">
        <v>585.97563676633001</v>
      </c>
      <c r="F2">
        <v>125.94713656387999</v>
      </c>
      <c r="G2">
        <v>111.67070484582</v>
      </c>
      <c r="H2" s="4"/>
      <c r="I2" s="5">
        <f>E2-G2</f>
        <v>474.30493192051</v>
      </c>
      <c r="J2" s="5">
        <f>D2-F2</f>
        <v>2559.5622765037197</v>
      </c>
      <c r="K2" s="9">
        <f>I2*1</f>
        <v>474.30493192051</v>
      </c>
      <c r="L2" s="6">
        <f t="shared" ref="L2:L65" si="0">K2/J2</f>
        <v>0.18530704889446775</v>
      </c>
      <c r="M2" s="6">
        <f>L2+ABS($N$2)*A2</f>
        <v>0.18530704889446775</v>
      </c>
      <c r="N2" s="4">
        <f>LINEST(V64:V103,U64:U103)</f>
        <v>-2.7530146680144693E-4</v>
      </c>
      <c r="O2" s="7">
        <f>AVERAGE(M62:M81)</f>
        <v>0.24104729494116356</v>
      </c>
      <c r="P2" s="4">
        <f>(M2-$O$2)/$O$2*100</f>
        <v>-23.124194801813172</v>
      </c>
    </row>
    <row r="3" spans="1:16" x14ac:dyDescent="0.2">
      <c r="A3" s="8">
        <v>0.5</v>
      </c>
      <c r="B3" s="8">
        <v>1</v>
      </c>
      <c r="D3">
        <v>2622.2106430155</v>
      </c>
      <c r="E3">
        <v>579.86474501109001</v>
      </c>
      <c r="F3">
        <v>126.21145374449</v>
      </c>
      <c r="G3">
        <v>111.67180616740001</v>
      </c>
      <c r="I3" s="9">
        <f t="shared" ref="I3:I66" si="1">E3-G3</f>
        <v>468.19293884369</v>
      </c>
      <c r="J3" s="9">
        <f t="shared" ref="J3:J66" si="2">D3-F3</f>
        <v>2495.99918927101</v>
      </c>
      <c r="K3" s="9">
        <f t="shared" ref="K3:K66" si="3">I3*1</f>
        <v>468.19293884369</v>
      </c>
      <c r="L3" s="10">
        <f t="shared" si="0"/>
        <v>0.18757736014346704</v>
      </c>
      <c r="M3" s="10">
        <f t="shared" ref="M3:M66" si="4">L3+ABS($N$2)*A3</f>
        <v>0.18771501087686776</v>
      </c>
      <c r="P3" s="8">
        <f t="shared" ref="P3:P66" si="5">(M3-$O$2)/$O$2*100</f>
        <v>-22.125236492412618</v>
      </c>
    </row>
    <row r="4" spans="1:16" ht="16" x14ac:dyDescent="0.2">
      <c r="A4" s="8">
        <v>1</v>
      </c>
      <c r="B4" s="8">
        <v>2</v>
      </c>
      <c r="D4">
        <v>2602.615982242</v>
      </c>
      <c r="E4">
        <v>575.29411764706003</v>
      </c>
      <c r="F4">
        <v>125.93832599119</v>
      </c>
      <c r="G4">
        <v>111.76872246696</v>
      </c>
      <c r="I4" s="9">
        <f t="shared" si="1"/>
        <v>463.52539518010002</v>
      </c>
      <c r="J4" s="9">
        <f t="shared" si="2"/>
        <v>2476.6776562508098</v>
      </c>
      <c r="K4" s="9">
        <f t="shared" si="3"/>
        <v>463.52539518010002</v>
      </c>
      <c r="L4" s="10">
        <f t="shared" si="0"/>
        <v>0.18715612587299063</v>
      </c>
      <c r="M4" s="10">
        <f t="shared" si="4"/>
        <v>0.18743142733979207</v>
      </c>
      <c r="N4" s="1" t="s">
        <v>8</v>
      </c>
      <c r="P4" s="8">
        <f t="shared" si="5"/>
        <v>-22.242882922398451</v>
      </c>
    </row>
    <row r="5" spans="1:16" x14ac:dyDescent="0.2">
      <c r="A5" s="8">
        <v>1.5</v>
      </c>
      <c r="B5" s="8">
        <v>3</v>
      </c>
      <c r="D5">
        <v>2586.0947603121999</v>
      </c>
      <c r="E5">
        <v>588.17837235229001</v>
      </c>
      <c r="F5">
        <v>126.56497797357</v>
      </c>
      <c r="G5">
        <v>111.11123348018</v>
      </c>
      <c r="I5" s="9">
        <f t="shared" si="1"/>
        <v>477.06713887211004</v>
      </c>
      <c r="J5" s="9">
        <f t="shared" si="2"/>
        <v>2459.52978233863</v>
      </c>
      <c r="K5" s="9">
        <f t="shared" si="3"/>
        <v>477.06713887211004</v>
      </c>
      <c r="L5" s="10">
        <f t="shared" si="0"/>
        <v>0.19396680710997263</v>
      </c>
      <c r="M5" s="10">
        <f t="shared" si="4"/>
        <v>0.19437975931017482</v>
      </c>
      <c r="N5" s="8">
        <f>RSQ(V64:V83,U64:U83)</f>
        <v>0.97272163601231587</v>
      </c>
      <c r="P5" s="8">
        <f t="shared" si="5"/>
        <v>-19.360323310153582</v>
      </c>
    </row>
    <row r="6" spans="1:16" x14ac:dyDescent="0.2">
      <c r="A6" s="8">
        <v>2</v>
      </c>
      <c r="B6" s="8">
        <v>4</v>
      </c>
      <c r="D6">
        <v>2599.7657458563999</v>
      </c>
      <c r="E6">
        <v>594.39337016574996</v>
      </c>
      <c r="F6">
        <v>125.99339207049</v>
      </c>
      <c r="G6">
        <v>111.3204845815</v>
      </c>
      <c r="I6" s="9">
        <f t="shared" si="1"/>
        <v>483.07288558424995</v>
      </c>
      <c r="J6" s="9">
        <f t="shared" si="2"/>
        <v>2473.7723537859101</v>
      </c>
      <c r="K6" s="9">
        <f t="shared" si="3"/>
        <v>483.07288558424995</v>
      </c>
      <c r="L6" s="10">
        <f t="shared" si="0"/>
        <v>0.19527782532008076</v>
      </c>
      <c r="M6" s="10">
        <f t="shared" si="4"/>
        <v>0.19582842825368366</v>
      </c>
      <c r="P6" s="8">
        <f t="shared" si="5"/>
        <v>-18.759333805640601</v>
      </c>
    </row>
    <row r="7" spans="1:16" x14ac:dyDescent="0.2">
      <c r="A7" s="8">
        <v>2.5</v>
      </c>
      <c r="B7" s="8">
        <v>5</v>
      </c>
      <c r="D7">
        <v>2640.5190582959999</v>
      </c>
      <c r="E7">
        <v>606.08071748879001</v>
      </c>
      <c r="F7">
        <v>126.40308370044001</v>
      </c>
      <c r="G7">
        <v>111.66519823789</v>
      </c>
      <c r="I7" s="9">
        <f t="shared" si="1"/>
        <v>494.41551925090005</v>
      </c>
      <c r="J7" s="9">
        <f t="shared" si="2"/>
        <v>2514.1159745955597</v>
      </c>
      <c r="K7" s="9">
        <f t="shared" si="3"/>
        <v>494.41551925090005</v>
      </c>
      <c r="L7" s="10">
        <f t="shared" si="0"/>
        <v>0.19665581232004845</v>
      </c>
      <c r="M7" s="10">
        <f t="shared" si="4"/>
        <v>0.19734406598705206</v>
      </c>
      <c r="P7" s="8">
        <f t="shared" si="5"/>
        <v>-18.130561873668348</v>
      </c>
    </row>
    <row r="8" spans="1:16" x14ac:dyDescent="0.2">
      <c r="A8" s="8">
        <v>3</v>
      </c>
      <c r="B8" s="8">
        <v>6</v>
      </c>
      <c r="D8">
        <v>2472.3230429988998</v>
      </c>
      <c r="E8">
        <v>589.85887541345005</v>
      </c>
      <c r="F8">
        <v>126.82709251100999</v>
      </c>
      <c r="G8">
        <v>111.54295154185</v>
      </c>
      <c r="I8" s="9">
        <f t="shared" si="1"/>
        <v>478.31592387160003</v>
      </c>
      <c r="J8" s="9">
        <f t="shared" si="2"/>
        <v>2345.4959504878898</v>
      </c>
      <c r="K8" s="9">
        <f t="shared" si="3"/>
        <v>478.31592387160003</v>
      </c>
      <c r="L8" s="10">
        <f t="shared" si="0"/>
        <v>0.20392954580548514</v>
      </c>
      <c r="M8" s="10">
        <f t="shared" si="4"/>
        <v>0.20475545020588948</v>
      </c>
      <c r="P8" s="8">
        <f t="shared" si="5"/>
        <v>-15.05590209760804</v>
      </c>
    </row>
    <row r="9" spans="1:16" x14ac:dyDescent="0.2">
      <c r="A9" s="8">
        <v>3.5</v>
      </c>
      <c r="B9" s="8">
        <v>7</v>
      </c>
      <c r="D9">
        <v>2440.2017640572999</v>
      </c>
      <c r="E9">
        <v>590.49834619625005</v>
      </c>
      <c r="F9">
        <v>127.04845814978</v>
      </c>
      <c r="G9">
        <v>111.87665198238</v>
      </c>
      <c r="I9" s="9">
        <f t="shared" si="1"/>
        <v>478.62169421387006</v>
      </c>
      <c r="J9" s="9">
        <f t="shared" si="2"/>
        <v>2313.15330590752</v>
      </c>
      <c r="K9" s="9">
        <f t="shared" si="3"/>
        <v>478.62169421387006</v>
      </c>
      <c r="L9" s="10">
        <f t="shared" si="0"/>
        <v>0.20691308829013921</v>
      </c>
      <c r="M9" s="10">
        <f t="shared" si="4"/>
        <v>0.20787664342394427</v>
      </c>
      <c r="P9" s="8">
        <f t="shared" si="5"/>
        <v>-13.761055283908416</v>
      </c>
    </row>
    <row r="10" spans="1:16" x14ac:dyDescent="0.2">
      <c r="A10" s="8">
        <v>4</v>
      </c>
      <c r="B10" s="8">
        <v>8</v>
      </c>
      <c r="D10">
        <v>2451.5991041432999</v>
      </c>
      <c r="E10">
        <v>564.94176931691004</v>
      </c>
      <c r="F10">
        <v>126.62334801762</v>
      </c>
      <c r="G10">
        <v>112.37775330397</v>
      </c>
      <c r="I10" s="9">
        <f t="shared" si="1"/>
        <v>452.56401601294004</v>
      </c>
      <c r="J10" s="9">
        <f t="shared" si="2"/>
        <v>2324.9757561256797</v>
      </c>
      <c r="K10" s="9">
        <f t="shared" si="3"/>
        <v>452.56401601294004</v>
      </c>
      <c r="L10" s="10">
        <f t="shared" si="0"/>
        <v>0.19465321942414099</v>
      </c>
      <c r="M10" s="10">
        <f t="shared" si="4"/>
        <v>0.19575442529134679</v>
      </c>
      <c r="P10" s="8">
        <f t="shared" si="5"/>
        <v>-18.790034404191157</v>
      </c>
    </row>
    <row r="11" spans="1:16" x14ac:dyDescent="0.2">
      <c r="A11" s="8">
        <v>4.5</v>
      </c>
      <c r="B11" s="8">
        <v>9</v>
      </c>
      <c r="D11">
        <v>2436.7715565509998</v>
      </c>
      <c r="E11">
        <v>562.79843225084005</v>
      </c>
      <c r="F11">
        <v>127.10572687225</v>
      </c>
      <c r="G11">
        <v>111.98348017620999</v>
      </c>
      <c r="I11" s="9">
        <f t="shared" si="1"/>
        <v>450.81495207463007</v>
      </c>
      <c r="J11" s="9">
        <f t="shared" si="2"/>
        <v>2309.6658296787496</v>
      </c>
      <c r="K11" s="9">
        <f t="shared" si="3"/>
        <v>450.81495207463007</v>
      </c>
      <c r="L11" s="10">
        <f t="shared" si="0"/>
        <v>0.19518622403368791</v>
      </c>
      <c r="M11" s="10">
        <f t="shared" si="4"/>
        <v>0.19642508063429442</v>
      </c>
      <c r="P11" s="8">
        <f t="shared" si="5"/>
        <v>-18.511808779169591</v>
      </c>
    </row>
    <row r="12" spans="1:16" x14ac:dyDescent="0.2">
      <c r="A12" s="8">
        <v>5</v>
      </c>
      <c r="B12" s="8">
        <v>10</v>
      </c>
      <c r="D12">
        <v>2186.1224944321002</v>
      </c>
      <c r="E12">
        <v>518.96659242761996</v>
      </c>
      <c r="F12">
        <v>127.70374449339</v>
      </c>
      <c r="G12">
        <v>112.60242290748999</v>
      </c>
      <c r="I12" s="9">
        <f t="shared" si="1"/>
        <v>406.36416952012996</v>
      </c>
      <c r="J12" s="9">
        <f t="shared" si="2"/>
        <v>2058.4187499387103</v>
      </c>
      <c r="K12" s="9">
        <f t="shared" si="3"/>
        <v>406.36416952012996</v>
      </c>
      <c r="L12" s="10">
        <f t="shared" si="0"/>
        <v>0.19741569568010858</v>
      </c>
      <c r="M12" s="10">
        <f t="shared" si="4"/>
        <v>0.19879220301411582</v>
      </c>
      <c r="P12" s="8">
        <f t="shared" si="5"/>
        <v>-17.529793038068171</v>
      </c>
    </row>
    <row r="13" spans="1:16" x14ac:dyDescent="0.2">
      <c r="A13" s="8">
        <v>5.5</v>
      </c>
      <c r="B13" s="8">
        <v>11</v>
      </c>
      <c r="D13">
        <v>2006.5189309576999</v>
      </c>
      <c r="E13">
        <v>475.81959910913002</v>
      </c>
      <c r="F13">
        <v>127.71365638767</v>
      </c>
      <c r="G13">
        <v>112.37665198238</v>
      </c>
      <c r="I13" s="9">
        <f t="shared" si="1"/>
        <v>363.44294712675003</v>
      </c>
      <c r="J13" s="9">
        <f t="shared" si="2"/>
        <v>1878.80527457003</v>
      </c>
      <c r="K13" s="9">
        <f t="shared" si="3"/>
        <v>363.44294712675003</v>
      </c>
      <c r="L13" s="10">
        <f t="shared" si="0"/>
        <v>0.1934436484962099</v>
      </c>
      <c r="M13" s="10">
        <f t="shared" si="4"/>
        <v>0.19495780656361786</v>
      </c>
      <c r="P13" s="8">
        <f t="shared" si="5"/>
        <v>-19.12051673875682</v>
      </c>
    </row>
    <row r="14" spans="1:16" x14ac:dyDescent="0.2">
      <c r="A14" s="8">
        <v>6</v>
      </c>
      <c r="B14" s="8">
        <v>12</v>
      </c>
      <c r="D14">
        <v>2491.7387892377001</v>
      </c>
      <c r="E14">
        <v>581.54035874440001</v>
      </c>
      <c r="F14">
        <v>127.17731277532999</v>
      </c>
      <c r="G14">
        <v>112.26101321586</v>
      </c>
      <c r="I14" s="9">
        <f t="shared" si="1"/>
        <v>469.27934552854003</v>
      </c>
      <c r="J14" s="9">
        <f t="shared" si="2"/>
        <v>2364.5614764623701</v>
      </c>
      <c r="K14" s="9">
        <f t="shared" si="3"/>
        <v>469.27934552854003</v>
      </c>
      <c r="L14" s="10">
        <f t="shared" si="0"/>
        <v>0.19846358413596027</v>
      </c>
      <c r="M14" s="10">
        <f t="shared" si="4"/>
        <v>0.20011539293676894</v>
      </c>
      <c r="P14" s="8">
        <f t="shared" si="5"/>
        <v>-16.98085930165097</v>
      </c>
    </row>
    <row r="15" spans="1:16" x14ac:dyDescent="0.2">
      <c r="A15" s="8">
        <v>6.5</v>
      </c>
      <c r="B15" s="8">
        <v>13</v>
      </c>
      <c r="D15">
        <v>2444.3033953998001</v>
      </c>
      <c r="E15">
        <v>594.44359255203005</v>
      </c>
      <c r="F15">
        <v>126.97356828194</v>
      </c>
      <c r="G15">
        <v>112.40308370044001</v>
      </c>
      <c r="I15" s="9">
        <f t="shared" si="1"/>
        <v>482.04050885159006</v>
      </c>
      <c r="J15" s="9">
        <f t="shared" si="2"/>
        <v>2317.3298271178601</v>
      </c>
      <c r="K15" s="9">
        <f t="shared" si="3"/>
        <v>482.04050885159006</v>
      </c>
      <c r="L15" s="10">
        <f t="shared" si="0"/>
        <v>0.20801549404433284</v>
      </c>
      <c r="M15" s="10">
        <f t="shared" si="4"/>
        <v>0.20980495357854223</v>
      </c>
      <c r="P15" s="8">
        <f t="shared" si="5"/>
        <v>-12.961083579157014</v>
      </c>
    </row>
    <row r="16" spans="1:16" x14ac:dyDescent="0.2">
      <c r="A16" s="8">
        <v>7</v>
      </c>
      <c r="B16" s="8">
        <v>14</v>
      </c>
      <c r="D16">
        <v>2454.7995520717</v>
      </c>
      <c r="E16">
        <v>610.32474804031006</v>
      </c>
      <c r="F16">
        <v>128.24669603524001</v>
      </c>
      <c r="G16">
        <v>111.99669603524001</v>
      </c>
      <c r="I16" s="9">
        <f t="shared" si="1"/>
        <v>498.32805200507005</v>
      </c>
      <c r="J16" s="9">
        <f t="shared" si="2"/>
        <v>2326.5528560364601</v>
      </c>
      <c r="K16" s="9">
        <f t="shared" si="3"/>
        <v>498.32805200507005</v>
      </c>
      <c r="L16" s="10">
        <f t="shared" si="0"/>
        <v>0.21419158851779838</v>
      </c>
      <c r="M16" s="10">
        <f t="shared" si="4"/>
        <v>0.21611869878540851</v>
      </c>
      <c r="P16" s="8">
        <f t="shared" si="5"/>
        <v>-10.341786312864363</v>
      </c>
    </row>
    <row r="17" spans="1:16" x14ac:dyDescent="0.2">
      <c r="A17" s="8">
        <v>7.5</v>
      </c>
      <c r="B17" s="8">
        <v>15</v>
      </c>
      <c r="D17">
        <v>2499.7108167770002</v>
      </c>
      <c r="E17">
        <v>628.33885209713003</v>
      </c>
      <c r="F17">
        <v>127.22356828194</v>
      </c>
      <c r="G17">
        <v>112.41299559471</v>
      </c>
      <c r="I17" s="9">
        <f t="shared" si="1"/>
        <v>515.92585650242006</v>
      </c>
      <c r="J17" s="9">
        <f t="shared" si="2"/>
        <v>2372.4872484950602</v>
      </c>
      <c r="K17" s="9">
        <f t="shared" si="3"/>
        <v>515.92585650242006</v>
      </c>
      <c r="L17" s="10">
        <f t="shared" si="0"/>
        <v>0.21746201452913491</v>
      </c>
      <c r="M17" s="10">
        <f t="shared" si="4"/>
        <v>0.21952677553014577</v>
      </c>
      <c r="P17" s="8">
        <f t="shared" si="5"/>
        <v>-8.9279240475487036</v>
      </c>
    </row>
    <row r="18" spans="1:16" x14ac:dyDescent="0.2">
      <c r="A18" s="8">
        <v>8</v>
      </c>
      <c r="B18" s="8">
        <v>16</v>
      </c>
      <c r="D18">
        <v>2486.7395143488002</v>
      </c>
      <c r="E18">
        <v>642.07836644591998</v>
      </c>
      <c r="F18">
        <v>127.38215859031</v>
      </c>
      <c r="G18">
        <v>111.95264317181</v>
      </c>
      <c r="I18" s="9">
        <f t="shared" si="1"/>
        <v>530.12572327410999</v>
      </c>
      <c r="J18" s="9">
        <f t="shared" si="2"/>
        <v>2359.35735575849</v>
      </c>
      <c r="K18" s="9">
        <f t="shared" si="3"/>
        <v>530.12572327410999</v>
      </c>
      <c r="L18" s="10">
        <f t="shared" si="0"/>
        <v>0.22469072859193231</v>
      </c>
      <c r="M18" s="10">
        <f t="shared" si="4"/>
        <v>0.22689314032634389</v>
      </c>
      <c r="P18" s="8">
        <f t="shared" si="5"/>
        <v>-5.8719408646649658</v>
      </c>
    </row>
    <row r="19" spans="1:16" x14ac:dyDescent="0.2">
      <c r="A19" s="8">
        <v>8.5</v>
      </c>
      <c r="B19" s="8">
        <v>17</v>
      </c>
      <c r="D19">
        <v>2531.1821192052998</v>
      </c>
      <c r="E19">
        <v>648.64017660043999</v>
      </c>
      <c r="F19">
        <v>127.41079295154</v>
      </c>
      <c r="G19">
        <v>112.27202643171999</v>
      </c>
      <c r="I19" s="9">
        <f t="shared" si="1"/>
        <v>536.36815016872004</v>
      </c>
      <c r="J19" s="9">
        <f t="shared" si="2"/>
        <v>2403.77132625376</v>
      </c>
      <c r="K19" s="9">
        <f t="shared" si="3"/>
        <v>536.36815016872004</v>
      </c>
      <c r="L19" s="10">
        <f t="shared" si="0"/>
        <v>0.22313609631272263</v>
      </c>
      <c r="M19" s="10">
        <f t="shared" si="4"/>
        <v>0.22547615878053492</v>
      </c>
      <c r="P19" s="8">
        <f t="shared" si="5"/>
        <v>-6.4597846511529378</v>
      </c>
    </row>
    <row r="20" spans="1:16" x14ac:dyDescent="0.2">
      <c r="A20" s="8">
        <v>9</v>
      </c>
      <c r="B20" s="8">
        <v>18</v>
      </c>
      <c r="D20">
        <v>2656.5648769575</v>
      </c>
      <c r="E20">
        <v>674.29194630872996</v>
      </c>
      <c r="F20">
        <v>127.94162995595001</v>
      </c>
      <c r="G20">
        <v>112.09801762115001</v>
      </c>
      <c r="I20" s="9">
        <f t="shared" si="1"/>
        <v>562.19392868757996</v>
      </c>
      <c r="J20" s="9">
        <f t="shared" si="2"/>
        <v>2528.6232470015502</v>
      </c>
      <c r="K20" s="9">
        <f t="shared" si="3"/>
        <v>562.19392868757996</v>
      </c>
      <c r="L20" s="10">
        <f t="shared" si="0"/>
        <v>0.22233202568007368</v>
      </c>
      <c r="M20" s="10">
        <f t="shared" si="4"/>
        <v>0.22480973888128669</v>
      </c>
      <c r="P20" s="8">
        <f t="shared" si="5"/>
        <v>-6.7362531754775512</v>
      </c>
    </row>
    <row r="21" spans="1:16" x14ac:dyDescent="0.2">
      <c r="A21" s="8">
        <v>9.5</v>
      </c>
      <c r="B21" s="8">
        <v>19</v>
      </c>
      <c r="D21">
        <v>2669.3018867925002</v>
      </c>
      <c r="E21">
        <v>659.38512763595998</v>
      </c>
      <c r="F21">
        <v>128.32929515418999</v>
      </c>
      <c r="G21">
        <v>112.35792951542</v>
      </c>
      <c r="I21" s="9">
        <f t="shared" si="1"/>
        <v>547.02719812053999</v>
      </c>
      <c r="J21" s="9">
        <f t="shared" si="2"/>
        <v>2540.9725916383104</v>
      </c>
      <c r="K21" s="9">
        <f t="shared" si="3"/>
        <v>547.02719812053999</v>
      </c>
      <c r="L21" s="10">
        <f t="shared" si="0"/>
        <v>0.21528260474775143</v>
      </c>
      <c r="M21" s="10">
        <f t="shared" si="4"/>
        <v>0.21789796868236519</v>
      </c>
      <c r="P21" s="8">
        <f t="shared" si="5"/>
        <v>-9.6036449048095776</v>
      </c>
    </row>
    <row r="22" spans="1:16" x14ac:dyDescent="0.2">
      <c r="A22" s="8">
        <v>10</v>
      </c>
      <c r="B22" s="8">
        <v>20</v>
      </c>
      <c r="D22">
        <v>2574.6238938053002</v>
      </c>
      <c r="E22">
        <v>652.47787610620003</v>
      </c>
      <c r="F22">
        <v>127.86674008811001</v>
      </c>
      <c r="G22">
        <v>112.72356828194</v>
      </c>
      <c r="I22" s="9">
        <f t="shared" si="1"/>
        <v>539.75430782425997</v>
      </c>
      <c r="J22" s="9">
        <f t="shared" si="2"/>
        <v>2446.7571537171902</v>
      </c>
      <c r="K22" s="9">
        <f t="shared" si="3"/>
        <v>539.75430782425997</v>
      </c>
      <c r="L22" s="10">
        <f t="shared" si="0"/>
        <v>0.22059986909785806</v>
      </c>
      <c r="M22" s="10">
        <f t="shared" si="4"/>
        <v>0.22335288376587253</v>
      </c>
      <c r="P22" s="8">
        <f t="shared" si="5"/>
        <v>-7.3406387653551537</v>
      </c>
    </row>
    <row r="23" spans="1:16" x14ac:dyDescent="0.2">
      <c r="A23" s="8">
        <v>10.5</v>
      </c>
      <c r="B23" s="8">
        <v>21</v>
      </c>
      <c r="D23">
        <v>2586.4884488449002</v>
      </c>
      <c r="E23">
        <v>649.65566556655995</v>
      </c>
      <c r="F23">
        <v>127.67621145375</v>
      </c>
      <c r="G23">
        <v>112.07929515419001</v>
      </c>
      <c r="I23" s="9">
        <f t="shared" si="1"/>
        <v>537.5763704123699</v>
      </c>
      <c r="J23" s="9">
        <f t="shared" si="2"/>
        <v>2458.8122373911501</v>
      </c>
      <c r="K23" s="9">
        <f t="shared" si="3"/>
        <v>537.5763704123699</v>
      </c>
      <c r="L23" s="10">
        <f t="shared" si="0"/>
        <v>0.218632542264695</v>
      </c>
      <c r="M23" s="10">
        <f t="shared" si="4"/>
        <v>0.22152320766611019</v>
      </c>
      <c r="P23" s="8">
        <f t="shared" si="5"/>
        <v>-8.0996915065232056</v>
      </c>
    </row>
    <row r="24" spans="1:16" x14ac:dyDescent="0.2">
      <c r="A24" s="8">
        <v>11</v>
      </c>
      <c r="B24" s="8">
        <v>22</v>
      </c>
      <c r="D24">
        <v>2567.4274725275</v>
      </c>
      <c r="E24">
        <v>644.77472527473003</v>
      </c>
      <c r="F24">
        <v>127.70044052863</v>
      </c>
      <c r="G24">
        <v>112.2422907489</v>
      </c>
      <c r="I24" s="9">
        <f t="shared" si="1"/>
        <v>532.53243452583001</v>
      </c>
      <c r="J24" s="9">
        <f t="shared" si="2"/>
        <v>2439.7270319988702</v>
      </c>
      <c r="K24" s="9">
        <f t="shared" si="3"/>
        <v>532.53243452583001</v>
      </c>
      <c r="L24" s="10">
        <f t="shared" si="0"/>
        <v>0.21827541669263131</v>
      </c>
      <c r="M24" s="10">
        <f t="shared" si="4"/>
        <v>0.22130373282744722</v>
      </c>
      <c r="P24" s="8">
        <f t="shared" si="5"/>
        <v>-8.1907420361367151</v>
      </c>
    </row>
    <row r="25" spans="1:16" x14ac:dyDescent="0.2">
      <c r="A25" s="8">
        <v>11.5</v>
      </c>
      <c r="B25" s="8">
        <v>23</v>
      </c>
      <c r="D25">
        <v>2547.9567627494998</v>
      </c>
      <c r="E25">
        <v>637.97671840354997</v>
      </c>
      <c r="F25">
        <v>127.79845814978</v>
      </c>
      <c r="G25">
        <v>112.37665198238</v>
      </c>
      <c r="I25" s="9">
        <f t="shared" si="1"/>
        <v>525.60006642116991</v>
      </c>
      <c r="J25" s="9">
        <f t="shared" si="2"/>
        <v>2420.1583045997199</v>
      </c>
      <c r="K25" s="9">
        <f t="shared" si="3"/>
        <v>525.60006642116991</v>
      </c>
      <c r="L25" s="10">
        <f t="shared" si="0"/>
        <v>0.21717590350276739</v>
      </c>
      <c r="M25" s="10">
        <f t="shared" si="4"/>
        <v>0.22034187037098402</v>
      </c>
      <c r="P25" s="8">
        <f t="shared" si="5"/>
        <v>-8.5897767802096521</v>
      </c>
    </row>
    <row r="26" spans="1:16" x14ac:dyDescent="0.2">
      <c r="A26" s="8">
        <v>12</v>
      </c>
      <c r="B26" s="8">
        <v>24</v>
      </c>
      <c r="D26">
        <v>2544.8392461197</v>
      </c>
      <c r="E26">
        <v>639.09645232816001</v>
      </c>
      <c r="F26">
        <v>127.99118942731</v>
      </c>
      <c r="G26">
        <v>112.49449339207</v>
      </c>
      <c r="I26" s="9">
        <f t="shared" si="1"/>
        <v>526.60195893609</v>
      </c>
      <c r="J26" s="9">
        <f t="shared" si="2"/>
        <v>2416.8480566923899</v>
      </c>
      <c r="K26" s="9">
        <f t="shared" si="3"/>
        <v>526.60195893609</v>
      </c>
      <c r="L26" s="10">
        <f t="shared" si="0"/>
        <v>0.21788790465246632</v>
      </c>
      <c r="M26" s="10">
        <f t="shared" si="4"/>
        <v>0.2211915222540837</v>
      </c>
      <c r="P26" s="8">
        <f t="shared" si="5"/>
        <v>-8.2372933045883752</v>
      </c>
    </row>
    <row r="27" spans="1:16" x14ac:dyDescent="0.2">
      <c r="A27" s="8">
        <v>12.5</v>
      </c>
      <c r="B27" s="8">
        <v>25</v>
      </c>
      <c r="D27">
        <v>2581.6341463415001</v>
      </c>
      <c r="E27">
        <v>648.30376940132999</v>
      </c>
      <c r="F27">
        <v>128.18171806167001</v>
      </c>
      <c r="G27">
        <v>112.63656387665</v>
      </c>
      <c r="I27" s="9">
        <f t="shared" si="1"/>
        <v>535.66720552467996</v>
      </c>
      <c r="J27" s="9">
        <f t="shared" si="2"/>
        <v>2453.4524282798302</v>
      </c>
      <c r="K27" s="9">
        <f t="shared" si="3"/>
        <v>535.66720552467996</v>
      </c>
      <c r="L27" s="10">
        <f t="shared" si="0"/>
        <v>0.21833201220870954</v>
      </c>
      <c r="M27" s="10">
        <f t="shared" si="4"/>
        <v>0.22177328054372764</v>
      </c>
      <c r="P27" s="8">
        <f t="shared" si="5"/>
        <v>-7.9959471862733222</v>
      </c>
    </row>
    <row r="28" spans="1:16" x14ac:dyDescent="0.2">
      <c r="A28" s="8">
        <v>13</v>
      </c>
      <c r="B28" s="8">
        <v>26</v>
      </c>
      <c r="D28">
        <v>2544.9304635762001</v>
      </c>
      <c r="E28">
        <v>637.15342163355001</v>
      </c>
      <c r="F28">
        <v>127.44383259912</v>
      </c>
      <c r="G28">
        <v>112.64757709251001</v>
      </c>
      <c r="I28" s="9">
        <f t="shared" si="1"/>
        <v>524.50584454104001</v>
      </c>
      <c r="J28" s="9">
        <f t="shared" si="2"/>
        <v>2417.48663097708</v>
      </c>
      <c r="K28" s="9">
        <f t="shared" si="3"/>
        <v>524.50584454104001</v>
      </c>
      <c r="L28" s="10">
        <f t="shared" si="0"/>
        <v>0.21696328650597316</v>
      </c>
      <c r="M28" s="10">
        <f t="shared" si="4"/>
        <v>0.22054220557439197</v>
      </c>
      <c r="P28" s="8">
        <f t="shared" si="5"/>
        <v>-8.5066664497424078</v>
      </c>
    </row>
    <row r="29" spans="1:16" x14ac:dyDescent="0.2">
      <c r="A29" s="8">
        <v>13.5</v>
      </c>
      <c r="B29" s="8">
        <v>27</v>
      </c>
      <c r="D29">
        <v>2553.4701986754999</v>
      </c>
      <c r="E29">
        <v>640.83664459161002</v>
      </c>
      <c r="F29">
        <v>127.05286343612001</v>
      </c>
      <c r="G29">
        <v>112.39096916299999</v>
      </c>
      <c r="I29" s="9">
        <f t="shared" si="1"/>
        <v>528.44567542861</v>
      </c>
      <c r="J29" s="9">
        <f t="shared" si="2"/>
        <v>2426.41733523938</v>
      </c>
      <c r="K29" s="9">
        <f t="shared" si="3"/>
        <v>528.44567542861</v>
      </c>
      <c r="L29" s="10">
        <f t="shared" si="0"/>
        <v>0.217788452033325</v>
      </c>
      <c r="M29" s="10">
        <f t="shared" si="4"/>
        <v>0.22150502183514453</v>
      </c>
      <c r="P29" s="8">
        <f t="shared" si="5"/>
        <v>-8.107236013907162</v>
      </c>
    </row>
    <row r="30" spans="1:16" x14ac:dyDescent="0.2">
      <c r="A30" s="8">
        <v>14</v>
      </c>
      <c r="B30" s="8">
        <v>28</v>
      </c>
      <c r="D30">
        <v>2656.1607142857001</v>
      </c>
      <c r="E30">
        <v>649.54910714285995</v>
      </c>
      <c r="F30">
        <v>127.64207048458</v>
      </c>
      <c r="G30">
        <v>112.48237885463</v>
      </c>
      <c r="I30" s="9">
        <f t="shared" si="1"/>
        <v>537.06672828822991</v>
      </c>
      <c r="J30" s="9">
        <f t="shared" si="2"/>
        <v>2528.5186438011201</v>
      </c>
      <c r="K30" s="9">
        <f t="shared" si="3"/>
        <v>537.06672828822991</v>
      </c>
      <c r="L30" s="10">
        <f t="shared" si="0"/>
        <v>0.21240370507249173</v>
      </c>
      <c r="M30" s="10">
        <f t="shared" si="4"/>
        <v>0.21625792560771198</v>
      </c>
      <c r="P30" s="8">
        <f t="shared" si="5"/>
        <v>-10.284027182094009</v>
      </c>
    </row>
    <row r="31" spans="1:16" x14ac:dyDescent="0.2">
      <c r="A31" s="8">
        <v>14.5</v>
      </c>
      <c r="B31" s="8">
        <v>29</v>
      </c>
      <c r="D31">
        <v>2676.9944134078</v>
      </c>
      <c r="E31">
        <v>652.85921787710004</v>
      </c>
      <c r="F31">
        <v>127.74339207049</v>
      </c>
      <c r="G31">
        <v>112.57819383259999</v>
      </c>
      <c r="I31" s="9">
        <f t="shared" si="1"/>
        <v>540.2810240445001</v>
      </c>
      <c r="J31" s="9">
        <f t="shared" si="2"/>
        <v>2549.2510213373102</v>
      </c>
      <c r="K31" s="9">
        <f t="shared" si="3"/>
        <v>540.2810240445001</v>
      </c>
      <c r="L31" s="10">
        <f t="shared" si="0"/>
        <v>0.21193716096309509</v>
      </c>
      <c r="M31" s="10">
        <f t="shared" si="4"/>
        <v>0.21592903223171606</v>
      </c>
      <c r="P31" s="8">
        <f t="shared" si="5"/>
        <v>-10.42047068629355</v>
      </c>
    </row>
    <row r="32" spans="1:16" x14ac:dyDescent="0.2">
      <c r="A32" s="8">
        <v>15</v>
      </c>
      <c r="B32" s="8">
        <v>30</v>
      </c>
      <c r="D32">
        <v>2661.5608938547998</v>
      </c>
      <c r="E32">
        <v>645.91061452513998</v>
      </c>
      <c r="F32">
        <v>127.83370044053</v>
      </c>
      <c r="G32">
        <v>112.11784140969</v>
      </c>
      <c r="I32" s="9">
        <f t="shared" si="1"/>
        <v>533.79277311545002</v>
      </c>
      <c r="J32" s="9">
        <f t="shared" si="2"/>
        <v>2533.72719341427</v>
      </c>
      <c r="K32" s="9">
        <f t="shared" si="3"/>
        <v>533.79277311545002</v>
      </c>
      <c r="L32" s="10">
        <f t="shared" si="0"/>
        <v>0.21067491973993813</v>
      </c>
      <c r="M32" s="10">
        <f t="shared" si="4"/>
        <v>0.21480444174195984</v>
      </c>
      <c r="P32" s="8">
        <f t="shared" si="5"/>
        <v>-10.88701418765527</v>
      </c>
    </row>
    <row r="33" spans="1:16" x14ac:dyDescent="0.2">
      <c r="A33" s="8">
        <v>15.5</v>
      </c>
      <c r="B33" s="8">
        <v>31</v>
      </c>
      <c r="D33">
        <v>2544.5690607735</v>
      </c>
      <c r="E33">
        <v>615.66519337016996</v>
      </c>
      <c r="F33">
        <v>127.28524229075001</v>
      </c>
      <c r="G33">
        <v>112.1795154185</v>
      </c>
      <c r="I33" s="9">
        <f t="shared" si="1"/>
        <v>503.48567795166997</v>
      </c>
      <c r="J33" s="9">
        <f t="shared" si="2"/>
        <v>2417.2838184827501</v>
      </c>
      <c r="K33" s="9">
        <f t="shared" si="3"/>
        <v>503.48567795166997</v>
      </c>
      <c r="L33" s="10">
        <f t="shared" si="0"/>
        <v>0.20828571064017276</v>
      </c>
      <c r="M33" s="10">
        <f t="shared" si="4"/>
        <v>0.21255288337559519</v>
      </c>
      <c r="P33" s="8">
        <f t="shared" si="5"/>
        <v>-11.821087464401323</v>
      </c>
    </row>
    <row r="34" spans="1:16" x14ac:dyDescent="0.2">
      <c r="A34" s="8">
        <v>16</v>
      </c>
      <c r="B34" s="8">
        <v>32</v>
      </c>
      <c r="D34">
        <v>2558.6183628319</v>
      </c>
      <c r="E34">
        <v>604.88384955751997</v>
      </c>
      <c r="F34">
        <v>126.71255506608</v>
      </c>
      <c r="G34">
        <v>112.35903083700001</v>
      </c>
      <c r="I34" s="9">
        <f t="shared" si="1"/>
        <v>492.52481872051999</v>
      </c>
      <c r="J34" s="9">
        <f t="shared" si="2"/>
        <v>2431.9058077658201</v>
      </c>
      <c r="K34" s="9">
        <f t="shared" si="3"/>
        <v>492.52481872051999</v>
      </c>
      <c r="L34" s="10">
        <f t="shared" si="0"/>
        <v>0.20252627266555201</v>
      </c>
      <c r="M34" s="10">
        <f t="shared" si="4"/>
        <v>0.20693109613437516</v>
      </c>
      <c r="P34" s="8">
        <f t="shared" si="5"/>
        <v>-14.153321577458778</v>
      </c>
    </row>
    <row r="35" spans="1:16" x14ac:dyDescent="0.2">
      <c r="A35" s="8">
        <v>16.5</v>
      </c>
      <c r="B35" s="8">
        <v>33</v>
      </c>
      <c r="D35">
        <v>2544.4781634937999</v>
      </c>
      <c r="E35">
        <v>608.39193729003</v>
      </c>
      <c r="F35">
        <v>127.40528634361</v>
      </c>
      <c r="G35">
        <v>112.40969162995999</v>
      </c>
      <c r="I35" s="9">
        <f t="shared" si="1"/>
        <v>495.98224566007002</v>
      </c>
      <c r="J35" s="9">
        <f t="shared" si="2"/>
        <v>2417.0728771501899</v>
      </c>
      <c r="K35" s="9">
        <f t="shared" si="3"/>
        <v>495.98224566007002</v>
      </c>
      <c r="L35" s="10">
        <f t="shared" si="0"/>
        <v>0.2051995412917999</v>
      </c>
      <c r="M35" s="10">
        <f t="shared" si="4"/>
        <v>0.20974201549402377</v>
      </c>
      <c r="P35" s="8">
        <f t="shared" si="5"/>
        <v>-12.987193842926548</v>
      </c>
    </row>
    <row r="36" spans="1:16" x14ac:dyDescent="0.2">
      <c r="A36" s="8">
        <v>17</v>
      </c>
      <c r="B36" s="8">
        <v>34</v>
      </c>
      <c r="D36">
        <v>2437.2430011197998</v>
      </c>
      <c r="E36">
        <v>584.65285554311004</v>
      </c>
      <c r="F36">
        <v>128.27422907489</v>
      </c>
      <c r="G36">
        <v>112.31057268723001</v>
      </c>
      <c r="I36" s="9">
        <f t="shared" si="1"/>
        <v>472.34228285588006</v>
      </c>
      <c r="J36" s="9">
        <f t="shared" si="2"/>
        <v>2308.9687720449097</v>
      </c>
      <c r="K36" s="9">
        <f t="shared" si="3"/>
        <v>472.34228285588006</v>
      </c>
      <c r="L36" s="10">
        <f t="shared" si="0"/>
        <v>0.20456850199734661</v>
      </c>
      <c r="M36" s="10">
        <f t="shared" si="4"/>
        <v>0.20924862693297119</v>
      </c>
      <c r="P36" s="8">
        <f t="shared" si="5"/>
        <v>-13.191879218538419</v>
      </c>
    </row>
    <row r="37" spans="1:16" x14ac:dyDescent="0.2">
      <c r="A37" s="8">
        <v>17.5</v>
      </c>
      <c r="B37" s="8">
        <v>35</v>
      </c>
      <c r="D37">
        <v>2329.9099099098999</v>
      </c>
      <c r="E37">
        <v>572.18581081081004</v>
      </c>
      <c r="F37">
        <v>128.08039647576999</v>
      </c>
      <c r="G37">
        <v>112.33700440529</v>
      </c>
      <c r="I37" s="9">
        <f t="shared" si="1"/>
        <v>459.84880640552001</v>
      </c>
      <c r="J37" s="9">
        <f t="shared" si="2"/>
        <v>2201.8295134341297</v>
      </c>
      <c r="K37" s="9">
        <f t="shared" si="3"/>
        <v>459.84880640552001</v>
      </c>
      <c r="L37" s="10">
        <f t="shared" si="0"/>
        <v>0.20884850693472046</v>
      </c>
      <c r="M37" s="10">
        <f t="shared" si="4"/>
        <v>0.21366628260374579</v>
      </c>
      <c r="P37" s="8">
        <f t="shared" si="5"/>
        <v>-11.359186728936789</v>
      </c>
    </row>
    <row r="38" spans="1:16" x14ac:dyDescent="0.2">
      <c r="A38" s="8">
        <v>18</v>
      </c>
      <c r="B38" s="8">
        <v>36</v>
      </c>
      <c r="D38">
        <v>2388.875</v>
      </c>
      <c r="E38">
        <v>591.44707207207</v>
      </c>
      <c r="F38">
        <v>127.52092511012999</v>
      </c>
      <c r="G38">
        <v>112.56718061674</v>
      </c>
      <c r="I38" s="9">
        <f t="shared" si="1"/>
        <v>478.87989145532998</v>
      </c>
      <c r="J38" s="9">
        <f t="shared" si="2"/>
        <v>2261.3540748898699</v>
      </c>
      <c r="K38" s="9">
        <f t="shared" si="3"/>
        <v>478.87989145532998</v>
      </c>
      <c r="L38" s="10">
        <f t="shared" si="0"/>
        <v>0.21176687754156848</v>
      </c>
      <c r="M38" s="10">
        <f t="shared" si="4"/>
        <v>0.21672230394399453</v>
      </c>
      <c r="P38" s="8">
        <f t="shared" si="5"/>
        <v>-10.091376882327777</v>
      </c>
    </row>
    <row r="39" spans="1:16" x14ac:dyDescent="0.2">
      <c r="A39" s="8">
        <v>18.5</v>
      </c>
      <c r="B39" s="8">
        <v>37</v>
      </c>
      <c r="D39">
        <v>2292.0313901344998</v>
      </c>
      <c r="E39">
        <v>575.15470852017995</v>
      </c>
      <c r="F39">
        <v>127.85572687225</v>
      </c>
      <c r="G39">
        <v>112.34581497796999</v>
      </c>
      <c r="I39" s="9">
        <f t="shared" si="1"/>
        <v>462.80889354220994</v>
      </c>
      <c r="J39" s="9">
        <f t="shared" si="2"/>
        <v>2164.1756632622496</v>
      </c>
      <c r="K39" s="9">
        <f t="shared" si="3"/>
        <v>462.80889354220994</v>
      </c>
      <c r="L39" s="10">
        <f t="shared" si="0"/>
        <v>0.21384996670953133</v>
      </c>
      <c r="M39" s="10">
        <f t="shared" si="4"/>
        <v>0.21894304384535809</v>
      </c>
      <c r="P39" s="8">
        <f t="shared" si="5"/>
        <v>-9.1700888413623645</v>
      </c>
    </row>
    <row r="40" spans="1:16" x14ac:dyDescent="0.2">
      <c r="A40" s="8">
        <v>19</v>
      </c>
      <c r="B40" s="8">
        <v>38</v>
      </c>
      <c r="D40">
        <v>2222.9832775919999</v>
      </c>
      <c r="E40">
        <v>541.65105908583996</v>
      </c>
      <c r="F40">
        <v>127.51982378855</v>
      </c>
      <c r="G40">
        <v>111.64096916299999</v>
      </c>
      <c r="I40" s="9">
        <f t="shared" si="1"/>
        <v>430.01008992283994</v>
      </c>
      <c r="J40" s="9">
        <f t="shared" si="2"/>
        <v>2095.4634538034497</v>
      </c>
      <c r="K40" s="9">
        <f t="shared" si="3"/>
        <v>430.01008992283994</v>
      </c>
      <c r="L40" s="10">
        <f t="shared" si="0"/>
        <v>0.20521001649651011</v>
      </c>
      <c r="M40" s="10">
        <f t="shared" si="4"/>
        <v>0.21044074436573759</v>
      </c>
      <c r="P40" s="8">
        <f t="shared" si="5"/>
        <v>-12.697321736340836</v>
      </c>
    </row>
    <row r="41" spans="1:16" x14ac:dyDescent="0.2">
      <c r="A41" s="8">
        <v>19.5</v>
      </c>
      <c r="B41" s="8">
        <v>39</v>
      </c>
      <c r="D41">
        <v>2139.3979820628001</v>
      </c>
      <c r="E41">
        <v>534.54484304932998</v>
      </c>
      <c r="F41">
        <v>127.92511013216</v>
      </c>
      <c r="G41">
        <v>112.36013215859001</v>
      </c>
      <c r="I41" s="9">
        <f t="shared" si="1"/>
        <v>422.18471089074001</v>
      </c>
      <c r="J41" s="9">
        <f t="shared" si="2"/>
        <v>2011.4728719306402</v>
      </c>
      <c r="K41" s="9">
        <f t="shared" si="3"/>
        <v>422.18471089074001</v>
      </c>
      <c r="L41" s="10">
        <f t="shared" si="0"/>
        <v>0.20988834439786461</v>
      </c>
      <c r="M41" s="10">
        <f t="shared" si="4"/>
        <v>0.21525672300049281</v>
      </c>
      <c r="P41" s="8">
        <f t="shared" si="5"/>
        <v>-10.699382437361882</v>
      </c>
    </row>
    <row r="42" spans="1:16" x14ac:dyDescent="0.2">
      <c r="A42" s="8">
        <v>20</v>
      </c>
      <c r="B42" s="8">
        <v>40</v>
      </c>
      <c r="D42">
        <v>2376.7902869756999</v>
      </c>
      <c r="E42">
        <v>572.87969094923005</v>
      </c>
      <c r="F42">
        <v>127.56167400881</v>
      </c>
      <c r="G42">
        <v>112.15088105727</v>
      </c>
      <c r="I42" s="9">
        <f t="shared" si="1"/>
        <v>460.72880989196005</v>
      </c>
      <c r="J42" s="9">
        <f t="shared" si="2"/>
        <v>2249.2286129668901</v>
      </c>
      <c r="K42" s="9">
        <f t="shared" si="3"/>
        <v>460.72880989196005</v>
      </c>
      <c r="L42" s="10">
        <f t="shared" si="0"/>
        <v>0.20483858654288881</v>
      </c>
      <c r="M42" s="10">
        <f t="shared" si="4"/>
        <v>0.21034461587891776</v>
      </c>
      <c r="P42" s="8">
        <f t="shared" si="5"/>
        <v>-12.737201249132424</v>
      </c>
    </row>
    <row r="43" spans="1:16" x14ac:dyDescent="0.2">
      <c r="A43" s="8">
        <v>20.5</v>
      </c>
      <c r="B43" s="8">
        <v>41</v>
      </c>
      <c r="D43">
        <v>2405.7748344370998</v>
      </c>
      <c r="E43">
        <v>575.73399558499</v>
      </c>
      <c r="F43">
        <v>127.38105726872</v>
      </c>
      <c r="G43">
        <v>112.0936123348</v>
      </c>
      <c r="I43" s="9">
        <f t="shared" si="1"/>
        <v>463.64038325018998</v>
      </c>
      <c r="J43" s="9">
        <f t="shared" si="2"/>
        <v>2278.39377716838</v>
      </c>
      <c r="K43" s="9">
        <f t="shared" si="3"/>
        <v>463.64038325018998</v>
      </c>
      <c r="L43" s="10">
        <f t="shared" si="0"/>
        <v>0.20349440377528102</v>
      </c>
      <c r="M43" s="10">
        <f t="shared" si="4"/>
        <v>0.20913808384471069</v>
      </c>
      <c r="P43" s="8">
        <f t="shared" si="5"/>
        <v>-13.237738720213176</v>
      </c>
    </row>
    <row r="44" spans="1:16" x14ac:dyDescent="0.2">
      <c r="A44" s="8">
        <v>21</v>
      </c>
      <c r="B44" s="8">
        <v>42</v>
      </c>
      <c r="D44">
        <v>2325.9763779527998</v>
      </c>
      <c r="E44">
        <v>582.85826771654001</v>
      </c>
      <c r="F44">
        <v>127.52422907489</v>
      </c>
      <c r="G44">
        <v>112.40748898678</v>
      </c>
      <c r="I44" s="9">
        <f t="shared" si="1"/>
        <v>470.45077872976003</v>
      </c>
      <c r="J44" s="9">
        <f t="shared" si="2"/>
        <v>2198.4521488779096</v>
      </c>
      <c r="K44" s="9">
        <f t="shared" si="3"/>
        <v>470.45077872976003</v>
      </c>
      <c r="L44" s="10">
        <f t="shared" si="0"/>
        <v>0.21399182100455458</v>
      </c>
      <c r="M44" s="10">
        <f t="shared" si="4"/>
        <v>0.21977315180738496</v>
      </c>
      <c r="P44" s="8">
        <f t="shared" si="5"/>
        <v>-8.8257132854244755</v>
      </c>
    </row>
    <row r="45" spans="1:16" x14ac:dyDescent="0.2">
      <c r="A45" s="8">
        <v>21.5</v>
      </c>
      <c r="B45" s="8">
        <v>43</v>
      </c>
      <c r="D45">
        <v>2338.1238839286002</v>
      </c>
      <c r="E45">
        <v>592.61941964285995</v>
      </c>
      <c r="F45">
        <v>127.67731277532999</v>
      </c>
      <c r="G45">
        <v>112.30176211454</v>
      </c>
      <c r="I45" s="9">
        <f t="shared" si="1"/>
        <v>480.31765752831996</v>
      </c>
      <c r="J45" s="9">
        <f t="shared" si="2"/>
        <v>2210.4465711532703</v>
      </c>
      <c r="K45" s="9">
        <f t="shared" si="3"/>
        <v>480.31765752831996</v>
      </c>
      <c r="L45" s="10">
        <f t="shared" si="0"/>
        <v>0.21729439824357338</v>
      </c>
      <c r="M45" s="10">
        <f t="shared" si="4"/>
        <v>0.22321337977980449</v>
      </c>
      <c r="P45" s="8">
        <f t="shared" si="5"/>
        <v>-7.3985128792721326</v>
      </c>
    </row>
    <row r="46" spans="1:16" x14ac:dyDescent="0.2">
      <c r="A46" s="8">
        <v>22</v>
      </c>
      <c r="B46" s="8">
        <v>44</v>
      </c>
      <c r="D46">
        <v>2344.0133779264002</v>
      </c>
      <c r="E46">
        <v>581.52954292084996</v>
      </c>
      <c r="F46">
        <v>127.13656387665</v>
      </c>
      <c r="G46">
        <v>112.08920704846</v>
      </c>
      <c r="I46" s="9">
        <f t="shared" si="1"/>
        <v>469.44033587238994</v>
      </c>
      <c r="J46" s="9">
        <f t="shared" si="2"/>
        <v>2216.87681404975</v>
      </c>
      <c r="K46" s="9">
        <f t="shared" si="3"/>
        <v>469.44033587238994</v>
      </c>
      <c r="L46" s="10">
        <f t="shared" si="0"/>
        <v>0.21175751981221949</v>
      </c>
      <c r="M46" s="10">
        <f t="shared" si="4"/>
        <v>0.21781415208185131</v>
      </c>
      <c r="P46" s="8">
        <f t="shared" si="5"/>
        <v>-9.6384167534355214</v>
      </c>
    </row>
    <row r="47" spans="1:16" x14ac:dyDescent="0.2">
      <c r="A47" s="8">
        <v>22.5</v>
      </c>
      <c r="B47" s="8">
        <v>45</v>
      </c>
      <c r="D47">
        <v>2501.3995584989002</v>
      </c>
      <c r="E47">
        <v>618.94481236203001</v>
      </c>
      <c r="F47">
        <v>127.33039647577</v>
      </c>
      <c r="G47">
        <v>112.16740088106</v>
      </c>
      <c r="I47" s="9">
        <f t="shared" si="1"/>
        <v>506.77741148096999</v>
      </c>
      <c r="J47" s="9">
        <f t="shared" si="2"/>
        <v>2374.06916202313</v>
      </c>
      <c r="K47" s="9">
        <f t="shared" si="3"/>
        <v>506.77741148096999</v>
      </c>
      <c r="L47" s="10">
        <f t="shared" si="0"/>
        <v>0.21346362590764006</v>
      </c>
      <c r="M47" s="10">
        <f t="shared" si="4"/>
        <v>0.21965790891067263</v>
      </c>
      <c r="P47" s="8">
        <f t="shared" si="5"/>
        <v>-8.8735225324606066</v>
      </c>
    </row>
    <row r="48" spans="1:16" x14ac:dyDescent="0.2">
      <c r="A48" s="8">
        <v>23</v>
      </c>
      <c r="B48" s="8">
        <v>46</v>
      </c>
      <c r="D48">
        <v>2365.2737306843001</v>
      </c>
      <c r="E48">
        <v>589.86092715231996</v>
      </c>
      <c r="F48">
        <v>127.29955947137</v>
      </c>
      <c r="G48">
        <v>112.11784140969</v>
      </c>
      <c r="I48" s="9">
        <f t="shared" si="1"/>
        <v>477.74308574262994</v>
      </c>
      <c r="J48" s="9">
        <f t="shared" si="2"/>
        <v>2237.9741712129298</v>
      </c>
      <c r="K48" s="9">
        <f t="shared" si="3"/>
        <v>477.74308574262994</v>
      </c>
      <c r="L48" s="10">
        <f t="shared" si="0"/>
        <v>0.21347122405961652</v>
      </c>
      <c r="M48" s="10">
        <f t="shared" si="4"/>
        <v>0.21980315779604981</v>
      </c>
      <c r="P48" s="8">
        <f t="shared" si="5"/>
        <v>-8.8132651106079241</v>
      </c>
    </row>
    <row r="49" spans="1:25" x14ac:dyDescent="0.2">
      <c r="A49" s="8">
        <v>23.5</v>
      </c>
      <c r="B49" s="8">
        <v>47</v>
      </c>
      <c r="D49">
        <v>2470.6059602649002</v>
      </c>
      <c r="E49">
        <v>597.75496688741998</v>
      </c>
      <c r="F49">
        <v>127.86674008811001</v>
      </c>
      <c r="G49">
        <v>112.0627753304</v>
      </c>
      <c r="I49" s="9">
        <f t="shared" si="1"/>
        <v>485.69219155702001</v>
      </c>
      <c r="J49" s="9">
        <f t="shared" si="2"/>
        <v>2342.7392201767902</v>
      </c>
      <c r="K49" s="9">
        <f t="shared" si="3"/>
        <v>485.69219155702001</v>
      </c>
      <c r="L49" s="10">
        <f t="shared" si="0"/>
        <v>0.20731807764774102</v>
      </c>
      <c r="M49" s="10">
        <f t="shared" si="4"/>
        <v>0.21378766211757502</v>
      </c>
      <c r="P49" s="8">
        <f t="shared" si="5"/>
        <v>-11.308831667346547</v>
      </c>
    </row>
    <row r="50" spans="1:25" x14ac:dyDescent="0.2">
      <c r="A50" s="8">
        <v>24</v>
      </c>
      <c r="B50" s="8">
        <v>48</v>
      </c>
      <c r="D50">
        <v>2482.5607064018</v>
      </c>
      <c r="E50">
        <v>596.46799116998</v>
      </c>
      <c r="F50">
        <v>127.7731277533</v>
      </c>
      <c r="G50">
        <v>112.14757709251001</v>
      </c>
      <c r="I50" s="9">
        <f t="shared" si="1"/>
        <v>484.32041407746999</v>
      </c>
      <c r="J50" s="9">
        <f t="shared" si="2"/>
        <v>2354.7875786485001</v>
      </c>
      <c r="K50" s="9">
        <f t="shared" si="3"/>
        <v>484.32041407746999</v>
      </c>
      <c r="L50" s="10">
        <f t="shared" si="0"/>
        <v>0.20567477868022363</v>
      </c>
      <c r="M50" s="10">
        <f t="shared" si="4"/>
        <v>0.21228201388345835</v>
      </c>
      <c r="P50" s="8">
        <f t="shared" si="5"/>
        <v>-11.933459392160541</v>
      </c>
    </row>
    <row r="51" spans="1:25" x14ac:dyDescent="0.2">
      <c r="A51" s="8">
        <v>24.5</v>
      </c>
      <c r="B51" s="8">
        <v>49</v>
      </c>
      <c r="D51">
        <v>2476.2191323693</v>
      </c>
      <c r="E51">
        <v>624.82981090099997</v>
      </c>
      <c r="F51">
        <v>127.27533039648</v>
      </c>
      <c r="G51">
        <v>112.09471365639</v>
      </c>
      <c r="I51" s="9">
        <f t="shared" si="1"/>
        <v>512.73509724460996</v>
      </c>
      <c r="J51" s="9">
        <f t="shared" si="2"/>
        <v>2348.94380197282</v>
      </c>
      <c r="K51" s="9">
        <f t="shared" si="3"/>
        <v>512.73509724460996</v>
      </c>
      <c r="L51" s="10">
        <f t="shared" si="0"/>
        <v>0.21828325429240852</v>
      </c>
      <c r="M51" s="10">
        <f t="shared" si="4"/>
        <v>0.22502814022904397</v>
      </c>
      <c r="P51" s="8">
        <f t="shared" si="5"/>
        <v>-6.6456479903786754</v>
      </c>
    </row>
    <row r="52" spans="1:25" x14ac:dyDescent="0.2">
      <c r="A52" s="8">
        <v>25</v>
      </c>
      <c r="B52" s="8">
        <v>50</v>
      </c>
      <c r="D52">
        <v>2421.4861878452998</v>
      </c>
      <c r="E52">
        <v>615.66298342540995</v>
      </c>
      <c r="F52">
        <v>127.49779735683001</v>
      </c>
      <c r="G52">
        <v>112.35242290748999</v>
      </c>
      <c r="I52" s="9">
        <f t="shared" si="1"/>
        <v>503.31056051791995</v>
      </c>
      <c r="J52" s="9">
        <f t="shared" si="2"/>
        <v>2293.98839048847</v>
      </c>
      <c r="K52" s="9">
        <f t="shared" si="3"/>
        <v>503.31056051791995</v>
      </c>
      <c r="L52" s="10">
        <f t="shared" si="0"/>
        <v>0.21940414459148488</v>
      </c>
      <c r="M52" s="10">
        <f t="shared" si="4"/>
        <v>0.22628668126152104</v>
      </c>
      <c r="P52" s="8">
        <f t="shared" si="5"/>
        <v>-6.1235342563148798</v>
      </c>
    </row>
    <row r="53" spans="1:25" x14ac:dyDescent="0.2">
      <c r="A53" s="8">
        <v>25.5</v>
      </c>
      <c r="B53" s="8">
        <v>51</v>
      </c>
      <c r="D53">
        <v>2503.1588366890001</v>
      </c>
      <c r="E53">
        <v>626.91051454138994</v>
      </c>
      <c r="F53">
        <v>127.28964757708999</v>
      </c>
      <c r="G53">
        <v>112.27863436123</v>
      </c>
      <c r="I53" s="9">
        <f t="shared" si="1"/>
        <v>514.6318801801599</v>
      </c>
      <c r="J53" s="9">
        <f t="shared" si="2"/>
        <v>2375.8691891119101</v>
      </c>
      <c r="K53" s="9">
        <f t="shared" si="3"/>
        <v>514.6318801801599</v>
      </c>
      <c r="L53" s="10">
        <f t="shared" si="0"/>
        <v>0.21660783453003452</v>
      </c>
      <c r="M53" s="10">
        <f t="shared" si="4"/>
        <v>0.22362802193347142</v>
      </c>
      <c r="P53" s="8">
        <f t="shared" si="5"/>
        <v>-7.2264959504913548</v>
      </c>
      <c r="S53" s="11"/>
      <c r="U53" s="12"/>
    </row>
    <row r="54" spans="1:25" x14ac:dyDescent="0.2">
      <c r="A54" s="8">
        <v>26</v>
      </c>
      <c r="B54" s="8">
        <v>52</v>
      </c>
      <c r="D54">
        <v>2664.8923418424001</v>
      </c>
      <c r="E54">
        <v>639.14650388457005</v>
      </c>
      <c r="F54">
        <v>127.23458149779999</v>
      </c>
      <c r="G54">
        <v>111.68171806167</v>
      </c>
      <c r="I54" s="9">
        <f t="shared" si="1"/>
        <v>527.46478582290001</v>
      </c>
      <c r="J54" s="9">
        <f t="shared" si="2"/>
        <v>2537.6577603446003</v>
      </c>
      <c r="K54" s="9">
        <f t="shared" si="3"/>
        <v>527.46478582290001</v>
      </c>
      <c r="L54" s="10">
        <f t="shared" si="0"/>
        <v>0.20785497322194979</v>
      </c>
      <c r="M54" s="10">
        <f t="shared" si="4"/>
        <v>0.21501281135878741</v>
      </c>
      <c r="P54" s="8">
        <f t="shared" si="5"/>
        <v>-10.800570729794256</v>
      </c>
      <c r="S54" s="11"/>
    </row>
    <row r="55" spans="1:25" x14ac:dyDescent="0.2">
      <c r="A55" s="8">
        <v>26.5</v>
      </c>
      <c r="B55" s="8">
        <v>53</v>
      </c>
      <c r="D55">
        <v>2608.9120879121001</v>
      </c>
      <c r="E55">
        <v>625.93516483516999</v>
      </c>
      <c r="F55">
        <v>127.12334801762</v>
      </c>
      <c r="G55">
        <v>111.95264317181</v>
      </c>
      <c r="I55" s="9">
        <f t="shared" si="1"/>
        <v>513.98252166335999</v>
      </c>
      <c r="J55" s="9">
        <f t="shared" si="2"/>
        <v>2481.7887398944799</v>
      </c>
      <c r="K55" s="9">
        <f t="shared" si="3"/>
        <v>513.98252166335999</v>
      </c>
      <c r="L55" s="10">
        <f t="shared" si="0"/>
        <v>0.20710164140933823</v>
      </c>
      <c r="M55" s="10">
        <f t="shared" si="4"/>
        <v>0.21439713027957658</v>
      </c>
      <c r="P55" s="8">
        <f t="shared" si="5"/>
        <v>-11.055989932636221</v>
      </c>
      <c r="S55" s="11"/>
    </row>
    <row r="56" spans="1:25" x14ac:dyDescent="0.2">
      <c r="A56" s="8">
        <v>27</v>
      </c>
      <c r="B56" s="8">
        <v>54</v>
      </c>
      <c r="D56">
        <v>2617.6008968609999</v>
      </c>
      <c r="E56">
        <v>634.23542600896997</v>
      </c>
      <c r="F56">
        <v>126.69383259912</v>
      </c>
      <c r="G56">
        <v>111.44493392071</v>
      </c>
      <c r="I56" s="9">
        <f t="shared" si="1"/>
        <v>522.79049208825995</v>
      </c>
      <c r="J56" s="9">
        <f t="shared" si="2"/>
        <v>2490.9070642618799</v>
      </c>
      <c r="K56" s="9">
        <f t="shared" si="3"/>
        <v>522.79049208825995</v>
      </c>
      <c r="L56" s="10">
        <f t="shared" si="0"/>
        <v>0.20987956539565891</v>
      </c>
      <c r="M56" s="10">
        <f t="shared" si="4"/>
        <v>0.21731270499929797</v>
      </c>
      <c r="P56" s="8">
        <f t="shared" si="5"/>
        <v>-9.8464452578316148</v>
      </c>
      <c r="S56" s="11"/>
    </row>
    <row r="57" spans="1:25" x14ac:dyDescent="0.2">
      <c r="A57" s="8">
        <v>27.5</v>
      </c>
      <c r="B57" s="8">
        <v>55</v>
      </c>
      <c r="D57">
        <v>2653.0445930881001</v>
      </c>
      <c r="E57">
        <v>639.80156075807997</v>
      </c>
      <c r="F57">
        <v>126.23237885463</v>
      </c>
      <c r="G57">
        <v>111.35572687225</v>
      </c>
      <c r="I57" s="9">
        <f t="shared" si="1"/>
        <v>528.44583388582998</v>
      </c>
      <c r="J57" s="9">
        <f t="shared" si="2"/>
        <v>2526.8122142334701</v>
      </c>
      <c r="K57" s="9">
        <f t="shared" si="3"/>
        <v>528.44583388582998</v>
      </c>
      <c r="L57" s="10">
        <f t="shared" si="0"/>
        <v>0.20913538050398356</v>
      </c>
      <c r="M57" s="10">
        <f t="shared" si="4"/>
        <v>0.21670617084102334</v>
      </c>
      <c r="P57" s="8">
        <f t="shared" si="5"/>
        <v>-10.09806980247655</v>
      </c>
      <c r="S57" s="11"/>
    </row>
    <row r="58" spans="1:25" x14ac:dyDescent="0.2">
      <c r="A58" s="8">
        <v>28</v>
      </c>
      <c r="B58" s="8">
        <v>56</v>
      </c>
      <c r="D58">
        <v>2561.8038116592002</v>
      </c>
      <c r="E58">
        <v>633.40807174888005</v>
      </c>
      <c r="F58">
        <v>126.0550660793</v>
      </c>
      <c r="G58">
        <v>111.37995594714</v>
      </c>
      <c r="I58" s="9">
        <f t="shared" si="1"/>
        <v>522.02811580174</v>
      </c>
      <c r="J58" s="9">
        <f t="shared" si="2"/>
        <v>2435.7487455799001</v>
      </c>
      <c r="K58" s="9">
        <f t="shared" si="3"/>
        <v>522.02811580174</v>
      </c>
      <c r="L58" s="10">
        <f t="shared" si="0"/>
        <v>0.21431936144852912</v>
      </c>
      <c r="M58" s="10">
        <f t="shared" si="4"/>
        <v>0.22202780251896964</v>
      </c>
      <c r="P58" s="8">
        <f t="shared" si="5"/>
        <v>-7.8903571296397761</v>
      </c>
      <c r="S58" s="11"/>
    </row>
    <row r="59" spans="1:25" x14ac:dyDescent="0.2">
      <c r="A59" s="8">
        <v>28.5</v>
      </c>
      <c r="B59" s="8">
        <v>57</v>
      </c>
      <c r="D59">
        <v>2427.5952914797999</v>
      </c>
      <c r="E59">
        <v>618.67937219731004</v>
      </c>
      <c r="F59">
        <v>126.42400881057</v>
      </c>
      <c r="G59">
        <v>111.91740088106</v>
      </c>
      <c r="I59" s="9">
        <f t="shared" si="1"/>
        <v>506.76197131625003</v>
      </c>
      <c r="J59" s="9">
        <f t="shared" si="2"/>
        <v>2301.1712826692301</v>
      </c>
      <c r="K59" s="9">
        <f t="shared" si="3"/>
        <v>506.76197131625003</v>
      </c>
      <c r="L59" s="10">
        <f t="shared" si="0"/>
        <v>0.22021914454296268</v>
      </c>
      <c r="M59" s="10">
        <f t="shared" si="4"/>
        <v>0.22806523634680392</v>
      </c>
      <c r="P59" s="8">
        <f t="shared" si="5"/>
        <v>-5.3856893924191862</v>
      </c>
      <c r="R59" s="1"/>
      <c r="S59" s="11"/>
    </row>
    <row r="60" spans="1:25" x14ac:dyDescent="0.2">
      <c r="A60" s="8">
        <v>29</v>
      </c>
      <c r="B60" s="8">
        <v>58</v>
      </c>
      <c r="D60">
        <v>2498.6523178808002</v>
      </c>
      <c r="E60">
        <v>626.39293598233996</v>
      </c>
      <c r="F60">
        <v>126.29845814978</v>
      </c>
      <c r="G60">
        <v>111.34911894273</v>
      </c>
      <c r="I60" s="9">
        <f t="shared" si="1"/>
        <v>515.04381703960996</v>
      </c>
      <c r="J60" s="9">
        <f t="shared" si="2"/>
        <v>2372.3538597310203</v>
      </c>
      <c r="K60" s="9">
        <f t="shared" si="3"/>
        <v>515.04381703960996</v>
      </c>
      <c r="L60" s="10">
        <f t="shared" si="0"/>
        <v>0.21710244233885331</v>
      </c>
      <c r="M60" s="10">
        <f t="shared" si="4"/>
        <v>0.22508618487609527</v>
      </c>
      <c r="P60" s="8">
        <f t="shared" si="5"/>
        <v>-6.6215678001962974</v>
      </c>
      <c r="S60" s="11"/>
    </row>
    <row r="61" spans="1:25" x14ac:dyDescent="0.2">
      <c r="A61" s="8">
        <v>29.5</v>
      </c>
      <c r="B61" s="8">
        <v>59</v>
      </c>
      <c r="C61" s="2"/>
      <c r="D61">
        <v>2502.6611479029002</v>
      </c>
      <c r="E61">
        <v>626.08609271523005</v>
      </c>
      <c r="F61">
        <v>126.29074889867999</v>
      </c>
      <c r="G61">
        <v>111.45594713656</v>
      </c>
      <c r="I61" s="9">
        <f t="shared" si="1"/>
        <v>514.63014557867007</v>
      </c>
      <c r="J61" s="9">
        <f t="shared" si="2"/>
        <v>2376.3703990042204</v>
      </c>
      <c r="K61" s="9">
        <f t="shared" si="3"/>
        <v>514.63014557867007</v>
      </c>
      <c r="L61" s="10">
        <f t="shared" si="0"/>
        <v>0.21656141895822195</v>
      </c>
      <c r="M61" s="10">
        <f t="shared" si="4"/>
        <v>0.22468281222886463</v>
      </c>
      <c r="P61" s="8">
        <f t="shared" si="5"/>
        <v>-6.7889095027153399</v>
      </c>
      <c r="S61" s="11"/>
    </row>
    <row r="62" spans="1:25" x14ac:dyDescent="0.2">
      <c r="A62" s="8">
        <v>30</v>
      </c>
      <c r="B62" s="8">
        <v>60</v>
      </c>
      <c r="D62">
        <v>2415.1576626239998</v>
      </c>
      <c r="E62">
        <v>607.25248070561997</v>
      </c>
      <c r="F62">
        <v>126.44493392071</v>
      </c>
      <c r="G62">
        <v>111.49008810573</v>
      </c>
      <c r="I62" s="9">
        <f t="shared" si="1"/>
        <v>495.76239259988995</v>
      </c>
      <c r="J62" s="9">
        <f t="shared" si="2"/>
        <v>2288.7127287032899</v>
      </c>
      <c r="K62" s="9">
        <f t="shared" si="3"/>
        <v>495.76239259988995</v>
      </c>
      <c r="L62" s="10">
        <f t="shared" si="0"/>
        <v>0.21661189120959395</v>
      </c>
      <c r="M62" s="10">
        <f t="shared" si="4"/>
        <v>0.22487093521363735</v>
      </c>
      <c r="P62" s="8">
        <f t="shared" si="5"/>
        <v>-6.710865488648043</v>
      </c>
      <c r="U62" s="1" t="s">
        <v>9</v>
      </c>
      <c r="X62" s="1" t="s">
        <v>10</v>
      </c>
    </row>
    <row r="63" spans="1:25" x14ac:dyDescent="0.2">
      <c r="A63" s="8">
        <v>30.5</v>
      </c>
      <c r="B63" s="8">
        <v>61</v>
      </c>
      <c r="D63">
        <v>2434.1345093716</v>
      </c>
      <c r="E63">
        <v>614.35391400220999</v>
      </c>
      <c r="F63">
        <v>126.81828193833</v>
      </c>
      <c r="G63">
        <v>112.12995594714</v>
      </c>
      <c r="I63" s="9">
        <f t="shared" si="1"/>
        <v>502.22395805507</v>
      </c>
      <c r="J63" s="9">
        <f t="shared" si="2"/>
        <v>2307.3162274332699</v>
      </c>
      <c r="K63" s="9">
        <f t="shared" si="3"/>
        <v>502.22395805507</v>
      </c>
      <c r="L63" s="10">
        <f t="shared" si="0"/>
        <v>0.21766585441725927</v>
      </c>
      <c r="M63" s="10">
        <f t="shared" si="4"/>
        <v>0.22606254915470342</v>
      </c>
      <c r="P63" s="8">
        <f t="shared" si="5"/>
        <v>-6.2165168831775182</v>
      </c>
    </row>
    <row r="64" spans="1:25" x14ac:dyDescent="0.2">
      <c r="A64" s="8">
        <v>31</v>
      </c>
      <c r="B64" s="8">
        <v>62</v>
      </c>
      <c r="D64">
        <v>2501.9944873208001</v>
      </c>
      <c r="E64">
        <v>628.56780595369003</v>
      </c>
      <c r="F64">
        <v>126.48678414097</v>
      </c>
      <c r="G64">
        <v>111.53193832599</v>
      </c>
      <c r="I64" s="9">
        <f t="shared" si="1"/>
        <v>517.03586762769999</v>
      </c>
      <c r="J64" s="9">
        <f t="shared" si="2"/>
        <v>2375.5077031798301</v>
      </c>
      <c r="K64" s="9">
        <f t="shared" si="3"/>
        <v>517.03586762769999</v>
      </c>
      <c r="L64" s="10">
        <f t="shared" si="0"/>
        <v>0.21765278510172842</v>
      </c>
      <c r="M64" s="10">
        <f t="shared" si="4"/>
        <v>0.22618713057257328</v>
      </c>
      <c r="P64" s="8">
        <f t="shared" si="5"/>
        <v>-6.1648334913766396</v>
      </c>
      <c r="U64" s="8">
        <v>30.5</v>
      </c>
      <c r="V64" s="10">
        <f>L62</f>
        <v>0.21661189120959395</v>
      </c>
      <c r="X64" s="8">
        <v>-13</v>
      </c>
      <c r="Y64" s="10"/>
    </row>
    <row r="65" spans="1:25" x14ac:dyDescent="0.2">
      <c r="A65" s="8">
        <v>31.5</v>
      </c>
      <c r="B65" s="8">
        <v>63</v>
      </c>
      <c r="D65">
        <v>2535.0672546858</v>
      </c>
      <c r="E65">
        <v>640.35060639470998</v>
      </c>
      <c r="F65">
        <v>126.95044052863</v>
      </c>
      <c r="G65">
        <v>111.67290748899001</v>
      </c>
      <c r="I65" s="9">
        <f t="shared" si="1"/>
        <v>528.67769890572004</v>
      </c>
      <c r="J65" s="9">
        <f t="shared" si="2"/>
        <v>2408.1168141571698</v>
      </c>
      <c r="K65" s="9">
        <f t="shared" si="3"/>
        <v>528.67769890572004</v>
      </c>
      <c r="L65" s="10">
        <f t="shared" si="0"/>
        <v>0.21953988934326465</v>
      </c>
      <c r="M65" s="10">
        <f t="shared" si="4"/>
        <v>0.22821188554751023</v>
      </c>
      <c r="P65" s="8">
        <f t="shared" si="5"/>
        <v>-5.3248510408657674</v>
      </c>
      <c r="U65" s="8">
        <v>31</v>
      </c>
      <c r="V65" s="10">
        <f t="shared" ref="V65:V83" si="6">L63</f>
        <v>0.21766585441725927</v>
      </c>
      <c r="X65" s="8">
        <v>-13</v>
      </c>
      <c r="Y65" s="10"/>
    </row>
    <row r="66" spans="1:25" x14ac:dyDescent="0.2">
      <c r="A66" s="8">
        <v>32</v>
      </c>
      <c r="B66" s="8">
        <v>64</v>
      </c>
      <c r="D66">
        <v>2536.5887541345</v>
      </c>
      <c r="E66">
        <v>640.51047409040996</v>
      </c>
      <c r="F66">
        <v>126.34581497796999</v>
      </c>
      <c r="G66">
        <v>111.5077092511</v>
      </c>
      <c r="I66" s="9">
        <f t="shared" si="1"/>
        <v>529.00276483930998</v>
      </c>
      <c r="J66" s="9">
        <f t="shared" si="2"/>
        <v>2410.2429391565302</v>
      </c>
      <c r="K66" s="9">
        <f t="shared" si="3"/>
        <v>529.00276483930998</v>
      </c>
      <c r="L66" s="10">
        <f t="shared" ref="L66:L129" si="7">K66/J66</f>
        <v>0.21948109721438938</v>
      </c>
      <c r="M66" s="10">
        <f t="shared" si="4"/>
        <v>0.22829074415203568</v>
      </c>
      <c r="P66" s="8">
        <f t="shared" si="5"/>
        <v>-5.2921360483392208</v>
      </c>
      <c r="U66" s="8">
        <v>31.5</v>
      </c>
      <c r="V66" s="10">
        <f t="shared" si="6"/>
        <v>0.21765278510172842</v>
      </c>
      <c r="X66" s="8">
        <v>-13</v>
      </c>
      <c r="Y66" s="10"/>
    </row>
    <row r="67" spans="1:25" x14ac:dyDescent="0.2">
      <c r="A67" s="8">
        <v>32.5</v>
      </c>
      <c r="B67" s="8">
        <v>65</v>
      </c>
      <c r="D67">
        <v>2573.8831312018001</v>
      </c>
      <c r="E67">
        <v>653.94266813671004</v>
      </c>
      <c r="F67">
        <v>125.81718061674</v>
      </c>
      <c r="G67">
        <v>111.70374449339</v>
      </c>
      <c r="I67" s="9">
        <f t="shared" ref="I67:I130" si="8">E67-G67</f>
        <v>542.23892364332005</v>
      </c>
      <c r="J67" s="9">
        <f t="shared" ref="J67:J130" si="9">D67-F67</f>
        <v>2448.0659505850599</v>
      </c>
      <c r="K67" s="9">
        <f t="shared" ref="K67:K130" si="10">I67*1</f>
        <v>542.23892364332005</v>
      </c>
      <c r="L67" s="10">
        <f t="shared" si="7"/>
        <v>0.22149686102767416</v>
      </c>
      <c r="M67" s="10">
        <f t="shared" ref="M67:M130" si="11">L67+ABS($N$2)*A67</f>
        <v>0.23044415869872117</v>
      </c>
      <c r="P67" s="8">
        <f t="shared" ref="P67:P130" si="12">(M67-$O$2)/$O$2*100</f>
        <v>-4.3987783580108086</v>
      </c>
      <c r="U67" s="8">
        <v>32</v>
      </c>
      <c r="V67" s="10">
        <f t="shared" si="6"/>
        <v>0.21953988934326465</v>
      </c>
      <c r="X67" s="8">
        <v>-13</v>
      </c>
      <c r="Y67" s="10"/>
    </row>
    <row r="68" spans="1:25" x14ac:dyDescent="0.2">
      <c r="A68" s="8">
        <v>33</v>
      </c>
      <c r="B68" s="8">
        <v>66</v>
      </c>
      <c r="D68">
        <v>2554.5733186328998</v>
      </c>
      <c r="E68">
        <v>652.09261300992</v>
      </c>
      <c r="F68">
        <v>126.24779735683001</v>
      </c>
      <c r="G68">
        <v>111.35792951542</v>
      </c>
      <c r="I68" s="9">
        <f t="shared" si="8"/>
        <v>540.73468349450002</v>
      </c>
      <c r="J68" s="9">
        <f t="shared" si="9"/>
        <v>2428.3255212760696</v>
      </c>
      <c r="K68" s="9">
        <f t="shared" si="10"/>
        <v>540.73468349450002</v>
      </c>
      <c r="L68" s="10">
        <f t="shared" si="7"/>
        <v>0.22267800538139854</v>
      </c>
      <c r="M68" s="10">
        <f t="shared" si="11"/>
        <v>0.23176295378584627</v>
      </c>
      <c r="P68" s="8">
        <f t="shared" si="12"/>
        <v>-3.8516678470021715</v>
      </c>
      <c r="U68" s="8">
        <v>32.5</v>
      </c>
      <c r="V68" s="10">
        <f t="shared" si="6"/>
        <v>0.21948109721438938</v>
      </c>
      <c r="X68" s="8">
        <v>-13</v>
      </c>
      <c r="Y68" s="10"/>
    </row>
    <row r="69" spans="1:25" x14ac:dyDescent="0.2">
      <c r="A69" s="8">
        <v>33.5</v>
      </c>
      <c r="B69" s="8">
        <v>67</v>
      </c>
      <c r="D69">
        <v>2545.3395810364</v>
      </c>
      <c r="E69">
        <v>654.38257993385002</v>
      </c>
      <c r="F69">
        <v>126.20154185022</v>
      </c>
      <c r="G69">
        <v>111.4768722467</v>
      </c>
      <c r="I69" s="9">
        <f t="shared" si="8"/>
        <v>542.90570768714997</v>
      </c>
      <c r="J69" s="9">
        <f t="shared" si="9"/>
        <v>2419.1380391861799</v>
      </c>
      <c r="K69" s="9">
        <f t="shared" si="10"/>
        <v>542.90570768714997</v>
      </c>
      <c r="L69" s="10">
        <f t="shared" si="7"/>
        <v>0.22442113632746166</v>
      </c>
      <c r="M69" s="10">
        <f t="shared" si="11"/>
        <v>0.23364373546531014</v>
      </c>
      <c r="P69" s="8">
        <f t="shared" si="12"/>
        <v>-3.0714136317773351</v>
      </c>
      <c r="U69" s="8">
        <v>33</v>
      </c>
      <c r="V69" s="10">
        <f t="shared" si="6"/>
        <v>0.22149686102767416</v>
      </c>
      <c r="X69" s="8">
        <v>-13</v>
      </c>
      <c r="Y69" s="10"/>
    </row>
    <row r="70" spans="1:25" x14ac:dyDescent="0.2">
      <c r="A70" s="8">
        <v>34</v>
      </c>
      <c r="B70" s="8">
        <v>68</v>
      </c>
      <c r="D70">
        <v>2566.5633958103999</v>
      </c>
      <c r="E70">
        <v>662.94046306505004</v>
      </c>
      <c r="F70">
        <v>126.0859030837</v>
      </c>
      <c r="G70">
        <v>111.45484581498</v>
      </c>
      <c r="I70" s="9">
        <f t="shared" si="8"/>
        <v>551.48561725007005</v>
      </c>
      <c r="J70" s="9">
        <f t="shared" si="9"/>
        <v>2440.4774927266999</v>
      </c>
      <c r="K70" s="9">
        <f t="shared" si="10"/>
        <v>551.48561725007005</v>
      </c>
      <c r="L70" s="10">
        <f t="shared" si="7"/>
        <v>0.22597447380426586</v>
      </c>
      <c r="M70" s="10">
        <f t="shared" si="11"/>
        <v>0.23533472367551506</v>
      </c>
      <c r="P70" s="8">
        <f t="shared" si="12"/>
        <v>-2.3698964417098582</v>
      </c>
      <c r="U70" s="8">
        <v>33.5</v>
      </c>
      <c r="V70" s="10">
        <f t="shared" si="6"/>
        <v>0.22267800538139854</v>
      </c>
      <c r="X70" s="8">
        <v>-13</v>
      </c>
      <c r="Y70" s="10"/>
    </row>
    <row r="71" spans="1:25" x14ac:dyDescent="0.2">
      <c r="A71" s="8">
        <v>34.5</v>
      </c>
      <c r="B71" s="8">
        <v>69</v>
      </c>
      <c r="D71">
        <v>2608.1830209482</v>
      </c>
      <c r="E71">
        <v>687.22160970232005</v>
      </c>
      <c r="F71">
        <v>126.09471365639</v>
      </c>
      <c r="G71">
        <v>111.44603524228999</v>
      </c>
      <c r="I71" s="9">
        <f t="shared" si="8"/>
        <v>575.77557446003004</v>
      </c>
      <c r="J71" s="9">
        <f t="shared" si="9"/>
        <v>2482.08830729181</v>
      </c>
      <c r="K71" s="9">
        <f t="shared" si="10"/>
        <v>575.77557446003004</v>
      </c>
      <c r="L71" s="10">
        <f t="shared" si="7"/>
        <v>0.23197223594685676</v>
      </c>
      <c r="M71" s="10">
        <f t="shared" si="11"/>
        <v>0.24147013655150668</v>
      </c>
      <c r="P71" s="8">
        <f t="shared" si="12"/>
        <v>0.17541852541690067</v>
      </c>
      <c r="U71" s="8">
        <v>34</v>
      </c>
      <c r="V71" s="10">
        <f t="shared" si="6"/>
        <v>0.22442113632746166</v>
      </c>
      <c r="X71" s="8">
        <v>-13</v>
      </c>
      <c r="Y71" s="10"/>
    </row>
    <row r="72" spans="1:25" x14ac:dyDescent="0.2">
      <c r="A72" s="8">
        <v>35</v>
      </c>
      <c r="B72" s="8">
        <v>70</v>
      </c>
      <c r="D72">
        <v>2608.9283351709</v>
      </c>
      <c r="E72">
        <v>694.89746416758999</v>
      </c>
      <c r="F72">
        <v>126.44713656387999</v>
      </c>
      <c r="G72">
        <v>111.36233480176</v>
      </c>
      <c r="I72" s="9">
        <f t="shared" si="8"/>
        <v>583.53512936583002</v>
      </c>
      <c r="J72" s="9">
        <f t="shared" si="9"/>
        <v>2482.4811986070199</v>
      </c>
      <c r="K72" s="9">
        <f t="shared" si="10"/>
        <v>583.53512936583002</v>
      </c>
      <c r="L72" s="10">
        <f t="shared" si="7"/>
        <v>0.23506124827582406</v>
      </c>
      <c r="M72" s="10">
        <f t="shared" si="11"/>
        <v>0.24469679961387469</v>
      </c>
      <c r="P72" s="8">
        <f t="shared" si="12"/>
        <v>1.5140201733447913</v>
      </c>
      <c r="U72" s="8">
        <v>34.5</v>
      </c>
      <c r="V72" s="10">
        <f t="shared" si="6"/>
        <v>0.22597447380426586</v>
      </c>
      <c r="X72" s="8">
        <v>-13</v>
      </c>
      <c r="Y72" s="10"/>
    </row>
    <row r="73" spans="1:25" x14ac:dyDescent="0.2">
      <c r="A73" s="8">
        <v>35.5</v>
      </c>
      <c r="B73" s="8">
        <v>71</v>
      </c>
      <c r="D73">
        <v>2604.6571113560999</v>
      </c>
      <c r="E73">
        <v>692.79603087099997</v>
      </c>
      <c r="F73">
        <v>126.1563876652</v>
      </c>
      <c r="G73">
        <v>111.58920704846</v>
      </c>
      <c r="I73" s="9">
        <f t="shared" si="8"/>
        <v>581.20682382253995</v>
      </c>
      <c r="J73" s="9">
        <f t="shared" si="9"/>
        <v>2478.5007236909</v>
      </c>
      <c r="K73" s="9">
        <f t="shared" si="10"/>
        <v>581.20682382253995</v>
      </c>
      <c r="L73" s="10">
        <f t="shared" si="7"/>
        <v>0.23449935610953798</v>
      </c>
      <c r="M73" s="10">
        <f t="shared" si="11"/>
        <v>0.24427255818098934</v>
      </c>
      <c r="P73" s="8">
        <f t="shared" si="12"/>
        <v>1.3380209226629241</v>
      </c>
      <c r="U73" s="8">
        <v>35</v>
      </c>
      <c r="V73" s="10">
        <f t="shared" si="6"/>
        <v>0.23197223594685676</v>
      </c>
      <c r="X73" s="8">
        <v>-13</v>
      </c>
      <c r="Y73" s="10"/>
    </row>
    <row r="74" spans="1:25" x14ac:dyDescent="0.2">
      <c r="A74" s="8">
        <v>36</v>
      </c>
      <c r="B74" s="8">
        <v>72</v>
      </c>
      <c r="D74">
        <v>2615.4939360529002</v>
      </c>
      <c r="E74">
        <v>698.96582138919996</v>
      </c>
      <c r="F74">
        <v>126.62555066079</v>
      </c>
      <c r="G74">
        <v>111.49559471366</v>
      </c>
      <c r="I74" s="9">
        <f t="shared" si="8"/>
        <v>587.47022667553995</v>
      </c>
      <c r="J74" s="9">
        <f t="shared" si="9"/>
        <v>2488.8683853921102</v>
      </c>
      <c r="K74" s="9">
        <f t="shared" si="10"/>
        <v>587.47022667553995</v>
      </c>
      <c r="L74" s="10">
        <f t="shared" si="7"/>
        <v>0.23603908913929436</v>
      </c>
      <c r="M74" s="10">
        <f t="shared" si="11"/>
        <v>0.24594994194414646</v>
      </c>
      <c r="P74" s="8">
        <f t="shared" si="12"/>
        <v>2.0338942215383802</v>
      </c>
      <c r="U74" s="8">
        <v>35.5</v>
      </c>
      <c r="V74" s="10">
        <f t="shared" si="6"/>
        <v>0.23506124827582406</v>
      </c>
      <c r="X74" s="8">
        <v>-13</v>
      </c>
      <c r="Y74" s="10"/>
    </row>
    <row r="75" spans="1:25" x14ac:dyDescent="0.2">
      <c r="A75" s="8">
        <v>36.5</v>
      </c>
      <c r="B75" s="8">
        <v>73</v>
      </c>
      <c r="D75">
        <v>2652.9062844542</v>
      </c>
      <c r="E75">
        <v>712.29658213892003</v>
      </c>
      <c r="F75">
        <v>125.80837004404999</v>
      </c>
      <c r="G75">
        <v>111.64647577093</v>
      </c>
      <c r="I75" s="9">
        <f t="shared" si="8"/>
        <v>600.65010636799002</v>
      </c>
      <c r="J75" s="9">
        <f t="shared" si="9"/>
        <v>2527.0979144101498</v>
      </c>
      <c r="K75" s="9">
        <f t="shared" si="10"/>
        <v>600.65010636799002</v>
      </c>
      <c r="L75" s="10">
        <f t="shared" si="7"/>
        <v>0.23768374899244371</v>
      </c>
      <c r="M75" s="10">
        <f t="shared" si="11"/>
        <v>0.24773225253069653</v>
      </c>
      <c r="P75" s="8">
        <f t="shared" si="12"/>
        <v>2.7732970789672953</v>
      </c>
      <c r="U75" s="8">
        <v>36</v>
      </c>
      <c r="V75" s="10">
        <f t="shared" si="6"/>
        <v>0.23449935610953798</v>
      </c>
      <c r="X75" s="8">
        <v>-13</v>
      </c>
      <c r="Y75" s="10"/>
    </row>
    <row r="76" spans="1:25" x14ac:dyDescent="0.2">
      <c r="A76" s="8">
        <v>37</v>
      </c>
      <c r="B76" s="8">
        <v>74</v>
      </c>
      <c r="D76">
        <v>2668.7949283352</v>
      </c>
      <c r="E76">
        <v>717.31091510474005</v>
      </c>
      <c r="F76">
        <v>126.40969162995999</v>
      </c>
      <c r="G76">
        <v>111.80837004404999</v>
      </c>
      <c r="I76" s="9">
        <f t="shared" si="8"/>
        <v>605.50254506069007</v>
      </c>
      <c r="J76" s="9">
        <f t="shared" si="9"/>
        <v>2542.38523670524</v>
      </c>
      <c r="K76" s="9">
        <f t="shared" si="10"/>
        <v>605.50254506069007</v>
      </c>
      <c r="L76" s="10">
        <f t="shared" si="7"/>
        <v>0.23816317697210221</v>
      </c>
      <c r="M76" s="10">
        <f t="shared" si="11"/>
        <v>0.24834933124375574</v>
      </c>
      <c r="P76" s="8">
        <f t="shared" si="12"/>
        <v>3.0292960990806868</v>
      </c>
      <c r="U76" s="8">
        <v>36.5</v>
      </c>
      <c r="V76" s="10">
        <f t="shared" si="6"/>
        <v>0.23603908913929436</v>
      </c>
      <c r="X76" s="8">
        <v>-13</v>
      </c>
      <c r="Y76" s="10"/>
    </row>
    <row r="77" spans="1:25" x14ac:dyDescent="0.2">
      <c r="A77" s="8">
        <v>37.5</v>
      </c>
      <c r="B77" s="8">
        <v>75</v>
      </c>
      <c r="D77">
        <v>2653.0418963615998</v>
      </c>
      <c r="E77">
        <v>720.38147739802002</v>
      </c>
      <c r="F77">
        <v>126.15308370044001</v>
      </c>
      <c r="G77">
        <v>111.42621145375</v>
      </c>
      <c r="I77" s="9">
        <f t="shared" si="8"/>
        <v>608.95526594426997</v>
      </c>
      <c r="J77" s="9">
        <f t="shared" si="9"/>
        <v>2526.8888126611596</v>
      </c>
      <c r="K77" s="9">
        <f t="shared" si="10"/>
        <v>608.95526594426997</v>
      </c>
      <c r="L77" s="10">
        <f t="shared" si="7"/>
        <v>0.24099013098362518</v>
      </c>
      <c r="M77" s="10">
        <f t="shared" si="11"/>
        <v>0.25131393598867946</v>
      </c>
      <c r="P77" s="8">
        <f t="shared" si="12"/>
        <v>4.2591811909865456</v>
      </c>
      <c r="U77" s="8">
        <v>37</v>
      </c>
      <c r="V77" s="10">
        <f t="shared" si="6"/>
        <v>0.23768374899244371</v>
      </c>
      <c r="X77" s="8">
        <v>-13</v>
      </c>
      <c r="Y77" s="10"/>
    </row>
    <row r="78" spans="1:25" x14ac:dyDescent="0.2">
      <c r="A78" s="8">
        <v>38</v>
      </c>
      <c r="B78" s="8">
        <v>76</v>
      </c>
      <c r="D78">
        <v>2662.3914002205001</v>
      </c>
      <c r="E78">
        <v>728.09261300992</v>
      </c>
      <c r="F78">
        <v>126.21255506608</v>
      </c>
      <c r="G78">
        <v>111.29295154185</v>
      </c>
      <c r="I78" s="9">
        <f t="shared" si="8"/>
        <v>616.79966146806998</v>
      </c>
      <c r="J78" s="9">
        <f t="shared" si="9"/>
        <v>2536.1788451544203</v>
      </c>
      <c r="K78" s="9">
        <f t="shared" si="10"/>
        <v>616.79966146806998</v>
      </c>
      <c r="L78" s="10">
        <f t="shared" si="7"/>
        <v>0.24320038101670818</v>
      </c>
      <c r="M78" s="10">
        <f t="shared" si="11"/>
        <v>0.25366183675516318</v>
      </c>
      <c r="P78" s="8">
        <f t="shared" si="12"/>
        <v>5.2332227238138751</v>
      </c>
      <c r="U78" s="8">
        <v>37.5</v>
      </c>
      <c r="V78" s="10">
        <f t="shared" si="6"/>
        <v>0.23816317697210221</v>
      </c>
      <c r="X78" s="8">
        <v>-13</v>
      </c>
      <c r="Y78" s="10"/>
    </row>
    <row r="79" spans="1:25" x14ac:dyDescent="0.2">
      <c r="A79" s="8">
        <v>38.5</v>
      </c>
      <c r="B79" s="8">
        <v>77</v>
      </c>
      <c r="D79">
        <v>2706.2858744394998</v>
      </c>
      <c r="E79">
        <v>744.32623318386004</v>
      </c>
      <c r="F79">
        <v>126.08700440529</v>
      </c>
      <c r="G79">
        <v>111.34801762115001</v>
      </c>
      <c r="I79" s="9">
        <f t="shared" si="8"/>
        <v>632.97821556271003</v>
      </c>
      <c r="J79" s="9">
        <f t="shared" si="9"/>
        <v>2580.1988700342099</v>
      </c>
      <c r="K79" s="9">
        <f t="shared" si="10"/>
        <v>632.97821556271003</v>
      </c>
      <c r="L79" s="10">
        <f t="shared" si="7"/>
        <v>0.24532148390341618</v>
      </c>
      <c r="M79" s="10">
        <f t="shared" si="11"/>
        <v>0.25592059037527187</v>
      </c>
      <c r="P79" s="8">
        <f t="shared" si="12"/>
        <v>6.1702809972369472</v>
      </c>
      <c r="U79" s="8">
        <v>38</v>
      </c>
      <c r="V79" s="10">
        <f t="shared" si="6"/>
        <v>0.24099013098362518</v>
      </c>
      <c r="X79" s="8">
        <v>-13</v>
      </c>
      <c r="Y79" s="10"/>
    </row>
    <row r="80" spans="1:25" x14ac:dyDescent="0.2">
      <c r="A80" s="8">
        <v>39</v>
      </c>
      <c r="B80" s="8">
        <v>78</v>
      </c>
      <c r="D80">
        <v>2712.3139013453001</v>
      </c>
      <c r="E80">
        <v>752.56502242152999</v>
      </c>
      <c r="F80">
        <v>126.00881057269</v>
      </c>
      <c r="G80">
        <v>111.78744493392</v>
      </c>
      <c r="I80" s="9">
        <f t="shared" si="8"/>
        <v>640.77757748760996</v>
      </c>
      <c r="J80" s="9">
        <f t="shared" si="9"/>
        <v>2586.3050907726101</v>
      </c>
      <c r="K80" s="9">
        <f t="shared" si="10"/>
        <v>640.77757748760996</v>
      </c>
      <c r="L80" s="10">
        <f t="shared" si="7"/>
        <v>0.24775792298200583</v>
      </c>
      <c r="M80" s="10">
        <f t="shared" si="11"/>
        <v>0.25849468018726224</v>
      </c>
      <c r="P80" s="8">
        <f t="shared" si="12"/>
        <v>7.2381584909954517</v>
      </c>
      <c r="U80" s="8">
        <v>38.5</v>
      </c>
      <c r="V80" s="10">
        <f t="shared" si="6"/>
        <v>0.24320038101670818</v>
      </c>
      <c r="X80" s="8">
        <v>-13</v>
      </c>
      <c r="Y80" s="10"/>
    </row>
    <row r="81" spans="1:25" x14ac:dyDescent="0.2">
      <c r="A81" s="8">
        <v>39.5</v>
      </c>
      <c r="B81" s="8">
        <v>79</v>
      </c>
      <c r="D81">
        <v>2644.1149171270999</v>
      </c>
      <c r="E81">
        <v>749.72044198895003</v>
      </c>
      <c r="F81">
        <v>125.67511013216</v>
      </c>
      <c r="G81">
        <v>111.54625550661</v>
      </c>
      <c r="I81" s="9">
        <f t="shared" si="8"/>
        <v>638.17418648234002</v>
      </c>
      <c r="J81" s="9">
        <f t="shared" si="9"/>
        <v>2518.4398069949398</v>
      </c>
      <c r="K81" s="9">
        <f t="shared" si="10"/>
        <v>638.17418648234002</v>
      </c>
      <c r="L81" s="10">
        <f t="shared" si="7"/>
        <v>0.25340061124741514</v>
      </c>
      <c r="M81" s="10">
        <f t="shared" si="11"/>
        <v>0.26427501918607227</v>
      </c>
      <c r="P81" s="8">
        <f t="shared" si="12"/>
        <v>9.6361688068635196</v>
      </c>
      <c r="U81" s="8">
        <v>39</v>
      </c>
      <c r="V81" s="10">
        <f t="shared" si="6"/>
        <v>0.24532148390341618</v>
      </c>
      <c r="X81" s="8">
        <v>-13</v>
      </c>
      <c r="Y81" s="10"/>
    </row>
    <row r="82" spans="1:25" x14ac:dyDescent="0.2">
      <c r="A82" s="8">
        <v>40</v>
      </c>
      <c r="B82" s="13">
        <v>80</v>
      </c>
      <c r="C82" s="13" t="s">
        <v>11</v>
      </c>
      <c r="D82">
        <v>2667.6416758545001</v>
      </c>
      <c r="E82">
        <v>750.13340683572005</v>
      </c>
      <c r="F82">
        <v>126.70704845815</v>
      </c>
      <c r="G82">
        <v>111.61013215859001</v>
      </c>
      <c r="H82" s="13"/>
      <c r="I82" s="14">
        <f t="shared" si="8"/>
        <v>638.52327467713008</v>
      </c>
      <c r="J82" s="14">
        <f t="shared" si="9"/>
        <v>2540.9346273963502</v>
      </c>
      <c r="K82" s="9">
        <f t="shared" si="10"/>
        <v>638.52327467713008</v>
      </c>
      <c r="L82" s="15">
        <f t="shared" si="7"/>
        <v>0.25129464874561269</v>
      </c>
      <c r="M82" s="15">
        <f t="shared" si="11"/>
        <v>0.26230670741767059</v>
      </c>
      <c r="N82" s="13"/>
      <c r="O82" s="13"/>
      <c r="P82" s="13">
        <f t="shared" si="12"/>
        <v>8.8196021787741579</v>
      </c>
      <c r="U82" s="8">
        <v>39.5</v>
      </c>
      <c r="V82" s="10">
        <f t="shared" si="6"/>
        <v>0.24775792298200583</v>
      </c>
      <c r="X82" s="8">
        <v>-13</v>
      </c>
      <c r="Y82" s="10"/>
    </row>
    <row r="83" spans="1:25" x14ac:dyDescent="0.2">
      <c r="A83" s="8">
        <v>40.5</v>
      </c>
      <c r="B83" s="8">
        <v>81</v>
      </c>
      <c r="D83">
        <v>2685.9029768467999</v>
      </c>
      <c r="E83">
        <v>758.73428886439001</v>
      </c>
      <c r="F83">
        <v>125.97136563877</v>
      </c>
      <c r="G83">
        <v>111.21255506608</v>
      </c>
      <c r="I83" s="9">
        <f t="shared" si="8"/>
        <v>647.52173379831004</v>
      </c>
      <c r="J83" s="9">
        <f t="shared" si="9"/>
        <v>2559.9316112080301</v>
      </c>
      <c r="K83" s="9">
        <f t="shared" si="10"/>
        <v>647.52173379831004</v>
      </c>
      <c r="L83" s="10">
        <f t="shared" si="7"/>
        <v>0.25294493453000683</v>
      </c>
      <c r="M83" s="10">
        <f t="shared" si="11"/>
        <v>0.26409464393546545</v>
      </c>
      <c r="P83" s="8">
        <f t="shared" si="12"/>
        <v>9.5613389894823086</v>
      </c>
      <c r="U83" s="8">
        <v>40</v>
      </c>
      <c r="V83" s="10">
        <f t="shared" si="6"/>
        <v>0.25340061124741514</v>
      </c>
      <c r="X83" s="8">
        <v>-13</v>
      </c>
      <c r="Y83" s="10"/>
    </row>
    <row r="84" spans="1:25" x14ac:dyDescent="0.2">
      <c r="A84" s="8">
        <v>41</v>
      </c>
      <c r="B84" s="8">
        <v>82</v>
      </c>
      <c r="D84">
        <v>2676.3096559379001</v>
      </c>
      <c r="E84">
        <v>754.24084350721</v>
      </c>
      <c r="F84">
        <v>125.86674008811001</v>
      </c>
      <c r="G84">
        <v>111.12995594714</v>
      </c>
      <c r="I84" s="9">
        <f t="shared" si="8"/>
        <v>643.11088756006995</v>
      </c>
      <c r="J84" s="9">
        <f t="shared" si="9"/>
        <v>2550.4429158497901</v>
      </c>
      <c r="K84" s="9">
        <f t="shared" si="10"/>
        <v>643.11088756006995</v>
      </c>
      <c r="L84" s="10">
        <f t="shared" si="7"/>
        <v>0.25215655036364137</v>
      </c>
      <c r="M84" s="10">
        <f t="shared" si="11"/>
        <v>0.26344391050250071</v>
      </c>
      <c r="P84" s="8">
        <f t="shared" si="12"/>
        <v>9.2913780952422087</v>
      </c>
      <c r="U84" s="8">
        <v>150.5</v>
      </c>
      <c r="V84" s="10">
        <f>L302</f>
        <v>0.20157574058009173</v>
      </c>
      <c r="X84" s="8">
        <v>-13</v>
      </c>
      <c r="Y84" s="10"/>
    </row>
    <row r="85" spans="1:25" x14ac:dyDescent="0.2">
      <c r="A85" s="8">
        <v>41.5</v>
      </c>
      <c r="B85" s="8">
        <v>83</v>
      </c>
      <c r="D85">
        <v>2690.9789123196001</v>
      </c>
      <c r="E85">
        <v>732.98113207546999</v>
      </c>
      <c r="F85">
        <v>126.28083700441</v>
      </c>
      <c r="G85">
        <v>111.12775330397</v>
      </c>
      <c r="I85" s="9">
        <f t="shared" si="8"/>
        <v>621.85337877150005</v>
      </c>
      <c r="J85" s="9">
        <f t="shared" si="9"/>
        <v>2564.6980753151902</v>
      </c>
      <c r="K85" s="9">
        <f t="shared" si="10"/>
        <v>621.85337877150005</v>
      </c>
      <c r="L85" s="10">
        <f t="shared" si="7"/>
        <v>0.24246650502713735</v>
      </c>
      <c r="M85" s="10">
        <f t="shared" si="11"/>
        <v>0.2538915158993974</v>
      </c>
      <c r="P85" s="8">
        <f t="shared" si="12"/>
        <v>5.3285065743504596</v>
      </c>
      <c r="U85" s="8">
        <v>151</v>
      </c>
      <c r="V85" s="10">
        <f t="shared" ref="V85:V103" si="13">L303</f>
        <v>0.20489363781817641</v>
      </c>
      <c r="X85" s="8">
        <v>-13</v>
      </c>
      <c r="Y85" s="10"/>
    </row>
    <row r="86" spans="1:25" x14ac:dyDescent="0.2">
      <c r="A86" s="8">
        <v>42</v>
      </c>
      <c r="B86" s="8">
        <v>84</v>
      </c>
      <c r="D86">
        <v>2568.3995560488002</v>
      </c>
      <c r="E86">
        <v>691.35960044394994</v>
      </c>
      <c r="F86">
        <v>125.98678414097</v>
      </c>
      <c r="G86">
        <v>111.30837004404999</v>
      </c>
      <c r="I86" s="9">
        <f t="shared" si="8"/>
        <v>580.05123039989996</v>
      </c>
      <c r="J86" s="9">
        <f t="shared" si="9"/>
        <v>2442.4127719078301</v>
      </c>
      <c r="K86" s="9">
        <f t="shared" si="10"/>
        <v>580.05123039989996</v>
      </c>
      <c r="L86" s="10">
        <f t="shared" si="7"/>
        <v>0.23749107320086904</v>
      </c>
      <c r="M86" s="10">
        <f t="shared" si="11"/>
        <v>0.24905373480652981</v>
      </c>
      <c r="P86" s="8">
        <f t="shared" si="12"/>
        <v>3.3215223872645074</v>
      </c>
      <c r="U86" s="8">
        <v>151.5</v>
      </c>
      <c r="V86" s="10">
        <f t="shared" si="13"/>
        <v>0.20394923770739048</v>
      </c>
      <c r="X86" s="8">
        <v>-13</v>
      </c>
      <c r="Y86" s="10"/>
    </row>
    <row r="87" spans="1:25" x14ac:dyDescent="0.2">
      <c r="A87" s="8">
        <v>42.5</v>
      </c>
      <c r="B87" s="8">
        <v>85</v>
      </c>
      <c r="D87">
        <v>2603.1724137931001</v>
      </c>
      <c r="E87">
        <v>680.43604004449003</v>
      </c>
      <c r="F87">
        <v>126.40528634361</v>
      </c>
      <c r="G87">
        <v>111.20374449339</v>
      </c>
      <c r="I87" s="9">
        <f t="shared" si="8"/>
        <v>569.23229555110004</v>
      </c>
      <c r="J87" s="9">
        <f t="shared" si="9"/>
        <v>2476.7671274494901</v>
      </c>
      <c r="K87" s="9">
        <f t="shared" si="10"/>
        <v>569.23229555110004</v>
      </c>
      <c r="L87" s="10">
        <f t="shared" si="7"/>
        <v>0.22982875105310388</v>
      </c>
      <c r="M87" s="10">
        <f t="shared" si="11"/>
        <v>0.24152906339216537</v>
      </c>
      <c r="P87" s="8">
        <f t="shared" si="12"/>
        <v>0.19986469921573108</v>
      </c>
      <c r="U87" s="8">
        <v>152</v>
      </c>
      <c r="V87" s="10">
        <f t="shared" si="13"/>
        <v>0.20099269146409465</v>
      </c>
      <c r="X87" s="8">
        <v>-13</v>
      </c>
      <c r="Y87" s="10"/>
    </row>
    <row r="88" spans="1:25" x14ac:dyDescent="0.2">
      <c r="A88" s="8">
        <v>43</v>
      </c>
      <c r="B88" s="8">
        <v>86</v>
      </c>
      <c r="D88">
        <v>2559.7819799777999</v>
      </c>
      <c r="E88">
        <v>659.20133481645996</v>
      </c>
      <c r="F88">
        <v>125.72026431718</v>
      </c>
      <c r="G88">
        <v>111.1640969163</v>
      </c>
      <c r="I88" s="9">
        <f t="shared" si="8"/>
        <v>548.03723790015999</v>
      </c>
      <c r="J88" s="9">
        <f t="shared" si="9"/>
        <v>2434.0617156606199</v>
      </c>
      <c r="K88" s="9">
        <f t="shared" si="10"/>
        <v>548.03723790015999</v>
      </c>
      <c r="L88" s="10">
        <f t="shared" si="7"/>
        <v>0.22515338636408369</v>
      </c>
      <c r="M88" s="10">
        <f t="shared" si="11"/>
        <v>0.2369913494365459</v>
      </c>
      <c r="P88" s="8">
        <f t="shared" si="12"/>
        <v>-1.6826347317474195</v>
      </c>
      <c r="U88" s="8">
        <v>152.5</v>
      </c>
      <c r="V88" s="10">
        <f t="shared" si="13"/>
        <v>0.19950303174789696</v>
      </c>
      <c r="X88" s="8">
        <v>-13</v>
      </c>
      <c r="Y88" s="10"/>
    </row>
    <row r="89" spans="1:25" x14ac:dyDescent="0.2">
      <c r="A89" s="8">
        <v>43.5</v>
      </c>
      <c r="B89" s="8">
        <v>87</v>
      </c>
      <c r="D89">
        <v>2567.2368715083999</v>
      </c>
      <c r="E89">
        <v>643.71173184357997</v>
      </c>
      <c r="F89">
        <v>125.91519823789</v>
      </c>
      <c r="G89">
        <v>111.48017621145</v>
      </c>
      <c r="I89" s="9">
        <f t="shared" si="8"/>
        <v>532.23155563212993</v>
      </c>
      <c r="J89" s="9">
        <f t="shared" si="9"/>
        <v>2441.32167327051</v>
      </c>
      <c r="K89" s="9">
        <f t="shared" si="10"/>
        <v>532.23155563212993</v>
      </c>
      <c r="L89" s="10">
        <f t="shared" si="7"/>
        <v>0.21800959761239794</v>
      </c>
      <c r="M89" s="10">
        <f t="shared" si="11"/>
        <v>0.22998521141826089</v>
      </c>
      <c r="P89" s="8">
        <f t="shared" si="12"/>
        <v>-4.5891755498035245</v>
      </c>
      <c r="U89" s="8">
        <v>153</v>
      </c>
      <c r="V89" s="10">
        <f t="shared" si="13"/>
        <v>0.19968872145540195</v>
      </c>
      <c r="X89" s="8">
        <v>-13</v>
      </c>
      <c r="Y89" s="10"/>
    </row>
    <row r="90" spans="1:25" x14ac:dyDescent="0.2">
      <c r="A90" s="8">
        <v>44</v>
      </c>
      <c r="B90" s="8">
        <v>88</v>
      </c>
      <c r="D90">
        <v>2586.5460599334001</v>
      </c>
      <c r="E90">
        <v>629.70810210877005</v>
      </c>
      <c r="F90">
        <v>126.2268722467</v>
      </c>
      <c r="G90">
        <v>111.4372246696</v>
      </c>
      <c r="I90" s="9">
        <f t="shared" si="8"/>
        <v>518.27087743917002</v>
      </c>
      <c r="J90" s="9">
        <f t="shared" si="9"/>
        <v>2460.3191876866999</v>
      </c>
      <c r="K90" s="9">
        <f t="shared" si="10"/>
        <v>518.27087743917002</v>
      </c>
      <c r="L90" s="10">
        <f t="shared" si="7"/>
        <v>0.21065188615891381</v>
      </c>
      <c r="M90" s="10">
        <f t="shared" si="11"/>
        <v>0.22276515069817748</v>
      </c>
      <c r="P90" s="8">
        <f t="shared" si="12"/>
        <v>-7.5844635582608397</v>
      </c>
      <c r="U90" s="8">
        <v>153.5</v>
      </c>
      <c r="V90" s="10">
        <f t="shared" si="13"/>
        <v>0.20306262797167929</v>
      </c>
      <c r="X90" s="8">
        <v>-13</v>
      </c>
      <c r="Y90" s="10"/>
    </row>
    <row r="91" spans="1:25" x14ac:dyDescent="0.2">
      <c r="A91" s="8">
        <v>44.5</v>
      </c>
      <c r="B91" s="8">
        <v>89</v>
      </c>
      <c r="D91">
        <v>2566.7103218645998</v>
      </c>
      <c r="E91">
        <v>609.56714761375997</v>
      </c>
      <c r="F91">
        <v>125.82929515419001</v>
      </c>
      <c r="G91">
        <v>111.36563876651999</v>
      </c>
      <c r="I91" s="9">
        <f t="shared" si="8"/>
        <v>498.20150884724001</v>
      </c>
      <c r="J91" s="9">
        <f t="shared" si="9"/>
        <v>2440.88102671041</v>
      </c>
      <c r="K91" s="9">
        <f t="shared" si="10"/>
        <v>498.20150884724001</v>
      </c>
      <c r="L91" s="10">
        <f t="shared" si="7"/>
        <v>0.20410724791395063</v>
      </c>
      <c r="M91" s="10">
        <f t="shared" si="11"/>
        <v>0.21635816318661502</v>
      </c>
      <c r="P91" s="8">
        <f t="shared" si="12"/>
        <v>-10.242442986375279</v>
      </c>
      <c r="U91" s="8">
        <v>154</v>
      </c>
      <c r="V91" s="10">
        <f t="shared" si="13"/>
        <v>0.20024547007992402</v>
      </c>
      <c r="X91" s="8">
        <v>-13</v>
      </c>
      <c r="Y91" s="10"/>
    </row>
    <row r="92" spans="1:25" x14ac:dyDescent="0.2">
      <c r="A92" s="8">
        <v>45</v>
      </c>
      <c r="B92" s="8">
        <v>90</v>
      </c>
      <c r="D92">
        <v>2572.0899001110001</v>
      </c>
      <c r="E92">
        <v>594.92563817979999</v>
      </c>
      <c r="F92">
        <v>126.56828193833</v>
      </c>
      <c r="G92">
        <v>111.28854625551</v>
      </c>
      <c r="I92" s="9">
        <f t="shared" si="8"/>
        <v>483.63709192428996</v>
      </c>
      <c r="J92" s="9">
        <f t="shared" si="9"/>
        <v>2445.5216181726701</v>
      </c>
      <c r="K92" s="9">
        <f t="shared" si="10"/>
        <v>483.63709192428996</v>
      </c>
      <c r="L92" s="10">
        <f t="shared" si="7"/>
        <v>0.19776439035761653</v>
      </c>
      <c r="M92" s="10">
        <f t="shared" si="11"/>
        <v>0.21015295636368164</v>
      </c>
      <c r="P92" s="8">
        <f t="shared" si="12"/>
        <v>-12.816712415305393</v>
      </c>
      <c r="U92" s="8">
        <v>154.5</v>
      </c>
      <c r="V92" s="10">
        <f t="shared" si="13"/>
        <v>0.20151603297973655</v>
      </c>
      <c r="X92" s="8">
        <v>-13</v>
      </c>
      <c r="Y92" s="10"/>
    </row>
    <row r="93" spans="1:25" x14ac:dyDescent="0.2">
      <c r="A93" s="8">
        <v>45.5</v>
      </c>
      <c r="B93" s="8">
        <v>91</v>
      </c>
      <c r="D93">
        <v>2476.8670391062001</v>
      </c>
      <c r="E93">
        <v>570.23687150837998</v>
      </c>
      <c r="F93">
        <v>126.06718061674</v>
      </c>
      <c r="G93">
        <v>111.34030837004001</v>
      </c>
      <c r="I93" s="9">
        <f t="shared" si="8"/>
        <v>458.89656313833996</v>
      </c>
      <c r="J93" s="9">
        <f t="shared" si="9"/>
        <v>2350.7998584894599</v>
      </c>
      <c r="K93" s="9">
        <f t="shared" si="10"/>
        <v>458.89656313833996</v>
      </c>
      <c r="L93" s="10">
        <f t="shared" si="7"/>
        <v>0.19520869098282595</v>
      </c>
      <c r="M93" s="10">
        <f t="shared" si="11"/>
        <v>0.20773490772229178</v>
      </c>
      <c r="P93" s="8">
        <f t="shared" si="12"/>
        <v>-13.819855239198139</v>
      </c>
      <c r="U93" s="8">
        <v>155</v>
      </c>
      <c r="V93" s="10">
        <f t="shared" si="13"/>
        <v>0.19625047152471867</v>
      </c>
      <c r="X93" s="8">
        <v>-13</v>
      </c>
      <c r="Y93" s="10"/>
    </row>
    <row r="94" spans="1:25" x14ac:dyDescent="0.2">
      <c r="A94" s="8">
        <v>46</v>
      </c>
      <c r="B94" s="8">
        <v>92</v>
      </c>
      <c r="D94">
        <v>2456.1083798883001</v>
      </c>
      <c r="E94">
        <v>553.21675977654002</v>
      </c>
      <c r="F94">
        <v>125.86233480176</v>
      </c>
      <c r="G94">
        <v>111.29955947137</v>
      </c>
      <c r="I94" s="9">
        <f t="shared" si="8"/>
        <v>441.91720030517001</v>
      </c>
      <c r="J94" s="9">
        <f t="shared" si="9"/>
        <v>2330.2460450865401</v>
      </c>
      <c r="K94" s="9">
        <f t="shared" si="10"/>
        <v>441.91720030517001</v>
      </c>
      <c r="L94" s="10">
        <f t="shared" si="7"/>
        <v>0.18964400829559533</v>
      </c>
      <c r="M94" s="10">
        <f t="shared" si="11"/>
        <v>0.20230787576846188</v>
      </c>
      <c r="P94" s="8">
        <f t="shared" si="12"/>
        <v>-16.071293885358664</v>
      </c>
      <c r="U94" s="8">
        <v>155.5</v>
      </c>
      <c r="V94" s="10">
        <f t="shared" si="13"/>
        <v>0.19969697227322938</v>
      </c>
      <c r="X94" s="8">
        <v>-13</v>
      </c>
      <c r="Y94" s="10"/>
    </row>
    <row r="95" spans="1:25" x14ac:dyDescent="0.2">
      <c r="A95" s="8">
        <v>46.5</v>
      </c>
      <c r="B95" s="8">
        <v>93</v>
      </c>
      <c r="D95">
        <v>2672.5504484305002</v>
      </c>
      <c r="E95">
        <v>584.12556053812</v>
      </c>
      <c r="F95">
        <v>125.50881057269</v>
      </c>
      <c r="G95">
        <v>110.72356828194</v>
      </c>
      <c r="I95" s="9">
        <f t="shared" si="8"/>
        <v>473.40199225617999</v>
      </c>
      <c r="J95" s="9">
        <f t="shared" si="9"/>
        <v>2547.0416378578102</v>
      </c>
      <c r="K95" s="9">
        <f t="shared" si="10"/>
        <v>473.40199225617999</v>
      </c>
      <c r="L95" s="10">
        <f t="shared" si="7"/>
        <v>0.18586346811916857</v>
      </c>
      <c r="M95" s="10">
        <f t="shared" si="11"/>
        <v>0.19866498632543586</v>
      </c>
      <c r="P95" s="8">
        <f t="shared" si="12"/>
        <v>-17.582569688688128</v>
      </c>
      <c r="U95" s="8">
        <v>156</v>
      </c>
      <c r="V95" s="10">
        <f t="shared" si="13"/>
        <v>0.1951259749933561</v>
      </c>
      <c r="X95" s="8">
        <v>-13</v>
      </c>
      <c r="Y95" s="10"/>
    </row>
    <row r="96" spans="1:25" x14ac:dyDescent="0.2">
      <c r="A96" s="8">
        <v>47</v>
      </c>
      <c r="B96" s="8">
        <v>94</v>
      </c>
      <c r="D96">
        <v>2667.914893617</v>
      </c>
      <c r="E96">
        <v>580.53191489361996</v>
      </c>
      <c r="F96">
        <v>126.22466960352</v>
      </c>
      <c r="G96">
        <v>110.83039647577</v>
      </c>
      <c r="I96" s="9">
        <f t="shared" si="8"/>
        <v>469.70151841784997</v>
      </c>
      <c r="J96" s="9">
        <f t="shared" si="9"/>
        <v>2541.69022401348</v>
      </c>
      <c r="K96" s="9">
        <f t="shared" si="10"/>
        <v>469.70151841784997</v>
      </c>
      <c r="L96" s="10">
        <f t="shared" si="7"/>
        <v>0.18479888460843324</v>
      </c>
      <c r="M96" s="10">
        <f t="shared" si="11"/>
        <v>0.19773805354810126</v>
      </c>
      <c r="P96" s="8">
        <f t="shared" si="12"/>
        <v>-17.967113633709729</v>
      </c>
      <c r="U96" s="8">
        <v>156.5</v>
      </c>
      <c r="V96" s="10">
        <f t="shared" si="13"/>
        <v>0.19671800082702248</v>
      </c>
      <c r="X96" s="8">
        <v>-13</v>
      </c>
      <c r="Y96" s="10"/>
    </row>
    <row r="97" spans="1:25" x14ac:dyDescent="0.2">
      <c r="A97" s="8">
        <v>47.5</v>
      </c>
      <c r="B97" s="8">
        <v>95</v>
      </c>
      <c r="D97">
        <v>2569.3986562149998</v>
      </c>
      <c r="E97">
        <v>562.43225083986999</v>
      </c>
      <c r="F97">
        <v>125.2731277533</v>
      </c>
      <c r="G97">
        <v>110.94933920705</v>
      </c>
      <c r="I97" s="9">
        <f t="shared" si="8"/>
        <v>451.48291163281999</v>
      </c>
      <c r="J97" s="9">
        <f t="shared" si="9"/>
        <v>2444.1255284617</v>
      </c>
      <c r="K97" s="9">
        <f t="shared" si="10"/>
        <v>451.48291163281999</v>
      </c>
      <c r="L97" s="10">
        <f t="shared" si="7"/>
        <v>0.18472165458579262</v>
      </c>
      <c r="M97" s="10">
        <f t="shared" si="11"/>
        <v>0.19779847425886135</v>
      </c>
      <c r="P97" s="8">
        <f t="shared" si="12"/>
        <v>-17.94204771841919</v>
      </c>
      <c r="U97" s="8">
        <v>157</v>
      </c>
      <c r="V97" s="10">
        <f t="shared" si="13"/>
        <v>0.19496421410038672</v>
      </c>
      <c r="X97" s="8">
        <v>-13</v>
      </c>
      <c r="Y97" s="10"/>
    </row>
    <row r="98" spans="1:25" x14ac:dyDescent="0.2">
      <c r="A98" s="8">
        <v>48</v>
      </c>
      <c r="B98" s="8">
        <v>96</v>
      </c>
      <c r="D98">
        <v>2641.7637178052</v>
      </c>
      <c r="E98">
        <v>564.49048152295995</v>
      </c>
      <c r="F98">
        <v>125.59581497796999</v>
      </c>
      <c r="G98">
        <v>111.00330396475999</v>
      </c>
      <c r="I98" s="9">
        <f t="shared" si="8"/>
        <v>453.48717755819996</v>
      </c>
      <c r="J98" s="9">
        <f t="shared" si="9"/>
        <v>2516.1679028272301</v>
      </c>
      <c r="K98" s="9">
        <f t="shared" si="10"/>
        <v>453.48717755819996</v>
      </c>
      <c r="L98" s="10">
        <f t="shared" si="7"/>
        <v>0.18022929910545726</v>
      </c>
      <c r="M98" s="10">
        <f t="shared" si="11"/>
        <v>0.19344376951192671</v>
      </c>
      <c r="P98" s="8">
        <f t="shared" si="12"/>
        <v>-19.748624617777285</v>
      </c>
      <c r="U98" s="8">
        <v>157.5</v>
      </c>
      <c r="V98" s="10">
        <f t="shared" si="13"/>
        <v>0.19466263587215962</v>
      </c>
      <c r="X98" s="8">
        <v>-13</v>
      </c>
      <c r="Y98" s="10"/>
    </row>
    <row r="99" spans="1:25" x14ac:dyDescent="0.2">
      <c r="A99" s="8">
        <v>48.5</v>
      </c>
      <c r="B99" s="8">
        <v>97</v>
      </c>
      <c r="D99">
        <v>2653.5823068309001</v>
      </c>
      <c r="E99">
        <v>560.59126539754004</v>
      </c>
      <c r="F99">
        <v>125.98678414097</v>
      </c>
      <c r="G99">
        <v>111.36123348018</v>
      </c>
      <c r="I99" s="9">
        <f t="shared" si="8"/>
        <v>449.23003191736007</v>
      </c>
      <c r="J99" s="9">
        <f t="shared" si="9"/>
        <v>2527.59552268993</v>
      </c>
      <c r="K99" s="9">
        <f t="shared" si="10"/>
        <v>449.23003191736007</v>
      </c>
      <c r="L99" s="10">
        <f t="shared" si="7"/>
        <v>0.17773018977311619</v>
      </c>
      <c r="M99" s="10">
        <f t="shared" si="11"/>
        <v>0.19108231091298636</v>
      </c>
      <c r="P99" s="8">
        <f t="shared" si="12"/>
        <v>-20.728290703437676</v>
      </c>
      <c r="U99" s="8">
        <v>158</v>
      </c>
      <c r="V99" s="10">
        <f t="shared" si="13"/>
        <v>0.19443092000866843</v>
      </c>
      <c r="X99" s="8">
        <v>-13</v>
      </c>
      <c r="Y99" s="10"/>
    </row>
    <row r="100" spans="1:25" x14ac:dyDescent="0.2">
      <c r="A100" s="8">
        <v>49</v>
      </c>
      <c r="B100" s="8">
        <v>98</v>
      </c>
      <c r="D100">
        <v>2634.0235162374001</v>
      </c>
      <c r="E100">
        <v>542.93057110862003</v>
      </c>
      <c r="F100">
        <v>126.06497797357</v>
      </c>
      <c r="G100">
        <v>111.05066079295</v>
      </c>
      <c r="I100" s="9">
        <f t="shared" si="8"/>
        <v>431.87991031567003</v>
      </c>
      <c r="J100" s="9">
        <f t="shared" si="9"/>
        <v>2507.9585382638302</v>
      </c>
      <c r="K100" s="9">
        <f t="shared" si="10"/>
        <v>431.87991031567003</v>
      </c>
      <c r="L100" s="10">
        <f t="shared" si="7"/>
        <v>0.17220376801549719</v>
      </c>
      <c r="M100" s="10">
        <f t="shared" si="11"/>
        <v>0.18569353988876811</v>
      </c>
      <c r="P100" s="8">
        <f t="shared" si="12"/>
        <v>-22.963856560143757</v>
      </c>
      <c r="U100" s="8">
        <v>158.5</v>
      </c>
      <c r="V100" s="10">
        <f t="shared" si="13"/>
        <v>0.19220971369517534</v>
      </c>
      <c r="X100" s="8">
        <v>-13</v>
      </c>
      <c r="Y100" s="10"/>
    </row>
    <row r="101" spans="1:25" x14ac:dyDescent="0.2">
      <c r="A101" s="8">
        <v>49.5</v>
      </c>
      <c r="B101" s="8">
        <v>99</v>
      </c>
      <c r="D101">
        <v>2562.3594624860002</v>
      </c>
      <c r="E101">
        <v>529.10302351624</v>
      </c>
      <c r="F101">
        <v>125.90418502203001</v>
      </c>
      <c r="G101">
        <v>111.30947136563999</v>
      </c>
      <c r="I101" s="9">
        <f t="shared" si="8"/>
        <v>417.79355215060002</v>
      </c>
      <c r="J101" s="9">
        <f t="shared" si="9"/>
        <v>2436.4552774639701</v>
      </c>
      <c r="K101" s="9">
        <f t="shared" si="10"/>
        <v>417.79355215060002</v>
      </c>
      <c r="L101" s="10">
        <f t="shared" si="7"/>
        <v>0.17147597824388069</v>
      </c>
      <c r="M101" s="10">
        <f t="shared" si="11"/>
        <v>0.18510340085055232</v>
      </c>
      <c r="P101" s="8">
        <f t="shared" si="12"/>
        <v>-23.20867948518833</v>
      </c>
      <c r="U101" s="8">
        <v>159</v>
      </c>
      <c r="V101" s="10">
        <f t="shared" si="13"/>
        <v>0.19488402979080724</v>
      </c>
      <c r="X101" s="8">
        <v>-13</v>
      </c>
      <c r="Y101" s="10"/>
    </row>
    <row r="102" spans="1:25" x14ac:dyDescent="0.2">
      <c r="A102" s="8">
        <v>50</v>
      </c>
      <c r="B102" s="8">
        <v>100</v>
      </c>
      <c r="D102">
        <v>2484.1278941566002</v>
      </c>
      <c r="E102">
        <v>503.82579933848001</v>
      </c>
      <c r="F102">
        <v>124.99449339207</v>
      </c>
      <c r="G102">
        <v>111.02202643171999</v>
      </c>
      <c r="I102" s="9">
        <f t="shared" si="8"/>
        <v>392.80377290676</v>
      </c>
      <c r="J102" s="9">
        <f t="shared" si="9"/>
        <v>2359.1334007645301</v>
      </c>
      <c r="K102" s="9">
        <f t="shared" si="10"/>
        <v>392.80377290676</v>
      </c>
      <c r="L102" s="10">
        <f t="shared" si="7"/>
        <v>0.16650341722068923</v>
      </c>
      <c r="M102" s="10">
        <f t="shared" si="11"/>
        <v>0.18026849056076158</v>
      </c>
      <c r="P102" s="8">
        <f t="shared" si="12"/>
        <v>-25.21447270139965</v>
      </c>
      <c r="U102" s="8">
        <v>159.5</v>
      </c>
      <c r="V102" s="10">
        <f t="shared" si="13"/>
        <v>0.19270228040971907</v>
      </c>
      <c r="X102" s="8">
        <v>-13</v>
      </c>
      <c r="Y102" s="10"/>
    </row>
    <row r="103" spans="1:25" x14ac:dyDescent="0.2">
      <c r="A103" s="8">
        <v>50.5</v>
      </c>
      <c r="B103" s="8">
        <v>101</v>
      </c>
      <c r="D103">
        <v>2485.7056229328</v>
      </c>
      <c r="E103">
        <v>492.93054024256003</v>
      </c>
      <c r="F103">
        <v>126.0627753304</v>
      </c>
      <c r="G103">
        <v>111.04515418502</v>
      </c>
      <c r="I103" s="9">
        <f t="shared" si="8"/>
        <v>381.88538605754002</v>
      </c>
      <c r="J103" s="9">
        <f t="shared" si="9"/>
        <v>2359.6428476023998</v>
      </c>
      <c r="K103" s="9">
        <f t="shared" si="10"/>
        <v>381.88538605754002</v>
      </c>
      <c r="L103" s="10">
        <f t="shared" si="7"/>
        <v>0.16184033377999066</v>
      </c>
      <c r="M103" s="10">
        <f t="shared" si="11"/>
        <v>0.17574305785346372</v>
      </c>
      <c r="P103" s="8">
        <f t="shared" si="12"/>
        <v>-27.091877178559393</v>
      </c>
      <c r="U103" s="8">
        <v>160</v>
      </c>
      <c r="V103" s="10">
        <f t="shared" si="13"/>
        <v>0.19319083893333949</v>
      </c>
      <c r="X103" s="8">
        <v>-13</v>
      </c>
      <c r="Y103" s="10"/>
    </row>
    <row r="104" spans="1:25" x14ac:dyDescent="0.2">
      <c r="A104" s="8">
        <v>51</v>
      </c>
      <c r="B104" s="8">
        <v>102</v>
      </c>
      <c r="D104">
        <v>2499.8776185226002</v>
      </c>
      <c r="E104">
        <v>492.41014332966</v>
      </c>
      <c r="F104">
        <v>125.19273127753</v>
      </c>
      <c r="G104">
        <v>111.14427312775</v>
      </c>
      <c r="I104" s="9">
        <f t="shared" si="8"/>
        <v>381.26587020190999</v>
      </c>
      <c r="J104" s="9">
        <f t="shared" si="9"/>
        <v>2374.6848872450701</v>
      </c>
      <c r="K104" s="9">
        <f t="shared" si="10"/>
        <v>381.26587020190999</v>
      </c>
      <c r="L104" s="10">
        <f t="shared" si="7"/>
        <v>0.16055430017252767</v>
      </c>
      <c r="M104" s="10">
        <f t="shared" si="11"/>
        <v>0.17459467497940145</v>
      </c>
      <c r="P104" s="8">
        <f t="shared" si="12"/>
        <v>-27.568291101537689</v>
      </c>
      <c r="X104" s="8">
        <v>-13</v>
      </c>
      <c r="Y104" s="10"/>
    </row>
    <row r="105" spans="1:25" x14ac:dyDescent="0.2">
      <c r="A105" s="8">
        <v>51.5</v>
      </c>
      <c r="B105" s="8">
        <v>103</v>
      </c>
      <c r="D105">
        <v>2523.3175303196999</v>
      </c>
      <c r="E105">
        <v>490.72877618523</v>
      </c>
      <c r="F105">
        <v>125.4922907489</v>
      </c>
      <c r="G105">
        <v>110.7268722467</v>
      </c>
      <c r="I105" s="9">
        <f t="shared" si="8"/>
        <v>380.00190393853001</v>
      </c>
      <c r="J105" s="9">
        <f t="shared" si="9"/>
        <v>2397.8252395708</v>
      </c>
      <c r="K105" s="9">
        <f t="shared" si="10"/>
        <v>380.00190393853001</v>
      </c>
      <c r="L105" s="10">
        <f t="shared" si="7"/>
        <v>0.15847773126558157</v>
      </c>
      <c r="M105" s="10">
        <f t="shared" si="11"/>
        <v>0.1726557568058561</v>
      </c>
      <c r="P105" s="8">
        <f t="shared" si="12"/>
        <v>-28.372663610268241</v>
      </c>
      <c r="V105" s="10"/>
      <c r="X105" s="8">
        <v>-13</v>
      </c>
    </row>
    <row r="106" spans="1:25" x14ac:dyDescent="0.2">
      <c r="A106" s="8">
        <v>52</v>
      </c>
      <c r="B106" s="8">
        <v>104</v>
      </c>
      <c r="D106">
        <v>2540</v>
      </c>
      <c r="E106">
        <v>492.04740904079</v>
      </c>
      <c r="F106">
        <v>125.27202643171999</v>
      </c>
      <c r="G106">
        <v>111.07268722467001</v>
      </c>
      <c r="I106" s="9">
        <f t="shared" si="8"/>
        <v>380.97472181612</v>
      </c>
      <c r="J106" s="9">
        <f t="shared" si="9"/>
        <v>2414.72797356828</v>
      </c>
      <c r="K106" s="9">
        <f t="shared" si="10"/>
        <v>380.97472181612</v>
      </c>
      <c r="L106" s="10">
        <f t="shared" si="7"/>
        <v>0.15777127940964211</v>
      </c>
      <c r="M106" s="10">
        <f t="shared" si="11"/>
        <v>0.17208695568331736</v>
      </c>
      <c r="P106" s="8">
        <f t="shared" si="12"/>
        <v>-28.608634365583114</v>
      </c>
      <c r="X106" s="8">
        <v>-13</v>
      </c>
    </row>
    <row r="107" spans="1:25" x14ac:dyDescent="0.2">
      <c r="A107" s="8">
        <v>52.5</v>
      </c>
      <c r="B107" s="8">
        <v>105</v>
      </c>
      <c r="D107">
        <v>2529.2105843439999</v>
      </c>
      <c r="E107">
        <v>487.92613009923002</v>
      </c>
      <c r="F107">
        <v>125.68612334802</v>
      </c>
      <c r="G107">
        <v>110.92511013216</v>
      </c>
      <c r="I107" s="9">
        <f t="shared" si="8"/>
        <v>377.00101996707002</v>
      </c>
      <c r="J107" s="9">
        <f t="shared" si="9"/>
        <v>2403.52446099598</v>
      </c>
      <c r="K107" s="9">
        <f t="shared" si="10"/>
        <v>377.00101996707002</v>
      </c>
      <c r="L107" s="10">
        <f t="shared" si="7"/>
        <v>0.15685341509312004</v>
      </c>
      <c r="M107" s="10">
        <f t="shared" si="11"/>
        <v>0.171306742100196</v>
      </c>
      <c r="P107" s="8">
        <f t="shared" si="12"/>
        <v>-28.932310921800759</v>
      </c>
      <c r="X107" s="8">
        <v>-13</v>
      </c>
    </row>
    <row r="108" spans="1:25" x14ac:dyDescent="0.2">
      <c r="A108" s="8">
        <v>53</v>
      </c>
      <c r="B108" s="8">
        <v>106</v>
      </c>
      <c r="D108">
        <v>2506.9988901221</v>
      </c>
      <c r="E108">
        <v>476.97780244172998</v>
      </c>
      <c r="F108">
        <v>125.36894273128</v>
      </c>
      <c r="G108">
        <v>110.78964757708999</v>
      </c>
      <c r="I108" s="9">
        <f t="shared" si="8"/>
        <v>366.18815486463996</v>
      </c>
      <c r="J108" s="9">
        <f t="shared" si="9"/>
        <v>2381.6299473908198</v>
      </c>
      <c r="K108" s="9">
        <f t="shared" si="10"/>
        <v>366.18815486463996</v>
      </c>
      <c r="L108" s="10">
        <f t="shared" si="7"/>
        <v>0.15375526969074904</v>
      </c>
      <c r="M108" s="10">
        <f t="shared" si="11"/>
        <v>0.16834624743122573</v>
      </c>
      <c r="P108" s="8">
        <f t="shared" si="12"/>
        <v>-30.160490922614663</v>
      </c>
      <c r="X108" s="8">
        <v>-13</v>
      </c>
    </row>
    <row r="109" spans="1:25" x14ac:dyDescent="0.2">
      <c r="A109" s="8">
        <v>53.5</v>
      </c>
      <c r="B109" s="8">
        <v>107</v>
      </c>
      <c r="D109">
        <v>2465.1908990011002</v>
      </c>
      <c r="E109">
        <v>473.42730299666999</v>
      </c>
      <c r="F109">
        <v>125.47797356828001</v>
      </c>
      <c r="G109">
        <v>110.87775330397</v>
      </c>
      <c r="I109" s="9">
        <f t="shared" si="8"/>
        <v>362.5495496927</v>
      </c>
      <c r="J109" s="9">
        <f t="shared" si="9"/>
        <v>2339.7129254328202</v>
      </c>
      <c r="K109" s="9">
        <f t="shared" si="10"/>
        <v>362.5495496927</v>
      </c>
      <c r="L109" s="10">
        <f t="shared" si="7"/>
        <v>0.15495471506429895</v>
      </c>
      <c r="M109" s="10">
        <f t="shared" si="11"/>
        <v>0.16968334353817635</v>
      </c>
      <c r="P109" s="8">
        <f t="shared" si="12"/>
        <v>-29.605788117392564</v>
      </c>
      <c r="X109" s="8">
        <v>-13</v>
      </c>
    </row>
    <row r="110" spans="1:25" x14ac:dyDescent="0.2">
      <c r="A110" s="8">
        <v>54</v>
      </c>
      <c r="B110" s="8">
        <v>108</v>
      </c>
      <c r="D110">
        <v>2529.2982062780002</v>
      </c>
      <c r="E110">
        <v>477.93385650224002</v>
      </c>
      <c r="F110">
        <v>124.99008810573</v>
      </c>
      <c r="G110">
        <v>111.24339207049</v>
      </c>
      <c r="I110" s="9">
        <f t="shared" si="8"/>
        <v>366.69046443175</v>
      </c>
      <c r="J110" s="9">
        <f t="shared" si="9"/>
        <v>2404.30811817227</v>
      </c>
      <c r="K110" s="9">
        <f t="shared" si="10"/>
        <v>366.69046443175</v>
      </c>
      <c r="L110" s="10">
        <f t="shared" si="7"/>
        <v>0.15251392351097839</v>
      </c>
      <c r="M110" s="10">
        <f t="shared" si="11"/>
        <v>0.16738020271825652</v>
      </c>
      <c r="P110" s="8">
        <f t="shared" si="12"/>
        <v>-30.561260702339847</v>
      </c>
      <c r="X110" s="8">
        <v>-13</v>
      </c>
    </row>
    <row r="111" spans="1:25" x14ac:dyDescent="0.2">
      <c r="A111" s="8">
        <v>54.5</v>
      </c>
      <c r="B111" s="8">
        <v>109</v>
      </c>
      <c r="D111">
        <v>2504.6726457399</v>
      </c>
      <c r="E111">
        <v>470.76681614350002</v>
      </c>
      <c r="F111">
        <v>125.63656387665</v>
      </c>
      <c r="G111">
        <v>111.12995594714</v>
      </c>
      <c r="I111" s="9">
        <f t="shared" si="8"/>
        <v>359.63686019636003</v>
      </c>
      <c r="J111" s="9">
        <f t="shared" si="9"/>
        <v>2379.0360818632498</v>
      </c>
      <c r="K111" s="9">
        <f t="shared" si="10"/>
        <v>359.63686019636003</v>
      </c>
      <c r="L111" s="10">
        <f t="shared" si="7"/>
        <v>0.15116914910962348</v>
      </c>
      <c r="M111" s="10">
        <f t="shared" si="11"/>
        <v>0.16617307905030235</v>
      </c>
      <c r="P111" s="8">
        <f t="shared" si="12"/>
        <v>-31.062043616435115</v>
      </c>
      <c r="X111" s="8">
        <v>-13</v>
      </c>
    </row>
    <row r="112" spans="1:25" x14ac:dyDescent="0.2">
      <c r="A112" s="8">
        <v>55</v>
      </c>
      <c r="B112" s="8">
        <v>110</v>
      </c>
      <c r="D112">
        <v>2511.1412556054001</v>
      </c>
      <c r="E112">
        <v>470.77466367712998</v>
      </c>
      <c r="F112">
        <v>125.25440528634</v>
      </c>
      <c r="G112">
        <v>110.67511013216</v>
      </c>
      <c r="I112" s="9">
        <f t="shared" si="8"/>
        <v>360.09955354496998</v>
      </c>
      <c r="J112" s="9">
        <f t="shared" si="9"/>
        <v>2385.8868503190602</v>
      </c>
      <c r="K112" s="9">
        <f t="shared" si="10"/>
        <v>360.09955354496998</v>
      </c>
      <c r="L112" s="10">
        <f t="shared" si="7"/>
        <v>0.15092901555529112</v>
      </c>
      <c r="M112" s="10">
        <f t="shared" si="11"/>
        <v>0.1660705962293707</v>
      </c>
      <c r="P112" s="8">
        <f t="shared" si="12"/>
        <v>-31.104559265057784</v>
      </c>
      <c r="X112" s="8">
        <v>-13</v>
      </c>
    </row>
    <row r="113" spans="1:24" x14ac:dyDescent="0.2">
      <c r="A113" s="8">
        <v>55.5</v>
      </c>
      <c r="B113" s="8">
        <v>111</v>
      </c>
      <c r="D113">
        <v>2535.4372197308999</v>
      </c>
      <c r="E113">
        <v>468.44955156950999</v>
      </c>
      <c r="F113">
        <v>125.49559471366</v>
      </c>
      <c r="G113">
        <v>110.67621145375</v>
      </c>
      <c r="I113" s="9">
        <f t="shared" si="8"/>
        <v>357.77334011575999</v>
      </c>
      <c r="J113" s="9">
        <f t="shared" si="9"/>
        <v>2409.9416250172399</v>
      </c>
      <c r="K113" s="9">
        <f t="shared" si="10"/>
        <v>357.77334011575999</v>
      </c>
      <c r="L113" s="10">
        <f t="shared" si="7"/>
        <v>0.14845726402738099</v>
      </c>
      <c r="M113" s="10">
        <f t="shared" si="11"/>
        <v>0.1637364954348613</v>
      </c>
      <c r="P113" s="8">
        <f t="shared" si="12"/>
        <v>-32.072875791936518</v>
      </c>
      <c r="X113" s="8">
        <v>-13</v>
      </c>
    </row>
    <row r="114" spans="1:24" x14ac:dyDescent="0.2">
      <c r="A114" s="8">
        <v>56</v>
      </c>
      <c r="B114" s="8">
        <v>112</v>
      </c>
      <c r="D114">
        <v>2561.418161435</v>
      </c>
      <c r="E114">
        <v>473.18273542601003</v>
      </c>
      <c r="F114">
        <v>124.9063876652</v>
      </c>
      <c r="G114">
        <v>110.87995594714</v>
      </c>
      <c r="I114" s="9">
        <f t="shared" si="8"/>
        <v>362.30277947887004</v>
      </c>
      <c r="J114" s="9">
        <f t="shared" si="9"/>
        <v>2436.5117737698001</v>
      </c>
      <c r="K114" s="9">
        <f t="shared" si="10"/>
        <v>362.30277947887004</v>
      </c>
      <c r="L114" s="10">
        <f t="shared" si="7"/>
        <v>0.14869732351767415</v>
      </c>
      <c r="M114" s="10">
        <f t="shared" si="11"/>
        <v>0.16411420565855517</v>
      </c>
      <c r="P114" s="8">
        <f t="shared" si="12"/>
        <v>-31.916180308676246</v>
      </c>
      <c r="X114" s="8">
        <v>-13</v>
      </c>
    </row>
    <row r="115" spans="1:24" x14ac:dyDescent="0.2">
      <c r="A115" s="8">
        <v>56.5</v>
      </c>
      <c r="B115" s="8">
        <v>113</v>
      </c>
      <c r="D115">
        <v>2523.1087443945999</v>
      </c>
      <c r="E115">
        <v>463.73766816144001</v>
      </c>
      <c r="F115">
        <v>126.02973568282</v>
      </c>
      <c r="G115">
        <v>110.72907488987001</v>
      </c>
      <c r="I115" s="9">
        <f t="shared" si="8"/>
        <v>353.00859327157002</v>
      </c>
      <c r="J115" s="9">
        <f t="shared" si="9"/>
        <v>2397.0790087117798</v>
      </c>
      <c r="K115" s="9">
        <f t="shared" si="10"/>
        <v>353.00859327157002</v>
      </c>
      <c r="L115" s="10">
        <f t="shared" si="7"/>
        <v>0.14726614850349937</v>
      </c>
      <c r="M115" s="10">
        <f t="shared" si="11"/>
        <v>0.16282068137778111</v>
      </c>
      <c r="P115" s="8">
        <f t="shared" si="12"/>
        <v>-32.452807065300824</v>
      </c>
      <c r="X115" s="8">
        <v>-13</v>
      </c>
    </row>
    <row r="116" spans="1:24" x14ac:dyDescent="0.2">
      <c r="A116" s="8">
        <v>57</v>
      </c>
      <c r="B116" s="8">
        <v>114</v>
      </c>
      <c r="D116">
        <v>2503.2118834081002</v>
      </c>
      <c r="E116">
        <v>461.24775784753001</v>
      </c>
      <c r="F116">
        <v>125.82929515419001</v>
      </c>
      <c r="G116">
        <v>110.5859030837</v>
      </c>
      <c r="I116" s="9">
        <f t="shared" si="8"/>
        <v>350.66185476382998</v>
      </c>
      <c r="J116" s="9">
        <f t="shared" si="9"/>
        <v>2377.3825882539104</v>
      </c>
      <c r="K116" s="9">
        <f t="shared" si="10"/>
        <v>350.66185476382998</v>
      </c>
      <c r="L116" s="10">
        <f t="shared" si="7"/>
        <v>0.14749912634860199</v>
      </c>
      <c r="M116" s="10">
        <f t="shared" si="11"/>
        <v>0.16319130995628447</v>
      </c>
      <c r="P116" s="8">
        <f t="shared" si="12"/>
        <v>-32.299049447488173</v>
      </c>
      <c r="X116" s="8">
        <v>-13</v>
      </c>
    </row>
    <row r="117" spans="1:24" x14ac:dyDescent="0.2">
      <c r="A117" s="8">
        <v>57.5</v>
      </c>
      <c r="B117" s="8">
        <v>115</v>
      </c>
      <c r="D117">
        <v>2532.7668161434999</v>
      </c>
      <c r="E117">
        <v>460.03923766816001</v>
      </c>
      <c r="F117">
        <v>125.40418502203001</v>
      </c>
      <c r="G117">
        <v>110.54405286344</v>
      </c>
      <c r="I117" s="9">
        <f t="shared" si="8"/>
        <v>349.49518480472</v>
      </c>
      <c r="J117" s="9">
        <f t="shared" si="9"/>
        <v>2407.3626311214698</v>
      </c>
      <c r="K117" s="9">
        <f t="shared" si="10"/>
        <v>349.49518480472</v>
      </c>
      <c r="L117" s="10">
        <f t="shared" si="7"/>
        <v>0.14517762313270921</v>
      </c>
      <c r="M117" s="10">
        <f t="shared" si="11"/>
        <v>0.16100745747379241</v>
      </c>
      <c r="P117" s="8">
        <f t="shared" si="12"/>
        <v>-33.20503450864603</v>
      </c>
      <c r="X117" s="8">
        <v>-13</v>
      </c>
    </row>
    <row r="118" spans="1:24" x14ac:dyDescent="0.2">
      <c r="A118" s="8">
        <v>58</v>
      </c>
      <c r="B118" s="8">
        <v>116</v>
      </c>
      <c r="D118">
        <v>2505.9197324414999</v>
      </c>
      <c r="E118">
        <v>455.98104793757</v>
      </c>
      <c r="F118">
        <v>125.47246696035</v>
      </c>
      <c r="G118">
        <v>110.96806167401</v>
      </c>
      <c r="I118" s="9">
        <f t="shared" si="8"/>
        <v>345.01298626355998</v>
      </c>
      <c r="J118" s="9">
        <f t="shared" si="9"/>
        <v>2380.4472654811498</v>
      </c>
      <c r="K118" s="9">
        <f t="shared" si="10"/>
        <v>345.01298626355998</v>
      </c>
      <c r="L118" s="10">
        <f t="shared" si="7"/>
        <v>0.14493620222829173</v>
      </c>
      <c r="M118" s="10">
        <f t="shared" si="11"/>
        <v>0.16090368730277566</v>
      </c>
      <c r="P118" s="8">
        <f t="shared" si="12"/>
        <v>-33.248084222621081</v>
      </c>
      <c r="X118" s="8">
        <v>-13</v>
      </c>
    </row>
    <row r="119" spans="1:24" x14ac:dyDescent="0.2">
      <c r="A119" s="8">
        <v>58.5</v>
      </c>
      <c r="B119" s="8">
        <v>117</v>
      </c>
      <c r="D119">
        <v>2392.0033444815999</v>
      </c>
      <c r="E119">
        <v>448.94760312151999</v>
      </c>
      <c r="F119">
        <v>125.16850220264</v>
      </c>
      <c r="G119">
        <v>110.75991189427</v>
      </c>
      <c r="I119" s="9">
        <f t="shared" si="8"/>
        <v>338.18769122724996</v>
      </c>
      <c r="J119" s="9">
        <f t="shared" si="9"/>
        <v>2266.83484227896</v>
      </c>
      <c r="K119" s="9">
        <f t="shared" si="10"/>
        <v>338.18769122724996</v>
      </c>
      <c r="L119" s="10">
        <f t="shared" si="7"/>
        <v>0.14918938288739789</v>
      </c>
      <c r="M119" s="10">
        <f t="shared" si="11"/>
        <v>0.16529451869528253</v>
      </c>
      <c r="P119" s="8">
        <f t="shared" si="12"/>
        <v>-31.426519955086523</v>
      </c>
      <c r="X119" s="8">
        <v>-13</v>
      </c>
    </row>
    <row r="120" spans="1:24" x14ac:dyDescent="0.2">
      <c r="A120" s="8">
        <v>59</v>
      </c>
      <c r="B120" s="8">
        <v>118</v>
      </c>
      <c r="D120">
        <v>2467.4939493949</v>
      </c>
      <c r="E120">
        <v>452.95489548954998</v>
      </c>
      <c r="F120">
        <v>125.36674008811001</v>
      </c>
      <c r="G120">
        <v>110.64207048458</v>
      </c>
      <c r="I120" s="9">
        <f t="shared" si="8"/>
        <v>342.31282500496997</v>
      </c>
      <c r="J120" s="9">
        <f t="shared" si="9"/>
        <v>2342.1272093067901</v>
      </c>
      <c r="K120" s="9">
        <f t="shared" si="10"/>
        <v>342.31282500496997</v>
      </c>
      <c r="L120" s="10">
        <f t="shared" si="7"/>
        <v>0.14615466813448011</v>
      </c>
      <c r="M120" s="10">
        <f t="shared" si="11"/>
        <v>0.16239745467576547</v>
      </c>
      <c r="P120" s="8">
        <f t="shared" si="12"/>
        <v>-32.628385348441881</v>
      </c>
      <c r="X120" s="8">
        <v>-13</v>
      </c>
    </row>
    <row r="121" spans="1:24" x14ac:dyDescent="0.2">
      <c r="A121" s="8">
        <v>59.5</v>
      </c>
      <c r="B121" s="8">
        <v>119</v>
      </c>
      <c r="D121">
        <v>2448.2607260725999</v>
      </c>
      <c r="E121">
        <v>449.67326732673001</v>
      </c>
      <c r="F121">
        <v>125.39647577093</v>
      </c>
      <c r="G121">
        <v>110.87555066079</v>
      </c>
      <c r="I121" s="9">
        <f t="shared" si="8"/>
        <v>338.79771666594002</v>
      </c>
      <c r="J121" s="9">
        <f t="shared" si="9"/>
        <v>2322.8642503016699</v>
      </c>
      <c r="K121" s="9">
        <f t="shared" si="10"/>
        <v>338.79771666594002</v>
      </c>
      <c r="L121" s="10">
        <f t="shared" si="7"/>
        <v>0.14585342928323961</v>
      </c>
      <c r="M121" s="10">
        <f t="shared" si="11"/>
        <v>0.16223386655792571</v>
      </c>
      <c r="P121" s="8">
        <f t="shared" si="12"/>
        <v>-32.696250917263001</v>
      </c>
      <c r="X121" s="8">
        <v>-13</v>
      </c>
    </row>
    <row r="122" spans="1:24" x14ac:dyDescent="0.2">
      <c r="A122" s="8">
        <v>60</v>
      </c>
      <c r="B122" s="8">
        <v>120</v>
      </c>
      <c r="D122">
        <v>2467.4378437843998</v>
      </c>
      <c r="E122">
        <v>450.53905390539001</v>
      </c>
      <c r="F122">
        <v>125.26541850220001</v>
      </c>
      <c r="G122">
        <v>110.96806167401</v>
      </c>
      <c r="I122" s="9">
        <f t="shared" si="8"/>
        <v>339.57099223137999</v>
      </c>
      <c r="J122" s="9">
        <f t="shared" si="9"/>
        <v>2342.1724252821996</v>
      </c>
      <c r="K122" s="9">
        <f t="shared" si="10"/>
        <v>339.57099223137999</v>
      </c>
      <c r="L122" s="10">
        <f t="shared" si="7"/>
        <v>0.14498120999373748</v>
      </c>
      <c r="M122" s="10">
        <f t="shared" si="11"/>
        <v>0.1614992980018243</v>
      </c>
      <c r="P122" s="8">
        <f t="shared" si="12"/>
        <v>-33.000991344356663</v>
      </c>
      <c r="X122" s="8">
        <v>-13</v>
      </c>
    </row>
    <row r="123" spans="1:24" x14ac:dyDescent="0.2">
      <c r="A123" s="8">
        <v>60.5</v>
      </c>
      <c r="B123" s="8">
        <v>121</v>
      </c>
      <c r="D123">
        <v>2470.8320355951</v>
      </c>
      <c r="E123">
        <v>446.77085650723001</v>
      </c>
      <c r="F123">
        <v>125.11453744492999</v>
      </c>
      <c r="G123">
        <v>110.80286343612001</v>
      </c>
      <c r="I123" s="9">
        <f t="shared" si="8"/>
        <v>335.96799307111002</v>
      </c>
      <c r="J123" s="9">
        <f t="shared" si="9"/>
        <v>2345.7174981501698</v>
      </c>
      <c r="K123" s="9">
        <f t="shared" si="10"/>
        <v>335.96799307111002</v>
      </c>
      <c r="L123" s="10">
        <f t="shared" si="7"/>
        <v>0.14322611027800833</v>
      </c>
      <c r="M123" s="10">
        <f t="shared" si="11"/>
        <v>0.15988184901949587</v>
      </c>
      <c r="P123" s="8">
        <f t="shared" si="12"/>
        <v>-33.672000319057346</v>
      </c>
      <c r="X123" s="8">
        <v>-13</v>
      </c>
    </row>
    <row r="124" spans="1:24" x14ac:dyDescent="0.2">
      <c r="A124" s="8">
        <v>61</v>
      </c>
      <c r="B124" s="8">
        <v>122</v>
      </c>
      <c r="D124">
        <v>2505.1234705227998</v>
      </c>
      <c r="E124">
        <v>452.55061179088</v>
      </c>
      <c r="F124">
        <v>125.06497797357</v>
      </c>
      <c r="G124">
        <v>110.54295154185</v>
      </c>
      <c r="I124" s="9">
        <f t="shared" si="8"/>
        <v>342.00766024902998</v>
      </c>
      <c r="J124" s="9">
        <f t="shared" si="9"/>
        <v>2380.0584925492299</v>
      </c>
      <c r="K124" s="9">
        <f t="shared" si="10"/>
        <v>342.00766024902998</v>
      </c>
      <c r="L124" s="10">
        <f t="shared" si="7"/>
        <v>0.14369716598129187</v>
      </c>
      <c r="M124" s="10">
        <f t="shared" si="11"/>
        <v>0.16049055545618013</v>
      </c>
      <c r="P124" s="8">
        <f t="shared" si="12"/>
        <v>-33.419474590928836</v>
      </c>
      <c r="X124" s="8">
        <v>-13</v>
      </c>
    </row>
    <row r="125" spans="1:24" x14ac:dyDescent="0.2">
      <c r="A125" s="8">
        <v>61.5</v>
      </c>
      <c r="B125" s="8">
        <v>123</v>
      </c>
      <c r="D125">
        <v>2535.4705228030998</v>
      </c>
      <c r="E125">
        <v>457.45383759732999</v>
      </c>
      <c r="F125">
        <v>125.20814977974</v>
      </c>
      <c r="G125">
        <v>111.00110132159</v>
      </c>
      <c r="I125" s="9">
        <f t="shared" si="8"/>
        <v>346.45273627573999</v>
      </c>
      <c r="J125" s="9">
        <f t="shared" si="9"/>
        <v>2410.2623730233599</v>
      </c>
      <c r="K125" s="9">
        <f t="shared" si="10"/>
        <v>346.45273627573999</v>
      </c>
      <c r="L125" s="10">
        <f t="shared" si="7"/>
        <v>0.14374067327830381</v>
      </c>
      <c r="M125" s="10">
        <f t="shared" si="11"/>
        <v>0.16067171348659279</v>
      </c>
      <c r="P125" s="8">
        <f t="shared" si="12"/>
        <v>-33.344320032377624</v>
      </c>
      <c r="X125" s="8">
        <v>-13</v>
      </c>
    </row>
    <row r="126" spans="1:24" x14ac:dyDescent="0.2">
      <c r="A126" s="8">
        <v>62</v>
      </c>
      <c r="B126" s="8">
        <v>124</v>
      </c>
      <c r="D126">
        <v>2484.6573971079001</v>
      </c>
      <c r="E126">
        <v>450.82536151278998</v>
      </c>
      <c r="F126">
        <v>124.98237885463</v>
      </c>
      <c r="G126">
        <v>110.70154185022</v>
      </c>
      <c r="I126" s="9">
        <f t="shared" si="8"/>
        <v>340.12381966256999</v>
      </c>
      <c r="J126" s="9">
        <f t="shared" si="9"/>
        <v>2359.6750182532701</v>
      </c>
      <c r="K126" s="9">
        <f t="shared" si="10"/>
        <v>340.12381966256999</v>
      </c>
      <c r="L126" s="10">
        <f t="shared" si="7"/>
        <v>0.14414011125750012</v>
      </c>
      <c r="M126" s="10">
        <f t="shared" si="11"/>
        <v>0.16120880219918982</v>
      </c>
      <c r="P126" s="8">
        <f t="shared" si="12"/>
        <v>-33.121505371575012</v>
      </c>
      <c r="X126" s="8">
        <v>-13</v>
      </c>
    </row>
    <row r="127" spans="1:24" x14ac:dyDescent="0.2">
      <c r="A127" s="8">
        <v>62.5</v>
      </c>
      <c r="B127" s="8">
        <v>125</v>
      </c>
      <c r="D127">
        <v>2538.6013215859002</v>
      </c>
      <c r="E127">
        <v>459.91850220264001</v>
      </c>
      <c r="F127">
        <v>125.10022026432</v>
      </c>
      <c r="G127">
        <v>110.54845814978</v>
      </c>
      <c r="I127" s="9">
        <f t="shared" si="8"/>
        <v>349.37004405286001</v>
      </c>
      <c r="J127" s="9">
        <f t="shared" si="9"/>
        <v>2413.5011013215803</v>
      </c>
      <c r="K127" s="9">
        <f t="shared" si="10"/>
        <v>349.37004405286001</v>
      </c>
      <c r="L127" s="10">
        <f t="shared" si="7"/>
        <v>0.14475652978221251</v>
      </c>
      <c r="M127" s="10">
        <f t="shared" si="11"/>
        <v>0.16196287145730295</v>
      </c>
      <c r="P127" s="8">
        <f t="shared" si="12"/>
        <v>-32.808674954499722</v>
      </c>
      <c r="X127" s="8">
        <v>-13</v>
      </c>
    </row>
    <row r="128" spans="1:24" x14ac:dyDescent="0.2">
      <c r="A128" s="8">
        <v>63</v>
      </c>
      <c r="B128" s="8">
        <v>126</v>
      </c>
      <c r="D128">
        <v>2562.8964757709</v>
      </c>
      <c r="E128">
        <v>460.81607929515002</v>
      </c>
      <c r="F128">
        <v>125.04625550661</v>
      </c>
      <c r="G128">
        <v>110.5077092511</v>
      </c>
      <c r="I128" s="9">
        <f t="shared" si="8"/>
        <v>350.30837004405004</v>
      </c>
      <c r="J128" s="9">
        <f t="shared" si="9"/>
        <v>2437.8502202642899</v>
      </c>
      <c r="K128" s="9">
        <f t="shared" si="10"/>
        <v>350.30837004405004</v>
      </c>
      <c r="L128" s="10">
        <f t="shared" si="7"/>
        <v>0.14369560817648294</v>
      </c>
      <c r="M128" s="10">
        <f t="shared" si="11"/>
        <v>0.1610396005849741</v>
      </c>
      <c r="P128" s="8">
        <f t="shared" si="12"/>
        <v>-33.191699734991126</v>
      </c>
      <c r="X128" s="8">
        <v>-13</v>
      </c>
    </row>
    <row r="129" spans="1:24" x14ac:dyDescent="0.2">
      <c r="A129" s="8">
        <v>63.5</v>
      </c>
      <c r="B129" s="8">
        <v>127</v>
      </c>
      <c r="D129">
        <v>2414.8920704846</v>
      </c>
      <c r="E129">
        <v>436.67731277532999</v>
      </c>
      <c r="F129">
        <v>125.42511013216</v>
      </c>
      <c r="G129">
        <v>110.86123348018</v>
      </c>
      <c r="I129" s="9">
        <f t="shared" si="8"/>
        <v>325.81607929514996</v>
      </c>
      <c r="J129" s="9">
        <f t="shared" si="9"/>
        <v>2289.4669603524399</v>
      </c>
      <c r="K129" s="9">
        <f t="shared" si="10"/>
        <v>325.81607929514996</v>
      </c>
      <c r="L129" s="10">
        <f t="shared" si="7"/>
        <v>0.14231088936308298</v>
      </c>
      <c r="M129" s="10">
        <f t="shared" si="11"/>
        <v>0.15979253250497485</v>
      </c>
      <c r="P129" s="8">
        <f t="shared" si="12"/>
        <v>-33.709053841911775</v>
      </c>
      <c r="X129" s="8">
        <v>-13</v>
      </c>
    </row>
    <row r="130" spans="1:24" x14ac:dyDescent="0.2">
      <c r="A130" s="8">
        <v>64</v>
      </c>
      <c r="B130" s="8">
        <v>128</v>
      </c>
      <c r="D130">
        <v>2399.5231277532998</v>
      </c>
      <c r="E130">
        <v>437.31387665198002</v>
      </c>
      <c r="F130">
        <v>125.08039647577</v>
      </c>
      <c r="G130">
        <v>110.65308370044001</v>
      </c>
      <c r="I130" s="9">
        <f t="shared" si="8"/>
        <v>326.66079295154003</v>
      </c>
      <c r="J130" s="9">
        <f t="shared" si="9"/>
        <v>2274.4427312775297</v>
      </c>
      <c r="K130" s="9">
        <f t="shared" si="10"/>
        <v>326.66079295154003</v>
      </c>
      <c r="L130" s="10">
        <f t="shared" ref="L130:L193" si="14">K130/J130</f>
        <v>0.14362234250147871</v>
      </c>
      <c r="M130" s="10">
        <f t="shared" si="11"/>
        <v>0.1612416363767713</v>
      </c>
      <c r="P130" s="8">
        <f t="shared" si="12"/>
        <v>-33.107883904638612</v>
      </c>
      <c r="X130" s="8">
        <v>-13</v>
      </c>
    </row>
    <row r="131" spans="1:24" x14ac:dyDescent="0.2">
      <c r="A131" s="8">
        <v>64.5</v>
      </c>
      <c r="B131" s="8">
        <v>129</v>
      </c>
      <c r="D131">
        <v>2263.4988986784001</v>
      </c>
      <c r="E131">
        <v>419.82158590308001</v>
      </c>
      <c r="F131">
        <v>124.75881057269</v>
      </c>
      <c r="G131">
        <v>110.88766519824</v>
      </c>
      <c r="I131" s="9">
        <f t="shared" ref="I131:I194" si="15">E131-G131</f>
        <v>308.93392070484003</v>
      </c>
      <c r="J131" s="9">
        <f t="shared" ref="J131:J194" si="16">D131-F131</f>
        <v>2138.7400881057101</v>
      </c>
      <c r="K131" s="9">
        <f t="shared" ref="K131:K194" si="17">I131*1</f>
        <v>308.93392070484003</v>
      </c>
      <c r="L131" s="10">
        <f t="shared" si="14"/>
        <v>0.14444668729170543</v>
      </c>
      <c r="M131" s="10">
        <f t="shared" ref="M131:M181" si="18">L131+ABS($N$2)*A131</f>
        <v>0.16220363190039877</v>
      </c>
      <c r="P131" s="8">
        <f t="shared" ref="P131:P194" si="19">(M131-$O$2)/$O$2*100</f>
        <v>-32.708793956808137</v>
      </c>
      <c r="X131" s="8">
        <v>-13</v>
      </c>
    </row>
    <row r="132" spans="1:24" x14ac:dyDescent="0.2">
      <c r="A132" s="8">
        <v>65</v>
      </c>
      <c r="B132" s="8">
        <v>130</v>
      </c>
      <c r="D132">
        <v>2319.0649779736</v>
      </c>
      <c r="E132">
        <v>425.84030837004002</v>
      </c>
      <c r="F132">
        <v>124.78964757708999</v>
      </c>
      <c r="G132">
        <v>110.45374449339</v>
      </c>
      <c r="I132" s="9">
        <f t="shared" si="15"/>
        <v>315.38656387665003</v>
      </c>
      <c r="J132" s="9">
        <f t="shared" si="16"/>
        <v>2194.2753303965101</v>
      </c>
      <c r="K132" s="9">
        <f t="shared" si="17"/>
        <v>315.38656387665003</v>
      </c>
      <c r="L132" s="10">
        <f t="shared" si="14"/>
        <v>0.14373153610566228</v>
      </c>
      <c r="M132" s="10">
        <f t="shared" si="18"/>
        <v>0.16162613144775634</v>
      </c>
      <c r="P132" s="8">
        <f t="shared" si="19"/>
        <v>-32.948373684422748</v>
      </c>
      <c r="X132" s="8">
        <v>-13</v>
      </c>
    </row>
    <row r="133" spans="1:24" x14ac:dyDescent="0.2">
      <c r="A133" s="8">
        <v>65.5</v>
      </c>
      <c r="B133" s="8">
        <v>131</v>
      </c>
      <c r="D133">
        <v>2385.5429515419</v>
      </c>
      <c r="E133">
        <v>435.28524229074998</v>
      </c>
      <c r="F133">
        <v>125.34801762115001</v>
      </c>
      <c r="G133">
        <v>110.43281938326</v>
      </c>
      <c r="I133" s="9">
        <f t="shared" si="15"/>
        <v>324.85242290748999</v>
      </c>
      <c r="J133" s="9">
        <f t="shared" si="16"/>
        <v>2260.1949339207499</v>
      </c>
      <c r="K133" s="9">
        <f t="shared" si="17"/>
        <v>324.85242290748999</v>
      </c>
      <c r="L133" s="10">
        <f t="shared" si="14"/>
        <v>0.14372761306210433</v>
      </c>
      <c r="M133" s="10">
        <f t="shared" si="18"/>
        <v>0.1617598591375991</v>
      </c>
      <c r="P133" s="8">
        <f t="shared" si="19"/>
        <v>-32.892895903651379</v>
      </c>
      <c r="X133" s="8">
        <v>-13</v>
      </c>
    </row>
    <row r="134" spans="1:24" x14ac:dyDescent="0.2">
      <c r="A134" s="8">
        <v>66</v>
      </c>
      <c r="B134" s="8">
        <v>132</v>
      </c>
      <c r="D134">
        <v>2360.2077777777999</v>
      </c>
      <c r="E134">
        <v>430.31333333332998</v>
      </c>
      <c r="F134">
        <v>124.84691629955999</v>
      </c>
      <c r="G134">
        <v>110.59140969163001</v>
      </c>
      <c r="I134" s="9">
        <f t="shared" si="15"/>
        <v>319.72192364169996</v>
      </c>
      <c r="J134" s="9">
        <f t="shared" si="16"/>
        <v>2235.3608614782402</v>
      </c>
      <c r="K134" s="9">
        <f t="shared" si="17"/>
        <v>319.72192364169996</v>
      </c>
      <c r="L134" s="10">
        <f t="shared" si="14"/>
        <v>0.14302922143419314</v>
      </c>
      <c r="M134" s="10">
        <f t="shared" si="18"/>
        <v>0.16119911824308863</v>
      </c>
      <c r="P134" s="8">
        <f t="shared" si="19"/>
        <v>-33.125522822218272</v>
      </c>
      <c r="X134" s="8">
        <v>-13</v>
      </c>
    </row>
    <row r="135" spans="1:24" x14ac:dyDescent="0.2">
      <c r="A135" s="8">
        <v>66.5</v>
      </c>
      <c r="B135" s="8">
        <v>133</v>
      </c>
      <c r="D135">
        <v>2460.2956810630999</v>
      </c>
      <c r="E135">
        <v>441.15282392027001</v>
      </c>
      <c r="F135">
        <v>125.10682819383</v>
      </c>
      <c r="G135">
        <v>110.78634361234</v>
      </c>
      <c r="I135" s="9">
        <f t="shared" si="15"/>
        <v>330.36648030793003</v>
      </c>
      <c r="J135" s="9">
        <f t="shared" si="16"/>
        <v>2335.1888528692698</v>
      </c>
      <c r="K135" s="9">
        <f t="shared" si="17"/>
        <v>330.36648030793003</v>
      </c>
      <c r="L135" s="10">
        <f t="shared" si="14"/>
        <v>0.14147313177775983</v>
      </c>
      <c r="M135" s="10">
        <f t="shared" si="18"/>
        <v>0.15978067932005605</v>
      </c>
      <c r="P135" s="8">
        <f t="shared" si="19"/>
        <v>-33.713971210896027</v>
      </c>
      <c r="X135" s="8">
        <v>-13</v>
      </c>
    </row>
    <row r="136" spans="1:24" x14ac:dyDescent="0.2">
      <c r="A136" s="8">
        <v>67</v>
      </c>
      <c r="B136" s="8">
        <v>134</v>
      </c>
      <c r="D136">
        <v>2454.8659340659001</v>
      </c>
      <c r="E136">
        <v>442.04725274725001</v>
      </c>
      <c r="F136">
        <v>125.06167400881</v>
      </c>
      <c r="G136">
        <v>110.69273127753</v>
      </c>
      <c r="I136" s="9">
        <f t="shared" si="15"/>
        <v>331.35452146972</v>
      </c>
      <c r="J136" s="9">
        <f t="shared" si="16"/>
        <v>2329.8042600570902</v>
      </c>
      <c r="K136" s="9">
        <f t="shared" si="17"/>
        <v>331.35452146972</v>
      </c>
      <c r="L136" s="10">
        <f t="shared" si="14"/>
        <v>0.14222418902333039</v>
      </c>
      <c r="M136" s="10">
        <f t="shared" si="18"/>
        <v>0.16066938729902733</v>
      </c>
      <c r="P136" s="8">
        <f t="shared" si="19"/>
        <v>-33.345285066051211</v>
      </c>
      <c r="X136" s="8">
        <v>-13</v>
      </c>
    </row>
    <row r="137" spans="1:24" x14ac:dyDescent="0.2">
      <c r="A137" s="8">
        <v>67.5</v>
      </c>
      <c r="B137" s="8">
        <v>135</v>
      </c>
      <c r="D137">
        <v>2437.1964679911998</v>
      </c>
      <c r="E137">
        <v>438.85209713024</v>
      </c>
      <c r="F137">
        <v>124.72577092511</v>
      </c>
      <c r="G137">
        <v>110.77533039648</v>
      </c>
      <c r="I137" s="9">
        <f t="shared" si="15"/>
        <v>328.07676673376</v>
      </c>
      <c r="J137" s="9">
        <f t="shared" si="16"/>
        <v>2312.47069706609</v>
      </c>
      <c r="K137" s="9">
        <f t="shared" si="17"/>
        <v>328.07676673376</v>
      </c>
      <c r="L137" s="10">
        <f t="shared" si="14"/>
        <v>0.14187283201036974</v>
      </c>
      <c r="M137" s="10">
        <f t="shared" si="18"/>
        <v>0.16045568101946742</v>
      </c>
      <c r="P137" s="8">
        <f t="shared" si="19"/>
        <v>-33.433942472313362</v>
      </c>
      <c r="X137" s="8">
        <v>-13</v>
      </c>
    </row>
    <row r="138" spans="1:24" x14ac:dyDescent="0.2">
      <c r="A138" s="8">
        <v>68</v>
      </c>
      <c r="B138" s="8">
        <v>136</v>
      </c>
      <c r="D138">
        <v>2445.4271523179</v>
      </c>
      <c r="E138">
        <v>444.51324503311002</v>
      </c>
      <c r="F138">
        <v>124.88215859031</v>
      </c>
      <c r="G138">
        <v>110.12334801762</v>
      </c>
      <c r="I138" s="9">
        <f t="shared" si="15"/>
        <v>334.38989701549002</v>
      </c>
      <c r="J138" s="9">
        <f t="shared" si="16"/>
        <v>2320.5449937275898</v>
      </c>
      <c r="K138" s="9">
        <f t="shared" si="17"/>
        <v>334.38989701549002</v>
      </c>
      <c r="L138" s="10">
        <f t="shared" si="14"/>
        <v>0.14409972567622806</v>
      </c>
      <c r="M138" s="10">
        <f t="shared" si="18"/>
        <v>0.16282022541872646</v>
      </c>
      <c r="P138" s="8">
        <f t="shared" si="19"/>
        <v>-32.452996222808181</v>
      </c>
      <c r="X138" s="8">
        <v>-13</v>
      </c>
    </row>
    <row r="139" spans="1:24" x14ac:dyDescent="0.2">
      <c r="A139" s="8">
        <v>68.5</v>
      </c>
      <c r="B139" s="8">
        <v>137</v>
      </c>
      <c r="D139">
        <v>2507.8127802691001</v>
      </c>
      <c r="E139">
        <v>456.35762331838998</v>
      </c>
      <c r="F139">
        <v>125.32819383259999</v>
      </c>
      <c r="G139">
        <v>110.49008810573</v>
      </c>
      <c r="I139" s="9">
        <f t="shared" si="15"/>
        <v>345.86753521265996</v>
      </c>
      <c r="J139" s="9">
        <f t="shared" si="16"/>
        <v>2382.4845864365002</v>
      </c>
      <c r="K139" s="9">
        <f t="shared" si="17"/>
        <v>345.86753521265996</v>
      </c>
      <c r="L139" s="10">
        <f t="shared" si="14"/>
        <v>0.14517094346871581</v>
      </c>
      <c r="M139" s="10">
        <f t="shared" si="18"/>
        <v>0.16402909394461493</v>
      </c>
      <c r="P139" s="8">
        <f t="shared" si="19"/>
        <v>-31.951489443325947</v>
      </c>
      <c r="X139" s="8">
        <v>-13</v>
      </c>
    </row>
    <row r="140" spans="1:24" x14ac:dyDescent="0.2">
      <c r="A140" s="8">
        <v>69</v>
      </c>
      <c r="B140" s="8">
        <v>138</v>
      </c>
      <c r="D140">
        <v>2545.868596882</v>
      </c>
      <c r="E140">
        <v>452.89198218262999</v>
      </c>
      <c r="F140">
        <v>125.04625550661</v>
      </c>
      <c r="G140">
        <v>110.38656387665</v>
      </c>
      <c r="I140" s="9">
        <f t="shared" si="15"/>
        <v>342.50541830598002</v>
      </c>
      <c r="J140" s="9">
        <f t="shared" si="16"/>
        <v>2420.8223413753899</v>
      </c>
      <c r="K140" s="9">
        <f t="shared" si="17"/>
        <v>342.50541830598002</v>
      </c>
      <c r="L140" s="10">
        <f t="shared" si="14"/>
        <v>0.14148308715268448</v>
      </c>
      <c r="M140" s="10">
        <f t="shared" si="18"/>
        <v>0.16047888836198432</v>
      </c>
      <c r="P140" s="8">
        <f t="shared" si="19"/>
        <v>-33.424314758995706</v>
      </c>
      <c r="X140" s="8">
        <v>-13</v>
      </c>
    </row>
    <row r="141" spans="1:24" x14ac:dyDescent="0.2">
      <c r="A141" s="8">
        <v>69.5</v>
      </c>
      <c r="B141" s="8">
        <v>139</v>
      </c>
      <c r="D141">
        <v>2479.5620842571998</v>
      </c>
      <c r="E141">
        <v>446.39467849224002</v>
      </c>
      <c r="F141">
        <v>125.49889867841</v>
      </c>
      <c r="G141">
        <v>110.45925110132001</v>
      </c>
      <c r="I141" s="9">
        <f t="shared" si="15"/>
        <v>335.93542739092004</v>
      </c>
      <c r="J141" s="9">
        <f t="shared" si="16"/>
        <v>2354.0631855787897</v>
      </c>
      <c r="K141" s="9">
        <f t="shared" si="17"/>
        <v>335.93542739092004</v>
      </c>
      <c r="L141" s="10">
        <f t="shared" si="14"/>
        <v>0.14270450744435909</v>
      </c>
      <c r="M141" s="10">
        <f t="shared" si="18"/>
        <v>0.16183795938705964</v>
      </c>
      <c r="P141" s="8">
        <f t="shared" si="19"/>
        <v>-32.860495519536059</v>
      </c>
      <c r="X141" s="8">
        <v>-13</v>
      </c>
    </row>
    <row r="142" spans="1:24" x14ac:dyDescent="0.2">
      <c r="A142" s="8">
        <v>70</v>
      </c>
      <c r="B142" s="8">
        <v>140</v>
      </c>
      <c r="D142">
        <v>2506.2921348314999</v>
      </c>
      <c r="E142">
        <v>447.35955056180001</v>
      </c>
      <c r="F142">
        <v>124.49449339207</v>
      </c>
      <c r="G142">
        <v>110.34691629955999</v>
      </c>
      <c r="I142" s="9">
        <f t="shared" si="15"/>
        <v>337.01263426224</v>
      </c>
      <c r="J142" s="9">
        <f t="shared" si="16"/>
        <v>2381.7976414394298</v>
      </c>
      <c r="K142" s="9">
        <f t="shared" si="17"/>
        <v>337.01263426224</v>
      </c>
      <c r="L142" s="10">
        <f t="shared" si="14"/>
        <v>0.14149507430806246</v>
      </c>
      <c r="M142" s="10">
        <f t="shared" si="18"/>
        <v>0.16076617698416373</v>
      </c>
      <c r="P142" s="8">
        <f t="shared" si="19"/>
        <v>-33.305131250942011</v>
      </c>
      <c r="X142" s="8">
        <v>-13</v>
      </c>
    </row>
    <row r="143" spans="1:24" x14ac:dyDescent="0.2">
      <c r="A143" s="8">
        <v>70.5</v>
      </c>
      <c r="B143" s="8">
        <v>141</v>
      </c>
      <c r="D143">
        <v>2419.4839779006002</v>
      </c>
      <c r="E143">
        <v>442.75138121547002</v>
      </c>
      <c r="F143">
        <v>125.03193832599</v>
      </c>
      <c r="G143">
        <v>110.50220264316999</v>
      </c>
      <c r="I143" s="9">
        <f t="shared" si="15"/>
        <v>332.24917857230002</v>
      </c>
      <c r="J143" s="9">
        <f t="shared" si="16"/>
        <v>2294.4520395746104</v>
      </c>
      <c r="K143" s="9">
        <f t="shared" si="17"/>
        <v>332.24917857230002</v>
      </c>
      <c r="L143" s="10">
        <f t="shared" si="14"/>
        <v>0.14480545805346132</v>
      </c>
      <c r="M143" s="10">
        <f t="shared" si="18"/>
        <v>0.16421421146296333</v>
      </c>
      <c r="P143" s="8">
        <f t="shared" si="19"/>
        <v>-31.87469226607756</v>
      </c>
      <c r="X143" s="8">
        <v>-13</v>
      </c>
    </row>
    <row r="144" spans="1:24" x14ac:dyDescent="0.2">
      <c r="A144" s="8">
        <v>71</v>
      </c>
      <c r="B144" s="8">
        <v>142</v>
      </c>
      <c r="D144">
        <v>2460.7602209944998</v>
      </c>
      <c r="E144">
        <v>446.10828729282002</v>
      </c>
      <c r="F144">
        <v>124.63876651982</v>
      </c>
      <c r="G144">
        <v>110.26872246696</v>
      </c>
      <c r="I144" s="9">
        <f t="shared" si="15"/>
        <v>335.83956482586001</v>
      </c>
      <c r="J144" s="9">
        <f t="shared" si="16"/>
        <v>2336.1214544746799</v>
      </c>
      <c r="K144" s="9">
        <f t="shared" si="17"/>
        <v>335.83956482586001</v>
      </c>
      <c r="L144" s="10">
        <f t="shared" si="14"/>
        <v>0.14375946258384059</v>
      </c>
      <c r="M144" s="10">
        <f t="shared" si="18"/>
        <v>0.16330586672674333</v>
      </c>
      <c r="P144" s="8">
        <f t="shared" si="19"/>
        <v>-32.251524844282478</v>
      </c>
    </row>
    <row r="145" spans="1:16" x14ac:dyDescent="0.2">
      <c r="A145" s="8">
        <v>71.5</v>
      </c>
      <c r="B145" s="8">
        <v>143</v>
      </c>
      <c r="D145">
        <v>2471.7215469613002</v>
      </c>
      <c r="E145">
        <v>449.41988950275999</v>
      </c>
      <c r="F145">
        <v>125.08810572687</v>
      </c>
      <c r="G145">
        <v>110.21145374449</v>
      </c>
      <c r="I145" s="9">
        <f t="shared" si="15"/>
        <v>339.20843575826996</v>
      </c>
      <c r="J145" s="9">
        <f t="shared" si="16"/>
        <v>2346.6334412344304</v>
      </c>
      <c r="K145" s="9">
        <f t="shared" si="17"/>
        <v>339.20843575826996</v>
      </c>
      <c r="L145" s="10">
        <f t="shared" si="14"/>
        <v>0.14455109596487797</v>
      </c>
      <c r="M145" s="10">
        <f t="shared" si="18"/>
        <v>0.16423515084118143</v>
      </c>
      <c r="P145" s="8">
        <f t="shared" si="19"/>
        <v>-31.866005432141836</v>
      </c>
    </row>
    <row r="146" spans="1:16" x14ac:dyDescent="0.2">
      <c r="A146" s="8">
        <v>72</v>
      </c>
      <c r="B146" s="8">
        <v>144</v>
      </c>
      <c r="D146">
        <v>2386.5392265193</v>
      </c>
      <c r="E146">
        <v>444.30055248618999</v>
      </c>
      <c r="F146">
        <v>124.48458149779999</v>
      </c>
      <c r="G146">
        <v>110.34030837004001</v>
      </c>
      <c r="I146" s="9">
        <f t="shared" si="15"/>
        <v>333.96024411614997</v>
      </c>
      <c r="J146" s="9">
        <f t="shared" si="16"/>
        <v>2262.0546450215002</v>
      </c>
      <c r="K146" s="9">
        <f t="shared" si="17"/>
        <v>333.96024411614997</v>
      </c>
      <c r="L146" s="10">
        <f t="shared" si="14"/>
        <v>0.14763579865373933</v>
      </c>
      <c r="M146" s="10">
        <f t="shared" si="18"/>
        <v>0.1674575042634435</v>
      </c>
      <c r="P146" s="8">
        <f t="shared" si="19"/>
        <v>-30.529191665761008</v>
      </c>
    </row>
    <row r="147" spans="1:16" x14ac:dyDescent="0.2">
      <c r="A147" s="8">
        <v>72.5</v>
      </c>
      <c r="B147" s="8">
        <v>145</v>
      </c>
      <c r="D147">
        <v>2391.1558011050001</v>
      </c>
      <c r="E147">
        <v>444.22541436464002</v>
      </c>
      <c r="F147">
        <v>125.09030837004001</v>
      </c>
      <c r="G147">
        <v>110.49559471366</v>
      </c>
      <c r="I147" s="9">
        <f t="shared" si="15"/>
        <v>333.72981965098001</v>
      </c>
      <c r="J147" s="9">
        <f t="shared" si="16"/>
        <v>2266.0654927349601</v>
      </c>
      <c r="K147" s="9">
        <f t="shared" si="17"/>
        <v>333.72981965098001</v>
      </c>
      <c r="L147" s="10">
        <f t="shared" si="14"/>
        <v>0.14727280421546632</v>
      </c>
      <c r="M147" s="10">
        <f t="shared" si="18"/>
        <v>0.16723216055857121</v>
      </c>
      <c r="P147" s="8">
        <f t="shared" si="19"/>
        <v>-30.622676931765465</v>
      </c>
    </row>
    <row r="148" spans="1:16" x14ac:dyDescent="0.2">
      <c r="A148" s="8">
        <v>73</v>
      </c>
      <c r="B148" s="8">
        <v>146</v>
      </c>
      <c r="D148">
        <v>2393.6928176796</v>
      </c>
      <c r="E148">
        <v>445.92596685082998</v>
      </c>
      <c r="F148">
        <v>125.03193832599</v>
      </c>
      <c r="G148">
        <v>110.91189427313</v>
      </c>
      <c r="I148" s="9">
        <f t="shared" si="15"/>
        <v>335.01407257769995</v>
      </c>
      <c r="J148" s="9">
        <f t="shared" si="16"/>
        <v>2268.6608793536102</v>
      </c>
      <c r="K148" s="9">
        <f t="shared" si="17"/>
        <v>335.01407257769995</v>
      </c>
      <c r="L148" s="10">
        <f t="shared" si="14"/>
        <v>0.1476704057563476</v>
      </c>
      <c r="M148" s="10">
        <f t="shared" si="18"/>
        <v>0.16776741283285324</v>
      </c>
      <c r="P148" s="8">
        <f t="shared" si="19"/>
        <v>-30.400624129051923</v>
      </c>
    </row>
    <row r="149" spans="1:16" x14ac:dyDescent="0.2">
      <c r="A149" s="8">
        <v>73.5</v>
      </c>
      <c r="B149" s="8">
        <v>147</v>
      </c>
      <c r="D149">
        <v>2524.5688888888999</v>
      </c>
      <c r="E149">
        <v>451.59444444444</v>
      </c>
      <c r="F149">
        <v>125.3436123348</v>
      </c>
      <c r="G149">
        <v>110.48348017620999</v>
      </c>
      <c r="I149" s="9">
        <f t="shared" si="15"/>
        <v>341.11096426823002</v>
      </c>
      <c r="J149" s="9">
        <f t="shared" si="16"/>
        <v>2399.2252765540998</v>
      </c>
      <c r="K149" s="9">
        <f t="shared" si="17"/>
        <v>341.11096426823002</v>
      </c>
      <c r="L149" s="10">
        <f t="shared" si="14"/>
        <v>0.14217546288865066</v>
      </c>
      <c r="M149" s="10">
        <f t="shared" si="18"/>
        <v>0.16241012069855701</v>
      </c>
      <c r="P149" s="8">
        <f t="shared" si="19"/>
        <v>-32.623130768507828</v>
      </c>
    </row>
    <row r="150" spans="1:16" x14ac:dyDescent="0.2">
      <c r="A150" s="8">
        <v>74</v>
      </c>
      <c r="B150" s="8">
        <v>148</v>
      </c>
      <c r="D150">
        <v>2540.1244444444001</v>
      </c>
      <c r="E150">
        <v>453.05444444443998</v>
      </c>
      <c r="F150">
        <v>124.92400881057</v>
      </c>
      <c r="G150">
        <v>110.52202643171999</v>
      </c>
      <c r="I150" s="9">
        <f t="shared" si="15"/>
        <v>342.53241801271997</v>
      </c>
      <c r="J150" s="9">
        <f t="shared" si="16"/>
        <v>2415.2004356338302</v>
      </c>
      <c r="K150" s="9">
        <f t="shared" si="17"/>
        <v>342.53241801271997</v>
      </c>
      <c r="L150" s="10">
        <f t="shared" si="14"/>
        <v>0.14182359896884827</v>
      </c>
      <c r="M150" s="10">
        <f t="shared" si="18"/>
        <v>0.16219590751215535</v>
      </c>
      <c r="P150" s="8">
        <f t="shared" si="19"/>
        <v>-32.711998468290126</v>
      </c>
    </row>
    <row r="151" spans="1:16" x14ac:dyDescent="0.2">
      <c r="A151" s="8">
        <v>74.5</v>
      </c>
      <c r="B151" s="8">
        <v>149</v>
      </c>
      <c r="D151">
        <v>2537.1444444444001</v>
      </c>
      <c r="E151">
        <v>451.97666666666998</v>
      </c>
      <c r="F151">
        <v>125.21145374449</v>
      </c>
      <c r="G151">
        <v>110.60792951542</v>
      </c>
      <c r="I151" s="9">
        <f t="shared" si="15"/>
        <v>341.36873715125</v>
      </c>
      <c r="J151" s="9">
        <f t="shared" si="16"/>
        <v>2411.9329906999101</v>
      </c>
      <c r="K151" s="9">
        <f t="shared" si="17"/>
        <v>341.36873715125</v>
      </c>
      <c r="L151" s="10">
        <f t="shared" si="14"/>
        <v>0.14153325920227552</v>
      </c>
      <c r="M151" s="10">
        <f t="shared" si="18"/>
        <v>0.16204321847898331</v>
      </c>
      <c r="P151" s="8">
        <f t="shared" si="19"/>
        <v>-32.775342482670915</v>
      </c>
    </row>
    <row r="152" spans="1:16" x14ac:dyDescent="0.2">
      <c r="A152" s="8">
        <v>75</v>
      </c>
      <c r="B152" s="8">
        <v>150</v>
      </c>
      <c r="D152">
        <v>2523.8631813125999</v>
      </c>
      <c r="E152">
        <v>454.08898776417999</v>
      </c>
      <c r="F152">
        <v>125.57929515419001</v>
      </c>
      <c r="G152">
        <v>110.34911894273</v>
      </c>
      <c r="I152" s="9">
        <f t="shared" si="15"/>
        <v>343.73986882144999</v>
      </c>
      <c r="J152" s="9">
        <f t="shared" si="16"/>
        <v>2398.28388615841</v>
      </c>
      <c r="K152" s="9">
        <f t="shared" si="17"/>
        <v>343.73986882144999</v>
      </c>
      <c r="L152" s="10">
        <f t="shared" si="14"/>
        <v>0.14332743125421035</v>
      </c>
      <c r="M152" s="10">
        <f t="shared" si="18"/>
        <v>0.16397504126431886</v>
      </c>
      <c r="P152" s="8">
        <f t="shared" si="19"/>
        <v>-31.97391354076677</v>
      </c>
    </row>
    <row r="153" spans="1:16" x14ac:dyDescent="0.2">
      <c r="A153" s="8">
        <v>75.5</v>
      </c>
      <c r="B153" s="8">
        <v>151</v>
      </c>
      <c r="D153">
        <v>2497.6618464961002</v>
      </c>
      <c r="E153">
        <v>450.31256952169002</v>
      </c>
      <c r="F153">
        <v>125.3204845815</v>
      </c>
      <c r="G153">
        <v>110.36233480176</v>
      </c>
      <c r="I153" s="9">
        <f t="shared" si="15"/>
        <v>339.95023471992999</v>
      </c>
      <c r="J153" s="9">
        <f t="shared" si="16"/>
        <v>2372.3413619146004</v>
      </c>
      <c r="K153" s="9">
        <f t="shared" si="17"/>
        <v>339.95023471992999</v>
      </c>
      <c r="L153" s="10">
        <f t="shared" si="14"/>
        <v>0.14329735179661196</v>
      </c>
      <c r="M153" s="10">
        <f t="shared" si="18"/>
        <v>0.16408261254012121</v>
      </c>
      <c r="P153" s="8">
        <f t="shared" si="19"/>
        <v>-31.929286914349486</v>
      </c>
    </row>
    <row r="154" spans="1:16" x14ac:dyDescent="0.2">
      <c r="A154" s="8">
        <v>76</v>
      </c>
      <c r="B154" s="8">
        <v>152</v>
      </c>
      <c r="D154">
        <v>2503.2602892102</v>
      </c>
      <c r="E154">
        <v>446.09121245828999</v>
      </c>
      <c r="F154">
        <v>124.59471365639</v>
      </c>
      <c r="G154">
        <v>110.22136563877</v>
      </c>
      <c r="I154" s="9">
        <f t="shared" si="15"/>
        <v>335.86984681951998</v>
      </c>
      <c r="J154" s="9">
        <f t="shared" si="16"/>
        <v>2378.66557555381</v>
      </c>
      <c r="K154" s="9">
        <f t="shared" si="17"/>
        <v>335.86984681951998</v>
      </c>
      <c r="L154" s="10">
        <f t="shared" si="14"/>
        <v>0.14120095328714777</v>
      </c>
      <c r="M154" s="10">
        <f t="shared" si="18"/>
        <v>0.16212386476405774</v>
      </c>
      <c r="P154" s="8">
        <f t="shared" si="19"/>
        <v>-32.741885859523947</v>
      </c>
    </row>
    <row r="155" spans="1:16" x14ac:dyDescent="0.2">
      <c r="A155" s="8">
        <v>76.5</v>
      </c>
      <c r="B155" s="8">
        <v>153</v>
      </c>
      <c r="D155">
        <v>2491.4356103024002</v>
      </c>
      <c r="E155">
        <v>448.31466965286</v>
      </c>
      <c r="F155">
        <v>124.50550660793</v>
      </c>
      <c r="G155">
        <v>110.37004405286</v>
      </c>
      <c r="I155" s="9">
        <f t="shared" si="15"/>
        <v>337.94462559999999</v>
      </c>
      <c r="J155" s="9">
        <f t="shared" si="16"/>
        <v>2366.9301036944703</v>
      </c>
      <c r="K155" s="9">
        <f t="shared" si="17"/>
        <v>337.94462559999999</v>
      </c>
      <c r="L155" s="10">
        <f t="shared" si="14"/>
        <v>0.14277761099599534</v>
      </c>
      <c r="M155" s="10">
        <f t="shared" si="18"/>
        <v>0.16383817320630603</v>
      </c>
      <c r="P155" s="8">
        <f t="shared" si="19"/>
        <v>-32.030694123202359</v>
      </c>
    </row>
    <row r="156" spans="1:16" x14ac:dyDescent="0.2">
      <c r="A156" s="8">
        <v>77</v>
      </c>
      <c r="B156" s="8">
        <v>154</v>
      </c>
      <c r="D156">
        <v>2425.4879385965</v>
      </c>
      <c r="E156">
        <v>445.00548245613999</v>
      </c>
      <c r="F156">
        <v>124.34471365639</v>
      </c>
      <c r="G156">
        <v>110.28634361234</v>
      </c>
      <c r="I156" s="9">
        <f t="shared" si="15"/>
        <v>334.71913884380001</v>
      </c>
      <c r="J156" s="9">
        <f t="shared" si="16"/>
        <v>2301.14322494011</v>
      </c>
      <c r="K156" s="9">
        <f t="shared" si="17"/>
        <v>334.71913884380001</v>
      </c>
      <c r="L156" s="10">
        <f t="shared" si="14"/>
        <v>0.14545775995864468</v>
      </c>
      <c r="M156" s="10">
        <f t="shared" si="18"/>
        <v>0.16665597290235609</v>
      </c>
      <c r="P156" s="8">
        <f t="shared" si="19"/>
        <v>-30.861712037451156</v>
      </c>
    </row>
    <row r="157" spans="1:16" x14ac:dyDescent="0.2">
      <c r="A157" s="8">
        <v>77.5</v>
      </c>
      <c r="B157" s="8">
        <v>155</v>
      </c>
      <c r="D157">
        <v>2488.5743243243001</v>
      </c>
      <c r="E157">
        <v>453.69481981982</v>
      </c>
      <c r="F157">
        <v>125.0627753304</v>
      </c>
      <c r="G157">
        <v>110.18942731278</v>
      </c>
      <c r="I157" s="9">
        <f t="shared" si="15"/>
        <v>343.50539250704003</v>
      </c>
      <c r="J157" s="9">
        <f t="shared" si="16"/>
        <v>2363.5115489938999</v>
      </c>
      <c r="K157" s="9">
        <f t="shared" si="17"/>
        <v>343.50539250704003</v>
      </c>
      <c r="L157" s="10">
        <f t="shared" si="14"/>
        <v>0.14533687920977728</v>
      </c>
      <c r="M157" s="10">
        <f t="shared" si="18"/>
        <v>0.16667274288688941</v>
      </c>
      <c r="P157" s="8">
        <f t="shared" si="19"/>
        <v>-30.854754902944663</v>
      </c>
    </row>
    <row r="158" spans="1:16" x14ac:dyDescent="0.2">
      <c r="A158" s="8">
        <v>78</v>
      </c>
      <c r="B158" s="8">
        <v>156</v>
      </c>
      <c r="D158">
        <v>2375.2027027027002</v>
      </c>
      <c r="E158">
        <v>438.82207207207</v>
      </c>
      <c r="F158">
        <v>124.47246696035</v>
      </c>
      <c r="G158">
        <v>110.73348017620999</v>
      </c>
      <c r="I158" s="9">
        <f t="shared" si="15"/>
        <v>328.08859189586002</v>
      </c>
      <c r="J158" s="9">
        <f t="shared" si="16"/>
        <v>2250.73023574235</v>
      </c>
      <c r="K158" s="9">
        <f t="shared" si="17"/>
        <v>328.08859189586002</v>
      </c>
      <c r="L158" s="10">
        <f t="shared" si="14"/>
        <v>0.14576984246521563</v>
      </c>
      <c r="M158" s="10">
        <f t="shared" si="18"/>
        <v>0.1672433568757285</v>
      </c>
      <c r="P158" s="8">
        <f t="shared" si="19"/>
        <v>-30.618032068540586</v>
      </c>
    </row>
    <row r="159" spans="1:16" x14ac:dyDescent="0.2">
      <c r="A159" s="8">
        <v>78.5</v>
      </c>
      <c r="B159" s="8">
        <v>157</v>
      </c>
      <c r="D159">
        <v>2432.9104143336999</v>
      </c>
      <c r="E159">
        <v>446.08510638297997</v>
      </c>
      <c r="F159">
        <v>125.03083700441</v>
      </c>
      <c r="G159">
        <v>110.28083700441</v>
      </c>
      <c r="I159" s="9">
        <f t="shared" si="15"/>
        <v>335.80426937856998</v>
      </c>
      <c r="J159" s="9">
        <f t="shared" si="16"/>
        <v>2307.87957732929</v>
      </c>
      <c r="K159" s="9">
        <f t="shared" si="17"/>
        <v>335.80426937856998</v>
      </c>
      <c r="L159" s="10">
        <f t="shared" si="14"/>
        <v>0.14550337577282405</v>
      </c>
      <c r="M159" s="10">
        <f t="shared" si="18"/>
        <v>0.16711454091673764</v>
      </c>
      <c r="P159" s="8">
        <f t="shared" si="19"/>
        <v>-30.671472186598038</v>
      </c>
    </row>
    <row r="160" spans="1:16" x14ac:dyDescent="0.2">
      <c r="A160" s="8">
        <v>79</v>
      </c>
      <c r="B160" s="8">
        <v>158</v>
      </c>
      <c r="D160">
        <v>2430.7130242826001</v>
      </c>
      <c r="E160">
        <v>447.19315673288997</v>
      </c>
      <c r="F160">
        <v>124.96365638767</v>
      </c>
      <c r="G160">
        <v>110.51321585903</v>
      </c>
      <c r="I160" s="9">
        <f t="shared" si="15"/>
        <v>336.67994087386001</v>
      </c>
      <c r="J160" s="9">
        <f t="shared" si="16"/>
        <v>2305.7493678949299</v>
      </c>
      <c r="K160" s="9">
        <f t="shared" si="17"/>
        <v>336.67994087386001</v>
      </c>
      <c r="L160" s="10">
        <f t="shared" si="14"/>
        <v>0.1460175791704704</v>
      </c>
      <c r="M160" s="10">
        <f t="shared" si="18"/>
        <v>0.16776639504778471</v>
      </c>
      <c r="P160" s="8">
        <f t="shared" si="19"/>
        <v>-30.4010463636465</v>
      </c>
    </row>
    <row r="161" spans="1:16" x14ac:dyDescent="0.2">
      <c r="A161" s="8">
        <v>79.5</v>
      </c>
      <c r="B161" s="8">
        <v>159</v>
      </c>
      <c r="D161">
        <v>2373.4337748344001</v>
      </c>
      <c r="E161">
        <v>442.27041942605001</v>
      </c>
      <c r="F161">
        <v>125.21035242291001</v>
      </c>
      <c r="G161">
        <v>110.65418502203001</v>
      </c>
      <c r="I161" s="9">
        <f t="shared" si="15"/>
        <v>331.61623440402002</v>
      </c>
      <c r="J161" s="9">
        <f t="shared" si="16"/>
        <v>2248.22342241149</v>
      </c>
      <c r="K161" s="9">
        <f t="shared" si="17"/>
        <v>331.61623440402002</v>
      </c>
      <c r="L161" s="10">
        <f t="shared" si="14"/>
        <v>0.14750145875107099</v>
      </c>
      <c r="M161" s="10">
        <f t="shared" si="18"/>
        <v>0.16938792536178601</v>
      </c>
      <c r="P161" s="8">
        <f t="shared" si="19"/>
        <v>-29.728344222601066</v>
      </c>
    </row>
    <row r="162" spans="1:16" x14ac:dyDescent="0.2">
      <c r="A162" s="8">
        <v>80</v>
      </c>
      <c r="B162" s="4">
        <v>160</v>
      </c>
      <c r="C162" s="4" t="s">
        <v>7</v>
      </c>
      <c r="D162">
        <v>2302.0949720670001</v>
      </c>
      <c r="E162">
        <v>431.97653631284999</v>
      </c>
      <c r="F162">
        <v>124.39207048458</v>
      </c>
      <c r="G162">
        <v>110.64207048458</v>
      </c>
      <c r="H162" s="4"/>
      <c r="I162" s="5">
        <f t="shared" si="15"/>
        <v>321.33446582826997</v>
      </c>
      <c r="J162" s="5">
        <f t="shared" si="16"/>
        <v>2177.7029015824201</v>
      </c>
      <c r="K162" s="9">
        <f t="shared" si="17"/>
        <v>321.33446582826997</v>
      </c>
      <c r="L162" s="6">
        <f t="shared" si="14"/>
        <v>0.14755661371198681</v>
      </c>
      <c r="M162" s="6">
        <f t="shared" si="18"/>
        <v>0.16958073105610255</v>
      </c>
      <c r="N162" s="4"/>
      <c r="O162" s="4"/>
      <c r="P162" s="4">
        <f t="shared" si="19"/>
        <v>-29.648357556762896</v>
      </c>
    </row>
    <row r="163" spans="1:16" x14ac:dyDescent="0.2">
      <c r="A163" s="8">
        <v>80.5</v>
      </c>
      <c r="B163" s="8">
        <v>161</v>
      </c>
      <c r="D163">
        <v>2392.5138121547002</v>
      </c>
      <c r="E163">
        <v>453.12707182320003</v>
      </c>
      <c r="F163">
        <v>125.55947136563999</v>
      </c>
      <c r="G163">
        <v>110.49118942731</v>
      </c>
      <c r="I163" s="9">
        <f t="shared" si="15"/>
        <v>342.63588239589001</v>
      </c>
      <c r="J163" s="9">
        <f t="shared" si="16"/>
        <v>2266.9543407890601</v>
      </c>
      <c r="K163" s="9">
        <f t="shared" si="17"/>
        <v>342.63588239589001</v>
      </c>
      <c r="L163" s="10">
        <f t="shared" si="14"/>
        <v>0.15114370688058434</v>
      </c>
      <c r="M163" s="10">
        <f t="shared" si="18"/>
        <v>0.17330547495810084</v>
      </c>
      <c r="P163" s="8">
        <f t="shared" si="19"/>
        <v>-28.10312391167783</v>
      </c>
    </row>
    <row r="164" spans="1:16" x14ac:dyDescent="0.2">
      <c r="A164" s="8">
        <v>81</v>
      </c>
      <c r="B164" s="8">
        <v>162</v>
      </c>
      <c r="D164">
        <v>2371.5363128491999</v>
      </c>
      <c r="E164">
        <v>462.69385474860002</v>
      </c>
      <c r="F164">
        <v>124.65969162995999</v>
      </c>
      <c r="G164">
        <v>110.60792951542</v>
      </c>
      <c r="I164" s="9">
        <f t="shared" si="15"/>
        <v>352.08592523318003</v>
      </c>
      <c r="J164" s="9">
        <f t="shared" si="16"/>
        <v>2246.87662121924</v>
      </c>
      <c r="K164" s="9">
        <f t="shared" si="17"/>
        <v>352.08592523318003</v>
      </c>
      <c r="L164" s="10">
        <f t="shared" si="14"/>
        <v>0.15670015963854969</v>
      </c>
      <c r="M164" s="10">
        <f t="shared" si="18"/>
        <v>0.1789995784494669</v>
      </c>
      <c r="P164" s="8">
        <f t="shared" si="19"/>
        <v>-25.740888943326112</v>
      </c>
    </row>
    <row r="165" spans="1:16" x14ac:dyDescent="0.2">
      <c r="A165" s="8">
        <v>81.5</v>
      </c>
      <c r="B165" s="8">
        <v>163</v>
      </c>
      <c r="D165">
        <v>2371.3780487805002</v>
      </c>
      <c r="E165">
        <v>513.13192904656</v>
      </c>
      <c r="F165">
        <v>125.03854625551</v>
      </c>
      <c r="G165">
        <v>111.16629955947</v>
      </c>
      <c r="I165" s="9">
        <f t="shared" si="15"/>
        <v>401.96562948708998</v>
      </c>
      <c r="J165" s="9">
        <f t="shared" si="16"/>
        <v>2246.3395025249902</v>
      </c>
      <c r="K165" s="9">
        <f t="shared" si="17"/>
        <v>401.96562948708998</v>
      </c>
      <c r="L165" s="10">
        <f t="shared" si="14"/>
        <v>0.17894251026403707</v>
      </c>
      <c r="M165" s="10">
        <f t="shared" si="18"/>
        <v>0.201379579808355</v>
      </c>
      <c r="P165" s="8">
        <f t="shared" si="19"/>
        <v>-16.456403355404142</v>
      </c>
    </row>
    <row r="166" spans="1:16" x14ac:dyDescent="0.2">
      <c r="A166" s="8">
        <v>82</v>
      </c>
      <c r="B166" s="8">
        <v>164</v>
      </c>
      <c r="D166">
        <v>2444.2583518931001</v>
      </c>
      <c r="E166">
        <v>578.67928730512006</v>
      </c>
      <c r="F166">
        <v>125.0936123348</v>
      </c>
      <c r="G166">
        <v>110.9063876652</v>
      </c>
      <c r="I166" s="9">
        <f t="shared" si="15"/>
        <v>467.77289963992007</v>
      </c>
      <c r="J166" s="9">
        <f t="shared" si="16"/>
        <v>2319.1647395583</v>
      </c>
      <c r="K166" s="9">
        <f t="shared" si="17"/>
        <v>467.77289963992007</v>
      </c>
      <c r="L166" s="10">
        <f t="shared" si="14"/>
        <v>0.20169886669155312</v>
      </c>
      <c r="M166" s="10">
        <f t="shared" si="18"/>
        <v>0.22427358696927177</v>
      </c>
      <c r="P166" s="8">
        <f t="shared" si="19"/>
        <v>-6.9586791986137113</v>
      </c>
    </row>
    <row r="167" spans="1:16" x14ac:dyDescent="0.2">
      <c r="A167" s="8">
        <v>82.5</v>
      </c>
      <c r="B167" s="8">
        <v>165</v>
      </c>
      <c r="D167">
        <v>2582.0322939866001</v>
      </c>
      <c r="E167">
        <v>641.74610244989003</v>
      </c>
      <c r="F167">
        <v>125.96255506608</v>
      </c>
      <c r="G167">
        <v>110.67621145375</v>
      </c>
      <c r="I167" s="9">
        <f t="shared" si="15"/>
        <v>531.06989099613997</v>
      </c>
      <c r="J167" s="9">
        <f t="shared" si="16"/>
        <v>2456.0697389205202</v>
      </c>
      <c r="K167" s="9">
        <f t="shared" si="17"/>
        <v>531.06989099613997</v>
      </c>
      <c r="L167" s="10">
        <f t="shared" si="14"/>
        <v>0.21622752912120208</v>
      </c>
      <c r="M167" s="10">
        <f t="shared" si="18"/>
        <v>0.23893990013232144</v>
      </c>
      <c r="P167" s="8">
        <f t="shared" si="19"/>
        <v>-0.87426611004139421</v>
      </c>
    </row>
    <row r="168" spans="1:16" x14ac:dyDescent="0.2">
      <c r="A168" s="8">
        <v>83</v>
      </c>
      <c r="B168" s="8">
        <v>166</v>
      </c>
      <c r="D168">
        <v>2525.5122222221999</v>
      </c>
      <c r="E168">
        <v>656.75555555556002</v>
      </c>
      <c r="F168">
        <v>124.99559471366</v>
      </c>
      <c r="G168">
        <v>110.53854625551</v>
      </c>
      <c r="I168" s="9">
        <f t="shared" si="15"/>
        <v>546.21700930004999</v>
      </c>
      <c r="J168" s="9">
        <f t="shared" si="16"/>
        <v>2400.5166275085398</v>
      </c>
      <c r="K168" s="9">
        <f t="shared" si="17"/>
        <v>546.21700930004999</v>
      </c>
      <c r="L168" s="10">
        <f t="shared" si="14"/>
        <v>0.22754143963874995</v>
      </c>
      <c r="M168" s="10">
        <f t="shared" si="18"/>
        <v>0.25039146138327006</v>
      </c>
      <c r="P168" s="8">
        <f t="shared" si="19"/>
        <v>3.8764867468798156</v>
      </c>
    </row>
    <row r="169" spans="1:16" x14ac:dyDescent="0.2">
      <c r="A169" s="8">
        <v>83.5</v>
      </c>
      <c r="B169" s="8">
        <v>167</v>
      </c>
      <c r="D169">
        <v>2474.0155555555998</v>
      </c>
      <c r="E169">
        <v>671.45</v>
      </c>
      <c r="F169">
        <v>125.29185022026</v>
      </c>
      <c r="G169">
        <v>110.66629955947</v>
      </c>
      <c r="I169" s="9">
        <f t="shared" si="15"/>
        <v>560.78370044053008</v>
      </c>
      <c r="J169" s="9">
        <f t="shared" si="16"/>
        <v>2348.7237053353397</v>
      </c>
      <c r="K169" s="9">
        <f t="shared" si="17"/>
        <v>560.78370044053008</v>
      </c>
      <c r="L169" s="10">
        <f t="shared" si="14"/>
        <v>0.23876103398908047</v>
      </c>
      <c r="M169" s="10">
        <f t="shared" si="18"/>
        <v>0.26174870646700127</v>
      </c>
      <c r="P169" s="8">
        <f t="shared" si="19"/>
        <v>8.5881119432975375</v>
      </c>
    </row>
    <row r="170" spans="1:16" x14ac:dyDescent="0.2">
      <c r="A170" s="8">
        <v>84</v>
      </c>
      <c r="B170" s="8">
        <v>168</v>
      </c>
      <c r="D170">
        <v>2297.9355555555999</v>
      </c>
      <c r="E170">
        <v>656.48555555556004</v>
      </c>
      <c r="F170">
        <v>125.4922907489</v>
      </c>
      <c r="G170">
        <v>111.22577092511</v>
      </c>
      <c r="I170" s="9">
        <f t="shared" si="15"/>
        <v>545.25978463044999</v>
      </c>
      <c r="J170" s="9">
        <f t="shared" si="16"/>
        <v>2172.4432648067</v>
      </c>
      <c r="K170" s="9">
        <f t="shared" si="17"/>
        <v>545.25978463044999</v>
      </c>
      <c r="L170" s="10">
        <f t="shared" si="14"/>
        <v>0.25098919426969074</v>
      </c>
      <c r="M170" s="10">
        <f t="shared" si="18"/>
        <v>0.27411451748101229</v>
      </c>
      <c r="P170" s="8">
        <f t="shared" si="19"/>
        <v>13.718147116282719</v>
      </c>
    </row>
    <row r="171" spans="1:16" x14ac:dyDescent="0.2">
      <c r="A171" s="8">
        <v>84.5</v>
      </c>
      <c r="B171" s="8">
        <v>169</v>
      </c>
      <c r="D171">
        <v>2202.1377777777998</v>
      </c>
      <c r="E171">
        <v>655.02666666667005</v>
      </c>
      <c r="F171">
        <v>126.16850220264</v>
      </c>
      <c r="G171">
        <v>110.75550660793</v>
      </c>
      <c r="I171" s="9">
        <f t="shared" si="15"/>
        <v>544.27116005874007</v>
      </c>
      <c r="J171" s="9">
        <f t="shared" si="16"/>
        <v>2075.9692755751598</v>
      </c>
      <c r="K171" s="9">
        <f t="shared" si="17"/>
        <v>544.27116005874007</v>
      </c>
      <c r="L171" s="10">
        <f t="shared" si="14"/>
        <v>0.26217688597917543</v>
      </c>
      <c r="M171" s="10">
        <f t="shared" si="18"/>
        <v>0.2854398599238977</v>
      </c>
      <c r="P171" s="8">
        <f t="shared" si="19"/>
        <v>18.416537299690408</v>
      </c>
    </row>
    <row r="172" spans="1:16" x14ac:dyDescent="0.2">
      <c r="A172" s="8">
        <v>85</v>
      </c>
      <c r="B172" s="8">
        <v>170</v>
      </c>
      <c r="D172">
        <v>2353.4044444443998</v>
      </c>
      <c r="E172">
        <v>689.85111111110996</v>
      </c>
      <c r="F172">
        <v>125.67290748899001</v>
      </c>
      <c r="G172">
        <v>110.46475770924999</v>
      </c>
      <c r="I172" s="9">
        <f t="shared" si="15"/>
        <v>579.38635340185999</v>
      </c>
      <c r="J172" s="9">
        <f t="shared" si="16"/>
        <v>2227.7315369554099</v>
      </c>
      <c r="K172" s="9">
        <f t="shared" si="17"/>
        <v>579.38635340185999</v>
      </c>
      <c r="L172" s="10">
        <f t="shared" si="14"/>
        <v>0.26007907316951401</v>
      </c>
      <c r="M172" s="10">
        <f t="shared" si="18"/>
        <v>0.28347969784763699</v>
      </c>
      <c r="P172" s="8">
        <f t="shared" si="19"/>
        <v>17.603351623103929</v>
      </c>
    </row>
    <row r="173" spans="1:16" x14ac:dyDescent="0.2">
      <c r="A173" s="8">
        <v>85.5</v>
      </c>
      <c r="B173" s="8">
        <v>171</v>
      </c>
      <c r="D173">
        <v>2385.7008928570999</v>
      </c>
      <c r="E173">
        <v>702.77008928571001</v>
      </c>
      <c r="F173">
        <v>125.61453744492999</v>
      </c>
      <c r="G173">
        <v>110.93392070485</v>
      </c>
      <c r="I173" s="9">
        <f t="shared" si="15"/>
        <v>591.83616858085998</v>
      </c>
      <c r="J173" s="9">
        <f t="shared" si="16"/>
        <v>2260.0863554121697</v>
      </c>
      <c r="K173" s="9">
        <f t="shared" si="17"/>
        <v>591.83616858085998</v>
      </c>
      <c r="L173" s="10">
        <f t="shared" si="14"/>
        <v>0.26186440494346835</v>
      </c>
      <c r="M173" s="10">
        <f t="shared" si="18"/>
        <v>0.28540268035499206</v>
      </c>
      <c r="P173" s="8">
        <f t="shared" si="19"/>
        <v>18.401113119587198</v>
      </c>
    </row>
    <row r="174" spans="1:16" x14ac:dyDescent="0.2">
      <c r="A174" s="8">
        <v>86</v>
      </c>
      <c r="B174" s="8">
        <v>172</v>
      </c>
      <c r="D174">
        <v>2339.2399103139001</v>
      </c>
      <c r="E174">
        <v>707.50896860986995</v>
      </c>
      <c r="F174">
        <v>125.24559471366</v>
      </c>
      <c r="G174">
        <v>110.82929515419001</v>
      </c>
      <c r="I174" s="9">
        <f t="shared" si="15"/>
        <v>596.6796734556799</v>
      </c>
      <c r="J174" s="9">
        <f t="shared" si="16"/>
        <v>2213.99431560024</v>
      </c>
      <c r="K174" s="9">
        <f t="shared" si="17"/>
        <v>596.6796734556799</v>
      </c>
      <c r="L174" s="10">
        <f t="shared" si="14"/>
        <v>0.26950370615288277</v>
      </c>
      <c r="M174" s="10">
        <f t="shared" si="18"/>
        <v>0.29317963229780719</v>
      </c>
      <c r="P174" s="8">
        <f t="shared" si="19"/>
        <v>21.627430985843855</v>
      </c>
    </row>
    <row r="175" spans="1:16" x14ac:dyDescent="0.2">
      <c r="A175" s="8">
        <v>86.5</v>
      </c>
      <c r="B175" s="8">
        <v>173</v>
      </c>
      <c r="D175">
        <v>2431.3418423972998</v>
      </c>
      <c r="E175">
        <v>729.27746947835999</v>
      </c>
      <c r="F175">
        <v>125.63766519824</v>
      </c>
      <c r="G175">
        <v>110.77753303965</v>
      </c>
      <c r="I175" s="9">
        <f t="shared" si="15"/>
        <v>618.49993643870994</v>
      </c>
      <c r="J175" s="9">
        <f t="shared" si="16"/>
        <v>2305.7041771990598</v>
      </c>
      <c r="K175" s="9">
        <f t="shared" si="17"/>
        <v>618.49993643870994</v>
      </c>
      <c r="L175" s="10">
        <f t="shared" si="14"/>
        <v>0.26824774077915575</v>
      </c>
      <c r="M175" s="10">
        <f t="shared" si="18"/>
        <v>0.29206131765748089</v>
      </c>
      <c r="P175" s="8">
        <f t="shared" si="19"/>
        <v>21.163491060444869</v>
      </c>
    </row>
    <row r="176" spans="1:16" x14ac:dyDescent="0.2">
      <c r="A176" s="8">
        <v>87</v>
      </c>
      <c r="B176" s="8">
        <v>174</v>
      </c>
      <c r="D176">
        <v>2385.8688340806998</v>
      </c>
      <c r="E176">
        <v>725.12780269057998</v>
      </c>
      <c r="F176">
        <v>126.02422907489</v>
      </c>
      <c r="G176">
        <v>110.91740088106</v>
      </c>
      <c r="I176" s="9">
        <f t="shared" si="15"/>
        <v>614.21040180952002</v>
      </c>
      <c r="J176" s="9">
        <f t="shared" si="16"/>
        <v>2259.8446050058096</v>
      </c>
      <c r="K176" s="9">
        <f t="shared" si="17"/>
        <v>614.21040180952002</v>
      </c>
      <c r="L176" s="10">
        <f t="shared" si="14"/>
        <v>0.27179320226221526</v>
      </c>
      <c r="M176" s="10">
        <f t="shared" si="18"/>
        <v>0.29574442987394112</v>
      </c>
      <c r="P176" s="8">
        <f t="shared" si="19"/>
        <v>22.691453536588494</v>
      </c>
    </row>
    <row r="177" spans="1:16" x14ac:dyDescent="0.2">
      <c r="A177" s="8">
        <v>87.5</v>
      </c>
      <c r="B177" s="8">
        <v>175</v>
      </c>
      <c r="D177">
        <v>2306.4823399559</v>
      </c>
      <c r="E177">
        <v>714.90838852096999</v>
      </c>
      <c r="F177">
        <v>126.06497797357</v>
      </c>
      <c r="G177">
        <v>111.26762114537</v>
      </c>
      <c r="I177" s="9">
        <f t="shared" si="15"/>
        <v>603.64076737560003</v>
      </c>
      <c r="J177" s="9">
        <f t="shared" si="16"/>
        <v>2180.41736198233</v>
      </c>
      <c r="K177" s="9">
        <f t="shared" si="17"/>
        <v>603.64076737560003</v>
      </c>
      <c r="L177" s="10">
        <f t="shared" si="14"/>
        <v>0.27684643220176847</v>
      </c>
      <c r="M177" s="10">
        <f t="shared" si="18"/>
        <v>0.3009353105468951</v>
      </c>
      <c r="P177" s="8">
        <f t="shared" si="19"/>
        <v>24.844923325254243</v>
      </c>
    </row>
    <row r="178" spans="1:16" x14ac:dyDescent="0.2">
      <c r="A178" s="8">
        <v>88</v>
      </c>
      <c r="B178" s="8">
        <v>176</v>
      </c>
      <c r="D178">
        <v>2337.4356435643999</v>
      </c>
      <c r="E178">
        <v>730.63146314632002</v>
      </c>
      <c r="F178">
        <v>125.44713656387999</v>
      </c>
      <c r="G178">
        <v>111.25991189427</v>
      </c>
      <c r="I178" s="9">
        <f t="shared" si="15"/>
        <v>619.37155125205004</v>
      </c>
      <c r="J178" s="9">
        <f t="shared" si="16"/>
        <v>2211.9885070005198</v>
      </c>
      <c r="K178" s="9">
        <f t="shared" si="17"/>
        <v>619.37155125205004</v>
      </c>
      <c r="L178" s="10">
        <f t="shared" si="14"/>
        <v>0.280006676929766</v>
      </c>
      <c r="M178" s="10">
        <f t="shared" si="18"/>
        <v>0.30423320600829334</v>
      </c>
      <c r="P178" s="8">
        <f t="shared" si="19"/>
        <v>26.213076185962851</v>
      </c>
    </row>
    <row r="179" spans="1:16" x14ac:dyDescent="0.2">
      <c r="A179" s="8">
        <v>88.5</v>
      </c>
      <c r="B179" s="8">
        <v>177</v>
      </c>
      <c r="D179">
        <v>2254.2739273927</v>
      </c>
      <c r="E179">
        <v>712.09570957096003</v>
      </c>
      <c r="F179">
        <v>125.90198237886</v>
      </c>
      <c r="G179">
        <v>111.17290748899001</v>
      </c>
      <c r="I179" s="9">
        <f t="shared" si="15"/>
        <v>600.92280208197008</v>
      </c>
      <c r="J179" s="9">
        <f t="shared" si="16"/>
        <v>2128.3719450138401</v>
      </c>
      <c r="K179" s="9">
        <f t="shared" si="17"/>
        <v>600.92280208197008</v>
      </c>
      <c r="L179" s="10">
        <f t="shared" si="14"/>
        <v>0.2823391858221766</v>
      </c>
      <c r="M179" s="10">
        <f t="shared" si="18"/>
        <v>0.30670336563410466</v>
      </c>
      <c r="P179" s="8">
        <f t="shared" si="19"/>
        <v>27.237837582440772</v>
      </c>
    </row>
    <row r="180" spans="1:16" x14ac:dyDescent="0.2">
      <c r="A180" s="8">
        <v>89</v>
      </c>
      <c r="B180" s="8">
        <v>178</v>
      </c>
      <c r="D180">
        <v>2324.095709571</v>
      </c>
      <c r="E180">
        <v>733.88558855886004</v>
      </c>
      <c r="F180">
        <v>125.41850220264</v>
      </c>
      <c r="G180">
        <v>110.97246696035</v>
      </c>
      <c r="I180" s="9">
        <f t="shared" si="15"/>
        <v>622.91312159851009</v>
      </c>
      <c r="J180" s="9">
        <f t="shared" si="16"/>
        <v>2198.6772073683601</v>
      </c>
      <c r="K180" s="9">
        <f t="shared" si="17"/>
        <v>622.91312159851009</v>
      </c>
      <c r="L180" s="10">
        <f t="shared" si="14"/>
        <v>0.2833126752353462</v>
      </c>
      <c r="M180" s="10">
        <f t="shared" si="18"/>
        <v>0.30781450578067499</v>
      </c>
      <c r="P180" s="8">
        <f t="shared" si="19"/>
        <v>27.698801123575528</v>
      </c>
    </row>
    <row r="181" spans="1:16" x14ac:dyDescent="0.2">
      <c r="A181" s="8">
        <v>89.5</v>
      </c>
      <c r="B181" s="8">
        <v>179</v>
      </c>
      <c r="D181">
        <v>2391.6336633663</v>
      </c>
      <c r="E181">
        <v>759.32563256326</v>
      </c>
      <c r="F181">
        <v>125.37004405286</v>
      </c>
      <c r="G181">
        <v>110.97026431718</v>
      </c>
      <c r="I181" s="9">
        <f t="shared" si="15"/>
        <v>648.35536824608005</v>
      </c>
      <c r="J181" s="9">
        <f t="shared" si="16"/>
        <v>2266.2636193134399</v>
      </c>
      <c r="K181" s="9">
        <f t="shared" si="17"/>
        <v>648.35536824608005</v>
      </c>
      <c r="L181" s="10">
        <f t="shared" si="14"/>
        <v>0.28609000414633934</v>
      </c>
      <c r="M181" s="10">
        <f t="shared" si="18"/>
        <v>0.31072948542506884</v>
      </c>
      <c r="P181" s="8">
        <f t="shared" si="19"/>
        <v>28.908098927604136</v>
      </c>
    </row>
    <row r="182" spans="1:16" x14ac:dyDescent="0.2">
      <c r="A182" s="8">
        <v>90</v>
      </c>
      <c r="B182" s="8">
        <v>180</v>
      </c>
      <c r="D182">
        <v>2401.8974358974001</v>
      </c>
      <c r="E182">
        <v>766.90858416945002</v>
      </c>
      <c r="F182">
        <v>126.13986784140999</v>
      </c>
      <c r="G182">
        <v>111.21696035242</v>
      </c>
      <c r="I182" s="9">
        <f t="shared" si="15"/>
        <v>655.69162381703006</v>
      </c>
      <c r="J182" s="9">
        <f t="shared" si="16"/>
        <v>2275.7575680559903</v>
      </c>
      <c r="K182" s="9">
        <f t="shared" si="17"/>
        <v>655.69162381703006</v>
      </c>
      <c r="L182" s="10">
        <f t="shared" si="14"/>
        <v>0.28812015524884682</v>
      </c>
      <c r="M182" s="10">
        <f>L182+ABS($N$2)*A182</f>
        <v>0.31289728726097704</v>
      </c>
      <c r="P182" s="8">
        <f t="shared" si="19"/>
        <v>29.807425276168775</v>
      </c>
    </row>
    <row r="183" spans="1:16" x14ac:dyDescent="0.2">
      <c r="A183" s="8">
        <v>90.5</v>
      </c>
      <c r="B183" s="8">
        <v>181</v>
      </c>
      <c r="D183">
        <v>2382.7911602210002</v>
      </c>
      <c r="E183">
        <v>766.74917127072001</v>
      </c>
      <c r="F183">
        <v>125.8436123348</v>
      </c>
      <c r="G183">
        <v>110.86674008811001</v>
      </c>
      <c r="I183" s="9">
        <f t="shared" si="15"/>
        <v>655.88243118261005</v>
      </c>
      <c r="J183" s="9">
        <f t="shared" si="16"/>
        <v>2256.9475478862</v>
      </c>
      <c r="K183" s="9">
        <f t="shared" si="17"/>
        <v>655.88243118261005</v>
      </c>
      <c r="L183" s="10">
        <f t="shared" si="14"/>
        <v>0.29060596990696258</v>
      </c>
      <c r="M183" s="10">
        <f t="shared" ref="M183:M241" si="20">L183+ABS($N$2)*A183</f>
        <v>0.31552075265249352</v>
      </c>
      <c r="P183" s="8">
        <f t="shared" si="19"/>
        <v>30.895786542432656</v>
      </c>
    </row>
    <row r="184" spans="1:16" x14ac:dyDescent="0.2">
      <c r="A184" s="8">
        <v>91</v>
      </c>
      <c r="B184" s="8">
        <v>182</v>
      </c>
      <c r="D184">
        <v>2370.4276243094</v>
      </c>
      <c r="E184">
        <v>755.48508287292998</v>
      </c>
      <c r="F184">
        <v>125.98017621145</v>
      </c>
      <c r="G184">
        <v>111.44713656387999</v>
      </c>
      <c r="I184" s="9">
        <f t="shared" si="15"/>
        <v>644.03794630904997</v>
      </c>
      <c r="J184" s="9">
        <f t="shared" si="16"/>
        <v>2244.4474480979502</v>
      </c>
      <c r="K184" s="9">
        <f t="shared" si="17"/>
        <v>644.03794630904997</v>
      </c>
      <c r="L184" s="10">
        <f t="shared" si="14"/>
        <v>0.286947215830265</v>
      </c>
      <c r="M184" s="10">
        <f t="shared" si="20"/>
        <v>0.31199964930919666</v>
      </c>
      <c r="P184" s="8">
        <f t="shared" si="19"/>
        <v>29.435034475434218</v>
      </c>
    </row>
    <row r="185" spans="1:16" x14ac:dyDescent="0.2">
      <c r="A185" s="8">
        <v>91.5</v>
      </c>
      <c r="B185" s="8">
        <v>183</v>
      </c>
      <c r="D185">
        <v>2380.6540600666999</v>
      </c>
      <c r="E185">
        <v>772.90211345939997</v>
      </c>
      <c r="F185">
        <v>126.03083700441</v>
      </c>
      <c r="G185">
        <v>111.36894273128</v>
      </c>
      <c r="I185" s="9">
        <f t="shared" si="15"/>
        <v>661.53317072812001</v>
      </c>
      <c r="J185" s="9">
        <f t="shared" si="16"/>
        <v>2254.62322306229</v>
      </c>
      <c r="K185" s="9">
        <f t="shared" si="17"/>
        <v>661.53317072812001</v>
      </c>
      <c r="L185" s="10">
        <f t="shared" si="14"/>
        <v>0.29341184990971919</v>
      </c>
      <c r="M185" s="10">
        <f t="shared" si="20"/>
        <v>0.31860193412205157</v>
      </c>
      <c r="P185" s="8">
        <f t="shared" si="19"/>
        <v>32.174034228352596</v>
      </c>
    </row>
    <row r="186" spans="1:16" x14ac:dyDescent="0.2">
      <c r="A186" s="8">
        <v>92</v>
      </c>
      <c r="B186" s="8">
        <v>184</v>
      </c>
      <c r="D186">
        <v>2279.5916114790002</v>
      </c>
      <c r="E186">
        <v>741.49227373068004</v>
      </c>
      <c r="F186">
        <v>126.34581497796999</v>
      </c>
      <c r="G186">
        <v>111.26762114537</v>
      </c>
      <c r="I186" s="9">
        <f t="shared" si="15"/>
        <v>630.22465258531008</v>
      </c>
      <c r="J186" s="9">
        <f t="shared" si="16"/>
        <v>2153.2457965010303</v>
      </c>
      <c r="K186" s="9">
        <f t="shared" si="17"/>
        <v>630.22465258531008</v>
      </c>
      <c r="L186" s="10">
        <f t="shared" si="14"/>
        <v>0.29268588547085944</v>
      </c>
      <c r="M186" s="10">
        <f t="shared" si="20"/>
        <v>0.31801362041659254</v>
      </c>
      <c r="P186" s="8">
        <f t="shared" si="19"/>
        <v>31.929968554185777</v>
      </c>
    </row>
    <row r="187" spans="1:16" x14ac:dyDescent="0.2">
      <c r="A187" s="8">
        <v>92.5</v>
      </c>
      <c r="B187" s="8">
        <v>185</v>
      </c>
      <c r="D187">
        <v>2334.5230769230998</v>
      </c>
      <c r="E187">
        <v>754.30769230768999</v>
      </c>
      <c r="F187">
        <v>126.30066079295</v>
      </c>
      <c r="G187">
        <v>111.67841409691999</v>
      </c>
      <c r="I187" s="9">
        <f t="shared" si="15"/>
        <v>642.62927821077005</v>
      </c>
      <c r="J187" s="9">
        <f t="shared" si="16"/>
        <v>2208.2224161301497</v>
      </c>
      <c r="K187" s="9">
        <f t="shared" si="17"/>
        <v>642.62927821077005</v>
      </c>
      <c r="L187" s="10">
        <f t="shared" si="14"/>
        <v>0.29101655409193816</v>
      </c>
      <c r="M187" s="10">
        <f t="shared" si="20"/>
        <v>0.31648193977107197</v>
      </c>
      <c r="P187" s="8">
        <f t="shared" si="19"/>
        <v>31.294541118298387</v>
      </c>
    </row>
    <row r="188" spans="1:16" x14ac:dyDescent="0.2">
      <c r="A188" s="8">
        <v>93</v>
      </c>
      <c r="B188" s="8">
        <v>186</v>
      </c>
      <c r="D188">
        <v>2325.4046822742998</v>
      </c>
      <c r="E188">
        <v>769.41137123746</v>
      </c>
      <c r="F188">
        <v>126.50660792952</v>
      </c>
      <c r="G188">
        <v>111.53414096916001</v>
      </c>
      <c r="I188" s="9">
        <f t="shared" si="15"/>
        <v>657.87723026829997</v>
      </c>
      <c r="J188" s="9">
        <f t="shared" si="16"/>
        <v>2198.8980743447796</v>
      </c>
      <c r="K188" s="9">
        <f t="shared" si="17"/>
        <v>657.87723026829997</v>
      </c>
      <c r="L188" s="10">
        <f t="shared" si="14"/>
        <v>0.29918495902286513</v>
      </c>
      <c r="M188" s="10">
        <f t="shared" si="20"/>
        <v>0.32478799543539971</v>
      </c>
      <c r="P188" s="8">
        <f t="shared" si="19"/>
        <v>34.740361021133275</v>
      </c>
    </row>
    <row r="189" spans="1:16" x14ac:dyDescent="0.2">
      <c r="A189" s="8">
        <v>93.5</v>
      </c>
      <c r="B189" s="8">
        <v>187</v>
      </c>
      <c r="D189">
        <v>2367.9765886288001</v>
      </c>
      <c r="E189">
        <v>796.80602006689003</v>
      </c>
      <c r="F189">
        <v>126.36784140969</v>
      </c>
      <c r="G189">
        <v>111.28303964758</v>
      </c>
      <c r="I189" s="9">
        <f t="shared" si="15"/>
        <v>685.52298041930999</v>
      </c>
      <c r="J189" s="9">
        <f t="shared" si="16"/>
        <v>2241.6087472191102</v>
      </c>
      <c r="K189" s="9">
        <f t="shared" si="17"/>
        <v>685.52298041930999</v>
      </c>
      <c r="L189" s="10">
        <f t="shared" si="14"/>
        <v>0.30581740960359588</v>
      </c>
      <c r="M189" s="10">
        <f t="shared" si="20"/>
        <v>0.33155809674953118</v>
      </c>
      <c r="P189" s="8">
        <f t="shared" si="19"/>
        <v>37.548980514575</v>
      </c>
    </row>
    <row r="190" spans="1:16" x14ac:dyDescent="0.2">
      <c r="A190" s="8">
        <v>94</v>
      </c>
      <c r="B190" s="8">
        <v>188</v>
      </c>
      <c r="D190">
        <v>2365.1126914660999</v>
      </c>
      <c r="E190">
        <v>773.04157549234003</v>
      </c>
      <c r="F190">
        <v>125.61563876651999</v>
      </c>
      <c r="G190">
        <v>111.30176211454</v>
      </c>
      <c r="I190" s="9">
        <f t="shared" si="15"/>
        <v>661.73981337780003</v>
      </c>
      <c r="J190" s="9">
        <f t="shared" si="16"/>
        <v>2239.4970526995799</v>
      </c>
      <c r="K190" s="9">
        <f t="shared" si="17"/>
        <v>661.73981337780003</v>
      </c>
      <c r="L190" s="10">
        <f t="shared" si="14"/>
        <v>0.29548590500715877</v>
      </c>
      <c r="M190" s="10">
        <f t="shared" si="20"/>
        <v>0.32136424288649479</v>
      </c>
      <c r="P190" s="8">
        <f t="shared" si="19"/>
        <v>33.31999554897952</v>
      </c>
    </row>
    <row r="191" spans="1:16" x14ac:dyDescent="0.2">
      <c r="A191" s="8">
        <v>94.5</v>
      </c>
      <c r="B191" s="8">
        <v>189</v>
      </c>
      <c r="D191">
        <v>2340.2921225383002</v>
      </c>
      <c r="E191">
        <v>766.63238512035002</v>
      </c>
      <c r="F191">
        <v>126.27643171806</v>
      </c>
      <c r="G191">
        <v>111.09581497796999</v>
      </c>
      <c r="I191" s="9">
        <f t="shared" si="15"/>
        <v>655.53657014238001</v>
      </c>
      <c r="J191" s="9">
        <f t="shared" si="16"/>
        <v>2214.0156908202403</v>
      </c>
      <c r="K191" s="9">
        <f t="shared" si="17"/>
        <v>655.53657014238001</v>
      </c>
      <c r="L191" s="10">
        <f t="shared" si="14"/>
        <v>0.29608488000350136</v>
      </c>
      <c r="M191" s="10">
        <f t="shared" si="20"/>
        <v>0.3221008686162381</v>
      </c>
      <c r="P191" s="8">
        <f t="shared" si="19"/>
        <v>33.625589407613404</v>
      </c>
    </row>
    <row r="192" spans="1:16" x14ac:dyDescent="0.2">
      <c r="A192" s="8">
        <v>95</v>
      </c>
      <c r="B192" s="8">
        <v>190</v>
      </c>
      <c r="D192">
        <v>2352.0680570801001</v>
      </c>
      <c r="E192">
        <v>770.19429198682997</v>
      </c>
      <c r="F192">
        <v>126.66189427313</v>
      </c>
      <c r="G192">
        <v>111.28964757708999</v>
      </c>
      <c r="I192" s="9">
        <f t="shared" si="15"/>
        <v>658.90464440973994</v>
      </c>
      <c r="J192" s="9">
        <f t="shared" si="16"/>
        <v>2225.4061628069699</v>
      </c>
      <c r="K192" s="9">
        <f t="shared" si="17"/>
        <v>658.90464440973994</v>
      </c>
      <c r="L192" s="10">
        <f t="shared" si="14"/>
        <v>0.29608287036405267</v>
      </c>
      <c r="M192" s="10">
        <f t="shared" si="20"/>
        <v>0.32223650971019013</v>
      </c>
      <c r="P192" s="8">
        <f t="shared" si="19"/>
        <v>33.681860976222019</v>
      </c>
    </row>
    <row r="193" spans="1:16" x14ac:dyDescent="0.2">
      <c r="A193" s="8">
        <v>95.5</v>
      </c>
      <c r="B193" s="8">
        <v>191</v>
      </c>
      <c r="D193">
        <v>2411.1833150384</v>
      </c>
      <c r="E193">
        <v>788.68386388583997</v>
      </c>
      <c r="F193">
        <v>125.37224669603999</v>
      </c>
      <c r="G193">
        <v>111.65418502203001</v>
      </c>
      <c r="I193" s="9">
        <f t="shared" si="15"/>
        <v>677.02967886380998</v>
      </c>
      <c r="J193" s="9">
        <f t="shared" si="16"/>
        <v>2285.8110683423602</v>
      </c>
      <c r="K193" s="9">
        <f t="shared" si="17"/>
        <v>677.02967886380998</v>
      </c>
      <c r="L193" s="10">
        <f t="shared" si="14"/>
        <v>0.29618794319461533</v>
      </c>
      <c r="M193" s="10">
        <f t="shared" si="20"/>
        <v>0.32247923327415351</v>
      </c>
      <c r="P193" s="8">
        <f t="shared" si="19"/>
        <v>33.782556387063543</v>
      </c>
    </row>
    <row r="194" spans="1:16" x14ac:dyDescent="0.2">
      <c r="A194" s="8">
        <v>96</v>
      </c>
      <c r="B194" s="8">
        <v>192</v>
      </c>
      <c r="D194">
        <v>2433.588963964</v>
      </c>
      <c r="E194">
        <v>800.08896396396005</v>
      </c>
      <c r="F194">
        <v>125.95925110132001</v>
      </c>
      <c r="G194">
        <v>111.58920704846</v>
      </c>
      <c r="I194" s="9">
        <f t="shared" si="15"/>
        <v>688.49975691550003</v>
      </c>
      <c r="J194" s="9">
        <f t="shared" si="16"/>
        <v>2307.6297128626798</v>
      </c>
      <c r="K194" s="9">
        <f t="shared" si="17"/>
        <v>688.49975691550003</v>
      </c>
      <c r="L194" s="10">
        <f t="shared" ref="L194:L257" si="21">K194/J194</f>
        <v>0.29835798745258685</v>
      </c>
      <c r="M194" s="10">
        <f t="shared" si="20"/>
        <v>0.32478692826552574</v>
      </c>
      <c r="P194" s="8">
        <f t="shared" si="19"/>
        <v>34.739918298938768</v>
      </c>
    </row>
    <row r="195" spans="1:16" x14ac:dyDescent="0.2">
      <c r="A195" s="8">
        <v>96.5</v>
      </c>
      <c r="B195" s="8">
        <v>193</v>
      </c>
      <c r="D195">
        <v>2411.4403153152998</v>
      </c>
      <c r="E195">
        <v>792.08896396396005</v>
      </c>
      <c r="F195">
        <v>126.26431718062</v>
      </c>
      <c r="G195">
        <v>111.56828193833</v>
      </c>
      <c r="I195" s="9">
        <f t="shared" ref="I195:I241" si="22">E195-G195</f>
        <v>680.52068202563009</v>
      </c>
      <c r="J195" s="9">
        <f t="shared" ref="J195:J241" si="23">D195-F195</f>
        <v>2285.17599813468</v>
      </c>
      <c r="K195" s="9">
        <f t="shared" ref="K195:K258" si="24">I195*1</f>
        <v>680.52068202563009</v>
      </c>
      <c r="L195" s="10">
        <f t="shared" si="21"/>
        <v>0.29779793004176419</v>
      </c>
      <c r="M195" s="10">
        <f t="shared" si="20"/>
        <v>0.3243645215881038</v>
      </c>
      <c r="P195" s="8">
        <f t="shared" ref="P195:P241" si="25">(M195-$O$2)/$O$2*100</f>
        <v>34.564680208204315</v>
      </c>
    </row>
    <row r="196" spans="1:16" x14ac:dyDescent="0.2">
      <c r="A196" s="8">
        <v>97</v>
      </c>
      <c r="B196" s="8">
        <v>194</v>
      </c>
      <c r="D196">
        <v>2330.2323008849999</v>
      </c>
      <c r="E196">
        <v>760.34513274335995</v>
      </c>
      <c r="F196">
        <v>126.37334801762</v>
      </c>
      <c r="G196">
        <v>111.3359030837</v>
      </c>
      <c r="I196" s="9">
        <f t="shared" si="22"/>
        <v>649.00922965965992</v>
      </c>
      <c r="J196" s="9">
        <f t="shared" si="23"/>
        <v>2203.8589528673797</v>
      </c>
      <c r="K196" s="9">
        <f t="shared" si="24"/>
        <v>649.00922965965992</v>
      </c>
      <c r="L196" s="10">
        <f t="shared" si="21"/>
        <v>0.29448764351060308</v>
      </c>
      <c r="M196" s="10">
        <f t="shared" si="20"/>
        <v>0.32119188579034341</v>
      </c>
      <c r="P196" s="8">
        <f t="shared" si="25"/>
        <v>33.248492113857608</v>
      </c>
    </row>
    <row r="197" spans="1:16" x14ac:dyDescent="0.2">
      <c r="A197" s="8">
        <v>97.5</v>
      </c>
      <c r="B197" s="8">
        <v>195</v>
      </c>
      <c r="D197">
        <v>2274.9391592920001</v>
      </c>
      <c r="E197">
        <v>750.20796460176996</v>
      </c>
      <c r="F197">
        <v>126.34030837004001</v>
      </c>
      <c r="G197">
        <v>111.37555066079</v>
      </c>
      <c r="I197" s="9">
        <f t="shared" si="22"/>
        <v>638.8324139409799</v>
      </c>
      <c r="J197" s="9">
        <f t="shared" si="23"/>
        <v>2148.5988509219601</v>
      </c>
      <c r="K197" s="9">
        <f t="shared" si="24"/>
        <v>638.8324139409799</v>
      </c>
      <c r="L197" s="10">
        <f t="shared" si="21"/>
        <v>0.29732512128397443</v>
      </c>
      <c r="M197" s="10">
        <f t="shared" si="20"/>
        <v>0.32416701429711547</v>
      </c>
      <c r="P197" s="8">
        <f t="shared" si="25"/>
        <v>34.482743055150372</v>
      </c>
    </row>
    <row r="198" spans="1:16" x14ac:dyDescent="0.2">
      <c r="A198" s="8">
        <v>98</v>
      </c>
      <c r="B198" s="8">
        <v>196</v>
      </c>
      <c r="D198">
        <v>2230.1349557521999</v>
      </c>
      <c r="E198">
        <v>732.77433628319</v>
      </c>
      <c r="F198">
        <v>126.20044052863</v>
      </c>
      <c r="G198">
        <v>111.45264317181</v>
      </c>
      <c r="I198" s="9">
        <f t="shared" si="22"/>
        <v>621.32169311138</v>
      </c>
      <c r="J198" s="9">
        <f t="shared" si="23"/>
        <v>2103.9345152235701</v>
      </c>
      <c r="K198" s="9">
        <f t="shared" si="24"/>
        <v>621.32169311138</v>
      </c>
      <c r="L198" s="10">
        <f t="shared" si="21"/>
        <v>0.29531417856194853</v>
      </c>
      <c r="M198" s="10">
        <f t="shared" si="20"/>
        <v>0.32229372230849035</v>
      </c>
      <c r="P198" s="8">
        <f t="shared" si="25"/>
        <v>33.705595985699802</v>
      </c>
    </row>
    <row r="199" spans="1:16" x14ac:dyDescent="0.2">
      <c r="A199" s="8">
        <v>98.5</v>
      </c>
      <c r="B199" s="8">
        <v>197</v>
      </c>
      <c r="D199">
        <v>2303.0579064588001</v>
      </c>
      <c r="E199">
        <v>739.38864142539001</v>
      </c>
      <c r="F199">
        <v>125.88656387665</v>
      </c>
      <c r="G199">
        <v>111.3204845815</v>
      </c>
      <c r="I199" s="9">
        <f t="shared" si="22"/>
        <v>628.06815684389005</v>
      </c>
      <c r="J199" s="9">
        <f t="shared" si="23"/>
        <v>2177.1713425821499</v>
      </c>
      <c r="K199" s="9">
        <f t="shared" si="24"/>
        <v>628.06815684389005</v>
      </c>
      <c r="L199" s="10">
        <f t="shared" si="21"/>
        <v>0.28847897478707124</v>
      </c>
      <c r="M199" s="10">
        <f t="shared" si="20"/>
        <v>0.31559616926701378</v>
      </c>
      <c r="P199" s="8">
        <f t="shared" si="25"/>
        <v>30.927073603562576</v>
      </c>
    </row>
    <row r="200" spans="1:16" x14ac:dyDescent="0.2">
      <c r="A200" s="8">
        <v>99</v>
      </c>
      <c r="B200" s="8">
        <v>198</v>
      </c>
      <c r="D200">
        <v>2308.9329608939001</v>
      </c>
      <c r="E200">
        <v>735.66703910615001</v>
      </c>
      <c r="F200">
        <v>126.36343612335</v>
      </c>
      <c r="G200">
        <v>111.23788546256</v>
      </c>
      <c r="I200" s="9">
        <f t="shared" si="22"/>
        <v>624.42915364358998</v>
      </c>
      <c r="J200" s="9">
        <f t="shared" si="23"/>
        <v>2182.5695247705503</v>
      </c>
      <c r="K200" s="9">
        <f t="shared" si="24"/>
        <v>624.42915364358998</v>
      </c>
      <c r="L200" s="10">
        <f t="shared" si="21"/>
        <v>0.28609817307388413</v>
      </c>
      <c r="M200" s="10">
        <f t="shared" si="20"/>
        <v>0.31335301828722739</v>
      </c>
      <c r="P200" s="8">
        <f t="shared" si="25"/>
        <v>29.996488184492055</v>
      </c>
    </row>
    <row r="201" spans="1:16" x14ac:dyDescent="0.2">
      <c r="A201" s="8">
        <v>99.5</v>
      </c>
      <c r="B201" s="8">
        <v>199</v>
      </c>
      <c r="D201">
        <v>2101.5482062780002</v>
      </c>
      <c r="E201">
        <v>662.86098654708996</v>
      </c>
      <c r="F201">
        <v>125.5936123348</v>
      </c>
      <c r="G201">
        <v>111.09030837004001</v>
      </c>
      <c r="I201" s="9">
        <f t="shared" si="22"/>
        <v>551.77067817704994</v>
      </c>
      <c r="J201" s="9">
        <f t="shared" si="23"/>
        <v>1975.9545939432003</v>
      </c>
      <c r="K201" s="9">
        <f t="shared" si="24"/>
        <v>551.77067817704994</v>
      </c>
      <c r="L201" s="10">
        <f t="shared" si="21"/>
        <v>0.27924258981879763</v>
      </c>
      <c r="M201" s="10">
        <f t="shared" si="20"/>
        <v>0.3066350857655416</v>
      </c>
      <c r="P201" s="8">
        <f t="shared" si="25"/>
        <v>27.209511245661211</v>
      </c>
    </row>
    <row r="202" spans="1:16" x14ac:dyDescent="0.2">
      <c r="A202" s="8">
        <v>100</v>
      </c>
      <c r="B202" s="8">
        <v>200</v>
      </c>
      <c r="D202">
        <v>2022.1703539823</v>
      </c>
      <c r="E202">
        <v>647.83517699114998</v>
      </c>
      <c r="F202">
        <v>126.16740088106</v>
      </c>
      <c r="G202">
        <v>111.49008810573</v>
      </c>
      <c r="I202" s="9">
        <f t="shared" si="22"/>
        <v>536.34508888541995</v>
      </c>
      <c r="J202" s="9">
        <f t="shared" si="23"/>
        <v>1896.0029531012399</v>
      </c>
      <c r="K202" s="9">
        <f t="shared" si="24"/>
        <v>536.34508888541995</v>
      </c>
      <c r="L202" s="10">
        <f t="shared" si="21"/>
        <v>0.28288199024591976</v>
      </c>
      <c r="M202" s="10">
        <f t="shared" si="20"/>
        <v>0.31041213692606445</v>
      </c>
      <c r="P202" s="8">
        <f t="shared" si="25"/>
        <v>28.776444888888687</v>
      </c>
    </row>
    <row r="203" spans="1:16" x14ac:dyDescent="0.2">
      <c r="A203" s="8">
        <v>100.5</v>
      </c>
      <c r="B203" s="8">
        <v>201</v>
      </c>
      <c r="D203">
        <v>2105.2112831857999</v>
      </c>
      <c r="E203">
        <v>672.51991150442996</v>
      </c>
      <c r="F203">
        <v>126.52533039648</v>
      </c>
      <c r="G203">
        <v>111.36674008811001</v>
      </c>
      <c r="I203" s="9">
        <f t="shared" si="22"/>
        <v>561.15317141631999</v>
      </c>
      <c r="J203" s="9">
        <f t="shared" si="23"/>
        <v>1978.6859527893198</v>
      </c>
      <c r="K203" s="9">
        <f t="shared" si="24"/>
        <v>561.15317141631999</v>
      </c>
      <c r="L203" s="10">
        <f t="shared" si="21"/>
        <v>0.28359890594324577</v>
      </c>
      <c r="M203" s="10">
        <f t="shared" si="20"/>
        <v>0.31126670335679119</v>
      </c>
      <c r="P203" s="8">
        <f t="shared" si="25"/>
        <v>29.130967195780915</v>
      </c>
    </row>
    <row r="204" spans="1:16" x14ac:dyDescent="0.2">
      <c r="A204" s="8">
        <v>101</v>
      </c>
      <c r="B204" s="8">
        <v>202</v>
      </c>
      <c r="D204">
        <v>2195.5984513274002</v>
      </c>
      <c r="E204">
        <v>700.03982300885002</v>
      </c>
      <c r="F204">
        <v>125.72466960352</v>
      </c>
      <c r="G204">
        <v>111.42180616740001</v>
      </c>
      <c r="I204" s="9">
        <f t="shared" si="22"/>
        <v>588.61801684145007</v>
      </c>
      <c r="J204" s="9">
        <f t="shared" si="23"/>
        <v>2069.8737817238803</v>
      </c>
      <c r="K204" s="9">
        <f t="shared" si="24"/>
        <v>588.61801684145007</v>
      </c>
      <c r="L204" s="10">
        <f t="shared" si="21"/>
        <v>0.2843738695753823</v>
      </c>
      <c r="M204" s="10">
        <f t="shared" si="20"/>
        <v>0.31217931772232843</v>
      </c>
      <c r="P204" s="8">
        <f t="shared" si="25"/>
        <v>29.509571056803296</v>
      </c>
    </row>
    <row r="205" spans="1:16" x14ac:dyDescent="0.2">
      <c r="A205" s="8">
        <v>101.5</v>
      </c>
      <c r="B205" s="8">
        <v>203</v>
      </c>
      <c r="D205">
        <v>2143.3748609566001</v>
      </c>
      <c r="E205">
        <v>662.76863181313001</v>
      </c>
      <c r="F205">
        <v>125.92180616740001</v>
      </c>
      <c r="G205">
        <v>111.0859030837</v>
      </c>
      <c r="I205" s="9">
        <f t="shared" si="22"/>
        <v>551.68272872942998</v>
      </c>
      <c r="J205" s="9">
        <f t="shared" si="23"/>
        <v>2017.4530547892</v>
      </c>
      <c r="K205" s="9">
        <f t="shared" si="24"/>
        <v>551.68272872942998</v>
      </c>
      <c r="L205" s="10">
        <f t="shared" si="21"/>
        <v>0.27345505136776244</v>
      </c>
      <c r="M205" s="10">
        <f t="shared" si="20"/>
        <v>0.30139815024810929</v>
      </c>
      <c r="P205" s="8">
        <f t="shared" si="25"/>
        <v>25.036935312498144</v>
      </c>
    </row>
    <row r="206" spans="1:16" x14ac:dyDescent="0.2">
      <c r="A206" s="8">
        <v>102</v>
      </c>
      <c r="B206" s="8">
        <v>204</v>
      </c>
      <c r="D206">
        <v>2152.3060538117002</v>
      </c>
      <c r="E206">
        <v>663.44282511210997</v>
      </c>
      <c r="F206">
        <v>125.83700440529</v>
      </c>
      <c r="G206">
        <v>110.7422907489</v>
      </c>
      <c r="I206" s="9">
        <f t="shared" si="22"/>
        <v>552.70053436320995</v>
      </c>
      <c r="J206" s="9">
        <f t="shared" si="23"/>
        <v>2026.4690494064102</v>
      </c>
      <c r="K206" s="9">
        <f t="shared" si="24"/>
        <v>552.70053436320995</v>
      </c>
      <c r="L206" s="10">
        <f t="shared" si="21"/>
        <v>0.27274067399406177</v>
      </c>
      <c r="M206" s="10">
        <f t="shared" si="20"/>
        <v>0.30082142360780934</v>
      </c>
      <c r="P206" s="8">
        <f t="shared" si="25"/>
        <v>24.797676605844448</v>
      </c>
    </row>
    <row r="207" spans="1:16" x14ac:dyDescent="0.2">
      <c r="A207" s="8">
        <v>102.5</v>
      </c>
      <c r="B207" s="8">
        <v>205</v>
      </c>
      <c r="D207">
        <v>2129.0837988827002</v>
      </c>
      <c r="E207">
        <v>654.04692737430003</v>
      </c>
      <c r="F207">
        <v>125.45704845815</v>
      </c>
      <c r="G207">
        <v>110.85022026432</v>
      </c>
      <c r="I207" s="9">
        <f t="shared" si="22"/>
        <v>543.19670710998003</v>
      </c>
      <c r="J207" s="9">
        <f t="shared" si="23"/>
        <v>2003.6267504245502</v>
      </c>
      <c r="K207" s="9">
        <f t="shared" si="24"/>
        <v>543.19670710998003</v>
      </c>
      <c r="L207" s="10">
        <f t="shared" si="21"/>
        <v>0.2711067353212776</v>
      </c>
      <c r="M207" s="10">
        <f t="shared" si="20"/>
        <v>0.29932513566842589</v>
      </c>
      <c r="P207" s="8">
        <f t="shared" si="25"/>
        <v>24.176932058701251</v>
      </c>
    </row>
    <row r="208" spans="1:16" x14ac:dyDescent="0.2">
      <c r="A208" s="8">
        <v>103</v>
      </c>
      <c r="B208" s="8">
        <v>206</v>
      </c>
      <c r="D208">
        <v>2106.9932960893998</v>
      </c>
      <c r="E208">
        <v>649.74078212290999</v>
      </c>
      <c r="F208">
        <v>125.53083700441</v>
      </c>
      <c r="G208">
        <v>110.83480176211999</v>
      </c>
      <c r="I208" s="9">
        <f t="shared" si="22"/>
        <v>538.90598036078995</v>
      </c>
      <c r="J208" s="9">
        <f t="shared" si="23"/>
        <v>1981.4624590849899</v>
      </c>
      <c r="K208" s="9">
        <f t="shared" si="24"/>
        <v>538.90598036078995</v>
      </c>
      <c r="L208" s="10">
        <f t="shared" si="21"/>
        <v>0.27197385339798402</v>
      </c>
      <c r="M208" s="10">
        <f t="shared" si="20"/>
        <v>0.30032990447853303</v>
      </c>
      <c r="P208" s="8">
        <f t="shared" si="25"/>
        <v>24.593766775868431</v>
      </c>
    </row>
    <row r="209" spans="1:16" x14ac:dyDescent="0.2">
      <c r="A209" s="8">
        <v>103.5</v>
      </c>
      <c r="B209" s="8">
        <v>207</v>
      </c>
      <c r="D209">
        <v>2121.9050279329999</v>
      </c>
      <c r="E209">
        <v>648.48826815642997</v>
      </c>
      <c r="F209">
        <v>126.09251101322</v>
      </c>
      <c r="G209">
        <v>110.91740088106</v>
      </c>
      <c r="I209" s="9">
        <f t="shared" si="22"/>
        <v>537.57086727537001</v>
      </c>
      <c r="J209" s="9">
        <f t="shared" si="23"/>
        <v>1995.8125169197799</v>
      </c>
      <c r="K209" s="9">
        <f t="shared" si="24"/>
        <v>537.57086727537001</v>
      </c>
      <c r="L209" s="10">
        <f t="shared" si="21"/>
        <v>0.2693493816268</v>
      </c>
      <c r="M209" s="10">
        <f t="shared" si="20"/>
        <v>0.29784308344074978</v>
      </c>
      <c r="P209" s="8">
        <f t="shared" si="25"/>
        <v>23.562093286900115</v>
      </c>
    </row>
    <row r="210" spans="1:16" x14ac:dyDescent="0.2">
      <c r="A210" s="8">
        <v>104</v>
      </c>
      <c r="B210" s="8">
        <v>208</v>
      </c>
      <c r="D210">
        <v>2036.4737430168</v>
      </c>
      <c r="E210">
        <v>628.77318435754</v>
      </c>
      <c r="F210">
        <v>125.4295154185</v>
      </c>
      <c r="G210">
        <v>111.08039647577</v>
      </c>
      <c r="I210" s="9">
        <f t="shared" si="22"/>
        <v>517.69278788176996</v>
      </c>
      <c r="J210" s="9">
        <f t="shared" si="23"/>
        <v>1911.0442275983</v>
      </c>
      <c r="K210" s="9">
        <f t="shared" si="24"/>
        <v>517.69278788176996</v>
      </c>
      <c r="L210" s="10">
        <f t="shared" si="21"/>
        <v>0.27089524167233903</v>
      </c>
      <c r="M210" s="10">
        <f t="shared" si="20"/>
        <v>0.29952659421968952</v>
      </c>
      <c r="P210" s="8">
        <f t="shared" si="25"/>
        <v>24.260508417155226</v>
      </c>
    </row>
    <row r="211" spans="1:16" x14ac:dyDescent="0.2">
      <c r="A211" s="8">
        <v>104.5</v>
      </c>
      <c r="B211" s="8">
        <v>209</v>
      </c>
      <c r="D211">
        <v>2000.3690607735</v>
      </c>
      <c r="E211">
        <v>626.84198895027998</v>
      </c>
      <c r="F211">
        <v>125.50440528634</v>
      </c>
      <c r="G211">
        <v>111.0936123348</v>
      </c>
      <c r="I211" s="9">
        <f t="shared" si="22"/>
        <v>515.74837661547997</v>
      </c>
      <c r="J211" s="9">
        <f t="shared" si="23"/>
        <v>1874.86465548716</v>
      </c>
      <c r="K211" s="9">
        <f t="shared" si="24"/>
        <v>515.74837661547997</v>
      </c>
      <c r="L211" s="10">
        <f t="shared" si="21"/>
        <v>0.27508565757322317</v>
      </c>
      <c r="M211" s="10">
        <f t="shared" si="20"/>
        <v>0.30385466085397439</v>
      </c>
      <c r="P211" s="8">
        <f t="shared" si="25"/>
        <v>26.056034326434268</v>
      </c>
    </row>
    <row r="212" spans="1:16" x14ac:dyDescent="0.2">
      <c r="A212" s="8">
        <v>105</v>
      </c>
      <c r="B212" s="8">
        <v>210</v>
      </c>
      <c r="D212">
        <v>2106.6430939226998</v>
      </c>
      <c r="E212">
        <v>654.22099447513995</v>
      </c>
      <c r="F212">
        <v>125.50660792952</v>
      </c>
      <c r="G212">
        <v>111.11343612335</v>
      </c>
      <c r="I212" s="9">
        <f t="shared" si="22"/>
        <v>543.10755835178998</v>
      </c>
      <c r="J212" s="9">
        <f t="shared" si="23"/>
        <v>1981.1364859931798</v>
      </c>
      <c r="K212" s="9">
        <f t="shared" si="24"/>
        <v>543.10755835178998</v>
      </c>
      <c r="L212" s="10">
        <f t="shared" si="21"/>
        <v>0.27413939533778275</v>
      </c>
      <c r="M212" s="10">
        <f t="shared" si="20"/>
        <v>0.30304604935193469</v>
      </c>
      <c r="P212" s="8">
        <f t="shared" si="25"/>
        <v>25.720576713339266</v>
      </c>
    </row>
    <row r="213" spans="1:16" x14ac:dyDescent="0.2">
      <c r="A213" s="8">
        <v>105.5</v>
      </c>
      <c r="B213" s="8">
        <v>211</v>
      </c>
      <c r="D213">
        <v>2148.5193370165998</v>
      </c>
      <c r="E213">
        <v>653.70055248618996</v>
      </c>
      <c r="F213">
        <v>125.41079295154</v>
      </c>
      <c r="G213">
        <v>111.43061674009</v>
      </c>
      <c r="I213" s="9">
        <f t="shared" si="22"/>
        <v>542.26993574609992</v>
      </c>
      <c r="J213" s="9">
        <f t="shared" si="23"/>
        <v>2023.1085440650597</v>
      </c>
      <c r="K213" s="9">
        <f t="shared" si="24"/>
        <v>542.26993574609992</v>
      </c>
      <c r="L213" s="10">
        <f t="shared" si="21"/>
        <v>0.26803798408982521</v>
      </c>
      <c r="M213" s="10">
        <f t="shared" si="20"/>
        <v>0.29708228883737786</v>
      </c>
      <c r="P213" s="8">
        <f t="shared" si="25"/>
        <v>23.246472817664973</v>
      </c>
    </row>
    <row r="214" spans="1:16" x14ac:dyDescent="0.2">
      <c r="A214" s="8">
        <v>106</v>
      </c>
      <c r="B214" s="8">
        <v>212</v>
      </c>
      <c r="D214">
        <v>2208.4412416851001</v>
      </c>
      <c r="E214">
        <v>682.55099778271006</v>
      </c>
      <c r="F214">
        <v>125.79074889867999</v>
      </c>
      <c r="G214">
        <v>111.0859030837</v>
      </c>
      <c r="I214" s="9">
        <f t="shared" si="22"/>
        <v>571.46509469901002</v>
      </c>
      <c r="J214" s="9">
        <f t="shared" si="23"/>
        <v>2082.6504927864203</v>
      </c>
      <c r="K214" s="9">
        <f t="shared" si="24"/>
        <v>571.46509469901002</v>
      </c>
      <c r="L214" s="10">
        <f t="shared" si="21"/>
        <v>0.27439318151478953</v>
      </c>
      <c r="M214" s="10">
        <f t="shared" si="20"/>
        <v>0.3035751369957429</v>
      </c>
      <c r="P214" s="8">
        <f t="shared" si="25"/>
        <v>25.940072079979803</v>
      </c>
    </row>
    <row r="215" spans="1:16" x14ac:dyDescent="0.2">
      <c r="A215" s="8">
        <v>106.5</v>
      </c>
      <c r="B215" s="8">
        <v>213</v>
      </c>
      <c r="D215">
        <v>2306.5587583148999</v>
      </c>
      <c r="E215">
        <v>705.51108647449996</v>
      </c>
      <c r="F215">
        <v>125.80726872247</v>
      </c>
      <c r="G215">
        <v>111.06718061674</v>
      </c>
      <c r="I215" s="9">
        <f t="shared" si="22"/>
        <v>594.44390585776</v>
      </c>
      <c r="J215" s="9">
        <f t="shared" si="23"/>
        <v>2180.7514895924301</v>
      </c>
      <c r="K215" s="9">
        <f t="shared" si="24"/>
        <v>594.44390585776</v>
      </c>
      <c r="L215" s="10">
        <f t="shared" si="21"/>
        <v>0.27258672466566014</v>
      </c>
      <c r="M215" s="10">
        <f t="shared" si="20"/>
        <v>0.30190633088001423</v>
      </c>
      <c r="P215" s="8">
        <f t="shared" si="25"/>
        <v>25.247757272574063</v>
      </c>
    </row>
    <row r="216" spans="1:16" x14ac:dyDescent="0.2">
      <c r="A216" s="8">
        <v>107</v>
      </c>
      <c r="B216" s="8">
        <v>214</v>
      </c>
      <c r="D216">
        <v>2196.7497231450998</v>
      </c>
      <c r="E216">
        <v>671.05204872647005</v>
      </c>
      <c r="F216">
        <v>125.33149779736</v>
      </c>
      <c r="G216">
        <v>110.85462555066</v>
      </c>
      <c r="I216" s="9">
        <f t="shared" si="22"/>
        <v>560.19742317581006</v>
      </c>
      <c r="J216" s="9">
        <f t="shared" si="23"/>
        <v>2071.4182253477397</v>
      </c>
      <c r="K216" s="9">
        <f t="shared" si="24"/>
        <v>560.19742317581006</v>
      </c>
      <c r="L216" s="10">
        <f t="shared" si="21"/>
        <v>0.27044148608944812</v>
      </c>
      <c r="M216" s="10">
        <f t="shared" si="20"/>
        <v>0.29989874303720293</v>
      </c>
      <c r="P216" s="8">
        <f t="shared" si="25"/>
        <v>24.414896715768673</v>
      </c>
    </row>
    <row r="217" spans="1:16" x14ac:dyDescent="0.2">
      <c r="A217" s="8">
        <v>107.5</v>
      </c>
      <c r="B217" s="8">
        <v>215</v>
      </c>
      <c r="D217">
        <v>2204.3399778516</v>
      </c>
      <c r="E217">
        <v>674.49833887042996</v>
      </c>
      <c r="F217">
        <v>125.89757709251001</v>
      </c>
      <c r="G217">
        <v>110.95154185022</v>
      </c>
      <c r="I217" s="9">
        <f t="shared" si="22"/>
        <v>563.54679702020997</v>
      </c>
      <c r="J217" s="9">
        <f t="shared" si="23"/>
        <v>2078.4424007590901</v>
      </c>
      <c r="K217" s="9">
        <f t="shared" si="24"/>
        <v>563.54679702020997</v>
      </c>
      <c r="L217" s="10">
        <f t="shared" si="21"/>
        <v>0.2711390014052788</v>
      </c>
      <c r="M217" s="10">
        <f t="shared" si="20"/>
        <v>0.30073390908643433</v>
      </c>
      <c r="P217" s="8">
        <f t="shared" si="25"/>
        <v>24.761370651282139</v>
      </c>
    </row>
    <row r="218" spans="1:16" x14ac:dyDescent="0.2">
      <c r="A218" s="8">
        <v>108</v>
      </c>
      <c r="B218" s="8">
        <v>216</v>
      </c>
      <c r="D218">
        <v>2240.2912513842998</v>
      </c>
      <c r="E218">
        <v>681.31118493909003</v>
      </c>
      <c r="F218">
        <v>125.58920704846</v>
      </c>
      <c r="G218">
        <v>111.52753303965</v>
      </c>
      <c r="I218" s="9">
        <f t="shared" si="22"/>
        <v>569.78365189943997</v>
      </c>
      <c r="J218" s="9">
        <f t="shared" si="23"/>
        <v>2114.7020443358397</v>
      </c>
      <c r="K218" s="9">
        <f t="shared" si="24"/>
        <v>569.78365189943997</v>
      </c>
      <c r="L218" s="10">
        <f t="shared" si="21"/>
        <v>0.26943921174407848</v>
      </c>
      <c r="M218" s="10">
        <f t="shared" si="20"/>
        <v>0.29917177015863472</v>
      </c>
      <c r="P218" s="8">
        <f t="shared" si="25"/>
        <v>24.113307403702073</v>
      </c>
    </row>
    <row r="219" spans="1:16" x14ac:dyDescent="0.2">
      <c r="A219" s="8">
        <v>108.5</v>
      </c>
      <c r="B219" s="8">
        <v>217</v>
      </c>
      <c r="D219">
        <v>2219.0586932447</v>
      </c>
      <c r="E219">
        <v>672.90586932447002</v>
      </c>
      <c r="F219">
        <v>125.64207048458</v>
      </c>
      <c r="G219">
        <v>111.24449339207</v>
      </c>
      <c r="I219" s="9">
        <f t="shared" si="22"/>
        <v>561.66137593240001</v>
      </c>
      <c r="J219" s="9">
        <f t="shared" si="23"/>
        <v>2093.4166227601199</v>
      </c>
      <c r="K219" s="9">
        <f t="shared" si="24"/>
        <v>561.66137593240001</v>
      </c>
      <c r="L219" s="10">
        <f t="shared" si="21"/>
        <v>0.26829889942875434</v>
      </c>
      <c r="M219" s="10">
        <f t="shared" si="20"/>
        <v>0.29816910857671136</v>
      </c>
      <c r="P219" s="8">
        <f t="shared" si="25"/>
        <v>23.697346883519469</v>
      </c>
    </row>
    <row r="220" spans="1:16" x14ac:dyDescent="0.2">
      <c r="A220" s="8">
        <v>109</v>
      </c>
      <c r="B220" s="8">
        <v>218</v>
      </c>
      <c r="D220">
        <v>2192.2303433000998</v>
      </c>
      <c r="E220">
        <v>662.92469545957999</v>
      </c>
      <c r="F220">
        <v>125.51541850220001</v>
      </c>
      <c r="G220">
        <v>110.90528634361</v>
      </c>
      <c r="I220" s="9">
        <f t="shared" si="22"/>
        <v>552.01940911597001</v>
      </c>
      <c r="J220" s="9">
        <f t="shared" si="23"/>
        <v>2066.7149247978996</v>
      </c>
      <c r="K220" s="9">
        <f t="shared" si="24"/>
        <v>552.01940911597001</v>
      </c>
      <c r="L220" s="10">
        <f t="shared" si="21"/>
        <v>0.26709992872865668</v>
      </c>
      <c r="M220" s="10">
        <f t="shared" si="20"/>
        <v>0.29710778861001441</v>
      </c>
      <c r="P220" s="8">
        <f t="shared" si="25"/>
        <v>23.2570515601656</v>
      </c>
    </row>
    <row r="221" spans="1:16" x14ac:dyDescent="0.2">
      <c r="A221" s="8">
        <v>109.5</v>
      </c>
      <c r="B221" s="8">
        <v>219</v>
      </c>
      <c r="D221">
        <v>2242.9559471366001</v>
      </c>
      <c r="E221">
        <v>682.93612334802003</v>
      </c>
      <c r="F221">
        <v>125.60682819383</v>
      </c>
      <c r="G221">
        <v>111.16740088106</v>
      </c>
      <c r="I221" s="9">
        <f t="shared" si="22"/>
        <v>571.76872246696007</v>
      </c>
      <c r="J221" s="9">
        <f t="shared" si="23"/>
        <v>2117.34911894277</v>
      </c>
      <c r="K221" s="9">
        <f t="shared" si="24"/>
        <v>571.76872246696007</v>
      </c>
      <c r="L221" s="10">
        <f t="shared" si="21"/>
        <v>0.27003988966753595</v>
      </c>
      <c r="M221" s="10">
        <f t="shared" si="20"/>
        <v>0.3001854002822944</v>
      </c>
      <c r="P221" s="8">
        <f t="shared" si="25"/>
        <v>24.533818293030695</v>
      </c>
    </row>
    <row r="222" spans="1:16" x14ac:dyDescent="0.2">
      <c r="A222" s="8">
        <v>110</v>
      </c>
      <c r="B222" s="8">
        <v>220</v>
      </c>
      <c r="D222">
        <v>2166.4565701559</v>
      </c>
      <c r="E222">
        <v>662.54231625834996</v>
      </c>
      <c r="F222">
        <v>125.82268722467001</v>
      </c>
      <c r="G222">
        <v>111.05726872247</v>
      </c>
      <c r="I222" s="9">
        <f t="shared" si="22"/>
        <v>551.48504753587997</v>
      </c>
      <c r="J222" s="9">
        <f t="shared" si="23"/>
        <v>2040.6338829312299</v>
      </c>
      <c r="K222" s="9">
        <f t="shared" si="24"/>
        <v>551.48504753587997</v>
      </c>
      <c r="L222" s="10">
        <f t="shared" si="21"/>
        <v>0.27025183309399414</v>
      </c>
      <c r="M222" s="10">
        <f t="shared" si="20"/>
        <v>0.30053499444215331</v>
      </c>
      <c r="P222" s="8">
        <f t="shared" si="25"/>
        <v>24.678849648783618</v>
      </c>
    </row>
    <row r="223" spans="1:16" x14ac:dyDescent="0.2">
      <c r="A223" s="8">
        <v>110.5</v>
      </c>
      <c r="B223" s="8">
        <v>221</v>
      </c>
      <c r="D223">
        <v>2206.3106904232</v>
      </c>
      <c r="E223">
        <v>678.47550111358998</v>
      </c>
      <c r="F223">
        <v>125.9372246696</v>
      </c>
      <c r="G223">
        <v>110.94823788546</v>
      </c>
      <c r="I223" s="9">
        <f t="shared" si="22"/>
        <v>567.52726322812998</v>
      </c>
      <c r="J223" s="9">
        <f t="shared" si="23"/>
        <v>2080.3734657536002</v>
      </c>
      <c r="K223" s="9">
        <f t="shared" si="24"/>
        <v>567.52726322812998</v>
      </c>
      <c r="L223" s="10">
        <f t="shared" si="21"/>
        <v>0.2728006641935069</v>
      </c>
      <c r="M223" s="10">
        <f t="shared" si="20"/>
        <v>0.30322147627506679</v>
      </c>
      <c r="P223" s="8">
        <f t="shared" si="25"/>
        <v>25.793353685665348</v>
      </c>
    </row>
    <row r="224" spans="1:16" x14ac:dyDescent="0.2">
      <c r="A224" s="8">
        <v>111</v>
      </c>
      <c r="B224" s="8">
        <v>222</v>
      </c>
      <c r="D224">
        <v>2303.8162583519002</v>
      </c>
      <c r="E224">
        <v>697.19376391981996</v>
      </c>
      <c r="F224">
        <v>125.59581497796999</v>
      </c>
      <c r="G224">
        <v>110.93061674009</v>
      </c>
      <c r="I224" s="9">
        <f t="shared" si="22"/>
        <v>586.26314717972991</v>
      </c>
      <c r="J224" s="9">
        <f t="shared" si="23"/>
        <v>2178.2204433739303</v>
      </c>
      <c r="K224" s="9">
        <f t="shared" si="24"/>
        <v>586.26314717972991</v>
      </c>
      <c r="L224" s="10">
        <f t="shared" si="21"/>
        <v>0.26914775727274148</v>
      </c>
      <c r="M224" s="10">
        <f t="shared" si="20"/>
        <v>0.29970622008770209</v>
      </c>
      <c r="P224" s="8">
        <f t="shared" si="25"/>
        <v>24.335027348411604</v>
      </c>
    </row>
    <row r="225" spans="1:16" x14ac:dyDescent="0.2">
      <c r="A225" s="8">
        <v>111.5</v>
      </c>
      <c r="B225" s="8">
        <v>223</v>
      </c>
      <c r="D225">
        <v>2149.3602209945002</v>
      </c>
      <c r="E225">
        <v>663.47734806630001</v>
      </c>
      <c r="F225">
        <v>125.48788546256</v>
      </c>
      <c r="G225">
        <v>110.97136563877</v>
      </c>
      <c r="I225" s="9">
        <f t="shared" si="22"/>
        <v>552.50598242753006</v>
      </c>
      <c r="J225" s="9">
        <f t="shared" si="23"/>
        <v>2023.8723355319403</v>
      </c>
      <c r="K225" s="9">
        <f t="shared" si="24"/>
        <v>552.50598242753006</v>
      </c>
      <c r="L225" s="10">
        <f t="shared" si="21"/>
        <v>0.27299448326236114</v>
      </c>
      <c r="M225" s="10">
        <f t="shared" si="20"/>
        <v>0.30369059681072247</v>
      </c>
      <c r="P225" s="8">
        <f t="shared" si="25"/>
        <v>25.987971316935671</v>
      </c>
    </row>
    <row r="226" spans="1:16" x14ac:dyDescent="0.2">
      <c r="A226" s="8">
        <v>112</v>
      </c>
      <c r="B226" s="8">
        <v>224</v>
      </c>
      <c r="D226">
        <v>2307.5777287761998</v>
      </c>
      <c r="E226">
        <v>674.53362734288999</v>
      </c>
      <c r="F226">
        <v>125.03744493392</v>
      </c>
      <c r="G226">
        <v>110.39977973568</v>
      </c>
      <c r="I226" s="9">
        <f t="shared" si="22"/>
        <v>564.13384760720999</v>
      </c>
      <c r="J226" s="9">
        <f t="shared" si="23"/>
        <v>2182.5402838422797</v>
      </c>
      <c r="K226" s="9">
        <f t="shared" si="24"/>
        <v>564.13384760720999</v>
      </c>
      <c r="L226" s="10">
        <f t="shared" si="21"/>
        <v>0.25847580078296362</v>
      </c>
      <c r="M226" s="10">
        <f t="shared" si="20"/>
        <v>0.28930956506472566</v>
      </c>
      <c r="P226" s="8">
        <f t="shared" si="25"/>
        <v>20.021909034632511</v>
      </c>
    </row>
    <row r="227" spans="1:16" x14ac:dyDescent="0.2">
      <c r="A227" s="8">
        <v>112.5</v>
      </c>
      <c r="B227" s="8">
        <v>225</v>
      </c>
      <c r="D227">
        <v>2106.7761692650001</v>
      </c>
      <c r="E227">
        <v>620.82628062361005</v>
      </c>
      <c r="F227">
        <v>125.31057268723001</v>
      </c>
      <c r="G227">
        <v>110.70154185022</v>
      </c>
      <c r="I227" s="9">
        <f t="shared" si="22"/>
        <v>510.12473877339005</v>
      </c>
      <c r="J227" s="9">
        <f t="shared" si="23"/>
        <v>1981.4655965777702</v>
      </c>
      <c r="K227" s="9">
        <f t="shared" si="24"/>
        <v>510.12473877339005</v>
      </c>
      <c r="L227" s="10">
        <f t="shared" si="21"/>
        <v>0.25744819372813588</v>
      </c>
      <c r="M227" s="10">
        <f t="shared" si="20"/>
        <v>0.28841960874329864</v>
      </c>
      <c r="P227" s="8">
        <f t="shared" si="25"/>
        <v>19.652705006997913</v>
      </c>
    </row>
    <row r="228" spans="1:16" x14ac:dyDescent="0.2">
      <c r="A228" s="8">
        <v>113</v>
      </c>
      <c r="B228" s="8">
        <v>226</v>
      </c>
      <c r="D228">
        <v>2029.5501113585999</v>
      </c>
      <c r="E228">
        <v>598.14699331848999</v>
      </c>
      <c r="F228">
        <v>125.26321585903</v>
      </c>
      <c r="G228">
        <v>110.58149779736</v>
      </c>
      <c r="I228" s="9">
        <f t="shared" si="22"/>
        <v>487.56549552113</v>
      </c>
      <c r="J228" s="9">
        <f t="shared" si="23"/>
        <v>1904.2868954995699</v>
      </c>
      <c r="K228" s="9">
        <f t="shared" si="24"/>
        <v>487.56549552113</v>
      </c>
      <c r="L228" s="10">
        <f t="shared" si="21"/>
        <v>0.25603573530511653</v>
      </c>
      <c r="M228" s="10">
        <f t="shared" si="20"/>
        <v>0.28714480105368001</v>
      </c>
      <c r="P228" s="8">
        <f t="shared" si="25"/>
        <v>19.123842946990234</v>
      </c>
    </row>
    <row r="229" spans="1:16" x14ac:dyDescent="0.2">
      <c r="A229" s="8">
        <v>113.5</v>
      </c>
      <c r="B229" s="8">
        <v>227</v>
      </c>
      <c r="D229">
        <v>2063.2125550660999</v>
      </c>
      <c r="E229">
        <v>594.43171806167004</v>
      </c>
      <c r="F229">
        <v>125.26541850220001</v>
      </c>
      <c r="G229">
        <v>111.16519823789</v>
      </c>
      <c r="I229" s="9">
        <f t="shared" si="22"/>
        <v>483.26651982378007</v>
      </c>
      <c r="J229" s="9">
        <f t="shared" si="23"/>
        <v>1937.9471365638999</v>
      </c>
      <c r="K229" s="9">
        <f t="shared" si="24"/>
        <v>483.26651982378007</v>
      </c>
      <c r="L229" s="10">
        <f t="shared" si="21"/>
        <v>0.24937033147387161</v>
      </c>
      <c r="M229" s="10">
        <f t="shared" si="20"/>
        <v>0.28061704795583586</v>
      </c>
      <c r="P229" s="8">
        <f t="shared" si="25"/>
        <v>16.415763149024656</v>
      </c>
    </row>
    <row r="230" spans="1:16" x14ac:dyDescent="0.2">
      <c r="A230" s="8">
        <v>114</v>
      </c>
      <c r="B230" s="8">
        <v>228</v>
      </c>
      <c r="D230">
        <v>2088.7907488986998</v>
      </c>
      <c r="E230">
        <v>597.69603524229001</v>
      </c>
      <c r="F230">
        <v>125.13325991188999</v>
      </c>
      <c r="G230">
        <v>110.82709251100999</v>
      </c>
      <c r="I230" s="9">
        <f t="shared" si="22"/>
        <v>486.86894273128001</v>
      </c>
      <c r="J230" s="9">
        <f t="shared" si="23"/>
        <v>1963.6574889868098</v>
      </c>
      <c r="K230" s="9">
        <f t="shared" si="24"/>
        <v>486.86894273128001</v>
      </c>
      <c r="L230" s="10">
        <f t="shared" si="21"/>
        <v>0.24793984972526459</v>
      </c>
      <c r="M230" s="10">
        <f t="shared" si="20"/>
        <v>0.27932421694062953</v>
      </c>
      <c r="P230" s="8">
        <f t="shared" si="25"/>
        <v>15.87942399802033</v>
      </c>
    </row>
    <row r="231" spans="1:16" x14ac:dyDescent="0.2">
      <c r="A231" s="8">
        <v>114.5</v>
      </c>
      <c r="B231" s="8">
        <v>229</v>
      </c>
      <c r="D231">
        <v>2077.8887665197999</v>
      </c>
      <c r="E231">
        <v>597.8513215859</v>
      </c>
      <c r="F231">
        <v>126.0077092511</v>
      </c>
      <c r="G231">
        <v>110.60572687225</v>
      </c>
      <c r="I231" s="9">
        <f t="shared" si="22"/>
        <v>487.24559471365001</v>
      </c>
      <c r="J231" s="9">
        <f t="shared" si="23"/>
        <v>1951.8810572686998</v>
      </c>
      <c r="K231" s="9">
        <f t="shared" si="24"/>
        <v>487.24559471365001</v>
      </c>
      <c r="L231" s="10">
        <f t="shared" si="21"/>
        <v>0.24962873270334465</v>
      </c>
      <c r="M231" s="10">
        <f t="shared" si="20"/>
        <v>0.28115075065211032</v>
      </c>
      <c r="P231" s="8">
        <f t="shared" si="25"/>
        <v>16.637173099468082</v>
      </c>
    </row>
    <row r="232" spans="1:16" x14ac:dyDescent="0.2">
      <c r="A232" s="8">
        <v>115</v>
      </c>
      <c r="B232" s="8">
        <v>230</v>
      </c>
      <c r="D232">
        <v>2105.8706800445998</v>
      </c>
      <c r="E232">
        <v>608.15830546264999</v>
      </c>
      <c r="F232">
        <v>124.88876651982</v>
      </c>
      <c r="G232">
        <v>110.63325991188999</v>
      </c>
      <c r="I232" s="9">
        <f t="shared" si="22"/>
        <v>497.52504555076001</v>
      </c>
      <c r="J232" s="9">
        <f t="shared" si="23"/>
        <v>1980.9819135247799</v>
      </c>
      <c r="K232" s="9">
        <f t="shared" si="24"/>
        <v>497.52504555076001</v>
      </c>
      <c r="L232" s="10">
        <f t="shared" si="21"/>
        <v>0.25115072588699661</v>
      </c>
      <c r="M232" s="10">
        <f t="shared" si="20"/>
        <v>0.28281039456916301</v>
      </c>
      <c r="P232" s="8">
        <f t="shared" si="25"/>
        <v>17.325686910609502</v>
      </c>
    </row>
    <row r="233" spans="1:16" x14ac:dyDescent="0.2">
      <c r="A233" s="8">
        <v>115.5</v>
      </c>
      <c r="B233" s="8">
        <v>231</v>
      </c>
      <c r="D233">
        <v>2259.4849498327999</v>
      </c>
      <c r="E233">
        <v>638.03121516165004</v>
      </c>
      <c r="F233">
        <v>125.15308370044001</v>
      </c>
      <c r="G233">
        <v>110.85352422907999</v>
      </c>
      <c r="I233" s="9">
        <f t="shared" si="22"/>
        <v>527.17769093257004</v>
      </c>
      <c r="J233" s="9">
        <f t="shared" si="23"/>
        <v>2134.3318661323597</v>
      </c>
      <c r="K233" s="9">
        <f t="shared" si="24"/>
        <v>527.17769093257004</v>
      </c>
      <c r="L233" s="10">
        <f t="shared" si="21"/>
        <v>0.24699893174901291</v>
      </c>
      <c r="M233" s="10">
        <f t="shared" si="20"/>
        <v>0.27879625116458001</v>
      </c>
      <c r="P233" s="8">
        <f t="shared" si="25"/>
        <v>15.66039404533889</v>
      </c>
    </row>
    <row r="234" spans="1:16" x14ac:dyDescent="0.2">
      <c r="A234" s="8">
        <v>116</v>
      </c>
      <c r="B234" s="8">
        <v>232</v>
      </c>
      <c r="D234">
        <v>2264.4255319149001</v>
      </c>
      <c r="E234">
        <v>629.84770436730003</v>
      </c>
      <c r="F234">
        <v>125.06938325991</v>
      </c>
      <c r="G234">
        <v>110.94383259912</v>
      </c>
      <c r="I234" s="9">
        <f t="shared" si="22"/>
        <v>518.90387176818001</v>
      </c>
      <c r="J234" s="9">
        <f t="shared" si="23"/>
        <v>2139.3561486549902</v>
      </c>
      <c r="K234" s="9">
        <f t="shared" si="24"/>
        <v>518.90387176818001</v>
      </c>
      <c r="L234" s="10">
        <f t="shared" si="21"/>
        <v>0.24255142001223781</v>
      </c>
      <c r="M234" s="10">
        <f t="shared" si="20"/>
        <v>0.27448639016120568</v>
      </c>
      <c r="P234" s="8">
        <f t="shared" si="25"/>
        <v>13.872420857576587</v>
      </c>
    </row>
    <row r="235" spans="1:16" x14ac:dyDescent="0.2">
      <c r="A235" s="8">
        <v>116.5</v>
      </c>
      <c r="B235" s="8">
        <v>233</v>
      </c>
      <c r="D235">
        <v>2177.2374020156999</v>
      </c>
      <c r="E235">
        <v>607.64949608063</v>
      </c>
      <c r="F235">
        <v>125.58700440529</v>
      </c>
      <c r="G235">
        <v>111.12444933921</v>
      </c>
      <c r="I235" s="9">
        <f t="shared" si="22"/>
        <v>496.52504674142</v>
      </c>
      <c r="J235" s="9">
        <f t="shared" si="23"/>
        <v>2051.65039761041</v>
      </c>
      <c r="K235" s="9">
        <f t="shared" si="24"/>
        <v>496.52504674142</v>
      </c>
      <c r="L235" s="10">
        <f t="shared" si="21"/>
        <v>0.24201250238331573</v>
      </c>
      <c r="M235" s="10">
        <f t="shared" si="20"/>
        <v>0.27408512326568429</v>
      </c>
      <c r="P235" s="8">
        <f t="shared" si="25"/>
        <v>13.705952739517294</v>
      </c>
    </row>
    <row r="236" spans="1:16" x14ac:dyDescent="0.2">
      <c r="A236" s="8">
        <v>117</v>
      </c>
      <c r="B236" s="8">
        <v>234</v>
      </c>
      <c r="D236">
        <v>2156.1119820828999</v>
      </c>
      <c r="E236">
        <v>593.77827547592005</v>
      </c>
      <c r="F236">
        <v>125.4372246696</v>
      </c>
      <c r="G236">
        <v>110.78744493392</v>
      </c>
      <c r="I236" s="9">
        <f t="shared" si="22"/>
        <v>482.99083054200003</v>
      </c>
      <c r="J236" s="9">
        <f t="shared" si="23"/>
        <v>2030.6747574132999</v>
      </c>
      <c r="K236" s="9">
        <f t="shared" si="24"/>
        <v>482.99083054200003</v>
      </c>
      <c r="L236" s="10">
        <f t="shared" si="21"/>
        <v>0.2378474587221639</v>
      </c>
      <c r="M236" s="10">
        <f t="shared" si="20"/>
        <v>0.27005773033793318</v>
      </c>
      <c r="P236" s="8">
        <f t="shared" si="25"/>
        <v>12.035163225478502</v>
      </c>
    </row>
    <row r="237" spans="1:16" x14ac:dyDescent="0.2">
      <c r="A237" s="8">
        <v>117.5</v>
      </c>
      <c r="B237" s="8">
        <v>235</v>
      </c>
      <c r="D237">
        <v>2215.1647982063</v>
      </c>
      <c r="E237">
        <v>618.08295964126</v>
      </c>
      <c r="F237">
        <v>125.10682819383</v>
      </c>
      <c r="G237">
        <v>110.82819383259999</v>
      </c>
      <c r="I237" s="9">
        <f t="shared" si="22"/>
        <v>507.25476580866001</v>
      </c>
      <c r="J237" s="9">
        <f t="shared" si="23"/>
        <v>2090.0579700124699</v>
      </c>
      <c r="K237" s="9">
        <f t="shared" si="24"/>
        <v>507.25476580866001</v>
      </c>
      <c r="L237" s="10">
        <f t="shared" si="21"/>
        <v>0.24269889787106411</v>
      </c>
      <c r="M237" s="10">
        <f t="shared" si="20"/>
        <v>0.27504682022023413</v>
      </c>
      <c r="P237" s="8">
        <f t="shared" si="25"/>
        <v>14.104918824071188</v>
      </c>
    </row>
    <row r="238" spans="1:16" x14ac:dyDescent="0.2">
      <c r="A238" s="8">
        <v>118</v>
      </c>
      <c r="B238" s="8">
        <v>236</v>
      </c>
      <c r="D238">
        <v>2180.8068812431002</v>
      </c>
      <c r="E238">
        <v>619.28412874584001</v>
      </c>
      <c r="F238">
        <v>125.48237885463</v>
      </c>
      <c r="G238">
        <v>110.96585903083999</v>
      </c>
      <c r="I238" s="9">
        <f t="shared" si="22"/>
        <v>508.31826971500004</v>
      </c>
      <c r="J238" s="9">
        <f t="shared" si="23"/>
        <v>2055.3245023884701</v>
      </c>
      <c r="K238" s="9">
        <f t="shared" si="24"/>
        <v>508.31826971500004</v>
      </c>
      <c r="L238" s="10">
        <f t="shared" si="21"/>
        <v>0.24731776861721297</v>
      </c>
      <c r="M238" s="10">
        <f t="shared" si="20"/>
        <v>0.27980334169978371</v>
      </c>
      <c r="P238" s="8">
        <f t="shared" si="25"/>
        <v>16.078191944896123</v>
      </c>
    </row>
    <row r="239" spans="1:16" x14ac:dyDescent="0.2">
      <c r="A239" s="8">
        <v>118.5</v>
      </c>
      <c r="B239" s="8">
        <v>237</v>
      </c>
      <c r="D239">
        <v>2170.8967813540999</v>
      </c>
      <c r="E239">
        <v>616.43063263040995</v>
      </c>
      <c r="F239">
        <v>125.76762114537</v>
      </c>
      <c r="G239">
        <v>111.0627753304</v>
      </c>
      <c r="I239" s="9">
        <f t="shared" si="22"/>
        <v>505.36785730000997</v>
      </c>
      <c r="J239" s="9">
        <f t="shared" si="23"/>
        <v>2045.1291602087299</v>
      </c>
      <c r="K239" s="9">
        <f t="shared" si="24"/>
        <v>505.36785730000997</v>
      </c>
      <c r="L239" s="10">
        <f t="shared" si="21"/>
        <v>0.24710803949831273</v>
      </c>
      <c r="M239" s="10">
        <f t="shared" si="20"/>
        <v>0.27973126331428422</v>
      </c>
      <c r="P239" s="8">
        <f t="shared" si="25"/>
        <v>16.04828976925997</v>
      </c>
    </row>
    <row r="240" spans="1:16" x14ac:dyDescent="0.2">
      <c r="A240" s="8">
        <v>119</v>
      </c>
      <c r="B240" s="8">
        <v>238</v>
      </c>
      <c r="D240">
        <v>2126.4778270510001</v>
      </c>
      <c r="E240">
        <v>597.20731707316997</v>
      </c>
      <c r="F240">
        <v>125.85682819383</v>
      </c>
      <c r="G240">
        <v>111.49669603524001</v>
      </c>
      <c r="I240" s="9">
        <f t="shared" si="22"/>
        <v>485.71062103792997</v>
      </c>
      <c r="J240" s="9">
        <f t="shared" si="23"/>
        <v>2000.62099885717</v>
      </c>
      <c r="K240" s="9">
        <f t="shared" si="24"/>
        <v>485.71062103792997</v>
      </c>
      <c r="L240" s="10">
        <f t="shared" si="21"/>
        <v>0.24277992749020738</v>
      </c>
      <c r="M240" s="10">
        <f t="shared" si="20"/>
        <v>0.27554080203957954</v>
      </c>
      <c r="P240" s="8">
        <f t="shared" si="25"/>
        <v>14.309850316650675</v>
      </c>
    </row>
    <row r="241" spans="1:16" x14ac:dyDescent="0.2">
      <c r="A241" s="8">
        <v>119.5</v>
      </c>
      <c r="B241" s="8">
        <v>239</v>
      </c>
      <c r="D241">
        <v>2126.5443458979998</v>
      </c>
      <c r="E241">
        <v>584.40133037694</v>
      </c>
      <c r="F241">
        <v>126.07709251100999</v>
      </c>
      <c r="G241">
        <v>111.15308370044001</v>
      </c>
      <c r="I241" s="9">
        <f t="shared" si="22"/>
        <v>473.2482466765</v>
      </c>
      <c r="J241" s="9">
        <f t="shared" si="23"/>
        <v>2000.4672533869898</v>
      </c>
      <c r="K241" s="9">
        <f t="shared" si="24"/>
        <v>473.2482466765</v>
      </c>
      <c r="L241" s="10">
        <f t="shared" si="21"/>
        <v>0.23656885453898019</v>
      </c>
      <c r="M241" s="10">
        <f t="shared" si="20"/>
        <v>0.26946737982175312</v>
      </c>
      <c r="P241" s="8">
        <f t="shared" si="25"/>
        <v>11.790252567458399</v>
      </c>
    </row>
    <row r="242" spans="1:16" x14ac:dyDescent="0.2">
      <c r="A242" s="8">
        <v>120</v>
      </c>
      <c r="B242" s="8">
        <v>240</v>
      </c>
      <c r="D242">
        <v>2240.6911928651002</v>
      </c>
      <c r="E242">
        <v>619.70234113712002</v>
      </c>
      <c r="F242">
        <v>126.21806167401</v>
      </c>
      <c r="G242">
        <v>110.96365638767</v>
      </c>
      <c r="I242" s="9">
        <f>E242-G242</f>
        <v>508.73868474945004</v>
      </c>
      <c r="J242" s="9">
        <f>D242-F242</f>
        <v>2114.47313119109</v>
      </c>
      <c r="K242" s="9">
        <f t="shared" si="24"/>
        <v>508.73868474945004</v>
      </c>
      <c r="L242" s="10">
        <f t="shared" si="21"/>
        <v>0.24059832080385707</v>
      </c>
      <c r="M242" s="10">
        <f>L242+ABS($N$2)*A242</f>
        <v>0.27363449682003071</v>
      </c>
      <c r="O242" s="11"/>
      <c r="P242" s="8">
        <f>(M242-$O$2)/$O$2*100</f>
        <v>13.519007498848415</v>
      </c>
    </row>
    <row r="243" spans="1:16" x14ac:dyDescent="0.2">
      <c r="A243" s="8">
        <v>120.5</v>
      </c>
      <c r="B243" s="8">
        <v>241</v>
      </c>
      <c r="D243">
        <v>2220.6484983314999</v>
      </c>
      <c r="E243">
        <v>620.30367074526998</v>
      </c>
      <c r="F243">
        <v>125.77973568282</v>
      </c>
      <c r="G243">
        <v>111.33920704846</v>
      </c>
      <c r="I243" s="9">
        <f t="shared" ref="I243:I274" si="26">E243-G243</f>
        <v>508.96446369680996</v>
      </c>
      <c r="J243" s="9">
        <f t="shared" ref="J243:J274" si="27">D243-F243</f>
        <v>2094.8687626486799</v>
      </c>
      <c r="K243" s="9">
        <f t="shared" si="24"/>
        <v>508.96446369680996</v>
      </c>
      <c r="L243" s="10">
        <f t="shared" si="21"/>
        <v>0.24295768440085613</v>
      </c>
      <c r="M243" s="10">
        <f t="shared" ref="M243:M274" si="28">L243+ABS($N$2)*A243</f>
        <v>0.2761315111504305</v>
      </c>
      <c r="P243" s="8">
        <f t="shared" ref="P243:P274" si="29">(M243-$O$2)/$O$2*100</f>
        <v>14.554909739945652</v>
      </c>
    </row>
    <row r="244" spans="1:16" x14ac:dyDescent="0.2">
      <c r="A244" s="8">
        <v>121</v>
      </c>
      <c r="B244" s="8">
        <v>242</v>
      </c>
      <c r="D244">
        <v>2117.1026490066001</v>
      </c>
      <c r="E244">
        <v>605.42494481235997</v>
      </c>
      <c r="F244">
        <v>126.11123348018</v>
      </c>
      <c r="G244">
        <v>111.30837004404999</v>
      </c>
      <c r="I244" s="9">
        <f t="shared" si="26"/>
        <v>494.11657476830999</v>
      </c>
      <c r="J244" s="9">
        <f t="shared" si="27"/>
        <v>1990.99141552642</v>
      </c>
      <c r="K244" s="9">
        <f t="shared" si="24"/>
        <v>494.11657476830999</v>
      </c>
      <c r="L244" s="10">
        <f t="shared" si="21"/>
        <v>0.24817614526864501</v>
      </c>
      <c r="M244" s="10">
        <f t="shared" si="28"/>
        <v>0.28148762275162009</v>
      </c>
      <c r="N244" s="1"/>
      <c r="P244" s="8">
        <f t="shared" si="29"/>
        <v>16.776926627750573</v>
      </c>
    </row>
    <row r="245" spans="1:16" x14ac:dyDescent="0.2">
      <c r="A245" s="8">
        <v>121.5</v>
      </c>
      <c r="B245" s="8">
        <v>243</v>
      </c>
      <c r="D245">
        <v>2184.9966887416999</v>
      </c>
      <c r="E245">
        <v>634.54856512140998</v>
      </c>
      <c r="F245">
        <v>125.98898678414</v>
      </c>
      <c r="G245">
        <v>110.8050660793</v>
      </c>
      <c r="I245" s="9">
        <f t="shared" si="26"/>
        <v>523.74349904210999</v>
      </c>
      <c r="J245" s="9">
        <f t="shared" si="27"/>
        <v>2059.0077019575601</v>
      </c>
      <c r="K245" s="9">
        <f t="shared" si="24"/>
        <v>523.74349904210999</v>
      </c>
      <c r="L245" s="10">
        <f t="shared" si="21"/>
        <v>0.25436694507950186</v>
      </c>
      <c r="M245" s="10">
        <f t="shared" si="28"/>
        <v>0.28781607329587766</v>
      </c>
      <c r="P245" s="8">
        <f t="shared" si="29"/>
        <v>19.40232449658053</v>
      </c>
    </row>
    <row r="246" spans="1:16" x14ac:dyDescent="0.2">
      <c r="A246" s="8">
        <v>122</v>
      </c>
      <c r="B246" s="8">
        <v>244</v>
      </c>
      <c r="D246">
        <v>2280.6371681415999</v>
      </c>
      <c r="E246">
        <v>621.26438053097002</v>
      </c>
      <c r="F246">
        <v>125.86894273128</v>
      </c>
      <c r="G246">
        <v>111.17731277532999</v>
      </c>
      <c r="I246" s="9">
        <f t="shared" si="26"/>
        <v>510.08706775564002</v>
      </c>
      <c r="J246" s="9">
        <f t="shared" si="27"/>
        <v>2154.7682254103197</v>
      </c>
      <c r="K246" s="9">
        <f t="shared" si="24"/>
        <v>510.08706775564002</v>
      </c>
      <c r="L246" s="10">
        <f t="shared" si="21"/>
        <v>0.23672479561392604</v>
      </c>
      <c r="M246" s="10">
        <f t="shared" si="28"/>
        <v>0.27031157456370258</v>
      </c>
      <c r="P246" s="8">
        <f t="shared" si="29"/>
        <v>12.140472113442321</v>
      </c>
    </row>
    <row r="247" spans="1:16" x14ac:dyDescent="0.2">
      <c r="A247" s="8">
        <v>122.5</v>
      </c>
      <c r="B247" s="8">
        <v>245</v>
      </c>
      <c r="D247">
        <v>2282.9363128492</v>
      </c>
      <c r="E247">
        <v>619.80335195530995</v>
      </c>
      <c r="F247">
        <v>126.23898678414</v>
      </c>
      <c r="G247">
        <v>111.45594713656</v>
      </c>
      <c r="I247" s="9">
        <f t="shared" si="26"/>
        <v>508.34740481874996</v>
      </c>
      <c r="J247" s="9">
        <f t="shared" si="27"/>
        <v>2156.6973260650602</v>
      </c>
      <c r="K247" s="9">
        <f t="shared" si="24"/>
        <v>508.34740481874996</v>
      </c>
      <c r="L247" s="10">
        <f t="shared" si="21"/>
        <v>0.23570641956803487</v>
      </c>
      <c r="M247" s="10">
        <f t="shared" si="28"/>
        <v>0.26943084925121213</v>
      </c>
      <c r="P247" s="8">
        <f t="shared" si="29"/>
        <v>11.775097628445332</v>
      </c>
    </row>
    <row r="248" spans="1:16" x14ac:dyDescent="0.2">
      <c r="A248" s="8">
        <v>123</v>
      </c>
      <c r="B248" s="8">
        <v>246</v>
      </c>
      <c r="D248">
        <v>2205.7497206704002</v>
      </c>
      <c r="E248">
        <v>601.4</v>
      </c>
      <c r="F248">
        <v>125.84251101322</v>
      </c>
      <c r="G248">
        <v>110.79074889867999</v>
      </c>
      <c r="I248" s="9">
        <f t="shared" si="26"/>
        <v>490.60925110131996</v>
      </c>
      <c r="J248" s="9">
        <f t="shared" si="27"/>
        <v>2079.9072096571804</v>
      </c>
      <c r="K248" s="9">
        <f t="shared" si="24"/>
        <v>490.60925110131996</v>
      </c>
      <c r="L248" s="10">
        <f t="shared" si="21"/>
        <v>0.23588035505785104</v>
      </c>
      <c r="M248" s="10">
        <f t="shared" si="28"/>
        <v>0.269742435474429</v>
      </c>
      <c r="P248" s="8">
        <f t="shared" si="29"/>
        <v>11.904361150482748</v>
      </c>
    </row>
    <row r="249" spans="1:16" x14ac:dyDescent="0.2">
      <c r="A249" s="8">
        <v>123.5</v>
      </c>
      <c r="B249" s="8">
        <v>247</v>
      </c>
      <c r="D249">
        <v>2260.7253599114001</v>
      </c>
      <c r="E249">
        <v>619.01661129568004</v>
      </c>
      <c r="F249">
        <v>125.8513215859</v>
      </c>
      <c r="G249">
        <v>111.02973568282</v>
      </c>
      <c r="I249" s="9">
        <f t="shared" si="26"/>
        <v>507.98687561286005</v>
      </c>
      <c r="J249" s="9">
        <f t="shared" si="27"/>
        <v>2134.8740383254999</v>
      </c>
      <c r="K249" s="9">
        <f t="shared" si="24"/>
        <v>507.98687561286005</v>
      </c>
      <c r="L249" s="10">
        <f t="shared" si="21"/>
        <v>0.23794700131877677</v>
      </c>
      <c r="M249" s="10">
        <f t="shared" si="28"/>
        <v>0.27194673246875545</v>
      </c>
      <c r="P249" s="8">
        <f t="shared" si="29"/>
        <v>12.818827747116609</v>
      </c>
    </row>
    <row r="250" spans="1:16" x14ac:dyDescent="0.2">
      <c r="A250" s="8">
        <v>124</v>
      </c>
      <c r="B250" s="8">
        <v>248</v>
      </c>
      <c r="D250">
        <v>2267.2602436323</v>
      </c>
      <c r="E250">
        <v>623.04429678847998</v>
      </c>
      <c r="F250">
        <v>125.93942731278</v>
      </c>
      <c r="G250">
        <v>110.58039647577</v>
      </c>
      <c r="I250" s="9">
        <f t="shared" si="26"/>
        <v>512.46390031270994</v>
      </c>
      <c r="J250" s="9">
        <f t="shared" si="27"/>
        <v>2141.32081631952</v>
      </c>
      <c r="K250" s="9">
        <f t="shared" si="24"/>
        <v>512.46390031270994</v>
      </c>
      <c r="L250" s="10">
        <f t="shared" si="21"/>
        <v>0.23932140219583145</v>
      </c>
      <c r="M250" s="10">
        <f t="shared" si="28"/>
        <v>0.27345878407921087</v>
      </c>
      <c r="P250" s="8">
        <f t="shared" si="29"/>
        <v>13.446111953240763</v>
      </c>
    </row>
    <row r="251" spans="1:16" x14ac:dyDescent="0.2">
      <c r="A251" s="8">
        <v>124.5</v>
      </c>
      <c r="B251" s="8">
        <v>249</v>
      </c>
      <c r="D251">
        <v>2219.9087875416999</v>
      </c>
      <c r="E251">
        <v>595.67408231367995</v>
      </c>
      <c r="F251">
        <v>125.23568281938</v>
      </c>
      <c r="G251">
        <v>110.94823788546</v>
      </c>
      <c r="I251" s="9">
        <f t="shared" si="26"/>
        <v>484.72584442821994</v>
      </c>
      <c r="J251" s="9">
        <f t="shared" si="27"/>
        <v>2094.6731047223197</v>
      </c>
      <c r="K251" s="9">
        <f t="shared" si="24"/>
        <v>484.72584442821994</v>
      </c>
      <c r="L251" s="10">
        <f t="shared" si="21"/>
        <v>0.23140882619604627</v>
      </c>
      <c r="M251" s="10">
        <f t="shared" si="28"/>
        <v>0.26568385881282641</v>
      </c>
      <c r="P251" s="8">
        <f t="shared" si="29"/>
        <v>10.220634866562726</v>
      </c>
    </row>
    <row r="252" spans="1:16" x14ac:dyDescent="0.2">
      <c r="A252" s="8">
        <v>125</v>
      </c>
      <c r="B252" s="8">
        <v>250</v>
      </c>
      <c r="D252">
        <v>2138.3829078801</v>
      </c>
      <c r="E252">
        <v>557.15205327414003</v>
      </c>
      <c r="F252">
        <v>125.24559471366</v>
      </c>
      <c r="G252">
        <v>110.60792951542</v>
      </c>
      <c r="I252" s="9">
        <f t="shared" si="26"/>
        <v>446.54412375872005</v>
      </c>
      <c r="J252" s="9">
        <f t="shared" si="27"/>
        <v>2013.13731316644</v>
      </c>
      <c r="K252" s="9">
        <f t="shared" si="24"/>
        <v>446.54412375872005</v>
      </c>
      <c r="L252" s="10">
        <f t="shared" si="21"/>
        <v>0.22181503508886638</v>
      </c>
      <c r="M252" s="10">
        <f t="shared" si="28"/>
        <v>0.25622771843904724</v>
      </c>
      <c r="P252" s="8">
        <f t="shared" si="29"/>
        <v>6.297695023538437</v>
      </c>
    </row>
    <row r="253" spans="1:16" x14ac:dyDescent="0.2">
      <c r="A253" s="8">
        <v>125.5</v>
      </c>
      <c r="B253" s="8">
        <v>251</v>
      </c>
      <c r="D253">
        <v>2164.0919158360998</v>
      </c>
      <c r="E253">
        <v>559.00442967884999</v>
      </c>
      <c r="F253">
        <v>125.42400881057</v>
      </c>
      <c r="G253">
        <v>110.99669603524001</v>
      </c>
      <c r="I253" s="9">
        <f t="shared" si="26"/>
        <v>448.00773364360998</v>
      </c>
      <c r="J253" s="9">
        <f t="shared" si="27"/>
        <v>2038.6679070255298</v>
      </c>
      <c r="K253" s="9">
        <f t="shared" si="24"/>
        <v>448.00773364360998</v>
      </c>
      <c r="L253" s="10">
        <f t="shared" si="21"/>
        <v>0.21975513132850807</v>
      </c>
      <c r="M253" s="10">
        <f t="shared" si="28"/>
        <v>0.25430546541208965</v>
      </c>
      <c r="P253" s="8">
        <f t="shared" si="29"/>
        <v>5.5002361566273672</v>
      </c>
    </row>
    <row r="254" spans="1:16" x14ac:dyDescent="0.2">
      <c r="A254" s="8">
        <v>126</v>
      </c>
      <c r="B254" s="8">
        <v>252</v>
      </c>
      <c r="D254">
        <v>2212.6854928018001</v>
      </c>
      <c r="E254">
        <v>564.30011074197</v>
      </c>
      <c r="F254">
        <v>124.81718061674</v>
      </c>
      <c r="G254">
        <v>110.70264317181</v>
      </c>
      <c r="I254" s="9">
        <f t="shared" si="26"/>
        <v>453.59746757016001</v>
      </c>
      <c r="J254" s="9">
        <f t="shared" si="27"/>
        <v>2087.8683121850599</v>
      </c>
      <c r="K254" s="9">
        <f t="shared" si="24"/>
        <v>453.59746757016001</v>
      </c>
      <c r="L254" s="10">
        <f t="shared" si="21"/>
        <v>0.21725386841828509</v>
      </c>
      <c r="M254" s="10">
        <f t="shared" si="28"/>
        <v>0.25194185323526741</v>
      </c>
      <c r="P254" s="8">
        <f t="shared" si="29"/>
        <v>4.5196766455160047</v>
      </c>
    </row>
    <row r="255" spans="1:16" x14ac:dyDescent="0.2">
      <c r="A255" s="8">
        <v>126.5</v>
      </c>
      <c r="B255" s="8">
        <v>253</v>
      </c>
      <c r="D255">
        <v>2126.7652270210001</v>
      </c>
      <c r="E255">
        <v>545.69656699889003</v>
      </c>
      <c r="F255">
        <v>125.47797356828001</v>
      </c>
      <c r="G255">
        <v>110.87995594714</v>
      </c>
      <c r="I255" s="9">
        <f t="shared" si="26"/>
        <v>434.81661105175004</v>
      </c>
      <c r="J255" s="9">
        <f t="shared" si="27"/>
        <v>2001.2872534527201</v>
      </c>
      <c r="K255" s="9">
        <f t="shared" si="24"/>
        <v>434.81661105175004</v>
      </c>
      <c r="L255" s="10">
        <f t="shared" si="21"/>
        <v>0.21726846573453304</v>
      </c>
      <c r="M255" s="10">
        <f t="shared" si="28"/>
        <v>0.25209410128491605</v>
      </c>
      <c r="P255" s="8">
        <f t="shared" si="29"/>
        <v>4.5828377150836186</v>
      </c>
    </row>
    <row r="256" spans="1:16" x14ac:dyDescent="0.2">
      <c r="A256" s="8">
        <v>127</v>
      </c>
      <c r="B256" s="8">
        <v>254</v>
      </c>
      <c r="D256">
        <v>2215.9822812846</v>
      </c>
      <c r="E256">
        <v>563.20376522701997</v>
      </c>
      <c r="F256">
        <v>124.75660792952</v>
      </c>
      <c r="G256">
        <v>110.87555066079</v>
      </c>
      <c r="I256" s="9">
        <f t="shared" si="26"/>
        <v>452.32821456622997</v>
      </c>
      <c r="J256" s="9">
        <f t="shared" si="27"/>
        <v>2091.2256733550798</v>
      </c>
      <c r="K256" s="9">
        <f t="shared" si="24"/>
        <v>452.32821456622997</v>
      </c>
      <c r="L256" s="10">
        <f t="shared" si="21"/>
        <v>0.21629813574377771</v>
      </c>
      <c r="M256" s="10">
        <f t="shared" si="28"/>
        <v>0.25126142202756147</v>
      </c>
      <c r="P256" s="8">
        <f t="shared" si="29"/>
        <v>4.2373954409615093</v>
      </c>
    </row>
    <row r="257" spans="1:16" x14ac:dyDescent="0.2">
      <c r="A257" s="8">
        <v>127.5</v>
      </c>
      <c r="B257" s="8">
        <v>255</v>
      </c>
      <c r="D257">
        <v>1999.7980022198001</v>
      </c>
      <c r="E257">
        <v>520.41065482797001</v>
      </c>
      <c r="F257">
        <v>125.77973568282</v>
      </c>
      <c r="G257">
        <v>111.14317180617</v>
      </c>
      <c r="I257" s="9">
        <f t="shared" si="26"/>
        <v>409.26748302179999</v>
      </c>
      <c r="J257" s="9">
        <f t="shared" si="27"/>
        <v>1874.01826653698</v>
      </c>
      <c r="K257" s="9">
        <f t="shared" si="24"/>
        <v>409.26748302179999</v>
      </c>
      <c r="L257" s="10">
        <f t="shared" si="21"/>
        <v>0.21839033819989925</v>
      </c>
      <c r="M257" s="10">
        <f t="shared" si="28"/>
        <v>0.25349127521708376</v>
      </c>
      <c r="P257" s="8">
        <f t="shared" si="29"/>
        <v>5.1624641873527795</v>
      </c>
    </row>
    <row r="258" spans="1:16" x14ac:dyDescent="0.2">
      <c r="A258" s="8">
        <v>128</v>
      </c>
      <c r="B258" s="8">
        <v>256</v>
      </c>
      <c r="D258">
        <v>1890.7314917127001</v>
      </c>
      <c r="E258">
        <v>503.82099447514003</v>
      </c>
      <c r="F258">
        <v>125.64427312775</v>
      </c>
      <c r="G258">
        <v>110.93502202643</v>
      </c>
      <c r="I258" s="9">
        <f t="shared" si="26"/>
        <v>392.88597244871005</v>
      </c>
      <c r="J258" s="9">
        <f t="shared" si="27"/>
        <v>1765.0872185849501</v>
      </c>
      <c r="K258" s="9">
        <f t="shared" si="24"/>
        <v>392.88597244871005</v>
      </c>
      <c r="L258" s="10">
        <f t="shared" ref="L258:L321" si="30">K258/J258</f>
        <v>0.22258728538280514</v>
      </c>
      <c r="M258" s="10">
        <f t="shared" si="28"/>
        <v>0.25782587313339034</v>
      </c>
      <c r="P258" s="8">
        <f t="shared" si="29"/>
        <v>6.9606996404262516</v>
      </c>
    </row>
    <row r="259" spans="1:16" x14ac:dyDescent="0.2">
      <c r="A259" s="8">
        <v>128.5</v>
      </c>
      <c r="B259" s="8">
        <v>257</v>
      </c>
      <c r="D259">
        <v>1973.1104972375999</v>
      </c>
      <c r="E259">
        <v>514.99005524862002</v>
      </c>
      <c r="F259">
        <v>125.84251101322</v>
      </c>
      <c r="G259">
        <v>110.70594713656</v>
      </c>
      <c r="I259" s="9">
        <f t="shared" si="26"/>
        <v>404.28410811206004</v>
      </c>
      <c r="J259" s="9">
        <f t="shared" si="27"/>
        <v>1847.2679862243799</v>
      </c>
      <c r="K259" s="9">
        <f t="shared" ref="K259:K321" si="31">I259*1</f>
        <v>404.28410811206004</v>
      </c>
      <c r="L259" s="10">
        <f t="shared" si="30"/>
        <v>0.21885514777873347</v>
      </c>
      <c r="M259" s="10">
        <f t="shared" si="28"/>
        <v>0.25423138626271941</v>
      </c>
      <c r="P259" s="8">
        <f t="shared" si="29"/>
        <v>5.4695039514025279</v>
      </c>
    </row>
    <row r="260" spans="1:16" x14ac:dyDescent="0.2">
      <c r="A260" s="8">
        <v>129</v>
      </c>
      <c r="B260" s="8">
        <v>258</v>
      </c>
      <c r="D260">
        <v>2067.3182320442002</v>
      </c>
      <c r="E260">
        <v>535.69392265193005</v>
      </c>
      <c r="F260">
        <v>125.20594713656</v>
      </c>
      <c r="G260">
        <v>110.97797356828001</v>
      </c>
      <c r="I260" s="9">
        <f t="shared" si="26"/>
        <v>424.71594908365006</v>
      </c>
      <c r="J260" s="9">
        <f t="shared" si="27"/>
        <v>1942.1122849076401</v>
      </c>
      <c r="K260" s="9">
        <f t="shared" si="31"/>
        <v>424.71594908365006</v>
      </c>
      <c r="L260" s="10">
        <f t="shared" si="30"/>
        <v>0.21868763839462971</v>
      </c>
      <c r="M260" s="10">
        <f t="shared" si="28"/>
        <v>0.25420152761201636</v>
      </c>
      <c r="P260" s="8">
        <f t="shared" si="29"/>
        <v>5.4571169006744418</v>
      </c>
    </row>
    <row r="261" spans="1:16" x14ac:dyDescent="0.2">
      <c r="A261" s="8">
        <v>129.5</v>
      </c>
      <c r="B261" s="8">
        <v>259</v>
      </c>
      <c r="D261">
        <v>2067.7900552485999</v>
      </c>
      <c r="E261">
        <v>529.26629834254004</v>
      </c>
      <c r="F261">
        <v>125.57929515419001</v>
      </c>
      <c r="G261">
        <v>111.10682819383</v>
      </c>
      <c r="I261" s="9">
        <f t="shared" si="26"/>
        <v>418.15947014871006</v>
      </c>
      <c r="J261" s="9">
        <f t="shared" si="27"/>
        <v>1942.2107600944098</v>
      </c>
      <c r="K261" s="9">
        <f t="shared" si="31"/>
        <v>418.15947014871006</v>
      </c>
      <c r="L261" s="10">
        <f t="shared" si="30"/>
        <v>0.21530076896926653</v>
      </c>
      <c r="M261" s="10">
        <f t="shared" si="28"/>
        <v>0.25095230892005393</v>
      </c>
      <c r="P261" s="8">
        <f t="shared" si="29"/>
        <v>4.1091579066705801</v>
      </c>
    </row>
    <row r="262" spans="1:16" x14ac:dyDescent="0.2">
      <c r="A262" s="8">
        <v>130</v>
      </c>
      <c r="B262" s="8">
        <v>260</v>
      </c>
      <c r="D262">
        <v>2085.0220994474998</v>
      </c>
      <c r="E262">
        <v>534.01104972376004</v>
      </c>
      <c r="F262">
        <v>125.55066079295</v>
      </c>
      <c r="G262">
        <v>110.82599118943</v>
      </c>
      <c r="I262" s="9">
        <f t="shared" si="26"/>
        <v>423.18505853433004</v>
      </c>
      <c r="J262" s="9">
        <f t="shared" si="27"/>
        <v>1959.4714386545497</v>
      </c>
      <c r="K262" s="9">
        <f t="shared" si="31"/>
        <v>423.18505853433004</v>
      </c>
      <c r="L262" s="10">
        <f t="shared" si="30"/>
        <v>0.21596898540399526</v>
      </c>
      <c r="M262" s="10">
        <f t="shared" si="28"/>
        <v>0.25175817608818335</v>
      </c>
      <c r="P262" s="8">
        <f t="shared" si="29"/>
        <v>4.4434770154272734</v>
      </c>
    </row>
    <row r="263" spans="1:16" x14ac:dyDescent="0.2">
      <c r="A263" s="8">
        <v>130.5</v>
      </c>
      <c r="B263" s="8">
        <v>261</v>
      </c>
      <c r="D263">
        <v>2024.2212389381</v>
      </c>
      <c r="E263">
        <v>503.43584070796999</v>
      </c>
      <c r="F263">
        <v>125.24118942731</v>
      </c>
      <c r="G263">
        <v>110.54735682819</v>
      </c>
      <c r="I263" s="9">
        <f t="shared" si="26"/>
        <v>392.88848387977998</v>
      </c>
      <c r="J263" s="9">
        <f t="shared" si="27"/>
        <v>1898.98004951079</v>
      </c>
      <c r="K263" s="9">
        <f t="shared" si="31"/>
        <v>392.88848387977998</v>
      </c>
      <c r="L263" s="10">
        <f t="shared" si="30"/>
        <v>0.20689447684350071</v>
      </c>
      <c r="M263" s="10">
        <f t="shared" si="28"/>
        <v>0.24282131826108955</v>
      </c>
      <c r="P263" s="8">
        <f t="shared" si="29"/>
        <v>0.73596483227866283</v>
      </c>
    </row>
    <row r="264" spans="1:16" x14ac:dyDescent="0.2">
      <c r="A264" s="8">
        <v>131</v>
      </c>
      <c r="B264" s="8">
        <v>262</v>
      </c>
      <c r="D264">
        <v>2096.1256952169001</v>
      </c>
      <c r="E264">
        <v>515.69410456061996</v>
      </c>
      <c r="F264">
        <v>124.67070484582</v>
      </c>
      <c r="G264">
        <v>110.62995594714</v>
      </c>
      <c r="I264" s="9">
        <f t="shared" si="26"/>
        <v>405.06414861347997</v>
      </c>
      <c r="J264" s="9">
        <f t="shared" si="27"/>
        <v>1971.4549903710802</v>
      </c>
      <c r="K264" s="9">
        <f t="shared" si="31"/>
        <v>405.06414861347997</v>
      </c>
      <c r="L264" s="10">
        <f t="shared" si="30"/>
        <v>0.20546456834768323</v>
      </c>
      <c r="M264" s="10">
        <f t="shared" si="28"/>
        <v>0.24152906049867279</v>
      </c>
      <c r="P264" s="8">
        <f t="shared" si="29"/>
        <v>0.19986349883197024</v>
      </c>
    </row>
    <row r="265" spans="1:16" x14ac:dyDescent="0.2">
      <c r="A265" s="8">
        <v>131.5</v>
      </c>
      <c r="B265" s="8">
        <v>263</v>
      </c>
      <c r="D265">
        <v>2035.5497206703999</v>
      </c>
      <c r="E265">
        <v>504.58324022346</v>
      </c>
      <c r="F265">
        <v>125.23348017620999</v>
      </c>
      <c r="G265">
        <v>110.79625550661</v>
      </c>
      <c r="I265" s="9">
        <f t="shared" si="26"/>
        <v>393.78698471684999</v>
      </c>
      <c r="J265" s="9">
        <f t="shared" si="27"/>
        <v>1910.31624049419</v>
      </c>
      <c r="K265" s="9">
        <f t="shared" si="31"/>
        <v>393.78698471684999</v>
      </c>
      <c r="L265" s="10">
        <f t="shared" si="30"/>
        <v>0.20613706587919658</v>
      </c>
      <c r="M265" s="10">
        <f t="shared" si="28"/>
        <v>0.24233920876358686</v>
      </c>
      <c r="P265" s="8">
        <f t="shared" si="29"/>
        <v>0.53595864775775259</v>
      </c>
    </row>
    <row r="266" spans="1:16" x14ac:dyDescent="0.2">
      <c r="A266" s="8">
        <v>132</v>
      </c>
      <c r="B266" s="8">
        <v>264</v>
      </c>
      <c r="D266">
        <v>2104.9483146067</v>
      </c>
      <c r="E266">
        <v>519.66741573034005</v>
      </c>
      <c r="F266">
        <v>124.15528634361</v>
      </c>
      <c r="G266">
        <v>110.64977973568</v>
      </c>
      <c r="I266" s="9">
        <f t="shared" si="26"/>
        <v>409.01763599466005</v>
      </c>
      <c r="J266" s="9">
        <f t="shared" si="27"/>
        <v>1980.79302826309</v>
      </c>
      <c r="K266" s="9">
        <f t="shared" si="31"/>
        <v>409.01763599466005</v>
      </c>
      <c r="L266" s="10">
        <f t="shared" si="30"/>
        <v>0.20649185965346306</v>
      </c>
      <c r="M266" s="10">
        <f t="shared" si="28"/>
        <v>0.24283165327125406</v>
      </c>
      <c r="P266" s="8">
        <f t="shared" si="29"/>
        <v>0.74025237683170619</v>
      </c>
    </row>
    <row r="267" spans="1:16" x14ac:dyDescent="0.2">
      <c r="A267" s="8">
        <v>132.5</v>
      </c>
      <c r="B267" s="8">
        <v>265</v>
      </c>
      <c r="D267">
        <v>2126.5039106145</v>
      </c>
      <c r="E267">
        <v>523.02569832402003</v>
      </c>
      <c r="F267">
        <v>124.55726872247</v>
      </c>
      <c r="G267">
        <v>110.37885462555001</v>
      </c>
      <c r="I267" s="9">
        <f t="shared" si="26"/>
        <v>412.64684369847004</v>
      </c>
      <c r="J267" s="9">
        <f t="shared" si="27"/>
        <v>2001.9466418920299</v>
      </c>
      <c r="K267" s="9">
        <f t="shared" si="31"/>
        <v>412.64684369847004</v>
      </c>
      <c r="L267" s="10">
        <f t="shared" si="30"/>
        <v>0.2061227982122838</v>
      </c>
      <c r="M267" s="10">
        <f t="shared" si="28"/>
        <v>0.24260024256347551</v>
      </c>
      <c r="P267" s="8">
        <f t="shared" si="29"/>
        <v>0.64425017617020131</v>
      </c>
    </row>
    <row r="268" spans="1:16" x14ac:dyDescent="0.2">
      <c r="A268" s="8">
        <v>133</v>
      </c>
      <c r="B268" s="8">
        <v>266</v>
      </c>
      <c r="D268">
        <v>2088.8502793296002</v>
      </c>
      <c r="E268">
        <v>516.42234636872001</v>
      </c>
      <c r="F268">
        <v>124.81497797357</v>
      </c>
      <c r="G268">
        <v>110.36343612335</v>
      </c>
      <c r="I268" s="9">
        <f t="shared" si="26"/>
        <v>406.05891024537004</v>
      </c>
      <c r="J268" s="9">
        <f t="shared" si="27"/>
        <v>1964.0353013560302</v>
      </c>
      <c r="K268" s="9">
        <f t="shared" si="31"/>
        <v>406.05891024537004</v>
      </c>
      <c r="L268" s="10">
        <f t="shared" si="30"/>
        <v>0.20674725651062104</v>
      </c>
      <c r="M268" s="10">
        <f t="shared" si="28"/>
        <v>0.24336235159521347</v>
      </c>
      <c r="P268" s="8">
        <f t="shared" si="29"/>
        <v>0.96041594435439825</v>
      </c>
    </row>
    <row r="269" spans="1:16" x14ac:dyDescent="0.2">
      <c r="A269" s="8">
        <v>133.5</v>
      </c>
      <c r="B269" s="8">
        <v>267</v>
      </c>
      <c r="D269">
        <v>2222.4949720670002</v>
      </c>
      <c r="E269">
        <v>536.00335195530999</v>
      </c>
      <c r="F269">
        <v>124.35462555066</v>
      </c>
      <c r="G269">
        <v>110.74889867841</v>
      </c>
      <c r="I269" s="9">
        <f t="shared" si="26"/>
        <v>425.25445327689999</v>
      </c>
      <c r="J269" s="9">
        <f t="shared" si="27"/>
        <v>2098.1403465163403</v>
      </c>
      <c r="K269" s="9">
        <f t="shared" si="31"/>
        <v>425.25445327689999</v>
      </c>
      <c r="L269" s="10">
        <f t="shared" si="30"/>
        <v>0.20268160515714487</v>
      </c>
      <c r="M269" s="10">
        <f t="shared" si="28"/>
        <v>0.23943435097513804</v>
      </c>
      <c r="P269" s="8">
        <f t="shared" si="29"/>
        <v>-0.66914004009844352</v>
      </c>
    </row>
    <row r="270" spans="1:16" x14ac:dyDescent="0.2">
      <c r="A270" s="8">
        <v>134</v>
      </c>
      <c r="B270" s="8">
        <v>268</v>
      </c>
      <c r="D270">
        <v>2222.0268156425</v>
      </c>
      <c r="E270">
        <v>535.53631284916003</v>
      </c>
      <c r="F270">
        <v>124.04845814978</v>
      </c>
      <c r="G270">
        <v>110.87995594714</v>
      </c>
      <c r="I270" s="9">
        <f t="shared" si="26"/>
        <v>424.65635690202004</v>
      </c>
      <c r="J270" s="9">
        <f t="shared" si="27"/>
        <v>2097.9783574927201</v>
      </c>
      <c r="K270" s="9">
        <f t="shared" si="31"/>
        <v>424.65635690202004</v>
      </c>
      <c r="L270" s="10">
        <f t="shared" si="30"/>
        <v>0.20241217235888173</v>
      </c>
      <c r="M270" s="10">
        <f t="shared" si="28"/>
        <v>0.23930256891027563</v>
      </c>
      <c r="P270" s="8">
        <f t="shared" si="29"/>
        <v>-0.72381066599971489</v>
      </c>
    </row>
    <row r="271" spans="1:16" x14ac:dyDescent="0.2">
      <c r="A271" s="8">
        <v>134.5</v>
      </c>
      <c r="B271" s="8">
        <v>269</v>
      </c>
      <c r="D271">
        <v>2152.3441340782001</v>
      </c>
      <c r="E271">
        <v>519.10726256983003</v>
      </c>
      <c r="F271">
        <v>125.03524229075001</v>
      </c>
      <c r="G271">
        <v>110.41519823789</v>
      </c>
      <c r="I271" s="9">
        <f t="shared" si="26"/>
        <v>408.69206433194006</v>
      </c>
      <c r="J271" s="9">
        <f t="shared" si="27"/>
        <v>2027.3088917874502</v>
      </c>
      <c r="K271" s="9">
        <f t="shared" si="31"/>
        <v>408.69206433194006</v>
      </c>
      <c r="L271" s="10">
        <f t="shared" si="30"/>
        <v>0.20159338618181757</v>
      </c>
      <c r="M271" s="10">
        <f t="shared" si="28"/>
        <v>0.23862143346661219</v>
      </c>
      <c r="P271" s="8">
        <f t="shared" si="29"/>
        <v>-1.0063840273102804</v>
      </c>
    </row>
    <row r="272" spans="1:16" x14ac:dyDescent="0.2">
      <c r="A272" s="8">
        <v>135</v>
      </c>
      <c r="B272" s="8">
        <v>270</v>
      </c>
      <c r="D272">
        <v>2139.4648044692999</v>
      </c>
      <c r="E272">
        <v>518.61675977653999</v>
      </c>
      <c r="F272">
        <v>124.70925110132001</v>
      </c>
      <c r="G272">
        <v>110.05396475771001</v>
      </c>
      <c r="I272" s="9">
        <f t="shared" si="26"/>
        <v>408.56279501883</v>
      </c>
      <c r="J272" s="9">
        <f t="shared" si="27"/>
        <v>2014.7555533679799</v>
      </c>
      <c r="K272" s="9">
        <f t="shared" si="31"/>
        <v>408.56279501883</v>
      </c>
      <c r="L272" s="10">
        <f t="shared" si="30"/>
        <v>0.20278529290357494</v>
      </c>
      <c r="M272" s="10">
        <f t="shared" si="28"/>
        <v>0.23995099092177027</v>
      </c>
      <c r="P272" s="8">
        <f t="shared" si="29"/>
        <v>-0.4548086796248339</v>
      </c>
    </row>
    <row r="273" spans="1:16" x14ac:dyDescent="0.2">
      <c r="A273" s="8">
        <v>135.5</v>
      </c>
      <c r="B273" s="8">
        <v>271</v>
      </c>
      <c r="D273">
        <v>2109.9486033520002</v>
      </c>
      <c r="E273">
        <v>513.58770949720997</v>
      </c>
      <c r="F273">
        <v>125.02753303965</v>
      </c>
      <c r="G273">
        <v>110.26982378855</v>
      </c>
      <c r="I273" s="9">
        <f t="shared" si="26"/>
        <v>403.31788570865996</v>
      </c>
      <c r="J273" s="9">
        <f t="shared" si="27"/>
        <v>1984.9210703123501</v>
      </c>
      <c r="K273" s="9">
        <f t="shared" si="31"/>
        <v>403.31788570865996</v>
      </c>
      <c r="L273" s="10">
        <f t="shared" si="30"/>
        <v>0.20319089345209745</v>
      </c>
      <c r="M273" s="10">
        <f t="shared" si="28"/>
        <v>0.2404942422036935</v>
      </c>
      <c r="P273" s="8">
        <f t="shared" si="29"/>
        <v>-0.2294374378293888</v>
      </c>
    </row>
    <row r="274" spans="1:16" x14ac:dyDescent="0.2">
      <c r="A274" s="8">
        <v>136</v>
      </c>
      <c r="B274" s="8">
        <v>272</v>
      </c>
      <c r="D274">
        <v>2127.3340782123</v>
      </c>
      <c r="E274">
        <v>518.78882681564005</v>
      </c>
      <c r="F274">
        <v>124.41850220264</v>
      </c>
      <c r="G274">
        <v>110.35572687225</v>
      </c>
      <c r="I274" s="9">
        <f t="shared" si="26"/>
        <v>408.43309994339006</v>
      </c>
      <c r="J274" s="9">
        <f t="shared" si="27"/>
        <v>2002.9155760096601</v>
      </c>
      <c r="K274" s="9">
        <f t="shared" si="31"/>
        <v>408.43309994339006</v>
      </c>
      <c r="L274" s="10">
        <f t="shared" si="30"/>
        <v>0.20391927889297126</v>
      </c>
      <c r="M274" s="10">
        <f t="shared" si="28"/>
        <v>0.24136027837796803</v>
      </c>
      <c r="P274" s="8">
        <f t="shared" si="29"/>
        <v>0.12984316496099468</v>
      </c>
    </row>
    <row r="275" spans="1:16" x14ac:dyDescent="0.2">
      <c r="A275" s="8">
        <v>136.5</v>
      </c>
      <c r="B275" s="8">
        <v>273</v>
      </c>
      <c r="D275">
        <v>2185.6491620112001</v>
      </c>
      <c r="E275">
        <v>524.85698324021996</v>
      </c>
      <c r="F275">
        <v>124.52422907489</v>
      </c>
      <c r="G275">
        <v>110.23788546256</v>
      </c>
      <c r="I275" s="9">
        <f>E275-G275</f>
        <v>414.61909777765993</v>
      </c>
      <c r="J275" s="9">
        <f>D275-F275</f>
        <v>2061.12493293631</v>
      </c>
      <c r="K275" s="9">
        <f t="shared" si="31"/>
        <v>414.61909777765993</v>
      </c>
      <c r="L275" s="10">
        <f t="shared" si="30"/>
        <v>0.20116155559138632</v>
      </c>
      <c r="M275" s="10">
        <f>L275+ABS($N$2)*A275</f>
        <v>0.23874020580978383</v>
      </c>
      <c r="O275" s="11"/>
      <c r="P275" s="8">
        <f>(M275-$O$2)/$O$2*100</f>
        <v>-0.95711056701252539</v>
      </c>
    </row>
    <row r="276" spans="1:16" x14ac:dyDescent="0.2">
      <c r="A276" s="8">
        <v>137</v>
      </c>
      <c r="B276" s="8">
        <v>274</v>
      </c>
      <c r="D276">
        <v>2044.575083426</v>
      </c>
      <c r="E276">
        <v>493.2680756396</v>
      </c>
      <c r="F276">
        <v>125.44052863436001</v>
      </c>
      <c r="G276">
        <v>110.33149779736</v>
      </c>
      <c r="I276" s="9">
        <f t="shared" ref="I276:I291" si="32">E276-G276</f>
        <v>382.93657784224001</v>
      </c>
      <c r="J276" s="9">
        <f t="shared" ref="J276:J291" si="33">D276-F276</f>
        <v>1919.1345547916401</v>
      </c>
      <c r="K276" s="9">
        <f t="shared" si="31"/>
        <v>382.93657784224001</v>
      </c>
      <c r="L276" s="10">
        <f t="shared" si="30"/>
        <v>0.19953607572024326</v>
      </c>
      <c r="M276" s="10">
        <f t="shared" ref="M276:M291" si="34">L276+ABS($N$2)*A276</f>
        <v>0.23725237667204149</v>
      </c>
      <c r="P276" s="8">
        <f t="shared" ref="P276:P291" si="35">(M276-$O$2)/$O$2*100</f>
        <v>-1.5743459266150883</v>
      </c>
    </row>
    <row r="277" spans="1:16" x14ac:dyDescent="0.2">
      <c r="A277" s="8">
        <v>137.5</v>
      </c>
      <c r="B277" s="8">
        <v>275</v>
      </c>
      <c r="D277">
        <v>1996.233592881</v>
      </c>
      <c r="E277">
        <v>483.63848720801002</v>
      </c>
      <c r="F277">
        <v>124.74449339207</v>
      </c>
      <c r="G277">
        <v>110.46696035242</v>
      </c>
      <c r="I277" s="9">
        <f t="shared" si="32"/>
        <v>373.17152685559</v>
      </c>
      <c r="J277" s="9">
        <f t="shared" si="33"/>
        <v>1871.4890994889302</v>
      </c>
      <c r="K277" s="9">
        <f t="shared" si="31"/>
        <v>373.17152685559</v>
      </c>
      <c r="L277" s="10">
        <f t="shared" si="30"/>
        <v>0.19939818348794894</v>
      </c>
      <c r="M277" s="10">
        <f t="shared" si="34"/>
        <v>0.23725213517314789</v>
      </c>
      <c r="N277" s="1"/>
      <c r="P277" s="8">
        <f t="shared" si="35"/>
        <v>-1.5744461139636599</v>
      </c>
    </row>
    <row r="278" spans="1:16" x14ac:dyDescent="0.2">
      <c r="A278" s="8">
        <v>138</v>
      </c>
      <c r="B278" s="8">
        <v>276</v>
      </c>
      <c r="D278">
        <v>1907.3314794216001</v>
      </c>
      <c r="E278">
        <v>468.48609566185002</v>
      </c>
      <c r="F278">
        <v>124.11453744492999</v>
      </c>
      <c r="G278">
        <v>110.37224669603999</v>
      </c>
      <c r="I278" s="9">
        <f t="shared" si="32"/>
        <v>358.11384896581001</v>
      </c>
      <c r="J278" s="9">
        <f t="shared" si="33"/>
        <v>1783.2169419766701</v>
      </c>
      <c r="K278" s="9">
        <f t="shared" si="31"/>
        <v>358.11384896581001</v>
      </c>
      <c r="L278" s="10">
        <f t="shared" si="30"/>
        <v>0.20082461114845959</v>
      </c>
      <c r="M278" s="10">
        <f t="shared" si="34"/>
        <v>0.23881621356705926</v>
      </c>
      <c r="P278" s="8">
        <f t="shared" si="35"/>
        <v>-0.9255782665592146</v>
      </c>
    </row>
    <row r="279" spans="1:16" x14ac:dyDescent="0.2">
      <c r="A279" s="8">
        <v>138.5</v>
      </c>
      <c r="B279" s="8">
        <v>277</v>
      </c>
      <c r="D279">
        <v>1991.3381535039</v>
      </c>
      <c r="E279">
        <v>485.03225806452002</v>
      </c>
      <c r="F279">
        <v>125.51982378855</v>
      </c>
      <c r="G279">
        <v>110.68392070485</v>
      </c>
      <c r="I279" s="9">
        <f t="shared" si="32"/>
        <v>374.34833735967004</v>
      </c>
      <c r="J279" s="9">
        <f t="shared" si="33"/>
        <v>1865.81832971535</v>
      </c>
      <c r="K279" s="9">
        <f t="shared" si="31"/>
        <v>374.34833735967004</v>
      </c>
      <c r="L279" s="10">
        <f t="shared" si="30"/>
        <v>0.20063493395778825</v>
      </c>
      <c r="M279" s="10">
        <f t="shared" si="34"/>
        <v>0.23876418710978864</v>
      </c>
      <c r="P279" s="8">
        <f t="shared" si="35"/>
        <v>-0.94716177251945344</v>
      </c>
    </row>
    <row r="280" spans="1:16" x14ac:dyDescent="0.2">
      <c r="A280" s="8">
        <v>139</v>
      </c>
      <c r="B280" s="8">
        <v>278</v>
      </c>
      <c r="D280">
        <v>2147.357615894</v>
      </c>
      <c r="E280">
        <v>519.38410596026995</v>
      </c>
      <c r="F280">
        <v>124.9295154185</v>
      </c>
      <c r="G280">
        <v>110.59801762115001</v>
      </c>
      <c r="I280" s="9">
        <f t="shared" si="32"/>
        <v>408.78608833911994</v>
      </c>
      <c r="J280" s="9">
        <f t="shared" si="33"/>
        <v>2022.4281004755001</v>
      </c>
      <c r="K280" s="9">
        <f t="shared" si="31"/>
        <v>408.78608833911994</v>
      </c>
      <c r="L280" s="10">
        <f t="shared" si="30"/>
        <v>0.20212638869238853</v>
      </c>
      <c r="M280" s="10">
        <f t="shared" si="34"/>
        <v>0.24039329257778966</v>
      </c>
      <c r="P280" s="8">
        <f t="shared" si="35"/>
        <v>-0.27131703076507641</v>
      </c>
    </row>
    <row r="281" spans="1:16" x14ac:dyDescent="0.2">
      <c r="A281" s="8">
        <v>139.5</v>
      </c>
      <c r="B281" s="8">
        <v>279</v>
      </c>
      <c r="D281">
        <v>2078.0754716981</v>
      </c>
      <c r="E281">
        <v>505.19533851275997</v>
      </c>
      <c r="F281">
        <v>124.27643171806</v>
      </c>
      <c r="G281">
        <v>110.65088105727</v>
      </c>
      <c r="I281" s="9">
        <f t="shared" si="32"/>
        <v>394.54445745548998</v>
      </c>
      <c r="J281" s="9">
        <f t="shared" si="33"/>
        <v>1953.7990399800401</v>
      </c>
      <c r="K281" s="9">
        <f t="shared" si="31"/>
        <v>394.54445745548998</v>
      </c>
      <c r="L281" s="10">
        <f t="shared" si="30"/>
        <v>0.20193707202329295</v>
      </c>
      <c r="M281" s="10">
        <f t="shared" si="34"/>
        <v>0.2403416266420948</v>
      </c>
      <c r="P281" s="8">
        <f t="shared" si="35"/>
        <v>-0.29275097206173034</v>
      </c>
    </row>
    <row r="282" spans="1:16" x14ac:dyDescent="0.2">
      <c r="A282" s="8">
        <v>140</v>
      </c>
      <c r="B282" s="8">
        <v>280</v>
      </c>
      <c r="D282">
        <v>2039.4434589800001</v>
      </c>
      <c r="E282">
        <v>499.77494456762997</v>
      </c>
      <c r="F282">
        <v>125.08149779736</v>
      </c>
      <c r="G282">
        <v>110.37114537444999</v>
      </c>
      <c r="I282" s="9">
        <f t="shared" si="32"/>
        <v>389.40379919317996</v>
      </c>
      <c r="J282" s="9">
        <f t="shared" si="33"/>
        <v>1914.36196118264</v>
      </c>
      <c r="K282" s="9">
        <f t="shared" si="31"/>
        <v>389.40379919317996</v>
      </c>
      <c r="L282" s="10">
        <f t="shared" si="30"/>
        <v>0.20341179311388796</v>
      </c>
      <c r="M282" s="10">
        <f t="shared" si="34"/>
        <v>0.24195399846609053</v>
      </c>
      <c r="P282" s="8">
        <f t="shared" si="35"/>
        <v>0.37615171128482733</v>
      </c>
    </row>
    <row r="283" spans="1:16" x14ac:dyDescent="0.2">
      <c r="A283" s="8">
        <v>140.5</v>
      </c>
      <c r="B283" s="8">
        <v>281</v>
      </c>
      <c r="D283">
        <v>2066.0234113711999</v>
      </c>
      <c r="E283">
        <v>502.55406911928998</v>
      </c>
      <c r="F283">
        <v>124.49118942731</v>
      </c>
      <c r="G283">
        <v>110.67400881057</v>
      </c>
      <c r="I283" s="9">
        <f t="shared" si="32"/>
        <v>391.88006030871998</v>
      </c>
      <c r="J283" s="9">
        <f t="shared" si="33"/>
        <v>1941.5322219438899</v>
      </c>
      <c r="K283" s="9">
        <f t="shared" si="31"/>
        <v>391.88006030871998</v>
      </c>
      <c r="L283" s="10">
        <f t="shared" si="30"/>
        <v>0.201840616333611</v>
      </c>
      <c r="M283" s="10">
        <f t="shared" si="34"/>
        <v>0.24052047241921429</v>
      </c>
      <c r="P283" s="8">
        <f t="shared" si="35"/>
        <v>-0.21855566646282509</v>
      </c>
    </row>
    <row r="284" spans="1:16" x14ac:dyDescent="0.2">
      <c r="A284" s="8">
        <v>141</v>
      </c>
      <c r="B284" s="8">
        <v>282</v>
      </c>
      <c r="D284">
        <v>1929.8528428094</v>
      </c>
      <c r="E284">
        <v>479.84726867336002</v>
      </c>
      <c r="F284">
        <v>124.43832599119</v>
      </c>
      <c r="G284">
        <v>110.29735682819</v>
      </c>
      <c r="I284" s="9">
        <f t="shared" si="32"/>
        <v>369.54991184517002</v>
      </c>
      <c r="J284" s="9">
        <f t="shared" si="33"/>
        <v>1805.4145168182101</v>
      </c>
      <c r="K284" s="9">
        <f t="shared" si="31"/>
        <v>369.54991184517002</v>
      </c>
      <c r="L284" s="10">
        <f t="shared" si="30"/>
        <v>0.20468978641893823</v>
      </c>
      <c r="M284" s="10">
        <f t="shared" si="34"/>
        <v>0.24350729323794224</v>
      </c>
      <c r="P284" s="8">
        <f t="shared" si="35"/>
        <v>1.0205459046446173</v>
      </c>
    </row>
    <row r="285" spans="1:16" x14ac:dyDescent="0.2">
      <c r="A285" s="8">
        <v>141.5</v>
      </c>
      <c r="B285" s="8">
        <v>283</v>
      </c>
      <c r="D285">
        <v>2032.1444568868999</v>
      </c>
      <c r="E285">
        <v>496.78499440090002</v>
      </c>
      <c r="F285">
        <v>124.66519823789</v>
      </c>
      <c r="G285">
        <v>110.78744493392</v>
      </c>
      <c r="I285" s="9">
        <f t="shared" si="32"/>
        <v>385.99754946697999</v>
      </c>
      <c r="J285" s="9">
        <f t="shared" si="33"/>
        <v>1907.4792586490098</v>
      </c>
      <c r="K285" s="9">
        <f t="shared" si="31"/>
        <v>385.99754946697999</v>
      </c>
      <c r="L285" s="10">
        <f t="shared" si="30"/>
        <v>0.20236002447563514</v>
      </c>
      <c r="M285" s="10">
        <f t="shared" si="34"/>
        <v>0.24131518202803987</v>
      </c>
      <c r="P285" s="8">
        <f t="shared" si="35"/>
        <v>0.11113465801045135</v>
      </c>
    </row>
    <row r="286" spans="1:16" x14ac:dyDescent="0.2">
      <c r="A286" s="8">
        <v>142</v>
      </c>
      <c r="B286" s="8">
        <v>284</v>
      </c>
      <c r="D286">
        <v>2040.8846584547</v>
      </c>
      <c r="E286">
        <v>495.98208286673997</v>
      </c>
      <c r="F286">
        <v>124.26321585903</v>
      </c>
      <c r="G286">
        <v>110.11453744492999</v>
      </c>
      <c r="I286" s="9">
        <f t="shared" si="32"/>
        <v>385.86754542180995</v>
      </c>
      <c r="J286" s="9">
        <f t="shared" si="33"/>
        <v>1916.62144259567</v>
      </c>
      <c r="K286" s="9">
        <f t="shared" si="31"/>
        <v>385.86754542180995</v>
      </c>
      <c r="L286" s="10">
        <f t="shared" si="30"/>
        <v>0.20132694795443362</v>
      </c>
      <c r="M286" s="10">
        <f t="shared" si="34"/>
        <v>0.24041975624023909</v>
      </c>
      <c r="P286" s="8">
        <f t="shared" si="35"/>
        <v>-0.2603384124587011</v>
      </c>
    </row>
    <row r="287" spans="1:16" x14ac:dyDescent="0.2">
      <c r="A287" s="8">
        <v>142.5</v>
      </c>
      <c r="B287" s="8">
        <v>285</v>
      </c>
      <c r="D287">
        <v>2068.7122060470001</v>
      </c>
      <c r="E287">
        <v>502.67077267637001</v>
      </c>
      <c r="F287">
        <v>124.53303964758</v>
      </c>
      <c r="G287">
        <v>110.47246696035</v>
      </c>
      <c r="I287" s="9">
        <f t="shared" si="32"/>
        <v>392.19830571602</v>
      </c>
      <c r="J287" s="9">
        <f t="shared" si="33"/>
        <v>1944.1791663994202</v>
      </c>
      <c r="K287" s="9">
        <f t="shared" si="31"/>
        <v>392.19830571602</v>
      </c>
      <c r="L287" s="10">
        <f t="shared" si="30"/>
        <v>0.20172950749305846</v>
      </c>
      <c r="M287" s="10">
        <f t="shared" si="34"/>
        <v>0.24095996651226465</v>
      </c>
      <c r="P287" s="8">
        <f t="shared" si="35"/>
        <v>-3.6228752917650341E-2</v>
      </c>
    </row>
    <row r="288" spans="1:16" x14ac:dyDescent="0.2">
      <c r="A288" s="8">
        <v>143</v>
      </c>
      <c r="B288" s="8">
        <v>286</v>
      </c>
      <c r="D288">
        <v>2154.9440089586001</v>
      </c>
      <c r="E288">
        <v>521.49272116460997</v>
      </c>
      <c r="F288">
        <v>124.33039647577</v>
      </c>
      <c r="G288">
        <v>110.58039647577</v>
      </c>
      <c r="I288" s="9">
        <f t="shared" si="32"/>
        <v>410.91232468883999</v>
      </c>
      <c r="J288" s="9">
        <f t="shared" si="33"/>
        <v>2030.6136124828301</v>
      </c>
      <c r="K288" s="9">
        <f t="shared" si="31"/>
        <v>410.91232468883999</v>
      </c>
      <c r="L288" s="10">
        <f t="shared" si="30"/>
        <v>0.20235869697850478</v>
      </c>
      <c r="M288" s="10">
        <f t="shared" si="34"/>
        <v>0.24172680673111169</v>
      </c>
      <c r="P288" s="8">
        <f t="shared" si="35"/>
        <v>0.28189977826301194</v>
      </c>
    </row>
    <row r="289" spans="1:16" x14ac:dyDescent="0.2">
      <c r="A289" s="8">
        <v>143.5</v>
      </c>
      <c r="B289" s="8">
        <v>287</v>
      </c>
      <c r="D289">
        <v>2183.0940649496001</v>
      </c>
      <c r="E289">
        <v>526.61030235162002</v>
      </c>
      <c r="F289">
        <v>124.47797356828001</v>
      </c>
      <c r="G289">
        <v>110.1795154185</v>
      </c>
      <c r="I289" s="9">
        <f t="shared" si="32"/>
        <v>416.43078693312003</v>
      </c>
      <c r="J289" s="9">
        <f t="shared" si="33"/>
        <v>2058.6160913813201</v>
      </c>
      <c r="K289" s="9">
        <f t="shared" si="31"/>
        <v>416.43078693312003</v>
      </c>
      <c r="L289" s="10">
        <f t="shared" si="30"/>
        <v>0.20228676375190346</v>
      </c>
      <c r="M289" s="10">
        <f t="shared" si="34"/>
        <v>0.24179252423791109</v>
      </c>
      <c r="P289" s="8">
        <f t="shared" si="35"/>
        <v>0.309163103004093</v>
      </c>
    </row>
    <row r="290" spans="1:16" x14ac:dyDescent="0.2">
      <c r="A290" s="8">
        <v>144</v>
      </c>
      <c r="B290" s="8">
        <v>288</v>
      </c>
      <c r="D290">
        <v>2159.4255319149001</v>
      </c>
      <c r="E290">
        <v>526.60246360582005</v>
      </c>
      <c r="F290">
        <v>124.22577092511</v>
      </c>
      <c r="G290">
        <v>110.35682819383</v>
      </c>
      <c r="I290" s="9">
        <f t="shared" si="32"/>
        <v>416.24563541199007</v>
      </c>
      <c r="J290" s="9">
        <f t="shared" si="33"/>
        <v>2035.1997609897901</v>
      </c>
      <c r="K290" s="9">
        <f t="shared" si="31"/>
        <v>416.24563541199007</v>
      </c>
      <c r="L290" s="10">
        <f t="shared" si="30"/>
        <v>0.20452323324249752</v>
      </c>
      <c r="M290" s="10">
        <f t="shared" si="34"/>
        <v>0.24416664446190589</v>
      </c>
      <c r="P290" s="8">
        <f t="shared" si="35"/>
        <v>1.2940819441693894</v>
      </c>
    </row>
    <row r="291" spans="1:16" x14ac:dyDescent="0.2">
      <c r="A291" s="8">
        <v>144.5</v>
      </c>
      <c r="B291" s="8">
        <v>289</v>
      </c>
      <c r="D291">
        <v>2298.4435754189999</v>
      </c>
      <c r="E291">
        <v>552.36759776535996</v>
      </c>
      <c r="F291">
        <v>124.36233480176</v>
      </c>
      <c r="G291">
        <v>110.00220264316999</v>
      </c>
      <c r="I291" s="9">
        <f t="shared" si="32"/>
        <v>442.36539512218997</v>
      </c>
      <c r="J291" s="9">
        <f t="shared" si="33"/>
        <v>2174.0812406172399</v>
      </c>
      <c r="K291" s="9">
        <f t="shared" si="31"/>
        <v>442.36539512218997</v>
      </c>
      <c r="L291" s="10">
        <f t="shared" si="30"/>
        <v>0.20347233896218098</v>
      </c>
      <c r="M291" s="10">
        <f t="shared" si="34"/>
        <v>0.24325340091499006</v>
      </c>
      <c r="P291" s="8">
        <f t="shared" si="35"/>
        <v>0.91521706325930208</v>
      </c>
    </row>
    <row r="292" spans="1:16" x14ac:dyDescent="0.2">
      <c r="A292" s="8">
        <v>145</v>
      </c>
      <c r="B292" s="8">
        <v>290</v>
      </c>
      <c r="D292">
        <v>2269.522956327</v>
      </c>
      <c r="E292">
        <v>546.04031354982999</v>
      </c>
      <c r="F292">
        <v>124.66189427313</v>
      </c>
      <c r="G292">
        <v>110.19823788546</v>
      </c>
      <c r="I292" s="9">
        <f>E292-G292</f>
        <v>435.84207566436999</v>
      </c>
      <c r="J292" s="9">
        <f>D292-F292</f>
        <v>2144.8610620538698</v>
      </c>
      <c r="K292" s="9">
        <f t="shared" si="31"/>
        <v>435.84207566436999</v>
      </c>
      <c r="L292" s="10">
        <f t="shared" si="30"/>
        <v>0.20320294091544447</v>
      </c>
      <c r="M292" s="10">
        <f>L292+ABS($N$2)*A292</f>
        <v>0.24312165360165428</v>
      </c>
      <c r="O292" s="11"/>
      <c r="P292" s="8">
        <f>(M292-$O$2)/$O$2*100</f>
        <v>0.86056085424938678</v>
      </c>
    </row>
    <row r="293" spans="1:16" x14ac:dyDescent="0.2">
      <c r="A293" s="8">
        <v>145.5</v>
      </c>
      <c r="B293" s="8">
        <v>291</v>
      </c>
      <c r="D293">
        <v>2317.2933930570998</v>
      </c>
      <c r="E293">
        <v>555.70324748040002</v>
      </c>
      <c r="F293">
        <v>124.35792951542</v>
      </c>
      <c r="G293">
        <v>110.2191629956</v>
      </c>
      <c r="I293" s="9">
        <f t="shared" ref="I293:I301" si="36">E293-G293</f>
        <v>445.48408448480001</v>
      </c>
      <c r="J293" s="9">
        <f t="shared" ref="J293:J301" si="37">D293-F293</f>
        <v>2192.9354635416798</v>
      </c>
      <c r="K293" s="9">
        <f t="shared" si="31"/>
        <v>445.48408448480001</v>
      </c>
      <c r="L293" s="10">
        <f t="shared" si="30"/>
        <v>0.20314509564514274</v>
      </c>
      <c r="M293" s="10">
        <f t="shared" ref="M293:M301" si="38">L293+ABS($N$2)*A293</f>
        <v>0.24320145906475327</v>
      </c>
      <c r="P293" s="8">
        <f t="shared" ref="P293:P301" si="39">(M293-$O$2)/$O$2*100</f>
        <v>0.8936686570639637</v>
      </c>
    </row>
    <row r="294" spans="1:16" x14ac:dyDescent="0.2">
      <c r="A294" s="8">
        <v>146</v>
      </c>
      <c r="B294" s="8">
        <v>292</v>
      </c>
      <c r="D294">
        <v>2321.0459126539999</v>
      </c>
      <c r="E294">
        <v>561.26987681971002</v>
      </c>
      <c r="F294">
        <v>124.12114537444999</v>
      </c>
      <c r="G294">
        <v>110.18061674009</v>
      </c>
      <c r="I294" s="9">
        <f t="shared" si="36"/>
        <v>451.08926007962003</v>
      </c>
      <c r="J294" s="9">
        <f t="shared" si="37"/>
        <v>2196.92476727955</v>
      </c>
      <c r="K294" s="9">
        <f t="shared" si="31"/>
        <v>451.08926007962003</v>
      </c>
      <c r="L294" s="10">
        <f t="shared" si="30"/>
        <v>0.20532758645085669</v>
      </c>
      <c r="M294" s="10">
        <f t="shared" si="38"/>
        <v>0.24552160060386793</v>
      </c>
      <c r="N294" s="1"/>
      <c r="P294" s="8">
        <f t="shared" si="39"/>
        <v>1.8561940982563168</v>
      </c>
    </row>
    <row r="295" spans="1:16" x14ac:dyDescent="0.2">
      <c r="A295" s="8">
        <v>146.5</v>
      </c>
      <c r="B295" s="8">
        <v>293</v>
      </c>
      <c r="D295">
        <v>2327.2541993281002</v>
      </c>
      <c r="E295">
        <v>563.57558790593998</v>
      </c>
      <c r="F295">
        <v>125.36453744492999</v>
      </c>
      <c r="G295">
        <v>109.88766519824</v>
      </c>
      <c r="I295" s="9">
        <f t="shared" si="36"/>
        <v>453.68792270769995</v>
      </c>
      <c r="J295" s="9">
        <f t="shared" si="37"/>
        <v>2201.88966188317</v>
      </c>
      <c r="K295" s="9">
        <f t="shared" si="31"/>
        <v>453.68792270769995</v>
      </c>
      <c r="L295" s="10">
        <f t="shared" si="30"/>
        <v>0.20604480349831997</v>
      </c>
      <c r="M295" s="10">
        <f t="shared" si="38"/>
        <v>0.24637646838473193</v>
      </c>
      <c r="P295" s="8">
        <f t="shared" si="39"/>
        <v>2.2108414221653678</v>
      </c>
    </row>
    <row r="296" spans="1:16" x14ac:dyDescent="0.2">
      <c r="A296" s="8">
        <v>147</v>
      </c>
      <c r="B296" s="8">
        <v>294</v>
      </c>
      <c r="D296">
        <v>2269.9686450168001</v>
      </c>
      <c r="E296">
        <v>549.72564389698005</v>
      </c>
      <c r="F296">
        <v>124.61453744492999</v>
      </c>
      <c r="G296">
        <v>110.58700440529</v>
      </c>
      <c r="I296" s="9">
        <f t="shared" si="36"/>
        <v>439.13863949169001</v>
      </c>
      <c r="J296" s="9">
        <f t="shared" si="37"/>
        <v>2145.3541075718699</v>
      </c>
      <c r="K296" s="9">
        <f t="shared" si="31"/>
        <v>439.13863949169001</v>
      </c>
      <c r="L296" s="10">
        <f t="shared" si="30"/>
        <v>0.20469284671550603</v>
      </c>
      <c r="M296" s="10">
        <f t="shared" si="38"/>
        <v>0.24516216233531873</v>
      </c>
      <c r="P296" s="8">
        <f t="shared" si="39"/>
        <v>1.7070788515422086</v>
      </c>
    </row>
    <row r="297" spans="1:16" x14ac:dyDescent="0.2">
      <c r="A297" s="8">
        <v>147.5</v>
      </c>
      <c r="B297" s="8">
        <v>295</v>
      </c>
      <c r="D297">
        <v>2384.7446808510999</v>
      </c>
      <c r="E297">
        <v>571.94400895856995</v>
      </c>
      <c r="F297">
        <v>124.65748898678</v>
      </c>
      <c r="G297">
        <v>110.44162995595001</v>
      </c>
      <c r="I297" s="9">
        <f t="shared" si="36"/>
        <v>461.50237900261993</v>
      </c>
      <c r="J297" s="9">
        <f t="shared" si="37"/>
        <v>2260.0871918643197</v>
      </c>
      <c r="K297" s="9">
        <f t="shared" si="31"/>
        <v>461.50237900261993</v>
      </c>
      <c r="L297" s="10">
        <f t="shared" si="30"/>
        <v>0.204196714473627</v>
      </c>
      <c r="M297" s="10">
        <f t="shared" si="38"/>
        <v>0.24480368082684043</v>
      </c>
      <c r="P297" s="8">
        <f t="shared" si="39"/>
        <v>1.5583605228151389</v>
      </c>
    </row>
    <row r="298" spans="1:16" x14ac:dyDescent="0.2">
      <c r="A298" s="8">
        <v>148</v>
      </c>
      <c r="B298" s="8">
        <v>296</v>
      </c>
      <c r="D298">
        <v>2274.0307692308002</v>
      </c>
      <c r="E298">
        <v>555.65714285714</v>
      </c>
      <c r="F298">
        <v>124.45704845815</v>
      </c>
      <c r="G298">
        <v>110.53744493392</v>
      </c>
      <c r="I298" s="9">
        <f t="shared" si="36"/>
        <v>445.11969792321997</v>
      </c>
      <c r="J298" s="9">
        <f t="shared" si="37"/>
        <v>2149.5737207726502</v>
      </c>
      <c r="K298" s="9">
        <f t="shared" si="31"/>
        <v>445.11969792321997</v>
      </c>
      <c r="L298" s="10">
        <f t="shared" si="30"/>
        <v>0.2070734739738187</v>
      </c>
      <c r="M298" s="10">
        <f t="shared" si="38"/>
        <v>0.24781809106043284</v>
      </c>
      <c r="P298" s="8">
        <f t="shared" si="39"/>
        <v>2.8089077377623948</v>
      </c>
    </row>
    <row r="299" spans="1:16" x14ac:dyDescent="0.2">
      <c r="A299" s="8">
        <v>148.5</v>
      </c>
      <c r="B299" s="8">
        <v>297</v>
      </c>
      <c r="D299">
        <v>2260.7558268591001</v>
      </c>
      <c r="E299">
        <v>544.33296337402999</v>
      </c>
      <c r="F299">
        <v>124.73898678414</v>
      </c>
      <c r="G299">
        <v>110.45925110132001</v>
      </c>
      <c r="I299" s="9">
        <f t="shared" si="36"/>
        <v>433.87371227271001</v>
      </c>
      <c r="J299" s="9">
        <f t="shared" si="37"/>
        <v>2136.0168400749603</v>
      </c>
      <c r="K299" s="9">
        <f t="shared" si="31"/>
        <v>433.87371227271001</v>
      </c>
      <c r="L299" s="10">
        <f t="shared" si="30"/>
        <v>0.20312279572546996</v>
      </c>
      <c r="M299" s="10">
        <f t="shared" si="38"/>
        <v>0.24400506354548482</v>
      </c>
      <c r="P299" s="8">
        <f t="shared" si="39"/>
        <v>1.227049075594568</v>
      </c>
    </row>
    <row r="300" spans="1:16" x14ac:dyDescent="0.2">
      <c r="A300" s="8">
        <v>149</v>
      </c>
      <c r="B300" s="8">
        <v>298</v>
      </c>
      <c r="D300">
        <v>2193.9023307436</v>
      </c>
      <c r="E300">
        <v>525.80355160932004</v>
      </c>
      <c r="F300">
        <v>123.97907488987001</v>
      </c>
      <c r="G300">
        <v>110.26101321586</v>
      </c>
      <c r="I300" s="9">
        <f t="shared" si="36"/>
        <v>415.54253839346006</v>
      </c>
      <c r="J300" s="9">
        <f t="shared" si="37"/>
        <v>2069.9232558537301</v>
      </c>
      <c r="K300" s="9">
        <f t="shared" si="31"/>
        <v>415.54253839346006</v>
      </c>
      <c r="L300" s="10">
        <f t="shared" si="30"/>
        <v>0.20075263042642202</v>
      </c>
      <c r="M300" s="10">
        <f t="shared" si="38"/>
        <v>0.24177254897983763</v>
      </c>
      <c r="P300" s="8">
        <f t="shared" si="39"/>
        <v>0.30087624042870809</v>
      </c>
    </row>
    <row r="301" spans="1:16" x14ac:dyDescent="0.2">
      <c r="A301" s="8">
        <v>149.5</v>
      </c>
      <c r="B301" s="8">
        <v>299</v>
      </c>
      <c r="D301">
        <v>2322.9138702461</v>
      </c>
      <c r="E301">
        <v>553.93736017897004</v>
      </c>
      <c r="F301">
        <v>124.40418502203001</v>
      </c>
      <c r="G301">
        <v>110.48127753304</v>
      </c>
      <c r="I301" s="9">
        <f t="shared" si="36"/>
        <v>443.45608264593005</v>
      </c>
      <c r="J301" s="9">
        <f t="shared" si="37"/>
        <v>2198.5096852240699</v>
      </c>
      <c r="K301" s="9">
        <f t="shared" si="31"/>
        <v>443.45608264593005</v>
      </c>
      <c r="L301" s="10">
        <f t="shared" si="30"/>
        <v>0.20170758656482035</v>
      </c>
      <c r="M301" s="10">
        <f t="shared" si="38"/>
        <v>0.24286515585163668</v>
      </c>
      <c r="P301" s="8">
        <f t="shared" si="39"/>
        <v>0.75415113491185781</v>
      </c>
    </row>
    <row r="302" spans="1:16" x14ac:dyDescent="0.2">
      <c r="A302" s="8">
        <v>150</v>
      </c>
      <c r="B302" s="8">
        <v>300</v>
      </c>
      <c r="D302">
        <v>2333.6431767337999</v>
      </c>
      <c r="E302">
        <v>555.58724832215</v>
      </c>
      <c r="F302">
        <v>124.47246696035</v>
      </c>
      <c r="G302">
        <v>110.27202643171999</v>
      </c>
      <c r="I302" s="9">
        <f>E302-G302</f>
        <v>445.31522189043</v>
      </c>
      <c r="J302" s="9">
        <f>D302-F302</f>
        <v>2209.1707097734497</v>
      </c>
      <c r="K302" s="9">
        <f t="shared" si="31"/>
        <v>445.31522189043</v>
      </c>
      <c r="L302" s="10">
        <f t="shared" si="30"/>
        <v>0.20157574058009173</v>
      </c>
      <c r="M302" s="10">
        <f>L302+ABS($N$2)*A302</f>
        <v>0.24287096060030877</v>
      </c>
      <c r="O302" s="11"/>
      <c r="P302" s="8">
        <f>(M302-$O$2)/$O$2*100</f>
        <v>0.75655927173559245</v>
      </c>
    </row>
    <row r="303" spans="1:16" x14ac:dyDescent="0.2">
      <c r="A303" s="8">
        <v>150.5</v>
      </c>
      <c r="B303" s="8">
        <v>301</v>
      </c>
      <c r="D303">
        <v>2217.0447427293002</v>
      </c>
      <c r="E303">
        <v>538.68568232662005</v>
      </c>
      <c r="F303">
        <v>124.9922907489</v>
      </c>
      <c r="G303">
        <v>110.03744493392</v>
      </c>
      <c r="I303" s="9">
        <f t="shared" ref="I303:I309" si="40">E303-G303</f>
        <v>428.64823739270003</v>
      </c>
      <c r="J303" s="9">
        <f t="shared" ref="J303:J309" si="41">D303-F303</f>
        <v>2092.0524519804003</v>
      </c>
      <c r="K303" s="9">
        <f t="shared" si="31"/>
        <v>428.64823739270003</v>
      </c>
      <c r="L303" s="10">
        <f t="shared" si="30"/>
        <v>0.20489363781817641</v>
      </c>
      <c r="M303" s="10">
        <f t="shared" ref="M303:M309" si="42">L303+ABS($N$2)*A303</f>
        <v>0.24632650857179417</v>
      </c>
      <c r="P303" s="8">
        <f t="shared" ref="P303:P309" si="43">(M303-$O$2)/$O$2*100</f>
        <v>2.1901152767216052</v>
      </c>
    </row>
    <row r="304" spans="1:16" x14ac:dyDescent="0.2">
      <c r="A304" s="8">
        <v>151</v>
      </c>
      <c r="B304" s="8">
        <v>302</v>
      </c>
      <c r="D304">
        <v>2275.6610738254999</v>
      </c>
      <c r="E304">
        <v>548.84675615212996</v>
      </c>
      <c r="F304">
        <v>124.46145374449</v>
      </c>
      <c r="G304">
        <v>110.11123348018</v>
      </c>
      <c r="I304" s="9">
        <f t="shared" si="40"/>
        <v>438.73552267194998</v>
      </c>
      <c r="J304" s="9">
        <f t="shared" si="41"/>
        <v>2151.1996200810099</v>
      </c>
      <c r="K304" s="9">
        <f t="shared" si="31"/>
        <v>438.73552267194998</v>
      </c>
      <c r="L304" s="10">
        <f t="shared" si="30"/>
        <v>0.20394923770739048</v>
      </c>
      <c r="M304" s="10">
        <f t="shared" si="42"/>
        <v>0.24551975919440897</v>
      </c>
      <c r="N304" s="1"/>
      <c r="P304" s="8">
        <f t="shared" si="43"/>
        <v>1.8554301778566218</v>
      </c>
    </row>
    <row r="305" spans="1:16" x14ac:dyDescent="0.2">
      <c r="A305" s="8">
        <v>151.5</v>
      </c>
      <c r="B305" s="8">
        <v>303</v>
      </c>
      <c r="D305">
        <v>2232.0523968785001</v>
      </c>
      <c r="E305">
        <v>533.62876254181003</v>
      </c>
      <c r="F305">
        <v>124.13436123348001</v>
      </c>
      <c r="G305">
        <v>109.95264317181</v>
      </c>
      <c r="I305" s="9">
        <f t="shared" si="40"/>
        <v>423.67611937000004</v>
      </c>
      <c r="J305" s="9">
        <f t="shared" si="41"/>
        <v>2107.9180356450202</v>
      </c>
      <c r="K305" s="9">
        <f t="shared" si="31"/>
        <v>423.67611937000004</v>
      </c>
      <c r="L305" s="10">
        <f t="shared" si="30"/>
        <v>0.20099269146409465</v>
      </c>
      <c r="M305" s="10">
        <f t="shared" si="42"/>
        <v>0.24270086368451388</v>
      </c>
      <c r="P305" s="8">
        <f t="shared" si="43"/>
        <v>0.68599348677774374</v>
      </c>
    </row>
    <row r="306" spans="1:16" x14ac:dyDescent="0.2">
      <c r="A306" s="8">
        <v>152</v>
      </c>
      <c r="B306" s="8">
        <v>304</v>
      </c>
      <c r="D306">
        <v>2163.8874024525999</v>
      </c>
      <c r="E306">
        <v>517.10590858417004</v>
      </c>
      <c r="F306">
        <v>124.67841409691999</v>
      </c>
      <c r="G306">
        <v>110.27753303965</v>
      </c>
      <c r="I306" s="9">
        <f t="shared" si="40"/>
        <v>406.82837554452004</v>
      </c>
      <c r="J306" s="9">
        <f t="shared" si="41"/>
        <v>2039.2089883556798</v>
      </c>
      <c r="K306" s="9">
        <f t="shared" si="31"/>
        <v>406.82837554452004</v>
      </c>
      <c r="L306" s="10">
        <f t="shared" si="30"/>
        <v>0.19950303174789696</v>
      </c>
      <c r="M306" s="10">
        <f t="shared" si="42"/>
        <v>0.24134885470171691</v>
      </c>
      <c r="P306" s="8">
        <f t="shared" si="43"/>
        <v>0.12510398037321102</v>
      </c>
    </row>
    <row r="307" spans="1:16" x14ac:dyDescent="0.2">
      <c r="A307" s="8">
        <v>152.5</v>
      </c>
      <c r="B307" s="8">
        <v>305</v>
      </c>
      <c r="D307">
        <v>2236.6532887403</v>
      </c>
      <c r="E307">
        <v>532.03901895206002</v>
      </c>
      <c r="F307">
        <v>124.40418502203001</v>
      </c>
      <c r="G307">
        <v>110.24669603524001</v>
      </c>
      <c r="I307" s="9">
        <f t="shared" si="40"/>
        <v>421.79232291682001</v>
      </c>
      <c r="J307" s="9">
        <f t="shared" si="41"/>
        <v>2112.2491037182699</v>
      </c>
      <c r="K307" s="9">
        <f t="shared" si="31"/>
        <v>421.79232291682001</v>
      </c>
      <c r="L307" s="10">
        <f t="shared" si="30"/>
        <v>0.19968872145540195</v>
      </c>
      <c r="M307" s="10">
        <f t="shared" si="42"/>
        <v>0.24167219514262261</v>
      </c>
      <c r="P307" s="8">
        <f t="shared" si="43"/>
        <v>0.25924381421147469</v>
      </c>
    </row>
    <row r="308" spans="1:16" x14ac:dyDescent="0.2">
      <c r="A308" s="8">
        <v>153</v>
      </c>
      <c r="B308" s="8">
        <v>306</v>
      </c>
      <c r="D308">
        <v>2182.6360619469001</v>
      </c>
      <c r="E308">
        <v>528.11061946902998</v>
      </c>
      <c r="F308">
        <v>124.52422907489</v>
      </c>
      <c r="G308">
        <v>110.18502202643</v>
      </c>
      <c r="I308" s="9">
        <f t="shared" si="40"/>
        <v>417.92559744259995</v>
      </c>
      <c r="J308" s="9">
        <f t="shared" si="41"/>
        <v>2058.1118328720099</v>
      </c>
      <c r="K308" s="9">
        <f t="shared" si="31"/>
        <v>417.92559744259995</v>
      </c>
      <c r="L308" s="10">
        <f t="shared" si="30"/>
        <v>0.20306262797167929</v>
      </c>
      <c r="M308" s="10">
        <f t="shared" si="42"/>
        <v>0.24518375239230067</v>
      </c>
      <c r="P308" s="8">
        <f t="shared" si="43"/>
        <v>1.71603562369234</v>
      </c>
    </row>
    <row r="309" spans="1:16" x14ac:dyDescent="0.2">
      <c r="A309" s="8">
        <v>153.5</v>
      </c>
      <c r="B309" s="8">
        <v>307</v>
      </c>
      <c r="D309">
        <v>2172.6422319475</v>
      </c>
      <c r="E309">
        <v>520.12253829322003</v>
      </c>
      <c r="F309">
        <v>124.80726872247</v>
      </c>
      <c r="G309">
        <v>110.05286343612001</v>
      </c>
      <c r="I309" s="9">
        <f t="shared" si="40"/>
        <v>410.06967485710004</v>
      </c>
      <c r="J309" s="9">
        <f t="shared" si="41"/>
        <v>2047.8349632250299</v>
      </c>
      <c r="K309" s="9">
        <f t="shared" si="31"/>
        <v>410.06967485710004</v>
      </c>
      <c r="L309" s="10">
        <f t="shared" si="30"/>
        <v>0.20024547007992402</v>
      </c>
      <c r="M309" s="10">
        <f t="shared" si="42"/>
        <v>0.24250424523394612</v>
      </c>
      <c r="P309" s="8">
        <f t="shared" si="43"/>
        <v>0.60442507481288388</v>
      </c>
    </row>
    <row r="310" spans="1:16" x14ac:dyDescent="0.2">
      <c r="A310" s="8">
        <v>154</v>
      </c>
      <c r="B310" s="8">
        <v>308</v>
      </c>
      <c r="D310">
        <v>2241.4159292035001</v>
      </c>
      <c r="E310">
        <v>536.61836283186005</v>
      </c>
      <c r="F310">
        <v>124.58480176211999</v>
      </c>
      <c r="G310">
        <v>110.04295154185</v>
      </c>
      <c r="I310" s="9">
        <f>E310-G310</f>
        <v>426.57541129001004</v>
      </c>
      <c r="J310" s="9">
        <f>D310-F310</f>
        <v>2116.83112744138</v>
      </c>
      <c r="K310" s="9">
        <f t="shared" si="31"/>
        <v>426.57541129001004</v>
      </c>
      <c r="L310" s="10">
        <f t="shared" si="30"/>
        <v>0.20151603297973655</v>
      </c>
      <c r="M310" s="10">
        <f>L310+ABS($N$2)*A310</f>
        <v>0.24391245886715937</v>
      </c>
      <c r="O310" s="11"/>
      <c r="P310" s="8">
        <f>(M310-$O$2)/$O$2*100</f>
        <v>1.1886314371190765</v>
      </c>
    </row>
    <row r="311" spans="1:16" x14ac:dyDescent="0.2">
      <c r="A311" s="8">
        <v>154.5</v>
      </c>
      <c r="B311" s="8">
        <v>309</v>
      </c>
      <c r="D311">
        <v>2357.6194690266002</v>
      </c>
      <c r="E311">
        <v>548.80309734513003</v>
      </c>
      <c r="F311">
        <v>124.48017621145</v>
      </c>
      <c r="G311">
        <v>110.54845814978</v>
      </c>
      <c r="I311" s="9">
        <f t="shared" ref="I311:I319" si="44">E311-G311</f>
        <v>438.25463919535002</v>
      </c>
      <c r="J311" s="9">
        <f t="shared" ref="J311:J319" si="45">D311-F311</f>
        <v>2233.1392928151504</v>
      </c>
      <c r="K311" s="9">
        <f t="shared" si="31"/>
        <v>438.25463919535002</v>
      </c>
      <c r="L311" s="10">
        <f t="shared" si="30"/>
        <v>0.19625047152471867</v>
      </c>
      <c r="M311" s="10">
        <f t="shared" ref="M311:M319" si="46">L311+ABS($N$2)*A311</f>
        <v>0.23878454814554223</v>
      </c>
      <c r="P311" s="8">
        <f t="shared" ref="P311:P319" si="47">(M311-$O$2)/$O$2*100</f>
        <v>-0.93871486762530776</v>
      </c>
    </row>
    <row r="312" spans="1:16" x14ac:dyDescent="0.2">
      <c r="A312" s="8">
        <v>155</v>
      </c>
      <c r="B312" s="8">
        <v>310</v>
      </c>
      <c r="D312">
        <v>2154.7854748602999</v>
      </c>
      <c r="E312">
        <v>515.50279329608998</v>
      </c>
      <c r="F312">
        <v>124.95594713656</v>
      </c>
      <c r="G312">
        <v>110.15198237886</v>
      </c>
      <c r="I312" s="9">
        <f t="shared" si="44"/>
        <v>405.35081091722998</v>
      </c>
      <c r="J312" s="9">
        <f t="shared" si="45"/>
        <v>2029.8295277237398</v>
      </c>
      <c r="K312" s="9">
        <f t="shared" si="31"/>
        <v>405.35081091722998</v>
      </c>
      <c r="L312" s="10">
        <f t="shared" si="30"/>
        <v>0.19969697227322938</v>
      </c>
      <c r="M312" s="10">
        <f t="shared" si="46"/>
        <v>0.24236869962745367</v>
      </c>
      <c r="N312" s="1"/>
      <c r="P312" s="8">
        <f t="shared" si="47"/>
        <v>0.54819311978283913</v>
      </c>
    </row>
    <row r="313" spans="1:16" x14ac:dyDescent="0.2">
      <c r="A313" s="8">
        <v>155.5</v>
      </c>
      <c r="B313" s="8">
        <v>311</v>
      </c>
      <c r="D313">
        <v>2106.0567296997001</v>
      </c>
      <c r="E313">
        <v>496.98887652948002</v>
      </c>
      <c r="F313">
        <v>124.63656387665</v>
      </c>
      <c r="G313">
        <v>110.36233480176</v>
      </c>
      <c r="I313" s="9">
        <f t="shared" si="44"/>
        <v>386.62654172772</v>
      </c>
      <c r="J313" s="9">
        <f t="shared" si="45"/>
        <v>1981.4201658230502</v>
      </c>
      <c r="K313" s="9">
        <f t="shared" si="31"/>
        <v>386.62654172772</v>
      </c>
      <c r="L313" s="10">
        <f t="shared" si="30"/>
        <v>0.1951259749933561</v>
      </c>
      <c r="M313" s="10">
        <f t="shared" si="46"/>
        <v>0.2379353530809811</v>
      </c>
      <c r="P313" s="8">
        <f t="shared" si="47"/>
        <v>-1.2910088291768815</v>
      </c>
    </row>
    <row r="314" spans="1:16" x14ac:dyDescent="0.2">
      <c r="A314" s="8">
        <v>156</v>
      </c>
      <c r="B314" s="8">
        <v>312</v>
      </c>
      <c r="D314">
        <v>2082.7424412094001</v>
      </c>
      <c r="E314">
        <v>495.52855543112997</v>
      </c>
      <c r="F314">
        <v>124.89317180617</v>
      </c>
      <c r="G314">
        <v>110.38436123348001</v>
      </c>
      <c r="I314" s="9">
        <f t="shared" si="44"/>
        <v>385.14419419764999</v>
      </c>
      <c r="J314" s="9">
        <f t="shared" si="45"/>
        <v>1957.8492694032302</v>
      </c>
      <c r="K314" s="9">
        <f t="shared" si="31"/>
        <v>385.14419419764999</v>
      </c>
      <c r="L314" s="10">
        <f t="shared" si="30"/>
        <v>0.19671800082702248</v>
      </c>
      <c r="M314" s="10">
        <f t="shared" si="46"/>
        <v>0.2396650296480482</v>
      </c>
      <c r="P314" s="8">
        <f t="shared" si="47"/>
        <v>-0.57344152874760601</v>
      </c>
    </row>
    <row r="315" spans="1:16" x14ac:dyDescent="0.2">
      <c r="A315" s="8">
        <v>156.5</v>
      </c>
      <c r="B315" s="8">
        <v>313</v>
      </c>
      <c r="D315">
        <v>2198.2978723403999</v>
      </c>
      <c r="E315">
        <v>514.82642777156002</v>
      </c>
      <c r="F315">
        <v>124.04735682819</v>
      </c>
      <c r="G315">
        <v>110.42180616740001</v>
      </c>
      <c r="I315" s="9">
        <f t="shared" si="44"/>
        <v>404.40462160416001</v>
      </c>
      <c r="J315" s="9">
        <f t="shared" si="45"/>
        <v>2074.2505155122099</v>
      </c>
      <c r="K315" s="9">
        <f t="shared" si="31"/>
        <v>404.40462160416001</v>
      </c>
      <c r="L315" s="10">
        <f t="shared" si="30"/>
        <v>0.19496421410038672</v>
      </c>
      <c r="M315" s="10">
        <f t="shared" si="46"/>
        <v>0.23804889365481316</v>
      </c>
      <c r="P315" s="8">
        <f t="shared" si="47"/>
        <v>-1.2439058015906252</v>
      </c>
    </row>
    <row r="316" spans="1:16" x14ac:dyDescent="0.2">
      <c r="A316" s="8">
        <v>157</v>
      </c>
      <c r="B316" s="8">
        <v>314</v>
      </c>
      <c r="D316">
        <v>2335.8502793296002</v>
      </c>
      <c r="E316">
        <v>540.78994413407997</v>
      </c>
      <c r="F316">
        <v>124.57929515419001</v>
      </c>
      <c r="G316">
        <v>110.33810572687</v>
      </c>
      <c r="I316" s="9">
        <f t="shared" si="44"/>
        <v>430.45183840720995</v>
      </c>
      <c r="J316" s="9">
        <f t="shared" si="45"/>
        <v>2211.2709841754104</v>
      </c>
      <c r="K316" s="9">
        <f t="shared" si="31"/>
        <v>430.45183840720995</v>
      </c>
      <c r="L316" s="10">
        <f t="shared" si="30"/>
        <v>0.19466263587215962</v>
      </c>
      <c r="M316" s="10">
        <f t="shared" si="46"/>
        <v>0.23788496615998678</v>
      </c>
      <c r="P316" s="8">
        <f t="shared" si="47"/>
        <v>-1.3119121631083495</v>
      </c>
    </row>
    <row r="317" spans="1:16" x14ac:dyDescent="0.2">
      <c r="A317" s="8">
        <v>157.5</v>
      </c>
      <c r="B317" s="8">
        <v>315</v>
      </c>
      <c r="D317">
        <v>2371.7519553072998</v>
      </c>
      <c r="E317">
        <v>547.62793296089001</v>
      </c>
      <c r="F317">
        <v>124.33039647577</v>
      </c>
      <c r="G317">
        <v>110.65969162995999</v>
      </c>
      <c r="I317" s="9">
        <f t="shared" si="44"/>
        <v>436.96824133093003</v>
      </c>
      <c r="J317" s="9">
        <f t="shared" si="45"/>
        <v>2247.4215588315296</v>
      </c>
      <c r="K317" s="9">
        <f t="shared" si="31"/>
        <v>436.96824133093003</v>
      </c>
      <c r="L317" s="10">
        <f t="shared" si="30"/>
        <v>0.19443092000866843</v>
      </c>
      <c r="M317" s="10">
        <f t="shared" si="46"/>
        <v>0.23779090102989633</v>
      </c>
      <c r="P317" s="8">
        <f t="shared" si="47"/>
        <v>-1.3509356792666216</v>
      </c>
    </row>
    <row r="318" spans="1:16" x14ac:dyDescent="0.2">
      <c r="A318" s="8">
        <v>158</v>
      </c>
      <c r="B318" s="8">
        <v>316</v>
      </c>
      <c r="D318">
        <v>2233.0131291028001</v>
      </c>
      <c r="E318">
        <v>515.55798687089998</v>
      </c>
      <c r="F318">
        <v>125.15088105727</v>
      </c>
      <c r="G318">
        <v>110.4063876652</v>
      </c>
      <c r="I318" s="9">
        <f t="shared" si="44"/>
        <v>405.15159920569999</v>
      </c>
      <c r="J318" s="9">
        <f t="shared" si="45"/>
        <v>2107.8622480455301</v>
      </c>
      <c r="K318" s="9">
        <f t="shared" si="31"/>
        <v>405.15159920569999</v>
      </c>
      <c r="L318" s="10">
        <f t="shared" si="30"/>
        <v>0.19220971369517534</v>
      </c>
      <c r="M318" s="10">
        <f t="shared" si="46"/>
        <v>0.23570734544980396</v>
      </c>
      <c r="P318" s="8">
        <f t="shared" si="47"/>
        <v>-2.2153119339766967</v>
      </c>
    </row>
    <row r="319" spans="1:16" x14ac:dyDescent="0.2">
      <c r="A319" s="8">
        <v>158.5</v>
      </c>
      <c r="B319" s="8">
        <v>317</v>
      </c>
      <c r="D319">
        <v>2158.6147902869998</v>
      </c>
      <c r="E319">
        <v>506.78145695363997</v>
      </c>
      <c r="F319">
        <v>125.1872246696</v>
      </c>
      <c r="G319">
        <v>110.49889867841</v>
      </c>
      <c r="I319" s="9">
        <f t="shared" si="44"/>
        <v>396.28255827522997</v>
      </c>
      <c r="J319" s="9">
        <f t="shared" si="45"/>
        <v>2033.4275656173998</v>
      </c>
      <c r="K319" s="9">
        <f t="shared" si="31"/>
        <v>396.28255827522997</v>
      </c>
      <c r="L319" s="10">
        <f t="shared" si="30"/>
        <v>0.19488402979080724</v>
      </c>
      <c r="M319" s="10">
        <f t="shared" si="46"/>
        <v>0.23851931227883658</v>
      </c>
      <c r="P319" s="8">
        <f t="shared" si="47"/>
        <v>-1.0487496501232383</v>
      </c>
    </row>
    <row r="320" spans="1:16" x14ac:dyDescent="0.2">
      <c r="A320" s="8">
        <v>159</v>
      </c>
      <c r="B320" s="8">
        <v>318</v>
      </c>
      <c r="D320">
        <v>2197.2777777778001</v>
      </c>
      <c r="E320">
        <v>509.95555555556001</v>
      </c>
      <c r="F320">
        <v>124.3050660793</v>
      </c>
      <c r="G320">
        <v>110.48898678414</v>
      </c>
      <c r="I320" s="9">
        <f>E320-G320</f>
        <v>399.46656877142004</v>
      </c>
      <c r="J320" s="9">
        <f>D320-F320</f>
        <v>2072.9727116985</v>
      </c>
      <c r="K320" s="9">
        <f t="shared" si="31"/>
        <v>399.46656877142004</v>
      </c>
      <c r="L320" s="10">
        <f t="shared" si="30"/>
        <v>0.19270228040971907</v>
      </c>
      <c r="M320" s="10">
        <f>L320+ABS($N$2)*A320</f>
        <v>0.23647521363114912</v>
      </c>
      <c r="O320" s="11"/>
      <c r="P320" s="8">
        <f>(M320-$O$2)/$O$2*100</f>
        <v>-1.8967569460302056</v>
      </c>
    </row>
    <row r="321" spans="1:16" x14ac:dyDescent="0.2">
      <c r="A321" s="8">
        <v>159.5</v>
      </c>
      <c r="B321" s="8">
        <v>319</v>
      </c>
      <c r="D321">
        <v>2159.5238095238001</v>
      </c>
      <c r="E321">
        <v>503.38648947950998</v>
      </c>
      <c r="F321">
        <v>124.91850220264</v>
      </c>
      <c r="G321">
        <v>110.31938325991</v>
      </c>
      <c r="I321" s="9">
        <f t="shared" ref="I321" si="48">E321-G321</f>
        <v>393.06710621959996</v>
      </c>
      <c r="J321" s="9">
        <f t="shared" ref="J321" si="49">D321-F321</f>
        <v>2034.6053073211601</v>
      </c>
      <c r="K321" s="9">
        <f t="shared" si="31"/>
        <v>393.06710621959996</v>
      </c>
      <c r="L321" s="10">
        <f t="shared" si="30"/>
        <v>0.19319083893333949</v>
      </c>
      <c r="M321" s="10">
        <f t="shared" ref="M321" si="50">L321+ABS($N$2)*A321</f>
        <v>0.23710142288817027</v>
      </c>
      <c r="P321" s="8">
        <f t="shared" ref="P321" si="51">(M321-$O$2)/$O$2*100</f>
        <v>-1.6369700618114915</v>
      </c>
    </row>
    <row r="322" spans="1:16" x14ac:dyDescent="0.2">
      <c r="A322" s="8">
        <v>160</v>
      </c>
      <c r="B322" s="8">
        <v>320</v>
      </c>
      <c r="D322">
        <v>2138.4019933555001</v>
      </c>
      <c r="E322">
        <v>484.16279069767</v>
      </c>
      <c r="F322">
        <v>124.9140969163</v>
      </c>
      <c r="G322">
        <v>111.06497797357</v>
      </c>
      <c r="I322" s="9">
        <f>E322-G322</f>
        <v>373.09781272409998</v>
      </c>
      <c r="J322" s="9">
        <f>D322-F322</f>
        <v>2013.4878964392001</v>
      </c>
      <c r="K322" s="9">
        <f t="shared" ref="K322" si="52">I322*1</f>
        <v>373.09781272409998</v>
      </c>
      <c r="L322" s="10">
        <f t="shared" ref="L322" si="53">K322/J322</f>
        <v>0.18529925776256889</v>
      </c>
      <c r="M322" s="10">
        <f>L322+ABS($N$2)*A322</f>
        <v>0.22934749245080038</v>
      </c>
      <c r="O322" s="11"/>
      <c r="P322" s="8">
        <f>(M322-$O$2)/$O$2*100</f>
        <v>-4.8537373104389916</v>
      </c>
    </row>
    <row r="323" spans="1:16" x14ac:dyDescent="0.2">
      <c r="I323" s="9"/>
      <c r="J323" s="9"/>
      <c r="K323" s="9"/>
      <c r="L323" s="9"/>
    </row>
    <row r="324" spans="1:16" x14ac:dyDescent="0.2">
      <c r="I324" s="9"/>
      <c r="J324" s="9"/>
      <c r="K324" s="9"/>
      <c r="L324" s="9"/>
    </row>
    <row r="325" spans="1:16" x14ac:dyDescent="0.2">
      <c r="I325" s="9"/>
      <c r="J325" s="9"/>
      <c r="K325" s="9"/>
      <c r="L325" s="9"/>
    </row>
    <row r="326" spans="1:16" x14ac:dyDescent="0.2">
      <c r="I326" s="9"/>
      <c r="J326" s="9"/>
      <c r="K326" s="9"/>
      <c r="L326" s="9"/>
    </row>
    <row r="327" spans="1:16" x14ac:dyDescent="0.2">
      <c r="I327" s="9"/>
      <c r="J327" s="9"/>
      <c r="K327" s="9"/>
      <c r="L327" s="9"/>
    </row>
    <row r="328" spans="1:16" x14ac:dyDescent="0.2">
      <c r="I328" s="9"/>
      <c r="J328" s="9"/>
      <c r="K328" s="9"/>
      <c r="L328" s="9"/>
    </row>
    <row r="329" spans="1:16" x14ac:dyDescent="0.2">
      <c r="I329" s="9"/>
      <c r="J329" s="9"/>
      <c r="K329" s="9"/>
      <c r="L329" s="9"/>
    </row>
    <row r="330" spans="1:16" x14ac:dyDescent="0.2">
      <c r="I330" s="9"/>
      <c r="J330" s="9"/>
      <c r="K330" s="9"/>
      <c r="L330" s="9"/>
    </row>
    <row r="331" spans="1:16" x14ac:dyDescent="0.2">
      <c r="I331" s="9"/>
      <c r="J331" s="9"/>
      <c r="K331" s="9"/>
      <c r="L331" s="9"/>
    </row>
    <row r="332" spans="1:16" x14ac:dyDescent="0.2">
      <c r="I332" s="9"/>
      <c r="J332" s="9"/>
      <c r="K332" s="9"/>
      <c r="L332" s="9"/>
    </row>
    <row r="333" spans="1:16" x14ac:dyDescent="0.2">
      <c r="I333" s="9"/>
      <c r="J333" s="9"/>
      <c r="K333" s="9"/>
      <c r="L333" s="9"/>
    </row>
    <row r="334" spans="1:16" x14ac:dyDescent="0.2">
      <c r="I334" s="9"/>
      <c r="J334" s="9"/>
      <c r="K334" s="9"/>
      <c r="L334" s="9"/>
    </row>
    <row r="335" spans="1:16" x14ac:dyDescent="0.2">
      <c r="I335" s="9"/>
      <c r="J335" s="9"/>
      <c r="K335" s="9"/>
      <c r="L335" s="9"/>
    </row>
    <row r="336" spans="1:16" x14ac:dyDescent="0.2">
      <c r="I336" s="9"/>
      <c r="J336" s="9"/>
      <c r="K336" s="9"/>
      <c r="L336" s="9"/>
    </row>
    <row r="337" spans="9:12" x14ac:dyDescent="0.2">
      <c r="I337" s="9"/>
      <c r="J337" s="9"/>
      <c r="K337" s="9"/>
      <c r="L337" s="9"/>
    </row>
    <row r="338" spans="9:12" x14ac:dyDescent="0.2">
      <c r="I338" s="9"/>
      <c r="J338" s="9"/>
      <c r="K338" s="9"/>
      <c r="L338" s="9"/>
    </row>
    <row r="339" spans="9:12" x14ac:dyDescent="0.2">
      <c r="I339" s="9"/>
      <c r="J339" s="9"/>
      <c r="K339" s="9"/>
      <c r="L339" s="9"/>
    </row>
    <row r="340" spans="9:12" x14ac:dyDescent="0.2">
      <c r="I340" s="9"/>
      <c r="J340" s="9"/>
      <c r="K340" s="9"/>
      <c r="L340" s="9"/>
    </row>
    <row r="341" spans="9:12" x14ac:dyDescent="0.2">
      <c r="I341" s="9"/>
      <c r="J341" s="9"/>
      <c r="K341" s="9"/>
      <c r="L341" s="9"/>
    </row>
    <row r="342" spans="9:12" x14ac:dyDescent="0.2">
      <c r="I342" s="9"/>
      <c r="J342" s="9"/>
      <c r="K342" s="9"/>
      <c r="L342" s="9"/>
    </row>
    <row r="343" spans="9:12" x14ac:dyDescent="0.2">
      <c r="I343" s="9"/>
      <c r="J343" s="9"/>
      <c r="K343" s="9"/>
      <c r="L343" s="9"/>
    </row>
    <row r="344" spans="9:12" x14ac:dyDescent="0.2">
      <c r="I344" s="9"/>
      <c r="J344" s="9"/>
      <c r="K344" s="9"/>
      <c r="L344" s="9"/>
    </row>
    <row r="345" spans="9:12" x14ac:dyDescent="0.2">
      <c r="I345" s="9"/>
      <c r="J345" s="9"/>
      <c r="K345" s="9"/>
      <c r="L345" s="9"/>
    </row>
    <row r="346" spans="9:12" x14ac:dyDescent="0.2">
      <c r="I346" s="9"/>
      <c r="J346" s="9"/>
      <c r="K346" s="9"/>
      <c r="L346" s="9"/>
    </row>
    <row r="347" spans="9:12" x14ac:dyDescent="0.2">
      <c r="I347" s="9"/>
      <c r="J347" s="9"/>
      <c r="K347" s="9"/>
      <c r="L347" s="9"/>
    </row>
    <row r="348" spans="9:12" x14ac:dyDescent="0.2">
      <c r="I348" s="9"/>
      <c r="J348" s="9"/>
      <c r="K348" s="9"/>
      <c r="L348" s="9"/>
    </row>
    <row r="349" spans="9:12" x14ac:dyDescent="0.2">
      <c r="I349" s="9"/>
      <c r="J349" s="9"/>
      <c r="K349" s="9"/>
      <c r="L349" s="9"/>
    </row>
    <row r="350" spans="9:12" x14ac:dyDescent="0.2">
      <c r="I350" s="9"/>
      <c r="J350" s="9"/>
      <c r="K350" s="9"/>
      <c r="L350" s="9"/>
    </row>
    <row r="351" spans="9:12" x14ac:dyDescent="0.2">
      <c r="I351" s="9"/>
      <c r="J351" s="9"/>
      <c r="K351" s="9"/>
      <c r="L351" s="9"/>
    </row>
    <row r="352" spans="9:12" x14ac:dyDescent="0.2">
      <c r="I352" s="9"/>
      <c r="J352" s="9"/>
      <c r="K352" s="9"/>
      <c r="L352" s="9"/>
    </row>
    <row r="353" spans="9:12" x14ac:dyDescent="0.2">
      <c r="I353" s="9"/>
      <c r="J353" s="9"/>
      <c r="K353" s="9"/>
      <c r="L353" s="9"/>
    </row>
    <row r="354" spans="9:12" x14ac:dyDescent="0.2">
      <c r="I354" s="9"/>
      <c r="J354" s="9"/>
      <c r="K354" s="9"/>
      <c r="L354" s="9"/>
    </row>
    <row r="355" spans="9:12" x14ac:dyDescent="0.2">
      <c r="I355" s="9"/>
      <c r="J355" s="9"/>
      <c r="K355" s="9"/>
      <c r="L355" s="9"/>
    </row>
    <row r="356" spans="9:12" x14ac:dyDescent="0.2">
      <c r="I356" s="9"/>
      <c r="J356" s="9"/>
      <c r="K356" s="9"/>
      <c r="L356" s="9"/>
    </row>
    <row r="357" spans="9:12" x14ac:dyDescent="0.2">
      <c r="I357" s="9"/>
      <c r="J357" s="9"/>
      <c r="K357" s="9"/>
      <c r="L357" s="9"/>
    </row>
    <row r="358" spans="9:12" x14ac:dyDescent="0.2">
      <c r="I358" s="9"/>
      <c r="J358" s="9"/>
      <c r="K358" s="9"/>
      <c r="L358" s="9"/>
    </row>
    <row r="359" spans="9:12" x14ac:dyDescent="0.2">
      <c r="I359" s="9"/>
      <c r="J359" s="9"/>
      <c r="K359" s="9"/>
      <c r="L359" s="9"/>
    </row>
    <row r="360" spans="9:12" x14ac:dyDescent="0.2">
      <c r="I360" s="9"/>
      <c r="J360" s="9"/>
      <c r="K360" s="9"/>
      <c r="L360" s="9"/>
    </row>
    <row r="361" spans="9:12" x14ac:dyDescent="0.2">
      <c r="I361" s="9"/>
      <c r="J361" s="9"/>
      <c r="K361" s="9"/>
      <c r="L361" s="9"/>
    </row>
    <row r="362" spans="9:12" x14ac:dyDescent="0.2">
      <c r="I362" s="9"/>
      <c r="J362" s="9"/>
      <c r="K362" s="9"/>
      <c r="L362" s="9"/>
    </row>
    <row r="363" spans="9:12" x14ac:dyDescent="0.2">
      <c r="I363" s="9"/>
      <c r="J363" s="9"/>
      <c r="K363" s="9"/>
      <c r="L363" s="9"/>
    </row>
    <row r="364" spans="9:12" x14ac:dyDescent="0.2">
      <c r="I364" s="9"/>
      <c r="J364" s="9"/>
      <c r="K364" s="9"/>
      <c r="L364" s="9"/>
    </row>
    <row r="365" spans="9:12" x14ac:dyDescent="0.2">
      <c r="I365" s="9"/>
      <c r="J365" s="9"/>
      <c r="K365" s="9"/>
      <c r="L365" s="9"/>
    </row>
    <row r="366" spans="9:12" x14ac:dyDescent="0.2">
      <c r="I366" s="9"/>
      <c r="J366" s="9"/>
      <c r="K366" s="9"/>
      <c r="L366" s="9"/>
    </row>
    <row r="367" spans="9:12" x14ac:dyDescent="0.2">
      <c r="I367" s="9"/>
      <c r="J367" s="9"/>
      <c r="K367" s="9"/>
      <c r="L367" s="9"/>
    </row>
    <row r="368" spans="9:12" x14ac:dyDescent="0.2">
      <c r="I368" s="9"/>
      <c r="J368" s="9"/>
      <c r="K368" s="9"/>
      <c r="L368" s="9"/>
    </row>
    <row r="369" spans="9:12" x14ac:dyDescent="0.2">
      <c r="I369" s="9"/>
      <c r="J369" s="9"/>
      <c r="K369" s="9"/>
      <c r="L369" s="9"/>
    </row>
    <row r="370" spans="9:12" x14ac:dyDescent="0.2">
      <c r="I370" s="9"/>
      <c r="J370" s="9"/>
      <c r="K370" s="9"/>
      <c r="L370" s="9"/>
    </row>
    <row r="371" spans="9:12" x14ac:dyDescent="0.2">
      <c r="I371" s="9"/>
      <c r="J371" s="9"/>
      <c r="K371" s="9"/>
      <c r="L371" s="9"/>
    </row>
    <row r="372" spans="9:12" x14ac:dyDescent="0.2">
      <c r="I372" s="9"/>
      <c r="J372" s="9"/>
      <c r="K372" s="9"/>
      <c r="L372" s="9"/>
    </row>
    <row r="373" spans="9:12" x14ac:dyDescent="0.2">
      <c r="I373" s="9"/>
      <c r="J373" s="9"/>
      <c r="K373" s="9"/>
      <c r="L373" s="9"/>
    </row>
    <row r="374" spans="9:12" x14ac:dyDescent="0.2">
      <c r="I374" s="9"/>
      <c r="J374" s="9"/>
      <c r="K374" s="9"/>
      <c r="L374" s="9"/>
    </row>
    <row r="375" spans="9:12" x14ac:dyDescent="0.2">
      <c r="I375" s="9"/>
      <c r="J375" s="9"/>
      <c r="K375" s="9"/>
      <c r="L375" s="9"/>
    </row>
    <row r="376" spans="9:12" x14ac:dyDescent="0.2">
      <c r="I376" s="9"/>
      <c r="J376" s="9"/>
      <c r="K376" s="9"/>
      <c r="L376" s="9"/>
    </row>
    <row r="377" spans="9:12" x14ac:dyDescent="0.2">
      <c r="I377" s="9"/>
      <c r="J377" s="9"/>
      <c r="K377" s="9"/>
      <c r="L377" s="9"/>
    </row>
    <row r="378" spans="9:12" x14ac:dyDescent="0.2">
      <c r="I378" s="9"/>
      <c r="J378" s="9"/>
      <c r="K378" s="9"/>
      <c r="L378" s="9"/>
    </row>
    <row r="379" spans="9:12" x14ac:dyDescent="0.2">
      <c r="I379" s="9"/>
      <c r="J379" s="9"/>
      <c r="K379" s="9"/>
      <c r="L379" s="9"/>
    </row>
    <row r="380" spans="9:12" x14ac:dyDescent="0.2">
      <c r="I380" s="9"/>
      <c r="J380" s="9"/>
      <c r="K380" s="9"/>
      <c r="L380" s="9"/>
    </row>
    <row r="381" spans="9:12" x14ac:dyDescent="0.2">
      <c r="I381" s="9"/>
      <c r="J381" s="9"/>
      <c r="K381" s="9"/>
      <c r="L381" s="9"/>
    </row>
    <row r="382" spans="9:12" x14ac:dyDescent="0.2">
      <c r="I382" s="9"/>
      <c r="J382" s="9"/>
      <c r="K382" s="9"/>
      <c r="L382" s="9"/>
    </row>
    <row r="383" spans="9:12" x14ac:dyDescent="0.2">
      <c r="I383" s="9"/>
      <c r="J383" s="9"/>
      <c r="K383" s="9"/>
      <c r="L383" s="9"/>
    </row>
    <row r="384" spans="9:12" x14ac:dyDescent="0.2">
      <c r="I384" s="9"/>
      <c r="J384" s="9"/>
      <c r="K384" s="9"/>
      <c r="L384" s="9"/>
    </row>
    <row r="385" spans="9:12" x14ac:dyDescent="0.2">
      <c r="I385" s="9"/>
      <c r="J385" s="9"/>
      <c r="K385" s="9"/>
      <c r="L385" s="9"/>
    </row>
    <row r="386" spans="9:12" x14ac:dyDescent="0.2">
      <c r="I386" s="9"/>
      <c r="J386" s="9"/>
      <c r="K386" s="9"/>
      <c r="L386" s="9"/>
    </row>
    <row r="387" spans="9:12" x14ac:dyDescent="0.2">
      <c r="I387" s="9"/>
      <c r="J387" s="9"/>
      <c r="K387" s="9"/>
      <c r="L387" s="9"/>
    </row>
    <row r="388" spans="9:12" x14ac:dyDescent="0.2">
      <c r="I388" s="9"/>
      <c r="J388" s="9"/>
      <c r="K388" s="9"/>
      <c r="L388" s="9"/>
    </row>
    <row r="389" spans="9:12" x14ac:dyDescent="0.2">
      <c r="I389" s="9"/>
      <c r="J389" s="9"/>
      <c r="K389" s="9"/>
      <c r="L389" s="9"/>
    </row>
    <row r="390" spans="9:12" x14ac:dyDescent="0.2">
      <c r="I390" s="9"/>
      <c r="J390" s="9"/>
      <c r="K390" s="9"/>
      <c r="L390" s="9"/>
    </row>
    <row r="391" spans="9:12" x14ac:dyDescent="0.2">
      <c r="I391" s="9"/>
      <c r="J391" s="9"/>
      <c r="K391" s="9"/>
      <c r="L391" s="9"/>
    </row>
    <row r="392" spans="9:12" x14ac:dyDescent="0.2">
      <c r="I392" s="9"/>
      <c r="J392" s="9"/>
      <c r="K392" s="9"/>
      <c r="L392" s="9"/>
    </row>
    <row r="393" spans="9:12" x14ac:dyDescent="0.2">
      <c r="I393" s="9"/>
      <c r="J393" s="9"/>
      <c r="K393" s="9"/>
      <c r="L393" s="9"/>
    </row>
    <row r="394" spans="9:12" x14ac:dyDescent="0.2">
      <c r="I394" s="9"/>
      <c r="J394" s="9"/>
      <c r="K394" s="9"/>
      <c r="L394" s="9"/>
    </row>
    <row r="395" spans="9:12" x14ac:dyDescent="0.2">
      <c r="I395" s="9"/>
      <c r="J395" s="9"/>
      <c r="K395" s="9"/>
      <c r="L395" s="9"/>
    </row>
    <row r="396" spans="9:12" x14ac:dyDescent="0.2">
      <c r="I396" s="9"/>
      <c r="J396" s="9"/>
      <c r="K396" s="9"/>
      <c r="L396" s="9"/>
    </row>
    <row r="397" spans="9:12" x14ac:dyDescent="0.2">
      <c r="I397" s="9"/>
      <c r="J397" s="9"/>
      <c r="K397" s="9"/>
      <c r="L397" s="9"/>
    </row>
    <row r="398" spans="9:12" x14ac:dyDescent="0.2">
      <c r="I398" s="9"/>
      <c r="J398" s="9"/>
      <c r="K398" s="9"/>
      <c r="L398" s="9"/>
    </row>
    <row r="399" spans="9:12" x14ac:dyDescent="0.2">
      <c r="I399" s="9"/>
      <c r="J399" s="9"/>
      <c r="K399" s="9"/>
      <c r="L399" s="9"/>
    </row>
    <row r="400" spans="9:12" x14ac:dyDescent="0.2">
      <c r="I400" s="9"/>
      <c r="J400" s="9"/>
      <c r="K400" s="9"/>
      <c r="L400" s="9"/>
    </row>
    <row r="401" spans="9:12" x14ac:dyDescent="0.2">
      <c r="I401" s="9"/>
      <c r="J401" s="9"/>
      <c r="K401" s="9"/>
      <c r="L401" s="9"/>
    </row>
    <row r="402" spans="9:12" x14ac:dyDescent="0.2">
      <c r="I402" s="9"/>
      <c r="J402" s="9"/>
      <c r="K402" s="9"/>
      <c r="L402" s="9"/>
    </row>
    <row r="403" spans="9:12" x14ac:dyDescent="0.2">
      <c r="I403" s="9"/>
      <c r="J403" s="9"/>
      <c r="K403" s="9"/>
      <c r="L403" s="9"/>
    </row>
    <row r="404" spans="9:12" x14ac:dyDescent="0.2">
      <c r="I404" s="9"/>
      <c r="J404" s="9"/>
      <c r="K404" s="9"/>
      <c r="L404" s="9"/>
    </row>
    <row r="405" spans="9:12" x14ac:dyDescent="0.2">
      <c r="I405" s="9"/>
      <c r="J405" s="9"/>
      <c r="K405" s="9"/>
      <c r="L405" s="9"/>
    </row>
    <row r="406" spans="9:12" x14ac:dyDescent="0.2">
      <c r="I406" s="9"/>
      <c r="J406" s="9"/>
      <c r="K406" s="9"/>
      <c r="L406" s="9"/>
    </row>
    <row r="407" spans="9:12" x14ac:dyDescent="0.2">
      <c r="I407" s="9"/>
      <c r="J407" s="9"/>
      <c r="K407" s="9"/>
      <c r="L407" s="9"/>
    </row>
    <row r="408" spans="9:12" x14ac:dyDescent="0.2">
      <c r="I408" s="9"/>
      <c r="J408" s="9"/>
      <c r="K408" s="9"/>
      <c r="L408" s="9"/>
    </row>
    <row r="409" spans="9:12" x14ac:dyDescent="0.2">
      <c r="I409" s="9"/>
      <c r="J409" s="9"/>
      <c r="K409" s="9"/>
      <c r="L409" s="9"/>
    </row>
    <row r="410" spans="9:12" x14ac:dyDescent="0.2">
      <c r="I410" s="9"/>
      <c r="J410" s="9"/>
      <c r="K410" s="9"/>
      <c r="L410" s="9"/>
    </row>
    <row r="411" spans="9:12" x14ac:dyDescent="0.2">
      <c r="I411" s="9"/>
      <c r="J411" s="9"/>
      <c r="K411" s="9"/>
      <c r="L411" s="9"/>
    </row>
    <row r="412" spans="9:12" x14ac:dyDescent="0.2">
      <c r="I412" s="9"/>
      <c r="J412" s="9"/>
      <c r="K412" s="9"/>
      <c r="L412" s="9"/>
    </row>
    <row r="413" spans="9:12" x14ac:dyDescent="0.2">
      <c r="I413" s="9"/>
      <c r="J413" s="9"/>
      <c r="K413" s="9"/>
      <c r="L413" s="9"/>
    </row>
    <row r="414" spans="9:12" x14ac:dyDescent="0.2">
      <c r="I414" s="9"/>
      <c r="J414" s="9"/>
      <c r="K414" s="9"/>
      <c r="L414" s="9"/>
    </row>
    <row r="415" spans="9:12" x14ac:dyDescent="0.2">
      <c r="I415" s="9"/>
      <c r="J415" s="9"/>
      <c r="K415" s="9"/>
      <c r="L415" s="9"/>
    </row>
    <row r="416" spans="9:12" x14ac:dyDescent="0.2">
      <c r="I416" s="9"/>
      <c r="J416" s="9"/>
      <c r="K416" s="9"/>
      <c r="L416" s="9"/>
    </row>
    <row r="417" spans="9:12" x14ac:dyDescent="0.2">
      <c r="I417" s="9"/>
      <c r="J417" s="9"/>
      <c r="K417" s="9"/>
      <c r="L417" s="9"/>
    </row>
    <row r="418" spans="9:12" x14ac:dyDescent="0.2">
      <c r="I418" s="9"/>
      <c r="J418" s="9"/>
      <c r="K418" s="9"/>
      <c r="L418" s="9"/>
    </row>
    <row r="419" spans="9:12" x14ac:dyDescent="0.2">
      <c r="I419" s="9"/>
      <c r="J419" s="9"/>
      <c r="K419" s="9"/>
      <c r="L419" s="9"/>
    </row>
    <row r="420" spans="9:12" x14ac:dyDescent="0.2">
      <c r="I420" s="9"/>
      <c r="J420" s="9"/>
      <c r="K420" s="9"/>
      <c r="L420" s="9"/>
    </row>
    <row r="421" spans="9:12" x14ac:dyDescent="0.2">
      <c r="I421" s="9"/>
      <c r="J421" s="9"/>
      <c r="K421" s="9"/>
      <c r="L421" s="9"/>
    </row>
    <row r="422" spans="9:12" x14ac:dyDescent="0.2">
      <c r="I422" s="9"/>
      <c r="J422" s="9"/>
      <c r="K422" s="9"/>
      <c r="L422" s="9"/>
    </row>
    <row r="423" spans="9:12" x14ac:dyDescent="0.2">
      <c r="I423" s="9"/>
      <c r="J423" s="9"/>
      <c r="K423" s="9"/>
      <c r="L423" s="9"/>
    </row>
    <row r="424" spans="9:12" x14ac:dyDescent="0.2">
      <c r="I424" s="9"/>
      <c r="J424" s="9"/>
      <c r="K424" s="9"/>
      <c r="L424" s="9"/>
    </row>
    <row r="425" spans="9:12" x14ac:dyDescent="0.2">
      <c r="I425" s="9"/>
      <c r="J425" s="9"/>
      <c r="K425" s="9"/>
      <c r="L425" s="9"/>
    </row>
    <row r="426" spans="9:12" x14ac:dyDescent="0.2">
      <c r="I426" s="9"/>
      <c r="J426" s="9"/>
      <c r="K426" s="9"/>
      <c r="L426" s="9"/>
    </row>
    <row r="427" spans="9:12" x14ac:dyDescent="0.2">
      <c r="I427" s="9"/>
      <c r="J427" s="9"/>
      <c r="K427" s="9"/>
      <c r="L427" s="9"/>
    </row>
    <row r="428" spans="9:12" x14ac:dyDescent="0.2">
      <c r="I428" s="9"/>
      <c r="J428" s="9"/>
      <c r="K428" s="9"/>
      <c r="L428" s="9"/>
    </row>
    <row r="429" spans="9:12" x14ac:dyDescent="0.2">
      <c r="I429" s="9"/>
      <c r="J429" s="9"/>
      <c r="K429" s="9"/>
      <c r="L429" s="9"/>
    </row>
    <row r="430" spans="9:12" x14ac:dyDescent="0.2">
      <c r="I430" s="9"/>
      <c r="J430" s="9"/>
      <c r="K430" s="9"/>
      <c r="L430" s="9"/>
    </row>
    <row r="431" spans="9:12" x14ac:dyDescent="0.2">
      <c r="I431" s="9"/>
      <c r="J431" s="9"/>
      <c r="K431" s="9"/>
      <c r="L431" s="9"/>
    </row>
    <row r="432" spans="9:12" x14ac:dyDescent="0.2">
      <c r="I432" s="9"/>
      <c r="J432" s="9"/>
      <c r="K432" s="9"/>
      <c r="L432" s="9"/>
    </row>
    <row r="433" spans="9:12" x14ac:dyDescent="0.2">
      <c r="I433" s="9"/>
      <c r="J433" s="9"/>
      <c r="K433" s="9"/>
      <c r="L433" s="9"/>
    </row>
    <row r="434" spans="9:12" x14ac:dyDescent="0.2">
      <c r="I434" s="9"/>
      <c r="J434" s="9"/>
      <c r="K434" s="9"/>
      <c r="L434" s="9"/>
    </row>
    <row r="435" spans="9:12" x14ac:dyDescent="0.2">
      <c r="I435" s="9"/>
      <c r="J435" s="9"/>
      <c r="K435" s="9"/>
      <c r="L435" s="9"/>
    </row>
    <row r="436" spans="9:12" x14ac:dyDescent="0.2">
      <c r="I436" s="9"/>
      <c r="J436" s="9"/>
      <c r="K436" s="9"/>
      <c r="L436" s="9"/>
    </row>
    <row r="437" spans="9:12" x14ac:dyDescent="0.2">
      <c r="I437" s="9"/>
      <c r="J437" s="9"/>
      <c r="K437" s="9"/>
      <c r="L437" s="9"/>
    </row>
    <row r="438" spans="9:12" x14ac:dyDescent="0.2">
      <c r="I438" s="9"/>
      <c r="J438" s="9"/>
      <c r="K438" s="9"/>
      <c r="L438" s="9"/>
    </row>
    <row r="439" spans="9:12" x14ac:dyDescent="0.2">
      <c r="I439" s="9"/>
      <c r="J439" s="9"/>
      <c r="K439" s="9"/>
      <c r="L439" s="9"/>
    </row>
    <row r="440" spans="9:12" x14ac:dyDescent="0.2">
      <c r="I440" s="9"/>
      <c r="J440" s="9"/>
      <c r="K440" s="9"/>
      <c r="L440" s="9"/>
    </row>
    <row r="441" spans="9:12" x14ac:dyDescent="0.2">
      <c r="I441" s="9"/>
      <c r="J441" s="9"/>
      <c r="K441" s="9"/>
      <c r="L441" s="9"/>
    </row>
    <row r="442" spans="9:12" x14ac:dyDescent="0.2">
      <c r="I442" s="9"/>
      <c r="J442" s="9"/>
      <c r="K442" s="9"/>
      <c r="L442" s="9"/>
    </row>
    <row r="443" spans="9:12" x14ac:dyDescent="0.2">
      <c r="I443" s="9"/>
      <c r="J443" s="9"/>
      <c r="K443" s="9"/>
      <c r="L443" s="9"/>
    </row>
    <row r="444" spans="9:12" x14ac:dyDescent="0.2">
      <c r="I444" s="9"/>
      <c r="J444" s="9"/>
      <c r="K444" s="9"/>
      <c r="L444" s="9"/>
    </row>
    <row r="445" spans="9:12" x14ac:dyDescent="0.2">
      <c r="I445" s="9"/>
      <c r="J445" s="9"/>
      <c r="K445" s="9"/>
      <c r="L445" s="9"/>
    </row>
    <row r="446" spans="9:12" x14ac:dyDescent="0.2">
      <c r="I446" s="9"/>
      <c r="J446" s="9"/>
      <c r="K446" s="9"/>
      <c r="L446" s="9"/>
    </row>
    <row r="447" spans="9:12" x14ac:dyDescent="0.2">
      <c r="I447" s="9"/>
      <c r="J447" s="9"/>
      <c r="K447" s="9"/>
      <c r="L447" s="9"/>
    </row>
    <row r="448" spans="9:12" x14ac:dyDescent="0.2">
      <c r="I448" s="9"/>
      <c r="J448" s="9"/>
      <c r="K448" s="9"/>
      <c r="L448" s="9"/>
    </row>
    <row r="449" spans="9:12" x14ac:dyDescent="0.2">
      <c r="I449" s="9"/>
      <c r="J449" s="9"/>
      <c r="K449" s="9"/>
      <c r="L449" s="9"/>
    </row>
    <row r="450" spans="9:12" x14ac:dyDescent="0.2">
      <c r="I450" s="9"/>
      <c r="J450" s="9"/>
      <c r="K450" s="9"/>
      <c r="L450" s="9"/>
    </row>
    <row r="451" spans="9:12" x14ac:dyDescent="0.2">
      <c r="I451" s="9"/>
      <c r="J451" s="9"/>
      <c r="K451" s="9"/>
      <c r="L451" s="9"/>
    </row>
    <row r="452" spans="9:12" x14ac:dyDescent="0.2">
      <c r="I452" s="9"/>
      <c r="J452" s="9"/>
      <c r="K452" s="9"/>
      <c r="L452" s="9"/>
    </row>
    <row r="453" spans="9:12" x14ac:dyDescent="0.2">
      <c r="I453" s="9"/>
      <c r="J453" s="9"/>
      <c r="K453" s="9"/>
      <c r="L453" s="9"/>
    </row>
    <row r="454" spans="9:12" x14ac:dyDescent="0.2">
      <c r="I454" s="9"/>
      <c r="J454" s="9"/>
      <c r="K454" s="9"/>
      <c r="L454" s="9"/>
    </row>
    <row r="455" spans="9:12" x14ac:dyDescent="0.2">
      <c r="I455" s="9"/>
      <c r="J455" s="9"/>
      <c r="K455" s="9"/>
      <c r="L455" s="9"/>
    </row>
    <row r="456" spans="9:12" x14ac:dyDescent="0.2">
      <c r="I456" s="9"/>
      <c r="J456" s="9"/>
      <c r="K456" s="9"/>
      <c r="L456" s="9"/>
    </row>
    <row r="457" spans="9:12" x14ac:dyDescent="0.2">
      <c r="I457" s="9"/>
      <c r="J457" s="9"/>
      <c r="K457" s="9"/>
      <c r="L457" s="9"/>
    </row>
    <row r="458" spans="9:12" x14ac:dyDescent="0.2">
      <c r="I458" s="9"/>
      <c r="J458" s="9"/>
      <c r="K458" s="9"/>
      <c r="L458" s="9"/>
    </row>
    <row r="459" spans="9:12" x14ac:dyDescent="0.2">
      <c r="I459" s="9"/>
      <c r="J459" s="9"/>
      <c r="K459" s="9"/>
      <c r="L459" s="9"/>
    </row>
    <row r="460" spans="9:12" x14ac:dyDescent="0.2">
      <c r="I460" s="9"/>
      <c r="J460" s="9"/>
      <c r="K460" s="9"/>
      <c r="L460" s="9"/>
    </row>
    <row r="461" spans="9:12" x14ac:dyDescent="0.2">
      <c r="I461" s="9"/>
      <c r="J461" s="9"/>
      <c r="K461" s="9"/>
      <c r="L461" s="9"/>
    </row>
    <row r="462" spans="9:12" x14ac:dyDescent="0.2">
      <c r="I462" s="9"/>
      <c r="J462" s="9"/>
      <c r="K462" s="9"/>
      <c r="L462" s="9"/>
    </row>
    <row r="463" spans="9:12" x14ac:dyDescent="0.2">
      <c r="I463" s="9"/>
      <c r="J463" s="9"/>
      <c r="K463" s="9"/>
      <c r="L463" s="9"/>
    </row>
    <row r="464" spans="9:12" x14ac:dyDescent="0.2">
      <c r="I464" s="9"/>
      <c r="J464" s="9"/>
      <c r="K464" s="9"/>
      <c r="L464" s="9"/>
    </row>
    <row r="465" spans="9:12" x14ac:dyDescent="0.2">
      <c r="I465" s="9"/>
      <c r="J465" s="9"/>
      <c r="K465" s="9"/>
      <c r="L465" s="9"/>
    </row>
    <row r="466" spans="9:12" x14ac:dyDescent="0.2">
      <c r="I466" s="9"/>
      <c r="J466" s="9"/>
      <c r="K466" s="9"/>
      <c r="L466" s="9"/>
    </row>
    <row r="467" spans="9:12" x14ac:dyDescent="0.2">
      <c r="I467" s="9"/>
      <c r="J467" s="9"/>
      <c r="K467" s="9"/>
      <c r="L467" s="9"/>
    </row>
    <row r="468" spans="9:12" x14ac:dyDescent="0.2">
      <c r="I468" s="9"/>
      <c r="J468" s="9"/>
      <c r="K468" s="9"/>
      <c r="L468" s="9"/>
    </row>
    <row r="469" spans="9:12" x14ac:dyDescent="0.2">
      <c r="I469" s="9"/>
      <c r="J469" s="9"/>
      <c r="K469" s="9"/>
      <c r="L469" s="9"/>
    </row>
    <row r="470" spans="9:12" x14ac:dyDescent="0.2">
      <c r="I470" s="9"/>
      <c r="J470" s="9"/>
      <c r="K470" s="9"/>
      <c r="L470" s="9"/>
    </row>
    <row r="471" spans="9:12" x14ac:dyDescent="0.2">
      <c r="I471" s="9"/>
      <c r="J471" s="9"/>
      <c r="K471" s="9"/>
      <c r="L471" s="9"/>
    </row>
    <row r="472" spans="9:12" x14ac:dyDescent="0.2">
      <c r="I472" s="9"/>
      <c r="J472" s="9"/>
      <c r="K472" s="9"/>
      <c r="L472" s="9"/>
    </row>
    <row r="473" spans="9:12" x14ac:dyDescent="0.2">
      <c r="I473" s="9"/>
      <c r="J473" s="9"/>
      <c r="K473" s="9"/>
      <c r="L473" s="9"/>
    </row>
    <row r="474" spans="9:12" x14ac:dyDescent="0.2">
      <c r="I474" s="9"/>
      <c r="J474" s="9"/>
      <c r="K474" s="9"/>
      <c r="L474" s="9"/>
    </row>
    <row r="475" spans="9:12" x14ac:dyDescent="0.2">
      <c r="I475" s="9"/>
      <c r="J475" s="9"/>
      <c r="K475" s="9"/>
      <c r="L475" s="9"/>
    </row>
    <row r="476" spans="9:12" x14ac:dyDescent="0.2">
      <c r="I476" s="9"/>
      <c r="J476" s="9"/>
      <c r="K476" s="9"/>
      <c r="L476" s="9"/>
    </row>
    <row r="477" spans="9:12" x14ac:dyDescent="0.2">
      <c r="I477" s="9"/>
      <c r="J477" s="9"/>
      <c r="K477" s="9"/>
      <c r="L477" s="9"/>
    </row>
    <row r="478" spans="9:12" x14ac:dyDescent="0.2">
      <c r="I478" s="9"/>
      <c r="J478" s="9"/>
      <c r="K478" s="9"/>
      <c r="L478" s="9"/>
    </row>
    <row r="479" spans="9:12" x14ac:dyDescent="0.2">
      <c r="I479" s="9"/>
      <c r="J479" s="9"/>
      <c r="K479" s="9"/>
      <c r="L479" s="9"/>
    </row>
    <row r="480" spans="9:12" x14ac:dyDescent="0.2">
      <c r="I480" s="9"/>
      <c r="J480" s="9"/>
      <c r="K480" s="9"/>
      <c r="L480" s="9"/>
    </row>
    <row r="481" spans="9:12" x14ac:dyDescent="0.2">
      <c r="I481" s="9"/>
      <c r="J481" s="9"/>
      <c r="K481" s="9"/>
      <c r="L481" s="9"/>
    </row>
    <row r="482" spans="9:12" x14ac:dyDescent="0.2">
      <c r="I482" s="9"/>
      <c r="J482" s="9"/>
      <c r="K482" s="9"/>
      <c r="L482" s="9"/>
    </row>
    <row r="483" spans="9:12" x14ac:dyDescent="0.2">
      <c r="I483" s="9"/>
      <c r="J483" s="9"/>
      <c r="K483" s="9"/>
      <c r="L483" s="9"/>
    </row>
    <row r="484" spans="9:12" x14ac:dyDescent="0.2">
      <c r="I484" s="9"/>
      <c r="J484" s="9"/>
      <c r="K484" s="9"/>
      <c r="L484" s="9"/>
    </row>
    <row r="485" spans="9:12" x14ac:dyDescent="0.2">
      <c r="I485" s="9"/>
      <c r="J485" s="9"/>
      <c r="K485" s="9"/>
      <c r="L485" s="9"/>
    </row>
    <row r="486" spans="9:12" x14ac:dyDescent="0.2">
      <c r="I486" s="9"/>
      <c r="J486" s="9"/>
      <c r="K486" s="9"/>
      <c r="L486" s="9"/>
    </row>
    <row r="487" spans="9:12" x14ac:dyDescent="0.2">
      <c r="I487" s="9"/>
      <c r="J487" s="9"/>
      <c r="K487" s="9"/>
      <c r="L487" s="9"/>
    </row>
    <row r="488" spans="9:12" x14ac:dyDescent="0.2">
      <c r="I488" s="9"/>
      <c r="J488" s="9"/>
      <c r="K488" s="9"/>
      <c r="L488" s="9"/>
    </row>
    <row r="489" spans="9:12" x14ac:dyDescent="0.2">
      <c r="I489" s="9"/>
      <c r="J489" s="9"/>
      <c r="K489" s="9"/>
      <c r="L489" s="9"/>
    </row>
    <row r="490" spans="9:12" x14ac:dyDescent="0.2">
      <c r="I490" s="9"/>
      <c r="J490" s="9"/>
      <c r="K490" s="9"/>
      <c r="L490" s="9"/>
    </row>
    <row r="491" spans="9:12" x14ac:dyDescent="0.2">
      <c r="I491" s="9"/>
      <c r="J491" s="9"/>
      <c r="K491" s="9"/>
      <c r="L491" s="9"/>
    </row>
    <row r="492" spans="9:12" x14ac:dyDescent="0.2">
      <c r="I492" s="9"/>
      <c r="J492" s="9"/>
      <c r="K492" s="9"/>
      <c r="L492" s="9"/>
    </row>
    <row r="493" spans="9:12" x14ac:dyDescent="0.2">
      <c r="I493" s="9"/>
      <c r="J493" s="9"/>
      <c r="K493" s="9"/>
      <c r="L493" s="9"/>
    </row>
    <row r="494" spans="9:12" x14ac:dyDescent="0.2">
      <c r="I494" s="9"/>
      <c r="J494" s="9"/>
      <c r="K494" s="9"/>
      <c r="L494" s="9"/>
    </row>
    <row r="495" spans="9:12" x14ac:dyDescent="0.2">
      <c r="I495" s="9"/>
      <c r="J495" s="9"/>
      <c r="K495" s="9"/>
      <c r="L495" s="9"/>
    </row>
    <row r="496" spans="9:12" x14ac:dyDescent="0.2">
      <c r="I496" s="9"/>
      <c r="J496" s="9"/>
      <c r="K496" s="9"/>
      <c r="L496" s="9"/>
    </row>
    <row r="497" spans="9:12" x14ac:dyDescent="0.2">
      <c r="I497" s="9"/>
      <c r="J497" s="9"/>
      <c r="K497" s="9"/>
      <c r="L497" s="9"/>
    </row>
    <row r="498" spans="9:12" x14ac:dyDescent="0.2">
      <c r="I498" s="9"/>
      <c r="J498" s="9"/>
      <c r="K498" s="9"/>
      <c r="L498" s="9"/>
    </row>
    <row r="499" spans="9:12" x14ac:dyDescent="0.2">
      <c r="I499" s="9"/>
      <c r="J499" s="9"/>
      <c r="K499" s="9"/>
      <c r="L499" s="9"/>
    </row>
    <row r="500" spans="9:12" x14ac:dyDescent="0.2">
      <c r="I500" s="9"/>
      <c r="J500" s="9"/>
      <c r="K500" s="9"/>
      <c r="L500" s="9"/>
    </row>
    <row r="501" spans="9:12" x14ac:dyDescent="0.2">
      <c r="I501" s="9"/>
      <c r="J501" s="9"/>
      <c r="K501" s="9"/>
      <c r="L501" s="9"/>
    </row>
    <row r="502" spans="9:12" x14ac:dyDescent="0.2">
      <c r="I502" s="9"/>
      <c r="J502" s="9"/>
      <c r="K502" s="9"/>
      <c r="L502" s="9"/>
    </row>
    <row r="503" spans="9:12" x14ac:dyDescent="0.2">
      <c r="I503" s="9"/>
      <c r="J503" s="9"/>
      <c r="K503" s="9"/>
      <c r="L503" s="9"/>
    </row>
    <row r="504" spans="9:12" x14ac:dyDescent="0.2">
      <c r="I504" s="9"/>
      <c r="J504" s="9"/>
      <c r="K504" s="9"/>
      <c r="L504" s="9"/>
    </row>
    <row r="505" spans="9:12" x14ac:dyDescent="0.2">
      <c r="I505" s="9"/>
      <c r="J505" s="9"/>
      <c r="K505" s="9"/>
      <c r="L505" s="9"/>
    </row>
    <row r="506" spans="9:12" x14ac:dyDescent="0.2">
      <c r="I506" s="9"/>
      <c r="J506" s="9"/>
      <c r="K506" s="9"/>
      <c r="L506" s="9"/>
    </row>
    <row r="507" spans="9:12" x14ac:dyDescent="0.2">
      <c r="I507" s="9"/>
      <c r="J507" s="9"/>
      <c r="K507" s="9"/>
      <c r="L507" s="9"/>
    </row>
    <row r="508" spans="9:12" x14ac:dyDescent="0.2">
      <c r="I508" s="9"/>
      <c r="J508" s="9"/>
      <c r="K508" s="9"/>
      <c r="L508" s="9"/>
    </row>
    <row r="509" spans="9:12" x14ac:dyDescent="0.2">
      <c r="I509" s="9"/>
      <c r="J509" s="9"/>
      <c r="K509" s="9"/>
      <c r="L509" s="9"/>
    </row>
    <row r="510" spans="9:12" x14ac:dyDescent="0.2">
      <c r="I510" s="9"/>
      <c r="J510" s="9"/>
      <c r="K510" s="9"/>
      <c r="L510" s="9"/>
    </row>
    <row r="511" spans="9:12" x14ac:dyDescent="0.2">
      <c r="I511" s="9"/>
      <c r="J511" s="9"/>
      <c r="K511" s="9"/>
      <c r="L511" s="9"/>
    </row>
    <row r="512" spans="9:12" x14ac:dyDescent="0.2">
      <c r="I512" s="9"/>
      <c r="J512" s="9"/>
      <c r="K512" s="9"/>
      <c r="L512" s="9"/>
    </row>
    <row r="513" spans="9:12" x14ac:dyDescent="0.2">
      <c r="I513" s="9"/>
      <c r="J513" s="9"/>
      <c r="K513" s="9"/>
      <c r="L513" s="9"/>
    </row>
    <row r="514" spans="9:12" x14ac:dyDescent="0.2">
      <c r="I514" s="9"/>
      <c r="J514" s="9"/>
      <c r="K514" s="9"/>
      <c r="L514" s="9"/>
    </row>
    <row r="515" spans="9:12" x14ac:dyDescent="0.2">
      <c r="I515" s="9"/>
      <c r="J515" s="9"/>
      <c r="K515" s="9"/>
      <c r="L515" s="9"/>
    </row>
    <row r="516" spans="9:12" x14ac:dyDescent="0.2">
      <c r="I516" s="9"/>
      <c r="J516" s="9"/>
      <c r="K516" s="9"/>
      <c r="L516" s="9"/>
    </row>
    <row r="517" spans="9:12" x14ac:dyDescent="0.2">
      <c r="I517" s="9"/>
      <c r="J517" s="9"/>
      <c r="K517" s="9"/>
      <c r="L517" s="9"/>
    </row>
    <row r="518" spans="9:12" x14ac:dyDescent="0.2">
      <c r="I518" s="9"/>
      <c r="J518" s="9"/>
      <c r="K518" s="9"/>
      <c r="L518" s="9"/>
    </row>
    <row r="519" spans="9:12" x14ac:dyDescent="0.2">
      <c r="I519" s="9"/>
      <c r="J519" s="9"/>
      <c r="K519" s="9"/>
      <c r="L519" s="9"/>
    </row>
    <row r="520" spans="9:12" x14ac:dyDescent="0.2">
      <c r="I520" s="9"/>
      <c r="J520" s="9"/>
      <c r="K520" s="9"/>
      <c r="L520" s="9"/>
    </row>
    <row r="521" spans="9:12" x14ac:dyDescent="0.2">
      <c r="I521" s="9"/>
      <c r="J521" s="9"/>
      <c r="K521" s="9"/>
      <c r="L521" s="9"/>
    </row>
    <row r="522" spans="9:12" x14ac:dyDescent="0.2">
      <c r="I522" s="9"/>
      <c r="J522" s="9"/>
      <c r="K522" s="9"/>
      <c r="L522" s="9"/>
    </row>
    <row r="523" spans="9:12" x14ac:dyDescent="0.2">
      <c r="I523" s="9"/>
      <c r="J523" s="9"/>
      <c r="K523" s="9"/>
      <c r="L523" s="9"/>
    </row>
    <row r="524" spans="9:12" x14ac:dyDescent="0.2">
      <c r="I524" s="9"/>
      <c r="J524" s="9"/>
      <c r="K524" s="9"/>
      <c r="L524" s="9"/>
    </row>
    <row r="525" spans="9:12" x14ac:dyDescent="0.2">
      <c r="I525" s="9"/>
      <c r="J525" s="9"/>
      <c r="K525" s="9"/>
      <c r="L525" s="9"/>
    </row>
    <row r="526" spans="9:12" x14ac:dyDescent="0.2">
      <c r="I526" s="9"/>
      <c r="J526" s="9"/>
      <c r="K526" s="9"/>
      <c r="L526" s="9"/>
    </row>
    <row r="527" spans="9:12" x14ac:dyDescent="0.2">
      <c r="I527" s="9"/>
      <c r="J527" s="9"/>
      <c r="K527" s="9"/>
      <c r="L527" s="9"/>
    </row>
    <row r="528" spans="9:12" x14ac:dyDescent="0.2">
      <c r="I528" s="9"/>
      <c r="J528" s="9"/>
      <c r="K528" s="9"/>
      <c r="L528" s="9"/>
    </row>
    <row r="529" spans="9:12" x14ac:dyDescent="0.2">
      <c r="I529" s="9"/>
      <c r="J529" s="9"/>
      <c r="K529" s="9"/>
      <c r="L529" s="9"/>
    </row>
    <row r="530" spans="9:12" x14ac:dyDescent="0.2">
      <c r="I530" s="9"/>
      <c r="J530" s="9"/>
      <c r="K530" s="9"/>
      <c r="L530" s="9"/>
    </row>
    <row r="531" spans="9:12" x14ac:dyDescent="0.2">
      <c r="I531" s="9"/>
      <c r="J531" s="9"/>
      <c r="K531" s="9"/>
      <c r="L531" s="9"/>
    </row>
    <row r="532" spans="9:12" x14ac:dyDescent="0.2">
      <c r="I532" s="9"/>
      <c r="J532" s="9"/>
      <c r="K532" s="9"/>
      <c r="L532" s="9"/>
    </row>
    <row r="533" spans="9:12" x14ac:dyDescent="0.2">
      <c r="I533" s="9"/>
      <c r="J533" s="9"/>
      <c r="K533" s="9"/>
      <c r="L533" s="9"/>
    </row>
    <row r="534" spans="9:12" x14ac:dyDescent="0.2">
      <c r="I534" s="9"/>
      <c r="J534" s="9"/>
      <c r="K534" s="9"/>
      <c r="L534" s="9"/>
    </row>
    <row r="535" spans="9:12" x14ac:dyDescent="0.2">
      <c r="I535" s="9"/>
      <c r="J535" s="9"/>
      <c r="K535" s="9"/>
      <c r="L535" s="9"/>
    </row>
    <row r="536" spans="9:12" x14ac:dyDescent="0.2">
      <c r="I536" s="9"/>
      <c r="J536" s="9"/>
      <c r="K536" s="9"/>
      <c r="L536" s="9"/>
    </row>
    <row r="537" spans="9:12" x14ac:dyDescent="0.2">
      <c r="I537" s="9"/>
      <c r="J537" s="9"/>
      <c r="K537" s="9"/>
      <c r="L537" s="9"/>
    </row>
    <row r="538" spans="9:12" x14ac:dyDescent="0.2">
      <c r="I538" s="9"/>
      <c r="J538" s="9"/>
      <c r="K538" s="9"/>
      <c r="L538" s="9"/>
    </row>
    <row r="539" spans="9:12" x14ac:dyDescent="0.2">
      <c r="I539" s="9"/>
      <c r="J539" s="9"/>
      <c r="K539" s="9"/>
      <c r="L539" s="9"/>
    </row>
    <row r="540" spans="9:12" x14ac:dyDescent="0.2">
      <c r="I540" s="9"/>
      <c r="J540" s="9"/>
      <c r="K540" s="9"/>
      <c r="L540" s="9"/>
    </row>
    <row r="541" spans="9:12" x14ac:dyDescent="0.2">
      <c r="I541" s="9"/>
      <c r="J541" s="9"/>
      <c r="K541" s="9"/>
      <c r="L541" s="9"/>
    </row>
    <row r="542" spans="9:12" x14ac:dyDescent="0.2">
      <c r="I542" s="9"/>
      <c r="J542" s="9"/>
      <c r="K542" s="9"/>
      <c r="L542" s="9"/>
    </row>
    <row r="543" spans="9:12" x14ac:dyDescent="0.2">
      <c r="I543" s="9"/>
      <c r="J543" s="9"/>
      <c r="K543" s="9"/>
      <c r="L543" s="9"/>
    </row>
    <row r="544" spans="9:12" x14ac:dyDescent="0.2">
      <c r="I544" s="9"/>
      <c r="J544" s="9"/>
      <c r="K544" s="9"/>
      <c r="L544" s="9"/>
    </row>
    <row r="545" spans="9:12" x14ac:dyDescent="0.2">
      <c r="I545" s="9"/>
      <c r="J545" s="9"/>
      <c r="K545" s="9"/>
      <c r="L545" s="9"/>
    </row>
    <row r="546" spans="9:12" x14ac:dyDescent="0.2">
      <c r="I546" s="9"/>
      <c r="J546" s="9"/>
      <c r="K546" s="9"/>
      <c r="L546" s="9"/>
    </row>
    <row r="547" spans="9:12" x14ac:dyDescent="0.2">
      <c r="I547" s="9"/>
      <c r="J547" s="9"/>
      <c r="K547" s="9"/>
      <c r="L547" s="9"/>
    </row>
    <row r="548" spans="9:12" x14ac:dyDescent="0.2">
      <c r="I548" s="9"/>
      <c r="J548" s="9"/>
      <c r="K548" s="9"/>
      <c r="L548" s="9"/>
    </row>
    <row r="549" spans="9:12" x14ac:dyDescent="0.2">
      <c r="I549" s="9"/>
      <c r="J549" s="9"/>
      <c r="K549" s="9"/>
      <c r="L549" s="9"/>
    </row>
    <row r="550" spans="9:12" x14ac:dyDescent="0.2">
      <c r="I550" s="9"/>
      <c r="J550" s="9"/>
      <c r="K550" s="9"/>
      <c r="L550" s="9"/>
    </row>
    <row r="551" spans="9:12" x14ac:dyDescent="0.2">
      <c r="I551" s="9"/>
      <c r="J551" s="9"/>
      <c r="K551" s="9"/>
      <c r="L551" s="9"/>
    </row>
    <row r="552" spans="9:12" x14ac:dyDescent="0.2">
      <c r="I552" s="9"/>
      <c r="J552" s="9"/>
      <c r="K552" s="9"/>
      <c r="L552" s="9"/>
    </row>
    <row r="553" spans="9:12" x14ac:dyDescent="0.2">
      <c r="I553" s="9"/>
      <c r="J553" s="9"/>
      <c r="K553" s="9"/>
      <c r="L553" s="9"/>
    </row>
    <row r="554" spans="9:12" x14ac:dyDescent="0.2">
      <c r="I554" s="9"/>
      <c r="J554" s="9"/>
      <c r="K554" s="9"/>
      <c r="L554" s="9"/>
    </row>
    <row r="555" spans="9:12" x14ac:dyDescent="0.2">
      <c r="I555" s="9"/>
      <c r="J555" s="9"/>
      <c r="K555" s="9"/>
      <c r="L555" s="9"/>
    </row>
    <row r="556" spans="9:12" x14ac:dyDescent="0.2">
      <c r="I556" s="9"/>
      <c r="J556" s="9"/>
      <c r="K556" s="9"/>
      <c r="L556" s="9"/>
    </row>
    <row r="557" spans="9:12" x14ac:dyDescent="0.2">
      <c r="I557" s="9"/>
      <c r="J557" s="9"/>
      <c r="K557" s="9"/>
      <c r="L557" s="9"/>
    </row>
    <row r="558" spans="9:12" x14ac:dyDescent="0.2">
      <c r="I558" s="9"/>
      <c r="J558" s="9"/>
      <c r="K558" s="9"/>
      <c r="L558" s="9"/>
    </row>
    <row r="559" spans="9:12" x14ac:dyDescent="0.2">
      <c r="I559" s="9"/>
      <c r="J559" s="9"/>
      <c r="K559" s="9"/>
      <c r="L559" s="9"/>
    </row>
    <row r="560" spans="9:12" x14ac:dyDescent="0.2">
      <c r="I560" s="9"/>
      <c r="J560" s="9"/>
      <c r="K560" s="9"/>
      <c r="L560" s="9"/>
    </row>
    <row r="561" spans="9:12" x14ac:dyDescent="0.2">
      <c r="I561" s="9"/>
      <c r="J561" s="9"/>
      <c r="K561" s="9"/>
      <c r="L561" s="9"/>
    </row>
    <row r="562" spans="9:12" x14ac:dyDescent="0.2">
      <c r="I562" s="9"/>
      <c r="J562" s="9"/>
      <c r="K562" s="9"/>
      <c r="L562" s="9"/>
    </row>
    <row r="563" spans="9:12" x14ac:dyDescent="0.2">
      <c r="I563" s="9"/>
      <c r="J563" s="9"/>
      <c r="K563" s="9"/>
      <c r="L563" s="9"/>
    </row>
    <row r="564" spans="9:12" x14ac:dyDescent="0.2">
      <c r="I564" s="9"/>
      <c r="J564" s="9"/>
      <c r="K564" s="9"/>
      <c r="L564" s="9"/>
    </row>
    <row r="565" spans="9:12" x14ac:dyDescent="0.2">
      <c r="I565" s="9"/>
      <c r="J565" s="9"/>
      <c r="K565" s="9"/>
      <c r="L565" s="9"/>
    </row>
    <row r="566" spans="9:12" x14ac:dyDescent="0.2">
      <c r="I566" s="9"/>
      <c r="J566" s="9"/>
      <c r="K566" s="9"/>
      <c r="L566" s="9"/>
    </row>
    <row r="567" spans="9:12" x14ac:dyDescent="0.2">
      <c r="I567" s="9"/>
      <c r="J567" s="9"/>
      <c r="K567" s="9"/>
      <c r="L567" s="9"/>
    </row>
    <row r="568" spans="9:12" x14ac:dyDescent="0.2">
      <c r="I568" s="9"/>
      <c r="J568" s="9"/>
      <c r="K568" s="9"/>
      <c r="L568" s="9"/>
    </row>
    <row r="569" spans="9:12" x14ac:dyDescent="0.2">
      <c r="I569" s="9"/>
      <c r="J569" s="9"/>
      <c r="K569" s="9"/>
      <c r="L569" s="9"/>
    </row>
    <row r="570" spans="9:12" x14ac:dyDescent="0.2">
      <c r="I570" s="9"/>
      <c r="J570" s="9"/>
      <c r="K570" s="9"/>
      <c r="L570" s="9"/>
    </row>
    <row r="571" spans="9:12" x14ac:dyDescent="0.2">
      <c r="I571" s="9"/>
      <c r="J571" s="9"/>
      <c r="K571" s="9"/>
      <c r="L571" s="9"/>
    </row>
    <row r="572" spans="9:12" x14ac:dyDescent="0.2">
      <c r="I572" s="9"/>
      <c r="J572" s="9"/>
      <c r="K572" s="9"/>
      <c r="L572" s="9"/>
    </row>
    <row r="573" spans="9:12" x14ac:dyDescent="0.2">
      <c r="I573" s="9"/>
      <c r="J573" s="9"/>
      <c r="K573" s="9"/>
      <c r="L573" s="9"/>
    </row>
    <row r="574" spans="9:12" x14ac:dyDescent="0.2">
      <c r="I574" s="9"/>
      <c r="J574" s="9"/>
      <c r="K574" s="9"/>
      <c r="L574" s="9"/>
    </row>
    <row r="575" spans="9:12" x14ac:dyDescent="0.2">
      <c r="I575" s="9"/>
      <c r="J575" s="9"/>
      <c r="K575" s="9"/>
      <c r="L575" s="9"/>
    </row>
    <row r="576" spans="9:12" x14ac:dyDescent="0.2">
      <c r="I576" s="9"/>
      <c r="J576" s="9"/>
      <c r="K576" s="9"/>
      <c r="L576" s="9"/>
    </row>
    <row r="577" spans="9:12" x14ac:dyDescent="0.2">
      <c r="I577" s="9"/>
      <c r="J577" s="9"/>
      <c r="K577" s="9"/>
      <c r="L577" s="9"/>
    </row>
    <row r="578" spans="9:12" x14ac:dyDescent="0.2">
      <c r="I578" s="9"/>
      <c r="J578" s="9"/>
      <c r="K578" s="9"/>
      <c r="L578" s="9"/>
    </row>
    <row r="579" spans="9:12" x14ac:dyDescent="0.2">
      <c r="I579" s="9"/>
      <c r="J579" s="9"/>
      <c r="K579" s="9"/>
      <c r="L579" s="9"/>
    </row>
    <row r="580" spans="9:12" x14ac:dyDescent="0.2">
      <c r="I580" s="9"/>
      <c r="J580" s="9"/>
      <c r="K580" s="9"/>
      <c r="L580" s="9"/>
    </row>
    <row r="581" spans="9:12" x14ac:dyDescent="0.2">
      <c r="I581" s="9"/>
      <c r="J581" s="9"/>
      <c r="K581" s="9"/>
      <c r="L581" s="9"/>
    </row>
    <row r="582" spans="9:12" x14ac:dyDescent="0.2">
      <c r="I582" s="9"/>
      <c r="J582" s="9"/>
      <c r="K582" s="9"/>
      <c r="L582" s="9"/>
    </row>
    <row r="583" spans="9:12" x14ac:dyDescent="0.2">
      <c r="I583" s="9"/>
      <c r="J583" s="9"/>
      <c r="K583" s="9"/>
      <c r="L583" s="9"/>
    </row>
    <row r="584" spans="9:12" x14ac:dyDescent="0.2">
      <c r="I584" s="9"/>
      <c r="J584" s="9"/>
      <c r="K584" s="9"/>
      <c r="L584" s="9"/>
    </row>
    <row r="585" spans="9:12" x14ac:dyDescent="0.2">
      <c r="I585" s="9"/>
      <c r="J585" s="9"/>
      <c r="K585" s="9"/>
      <c r="L585" s="9"/>
    </row>
    <row r="586" spans="9:12" x14ac:dyDescent="0.2">
      <c r="I586" s="9"/>
      <c r="J586" s="9"/>
      <c r="K586" s="9"/>
      <c r="L586" s="9"/>
    </row>
    <row r="587" spans="9:12" x14ac:dyDescent="0.2">
      <c r="I587" s="9"/>
      <c r="J587" s="9"/>
      <c r="K587" s="9"/>
      <c r="L587" s="9"/>
    </row>
    <row r="588" spans="9:12" x14ac:dyDescent="0.2">
      <c r="I588" s="9"/>
      <c r="J588" s="9"/>
      <c r="K588" s="9"/>
      <c r="L588" s="9"/>
    </row>
    <row r="589" spans="9:12" x14ac:dyDescent="0.2">
      <c r="I589" s="9"/>
      <c r="J589" s="9"/>
      <c r="K589" s="9"/>
      <c r="L589" s="9"/>
    </row>
    <row r="590" spans="9:12" x14ac:dyDescent="0.2">
      <c r="I590" s="9"/>
      <c r="J590" s="9"/>
      <c r="K590" s="9"/>
      <c r="L590" s="9"/>
    </row>
    <row r="591" spans="9:12" x14ac:dyDescent="0.2">
      <c r="I591" s="9"/>
      <c r="J591" s="9"/>
      <c r="K591" s="9"/>
      <c r="L591" s="9"/>
    </row>
    <row r="592" spans="9:12" x14ac:dyDescent="0.2">
      <c r="I592" s="9"/>
      <c r="J592" s="9"/>
      <c r="K592" s="9"/>
      <c r="L592" s="9"/>
    </row>
    <row r="593" spans="9:12" x14ac:dyDescent="0.2">
      <c r="I593" s="9"/>
      <c r="J593" s="9"/>
      <c r="K593" s="9"/>
      <c r="L593" s="9"/>
    </row>
    <row r="594" spans="9:12" x14ac:dyDescent="0.2">
      <c r="I594" s="9"/>
      <c r="J594" s="9"/>
      <c r="K594" s="9"/>
      <c r="L594" s="9"/>
    </row>
    <row r="595" spans="9:12" x14ac:dyDescent="0.2">
      <c r="I595" s="9"/>
      <c r="J595" s="9"/>
      <c r="K595" s="9"/>
      <c r="L595" s="9"/>
    </row>
    <row r="596" spans="9:12" x14ac:dyDescent="0.2">
      <c r="I596" s="9"/>
      <c r="J596" s="9"/>
      <c r="K596" s="9"/>
      <c r="L596" s="9"/>
    </row>
    <row r="597" spans="9:12" x14ac:dyDescent="0.2">
      <c r="I597" s="9"/>
      <c r="J597" s="9"/>
      <c r="K597" s="9"/>
      <c r="L597" s="9"/>
    </row>
    <row r="598" spans="9:12" x14ac:dyDescent="0.2">
      <c r="I598" s="9"/>
      <c r="J598" s="9"/>
      <c r="K598" s="9"/>
      <c r="L598" s="9"/>
    </row>
    <row r="599" spans="9:12" x14ac:dyDescent="0.2">
      <c r="I599" s="9"/>
      <c r="J599" s="9"/>
      <c r="K599" s="9"/>
      <c r="L599" s="9"/>
    </row>
    <row r="600" spans="9:12" x14ac:dyDescent="0.2">
      <c r="I600" s="9"/>
      <c r="J600" s="9"/>
      <c r="K600" s="9"/>
      <c r="L600" s="9"/>
    </row>
    <row r="601" spans="9:12" x14ac:dyDescent="0.2">
      <c r="I601" s="9"/>
      <c r="J601" s="9"/>
      <c r="K601" s="9"/>
      <c r="L601" s="9"/>
    </row>
    <row r="602" spans="9:12" x14ac:dyDescent="0.2">
      <c r="I602" s="9"/>
      <c r="J602" s="9"/>
      <c r="K602" s="9"/>
      <c r="L602" s="9"/>
    </row>
    <row r="603" spans="9:12" x14ac:dyDescent="0.2">
      <c r="I603" s="9"/>
      <c r="J603" s="9"/>
      <c r="K603" s="9"/>
      <c r="L603" s="9"/>
    </row>
    <row r="604" spans="9:12" x14ac:dyDescent="0.2">
      <c r="I604" s="9"/>
      <c r="J604" s="9"/>
      <c r="K604" s="9"/>
      <c r="L604" s="9"/>
    </row>
    <row r="605" spans="9:12" x14ac:dyDescent="0.2">
      <c r="I605" s="9"/>
      <c r="J605" s="9"/>
      <c r="K605" s="9"/>
      <c r="L605" s="9"/>
    </row>
    <row r="606" spans="9:12" x14ac:dyDescent="0.2">
      <c r="I606" s="9"/>
      <c r="J606" s="9"/>
      <c r="K606" s="9"/>
      <c r="L606" s="9"/>
    </row>
    <row r="607" spans="9:12" x14ac:dyDescent="0.2">
      <c r="I607" s="9"/>
      <c r="J607" s="9"/>
      <c r="K607" s="9"/>
      <c r="L607" s="9"/>
    </row>
    <row r="608" spans="9:12" x14ac:dyDescent="0.2">
      <c r="I608" s="9"/>
      <c r="J608" s="9"/>
      <c r="K608" s="9"/>
      <c r="L608" s="9"/>
    </row>
    <row r="609" spans="9:12" x14ac:dyDescent="0.2">
      <c r="I609" s="9"/>
      <c r="J609" s="9"/>
      <c r="K609" s="9"/>
      <c r="L609" s="9"/>
    </row>
    <row r="610" spans="9:12" x14ac:dyDescent="0.2">
      <c r="I610" s="9"/>
      <c r="J610" s="9"/>
      <c r="K610" s="9"/>
      <c r="L610" s="9"/>
    </row>
    <row r="611" spans="9:12" x14ac:dyDescent="0.2">
      <c r="I611" s="9"/>
      <c r="J611" s="9"/>
      <c r="K611" s="9"/>
      <c r="L611" s="9"/>
    </row>
    <row r="612" spans="9:12" x14ac:dyDescent="0.2">
      <c r="I612" s="9"/>
      <c r="J612" s="9"/>
      <c r="K612" s="9"/>
      <c r="L612" s="9"/>
    </row>
    <row r="613" spans="9:12" x14ac:dyDescent="0.2">
      <c r="I613" s="9"/>
      <c r="J613" s="9"/>
      <c r="K613" s="9"/>
      <c r="L613" s="9"/>
    </row>
    <row r="614" spans="9:12" x14ac:dyDescent="0.2">
      <c r="I614" s="9"/>
      <c r="J614" s="9"/>
      <c r="K614" s="9"/>
      <c r="L614" s="9"/>
    </row>
    <row r="615" spans="9:12" x14ac:dyDescent="0.2">
      <c r="I615" s="9"/>
      <c r="J615" s="9"/>
      <c r="K615" s="9"/>
      <c r="L615" s="9"/>
    </row>
    <row r="616" spans="9:12" x14ac:dyDescent="0.2">
      <c r="I616" s="9"/>
      <c r="J616" s="9"/>
      <c r="K616" s="9"/>
      <c r="L616" s="9"/>
    </row>
    <row r="617" spans="9:12" x14ac:dyDescent="0.2">
      <c r="I617" s="9"/>
      <c r="J617" s="9"/>
      <c r="K617" s="9"/>
      <c r="L617" s="9"/>
    </row>
    <row r="618" spans="9:12" x14ac:dyDescent="0.2">
      <c r="I618" s="9"/>
      <c r="J618" s="9"/>
      <c r="K618" s="9"/>
      <c r="L618" s="9"/>
    </row>
    <row r="619" spans="9:12" x14ac:dyDescent="0.2">
      <c r="I619" s="9"/>
      <c r="J619" s="9"/>
      <c r="K619" s="9"/>
      <c r="L619" s="9"/>
    </row>
    <row r="620" spans="9:12" x14ac:dyDescent="0.2">
      <c r="I620" s="9"/>
      <c r="J620" s="9"/>
      <c r="K620" s="9"/>
      <c r="L620" s="9"/>
    </row>
    <row r="621" spans="9:12" x14ac:dyDescent="0.2">
      <c r="I621" s="9"/>
      <c r="J621" s="9"/>
      <c r="K621" s="9"/>
      <c r="L621" s="9"/>
    </row>
    <row r="622" spans="9:12" x14ac:dyDescent="0.2">
      <c r="I622" s="9"/>
      <c r="J622" s="9"/>
      <c r="K622" s="9"/>
      <c r="L622" s="9"/>
    </row>
    <row r="623" spans="9:12" x14ac:dyDescent="0.2">
      <c r="I623" s="9"/>
      <c r="J623" s="9"/>
      <c r="K623" s="9"/>
      <c r="L623" s="9"/>
    </row>
    <row r="624" spans="9:12" x14ac:dyDescent="0.2">
      <c r="I624" s="9"/>
      <c r="J624" s="9"/>
      <c r="K624" s="9"/>
      <c r="L624" s="9"/>
    </row>
    <row r="625" spans="9:12" x14ac:dyDescent="0.2">
      <c r="I625" s="9"/>
      <c r="J625" s="9"/>
      <c r="K625" s="9"/>
      <c r="L625" s="9"/>
    </row>
    <row r="626" spans="9:12" x14ac:dyDescent="0.2">
      <c r="I626" s="9"/>
      <c r="J626" s="9"/>
      <c r="K626" s="9"/>
      <c r="L626" s="9"/>
    </row>
    <row r="627" spans="9:12" x14ac:dyDescent="0.2">
      <c r="I627" s="9"/>
      <c r="J627" s="9"/>
      <c r="K627" s="9"/>
      <c r="L627" s="9"/>
    </row>
    <row r="628" spans="9:12" x14ac:dyDescent="0.2">
      <c r="I628" s="9"/>
      <c r="J628" s="9"/>
      <c r="K628" s="9"/>
      <c r="L628" s="9"/>
    </row>
    <row r="629" spans="9:12" x14ac:dyDescent="0.2">
      <c r="I629" s="9"/>
      <c r="J629" s="9"/>
      <c r="K629" s="9"/>
      <c r="L629" s="9"/>
    </row>
    <row r="630" spans="9:12" x14ac:dyDescent="0.2">
      <c r="I630" s="9"/>
      <c r="J630" s="9"/>
      <c r="K630" s="9"/>
      <c r="L630" s="9"/>
    </row>
    <row r="631" spans="9:12" x14ac:dyDescent="0.2">
      <c r="I631" s="9"/>
      <c r="J631" s="9"/>
      <c r="K631" s="9"/>
      <c r="L631" s="9"/>
    </row>
    <row r="632" spans="9:12" x14ac:dyDescent="0.2">
      <c r="I632" s="9"/>
      <c r="J632" s="9"/>
      <c r="K632" s="9"/>
      <c r="L632" s="9"/>
    </row>
    <row r="633" spans="9:12" x14ac:dyDescent="0.2">
      <c r="I633" s="9"/>
      <c r="J633" s="9"/>
      <c r="K633" s="9"/>
      <c r="L633" s="9"/>
    </row>
    <row r="634" spans="9:12" x14ac:dyDescent="0.2">
      <c r="I634" s="9"/>
      <c r="J634" s="9"/>
      <c r="K634" s="9"/>
      <c r="L634" s="9"/>
    </row>
    <row r="635" spans="9:12" x14ac:dyDescent="0.2">
      <c r="I635" s="9"/>
      <c r="J635" s="9"/>
      <c r="K635" s="9"/>
      <c r="L635" s="9"/>
    </row>
    <row r="636" spans="9:12" x14ac:dyDescent="0.2">
      <c r="I636" s="9"/>
      <c r="J636" s="9"/>
      <c r="K636" s="9"/>
      <c r="L636" s="9"/>
    </row>
    <row r="637" spans="9:12" x14ac:dyDescent="0.2">
      <c r="I637" s="9"/>
      <c r="J637" s="9"/>
      <c r="K637" s="9"/>
      <c r="L637" s="9"/>
    </row>
    <row r="638" spans="9:12" x14ac:dyDescent="0.2">
      <c r="I638" s="9"/>
      <c r="J638" s="9"/>
      <c r="K638" s="9"/>
      <c r="L638" s="9"/>
    </row>
    <row r="639" spans="9:12" x14ac:dyDescent="0.2">
      <c r="I639" s="9"/>
      <c r="J639" s="9"/>
      <c r="K639" s="9"/>
      <c r="L639" s="9"/>
    </row>
    <row r="640" spans="9:12" x14ac:dyDescent="0.2">
      <c r="I640" s="9"/>
      <c r="J640" s="9"/>
      <c r="K640" s="9"/>
      <c r="L640" s="9"/>
    </row>
    <row r="641" spans="9:12" x14ac:dyDescent="0.2">
      <c r="I641" s="9"/>
      <c r="J641" s="9"/>
      <c r="K641" s="9"/>
      <c r="L641" s="9"/>
    </row>
    <row r="642" spans="9:12" x14ac:dyDescent="0.2">
      <c r="I642" s="9"/>
      <c r="J642" s="9"/>
      <c r="K642" s="9"/>
      <c r="L642" s="9"/>
    </row>
    <row r="643" spans="9:12" x14ac:dyDescent="0.2">
      <c r="I643" s="9"/>
      <c r="J643" s="9"/>
      <c r="K643" s="9"/>
      <c r="L643" s="9"/>
    </row>
    <row r="644" spans="9:12" x14ac:dyDescent="0.2">
      <c r="I644" s="9"/>
      <c r="J644" s="9"/>
      <c r="K644" s="9"/>
      <c r="L644" s="9"/>
    </row>
    <row r="645" spans="9:12" x14ac:dyDescent="0.2">
      <c r="I645" s="9"/>
      <c r="J645" s="9"/>
      <c r="K645" s="9"/>
      <c r="L645" s="9"/>
    </row>
    <row r="646" spans="9:12" x14ac:dyDescent="0.2">
      <c r="I646" s="9"/>
      <c r="J646" s="9"/>
      <c r="K646" s="9"/>
      <c r="L646" s="9"/>
    </row>
    <row r="647" spans="9:12" x14ac:dyDescent="0.2">
      <c r="I647" s="9"/>
      <c r="J647" s="9"/>
      <c r="K647" s="9"/>
      <c r="L647" s="9"/>
    </row>
    <row r="648" spans="9:12" x14ac:dyDescent="0.2">
      <c r="I648" s="9"/>
      <c r="J648" s="9"/>
      <c r="K648" s="9"/>
      <c r="L648" s="9"/>
    </row>
    <row r="649" spans="9:12" x14ac:dyDescent="0.2">
      <c r="I649" s="9"/>
      <c r="J649" s="9"/>
      <c r="K649" s="9"/>
      <c r="L649" s="9"/>
    </row>
    <row r="650" spans="9:12" x14ac:dyDescent="0.2">
      <c r="I650" s="9"/>
      <c r="J650" s="9"/>
      <c r="K650" s="9"/>
      <c r="L650" s="9"/>
    </row>
    <row r="651" spans="9:12" x14ac:dyDescent="0.2">
      <c r="I651" s="9"/>
      <c r="J651" s="9"/>
      <c r="K651" s="9"/>
      <c r="L651" s="9"/>
    </row>
    <row r="652" spans="9:12" x14ac:dyDescent="0.2">
      <c r="I652" s="9"/>
      <c r="J652" s="9"/>
      <c r="K652" s="9"/>
      <c r="L652" s="9"/>
    </row>
    <row r="653" spans="9:12" x14ac:dyDescent="0.2">
      <c r="I653" s="9"/>
      <c r="J653" s="9"/>
      <c r="K653" s="9"/>
      <c r="L653" s="9"/>
    </row>
    <row r="654" spans="9:12" x14ac:dyDescent="0.2">
      <c r="I654" s="9"/>
      <c r="J654" s="9"/>
      <c r="K654" s="9"/>
      <c r="L654" s="9"/>
    </row>
    <row r="655" spans="9:12" x14ac:dyDescent="0.2">
      <c r="I655" s="9"/>
      <c r="J655" s="9"/>
      <c r="K655" s="9"/>
      <c r="L655" s="9"/>
    </row>
    <row r="656" spans="9:12" x14ac:dyDescent="0.2">
      <c r="I656" s="9"/>
      <c r="J656" s="9"/>
      <c r="K656" s="9"/>
      <c r="L656" s="9"/>
    </row>
    <row r="657" spans="9:12" x14ac:dyDescent="0.2">
      <c r="I657" s="9"/>
      <c r="J657" s="9"/>
      <c r="K657" s="9"/>
      <c r="L657" s="9"/>
    </row>
    <row r="658" spans="9:12" x14ac:dyDescent="0.2">
      <c r="I658" s="9"/>
      <c r="J658" s="9"/>
      <c r="K658" s="9"/>
      <c r="L658" s="9"/>
    </row>
    <row r="659" spans="9:12" x14ac:dyDescent="0.2">
      <c r="I659" s="9"/>
      <c r="J659" s="9"/>
      <c r="K659" s="9"/>
      <c r="L659" s="9"/>
    </row>
    <row r="660" spans="9:12" x14ac:dyDescent="0.2">
      <c r="I660" s="9"/>
      <c r="J660" s="9"/>
      <c r="K660" s="9"/>
      <c r="L660" s="9"/>
    </row>
    <row r="661" spans="9:12" x14ac:dyDescent="0.2">
      <c r="I661" s="9"/>
      <c r="J661" s="9"/>
      <c r="K661" s="9"/>
      <c r="L661" s="9"/>
    </row>
    <row r="662" spans="9:12" x14ac:dyDescent="0.2">
      <c r="I662" s="9"/>
      <c r="J662" s="9"/>
      <c r="K662" s="9"/>
      <c r="L662" s="9"/>
    </row>
    <row r="663" spans="9:12" x14ac:dyDescent="0.2">
      <c r="I663" s="9"/>
      <c r="J663" s="9"/>
      <c r="K663" s="9"/>
      <c r="L663" s="9"/>
    </row>
    <row r="664" spans="9:12" x14ac:dyDescent="0.2">
      <c r="I664" s="9"/>
      <c r="J664" s="9"/>
      <c r="K664" s="9"/>
      <c r="L664" s="9"/>
    </row>
    <row r="665" spans="9:12" x14ac:dyDescent="0.2">
      <c r="I665" s="9"/>
      <c r="J665" s="9"/>
      <c r="K665" s="9"/>
      <c r="L665" s="9"/>
    </row>
    <row r="666" spans="9:12" x14ac:dyDescent="0.2">
      <c r="I666" s="9"/>
      <c r="J666" s="9"/>
      <c r="K666" s="9"/>
      <c r="L666" s="9"/>
    </row>
    <row r="667" spans="9:12" x14ac:dyDescent="0.2">
      <c r="I667" s="9"/>
      <c r="J667" s="9"/>
      <c r="K667" s="9"/>
      <c r="L667" s="9"/>
    </row>
    <row r="668" spans="9:12" x14ac:dyDescent="0.2">
      <c r="I668" s="9"/>
      <c r="J668" s="9"/>
      <c r="K668" s="9"/>
      <c r="L668" s="9"/>
    </row>
    <row r="669" spans="9:12" x14ac:dyDescent="0.2">
      <c r="I669" s="9"/>
      <c r="J669" s="9"/>
      <c r="K669" s="9"/>
      <c r="L669" s="9"/>
    </row>
    <row r="670" spans="9:12" x14ac:dyDescent="0.2">
      <c r="I670" s="9"/>
      <c r="J670" s="9"/>
      <c r="K670" s="9"/>
      <c r="L670" s="9"/>
    </row>
    <row r="671" spans="9:12" x14ac:dyDescent="0.2">
      <c r="I671" s="9"/>
      <c r="J671" s="9"/>
      <c r="K671" s="9"/>
      <c r="L671" s="9"/>
    </row>
    <row r="672" spans="9:12" x14ac:dyDescent="0.2">
      <c r="I672" s="9"/>
      <c r="J672" s="9"/>
      <c r="K672" s="9"/>
      <c r="L672" s="9"/>
    </row>
    <row r="673" spans="9:12" x14ac:dyDescent="0.2">
      <c r="I673" s="9"/>
      <c r="J673" s="9"/>
      <c r="K673" s="9"/>
      <c r="L673" s="9"/>
    </row>
    <row r="674" spans="9:12" x14ac:dyDescent="0.2">
      <c r="I674" s="9"/>
      <c r="J674" s="9"/>
      <c r="K674" s="9"/>
      <c r="L674" s="9"/>
    </row>
    <row r="675" spans="9:12" x14ac:dyDescent="0.2">
      <c r="I675" s="9"/>
      <c r="J675" s="9"/>
      <c r="K675" s="9"/>
      <c r="L675" s="9"/>
    </row>
    <row r="676" spans="9:12" x14ac:dyDescent="0.2">
      <c r="I676" s="9"/>
      <c r="J676" s="9"/>
      <c r="K676" s="9"/>
      <c r="L676" s="9"/>
    </row>
    <row r="677" spans="9:12" x14ac:dyDescent="0.2">
      <c r="I677" s="9"/>
      <c r="J677" s="9"/>
      <c r="K677" s="9"/>
      <c r="L677" s="9"/>
    </row>
    <row r="678" spans="9:12" x14ac:dyDescent="0.2">
      <c r="I678" s="9"/>
      <c r="J678" s="9"/>
      <c r="K678" s="9"/>
      <c r="L678" s="9"/>
    </row>
    <row r="679" spans="9:12" x14ac:dyDescent="0.2">
      <c r="I679" s="9"/>
      <c r="J679" s="9"/>
      <c r="K679" s="9"/>
      <c r="L679" s="9"/>
    </row>
    <row r="680" spans="9:12" x14ac:dyDescent="0.2">
      <c r="I680" s="9"/>
      <c r="J680" s="9"/>
      <c r="K680" s="9"/>
      <c r="L680" s="9"/>
    </row>
    <row r="681" spans="9:12" x14ac:dyDescent="0.2">
      <c r="I681" s="9"/>
      <c r="J681" s="9"/>
      <c r="K681" s="9"/>
      <c r="L681" s="9"/>
    </row>
    <row r="682" spans="9:12" x14ac:dyDescent="0.2">
      <c r="I682" s="9"/>
      <c r="J682" s="9"/>
      <c r="K682" s="9"/>
      <c r="L682" s="9"/>
    </row>
    <row r="683" spans="9:12" x14ac:dyDescent="0.2">
      <c r="I683" s="9"/>
      <c r="J683" s="9"/>
      <c r="K683" s="9"/>
      <c r="L683" s="9"/>
    </row>
    <row r="684" spans="9:12" x14ac:dyDescent="0.2">
      <c r="I684" s="9"/>
      <c r="J684" s="9"/>
      <c r="K684" s="9"/>
      <c r="L684" s="9"/>
    </row>
    <row r="685" spans="9:12" x14ac:dyDescent="0.2">
      <c r="I685" s="9"/>
      <c r="J685" s="9"/>
      <c r="K685" s="9"/>
      <c r="L685" s="9"/>
    </row>
    <row r="686" spans="9:12" x14ac:dyDescent="0.2">
      <c r="I686" s="9"/>
      <c r="J686" s="9"/>
      <c r="K686" s="9"/>
      <c r="L686" s="9"/>
    </row>
    <row r="687" spans="9:12" x14ac:dyDescent="0.2">
      <c r="I687" s="9"/>
      <c r="J687" s="9"/>
      <c r="K687" s="9"/>
      <c r="L687" s="9"/>
    </row>
    <row r="688" spans="9:12" x14ac:dyDescent="0.2">
      <c r="I688" s="9"/>
      <c r="J688" s="9"/>
      <c r="K688" s="9"/>
      <c r="L688" s="9"/>
    </row>
    <row r="689" spans="9:12" x14ac:dyDescent="0.2">
      <c r="I689" s="9"/>
      <c r="J689" s="9"/>
      <c r="K689" s="9"/>
      <c r="L689" s="9"/>
    </row>
    <row r="690" spans="9:12" x14ac:dyDescent="0.2">
      <c r="I690" s="9"/>
      <c r="J690" s="9"/>
      <c r="K690" s="9"/>
      <c r="L690" s="9"/>
    </row>
    <row r="691" spans="9:12" x14ac:dyDescent="0.2">
      <c r="I691" s="9"/>
      <c r="J691" s="9"/>
      <c r="K691" s="9"/>
      <c r="L691" s="9"/>
    </row>
    <row r="692" spans="9:12" x14ac:dyDescent="0.2">
      <c r="I692" s="9"/>
      <c r="J692" s="9"/>
      <c r="K692" s="9"/>
      <c r="L692" s="9"/>
    </row>
    <row r="693" spans="9:12" x14ac:dyDescent="0.2">
      <c r="I693" s="9"/>
      <c r="J693" s="9"/>
      <c r="K693" s="9"/>
      <c r="L693" s="9"/>
    </row>
    <row r="694" spans="9:12" x14ac:dyDescent="0.2">
      <c r="I694" s="9"/>
      <c r="J694" s="9"/>
      <c r="K694" s="9"/>
      <c r="L694" s="9"/>
    </row>
    <row r="695" spans="9:12" x14ac:dyDescent="0.2">
      <c r="I695" s="9"/>
      <c r="J695" s="9"/>
      <c r="K695" s="9"/>
      <c r="L695" s="9"/>
    </row>
    <row r="696" spans="9:12" x14ac:dyDescent="0.2">
      <c r="I696" s="9"/>
      <c r="J696" s="9"/>
      <c r="K696" s="9"/>
      <c r="L696" s="9"/>
    </row>
    <row r="697" spans="9:12" x14ac:dyDescent="0.2">
      <c r="I697" s="9"/>
      <c r="J697" s="9"/>
      <c r="K697" s="9"/>
      <c r="L697" s="9"/>
    </row>
    <row r="698" spans="9:12" x14ac:dyDescent="0.2">
      <c r="I698" s="9"/>
      <c r="J698" s="9"/>
      <c r="K698" s="9"/>
      <c r="L698" s="9"/>
    </row>
    <row r="699" spans="9:12" x14ac:dyDescent="0.2">
      <c r="I699" s="9"/>
      <c r="J699" s="9"/>
      <c r="K699" s="9"/>
      <c r="L699" s="9"/>
    </row>
    <row r="700" spans="9:12" x14ac:dyDescent="0.2">
      <c r="I700" s="9"/>
      <c r="J700" s="9"/>
      <c r="K700" s="9"/>
      <c r="L700" s="9"/>
    </row>
    <row r="701" spans="9:12" x14ac:dyDescent="0.2">
      <c r="I701" s="9"/>
      <c r="J701" s="9"/>
      <c r="K701" s="9"/>
      <c r="L701" s="9"/>
    </row>
    <row r="702" spans="9:12" x14ac:dyDescent="0.2">
      <c r="I702" s="9"/>
      <c r="J702" s="9"/>
      <c r="K702" s="9"/>
      <c r="L702" s="9"/>
    </row>
    <row r="703" spans="9:12" x14ac:dyDescent="0.2">
      <c r="I703" s="9"/>
      <c r="J703" s="9"/>
      <c r="K703" s="9"/>
      <c r="L703" s="9"/>
    </row>
    <row r="704" spans="9:12" x14ac:dyDescent="0.2">
      <c r="I704" s="9"/>
      <c r="J704" s="9"/>
      <c r="K704" s="9"/>
      <c r="L704" s="9"/>
    </row>
    <row r="705" spans="9:12" x14ac:dyDescent="0.2">
      <c r="I705" s="9"/>
      <c r="J705" s="9"/>
      <c r="K705" s="9"/>
      <c r="L705" s="9"/>
    </row>
    <row r="706" spans="9:12" x14ac:dyDescent="0.2">
      <c r="I706" s="9"/>
      <c r="J706" s="9"/>
      <c r="K706" s="9"/>
      <c r="L706" s="9"/>
    </row>
    <row r="707" spans="9:12" x14ac:dyDescent="0.2">
      <c r="I707" s="9"/>
      <c r="J707" s="9"/>
      <c r="K707" s="9"/>
      <c r="L707" s="9"/>
    </row>
    <row r="708" spans="9:12" x14ac:dyDescent="0.2">
      <c r="I708" s="9"/>
      <c r="J708" s="9"/>
      <c r="K708" s="9"/>
      <c r="L708" s="9"/>
    </row>
    <row r="709" spans="9:12" x14ac:dyDescent="0.2">
      <c r="I709" s="9"/>
      <c r="J709" s="9"/>
      <c r="K709" s="9"/>
      <c r="L709" s="9"/>
    </row>
    <row r="710" spans="9:12" x14ac:dyDescent="0.2">
      <c r="I710" s="9"/>
      <c r="J710" s="9"/>
      <c r="K710" s="9"/>
      <c r="L710" s="9"/>
    </row>
    <row r="711" spans="9:12" x14ac:dyDescent="0.2">
      <c r="I711" s="9"/>
      <c r="J711" s="9"/>
      <c r="K711" s="9"/>
      <c r="L711" s="9"/>
    </row>
    <row r="712" spans="9:12" x14ac:dyDescent="0.2">
      <c r="I712" s="9"/>
      <c r="J712" s="9"/>
      <c r="K712" s="9"/>
      <c r="L712" s="9"/>
    </row>
    <row r="713" spans="9:12" x14ac:dyDescent="0.2">
      <c r="I713" s="9"/>
      <c r="J713" s="9"/>
      <c r="K713" s="9"/>
      <c r="L713" s="9"/>
    </row>
    <row r="714" spans="9:12" x14ac:dyDescent="0.2">
      <c r="I714" s="9"/>
      <c r="J714" s="9"/>
      <c r="K714" s="9"/>
      <c r="L714" s="9"/>
    </row>
    <row r="715" spans="9:12" x14ac:dyDescent="0.2">
      <c r="I715" s="9"/>
      <c r="J715" s="9"/>
      <c r="K715" s="9"/>
      <c r="L715" s="9"/>
    </row>
    <row r="716" spans="9:12" x14ac:dyDescent="0.2">
      <c r="I716" s="9"/>
      <c r="J716" s="9"/>
      <c r="K716" s="9"/>
      <c r="L716" s="9"/>
    </row>
    <row r="717" spans="9:12" x14ac:dyDescent="0.2">
      <c r="I717" s="9"/>
      <c r="J717" s="9"/>
      <c r="K717" s="9"/>
      <c r="L717" s="9"/>
    </row>
    <row r="718" spans="9:12" x14ac:dyDescent="0.2">
      <c r="I718" s="9"/>
      <c r="J718" s="9"/>
      <c r="K718" s="9"/>
      <c r="L718" s="9"/>
    </row>
    <row r="719" spans="9:12" x14ac:dyDescent="0.2">
      <c r="I719" s="9"/>
      <c r="J719" s="9"/>
      <c r="K719" s="9"/>
      <c r="L719" s="9"/>
    </row>
    <row r="720" spans="9:12" x14ac:dyDescent="0.2">
      <c r="I720" s="9"/>
      <c r="J720" s="9"/>
      <c r="K720" s="9"/>
      <c r="L720" s="9"/>
    </row>
    <row r="721" spans="9:12" x14ac:dyDescent="0.2">
      <c r="I721" s="9"/>
      <c r="J721" s="9"/>
      <c r="K721" s="9"/>
      <c r="L721" s="9"/>
    </row>
    <row r="722" spans="9:12" x14ac:dyDescent="0.2">
      <c r="I722" s="9"/>
      <c r="J722" s="9"/>
      <c r="K722" s="9"/>
      <c r="L722" s="9"/>
    </row>
    <row r="723" spans="9:12" x14ac:dyDescent="0.2">
      <c r="I723" s="9"/>
      <c r="J723" s="9"/>
      <c r="K723" s="9"/>
      <c r="L723" s="9"/>
    </row>
    <row r="724" spans="9:12" x14ac:dyDescent="0.2">
      <c r="I724" s="9"/>
      <c r="J724" s="9"/>
      <c r="K724" s="9"/>
      <c r="L724" s="9"/>
    </row>
    <row r="725" spans="9:12" x14ac:dyDescent="0.2">
      <c r="I725" s="9"/>
      <c r="J725" s="9"/>
      <c r="K725" s="9"/>
      <c r="L725" s="9"/>
    </row>
    <row r="726" spans="9:12" x14ac:dyDescent="0.2">
      <c r="I726" s="9"/>
      <c r="J726" s="9"/>
      <c r="K726" s="9"/>
      <c r="L726" s="9"/>
    </row>
    <row r="727" spans="9:12" x14ac:dyDescent="0.2">
      <c r="I727" s="9"/>
      <c r="J727" s="9"/>
      <c r="K727" s="9"/>
      <c r="L727" s="9"/>
    </row>
    <row r="728" spans="9:12" x14ac:dyDescent="0.2">
      <c r="I728" s="9"/>
      <c r="J728" s="9"/>
      <c r="K728" s="9"/>
      <c r="L728" s="9"/>
    </row>
    <row r="729" spans="9:12" x14ac:dyDescent="0.2">
      <c r="I729" s="9"/>
      <c r="J729" s="9"/>
      <c r="K729" s="9"/>
      <c r="L729" s="9"/>
    </row>
    <row r="730" spans="9:12" x14ac:dyDescent="0.2">
      <c r="I730" s="9"/>
      <c r="J730" s="9"/>
      <c r="K730" s="9"/>
      <c r="L730" s="9"/>
    </row>
    <row r="731" spans="9:12" x14ac:dyDescent="0.2">
      <c r="I731" s="9"/>
      <c r="J731" s="9"/>
      <c r="K731" s="9"/>
      <c r="L731" s="9"/>
    </row>
    <row r="732" spans="9:12" x14ac:dyDescent="0.2">
      <c r="I732" s="9"/>
      <c r="J732" s="9"/>
      <c r="K732" s="9"/>
      <c r="L732" s="9"/>
    </row>
    <row r="733" spans="9:12" x14ac:dyDescent="0.2">
      <c r="I733" s="9"/>
      <c r="J733" s="9"/>
      <c r="K733" s="9"/>
      <c r="L733" s="9"/>
    </row>
    <row r="734" spans="9:12" x14ac:dyDescent="0.2">
      <c r="I734" s="9"/>
      <c r="J734" s="9"/>
      <c r="K734" s="9"/>
      <c r="L734" s="9"/>
    </row>
    <row r="735" spans="9:12" x14ac:dyDescent="0.2">
      <c r="I735" s="9"/>
      <c r="J735" s="9"/>
      <c r="K735" s="9"/>
      <c r="L735" s="9"/>
    </row>
    <row r="736" spans="9:12" x14ac:dyDescent="0.2">
      <c r="I736" s="9"/>
      <c r="J736" s="9"/>
      <c r="K736" s="9"/>
      <c r="L736" s="9"/>
    </row>
    <row r="737" spans="9:12" x14ac:dyDescent="0.2">
      <c r="I737" s="9"/>
      <c r="J737" s="9"/>
      <c r="K737" s="9"/>
      <c r="L737" s="9"/>
    </row>
    <row r="738" spans="9:12" x14ac:dyDescent="0.2">
      <c r="I738" s="9"/>
      <c r="J738" s="9"/>
      <c r="K738" s="9"/>
      <c r="L738" s="9"/>
    </row>
    <row r="739" spans="9:12" x14ac:dyDescent="0.2">
      <c r="I739" s="9"/>
      <c r="J739" s="9"/>
      <c r="K739" s="9"/>
      <c r="L739" s="9"/>
    </row>
    <row r="740" spans="9:12" x14ac:dyDescent="0.2">
      <c r="I740" s="9"/>
      <c r="J740" s="9"/>
      <c r="K740" s="9"/>
      <c r="L740" s="9"/>
    </row>
    <row r="741" spans="9:12" x14ac:dyDescent="0.2">
      <c r="I741" s="9"/>
      <c r="J741" s="9"/>
      <c r="K741" s="9"/>
      <c r="L741" s="9"/>
    </row>
    <row r="742" spans="9:12" x14ac:dyDescent="0.2">
      <c r="I742" s="9"/>
      <c r="J742" s="9"/>
      <c r="K742" s="9"/>
      <c r="L742" s="9"/>
    </row>
    <row r="743" spans="9:12" x14ac:dyDescent="0.2">
      <c r="I743" s="9"/>
      <c r="J743" s="9"/>
      <c r="K743" s="9"/>
      <c r="L743" s="9"/>
    </row>
    <row r="744" spans="9:12" x14ac:dyDescent="0.2">
      <c r="I744" s="9"/>
      <c r="J744" s="9"/>
      <c r="K744" s="9"/>
      <c r="L744" s="9"/>
    </row>
    <row r="745" spans="9:12" x14ac:dyDescent="0.2">
      <c r="I745" s="9"/>
      <c r="J745" s="9"/>
      <c r="K745" s="9"/>
      <c r="L745" s="9"/>
    </row>
    <row r="746" spans="9:12" x14ac:dyDescent="0.2">
      <c r="I746" s="9"/>
      <c r="J746" s="9"/>
      <c r="K746" s="9"/>
      <c r="L746" s="9"/>
    </row>
    <row r="747" spans="9:12" x14ac:dyDescent="0.2">
      <c r="I747" s="9"/>
      <c r="J747" s="9"/>
      <c r="K747" s="9"/>
      <c r="L747" s="9"/>
    </row>
    <row r="748" spans="9:12" x14ac:dyDescent="0.2">
      <c r="I748" s="9"/>
      <c r="J748" s="9"/>
      <c r="K748" s="9"/>
      <c r="L748" s="9"/>
    </row>
    <row r="749" spans="9:12" x14ac:dyDescent="0.2">
      <c r="I749" s="9"/>
      <c r="J749" s="9"/>
      <c r="K749" s="9"/>
      <c r="L749" s="9"/>
    </row>
    <row r="750" spans="9:12" x14ac:dyDescent="0.2">
      <c r="I750" s="9"/>
      <c r="J750" s="9"/>
      <c r="K750" s="9"/>
      <c r="L750" s="9"/>
    </row>
    <row r="751" spans="9:12" x14ac:dyDescent="0.2">
      <c r="I751" s="9"/>
      <c r="J751" s="9"/>
      <c r="K751" s="9"/>
      <c r="L751" s="9"/>
    </row>
    <row r="752" spans="9:12" x14ac:dyDescent="0.2">
      <c r="I752" s="9"/>
      <c r="J752" s="9"/>
      <c r="K752" s="9"/>
      <c r="L752" s="9"/>
    </row>
    <row r="753" spans="9:12" x14ac:dyDescent="0.2">
      <c r="I753" s="9"/>
      <c r="J753" s="9"/>
      <c r="K753" s="9"/>
      <c r="L753" s="9"/>
    </row>
    <row r="754" spans="9:12" x14ac:dyDescent="0.2">
      <c r="I754" s="9"/>
      <c r="J754" s="9"/>
      <c r="K754" s="9"/>
      <c r="L754" s="9"/>
    </row>
    <row r="755" spans="9:12" x14ac:dyDescent="0.2">
      <c r="I755" s="9"/>
      <c r="J755" s="9"/>
      <c r="K755" s="9"/>
      <c r="L755" s="9"/>
    </row>
    <row r="756" spans="9:12" x14ac:dyDescent="0.2">
      <c r="I756" s="9"/>
      <c r="J756" s="9"/>
      <c r="K756" s="9"/>
      <c r="L756" s="9"/>
    </row>
    <row r="757" spans="9:12" x14ac:dyDescent="0.2">
      <c r="I757" s="9"/>
      <c r="J757" s="9"/>
      <c r="K757" s="9"/>
      <c r="L757" s="9"/>
    </row>
    <row r="758" spans="9:12" x14ac:dyDescent="0.2">
      <c r="I758" s="9"/>
      <c r="J758" s="9"/>
      <c r="K758" s="9"/>
      <c r="L758" s="9"/>
    </row>
    <row r="759" spans="9:12" x14ac:dyDescent="0.2">
      <c r="I759" s="9"/>
      <c r="J759" s="9"/>
      <c r="K759" s="9"/>
      <c r="L759" s="9"/>
    </row>
    <row r="760" spans="9:12" x14ac:dyDescent="0.2">
      <c r="I760" s="9"/>
      <c r="J760" s="9"/>
      <c r="K760" s="9"/>
      <c r="L760" s="9"/>
    </row>
    <row r="761" spans="9:12" x14ac:dyDescent="0.2">
      <c r="I761" s="9"/>
      <c r="J761" s="9"/>
      <c r="K761" s="9"/>
      <c r="L761" s="9"/>
    </row>
    <row r="762" spans="9:12" x14ac:dyDescent="0.2">
      <c r="I762" s="9"/>
      <c r="J762" s="9"/>
      <c r="K762" s="9"/>
      <c r="L762" s="9"/>
    </row>
    <row r="763" spans="9:12" x14ac:dyDescent="0.2">
      <c r="I763" s="9"/>
      <c r="J763" s="9"/>
      <c r="K763" s="9"/>
      <c r="L763" s="9"/>
    </row>
    <row r="764" spans="9:12" x14ac:dyDescent="0.2">
      <c r="I764" s="9"/>
      <c r="J764" s="9"/>
      <c r="K764" s="9"/>
      <c r="L764" s="9"/>
    </row>
    <row r="765" spans="9:12" x14ac:dyDescent="0.2">
      <c r="I765" s="9"/>
      <c r="J765" s="9"/>
      <c r="K765" s="9"/>
      <c r="L765" s="9"/>
    </row>
    <row r="766" spans="9:12" x14ac:dyDescent="0.2">
      <c r="I766" s="9"/>
      <c r="J766" s="9"/>
      <c r="K766" s="9"/>
      <c r="L766" s="9"/>
    </row>
    <row r="767" spans="9:12" x14ac:dyDescent="0.2">
      <c r="I767" s="9"/>
      <c r="J767" s="9"/>
      <c r="K767" s="9"/>
      <c r="L767" s="9"/>
    </row>
    <row r="768" spans="9:12" x14ac:dyDescent="0.2">
      <c r="I768" s="9"/>
      <c r="J768" s="9"/>
      <c r="K768" s="9"/>
      <c r="L768" s="9"/>
    </row>
    <row r="769" spans="9:12" x14ac:dyDescent="0.2">
      <c r="I769" s="9"/>
      <c r="J769" s="9"/>
      <c r="K769" s="9"/>
      <c r="L769" s="9"/>
    </row>
    <row r="770" spans="9:12" x14ac:dyDescent="0.2">
      <c r="I770" s="9"/>
      <c r="J770" s="9"/>
      <c r="K770" s="9"/>
      <c r="L770" s="9"/>
    </row>
    <row r="771" spans="9:12" x14ac:dyDescent="0.2">
      <c r="I771" s="9"/>
      <c r="J771" s="9"/>
      <c r="K771" s="9"/>
      <c r="L771" s="9"/>
    </row>
    <row r="772" spans="9:12" x14ac:dyDescent="0.2">
      <c r="I772" s="9"/>
      <c r="J772" s="9"/>
      <c r="K772" s="9"/>
      <c r="L772" s="9"/>
    </row>
    <row r="773" spans="9:12" x14ac:dyDescent="0.2">
      <c r="I773" s="9"/>
      <c r="J773" s="9"/>
      <c r="K773" s="9"/>
      <c r="L773" s="9"/>
    </row>
    <row r="774" spans="9:12" x14ac:dyDescent="0.2">
      <c r="I774" s="9"/>
      <c r="J774" s="9"/>
      <c r="K774" s="9"/>
      <c r="L774" s="9"/>
    </row>
    <row r="775" spans="9:12" x14ac:dyDescent="0.2">
      <c r="I775" s="9"/>
      <c r="J775" s="9"/>
      <c r="K775" s="9"/>
      <c r="L775" s="9"/>
    </row>
    <row r="776" spans="9:12" x14ac:dyDescent="0.2">
      <c r="I776" s="9"/>
      <c r="J776" s="9"/>
      <c r="K776" s="9"/>
      <c r="L776" s="9"/>
    </row>
    <row r="777" spans="9:12" x14ac:dyDescent="0.2">
      <c r="I777" s="9"/>
      <c r="J777" s="9"/>
      <c r="K777" s="9"/>
      <c r="L777" s="9"/>
    </row>
    <row r="778" spans="9:12" x14ac:dyDescent="0.2">
      <c r="I778" s="9"/>
      <c r="J778" s="9"/>
      <c r="K778" s="9"/>
      <c r="L778" s="9"/>
    </row>
    <row r="779" spans="9:12" x14ac:dyDescent="0.2">
      <c r="I779" s="9"/>
      <c r="J779" s="9"/>
      <c r="K779" s="9"/>
      <c r="L779" s="9"/>
    </row>
    <row r="780" spans="9:12" x14ac:dyDescent="0.2">
      <c r="I780" s="9"/>
      <c r="J780" s="9"/>
      <c r="K780" s="9"/>
      <c r="L780" s="9"/>
    </row>
    <row r="781" spans="9:12" x14ac:dyDescent="0.2">
      <c r="I781" s="9"/>
      <c r="J781" s="9"/>
      <c r="K781" s="9"/>
      <c r="L781" s="9"/>
    </row>
    <row r="782" spans="9:12" x14ac:dyDescent="0.2">
      <c r="I782" s="9"/>
      <c r="J782" s="9"/>
      <c r="K782" s="9"/>
      <c r="L782" s="9"/>
    </row>
    <row r="783" spans="9:12" x14ac:dyDescent="0.2">
      <c r="I783" s="9"/>
      <c r="J783" s="9"/>
      <c r="K783" s="9"/>
      <c r="L783" s="9"/>
    </row>
    <row r="784" spans="9:12" x14ac:dyDescent="0.2">
      <c r="I784" s="9"/>
      <c r="J784" s="9"/>
      <c r="K784" s="9"/>
      <c r="L784" s="9"/>
    </row>
    <row r="785" spans="9:12" x14ac:dyDescent="0.2">
      <c r="I785" s="9"/>
      <c r="J785" s="9"/>
      <c r="K785" s="9"/>
      <c r="L785" s="9"/>
    </row>
    <row r="786" spans="9:12" x14ac:dyDescent="0.2">
      <c r="I786" s="9"/>
      <c r="J786" s="9"/>
      <c r="K786" s="9"/>
      <c r="L786" s="9"/>
    </row>
    <row r="787" spans="9:12" x14ac:dyDescent="0.2">
      <c r="I787" s="9"/>
      <c r="J787" s="9"/>
      <c r="K787" s="9"/>
      <c r="L787" s="9"/>
    </row>
    <row r="788" spans="9:12" x14ac:dyDescent="0.2">
      <c r="I788" s="9"/>
      <c r="J788" s="9"/>
      <c r="K788" s="9"/>
      <c r="L788" s="9"/>
    </row>
    <row r="789" spans="9:12" x14ac:dyDescent="0.2">
      <c r="I789" s="9"/>
      <c r="J789" s="9"/>
      <c r="K789" s="9"/>
      <c r="L789" s="9"/>
    </row>
    <row r="790" spans="9:12" x14ac:dyDescent="0.2">
      <c r="I790" s="9"/>
      <c r="J790" s="9"/>
      <c r="K790" s="9"/>
      <c r="L790" s="9"/>
    </row>
    <row r="791" spans="9:12" x14ac:dyDescent="0.2">
      <c r="I791" s="9"/>
      <c r="J791" s="9"/>
      <c r="K791" s="9"/>
      <c r="L791" s="9"/>
    </row>
    <row r="792" spans="9:12" x14ac:dyDescent="0.2">
      <c r="I792" s="9"/>
      <c r="J792" s="9"/>
      <c r="K792" s="9"/>
      <c r="L792" s="9"/>
    </row>
    <row r="793" spans="9:12" x14ac:dyDescent="0.2">
      <c r="I793" s="9"/>
      <c r="J793" s="9"/>
      <c r="K793" s="9"/>
      <c r="L793" s="9"/>
    </row>
    <row r="794" spans="9:12" x14ac:dyDescent="0.2">
      <c r="I794" s="9"/>
      <c r="J794" s="9"/>
      <c r="K794" s="9"/>
      <c r="L794" s="9"/>
    </row>
    <row r="795" spans="9:12" x14ac:dyDescent="0.2">
      <c r="I795" s="9"/>
      <c r="J795" s="9"/>
      <c r="K795" s="9"/>
      <c r="L795" s="9"/>
    </row>
    <row r="796" spans="9:12" x14ac:dyDescent="0.2">
      <c r="I796" s="9"/>
      <c r="J796" s="9"/>
      <c r="K796" s="9"/>
      <c r="L796" s="9"/>
    </row>
    <row r="797" spans="9:12" x14ac:dyDescent="0.2">
      <c r="I797" s="9"/>
      <c r="J797" s="9"/>
      <c r="K797" s="9"/>
      <c r="L797" s="9"/>
    </row>
    <row r="798" spans="9:12" x14ac:dyDescent="0.2">
      <c r="I798" s="9"/>
      <c r="J798" s="9"/>
      <c r="K798" s="9"/>
      <c r="L798" s="9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549E1-A0D5-6540-AA2E-D7F57BE579B8}">
  <dimension ref="A1:Y798"/>
  <sheetViews>
    <sheetView topLeftCell="E1" zoomScale="70" zoomScaleNormal="70" workbookViewId="0">
      <selection activeCell="P2" sqref="P2:P322"/>
    </sheetView>
  </sheetViews>
  <sheetFormatPr baseColWidth="10" defaultColWidth="13.5" defaultRowHeight="15" x14ac:dyDescent="0.2"/>
  <cols>
    <col min="1" max="2" width="13.5" style="8"/>
    <col min="3" max="3" width="15.83203125" style="8" customWidth="1"/>
    <col min="4" max="4" width="36.6640625" customWidth="1"/>
    <col min="5" max="6" width="36.5" customWidth="1"/>
    <col min="7" max="7" width="36" customWidth="1"/>
    <col min="8" max="8" width="5.33203125" style="8" customWidth="1"/>
    <col min="9" max="10" width="10" style="8" customWidth="1"/>
    <col min="11" max="11" width="15.83203125" style="8" customWidth="1"/>
    <col min="12" max="12" width="20.6640625" style="8" customWidth="1"/>
    <col min="13" max="13" width="14.6640625" style="8" customWidth="1"/>
    <col min="14" max="14" width="13.5" style="8"/>
    <col min="15" max="15" width="11" style="8" customWidth="1"/>
    <col min="16" max="16" width="11.1640625" style="8" customWidth="1"/>
    <col min="17" max="16384" width="13.5" style="8"/>
  </cols>
  <sheetData>
    <row r="1" spans="1:16" s="1" customFormat="1" ht="55.5" customHeight="1" x14ac:dyDescent="0.2">
      <c r="A1" s="1" t="s">
        <v>0</v>
      </c>
      <c r="B1" s="1" t="s">
        <v>1</v>
      </c>
      <c r="C1" s="1" t="s">
        <v>2</v>
      </c>
      <c r="D1" s="2" t="s">
        <v>12</v>
      </c>
      <c r="E1" s="2" t="s">
        <v>13</v>
      </c>
      <c r="F1" s="2" t="s">
        <v>14</v>
      </c>
      <c r="G1" s="2" t="s">
        <v>15</v>
      </c>
      <c r="I1" s="1" t="s">
        <v>16</v>
      </c>
      <c r="J1" s="1" t="s">
        <v>17</v>
      </c>
      <c r="K1" s="1" t="s">
        <v>3</v>
      </c>
      <c r="L1" s="1" t="s">
        <v>18</v>
      </c>
      <c r="M1" s="3" t="s">
        <v>19</v>
      </c>
      <c r="N1" s="3" t="s">
        <v>4</v>
      </c>
      <c r="O1" s="1" t="s">
        <v>5</v>
      </c>
      <c r="P1" s="1" t="s">
        <v>6</v>
      </c>
    </row>
    <row r="2" spans="1:16" x14ac:dyDescent="0.2">
      <c r="A2" s="8">
        <v>0</v>
      </c>
      <c r="B2" s="4">
        <v>0</v>
      </c>
      <c r="C2" s="4" t="s">
        <v>7</v>
      </c>
      <c r="D2">
        <v>1614.3337792642001</v>
      </c>
      <c r="E2">
        <v>407.50167224080002</v>
      </c>
      <c r="F2">
        <v>140.10529801325001</v>
      </c>
      <c r="G2">
        <v>120.54105960264999</v>
      </c>
      <c r="H2" s="4"/>
      <c r="I2" s="5">
        <f>E2-G2</f>
        <v>286.96061263815</v>
      </c>
      <c r="J2" s="5">
        <f>D2-F2</f>
        <v>1474.2284812509502</v>
      </c>
      <c r="K2" s="9">
        <f>I2*1</f>
        <v>286.96061263815</v>
      </c>
      <c r="L2" s="6">
        <f t="shared" ref="L2:L65" si="0">K2/J2</f>
        <v>0.19465138293533091</v>
      </c>
      <c r="M2" s="6">
        <f>L2+ABS($N$2)*A2</f>
        <v>0.19465138293533091</v>
      </c>
      <c r="N2" s="4">
        <f>LINEST(V64:V103,U64:U103)</f>
        <v>-8.5593995878743877E-4</v>
      </c>
      <c r="O2" s="7">
        <f>AVERAGE(M62:M81)</f>
        <v>0.37481160051355333</v>
      </c>
      <c r="P2" s="4">
        <f>(M2-$O$2)/$O$2*100</f>
        <v>-48.066873418905232</v>
      </c>
    </row>
    <row r="3" spans="1:16" x14ac:dyDescent="0.2">
      <c r="A3" s="8">
        <v>0.5</v>
      </c>
      <c r="B3" s="8">
        <v>1</v>
      </c>
      <c r="D3">
        <v>1680.2836120401</v>
      </c>
      <c r="E3">
        <v>413.08561872910002</v>
      </c>
      <c r="F3">
        <v>140.26092715231999</v>
      </c>
      <c r="G3">
        <v>120.48410596027</v>
      </c>
      <c r="I3" s="9">
        <f t="shared" ref="I3:I66" si="1">E3-G3</f>
        <v>292.60151276883005</v>
      </c>
      <c r="J3" s="9">
        <f t="shared" ref="J3:J66" si="2">D3-F3</f>
        <v>1540.0226848877801</v>
      </c>
      <c r="K3" s="9">
        <f t="shared" ref="K3:K66" si="3">I3*1</f>
        <v>292.60151276883005</v>
      </c>
      <c r="L3" s="10">
        <f t="shared" si="0"/>
        <v>0.1899981835593231</v>
      </c>
      <c r="M3" s="10">
        <f t="shared" ref="M3:M66" si="4">L3+ABS($N$2)*A3</f>
        <v>0.19042615353871684</v>
      </c>
      <c r="P3" s="8">
        <f t="shared" ref="P3:P66" si="5">(M3-$O$2)/$O$2*100</f>
        <v>-49.194167609059647</v>
      </c>
    </row>
    <row r="4" spans="1:16" ht="16" x14ac:dyDescent="0.2">
      <c r="A4" s="8">
        <v>1</v>
      </c>
      <c r="B4" s="8">
        <v>2</v>
      </c>
      <c r="D4">
        <v>1741.7438127089999</v>
      </c>
      <c r="E4">
        <v>418.89765886288001</v>
      </c>
      <c r="F4">
        <v>140.23774834437</v>
      </c>
      <c r="G4">
        <v>120.58675496689</v>
      </c>
      <c r="I4" s="9">
        <f t="shared" si="1"/>
        <v>298.31090389599001</v>
      </c>
      <c r="J4" s="9">
        <f t="shared" si="2"/>
        <v>1601.50606436463</v>
      </c>
      <c r="K4" s="9">
        <f t="shared" si="3"/>
        <v>298.31090389599001</v>
      </c>
      <c r="L4" s="10">
        <f t="shared" si="0"/>
        <v>0.18626898176270082</v>
      </c>
      <c r="M4" s="10">
        <f t="shared" si="4"/>
        <v>0.18712492172148826</v>
      </c>
      <c r="N4" s="1" t="s">
        <v>8</v>
      </c>
      <c r="P4" s="8">
        <f t="shared" si="5"/>
        <v>-50.074938591789461</v>
      </c>
    </row>
    <row r="5" spans="1:16" x14ac:dyDescent="0.2">
      <c r="A5" s="8">
        <v>1.5</v>
      </c>
      <c r="B5" s="8">
        <v>3</v>
      </c>
      <c r="D5">
        <v>1640.5812709029999</v>
      </c>
      <c r="E5">
        <v>422.4</v>
      </c>
      <c r="F5">
        <v>140.06357615894001</v>
      </c>
      <c r="G5">
        <v>120.65695364238</v>
      </c>
      <c r="I5" s="9">
        <f t="shared" si="1"/>
        <v>301.74304635761996</v>
      </c>
      <c r="J5" s="9">
        <f t="shared" si="2"/>
        <v>1500.51769474406</v>
      </c>
      <c r="K5" s="9">
        <f t="shared" si="3"/>
        <v>301.74304635761996</v>
      </c>
      <c r="L5" s="10">
        <f t="shared" si="0"/>
        <v>0.20109262784074505</v>
      </c>
      <c r="M5" s="10">
        <f t="shared" si="4"/>
        <v>0.20237653777892622</v>
      </c>
      <c r="N5" s="8">
        <f>RSQ(V64:V83,U64:U83)</f>
        <v>0.59269634112922631</v>
      </c>
      <c r="P5" s="8">
        <f t="shared" si="5"/>
        <v>-46.005796645131262</v>
      </c>
    </row>
    <row r="6" spans="1:16" x14ac:dyDescent="0.2">
      <c r="A6" s="8">
        <v>2</v>
      </c>
      <c r="B6" s="8">
        <v>4</v>
      </c>
      <c r="D6">
        <v>1704.1290969900001</v>
      </c>
      <c r="E6">
        <v>467.32040133778997</v>
      </c>
      <c r="F6">
        <v>140.68476821191999</v>
      </c>
      <c r="G6">
        <v>121.11456953642001</v>
      </c>
      <c r="I6" s="9">
        <f t="shared" si="1"/>
        <v>346.20583180136998</v>
      </c>
      <c r="J6" s="9">
        <f t="shared" si="2"/>
        <v>1563.44432877808</v>
      </c>
      <c r="K6" s="9">
        <f t="shared" si="3"/>
        <v>346.20583180136998</v>
      </c>
      <c r="L6" s="10">
        <f t="shared" si="0"/>
        <v>0.22143790183558973</v>
      </c>
      <c r="M6" s="10">
        <f t="shared" si="4"/>
        <v>0.22314978175316461</v>
      </c>
      <c r="P6" s="8">
        <f t="shared" si="5"/>
        <v>-40.463480466609667</v>
      </c>
    </row>
    <row r="7" spans="1:16" x14ac:dyDescent="0.2">
      <c r="A7" s="8">
        <v>2.5</v>
      </c>
      <c r="B7" s="8">
        <v>5</v>
      </c>
      <c r="D7">
        <v>1663.6662207357999</v>
      </c>
      <c r="E7">
        <v>473.70702341137002</v>
      </c>
      <c r="F7">
        <v>140.61589403974</v>
      </c>
      <c r="G7">
        <v>120.94238410596</v>
      </c>
      <c r="I7" s="9">
        <f t="shared" si="1"/>
        <v>352.76463930541001</v>
      </c>
      <c r="J7" s="9">
        <f t="shared" si="2"/>
        <v>1523.05032669606</v>
      </c>
      <c r="K7" s="9">
        <f t="shared" si="3"/>
        <v>352.76463930541001</v>
      </c>
      <c r="L7" s="10">
        <f t="shared" si="0"/>
        <v>0.23161719158070063</v>
      </c>
      <c r="M7" s="10">
        <f t="shared" si="4"/>
        <v>0.23375704147766924</v>
      </c>
      <c r="P7" s="8">
        <f t="shared" si="5"/>
        <v>-37.633456073028746</v>
      </c>
    </row>
    <row r="8" spans="1:16" x14ac:dyDescent="0.2">
      <c r="A8" s="8">
        <v>3</v>
      </c>
      <c r="B8" s="8">
        <v>6</v>
      </c>
      <c r="D8">
        <v>1778.2094414894</v>
      </c>
      <c r="E8">
        <v>539.16289893617</v>
      </c>
      <c r="F8">
        <v>140.50794701986999</v>
      </c>
      <c r="G8">
        <v>121.20331125828</v>
      </c>
      <c r="I8" s="9">
        <f t="shared" si="1"/>
        <v>417.95958767789</v>
      </c>
      <c r="J8" s="9">
        <f t="shared" si="2"/>
        <v>1637.70149446953</v>
      </c>
      <c r="K8" s="9">
        <f t="shared" si="3"/>
        <v>417.95958767789</v>
      </c>
      <c r="L8" s="10">
        <f t="shared" si="0"/>
        <v>0.25521109255216978</v>
      </c>
      <c r="M8" s="10">
        <f t="shared" si="4"/>
        <v>0.25777891242853213</v>
      </c>
      <c r="P8" s="8">
        <f t="shared" si="5"/>
        <v>-31.224403920440896</v>
      </c>
    </row>
    <row r="9" spans="1:16" x14ac:dyDescent="0.2">
      <c r="A9" s="8">
        <v>3.5</v>
      </c>
      <c r="B9" s="8">
        <v>7</v>
      </c>
      <c r="D9">
        <v>1769.6655585106</v>
      </c>
      <c r="E9">
        <v>562.75531914893998</v>
      </c>
      <c r="F9">
        <v>141.00728476821001</v>
      </c>
      <c r="G9">
        <v>120.89933774834</v>
      </c>
      <c r="I9" s="9">
        <f t="shared" si="1"/>
        <v>441.85598140059994</v>
      </c>
      <c r="J9" s="9">
        <f t="shared" si="2"/>
        <v>1628.6582737423901</v>
      </c>
      <c r="K9" s="9">
        <f t="shared" si="3"/>
        <v>441.85598140059994</v>
      </c>
      <c r="L9" s="10">
        <f t="shared" si="0"/>
        <v>0.27130060892717983</v>
      </c>
      <c r="M9" s="10">
        <f t="shared" si="4"/>
        <v>0.27429639878293588</v>
      </c>
      <c r="P9" s="8">
        <f t="shared" si="5"/>
        <v>-26.817526883611698</v>
      </c>
    </row>
    <row r="10" spans="1:16" x14ac:dyDescent="0.2">
      <c r="A10" s="8">
        <v>4</v>
      </c>
      <c r="B10" s="8">
        <v>8</v>
      </c>
      <c r="D10">
        <v>1643.9242021277</v>
      </c>
      <c r="E10">
        <v>528.13164893617</v>
      </c>
      <c r="F10">
        <v>141.19668874172001</v>
      </c>
      <c r="G10">
        <v>121.29006622516999</v>
      </c>
      <c r="I10" s="9">
        <f t="shared" si="1"/>
        <v>406.841582711</v>
      </c>
      <c r="J10" s="9">
        <f t="shared" si="2"/>
        <v>1502.72751338598</v>
      </c>
      <c r="K10" s="9">
        <f t="shared" si="3"/>
        <v>406.841582711</v>
      </c>
      <c r="L10" s="10">
        <f t="shared" si="0"/>
        <v>0.27073543213053658</v>
      </c>
      <c r="M10" s="10">
        <f t="shared" si="4"/>
        <v>0.27415919196568633</v>
      </c>
      <c r="P10" s="8">
        <f t="shared" si="5"/>
        <v>-26.854133759455873</v>
      </c>
    </row>
    <row r="11" spans="1:16" x14ac:dyDescent="0.2">
      <c r="A11" s="8">
        <v>4.5</v>
      </c>
      <c r="B11" s="8">
        <v>9</v>
      </c>
      <c r="D11">
        <v>1568.8889627660001</v>
      </c>
      <c r="E11">
        <v>521.70811170213005</v>
      </c>
      <c r="F11">
        <v>140.75364238411001</v>
      </c>
      <c r="G11">
        <v>121.24039735098999</v>
      </c>
      <c r="I11" s="9">
        <f t="shared" si="1"/>
        <v>400.46771435114005</v>
      </c>
      <c r="J11" s="9">
        <f t="shared" si="2"/>
        <v>1428.1353203818901</v>
      </c>
      <c r="K11" s="9">
        <f t="shared" si="3"/>
        <v>400.46771435114005</v>
      </c>
      <c r="L11" s="10">
        <f t="shared" si="0"/>
        <v>0.28041300333084201</v>
      </c>
      <c r="M11" s="10">
        <f t="shared" si="4"/>
        <v>0.28426473314538547</v>
      </c>
      <c r="P11" s="8">
        <f t="shared" si="5"/>
        <v>-24.157968228332262</v>
      </c>
    </row>
    <row r="12" spans="1:16" x14ac:dyDescent="0.2">
      <c r="A12" s="8">
        <v>5</v>
      </c>
      <c r="B12" s="8">
        <v>10</v>
      </c>
      <c r="D12">
        <v>1742.0199468085</v>
      </c>
      <c r="E12">
        <v>523.26196808510997</v>
      </c>
      <c r="F12">
        <v>141.43311258278001</v>
      </c>
      <c r="G12">
        <v>120.67483443709</v>
      </c>
      <c r="I12" s="9">
        <f t="shared" si="1"/>
        <v>402.58713364801997</v>
      </c>
      <c r="J12" s="9">
        <f t="shared" si="2"/>
        <v>1600.5868342257199</v>
      </c>
      <c r="K12" s="9">
        <f t="shared" si="3"/>
        <v>402.58713364801997</v>
      </c>
      <c r="L12" s="10">
        <f t="shared" si="0"/>
        <v>0.25152470646353314</v>
      </c>
      <c r="M12" s="10">
        <f t="shared" si="4"/>
        <v>0.25580440625747036</v>
      </c>
      <c r="P12" s="8">
        <f t="shared" si="5"/>
        <v>-31.751203562809582</v>
      </c>
    </row>
    <row r="13" spans="1:16" x14ac:dyDescent="0.2">
      <c r="A13" s="8">
        <v>5.5</v>
      </c>
      <c r="B13" s="8">
        <v>11</v>
      </c>
      <c r="D13">
        <v>1728.9933510638</v>
      </c>
      <c r="E13">
        <v>521.08776595744996</v>
      </c>
      <c r="F13">
        <v>140.63443708609</v>
      </c>
      <c r="G13">
        <v>121.21125827815</v>
      </c>
      <c r="I13" s="9">
        <f t="shared" si="1"/>
        <v>399.87650767929995</v>
      </c>
      <c r="J13" s="9">
        <f t="shared" si="2"/>
        <v>1588.35891397771</v>
      </c>
      <c r="K13" s="9">
        <f t="shared" si="3"/>
        <v>399.87650767929995</v>
      </c>
      <c r="L13" s="10">
        <f t="shared" si="0"/>
        <v>0.25175450218483275</v>
      </c>
      <c r="M13" s="10">
        <f t="shared" si="4"/>
        <v>0.25646217195816368</v>
      </c>
      <c r="P13" s="8">
        <f t="shared" si="5"/>
        <v>-31.575711208839728</v>
      </c>
    </row>
    <row r="14" spans="1:16" x14ac:dyDescent="0.2">
      <c r="A14" s="8">
        <v>6</v>
      </c>
      <c r="B14" s="8">
        <v>12</v>
      </c>
      <c r="D14">
        <v>1654.5784574468</v>
      </c>
      <c r="E14">
        <v>494.15026595745002</v>
      </c>
      <c r="F14">
        <v>141.32185430464</v>
      </c>
      <c r="G14">
        <v>121.35761589403999</v>
      </c>
      <c r="I14" s="9">
        <f t="shared" si="1"/>
        <v>372.79265006341001</v>
      </c>
      <c r="J14" s="9">
        <f t="shared" si="2"/>
        <v>1513.25660314216</v>
      </c>
      <c r="K14" s="9">
        <f t="shared" si="3"/>
        <v>372.79265006341001</v>
      </c>
      <c r="L14" s="10">
        <f t="shared" si="0"/>
        <v>0.24635124623896237</v>
      </c>
      <c r="M14" s="10">
        <f t="shared" si="4"/>
        <v>0.251486885991687</v>
      </c>
      <c r="P14" s="8">
        <f t="shared" si="5"/>
        <v>-32.903121022105843</v>
      </c>
    </row>
    <row r="15" spans="1:16" x14ac:dyDescent="0.2">
      <c r="A15" s="8">
        <v>6.5</v>
      </c>
      <c r="B15" s="8">
        <v>13</v>
      </c>
      <c r="D15">
        <v>1583.9335106383</v>
      </c>
      <c r="E15">
        <v>478.00731382979001</v>
      </c>
      <c r="F15">
        <v>141.61523178808</v>
      </c>
      <c r="G15">
        <v>121.04172185431</v>
      </c>
      <c r="I15" s="9">
        <f t="shared" si="1"/>
        <v>356.96559197548004</v>
      </c>
      <c r="J15" s="9">
        <f t="shared" si="2"/>
        <v>1442.3182788502199</v>
      </c>
      <c r="K15" s="9">
        <f t="shared" si="3"/>
        <v>356.96559197548004</v>
      </c>
      <c r="L15" s="10">
        <f t="shared" si="0"/>
        <v>0.24749432716060707</v>
      </c>
      <c r="M15" s="10">
        <f t="shared" si="4"/>
        <v>0.25305793689272543</v>
      </c>
      <c r="P15" s="8">
        <f t="shared" si="5"/>
        <v>-32.483963531012762</v>
      </c>
    </row>
    <row r="16" spans="1:16" x14ac:dyDescent="0.2">
      <c r="A16" s="8">
        <v>7</v>
      </c>
      <c r="B16" s="8">
        <v>14</v>
      </c>
      <c r="D16">
        <v>1618.5598404254999</v>
      </c>
      <c r="E16">
        <v>493.53922872340002</v>
      </c>
      <c r="F16">
        <v>141.27615894039999</v>
      </c>
      <c r="G16">
        <v>121.14039735099</v>
      </c>
      <c r="I16" s="9">
        <f t="shared" si="1"/>
        <v>372.39883137241003</v>
      </c>
      <c r="J16" s="9">
        <f t="shared" si="2"/>
        <v>1477.2836814851</v>
      </c>
      <c r="K16" s="9">
        <f t="shared" si="3"/>
        <v>372.39883137241003</v>
      </c>
      <c r="L16" s="10">
        <f t="shared" si="0"/>
        <v>0.25208349353594756</v>
      </c>
      <c r="M16" s="10">
        <f t="shared" si="4"/>
        <v>0.25807507324745965</v>
      </c>
      <c r="P16" s="8">
        <f t="shared" si="5"/>
        <v>-31.1453880045723</v>
      </c>
    </row>
    <row r="17" spans="1:16" x14ac:dyDescent="0.2">
      <c r="A17" s="8">
        <v>7.5</v>
      </c>
      <c r="B17" s="8">
        <v>15</v>
      </c>
      <c r="D17">
        <v>1596.2769953052</v>
      </c>
      <c r="E17">
        <v>503.02615694165002</v>
      </c>
      <c r="F17">
        <v>141.28874172184999</v>
      </c>
      <c r="G17">
        <v>121.19602649007</v>
      </c>
      <c r="I17" s="9">
        <f t="shared" si="1"/>
        <v>381.83013045158003</v>
      </c>
      <c r="J17" s="9">
        <f t="shared" si="2"/>
        <v>1454.9882535833499</v>
      </c>
      <c r="K17" s="9">
        <f t="shared" si="3"/>
        <v>381.83013045158003</v>
      </c>
      <c r="L17" s="10">
        <f t="shared" si="0"/>
        <v>0.2624283251161702</v>
      </c>
      <c r="M17" s="10">
        <f t="shared" si="4"/>
        <v>0.268847874807076</v>
      </c>
      <c r="P17" s="8">
        <f t="shared" si="5"/>
        <v>-28.271196932349383</v>
      </c>
    </row>
    <row r="18" spans="1:16" x14ac:dyDescent="0.2">
      <c r="A18" s="8">
        <v>8</v>
      </c>
      <c r="B18" s="8">
        <v>16</v>
      </c>
      <c r="D18">
        <v>1563.8933601609999</v>
      </c>
      <c r="E18">
        <v>497.65325285044003</v>
      </c>
      <c r="F18">
        <v>141.42119205297999</v>
      </c>
      <c r="G18">
        <v>121.09668874172</v>
      </c>
      <c r="I18" s="9">
        <f t="shared" si="1"/>
        <v>376.55656410872001</v>
      </c>
      <c r="J18" s="9">
        <f t="shared" si="2"/>
        <v>1422.47216810802</v>
      </c>
      <c r="K18" s="9">
        <f t="shared" si="3"/>
        <v>376.55656410872001</v>
      </c>
      <c r="L18" s="10">
        <f t="shared" si="0"/>
        <v>0.26471981143192741</v>
      </c>
      <c r="M18" s="10">
        <f t="shared" si="4"/>
        <v>0.27156733110222692</v>
      </c>
      <c r="P18" s="8">
        <f t="shared" si="5"/>
        <v>-27.545644070211502</v>
      </c>
    </row>
    <row r="19" spans="1:16" x14ac:dyDescent="0.2">
      <c r="A19" s="8">
        <v>8.5</v>
      </c>
      <c r="B19" s="8">
        <v>17</v>
      </c>
      <c r="D19">
        <v>1569.7149564051001</v>
      </c>
      <c r="E19">
        <v>503.98926894701998</v>
      </c>
      <c r="F19">
        <v>141.50463576159001</v>
      </c>
      <c r="G19">
        <v>121.56291390729</v>
      </c>
      <c r="I19" s="9">
        <f t="shared" si="1"/>
        <v>382.42635503972997</v>
      </c>
      <c r="J19" s="9">
        <f t="shared" si="2"/>
        <v>1428.2103206435102</v>
      </c>
      <c r="K19" s="9">
        <f t="shared" si="3"/>
        <v>382.42635503972997</v>
      </c>
      <c r="L19" s="10">
        <f t="shared" si="0"/>
        <v>0.26776613325929455</v>
      </c>
      <c r="M19" s="10">
        <f t="shared" si="4"/>
        <v>0.27504162290898776</v>
      </c>
      <c r="P19" s="8">
        <f t="shared" si="5"/>
        <v>-26.618700559925134</v>
      </c>
    </row>
    <row r="20" spans="1:16" x14ac:dyDescent="0.2">
      <c r="A20" s="8">
        <v>9</v>
      </c>
      <c r="B20" s="8">
        <v>18</v>
      </c>
      <c r="D20">
        <v>1619.2099262239999</v>
      </c>
      <c r="E20">
        <v>519.22803487592</v>
      </c>
      <c r="F20">
        <v>141.16688741722001</v>
      </c>
      <c r="G20">
        <v>121.20794701987001</v>
      </c>
      <c r="I20" s="9">
        <f t="shared" si="1"/>
        <v>398.02008785605</v>
      </c>
      <c r="J20" s="9">
        <f t="shared" si="2"/>
        <v>1478.0430388067798</v>
      </c>
      <c r="K20" s="9">
        <f t="shared" si="3"/>
        <v>398.02008785605</v>
      </c>
      <c r="L20" s="10">
        <f t="shared" si="0"/>
        <v>0.26928856427440068</v>
      </c>
      <c r="M20" s="10">
        <f t="shared" si="4"/>
        <v>0.27699202390348765</v>
      </c>
      <c r="P20" s="8">
        <f t="shared" si="5"/>
        <v>-26.098332195704941</v>
      </c>
    </row>
    <row r="21" spans="1:16" x14ac:dyDescent="0.2">
      <c r="A21" s="8">
        <v>9.5</v>
      </c>
      <c r="B21" s="8">
        <v>19</v>
      </c>
      <c r="D21">
        <v>1642.3997317236999</v>
      </c>
      <c r="E21">
        <v>525.72099262239999</v>
      </c>
      <c r="F21">
        <v>141.41523178808001</v>
      </c>
      <c r="G21">
        <v>121.40794701986999</v>
      </c>
      <c r="I21" s="9">
        <f t="shared" si="1"/>
        <v>404.31304560253</v>
      </c>
      <c r="J21" s="9">
        <f t="shared" si="2"/>
        <v>1500.9844999356199</v>
      </c>
      <c r="K21" s="9">
        <f t="shared" si="3"/>
        <v>404.31304560253</v>
      </c>
      <c r="L21" s="10">
        <f t="shared" si="0"/>
        <v>0.26936523702934423</v>
      </c>
      <c r="M21" s="10">
        <f t="shared" si="4"/>
        <v>0.27749666663782491</v>
      </c>
      <c r="P21" s="8">
        <f t="shared" si="5"/>
        <v>-25.963693157413221</v>
      </c>
    </row>
    <row r="22" spans="1:16" x14ac:dyDescent="0.2">
      <c r="A22" s="8">
        <v>10</v>
      </c>
      <c r="B22" s="8">
        <v>20</v>
      </c>
      <c r="D22">
        <v>1674.2092555331999</v>
      </c>
      <c r="E22">
        <v>535.76995305163996</v>
      </c>
      <c r="F22">
        <v>141.36490066224999</v>
      </c>
      <c r="G22">
        <v>121.36026490066</v>
      </c>
      <c r="I22" s="9">
        <f t="shared" si="1"/>
        <v>414.40968815097995</v>
      </c>
      <c r="J22" s="9">
        <f t="shared" si="2"/>
        <v>1532.8443548709499</v>
      </c>
      <c r="K22" s="9">
        <f t="shared" si="3"/>
        <v>414.40968815097995</v>
      </c>
      <c r="L22" s="10">
        <f t="shared" si="0"/>
        <v>0.27035340335377306</v>
      </c>
      <c r="M22" s="10">
        <f t="shared" si="4"/>
        <v>0.27891280294164744</v>
      </c>
      <c r="P22" s="8">
        <f t="shared" si="5"/>
        <v>-25.585866990378321</v>
      </c>
    </row>
    <row r="23" spans="1:16" x14ac:dyDescent="0.2">
      <c r="A23" s="8">
        <v>10.5</v>
      </c>
      <c r="B23" s="8">
        <v>21</v>
      </c>
      <c r="D23">
        <v>1702.6972111554001</v>
      </c>
      <c r="E23">
        <v>542.80743691898999</v>
      </c>
      <c r="F23">
        <v>141.69072847682</v>
      </c>
      <c r="G23">
        <v>121.44635761588999</v>
      </c>
      <c r="I23" s="9">
        <f t="shared" si="1"/>
        <v>421.36107930309998</v>
      </c>
      <c r="J23" s="9">
        <f t="shared" si="2"/>
        <v>1561.0064826785801</v>
      </c>
      <c r="K23" s="9">
        <f t="shared" si="3"/>
        <v>421.36107930309998</v>
      </c>
      <c r="L23" s="10">
        <f t="shared" si="0"/>
        <v>0.26992910277994059</v>
      </c>
      <c r="M23" s="10">
        <f t="shared" si="4"/>
        <v>0.27891647234720868</v>
      </c>
      <c r="P23" s="8">
        <f t="shared" si="5"/>
        <v>-25.584887990380395</v>
      </c>
    </row>
    <row r="24" spans="1:16" x14ac:dyDescent="0.2">
      <c r="A24" s="8">
        <v>11</v>
      </c>
      <c r="B24" s="8">
        <v>22</v>
      </c>
      <c r="D24">
        <v>1749.6879150066</v>
      </c>
      <c r="E24">
        <v>567.14873837980997</v>
      </c>
      <c r="F24">
        <v>141.82119205298</v>
      </c>
      <c r="G24">
        <v>121.25695364238</v>
      </c>
      <c r="I24" s="9">
        <f t="shared" si="1"/>
        <v>445.89178473742999</v>
      </c>
      <c r="J24" s="9">
        <f t="shared" si="2"/>
        <v>1607.86672295362</v>
      </c>
      <c r="K24" s="9">
        <f t="shared" si="3"/>
        <v>445.89178473742999</v>
      </c>
      <c r="L24" s="10">
        <f t="shared" si="0"/>
        <v>0.27731887125466187</v>
      </c>
      <c r="M24" s="10">
        <f t="shared" si="4"/>
        <v>0.28673421080132372</v>
      </c>
      <c r="P24" s="8">
        <f t="shared" si="5"/>
        <v>-23.49910984386533</v>
      </c>
    </row>
    <row r="25" spans="1:16" x14ac:dyDescent="0.2">
      <c r="A25" s="8">
        <v>11.5</v>
      </c>
      <c r="B25" s="8">
        <v>23</v>
      </c>
      <c r="D25">
        <v>1738.5</v>
      </c>
      <c r="E25">
        <v>565.80478087648999</v>
      </c>
      <c r="F25">
        <v>141.37350993378001</v>
      </c>
      <c r="G25">
        <v>121.02052980132</v>
      </c>
      <c r="I25" s="9">
        <f t="shared" si="1"/>
        <v>444.78425107517</v>
      </c>
      <c r="J25" s="9">
        <f t="shared" si="2"/>
        <v>1597.12649006622</v>
      </c>
      <c r="K25" s="9">
        <f t="shared" si="3"/>
        <v>444.78425107517</v>
      </c>
      <c r="L25" s="10">
        <f t="shared" si="0"/>
        <v>0.2784903098418513</v>
      </c>
      <c r="M25" s="10">
        <f t="shared" si="4"/>
        <v>0.28833361936790686</v>
      </c>
      <c r="P25" s="8">
        <f t="shared" si="5"/>
        <v>-23.072386507556722</v>
      </c>
    </row>
    <row r="26" spans="1:16" x14ac:dyDescent="0.2">
      <c r="A26" s="8">
        <v>12</v>
      </c>
      <c r="B26" s="8">
        <v>24</v>
      </c>
      <c r="D26">
        <v>1691.7325349301</v>
      </c>
      <c r="E26">
        <v>558.67132401863</v>
      </c>
      <c r="F26">
        <v>141.37748344370999</v>
      </c>
      <c r="G26">
        <v>121.46225165563</v>
      </c>
      <c r="I26" s="9">
        <f t="shared" si="1"/>
        <v>437.20907236300002</v>
      </c>
      <c r="J26" s="9">
        <f t="shared" si="2"/>
        <v>1550.35505148639</v>
      </c>
      <c r="K26" s="9">
        <f t="shared" si="3"/>
        <v>437.20907236300002</v>
      </c>
      <c r="L26" s="10">
        <f t="shared" si="0"/>
        <v>0.28200577148042921</v>
      </c>
      <c r="M26" s="10">
        <f t="shared" si="4"/>
        <v>0.29227705098587847</v>
      </c>
      <c r="P26" s="8">
        <f t="shared" si="5"/>
        <v>-22.020276163968511</v>
      </c>
    </row>
    <row r="27" spans="1:16" x14ac:dyDescent="0.2">
      <c r="A27" s="8">
        <v>12.5</v>
      </c>
      <c r="B27" s="8">
        <v>25</v>
      </c>
      <c r="D27">
        <v>1738.9839679359</v>
      </c>
      <c r="E27">
        <v>576.07615230460999</v>
      </c>
      <c r="F27">
        <v>141.26688741722</v>
      </c>
      <c r="G27">
        <v>121.63708609272</v>
      </c>
      <c r="I27" s="9">
        <f t="shared" si="1"/>
        <v>454.43906621189001</v>
      </c>
      <c r="J27" s="9">
        <f t="shared" si="2"/>
        <v>1597.7170805186799</v>
      </c>
      <c r="K27" s="9">
        <f t="shared" si="3"/>
        <v>454.43906621189001</v>
      </c>
      <c r="L27" s="10">
        <f t="shared" si="0"/>
        <v>0.28443024847951287</v>
      </c>
      <c r="M27" s="10">
        <f t="shared" si="4"/>
        <v>0.29512949796435584</v>
      </c>
      <c r="P27" s="8">
        <f t="shared" si="5"/>
        <v>-21.259241293497841</v>
      </c>
    </row>
    <row r="28" spans="1:16" x14ac:dyDescent="0.2">
      <c r="A28" s="8">
        <v>13</v>
      </c>
      <c r="B28" s="8">
        <v>26</v>
      </c>
      <c r="D28">
        <v>1703.9028801072</v>
      </c>
      <c r="E28">
        <v>583.07233757535005</v>
      </c>
      <c r="F28">
        <v>141.26953642384001</v>
      </c>
      <c r="G28">
        <v>121.37417218543</v>
      </c>
      <c r="I28" s="9">
        <f t="shared" si="1"/>
        <v>461.69816538992006</v>
      </c>
      <c r="J28" s="9">
        <f t="shared" si="2"/>
        <v>1562.63334368336</v>
      </c>
      <c r="K28" s="9">
        <f t="shared" si="3"/>
        <v>461.69816538992006</v>
      </c>
      <c r="L28" s="10">
        <f t="shared" si="0"/>
        <v>0.29546161116825309</v>
      </c>
      <c r="M28" s="10">
        <f t="shared" si="4"/>
        <v>0.30658883063248982</v>
      </c>
      <c r="P28" s="8">
        <f t="shared" si="5"/>
        <v>-18.201883236161084</v>
      </c>
    </row>
    <row r="29" spans="1:16" x14ac:dyDescent="0.2">
      <c r="A29" s="8">
        <v>13.5</v>
      </c>
      <c r="B29" s="8">
        <v>27</v>
      </c>
      <c r="D29">
        <v>1678.9048894842999</v>
      </c>
      <c r="E29">
        <v>567.41527126590995</v>
      </c>
      <c r="F29">
        <v>141.80066225165999</v>
      </c>
      <c r="G29">
        <v>121.33245033113</v>
      </c>
      <c r="I29" s="9">
        <f t="shared" si="1"/>
        <v>446.08282093477993</v>
      </c>
      <c r="J29" s="9">
        <f t="shared" si="2"/>
        <v>1537.1042272326399</v>
      </c>
      <c r="K29" s="9">
        <f t="shared" si="3"/>
        <v>446.08282093477993</v>
      </c>
      <c r="L29" s="10">
        <f t="shared" si="0"/>
        <v>0.2902098719342508</v>
      </c>
      <c r="M29" s="10">
        <f t="shared" si="4"/>
        <v>0.30176506137788123</v>
      </c>
      <c r="P29" s="8">
        <f t="shared" si="5"/>
        <v>-19.488868283582036</v>
      </c>
    </row>
    <row r="30" spans="1:16" x14ac:dyDescent="0.2">
      <c r="A30" s="8">
        <v>14</v>
      </c>
      <c r="B30" s="8">
        <v>28</v>
      </c>
      <c r="D30">
        <v>1758.2484929672</v>
      </c>
      <c r="E30">
        <v>604.65974547890005</v>
      </c>
      <c r="F30">
        <v>141.51390728477</v>
      </c>
      <c r="G30">
        <v>121.28211920530001</v>
      </c>
      <c r="I30" s="9">
        <f t="shared" si="1"/>
        <v>483.37762627360007</v>
      </c>
      <c r="J30" s="9">
        <f t="shared" si="2"/>
        <v>1616.73458568243</v>
      </c>
      <c r="K30" s="9">
        <f t="shared" si="3"/>
        <v>483.37762627360007</v>
      </c>
      <c r="L30" s="10">
        <f t="shared" si="0"/>
        <v>0.29898390901903327</v>
      </c>
      <c r="M30" s="10">
        <f t="shared" si="4"/>
        <v>0.3109670684420574</v>
      </c>
      <c r="P30" s="8">
        <f t="shared" si="5"/>
        <v>-17.033766293257322</v>
      </c>
    </row>
    <row r="31" spans="1:16" x14ac:dyDescent="0.2">
      <c r="A31" s="8">
        <v>14.5</v>
      </c>
      <c r="B31" s="8">
        <v>29</v>
      </c>
      <c r="D31">
        <v>1727.4271323036</v>
      </c>
      <c r="E31">
        <v>582.12424445936995</v>
      </c>
      <c r="F31">
        <v>141.78609271523001</v>
      </c>
      <c r="G31">
        <v>121.27682119204999</v>
      </c>
      <c r="I31" s="9">
        <f t="shared" si="1"/>
        <v>460.84742326731998</v>
      </c>
      <c r="J31" s="9">
        <f t="shared" si="2"/>
        <v>1585.6410395883699</v>
      </c>
      <c r="K31" s="9">
        <f t="shared" si="3"/>
        <v>460.84742326731998</v>
      </c>
      <c r="L31" s="10">
        <f t="shared" si="0"/>
        <v>0.29063792608884248</v>
      </c>
      <c r="M31" s="10">
        <f t="shared" si="4"/>
        <v>0.30304905549126032</v>
      </c>
      <c r="P31" s="8">
        <f t="shared" si="5"/>
        <v>-19.146297746378863</v>
      </c>
    </row>
    <row r="32" spans="1:16" x14ac:dyDescent="0.2">
      <c r="A32" s="8">
        <v>15</v>
      </c>
      <c r="B32" s="8">
        <v>30</v>
      </c>
      <c r="D32">
        <v>1809.9523169913</v>
      </c>
      <c r="E32">
        <v>626.73942243116005</v>
      </c>
      <c r="F32">
        <v>141.13841059603001</v>
      </c>
      <c r="G32">
        <v>121.34966887417001</v>
      </c>
      <c r="I32" s="9">
        <f t="shared" si="1"/>
        <v>505.38975355699006</v>
      </c>
      <c r="J32" s="9">
        <f t="shared" si="2"/>
        <v>1668.8139063952699</v>
      </c>
      <c r="K32" s="9">
        <f t="shared" si="3"/>
        <v>505.38975355699006</v>
      </c>
      <c r="L32" s="10">
        <f t="shared" si="0"/>
        <v>0.30284368533856471</v>
      </c>
      <c r="M32" s="10">
        <f t="shared" si="4"/>
        <v>0.31568278472037631</v>
      </c>
      <c r="P32" s="8">
        <f t="shared" si="5"/>
        <v>-15.775609856301367</v>
      </c>
    </row>
    <row r="33" spans="1:16" x14ac:dyDescent="0.2">
      <c r="A33" s="8">
        <v>15.5</v>
      </c>
      <c r="B33" s="8">
        <v>31</v>
      </c>
      <c r="D33">
        <v>1752.2925851703001</v>
      </c>
      <c r="E33">
        <v>602.59652638610999</v>
      </c>
      <c r="F33">
        <v>141.66688741722001</v>
      </c>
      <c r="G33">
        <v>121.18278145695</v>
      </c>
      <c r="I33" s="9">
        <f t="shared" si="1"/>
        <v>481.41374492915998</v>
      </c>
      <c r="J33" s="9">
        <f t="shared" si="2"/>
        <v>1610.62569775308</v>
      </c>
      <c r="K33" s="9">
        <f t="shared" si="3"/>
        <v>481.41374492915998</v>
      </c>
      <c r="L33" s="10">
        <f t="shared" si="0"/>
        <v>0.29889858680434639</v>
      </c>
      <c r="M33" s="10">
        <f t="shared" si="4"/>
        <v>0.3121656561655517</v>
      </c>
      <c r="P33" s="8">
        <f t="shared" si="5"/>
        <v>-16.713982241255721</v>
      </c>
    </row>
    <row r="34" spans="1:16" x14ac:dyDescent="0.2">
      <c r="A34" s="8">
        <v>16</v>
      </c>
      <c r="B34" s="8">
        <v>32</v>
      </c>
      <c r="D34">
        <v>1738.3313293253</v>
      </c>
      <c r="E34">
        <v>605.49632598530002</v>
      </c>
      <c r="F34">
        <v>140.87549668873999</v>
      </c>
      <c r="G34">
        <v>120.99271523179</v>
      </c>
      <c r="I34" s="9">
        <f t="shared" si="1"/>
        <v>484.50361075351003</v>
      </c>
      <c r="J34" s="9">
        <f t="shared" si="2"/>
        <v>1597.45583263656</v>
      </c>
      <c r="K34" s="9">
        <f t="shared" si="3"/>
        <v>484.50361075351003</v>
      </c>
      <c r="L34" s="10">
        <f t="shared" si="0"/>
        <v>0.30329703072531855</v>
      </c>
      <c r="M34" s="10">
        <f t="shared" si="4"/>
        <v>0.31699207006591756</v>
      </c>
      <c r="P34" s="8">
        <f t="shared" si="5"/>
        <v>-15.426291600477022</v>
      </c>
    </row>
    <row r="35" spans="1:16" x14ac:dyDescent="0.2">
      <c r="A35" s="8">
        <v>16.5</v>
      </c>
      <c r="B35" s="8">
        <v>33</v>
      </c>
      <c r="D35">
        <v>1683.9678929766001</v>
      </c>
      <c r="E35">
        <v>590.85150501672001</v>
      </c>
      <c r="F35">
        <v>141.89271523178999</v>
      </c>
      <c r="G35">
        <v>121.59271523179</v>
      </c>
      <c r="I35" s="9">
        <f t="shared" si="1"/>
        <v>469.25878978493</v>
      </c>
      <c r="J35" s="9">
        <f t="shared" si="2"/>
        <v>1542.0751777448102</v>
      </c>
      <c r="K35" s="9">
        <f t="shared" si="3"/>
        <v>469.25878978493</v>
      </c>
      <c r="L35" s="10">
        <f t="shared" si="0"/>
        <v>0.3043034454851884</v>
      </c>
      <c r="M35" s="10">
        <f t="shared" si="4"/>
        <v>0.31842645480518111</v>
      </c>
      <c r="P35" s="8">
        <f t="shared" si="5"/>
        <v>-15.04359673796524</v>
      </c>
    </row>
    <row r="36" spans="1:16" x14ac:dyDescent="0.2">
      <c r="A36" s="8">
        <v>17</v>
      </c>
      <c r="B36" s="8">
        <v>34</v>
      </c>
      <c r="D36">
        <v>1647.8073578594999</v>
      </c>
      <c r="E36">
        <v>584.97725752507995</v>
      </c>
      <c r="F36">
        <v>141.48675496689</v>
      </c>
      <c r="G36">
        <v>121.14437086093</v>
      </c>
      <c r="I36" s="9">
        <f t="shared" si="1"/>
        <v>463.83288666414995</v>
      </c>
      <c r="J36" s="9">
        <f t="shared" si="2"/>
        <v>1506.3206028926099</v>
      </c>
      <c r="K36" s="9">
        <f t="shared" si="3"/>
        <v>463.83288666414995</v>
      </c>
      <c r="L36" s="10">
        <f t="shared" si="0"/>
        <v>0.30792441248791574</v>
      </c>
      <c r="M36" s="10">
        <f t="shared" si="4"/>
        <v>0.32247539178730222</v>
      </c>
      <c r="P36" s="8">
        <f t="shared" si="5"/>
        <v>-13.963337488632135</v>
      </c>
    </row>
    <row r="37" spans="1:16" x14ac:dyDescent="0.2">
      <c r="A37" s="8">
        <v>17.5</v>
      </c>
      <c r="B37" s="8">
        <v>35</v>
      </c>
      <c r="D37">
        <v>1756.6381270903</v>
      </c>
      <c r="E37">
        <v>625.60267558528005</v>
      </c>
      <c r="F37">
        <v>141.33774834437</v>
      </c>
      <c r="G37">
        <v>121.47152317881</v>
      </c>
      <c r="I37" s="9">
        <f t="shared" si="1"/>
        <v>504.13115240647005</v>
      </c>
      <c r="J37" s="9">
        <f t="shared" si="2"/>
        <v>1615.3003787459299</v>
      </c>
      <c r="K37" s="9">
        <f t="shared" si="3"/>
        <v>504.13115240647005</v>
      </c>
      <c r="L37" s="10">
        <f t="shared" si="0"/>
        <v>0.31209746437245445</v>
      </c>
      <c r="M37" s="10">
        <f t="shared" si="4"/>
        <v>0.32707641365123463</v>
      </c>
      <c r="P37" s="8">
        <f t="shared" si="5"/>
        <v>-12.735781602520751</v>
      </c>
    </row>
    <row r="38" spans="1:16" x14ac:dyDescent="0.2">
      <c r="A38" s="8">
        <v>18</v>
      </c>
      <c r="B38" s="8">
        <v>36</v>
      </c>
      <c r="D38">
        <v>1709.3464882942999</v>
      </c>
      <c r="E38">
        <v>599.30301003345005</v>
      </c>
      <c r="F38">
        <v>141.25960264900999</v>
      </c>
      <c r="G38">
        <v>121.28410596027</v>
      </c>
      <c r="I38" s="9">
        <f t="shared" si="1"/>
        <v>478.01890407318007</v>
      </c>
      <c r="J38" s="9">
        <f t="shared" si="2"/>
        <v>1568.0868856452898</v>
      </c>
      <c r="K38" s="9">
        <f t="shared" si="3"/>
        <v>478.01890407318007</v>
      </c>
      <c r="L38" s="10">
        <f t="shared" si="0"/>
        <v>0.30484210310608428</v>
      </c>
      <c r="M38" s="10">
        <f t="shared" si="4"/>
        <v>0.32024902236425817</v>
      </c>
      <c r="P38" s="8">
        <f t="shared" si="5"/>
        <v>-14.557334424691092</v>
      </c>
    </row>
    <row r="39" spans="1:16" x14ac:dyDescent="0.2">
      <c r="A39" s="8">
        <v>18.5</v>
      </c>
      <c r="B39" s="8">
        <v>37</v>
      </c>
      <c r="D39">
        <v>1693.6214046823</v>
      </c>
      <c r="E39">
        <v>602.76387959865997</v>
      </c>
      <c r="F39">
        <v>141.46622516555999</v>
      </c>
      <c r="G39">
        <v>121.4</v>
      </c>
      <c r="I39" s="9">
        <f t="shared" si="1"/>
        <v>481.36387959865999</v>
      </c>
      <c r="J39" s="9">
        <f t="shared" si="2"/>
        <v>1552.15517951674</v>
      </c>
      <c r="K39" s="9">
        <f t="shared" si="3"/>
        <v>481.36387959865999</v>
      </c>
      <c r="L39" s="10">
        <f t="shared" si="0"/>
        <v>0.3101261303966602</v>
      </c>
      <c r="M39" s="10">
        <f t="shared" si="4"/>
        <v>0.3259610196342278</v>
      </c>
      <c r="P39" s="8">
        <f t="shared" si="5"/>
        <v>-13.033369514815504</v>
      </c>
    </row>
    <row r="40" spans="1:16" x14ac:dyDescent="0.2">
      <c r="A40" s="8">
        <v>19</v>
      </c>
      <c r="B40" s="8">
        <v>38</v>
      </c>
      <c r="D40">
        <v>1746.0715719064001</v>
      </c>
      <c r="E40">
        <v>622.31103678930003</v>
      </c>
      <c r="F40">
        <v>141.70066225165999</v>
      </c>
      <c r="G40">
        <v>121.09933774834001</v>
      </c>
      <c r="I40" s="9">
        <f t="shared" si="1"/>
        <v>501.21169904096001</v>
      </c>
      <c r="J40" s="9">
        <f t="shared" si="2"/>
        <v>1604.37090965474</v>
      </c>
      <c r="K40" s="9">
        <f t="shared" si="3"/>
        <v>501.21169904096001</v>
      </c>
      <c r="L40" s="10">
        <f t="shared" si="0"/>
        <v>0.31240388118781121</v>
      </c>
      <c r="M40" s="10">
        <f t="shared" si="4"/>
        <v>0.32866674040477256</v>
      </c>
      <c r="P40" s="8">
        <f t="shared" si="5"/>
        <v>-12.311481300353231</v>
      </c>
    </row>
    <row r="41" spans="1:16" x14ac:dyDescent="0.2">
      <c r="A41" s="8">
        <v>19.5</v>
      </c>
      <c r="B41" s="8">
        <v>39</v>
      </c>
      <c r="D41">
        <v>1672.1471571906</v>
      </c>
      <c r="E41">
        <v>602.84214046823001</v>
      </c>
      <c r="F41">
        <v>141.49867549669</v>
      </c>
      <c r="G41">
        <v>121.39933774834</v>
      </c>
      <c r="I41" s="9">
        <f t="shared" si="1"/>
        <v>481.44280271988998</v>
      </c>
      <c r="J41" s="9">
        <f t="shared" si="2"/>
        <v>1530.6484816939101</v>
      </c>
      <c r="K41" s="9">
        <f t="shared" si="3"/>
        <v>481.44280271988998</v>
      </c>
      <c r="L41" s="10">
        <f t="shared" si="0"/>
        <v>0.31453518458209012</v>
      </c>
      <c r="M41" s="10">
        <f t="shared" si="4"/>
        <v>0.33122601377844518</v>
      </c>
      <c r="P41" s="8">
        <f t="shared" si="5"/>
        <v>-11.628665354911307</v>
      </c>
    </row>
    <row r="42" spans="1:16" x14ac:dyDescent="0.2">
      <c r="A42" s="8">
        <v>20</v>
      </c>
      <c r="B42" s="8">
        <v>40</v>
      </c>
      <c r="D42">
        <v>1845.2511627906999</v>
      </c>
      <c r="E42">
        <v>676.21196013289</v>
      </c>
      <c r="F42">
        <v>140.99006622517001</v>
      </c>
      <c r="G42">
        <v>120.67947019867999</v>
      </c>
      <c r="I42" s="9">
        <f t="shared" si="1"/>
        <v>555.53248993421005</v>
      </c>
      <c r="J42" s="9">
        <f t="shared" si="2"/>
        <v>1704.2610965655299</v>
      </c>
      <c r="K42" s="9">
        <f t="shared" si="3"/>
        <v>555.53248993421005</v>
      </c>
      <c r="L42" s="10">
        <f t="shared" si="0"/>
        <v>0.32596677296321158</v>
      </c>
      <c r="M42" s="10">
        <f t="shared" si="4"/>
        <v>0.34308557213896035</v>
      </c>
      <c r="P42" s="8">
        <f t="shared" si="5"/>
        <v>-8.4645267998971008</v>
      </c>
    </row>
    <row r="43" spans="1:16" x14ac:dyDescent="0.2">
      <c r="A43" s="8">
        <v>20.5</v>
      </c>
      <c r="B43" s="8">
        <v>41</v>
      </c>
      <c r="D43">
        <v>1862.7523240372</v>
      </c>
      <c r="E43">
        <v>688.23373173971004</v>
      </c>
      <c r="F43">
        <v>141.43841059603</v>
      </c>
      <c r="G43">
        <v>121.1238410596</v>
      </c>
      <c r="I43" s="9">
        <f t="shared" si="1"/>
        <v>567.10989068011008</v>
      </c>
      <c r="J43" s="9">
        <f t="shared" si="2"/>
        <v>1721.3139134411699</v>
      </c>
      <c r="K43" s="9">
        <f t="shared" si="3"/>
        <v>567.10989068011008</v>
      </c>
      <c r="L43" s="10">
        <f t="shared" si="0"/>
        <v>0.32946337460688424</v>
      </c>
      <c r="M43" s="10">
        <f t="shared" si="4"/>
        <v>0.34701014376202671</v>
      </c>
      <c r="P43" s="8">
        <f t="shared" si="5"/>
        <v>-7.4174483162831857</v>
      </c>
    </row>
    <row r="44" spans="1:16" x14ac:dyDescent="0.2">
      <c r="A44" s="8">
        <v>21</v>
      </c>
      <c r="B44" s="8">
        <v>42</v>
      </c>
      <c r="D44">
        <v>1929.0730411687</v>
      </c>
      <c r="E44">
        <v>717.02722443559003</v>
      </c>
      <c r="F44">
        <v>141.37880794701999</v>
      </c>
      <c r="G44">
        <v>120.90728476821</v>
      </c>
      <c r="I44" s="9">
        <f t="shared" si="1"/>
        <v>596.11993966737998</v>
      </c>
      <c r="J44" s="9">
        <f t="shared" si="2"/>
        <v>1787.69423322168</v>
      </c>
      <c r="K44" s="9">
        <f t="shared" si="3"/>
        <v>596.11993966737998</v>
      </c>
      <c r="L44" s="10">
        <f t="shared" si="0"/>
        <v>0.33345743840829362</v>
      </c>
      <c r="M44" s="10">
        <f t="shared" si="4"/>
        <v>0.35143217754282985</v>
      </c>
      <c r="P44" s="8">
        <f t="shared" si="5"/>
        <v>-6.2376465772910556</v>
      </c>
    </row>
    <row r="45" spans="1:16" x14ac:dyDescent="0.2">
      <c r="A45" s="8">
        <v>21.5</v>
      </c>
      <c r="B45" s="8">
        <v>43</v>
      </c>
      <c r="D45">
        <v>1818.9649238914999</v>
      </c>
      <c r="E45">
        <v>678.78358702846003</v>
      </c>
      <c r="F45">
        <v>141.50728476821001</v>
      </c>
      <c r="G45">
        <v>121.36622516556</v>
      </c>
      <c r="I45" s="9">
        <f t="shared" si="1"/>
        <v>557.41736186290007</v>
      </c>
      <c r="J45" s="9">
        <f t="shared" si="2"/>
        <v>1677.4576391232899</v>
      </c>
      <c r="K45" s="9">
        <f t="shared" si="3"/>
        <v>557.41736186290007</v>
      </c>
      <c r="L45" s="10">
        <f t="shared" si="0"/>
        <v>0.33229892002174782</v>
      </c>
      <c r="M45" s="10">
        <f t="shared" si="4"/>
        <v>0.35070162913567776</v>
      </c>
      <c r="P45" s="8">
        <f t="shared" si="5"/>
        <v>-6.4325574087997701</v>
      </c>
    </row>
    <row r="46" spans="1:16" x14ac:dyDescent="0.2">
      <c r="A46" s="8">
        <v>22</v>
      </c>
      <c r="B46" s="8">
        <v>44</v>
      </c>
      <c r="D46">
        <v>1824.3851753805</v>
      </c>
      <c r="E46">
        <v>674.26207809397999</v>
      </c>
      <c r="F46">
        <v>141.14172185430999</v>
      </c>
      <c r="G46">
        <v>120.86026490066</v>
      </c>
      <c r="I46" s="9">
        <f t="shared" si="1"/>
        <v>553.40181319331998</v>
      </c>
      <c r="J46" s="9">
        <f t="shared" si="2"/>
        <v>1683.24345352619</v>
      </c>
      <c r="K46" s="9">
        <f t="shared" si="3"/>
        <v>553.40181319331998</v>
      </c>
      <c r="L46" s="10">
        <f t="shared" si="0"/>
        <v>0.32877110677841082</v>
      </c>
      <c r="M46" s="10">
        <f t="shared" si="4"/>
        <v>0.34760178587173446</v>
      </c>
      <c r="P46" s="8">
        <f t="shared" si="5"/>
        <v>-7.2595977831361056</v>
      </c>
    </row>
    <row r="47" spans="1:16" x14ac:dyDescent="0.2">
      <c r="A47" s="8">
        <v>22.5</v>
      </c>
      <c r="B47" s="8">
        <v>45</v>
      </c>
      <c r="D47">
        <v>1823.0999338187</v>
      </c>
      <c r="E47">
        <v>674.78292521509002</v>
      </c>
      <c r="F47">
        <v>141.34039735099</v>
      </c>
      <c r="G47">
        <v>121.16291390729</v>
      </c>
      <c r="I47" s="9">
        <f t="shared" si="1"/>
        <v>553.62001130780004</v>
      </c>
      <c r="J47" s="9">
        <f t="shared" si="2"/>
        <v>1681.7595364677099</v>
      </c>
      <c r="K47" s="9">
        <f t="shared" si="3"/>
        <v>553.62001130780004</v>
      </c>
      <c r="L47" s="10">
        <f t="shared" si="0"/>
        <v>0.32919094513987296</v>
      </c>
      <c r="M47" s="10">
        <f t="shared" si="4"/>
        <v>0.34844959421259031</v>
      </c>
      <c r="P47" s="8">
        <f t="shared" si="5"/>
        <v>-7.0334019184152137</v>
      </c>
    </row>
    <row r="48" spans="1:16" x14ac:dyDescent="0.2">
      <c r="A48" s="8">
        <v>23</v>
      </c>
      <c r="B48" s="8">
        <v>46</v>
      </c>
      <c r="D48">
        <v>1877.1624161074001</v>
      </c>
      <c r="E48">
        <v>693.23154362416005</v>
      </c>
      <c r="F48">
        <v>140.93509933774999</v>
      </c>
      <c r="G48">
        <v>121.20794701987001</v>
      </c>
      <c r="I48" s="9">
        <f t="shared" si="1"/>
        <v>572.02359660429011</v>
      </c>
      <c r="J48" s="9">
        <f t="shared" si="2"/>
        <v>1736.2273167696501</v>
      </c>
      <c r="K48" s="9">
        <f t="shared" si="3"/>
        <v>572.02359660429011</v>
      </c>
      <c r="L48" s="10">
        <f t="shared" si="0"/>
        <v>0.32946353918021093</v>
      </c>
      <c r="M48" s="10">
        <f t="shared" si="4"/>
        <v>0.34915015823232204</v>
      </c>
      <c r="P48" s="8">
        <f t="shared" si="5"/>
        <v>-6.846490942668507</v>
      </c>
    </row>
    <row r="49" spans="1:25" x14ac:dyDescent="0.2">
      <c r="A49" s="8">
        <v>23.5</v>
      </c>
      <c r="B49" s="8">
        <v>47</v>
      </c>
      <c r="D49">
        <v>1767.2118587607999</v>
      </c>
      <c r="E49">
        <v>668.22051965356002</v>
      </c>
      <c r="F49">
        <v>141.20860927152</v>
      </c>
      <c r="G49">
        <v>121.26821192053001</v>
      </c>
      <c r="I49" s="9">
        <f t="shared" si="1"/>
        <v>546.95230773303001</v>
      </c>
      <c r="J49" s="9">
        <f t="shared" si="2"/>
        <v>1626.0032494892798</v>
      </c>
      <c r="K49" s="9">
        <f t="shared" si="3"/>
        <v>546.95230773303001</v>
      </c>
      <c r="L49" s="10">
        <f t="shared" si="0"/>
        <v>0.33637836080882694</v>
      </c>
      <c r="M49" s="10">
        <f t="shared" si="4"/>
        <v>0.35649294984033175</v>
      </c>
      <c r="P49" s="8">
        <f t="shared" si="5"/>
        <v>-4.8874289504705901</v>
      </c>
    </row>
    <row r="50" spans="1:25" x14ac:dyDescent="0.2">
      <c r="A50" s="8">
        <v>24</v>
      </c>
      <c r="B50" s="8">
        <v>48</v>
      </c>
      <c r="D50">
        <v>1717.0186542305</v>
      </c>
      <c r="E50">
        <v>649.66688874084002</v>
      </c>
      <c r="F50">
        <v>141.15298013245001</v>
      </c>
      <c r="G50">
        <v>121.09867549669001</v>
      </c>
      <c r="I50" s="9">
        <f t="shared" si="1"/>
        <v>528.56821324415</v>
      </c>
      <c r="J50" s="9">
        <f t="shared" si="2"/>
        <v>1575.86567409805</v>
      </c>
      <c r="K50" s="9">
        <f t="shared" si="3"/>
        <v>528.56821324415</v>
      </c>
      <c r="L50" s="10">
        <f t="shared" si="0"/>
        <v>0.33541451021621949</v>
      </c>
      <c r="M50" s="10">
        <f t="shared" si="4"/>
        <v>0.35595706922711801</v>
      </c>
      <c r="P50" s="8">
        <f t="shared" si="5"/>
        <v>-5.0304022769310039</v>
      </c>
    </row>
    <row r="51" spans="1:25" x14ac:dyDescent="0.2">
      <c r="A51" s="8">
        <v>24.5</v>
      </c>
      <c r="B51" s="8">
        <v>49</v>
      </c>
      <c r="D51">
        <v>1790.7574950032999</v>
      </c>
      <c r="E51">
        <v>683.28780812792002</v>
      </c>
      <c r="F51">
        <v>141.43245033113001</v>
      </c>
      <c r="G51">
        <v>121.43245033113</v>
      </c>
      <c r="I51" s="9">
        <f t="shared" si="1"/>
        <v>561.85535779679003</v>
      </c>
      <c r="J51" s="9">
        <f t="shared" si="2"/>
        <v>1649.32504467217</v>
      </c>
      <c r="K51" s="9">
        <f t="shared" si="3"/>
        <v>561.85535779679003</v>
      </c>
      <c r="L51" s="10">
        <f t="shared" si="0"/>
        <v>0.3406577494301421</v>
      </c>
      <c r="M51" s="10">
        <f t="shared" si="4"/>
        <v>0.36162827842043432</v>
      </c>
      <c r="P51" s="8">
        <f t="shared" si="5"/>
        <v>-3.517319654742729</v>
      </c>
    </row>
    <row r="52" spans="1:25" x14ac:dyDescent="0.2">
      <c r="A52" s="8">
        <v>25</v>
      </c>
      <c r="B52" s="8">
        <v>50</v>
      </c>
      <c r="D52">
        <v>1787.2111260054</v>
      </c>
      <c r="E52">
        <v>668.79490616622002</v>
      </c>
      <c r="F52">
        <v>141.23046357615999</v>
      </c>
      <c r="G52">
        <v>121.35165562914</v>
      </c>
      <c r="I52" s="9">
        <f t="shared" si="1"/>
        <v>547.44325053708008</v>
      </c>
      <c r="J52" s="9">
        <f t="shared" si="2"/>
        <v>1645.9806624292401</v>
      </c>
      <c r="K52" s="9">
        <f t="shared" si="3"/>
        <v>547.44325053708008</v>
      </c>
      <c r="L52" s="10">
        <f t="shared" si="0"/>
        <v>0.33259397454228257</v>
      </c>
      <c r="M52" s="10">
        <f t="shared" si="4"/>
        <v>0.35399247351196855</v>
      </c>
      <c r="P52" s="8">
        <f t="shared" si="5"/>
        <v>-5.5545578026558315</v>
      </c>
    </row>
    <row r="53" spans="1:25" x14ac:dyDescent="0.2">
      <c r="A53" s="8">
        <v>25.5</v>
      </c>
      <c r="B53" s="8">
        <v>51</v>
      </c>
      <c r="D53">
        <v>1788.8847184987001</v>
      </c>
      <c r="E53">
        <v>669.84249329758995</v>
      </c>
      <c r="F53">
        <v>140.87880794701999</v>
      </c>
      <c r="G53">
        <v>121.04834437085999</v>
      </c>
      <c r="I53" s="9">
        <f t="shared" si="1"/>
        <v>548.79414892672992</v>
      </c>
      <c r="J53" s="9">
        <f t="shared" si="2"/>
        <v>1648.00591055168</v>
      </c>
      <c r="K53" s="9">
        <f t="shared" si="3"/>
        <v>548.79414892672992</v>
      </c>
      <c r="L53" s="10">
        <f t="shared" si="0"/>
        <v>0.33300496400708768</v>
      </c>
      <c r="M53" s="10">
        <f t="shared" si="4"/>
        <v>0.35483143295616737</v>
      </c>
      <c r="P53" s="8">
        <f t="shared" si="5"/>
        <v>-5.3307228298189973</v>
      </c>
      <c r="S53" s="11"/>
      <c r="U53" s="12"/>
    </row>
    <row r="54" spans="1:25" x14ac:dyDescent="0.2">
      <c r="A54" s="8">
        <v>26</v>
      </c>
      <c r="B54" s="8">
        <v>52</v>
      </c>
      <c r="D54">
        <v>1768.2272117963</v>
      </c>
      <c r="E54">
        <v>667.63806970508995</v>
      </c>
      <c r="F54">
        <v>141.12384105960001</v>
      </c>
      <c r="G54">
        <v>120.86953642384</v>
      </c>
      <c r="I54" s="9">
        <f t="shared" si="1"/>
        <v>546.76853328124992</v>
      </c>
      <c r="J54" s="9">
        <f t="shared" si="2"/>
        <v>1627.1033707367001</v>
      </c>
      <c r="K54" s="9">
        <f t="shared" si="3"/>
        <v>546.76853328124992</v>
      </c>
      <c r="L54" s="10">
        <f t="shared" si="0"/>
        <v>0.33603798204516699</v>
      </c>
      <c r="M54" s="10">
        <f t="shared" si="4"/>
        <v>0.35829242097364039</v>
      </c>
      <c r="P54" s="8">
        <f t="shared" si="5"/>
        <v>-4.4073287799200873</v>
      </c>
      <c r="S54" s="11"/>
    </row>
    <row r="55" spans="1:25" x14ac:dyDescent="0.2">
      <c r="A55" s="8">
        <v>26.5</v>
      </c>
      <c r="B55" s="8">
        <v>53</v>
      </c>
      <c r="D55">
        <v>1757.5609919571</v>
      </c>
      <c r="E55">
        <v>660.90884718499001</v>
      </c>
      <c r="F55">
        <v>140.65629139072999</v>
      </c>
      <c r="G55">
        <v>121.43907284767999</v>
      </c>
      <c r="I55" s="9">
        <f t="shared" si="1"/>
        <v>539.46977433731001</v>
      </c>
      <c r="J55" s="9">
        <f t="shared" si="2"/>
        <v>1616.9047005663699</v>
      </c>
      <c r="K55" s="9">
        <f t="shared" si="3"/>
        <v>539.46977433731001</v>
      </c>
      <c r="L55" s="10">
        <f t="shared" si="0"/>
        <v>0.33364351909444284</v>
      </c>
      <c r="M55" s="10">
        <f t="shared" si="4"/>
        <v>0.35632592800230994</v>
      </c>
      <c r="P55" s="8">
        <f t="shared" si="5"/>
        <v>-4.9319904949353193</v>
      </c>
      <c r="S55" s="11"/>
    </row>
    <row r="56" spans="1:25" x14ac:dyDescent="0.2">
      <c r="A56" s="8">
        <v>27</v>
      </c>
      <c r="B56" s="8">
        <v>54</v>
      </c>
      <c r="D56">
        <v>1826.2928954424001</v>
      </c>
      <c r="E56">
        <v>692.16018766755997</v>
      </c>
      <c r="F56">
        <v>141.10993377483001</v>
      </c>
      <c r="G56">
        <v>120.79006622516999</v>
      </c>
      <c r="I56" s="9">
        <f t="shared" si="1"/>
        <v>571.37012144238997</v>
      </c>
      <c r="J56" s="9">
        <f t="shared" si="2"/>
        <v>1685.18296166757</v>
      </c>
      <c r="K56" s="9">
        <f t="shared" si="3"/>
        <v>571.37012144238997</v>
      </c>
      <c r="L56" s="10">
        <f t="shared" si="0"/>
        <v>0.33905524470588738</v>
      </c>
      <c r="M56" s="10">
        <f t="shared" si="4"/>
        <v>0.36216562359314824</v>
      </c>
      <c r="P56" s="8">
        <f t="shared" si="5"/>
        <v>-3.3739555827722589</v>
      </c>
      <c r="S56" s="11"/>
    </row>
    <row r="57" spans="1:25" x14ac:dyDescent="0.2">
      <c r="A57" s="8">
        <v>27.5</v>
      </c>
      <c r="B57" s="8">
        <v>55</v>
      </c>
      <c r="D57">
        <v>1793.4530201342</v>
      </c>
      <c r="E57">
        <v>690.42013422819002</v>
      </c>
      <c r="F57">
        <v>141.17019867549999</v>
      </c>
      <c r="G57">
        <v>121.21125827815</v>
      </c>
      <c r="I57" s="9">
        <f t="shared" si="1"/>
        <v>569.20887595004001</v>
      </c>
      <c r="J57" s="9">
        <f t="shared" si="2"/>
        <v>1652.2828214587</v>
      </c>
      <c r="K57" s="9">
        <f t="shared" si="3"/>
        <v>569.20887595004001</v>
      </c>
      <c r="L57" s="10">
        <f t="shared" si="0"/>
        <v>0.34449845302362953</v>
      </c>
      <c r="M57" s="10">
        <f t="shared" si="4"/>
        <v>0.36803680189028409</v>
      </c>
      <c r="P57" s="8">
        <f t="shared" si="5"/>
        <v>-1.8075210623114801</v>
      </c>
      <c r="S57" s="11"/>
    </row>
    <row r="58" spans="1:25" x14ac:dyDescent="0.2">
      <c r="A58" s="8">
        <v>28</v>
      </c>
      <c r="B58" s="8">
        <v>56</v>
      </c>
      <c r="D58">
        <v>1825.6248322148001</v>
      </c>
      <c r="E58">
        <v>703.89395973154001</v>
      </c>
      <c r="F58">
        <v>141.23178807946999</v>
      </c>
      <c r="G58">
        <v>120.58741721854</v>
      </c>
      <c r="I58" s="9">
        <f t="shared" si="1"/>
        <v>583.30654251300007</v>
      </c>
      <c r="J58" s="9">
        <f t="shared" si="2"/>
        <v>1684.39304413533</v>
      </c>
      <c r="K58" s="9">
        <f t="shared" si="3"/>
        <v>583.30654251300007</v>
      </c>
      <c r="L58" s="10">
        <f t="shared" si="0"/>
        <v>0.3463007310223345</v>
      </c>
      <c r="M58" s="10">
        <f t="shared" si="4"/>
        <v>0.37026704986838277</v>
      </c>
      <c r="P58" s="8">
        <f t="shared" si="5"/>
        <v>-1.2124893250219002</v>
      </c>
      <c r="S58" s="11"/>
    </row>
    <row r="59" spans="1:25" x14ac:dyDescent="0.2">
      <c r="A59" s="8">
        <v>28.5</v>
      </c>
      <c r="B59" s="8">
        <v>57</v>
      </c>
      <c r="D59">
        <v>1856.5812080537</v>
      </c>
      <c r="E59">
        <v>722.37919463086996</v>
      </c>
      <c r="F59">
        <v>140.62582781456999</v>
      </c>
      <c r="G59">
        <v>121.37682119205</v>
      </c>
      <c r="I59" s="9">
        <f t="shared" si="1"/>
        <v>601.00237343881997</v>
      </c>
      <c r="J59" s="9">
        <f t="shared" si="2"/>
        <v>1715.9553802391301</v>
      </c>
      <c r="K59" s="9">
        <f t="shared" si="3"/>
        <v>601.00237343881997</v>
      </c>
      <c r="L59" s="10">
        <f t="shared" si="0"/>
        <v>0.35024359045691861</v>
      </c>
      <c r="M59" s="10">
        <f t="shared" si="4"/>
        <v>0.37463787928236059</v>
      </c>
      <c r="P59" s="8">
        <f t="shared" si="5"/>
        <v>-4.6348947299048537E-2</v>
      </c>
      <c r="R59" s="1"/>
      <c r="S59" s="11"/>
    </row>
    <row r="60" spans="1:25" x14ac:dyDescent="0.2">
      <c r="A60" s="8">
        <v>29</v>
      </c>
      <c r="B60" s="8">
        <v>58</v>
      </c>
      <c r="D60">
        <v>1828.9546968688001</v>
      </c>
      <c r="E60">
        <v>711.09926715523</v>
      </c>
      <c r="F60">
        <v>141.58543046358</v>
      </c>
      <c r="G60">
        <v>120.74039735098999</v>
      </c>
      <c r="I60" s="9">
        <f t="shared" si="1"/>
        <v>590.35886980424004</v>
      </c>
      <c r="J60" s="9">
        <f t="shared" si="2"/>
        <v>1687.3692664052201</v>
      </c>
      <c r="K60" s="9">
        <f t="shared" si="3"/>
        <v>590.35886980424004</v>
      </c>
      <c r="L60" s="10">
        <f t="shared" si="0"/>
        <v>0.3498693982153317</v>
      </c>
      <c r="M60" s="10">
        <f t="shared" si="4"/>
        <v>0.37469165702016743</v>
      </c>
      <c r="P60" s="8">
        <f t="shared" si="5"/>
        <v>-3.2001008832585942E-2</v>
      </c>
      <c r="S60" s="11"/>
    </row>
    <row r="61" spans="1:25" x14ac:dyDescent="0.2">
      <c r="A61" s="8">
        <v>29.5</v>
      </c>
      <c r="B61" s="8">
        <v>59</v>
      </c>
      <c r="C61" s="2"/>
      <c r="D61">
        <v>1819.780146569</v>
      </c>
      <c r="E61">
        <v>704.41372418388005</v>
      </c>
      <c r="F61">
        <v>140.53642384106001</v>
      </c>
      <c r="G61">
        <v>120.86688741722</v>
      </c>
      <c r="I61" s="9">
        <f t="shared" si="1"/>
        <v>583.54683676666002</v>
      </c>
      <c r="J61" s="9">
        <f t="shared" si="2"/>
        <v>1679.2437227279399</v>
      </c>
      <c r="K61" s="9">
        <f t="shared" si="3"/>
        <v>583.54683676666002</v>
      </c>
      <c r="L61" s="10">
        <f t="shared" si="0"/>
        <v>0.34750574253669697</v>
      </c>
      <c r="M61" s="10">
        <f t="shared" si="4"/>
        <v>0.37275597132092642</v>
      </c>
      <c r="P61" s="8">
        <f t="shared" si="5"/>
        <v>-0.54844332187434131</v>
      </c>
      <c r="S61" s="11"/>
    </row>
    <row r="62" spans="1:25" x14ac:dyDescent="0.2">
      <c r="A62" s="8">
        <v>30</v>
      </c>
      <c r="B62" s="8">
        <v>60</v>
      </c>
      <c r="D62">
        <v>1722.6441922562999</v>
      </c>
      <c r="E62">
        <v>676.05273698264</v>
      </c>
      <c r="F62">
        <v>140.5880794702</v>
      </c>
      <c r="G62">
        <v>120.83443708609001</v>
      </c>
      <c r="I62" s="9">
        <f t="shared" si="1"/>
        <v>555.21829989654998</v>
      </c>
      <c r="J62" s="9">
        <f t="shared" si="2"/>
        <v>1582.0561127860999</v>
      </c>
      <c r="K62" s="9">
        <f t="shared" si="3"/>
        <v>555.21829989654998</v>
      </c>
      <c r="L62" s="10">
        <f t="shared" si="0"/>
        <v>0.35094728651487322</v>
      </c>
      <c r="M62" s="10">
        <f t="shared" si="4"/>
        <v>0.37662548527849637</v>
      </c>
      <c r="P62" s="8">
        <f t="shared" si="5"/>
        <v>0.48394573766065985</v>
      </c>
      <c r="U62" s="1" t="s">
        <v>9</v>
      </c>
      <c r="X62" s="1" t="s">
        <v>10</v>
      </c>
    </row>
    <row r="63" spans="1:25" x14ac:dyDescent="0.2">
      <c r="A63" s="8">
        <v>30.5</v>
      </c>
      <c r="B63" s="8">
        <v>61</v>
      </c>
      <c r="D63">
        <v>1776.1528704939999</v>
      </c>
      <c r="E63">
        <v>704.70560747664001</v>
      </c>
      <c r="F63">
        <v>140.80264900661999</v>
      </c>
      <c r="G63">
        <v>120.7701986755</v>
      </c>
      <c r="I63" s="9">
        <f t="shared" si="1"/>
        <v>583.93540880114006</v>
      </c>
      <c r="J63" s="9">
        <f t="shared" si="2"/>
        <v>1635.3502214873799</v>
      </c>
      <c r="K63" s="9">
        <f t="shared" si="3"/>
        <v>583.93540880114006</v>
      </c>
      <c r="L63" s="10">
        <f t="shared" si="0"/>
        <v>0.3570705535295311</v>
      </c>
      <c r="M63" s="10">
        <f t="shared" si="4"/>
        <v>0.38317672227254795</v>
      </c>
      <c r="P63" s="8">
        <f t="shared" si="5"/>
        <v>2.2318203992440555</v>
      </c>
    </row>
    <row r="64" spans="1:25" x14ac:dyDescent="0.2">
      <c r="A64" s="8">
        <v>31</v>
      </c>
      <c r="B64" s="8">
        <v>62</v>
      </c>
      <c r="D64">
        <v>1830.1179213856999</v>
      </c>
      <c r="E64">
        <v>726.25849433711005</v>
      </c>
      <c r="F64">
        <v>140.95827814570001</v>
      </c>
      <c r="G64">
        <v>120.83377483444001</v>
      </c>
      <c r="I64" s="9">
        <f t="shared" si="1"/>
        <v>605.42471950267009</v>
      </c>
      <c r="J64" s="9">
        <f t="shared" si="2"/>
        <v>1689.1596432399999</v>
      </c>
      <c r="K64" s="9">
        <f t="shared" si="3"/>
        <v>605.42471950267009</v>
      </c>
      <c r="L64" s="10">
        <f t="shared" si="0"/>
        <v>0.35841770310199739</v>
      </c>
      <c r="M64" s="10">
        <f t="shared" si="4"/>
        <v>0.384951841824408</v>
      </c>
      <c r="P64" s="8">
        <f t="shared" si="5"/>
        <v>2.7054235506480793</v>
      </c>
      <c r="U64" s="8">
        <v>30.5</v>
      </c>
      <c r="V64" s="10">
        <f>L62</f>
        <v>0.35094728651487322</v>
      </c>
      <c r="X64" s="8">
        <v>-13</v>
      </c>
      <c r="Y64" s="10"/>
    </row>
    <row r="65" spans="1:25" x14ac:dyDescent="0.2">
      <c r="A65" s="8">
        <v>31.5</v>
      </c>
      <c r="B65" s="8">
        <v>63</v>
      </c>
      <c r="D65">
        <v>1875.1232511659</v>
      </c>
      <c r="E65">
        <v>743.56162558295</v>
      </c>
      <c r="F65">
        <v>141.09470198675999</v>
      </c>
      <c r="G65">
        <v>121.51523178808</v>
      </c>
      <c r="I65" s="9">
        <f t="shared" si="1"/>
        <v>622.04639379487003</v>
      </c>
      <c r="J65" s="9">
        <f t="shared" si="2"/>
        <v>1734.0285491791401</v>
      </c>
      <c r="K65" s="9">
        <f t="shared" si="3"/>
        <v>622.04639379487003</v>
      </c>
      <c r="L65" s="10">
        <f t="shared" si="0"/>
        <v>0.35872903827871594</v>
      </c>
      <c r="M65" s="10">
        <f t="shared" si="4"/>
        <v>0.38569114698052026</v>
      </c>
      <c r="P65" s="8">
        <f t="shared" si="5"/>
        <v>2.9026706889701828</v>
      </c>
      <c r="U65" s="8">
        <v>31</v>
      </c>
      <c r="V65" s="10">
        <f t="shared" ref="V65:V83" si="6">L63</f>
        <v>0.3570705535295311</v>
      </c>
      <c r="X65" s="8">
        <v>-13</v>
      </c>
      <c r="Y65" s="10"/>
    </row>
    <row r="66" spans="1:25" x14ac:dyDescent="0.2">
      <c r="A66" s="8">
        <v>32</v>
      </c>
      <c r="B66" s="8">
        <v>64</v>
      </c>
      <c r="D66">
        <v>1850.1040268455999</v>
      </c>
      <c r="E66">
        <v>718.19798657718002</v>
      </c>
      <c r="F66">
        <v>140.98609271523</v>
      </c>
      <c r="G66">
        <v>120.90331125828</v>
      </c>
      <c r="I66" s="9">
        <f t="shared" si="1"/>
        <v>597.29467531889998</v>
      </c>
      <c r="J66" s="9">
        <f t="shared" si="2"/>
        <v>1709.11793413037</v>
      </c>
      <c r="K66" s="9">
        <f t="shared" si="3"/>
        <v>597.29467531889998</v>
      </c>
      <c r="L66" s="10">
        <f t="shared" ref="L66:L129" si="7">K66/J66</f>
        <v>0.34947540096044588</v>
      </c>
      <c r="M66" s="10">
        <f t="shared" si="4"/>
        <v>0.37686547964164391</v>
      </c>
      <c r="P66" s="8">
        <f t="shared" si="5"/>
        <v>0.5479764034187905</v>
      </c>
      <c r="U66" s="8">
        <v>31.5</v>
      </c>
      <c r="V66" s="10">
        <f t="shared" si="6"/>
        <v>0.35841770310199739</v>
      </c>
      <c r="X66" s="8">
        <v>-13</v>
      </c>
      <c r="Y66" s="10"/>
    </row>
    <row r="67" spans="1:25" x14ac:dyDescent="0.2">
      <c r="A67" s="8">
        <v>32.5</v>
      </c>
      <c r="B67" s="8">
        <v>65</v>
      </c>
      <c r="D67">
        <v>1765.4208053691</v>
      </c>
      <c r="E67">
        <v>679.43221476509996</v>
      </c>
      <c r="F67">
        <v>141.12119205298001</v>
      </c>
      <c r="G67">
        <v>120.97947019868</v>
      </c>
      <c r="I67" s="9">
        <f t="shared" ref="I67:I130" si="8">E67-G67</f>
        <v>558.45274456641994</v>
      </c>
      <c r="J67" s="9">
        <f t="shared" ref="J67:J130" si="9">D67-F67</f>
        <v>1624.29961331612</v>
      </c>
      <c r="K67" s="9">
        <f t="shared" ref="K67:K130" si="10">I67*1</f>
        <v>558.45274456641994</v>
      </c>
      <c r="L67" s="10">
        <f t="shared" si="7"/>
        <v>0.34381141261635839</v>
      </c>
      <c r="M67" s="10">
        <f t="shared" ref="M67:M130" si="11">L67+ABS($N$2)*A67</f>
        <v>0.37162946127695018</v>
      </c>
      <c r="P67" s="8">
        <f t="shared" ref="P67:P130" si="12">(M67-$O$2)/$O$2*100</f>
        <v>-0.84899699802330075</v>
      </c>
      <c r="U67" s="8">
        <v>32</v>
      </c>
      <c r="V67" s="10">
        <f t="shared" si="6"/>
        <v>0.35872903827871594</v>
      </c>
      <c r="X67" s="8">
        <v>-13</v>
      </c>
      <c r="Y67" s="10"/>
    </row>
    <row r="68" spans="1:25" x14ac:dyDescent="0.2">
      <c r="A68" s="8">
        <v>33</v>
      </c>
      <c r="B68" s="8">
        <v>66</v>
      </c>
      <c r="D68">
        <v>1810.6688963211</v>
      </c>
      <c r="E68">
        <v>694.0093645485</v>
      </c>
      <c r="F68">
        <v>140.69205298013</v>
      </c>
      <c r="G68">
        <v>120.41059602649</v>
      </c>
      <c r="I68" s="9">
        <f t="shared" si="8"/>
        <v>573.59876852201</v>
      </c>
      <c r="J68" s="9">
        <f t="shared" si="9"/>
        <v>1669.9768433409699</v>
      </c>
      <c r="K68" s="9">
        <f t="shared" si="10"/>
        <v>573.59876852201</v>
      </c>
      <c r="L68" s="10">
        <f t="shared" si="7"/>
        <v>0.3434770792237235</v>
      </c>
      <c r="M68" s="10">
        <f t="shared" si="11"/>
        <v>0.371723097863709</v>
      </c>
      <c r="P68" s="8">
        <f t="shared" si="12"/>
        <v>-0.82401469047718467</v>
      </c>
      <c r="U68" s="8">
        <v>32.5</v>
      </c>
      <c r="V68" s="10">
        <f t="shared" si="6"/>
        <v>0.34947540096044588</v>
      </c>
      <c r="X68" s="8">
        <v>-13</v>
      </c>
      <c r="Y68" s="10"/>
    </row>
    <row r="69" spans="1:25" x14ac:dyDescent="0.2">
      <c r="A69" s="8">
        <v>33.5</v>
      </c>
      <c r="B69" s="8">
        <v>67</v>
      </c>
      <c r="D69">
        <v>1838.7511705685999</v>
      </c>
      <c r="E69">
        <v>709.42006688962999</v>
      </c>
      <c r="F69">
        <v>140.64370860926999</v>
      </c>
      <c r="G69">
        <v>121.07086092714999</v>
      </c>
      <c r="I69" s="9">
        <f t="shared" si="8"/>
        <v>588.34920596248003</v>
      </c>
      <c r="J69" s="9">
        <f t="shared" si="9"/>
        <v>1698.1074619593301</v>
      </c>
      <c r="K69" s="9">
        <f t="shared" si="10"/>
        <v>588.34920596248003</v>
      </c>
      <c r="L69" s="10">
        <f t="shared" si="7"/>
        <v>0.34647348247538123</v>
      </c>
      <c r="M69" s="10">
        <f t="shared" si="11"/>
        <v>0.37514747109476043</v>
      </c>
      <c r="P69" s="8">
        <f t="shared" si="12"/>
        <v>8.9610508518653265E-2</v>
      </c>
      <c r="U69" s="8">
        <v>33</v>
      </c>
      <c r="V69" s="10">
        <f t="shared" si="6"/>
        <v>0.34381141261635839</v>
      </c>
      <c r="X69" s="8">
        <v>-13</v>
      </c>
      <c r="Y69" s="10"/>
    </row>
    <row r="70" spans="1:25" x14ac:dyDescent="0.2">
      <c r="A70" s="8">
        <v>34</v>
      </c>
      <c r="B70" s="8">
        <v>68</v>
      </c>
      <c r="D70">
        <v>1849.3446893788</v>
      </c>
      <c r="E70">
        <v>703.87307949232002</v>
      </c>
      <c r="F70">
        <v>141.04635761589</v>
      </c>
      <c r="G70">
        <v>120.78013245033</v>
      </c>
      <c r="I70" s="9">
        <f t="shared" si="8"/>
        <v>583.09294704198999</v>
      </c>
      <c r="J70" s="9">
        <f t="shared" si="9"/>
        <v>1708.29833176291</v>
      </c>
      <c r="K70" s="9">
        <f t="shared" si="10"/>
        <v>583.09294704198999</v>
      </c>
      <c r="L70" s="10">
        <f t="shared" si="7"/>
        <v>0.3413296941174534</v>
      </c>
      <c r="M70" s="10">
        <f t="shared" si="11"/>
        <v>0.3704316527162263</v>
      </c>
      <c r="P70" s="8">
        <f t="shared" si="12"/>
        <v>-1.168573168846905</v>
      </c>
      <c r="U70" s="8">
        <v>33.5</v>
      </c>
      <c r="V70" s="10">
        <f t="shared" si="6"/>
        <v>0.3434770792237235</v>
      </c>
      <c r="X70" s="8">
        <v>-13</v>
      </c>
      <c r="Y70" s="10"/>
    </row>
    <row r="71" spans="1:25" x14ac:dyDescent="0.2">
      <c r="A71" s="8">
        <v>34.5</v>
      </c>
      <c r="B71" s="8">
        <v>69</v>
      </c>
      <c r="D71">
        <v>1752.1815137307001</v>
      </c>
      <c r="E71">
        <v>674.32752846617996</v>
      </c>
      <c r="F71">
        <v>141.17019867549999</v>
      </c>
      <c r="G71">
        <v>120.82847682118999</v>
      </c>
      <c r="I71" s="9">
        <f t="shared" si="8"/>
        <v>553.49905164499</v>
      </c>
      <c r="J71" s="9">
        <f t="shared" si="9"/>
        <v>1611.0113150552002</v>
      </c>
      <c r="K71" s="9">
        <f t="shared" si="10"/>
        <v>553.49905164499</v>
      </c>
      <c r="L71" s="10">
        <f t="shared" si="7"/>
        <v>0.34357241719684928</v>
      </c>
      <c r="M71" s="10">
        <f t="shared" si="11"/>
        <v>0.37310234577501589</v>
      </c>
      <c r="P71" s="8">
        <f t="shared" si="12"/>
        <v>-0.45603037264468005</v>
      </c>
      <c r="U71" s="8">
        <v>34</v>
      </c>
      <c r="V71" s="10">
        <f t="shared" si="6"/>
        <v>0.34647348247538123</v>
      </c>
      <c r="X71" s="8">
        <v>-13</v>
      </c>
      <c r="Y71" s="10"/>
    </row>
    <row r="72" spans="1:25" x14ac:dyDescent="0.2">
      <c r="A72" s="8">
        <v>35</v>
      </c>
      <c r="B72" s="8">
        <v>70</v>
      </c>
      <c r="D72">
        <v>1751.5190890823999</v>
      </c>
      <c r="E72">
        <v>673.01339584728998</v>
      </c>
      <c r="F72">
        <v>140.64503311257999</v>
      </c>
      <c r="G72">
        <v>120.66291390729</v>
      </c>
      <c r="I72" s="9">
        <f t="shared" si="8"/>
        <v>552.35048194000001</v>
      </c>
      <c r="J72" s="9">
        <f t="shared" si="9"/>
        <v>1610.8740559698199</v>
      </c>
      <c r="K72" s="9">
        <f t="shared" si="10"/>
        <v>552.35048194000001</v>
      </c>
      <c r="L72" s="10">
        <f t="shared" si="7"/>
        <v>0.34288868201273487</v>
      </c>
      <c r="M72" s="10">
        <f t="shared" si="11"/>
        <v>0.37284658057029524</v>
      </c>
      <c r="P72" s="8">
        <f t="shared" si="12"/>
        <v>-0.52426871008413167</v>
      </c>
      <c r="U72" s="8">
        <v>34.5</v>
      </c>
      <c r="V72" s="10">
        <f t="shared" si="6"/>
        <v>0.3413296941174534</v>
      </c>
      <c r="X72" s="8">
        <v>-13</v>
      </c>
      <c r="Y72" s="10"/>
    </row>
    <row r="73" spans="1:25" x14ac:dyDescent="0.2">
      <c r="A73" s="8">
        <v>35.5</v>
      </c>
      <c r="B73" s="8">
        <v>71</v>
      </c>
      <c r="D73">
        <v>1841.2194630873</v>
      </c>
      <c r="E73">
        <v>703.68926174497005</v>
      </c>
      <c r="F73">
        <v>140.69801324503001</v>
      </c>
      <c r="G73">
        <v>120.97417218543001</v>
      </c>
      <c r="I73" s="9">
        <f t="shared" si="8"/>
        <v>582.71508955954005</v>
      </c>
      <c r="J73" s="9">
        <f t="shared" si="9"/>
        <v>1700.5214498422699</v>
      </c>
      <c r="K73" s="9">
        <f t="shared" si="10"/>
        <v>582.71508955954005</v>
      </c>
      <c r="L73" s="10">
        <f t="shared" si="7"/>
        <v>0.34266847361060288</v>
      </c>
      <c r="M73" s="10">
        <f t="shared" si="11"/>
        <v>0.37305434214755695</v>
      </c>
      <c r="P73" s="8">
        <f t="shared" si="12"/>
        <v>-0.46883777438815977</v>
      </c>
      <c r="U73" s="8">
        <v>35</v>
      </c>
      <c r="V73" s="10">
        <f t="shared" si="6"/>
        <v>0.34357241719684928</v>
      </c>
      <c r="X73" s="8">
        <v>-13</v>
      </c>
      <c r="Y73" s="10"/>
    </row>
    <row r="74" spans="1:25" x14ac:dyDescent="0.2">
      <c r="A74" s="8">
        <v>36</v>
      </c>
      <c r="B74" s="8">
        <v>72</v>
      </c>
      <c r="D74">
        <v>1852.3764082174</v>
      </c>
      <c r="E74">
        <v>698.38701126574006</v>
      </c>
      <c r="F74">
        <v>140.37615894039999</v>
      </c>
      <c r="G74">
        <v>120.92913907285001</v>
      </c>
      <c r="I74" s="9">
        <f t="shared" si="8"/>
        <v>577.45787219289002</v>
      </c>
      <c r="J74" s="9">
        <f t="shared" si="9"/>
        <v>1712.000249277</v>
      </c>
      <c r="K74" s="9">
        <f t="shared" si="10"/>
        <v>577.45787219289002</v>
      </c>
      <c r="L74" s="10">
        <f t="shared" si="7"/>
        <v>0.3373001098783473</v>
      </c>
      <c r="M74" s="10">
        <f t="shared" si="11"/>
        <v>0.36811394839469508</v>
      </c>
      <c r="P74" s="8">
        <f t="shared" si="12"/>
        <v>-1.7869383203938656</v>
      </c>
      <c r="U74" s="8">
        <v>35.5</v>
      </c>
      <c r="V74" s="10">
        <f t="shared" si="6"/>
        <v>0.34288868201273487</v>
      </c>
      <c r="X74" s="8">
        <v>-13</v>
      </c>
      <c r="Y74" s="10"/>
    </row>
    <row r="75" spans="1:25" x14ac:dyDescent="0.2">
      <c r="A75" s="8">
        <v>36.5</v>
      </c>
      <c r="B75" s="8">
        <v>73</v>
      </c>
      <c r="D75">
        <v>1890.6587143803999</v>
      </c>
      <c r="E75">
        <v>718.77203445990995</v>
      </c>
      <c r="F75">
        <v>140.8523178808</v>
      </c>
      <c r="G75">
        <v>120.68410596027</v>
      </c>
      <c r="I75" s="9">
        <f t="shared" si="8"/>
        <v>598.08792849963993</v>
      </c>
      <c r="J75" s="9">
        <f t="shared" si="9"/>
        <v>1749.8063964995999</v>
      </c>
      <c r="K75" s="9">
        <f t="shared" si="10"/>
        <v>598.08792849963993</v>
      </c>
      <c r="L75" s="10">
        <f t="shared" si="7"/>
        <v>0.34180234435997314</v>
      </c>
      <c r="M75" s="10">
        <f t="shared" si="11"/>
        <v>0.37304415285571468</v>
      </c>
      <c r="P75" s="8">
        <f t="shared" si="12"/>
        <v>-0.471556284655266</v>
      </c>
      <c r="U75" s="8">
        <v>36</v>
      </c>
      <c r="V75" s="10">
        <f t="shared" si="6"/>
        <v>0.34266847361060288</v>
      </c>
      <c r="X75" s="8">
        <v>-13</v>
      </c>
      <c r="Y75" s="10"/>
    </row>
    <row r="76" spans="1:25" x14ac:dyDescent="0.2">
      <c r="A76" s="8">
        <v>37</v>
      </c>
      <c r="B76" s="8">
        <v>74</v>
      </c>
      <c r="D76">
        <v>1920.7558685445999</v>
      </c>
      <c r="E76">
        <v>720.48692152917999</v>
      </c>
      <c r="F76">
        <v>140.98940397351001</v>
      </c>
      <c r="G76">
        <v>121.24238410596</v>
      </c>
      <c r="I76" s="9">
        <f t="shared" si="8"/>
        <v>599.24453742321998</v>
      </c>
      <c r="J76" s="9">
        <f t="shared" si="9"/>
        <v>1779.76646457109</v>
      </c>
      <c r="K76" s="9">
        <f t="shared" si="10"/>
        <v>599.24453742321998</v>
      </c>
      <c r="L76" s="10">
        <f t="shared" si="7"/>
        <v>0.33669840923069272</v>
      </c>
      <c r="M76" s="10">
        <f t="shared" si="11"/>
        <v>0.36836818770582797</v>
      </c>
      <c r="P76" s="8">
        <f t="shared" si="12"/>
        <v>-1.7191070924423995</v>
      </c>
      <c r="U76" s="8">
        <v>36.5</v>
      </c>
      <c r="V76" s="10">
        <f t="shared" si="6"/>
        <v>0.3373001098783473</v>
      </c>
      <c r="X76" s="8">
        <v>-13</v>
      </c>
      <c r="Y76" s="10"/>
    </row>
    <row r="77" spans="1:25" x14ac:dyDescent="0.2">
      <c r="A77" s="8">
        <v>37.5</v>
      </c>
      <c r="B77" s="8">
        <v>75</v>
      </c>
      <c r="D77">
        <v>1800.5792642141</v>
      </c>
      <c r="E77">
        <v>684.46889632107002</v>
      </c>
      <c r="F77">
        <v>140.54834437086001</v>
      </c>
      <c r="G77">
        <v>121.03311258278001</v>
      </c>
      <c r="I77" s="9">
        <f t="shared" si="8"/>
        <v>563.43578373828996</v>
      </c>
      <c r="J77" s="9">
        <f t="shared" si="9"/>
        <v>1660.0309198432401</v>
      </c>
      <c r="K77" s="9">
        <f t="shared" si="10"/>
        <v>563.43578373828996</v>
      </c>
      <c r="L77" s="10">
        <f t="shared" si="7"/>
        <v>0.3394128247873216</v>
      </c>
      <c r="M77" s="10">
        <f t="shared" si="11"/>
        <v>0.37151057324185055</v>
      </c>
      <c r="P77" s="8">
        <f t="shared" si="12"/>
        <v>-0.88071640983892574</v>
      </c>
      <c r="U77" s="8">
        <v>37</v>
      </c>
      <c r="V77" s="10">
        <f t="shared" si="6"/>
        <v>0.34180234435997314</v>
      </c>
      <c r="X77" s="8">
        <v>-13</v>
      </c>
      <c r="Y77" s="10"/>
    </row>
    <row r="78" spans="1:25" x14ac:dyDescent="0.2">
      <c r="A78" s="8">
        <v>38</v>
      </c>
      <c r="B78" s="8">
        <v>76</v>
      </c>
      <c r="D78">
        <v>1786.3090301003001</v>
      </c>
      <c r="E78">
        <v>687.76387959865997</v>
      </c>
      <c r="F78">
        <v>140.66225165563</v>
      </c>
      <c r="G78">
        <v>120.58940397351</v>
      </c>
      <c r="I78" s="9">
        <f t="shared" si="8"/>
        <v>567.17447562514997</v>
      </c>
      <c r="J78" s="9">
        <f t="shared" si="9"/>
        <v>1645.6467784446702</v>
      </c>
      <c r="K78" s="9">
        <f t="shared" si="10"/>
        <v>567.17447562514997</v>
      </c>
      <c r="L78" s="10">
        <f t="shared" si="7"/>
        <v>0.34465140579024894</v>
      </c>
      <c r="M78" s="10">
        <f t="shared" si="11"/>
        <v>0.3771771242241716</v>
      </c>
      <c r="P78" s="8">
        <f t="shared" si="12"/>
        <v>0.63112339836256715</v>
      </c>
      <c r="U78" s="8">
        <v>37.5</v>
      </c>
      <c r="V78" s="10">
        <f t="shared" si="6"/>
        <v>0.33669840923069272</v>
      </c>
      <c r="X78" s="8">
        <v>-13</v>
      </c>
      <c r="Y78" s="10"/>
    </row>
    <row r="79" spans="1:25" x14ac:dyDescent="0.2">
      <c r="A79" s="8">
        <v>38.5</v>
      </c>
      <c r="B79" s="8">
        <v>77</v>
      </c>
      <c r="D79">
        <v>1798.7955764075</v>
      </c>
      <c r="E79">
        <v>692.25871313672997</v>
      </c>
      <c r="F79">
        <v>140.16688741722001</v>
      </c>
      <c r="G79">
        <v>120.65165562914</v>
      </c>
      <c r="I79" s="9">
        <f t="shared" si="8"/>
        <v>571.60705750758996</v>
      </c>
      <c r="J79" s="9">
        <f t="shared" si="9"/>
        <v>1658.6286889902799</v>
      </c>
      <c r="K79" s="9">
        <f t="shared" si="10"/>
        <v>571.60705750758996</v>
      </c>
      <c r="L79" s="10">
        <f t="shared" si="7"/>
        <v>0.34462629357723579</v>
      </c>
      <c r="M79" s="10">
        <f t="shared" si="11"/>
        <v>0.3775799819905522</v>
      </c>
      <c r="P79" s="8">
        <f t="shared" si="12"/>
        <v>0.73860613524387575</v>
      </c>
      <c r="U79" s="8">
        <v>38</v>
      </c>
      <c r="V79" s="10">
        <f t="shared" si="6"/>
        <v>0.3394128247873216</v>
      </c>
      <c r="X79" s="8">
        <v>-13</v>
      </c>
      <c r="Y79" s="10"/>
    </row>
    <row r="80" spans="1:25" x14ac:dyDescent="0.2">
      <c r="A80" s="8">
        <v>39</v>
      </c>
      <c r="B80" s="8">
        <v>78</v>
      </c>
      <c r="D80">
        <v>1870.3887775551</v>
      </c>
      <c r="E80">
        <v>709.90915163660998</v>
      </c>
      <c r="F80">
        <v>140.52185430463999</v>
      </c>
      <c r="G80">
        <v>120.66754966887</v>
      </c>
      <c r="I80" s="9">
        <f t="shared" si="8"/>
        <v>589.24160196773994</v>
      </c>
      <c r="J80" s="9">
        <f t="shared" si="9"/>
        <v>1729.8669232504599</v>
      </c>
      <c r="K80" s="9">
        <f t="shared" si="10"/>
        <v>589.24160196773994</v>
      </c>
      <c r="L80" s="10">
        <f t="shared" si="7"/>
        <v>0.34062828420381691</v>
      </c>
      <c r="M80" s="10">
        <f t="shared" si="11"/>
        <v>0.37400994259652703</v>
      </c>
      <c r="P80" s="8">
        <f t="shared" si="12"/>
        <v>-0.21388289901590468</v>
      </c>
      <c r="U80" s="8">
        <v>38.5</v>
      </c>
      <c r="V80" s="10">
        <f t="shared" si="6"/>
        <v>0.34465140579024894</v>
      </c>
      <c r="X80" s="8">
        <v>-13</v>
      </c>
      <c r="Y80" s="10"/>
    </row>
    <row r="81" spans="1:25" x14ac:dyDescent="0.2">
      <c r="A81" s="8">
        <v>39.5</v>
      </c>
      <c r="B81" s="8">
        <v>79</v>
      </c>
      <c r="D81">
        <v>1885.9559118237</v>
      </c>
      <c r="E81">
        <v>709.25985303941002</v>
      </c>
      <c r="F81">
        <v>140.68344370861001</v>
      </c>
      <c r="G81">
        <v>120.4523178808</v>
      </c>
      <c r="I81" s="9">
        <f t="shared" si="8"/>
        <v>588.80753515860999</v>
      </c>
      <c r="J81" s="9">
        <f t="shared" si="9"/>
        <v>1745.2724681150901</v>
      </c>
      <c r="K81" s="9">
        <f t="shared" si="10"/>
        <v>588.80753515860999</v>
      </c>
      <c r="L81" s="10">
        <f t="shared" si="7"/>
        <v>0.33737284344749185</v>
      </c>
      <c r="M81" s="10">
        <f t="shared" si="11"/>
        <v>0.37118247181959568</v>
      </c>
      <c r="P81" s="8">
        <f t="shared" si="12"/>
        <v>-0.96825410125651112</v>
      </c>
      <c r="U81" s="8">
        <v>39</v>
      </c>
      <c r="V81" s="10">
        <f t="shared" si="6"/>
        <v>0.34462629357723579</v>
      </c>
      <c r="X81" s="8">
        <v>-13</v>
      </c>
      <c r="Y81" s="10"/>
    </row>
    <row r="82" spans="1:25" x14ac:dyDescent="0.2">
      <c r="A82" s="8">
        <v>40</v>
      </c>
      <c r="B82" s="13">
        <v>80</v>
      </c>
      <c r="C82" s="13" t="s">
        <v>11</v>
      </c>
      <c r="D82">
        <v>1875.3413654619001</v>
      </c>
      <c r="E82">
        <v>702.58701472557004</v>
      </c>
      <c r="F82">
        <v>140.35496688742001</v>
      </c>
      <c r="G82">
        <v>120.54172185431</v>
      </c>
      <c r="H82" s="13"/>
      <c r="I82" s="14">
        <f t="shared" si="8"/>
        <v>582.04529287126002</v>
      </c>
      <c r="J82" s="14">
        <f t="shared" si="9"/>
        <v>1734.9863985744801</v>
      </c>
      <c r="K82" s="9">
        <f t="shared" si="10"/>
        <v>582.04529287126002</v>
      </c>
      <c r="L82" s="15">
        <f t="shared" si="7"/>
        <v>0.33547542121914437</v>
      </c>
      <c r="M82" s="15">
        <f t="shared" si="11"/>
        <v>0.3697130195706419</v>
      </c>
      <c r="N82" s="13"/>
      <c r="O82" s="13"/>
      <c r="P82" s="13">
        <f t="shared" si="12"/>
        <v>-1.3603050001455512</v>
      </c>
      <c r="U82" s="8">
        <v>39.5</v>
      </c>
      <c r="V82" s="10">
        <f t="shared" si="6"/>
        <v>0.34062828420381691</v>
      </c>
      <c r="X82" s="8">
        <v>-13</v>
      </c>
      <c r="Y82" s="10"/>
    </row>
    <row r="83" spans="1:25" x14ac:dyDescent="0.2">
      <c r="A83" s="8">
        <v>40.5</v>
      </c>
      <c r="B83" s="8">
        <v>81</v>
      </c>
      <c r="D83">
        <v>1795.8546550568999</v>
      </c>
      <c r="E83">
        <v>677.12324179504003</v>
      </c>
      <c r="F83">
        <v>140.94834437086001</v>
      </c>
      <c r="G83">
        <v>120.5821192053</v>
      </c>
      <c r="I83" s="9">
        <f t="shared" si="8"/>
        <v>556.54112258973998</v>
      </c>
      <c r="J83" s="9">
        <f t="shared" si="9"/>
        <v>1654.9063106860399</v>
      </c>
      <c r="K83" s="9">
        <f t="shared" si="10"/>
        <v>556.54112258973998</v>
      </c>
      <c r="L83" s="10">
        <f t="shared" si="7"/>
        <v>0.33629766168395742</v>
      </c>
      <c r="M83" s="10">
        <f t="shared" si="11"/>
        <v>0.37096323001484871</v>
      </c>
      <c r="P83" s="8">
        <f t="shared" si="12"/>
        <v>-1.0267479697618014</v>
      </c>
      <c r="U83" s="8">
        <v>40</v>
      </c>
      <c r="V83" s="10">
        <f t="shared" si="6"/>
        <v>0.33737284344749185</v>
      </c>
      <c r="X83" s="8">
        <v>-13</v>
      </c>
      <c r="Y83" s="10"/>
    </row>
    <row r="84" spans="1:25" x14ac:dyDescent="0.2">
      <c r="A84" s="8">
        <v>41</v>
      </c>
      <c r="B84" s="8">
        <v>82</v>
      </c>
      <c r="D84">
        <v>1763.0194239785999</v>
      </c>
      <c r="E84">
        <v>667.12793034158994</v>
      </c>
      <c r="F84">
        <v>140.83245033112999</v>
      </c>
      <c r="G84">
        <v>121.05894039735</v>
      </c>
      <c r="I84" s="9">
        <f t="shared" si="8"/>
        <v>546.06898994424</v>
      </c>
      <c r="J84" s="9">
        <f t="shared" si="9"/>
        <v>1622.1869736474698</v>
      </c>
      <c r="K84" s="9">
        <f t="shared" si="10"/>
        <v>546.06898994424</v>
      </c>
      <c r="L84" s="10">
        <f t="shared" si="7"/>
        <v>0.33662518489863708</v>
      </c>
      <c r="M84" s="10">
        <f t="shared" si="11"/>
        <v>0.37171872320892207</v>
      </c>
      <c r="P84" s="8">
        <f t="shared" si="12"/>
        <v>-0.82518185146711298</v>
      </c>
      <c r="U84" s="8">
        <v>150.5</v>
      </c>
      <c r="V84" s="10">
        <f>L302</f>
        <v>0.25072354217120296</v>
      </c>
      <c r="X84" s="8">
        <v>-13</v>
      </c>
      <c r="Y84" s="10"/>
    </row>
    <row r="85" spans="1:25" x14ac:dyDescent="0.2">
      <c r="A85" s="8">
        <v>41.5</v>
      </c>
      <c r="B85" s="8">
        <v>83</v>
      </c>
      <c r="D85">
        <v>1829.7101740295</v>
      </c>
      <c r="E85">
        <v>647.65930388219999</v>
      </c>
      <c r="F85">
        <v>140.59735099337999</v>
      </c>
      <c r="G85">
        <v>120.07218543046</v>
      </c>
      <c r="I85" s="9">
        <f t="shared" si="8"/>
        <v>527.58711845174003</v>
      </c>
      <c r="J85" s="9">
        <f t="shared" si="9"/>
        <v>1689.1128230361201</v>
      </c>
      <c r="K85" s="9">
        <f t="shared" si="10"/>
        <v>527.58711845174003</v>
      </c>
      <c r="L85" s="10">
        <f t="shared" si="7"/>
        <v>0.3123456948858046</v>
      </c>
      <c r="M85" s="10">
        <f t="shared" si="11"/>
        <v>0.34786720317548331</v>
      </c>
      <c r="P85" s="8">
        <f t="shared" si="12"/>
        <v>-7.1887842588521229</v>
      </c>
      <c r="U85" s="8">
        <v>151</v>
      </c>
      <c r="V85" s="10">
        <f t="shared" ref="V85:V103" si="13">L303</f>
        <v>0.25477052312462173</v>
      </c>
      <c r="X85" s="8">
        <v>-13</v>
      </c>
      <c r="Y85" s="10"/>
    </row>
    <row r="86" spans="1:25" x14ac:dyDescent="0.2">
      <c r="A86" s="8">
        <v>42</v>
      </c>
      <c r="B86" s="8">
        <v>84</v>
      </c>
      <c r="D86">
        <v>1821.0543624161</v>
      </c>
      <c r="E86">
        <v>611.69395973153996</v>
      </c>
      <c r="F86">
        <v>140.34569536423999</v>
      </c>
      <c r="G86">
        <v>120.22913907285</v>
      </c>
      <c r="I86" s="9">
        <f t="shared" si="8"/>
        <v>491.46482065868997</v>
      </c>
      <c r="J86" s="9">
        <f t="shared" si="9"/>
        <v>1680.7086670518602</v>
      </c>
      <c r="K86" s="9">
        <f t="shared" si="10"/>
        <v>491.46482065868997</v>
      </c>
      <c r="L86" s="10">
        <f t="shared" si="7"/>
        <v>0.29241523548561865</v>
      </c>
      <c r="M86" s="10">
        <f t="shared" si="11"/>
        <v>0.32836471375469106</v>
      </c>
      <c r="P86" s="8">
        <f t="shared" si="12"/>
        <v>-12.392062224120711</v>
      </c>
      <c r="U86" s="8">
        <v>151.5</v>
      </c>
      <c r="V86" s="10">
        <f t="shared" si="13"/>
        <v>0.25997616179803051</v>
      </c>
      <c r="X86" s="8">
        <v>-13</v>
      </c>
      <c r="Y86" s="10"/>
    </row>
    <row r="87" spans="1:25" x14ac:dyDescent="0.2">
      <c r="A87" s="8">
        <v>42.5</v>
      </c>
      <c r="B87" s="8">
        <v>85</v>
      </c>
      <c r="D87">
        <v>1801.7167785234999</v>
      </c>
      <c r="E87">
        <v>581.48657718121001</v>
      </c>
      <c r="F87">
        <v>140.45364238411</v>
      </c>
      <c r="G87">
        <v>120.44635761588999</v>
      </c>
      <c r="I87" s="9">
        <f t="shared" si="8"/>
        <v>461.04021956532</v>
      </c>
      <c r="J87" s="9">
        <f t="shared" si="9"/>
        <v>1661.2631361393899</v>
      </c>
      <c r="K87" s="9">
        <f t="shared" si="10"/>
        <v>461.04021956532</v>
      </c>
      <c r="L87" s="10">
        <f t="shared" si="7"/>
        <v>0.27752389704904401</v>
      </c>
      <c r="M87" s="10">
        <f t="shared" si="11"/>
        <v>0.31390134529751018</v>
      </c>
      <c r="P87" s="8">
        <f t="shared" si="12"/>
        <v>-16.250899153757814</v>
      </c>
      <c r="U87" s="8">
        <v>152</v>
      </c>
      <c r="V87" s="10">
        <f t="shared" si="13"/>
        <v>0.25821779827312169</v>
      </c>
      <c r="X87" s="8">
        <v>-13</v>
      </c>
      <c r="Y87" s="10"/>
    </row>
    <row r="88" spans="1:25" x14ac:dyDescent="0.2">
      <c r="A88" s="8">
        <v>43</v>
      </c>
      <c r="B88" s="8">
        <v>86</v>
      </c>
      <c r="D88">
        <v>1807.0718120805</v>
      </c>
      <c r="E88">
        <v>560.36107382549994</v>
      </c>
      <c r="F88">
        <v>140.05298013244999</v>
      </c>
      <c r="G88">
        <v>120.41655629138999</v>
      </c>
      <c r="I88" s="9">
        <f t="shared" si="8"/>
        <v>439.94451753410993</v>
      </c>
      <c r="J88" s="9">
        <f t="shared" si="9"/>
        <v>1667.0188319480499</v>
      </c>
      <c r="K88" s="9">
        <f t="shared" si="10"/>
        <v>439.94451753410993</v>
      </c>
      <c r="L88" s="10">
        <f t="shared" si="7"/>
        <v>0.26391094635685564</v>
      </c>
      <c r="M88" s="10">
        <f t="shared" si="11"/>
        <v>0.30071636458471551</v>
      </c>
      <c r="P88" s="8">
        <f t="shared" si="12"/>
        <v>-19.768661329402612</v>
      </c>
      <c r="U88" s="8">
        <v>152.5</v>
      </c>
      <c r="V88" s="10">
        <f t="shared" si="13"/>
        <v>0.25391667088286335</v>
      </c>
      <c r="X88" s="8">
        <v>-13</v>
      </c>
      <c r="Y88" s="10"/>
    </row>
    <row r="89" spans="1:25" x14ac:dyDescent="0.2">
      <c r="A89" s="8">
        <v>43.5</v>
      </c>
      <c r="B89" s="8">
        <v>87</v>
      </c>
      <c r="D89">
        <v>1691.4055851063999</v>
      </c>
      <c r="E89">
        <v>525.32779255318997</v>
      </c>
      <c r="F89">
        <v>140.14039735099001</v>
      </c>
      <c r="G89">
        <v>120.41324503311</v>
      </c>
      <c r="I89" s="9">
        <f t="shared" si="8"/>
        <v>404.91454752007996</v>
      </c>
      <c r="J89" s="9">
        <f t="shared" si="9"/>
        <v>1551.2651877554099</v>
      </c>
      <c r="K89" s="9">
        <f t="shared" si="10"/>
        <v>404.91454752007996</v>
      </c>
      <c r="L89" s="10">
        <f t="shared" si="7"/>
        <v>0.26102213258970097</v>
      </c>
      <c r="M89" s="10">
        <f t="shared" si="11"/>
        <v>0.29825552079695455</v>
      </c>
      <c r="P89" s="8">
        <f t="shared" si="12"/>
        <v>-20.425216191735903</v>
      </c>
      <c r="U89" s="8">
        <v>153</v>
      </c>
      <c r="V89" s="10">
        <f t="shared" si="13"/>
        <v>0.25244388088482628</v>
      </c>
      <c r="X89" s="8">
        <v>-13</v>
      </c>
      <c r="Y89" s="10"/>
    </row>
    <row r="90" spans="1:25" x14ac:dyDescent="0.2">
      <c r="A90" s="8">
        <v>44</v>
      </c>
      <c r="B90" s="8">
        <v>88</v>
      </c>
      <c r="D90">
        <v>1676.8876329786999</v>
      </c>
      <c r="E90">
        <v>506.11436170213</v>
      </c>
      <c r="F90">
        <v>140.14039735099001</v>
      </c>
      <c r="G90">
        <v>120.07615894040001</v>
      </c>
      <c r="I90" s="9">
        <f t="shared" si="8"/>
        <v>386.03820276172996</v>
      </c>
      <c r="J90" s="9">
        <f t="shared" si="9"/>
        <v>1536.7472356277099</v>
      </c>
      <c r="K90" s="9">
        <f t="shared" si="10"/>
        <v>386.03820276172996</v>
      </c>
      <c r="L90" s="10">
        <f t="shared" si="7"/>
        <v>0.25120474845301821</v>
      </c>
      <c r="M90" s="10">
        <f t="shared" si="11"/>
        <v>0.2888661066396655</v>
      </c>
      <c r="P90" s="8">
        <f t="shared" si="12"/>
        <v>-22.930318526995542</v>
      </c>
      <c r="U90" s="8">
        <v>153.5</v>
      </c>
      <c r="V90" s="10">
        <f t="shared" si="13"/>
        <v>0.25705370013485257</v>
      </c>
      <c r="X90" s="8">
        <v>-13</v>
      </c>
      <c r="Y90" s="10"/>
    </row>
    <row r="91" spans="1:25" x14ac:dyDescent="0.2">
      <c r="A91" s="8">
        <v>44.5</v>
      </c>
      <c r="B91" s="8">
        <v>89</v>
      </c>
      <c r="D91">
        <v>1726.8345563708999</v>
      </c>
      <c r="E91">
        <v>507.53569046030998</v>
      </c>
      <c r="F91">
        <v>140.04437086093</v>
      </c>
      <c r="G91">
        <v>120.44172185431</v>
      </c>
      <c r="I91" s="9">
        <f t="shared" si="8"/>
        <v>387.09396860599998</v>
      </c>
      <c r="J91" s="9">
        <f t="shared" si="9"/>
        <v>1586.7901855099699</v>
      </c>
      <c r="K91" s="9">
        <f t="shared" si="10"/>
        <v>387.09396860599998</v>
      </c>
      <c r="L91" s="10">
        <f t="shared" si="7"/>
        <v>0.24394779608596706</v>
      </c>
      <c r="M91" s="10">
        <f t="shared" si="11"/>
        <v>0.28203712425200811</v>
      </c>
      <c r="P91" s="8">
        <f t="shared" si="12"/>
        <v>-24.752295855952429</v>
      </c>
      <c r="U91" s="8">
        <v>154</v>
      </c>
      <c r="V91" s="10">
        <f t="shared" si="13"/>
        <v>0.24790038565101968</v>
      </c>
      <c r="X91" s="8">
        <v>-13</v>
      </c>
      <c r="Y91" s="10"/>
    </row>
    <row r="92" spans="1:25" x14ac:dyDescent="0.2">
      <c r="A92" s="8">
        <v>45</v>
      </c>
      <c r="B92" s="8">
        <v>90</v>
      </c>
      <c r="D92">
        <v>1732.1187458305999</v>
      </c>
      <c r="E92">
        <v>495.87591727819</v>
      </c>
      <c r="F92">
        <v>139.72052980133</v>
      </c>
      <c r="G92">
        <v>119.9701986755</v>
      </c>
      <c r="I92" s="9">
        <f t="shared" si="8"/>
        <v>375.90571860269</v>
      </c>
      <c r="J92" s="9">
        <f t="shared" si="9"/>
        <v>1592.3982160292699</v>
      </c>
      <c r="K92" s="9">
        <f t="shared" si="10"/>
        <v>375.90571860269</v>
      </c>
      <c r="L92" s="10">
        <f t="shared" si="7"/>
        <v>0.23606263484772735</v>
      </c>
      <c r="M92" s="10">
        <f t="shared" si="11"/>
        <v>0.27457993299316208</v>
      </c>
      <c r="P92" s="8">
        <f t="shared" si="12"/>
        <v>-26.741879755871334</v>
      </c>
      <c r="U92" s="8">
        <v>154.5</v>
      </c>
      <c r="V92" s="10">
        <f t="shared" si="13"/>
        <v>0.24431700431202508</v>
      </c>
      <c r="X92" s="8">
        <v>-13</v>
      </c>
      <c r="Y92" s="10"/>
    </row>
    <row r="93" spans="1:25" x14ac:dyDescent="0.2">
      <c r="A93" s="8">
        <v>45.5</v>
      </c>
      <c r="B93" s="8">
        <v>91</v>
      </c>
      <c r="D93">
        <v>1667.2456724368001</v>
      </c>
      <c r="E93">
        <v>473.74434087882997</v>
      </c>
      <c r="F93">
        <v>140.25298013245001</v>
      </c>
      <c r="G93">
        <v>120.15496688742</v>
      </c>
      <c r="I93" s="9">
        <f t="shared" si="8"/>
        <v>353.58937399140996</v>
      </c>
      <c r="J93" s="9">
        <f t="shared" si="9"/>
        <v>1526.9926923043502</v>
      </c>
      <c r="K93" s="9">
        <f t="shared" si="10"/>
        <v>353.58937399140996</v>
      </c>
      <c r="L93" s="10">
        <f t="shared" si="7"/>
        <v>0.23155930986009909</v>
      </c>
      <c r="M93" s="10">
        <f t="shared" si="11"/>
        <v>0.27050457798492755</v>
      </c>
      <c r="P93" s="8">
        <f t="shared" si="12"/>
        <v>-27.829187353248425</v>
      </c>
      <c r="U93" s="8">
        <v>155</v>
      </c>
      <c r="V93" s="10">
        <f t="shared" si="13"/>
        <v>0.24048380947975623</v>
      </c>
      <c r="X93" s="8">
        <v>-13</v>
      </c>
      <c r="Y93" s="10"/>
    </row>
    <row r="94" spans="1:25" x14ac:dyDescent="0.2">
      <c r="A94" s="8">
        <v>46</v>
      </c>
      <c r="B94" s="8">
        <v>92</v>
      </c>
      <c r="D94">
        <v>1700.8215712384001</v>
      </c>
      <c r="E94">
        <v>469.16511318241999</v>
      </c>
      <c r="F94">
        <v>139.86953642384</v>
      </c>
      <c r="G94">
        <v>119.96953642384</v>
      </c>
      <c r="I94" s="9">
        <f t="shared" si="8"/>
        <v>349.19557675857999</v>
      </c>
      <c r="J94" s="9">
        <f t="shared" si="9"/>
        <v>1560.9520348145602</v>
      </c>
      <c r="K94" s="9">
        <f t="shared" si="10"/>
        <v>349.19557675857999</v>
      </c>
      <c r="L94" s="10">
        <f t="shared" si="7"/>
        <v>0.22370679493688872</v>
      </c>
      <c r="M94" s="10">
        <f t="shared" si="11"/>
        <v>0.26308003304111088</v>
      </c>
      <c r="P94" s="8">
        <f t="shared" si="12"/>
        <v>-29.810061193237321</v>
      </c>
      <c r="U94" s="8">
        <v>155.5</v>
      </c>
      <c r="V94" s="10">
        <f t="shared" si="13"/>
        <v>0.24089819972906609</v>
      </c>
      <c r="X94" s="8">
        <v>-13</v>
      </c>
      <c r="Y94" s="10"/>
    </row>
    <row r="95" spans="1:25" x14ac:dyDescent="0.2">
      <c r="A95" s="8">
        <v>46.5</v>
      </c>
      <c r="B95" s="8">
        <v>93</v>
      </c>
      <c r="D95">
        <v>1720.5705725698999</v>
      </c>
      <c r="E95">
        <v>469.24101198402002</v>
      </c>
      <c r="F95">
        <v>140.01655629139</v>
      </c>
      <c r="G95">
        <v>120.16357615894</v>
      </c>
      <c r="I95" s="9">
        <f t="shared" si="8"/>
        <v>349.07743582507999</v>
      </c>
      <c r="J95" s="9">
        <f t="shared" si="9"/>
        <v>1580.5540162785098</v>
      </c>
      <c r="K95" s="9">
        <f t="shared" si="10"/>
        <v>349.07743582507999</v>
      </c>
      <c r="L95" s="10">
        <f t="shared" si="7"/>
        <v>0.22085764373115166</v>
      </c>
      <c r="M95" s="10">
        <f t="shared" si="11"/>
        <v>0.26065885181476756</v>
      </c>
      <c r="P95" s="8">
        <f t="shared" si="12"/>
        <v>-30.456034056143888</v>
      </c>
      <c r="U95" s="8">
        <v>156</v>
      </c>
      <c r="V95" s="10">
        <f t="shared" si="13"/>
        <v>0.24263804759392626</v>
      </c>
      <c r="X95" s="8">
        <v>-13</v>
      </c>
      <c r="Y95" s="10"/>
    </row>
    <row r="96" spans="1:25" x14ac:dyDescent="0.2">
      <c r="A96" s="8">
        <v>47</v>
      </c>
      <c r="B96" s="8">
        <v>94</v>
      </c>
      <c r="D96">
        <v>1659.2523302264001</v>
      </c>
      <c r="E96">
        <v>448.53528628495002</v>
      </c>
      <c r="F96">
        <v>139.82913907285001</v>
      </c>
      <c r="G96">
        <v>120.35761589403999</v>
      </c>
      <c r="I96" s="9">
        <f t="shared" si="8"/>
        <v>328.17767039091001</v>
      </c>
      <c r="J96" s="9">
        <f t="shared" si="9"/>
        <v>1519.4231911535501</v>
      </c>
      <c r="K96" s="9">
        <f t="shared" si="10"/>
        <v>328.17767039091001</v>
      </c>
      <c r="L96" s="10">
        <f t="shared" si="7"/>
        <v>0.21598832524186803</v>
      </c>
      <c r="M96" s="10">
        <f t="shared" si="11"/>
        <v>0.25621750330487764</v>
      </c>
      <c r="P96" s="8">
        <f t="shared" si="12"/>
        <v>-31.64098897851143</v>
      </c>
      <c r="U96" s="8">
        <v>156.5</v>
      </c>
      <c r="V96" s="10">
        <f t="shared" si="13"/>
        <v>0.23748977310445168</v>
      </c>
      <c r="X96" s="8">
        <v>-13</v>
      </c>
      <c r="Y96" s="10"/>
    </row>
    <row r="97" spans="1:25" x14ac:dyDescent="0.2">
      <c r="A97" s="8">
        <v>47.5</v>
      </c>
      <c r="B97" s="8">
        <v>95</v>
      </c>
      <c r="D97">
        <v>1606.2751004016</v>
      </c>
      <c r="E97">
        <v>432.23560910307998</v>
      </c>
      <c r="F97">
        <v>139.74105960265001</v>
      </c>
      <c r="G97">
        <v>120.05960264901</v>
      </c>
      <c r="I97" s="9">
        <f t="shared" si="8"/>
        <v>312.17600645406998</v>
      </c>
      <c r="J97" s="9">
        <f t="shared" si="9"/>
        <v>1466.5340407989499</v>
      </c>
      <c r="K97" s="9">
        <f t="shared" si="10"/>
        <v>312.17600645406998</v>
      </c>
      <c r="L97" s="10">
        <f t="shared" si="7"/>
        <v>0.21286652595121508</v>
      </c>
      <c r="M97" s="10">
        <f t="shared" si="11"/>
        <v>0.25352367399361841</v>
      </c>
      <c r="P97" s="8">
        <f t="shared" si="12"/>
        <v>-32.359704543229341</v>
      </c>
      <c r="U97" s="8">
        <v>157</v>
      </c>
      <c r="V97" s="10">
        <f t="shared" si="13"/>
        <v>0.23725600299676017</v>
      </c>
      <c r="X97" s="8">
        <v>-13</v>
      </c>
      <c r="Y97" s="10"/>
    </row>
    <row r="98" spans="1:25" x14ac:dyDescent="0.2">
      <c r="A98" s="8">
        <v>48</v>
      </c>
      <c r="B98" s="8">
        <v>96</v>
      </c>
      <c r="D98">
        <v>1583.1148964596</v>
      </c>
      <c r="E98">
        <v>425.77755511022002</v>
      </c>
      <c r="F98">
        <v>139.32516556291</v>
      </c>
      <c r="G98">
        <v>119.56225165563001</v>
      </c>
      <c r="I98" s="9">
        <f t="shared" si="8"/>
        <v>306.21530345459001</v>
      </c>
      <c r="J98" s="9">
        <f t="shared" si="9"/>
        <v>1443.7897308966899</v>
      </c>
      <c r="K98" s="9">
        <f t="shared" si="10"/>
        <v>306.21530345459001</v>
      </c>
      <c r="L98" s="10">
        <f t="shared" si="7"/>
        <v>0.21209134329027943</v>
      </c>
      <c r="M98" s="10">
        <f t="shared" si="11"/>
        <v>0.2531764613120765</v>
      </c>
      <c r="P98" s="8">
        <f t="shared" si="12"/>
        <v>-32.452341132135921</v>
      </c>
      <c r="U98" s="8">
        <v>157.5</v>
      </c>
      <c r="V98" s="10">
        <f t="shared" si="13"/>
        <v>0.23421927745533636</v>
      </c>
      <c r="X98" s="8">
        <v>-13</v>
      </c>
      <c r="Y98" s="10"/>
    </row>
    <row r="99" spans="1:25" x14ac:dyDescent="0.2">
      <c r="A99" s="8">
        <v>48.5</v>
      </c>
      <c r="B99" s="8">
        <v>97</v>
      </c>
      <c r="D99">
        <v>1683.3362183755</v>
      </c>
      <c r="E99">
        <v>444.36418109188003</v>
      </c>
      <c r="F99">
        <v>140.23973509934001</v>
      </c>
      <c r="G99">
        <v>120.27682119204999</v>
      </c>
      <c r="I99" s="9">
        <f t="shared" si="8"/>
        <v>324.08735989983006</v>
      </c>
      <c r="J99" s="9">
        <f t="shared" si="9"/>
        <v>1543.0964832761601</v>
      </c>
      <c r="K99" s="9">
        <f t="shared" si="10"/>
        <v>324.08735989983006</v>
      </c>
      <c r="L99" s="10">
        <f t="shared" si="7"/>
        <v>0.21002404153741422</v>
      </c>
      <c r="M99" s="10">
        <f t="shared" si="11"/>
        <v>0.25153712953860502</v>
      </c>
      <c r="P99" s="8">
        <f t="shared" si="12"/>
        <v>-32.889716008267108</v>
      </c>
      <c r="U99" s="8">
        <v>158</v>
      </c>
      <c r="V99" s="10">
        <f t="shared" si="13"/>
        <v>0.23223757747228069</v>
      </c>
      <c r="X99" s="8">
        <v>-13</v>
      </c>
      <c r="Y99" s="10"/>
    </row>
    <row r="100" spans="1:25" x14ac:dyDescent="0.2">
      <c r="A100" s="8">
        <v>49</v>
      </c>
      <c r="B100" s="8">
        <v>98</v>
      </c>
      <c r="D100">
        <v>1718.9899799599</v>
      </c>
      <c r="E100">
        <v>447.98931195724998</v>
      </c>
      <c r="F100">
        <v>139.97152317881</v>
      </c>
      <c r="G100">
        <v>120.15099337748001</v>
      </c>
      <c r="I100" s="9">
        <f t="shared" si="8"/>
        <v>327.83831857976998</v>
      </c>
      <c r="J100" s="9">
        <f t="shared" si="9"/>
        <v>1579.01845678109</v>
      </c>
      <c r="K100" s="9">
        <f t="shared" si="10"/>
        <v>327.83831857976998</v>
      </c>
      <c r="L100" s="10">
        <f t="shared" si="7"/>
        <v>0.20762158743102041</v>
      </c>
      <c r="M100" s="10">
        <f t="shared" si="11"/>
        <v>0.24956264541160492</v>
      </c>
      <c r="P100" s="8">
        <f t="shared" si="12"/>
        <v>-33.416509769264565</v>
      </c>
      <c r="U100" s="8">
        <v>158.5</v>
      </c>
      <c r="V100" s="10">
        <f t="shared" si="13"/>
        <v>0.23144945863467881</v>
      </c>
      <c r="X100" s="8">
        <v>-13</v>
      </c>
      <c r="Y100" s="10"/>
    </row>
    <row r="101" spans="1:25" x14ac:dyDescent="0.2">
      <c r="A101" s="8">
        <v>49.5</v>
      </c>
      <c r="B101" s="8">
        <v>99</v>
      </c>
      <c r="D101">
        <v>1746.9176706827</v>
      </c>
      <c r="E101">
        <v>448.20147255689</v>
      </c>
      <c r="F101">
        <v>139.81059602649</v>
      </c>
      <c r="G101">
        <v>119.50993377483</v>
      </c>
      <c r="I101" s="9">
        <f t="shared" si="8"/>
        <v>328.69153878205998</v>
      </c>
      <c r="J101" s="9">
        <f t="shared" si="9"/>
        <v>1607.10707465621</v>
      </c>
      <c r="K101" s="9">
        <f t="shared" si="10"/>
        <v>328.69153878205998</v>
      </c>
      <c r="L101" s="10">
        <f t="shared" si="7"/>
        <v>0.20452373333766402</v>
      </c>
      <c r="M101" s="10">
        <f t="shared" si="11"/>
        <v>0.24689276129764223</v>
      </c>
      <c r="P101" s="8">
        <f t="shared" si="12"/>
        <v>-34.12883673841506</v>
      </c>
      <c r="U101" s="8">
        <v>159</v>
      </c>
      <c r="V101" s="10">
        <f t="shared" si="13"/>
        <v>0.22614197413895432</v>
      </c>
      <c r="X101" s="8">
        <v>-13</v>
      </c>
      <c r="Y101" s="10"/>
    </row>
    <row r="102" spans="1:25" x14ac:dyDescent="0.2">
      <c r="A102" s="8">
        <v>50</v>
      </c>
      <c r="B102" s="8">
        <v>100</v>
      </c>
      <c r="D102">
        <v>1780.4969778375</v>
      </c>
      <c r="E102">
        <v>450.27736736064998</v>
      </c>
      <c r="F102">
        <v>140.24172185430999</v>
      </c>
      <c r="G102">
        <v>120.0238410596</v>
      </c>
      <c r="I102" s="9">
        <f t="shared" si="8"/>
        <v>330.25352630104999</v>
      </c>
      <c r="J102" s="9">
        <f t="shared" si="9"/>
        <v>1640.25525598319</v>
      </c>
      <c r="K102" s="9">
        <f t="shared" si="10"/>
        <v>330.25352630104999</v>
      </c>
      <c r="L102" s="10">
        <f t="shared" si="7"/>
        <v>0.20134276363168355</v>
      </c>
      <c r="M102" s="10">
        <f t="shared" si="11"/>
        <v>0.24413976157105549</v>
      </c>
      <c r="P102" s="8">
        <f t="shared" si="12"/>
        <v>-34.86333901177445</v>
      </c>
      <c r="U102" s="8">
        <v>159.5</v>
      </c>
      <c r="V102" s="10">
        <f t="shared" si="13"/>
        <v>0.23267572108372794</v>
      </c>
      <c r="X102" s="8">
        <v>-13</v>
      </c>
      <c r="Y102" s="10"/>
    </row>
    <row r="103" spans="1:25" x14ac:dyDescent="0.2">
      <c r="A103" s="8">
        <v>50.5</v>
      </c>
      <c r="B103" s="8">
        <v>101</v>
      </c>
      <c r="D103">
        <v>1725.0671591672001</v>
      </c>
      <c r="E103">
        <v>437.13163196775997</v>
      </c>
      <c r="F103">
        <v>140.04900662252001</v>
      </c>
      <c r="G103">
        <v>119.83708609272</v>
      </c>
      <c r="I103" s="9">
        <f t="shared" si="8"/>
        <v>317.29454587503994</v>
      </c>
      <c r="J103" s="9">
        <f t="shared" si="9"/>
        <v>1585.0181525446801</v>
      </c>
      <c r="K103" s="9">
        <f t="shared" si="10"/>
        <v>317.29454587503994</v>
      </c>
      <c r="L103" s="10">
        <f t="shared" si="7"/>
        <v>0.20018354071569266</v>
      </c>
      <c r="M103" s="10">
        <f t="shared" si="11"/>
        <v>0.24340850863445831</v>
      </c>
      <c r="P103" s="8">
        <f t="shared" si="12"/>
        <v>-35.058437812237194</v>
      </c>
      <c r="U103" s="8">
        <v>160</v>
      </c>
      <c r="V103" s="10">
        <f t="shared" si="13"/>
        <v>0.22223816977864358</v>
      </c>
      <c r="X103" s="8">
        <v>-13</v>
      </c>
      <c r="Y103" s="10"/>
    </row>
    <row r="104" spans="1:25" x14ac:dyDescent="0.2">
      <c r="A104" s="8">
        <v>51</v>
      </c>
      <c r="B104" s="8">
        <v>102</v>
      </c>
      <c r="D104">
        <v>1668.4187290970001</v>
      </c>
      <c r="E104">
        <v>421.94247491638998</v>
      </c>
      <c r="F104">
        <v>139.75761589403999</v>
      </c>
      <c r="G104">
        <v>119.8523178808</v>
      </c>
      <c r="I104" s="9">
        <f t="shared" si="8"/>
        <v>302.09015703558998</v>
      </c>
      <c r="J104" s="9">
        <f t="shared" si="9"/>
        <v>1528.6611132029602</v>
      </c>
      <c r="K104" s="9">
        <f t="shared" si="10"/>
        <v>302.09015703558998</v>
      </c>
      <c r="L104" s="10">
        <f t="shared" si="7"/>
        <v>0.19761748004607055</v>
      </c>
      <c r="M104" s="10">
        <f t="shared" si="11"/>
        <v>0.24127041794422993</v>
      </c>
      <c r="P104" s="8">
        <f t="shared" si="12"/>
        <v>-35.628881919969949</v>
      </c>
      <c r="X104" s="8">
        <v>-13</v>
      </c>
      <c r="Y104" s="10"/>
    </row>
    <row r="105" spans="1:25" x14ac:dyDescent="0.2">
      <c r="A105" s="8">
        <v>51.5</v>
      </c>
      <c r="B105" s="8">
        <v>103</v>
      </c>
      <c r="D105">
        <v>1705.1598662207</v>
      </c>
      <c r="E105">
        <v>423.73377926421</v>
      </c>
      <c r="F105">
        <v>139.53245033113001</v>
      </c>
      <c r="G105">
        <v>119.93973509934</v>
      </c>
      <c r="I105" s="9">
        <f t="shared" si="8"/>
        <v>303.79404416487</v>
      </c>
      <c r="J105" s="9">
        <f t="shared" si="9"/>
        <v>1565.6274158895699</v>
      </c>
      <c r="K105" s="9">
        <f t="shared" si="10"/>
        <v>303.79404416487</v>
      </c>
      <c r="L105" s="10">
        <f t="shared" si="7"/>
        <v>0.1940398086298572</v>
      </c>
      <c r="M105" s="10">
        <f t="shared" si="11"/>
        <v>0.23812071650741029</v>
      </c>
      <c r="P105" s="8">
        <f t="shared" si="12"/>
        <v>-36.469224490078247</v>
      </c>
      <c r="V105" s="10"/>
      <c r="X105" s="8">
        <v>-13</v>
      </c>
    </row>
    <row r="106" spans="1:25" x14ac:dyDescent="0.2">
      <c r="A106" s="8">
        <v>52</v>
      </c>
      <c r="B106" s="8">
        <v>104</v>
      </c>
      <c r="D106">
        <v>1708.0896321069999</v>
      </c>
      <c r="E106">
        <v>421.84414715718998</v>
      </c>
      <c r="F106">
        <v>139.15364238410999</v>
      </c>
      <c r="G106">
        <v>119.47814569536</v>
      </c>
      <c r="I106" s="9">
        <f t="shared" si="8"/>
        <v>302.36600146182997</v>
      </c>
      <c r="J106" s="9">
        <f t="shared" si="9"/>
        <v>1568.9359897228899</v>
      </c>
      <c r="K106" s="9">
        <f t="shared" si="10"/>
        <v>302.36600146182997</v>
      </c>
      <c r="L106" s="10">
        <f t="shared" si="7"/>
        <v>0.19272041908812018</v>
      </c>
      <c r="M106" s="10">
        <f t="shared" si="11"/>
        <v>0.237229296945067</v>
      </c>
      <c r="P106" s="8">
        <f t="shared" si="12"/>
        <v>-36.707055859524097</v>
      </c>
      <c r="X106" s="8">
        <v>-13</v>
      </c>
    </row>
    <row r="107" spans="1:25" x14ac:dyDescent="0.2">
      <c r="A107" s="8">
        <v>52.5</v>
      </c>
      <c r="B107" s="8">
        <v>105</v>
      </c>
      <c r="D107">
        <v>1733.5438127089999</v>
      </c>
      <c r="E107">
        <v>423.5652173913</v>
      </c>
      <c r="F107">
        <v>139.95761589404</v>
      </c>
      <c r="G107">
        <v>119.97748344371</v>
      </c>
      <c r="I107" s="9">
        <f t="shared" si="8"/>
        <v>303.58773394758998</v>
      </c>
      <c r="J107" s="9">
        <f t="shared" si="9"/>
        <v>1593.58619681496</v>
      </c>
      <c r="K107" s="9">
        <f t="shared" si="10"/>
        <v>303.58773394758998</v>
      </c>
      <c r="L107" s="10">
        <f t="shared" si="7"/>
        <v>0.19050600121559738</v>
      </c>
      <c r="M107" s="10">
        <f t="shared" si="11"/>
        <v>0.23544284905193791</v>
      </c>
      <c r="P107" s="8">
        <f t="shared" si="12"/>
        <v>-37.183681420387572</v>
      </c>
      <c r="X107" s="8">
        <v>-13</v>
      </c>
    </row>
    <row r="108" spans="1:25" x14ac:dyDescent="0.2">
      <c r="A108" s="8">
        <v>53</v>
      </c>
      <c r="B108" s="8">
        <v>106</v>
      </c>
      <c r="D108">
        <v>1709.6441471572</v>
      </c>
      <c r="E108">
        <v>418.16521739130002</v>
      </c>
      <c r="F108">
        <v>139.33576158939999</v>
      </c>
      <c r="G108">
        <v>119.5</v>
      </c>
      <c r="I108" s="9">
        <f t="shared" si="8"/>
        <v>298.66521739130002</v>
      </c>
      <c r="J108" s="9">
        <f t="shared" si="9"/>
        <v>1570.3083855678001</v>
      </c>
      <c r="K108" s="9">
        <f t="shared" si="10"/>
        <v>298.66521739130002</v>
      </c>
      <c r="L108" s="10">
        <f t="shared" si="7"/>
        <v>0.19019526364135611</v>
      </c>
      <c r="M108" s="10">
        <f t="shared" si="11"/>
        <v>0.23556008145709037</v>
      </c>
      <c r="P108" s="8">
        <f t="shared" si="12"/>
        <v>-37.152403731812342</v>
      </c>
      <c r="X108" s="8">
        <v>-13</v>
      </c>
    </row>
    <row r="109" spans="1:25" x14ac:dyDescent="0.2">
      <c r="A109" s="8">
        <v>53.5</v>
      </c>
      <c r="B109" s="8">
        <v>107</v>
      </c>
      <c r="D109">
        <v>1705.1545150502</v>
      </c>
      <c r="E109">
        <v>415.54247491639001</v>
      </c>
      <c r="F109">
        <v>139.58278145694999</v>
      </c>
      <c r="G109">
        <v>119.50993377483</v>
      </c>
      <c r="I109" s="9">
        <f t="shared" si="8"/>
        <v>296.03254114155999</v>
      </c>
      <c r="J109" s="9">
        <f t="shared" si="9"/>
        <v>1565.57173359325</v>
      </c>
      <c r="K109" s="9">
        <f t="shared" si="10"/>
        <v>296.03254114155999</v>
      </c>
      <c r="L109" s="10">
        <f t="shared" si="7"/>
        <v>0.18908909428385987</v>
      </c>
      <c r="M109" s="10">
        <f t="shared" si="11"/>
        <v>0.23488188207898783</v>
      </c>
      <c r="P109" s="8">
        <f t="shared" si="12"/>
        <v>-37.333347805361107</v>
      </c>
      <c r="X109" s="8">
        <v>-13</v>
      </c>
    </row>
    <row r="110" spans="1:25" x14ac:dyDescent="0.2">
      <c r="A110" s="8">
        <v>54</v>
      </c>
      <c r="B110" s="8">
        <v>108</v>
      </c>
      <c r="D110">
        <v>1731.5601604277999</v>
      </c>
      <c r="E110">
        <v>416.72393048127998</v>
      </c>
      <c r="F110">
        <v>139.55629139073</v>
      </c>
      <c r="G110">
        <v>119.56754966887</v>
      </c>
      <c r="I110" s="9">
        <f t="shared" si="8"/>
        <v>297.15638081240996</v>
      </c>
      <c r="J110" s="9">
        <f t="shared" si="9"/>
        <v>1592.00386903707</v>
      </c>
      <c r="K110" s="9">
        <f t="shared" si="10"/>
        <v>297.15638081240996</v>
      </c>
      <c r="L110" s="10">
        <f t="shared" si="7"/>
        <v>0.18665556446929127</v>
      </c>
      <c r="M110" s="10">
        <f t="shared" si="11"/>
        <v>0.23287632224381297</v>
      </c>
      <c r="P110" s="8">
        <f t="shared" si="12"/>
        <v>-37.868432587269382</v>
      </c>
      <c r="X110" s="8">
        <v>-13</v>
      </c>
    </row>
    <row r="111" spans="1:25" x14ac:dyDescent="0.2">
      <c r="A111" s="8">
        <v>54.5</v>
      </c>
      <c r="B111" s="8">
        <v>109</v>
      </c>
      <c r="D111">
        <v>1742.4625668449</v>
      </c>
      <c r="E111">
        <v>417.79278074865999</v>
      </c>
      <c r="F111">
        <v>139.15562913906999</v>
      </c>
      <c r="G111">
        <v>120.09337748343999</v>
      </c>
      <c r="I111" s="9">
        <f t="shared" si="8"/>
        <v>297.69940326521998</v>
      </c>
      <c r="J111" s="9">
        <f t="shared" si="9"/>
        <v>1603.30693770583</v>
      </c>
      <c r="K111" s="9">
        <f t="shared" si="10"/>
        <v>297.69940326521998</v>
      </c>
      <c r="L111" s="10">
        <f t="shared" si="7"/>
        <v>0.18567836030897347</v>
      </c>
      <c r="M111" s="10">
        <f t="shared" si="11"/>
        <v>0.23232708806288888</v>
      </c>
      <c r="P111" s="8">
        <f t="shared" si="12"/>
        <v>-38.014968655035574</v>
      </c>
      <c r="X111" s="8">
        <v>-13</v>
      </c>
    </row>
    <row r="112" spans="1:25" x14ac:dyDescent="0.2">
      <c r="A112" s="8">
        <v>55</v>
      </c>
      <c r="B112" s="8">
        <v>110</v>
      </c>
      <c r="D112">
        <v>1739.7954545455</v>
      </c>
      <c r="E112">
        <v>415.10294117646998</v>
      </c>
      <c r="F112">
        <v>139.88278145695</v>
      </c>
      <c r="G112">
        <v>119.49801324502999</v>
      </c>
      <c r="I112" s="9">
        <f t="shared" si="8"/>
        <v>295.60492793143999</v>
      </c>
      <c r="J112" s="9">
        <f t="shared" si="9"/>
        <v>1599.91267308855</v>
      </c>
      <c r="K112" s="9">
        <f t="shared" si="10"/>
        <v>295.60492793143999</v>
      </c>
      <c r="L112" s="10">
        <f t="shared" si="7"/>
        <v>0.18476316420494984</v>
      </c>
      <c r="M112" s="10">
        <f t="shared" si="11"/>
        <v>0.23183986193825898</v>
      </c>
      <c r="P112" s="8">
        <f t="shared" si="12"/>
        <v>-38.14496092954424</v>
      </c>
      <c r="X112" s="8">
        <v>-13</v>
      </c>
    </row>
    <row r="113" spans="1:24" x14ac:dyDescent="0.2">
      <c r="A113" s="8">
        <v>55.5</v>
      </c>
      <c r="B113" s="8">
        <v>111</v>
      </c>
      <c r="D113">
        <v>1746.75</v>
      </c>
      <c r="E113">
        <v>415.76737967913999</v>
      </c>
      <c r="F113">
        <v>139.36821192053</v>
      </c>
      <c r="G113">
        <v>119.50198675497001</v>
      </c>
      <c r="I113" s="9">
        <f t="shared" si="8"/>
        <v>296.26539292416999</v>
      </c>
      <c r="J113" s="9">
        <f t="shared" si="9"/>
        <v>1607.38178807947</v>
      </c>
      <c r="K113" s="9">
        <f t="shared" si="10"/>
        <v>296.26539292416999</v>
      </c>
      <c r="L113" s="10">
        <f t="shared" si="7"/>
        <v>0.18431550930918128</v>
      </c>
      <c r="M113" s="10">
        <f t="shared" si="11"/>
        <v>0.23182017702188412</v>
      </c>
      <c r="P113" s="8">
        <f t="shared" si="12"/>
        <v>-38.150212879149827</v>
      </c>
      <c r="X113" s="8">
        <v>-13</v>
      </c>
    </row>
    <row r="114" spans="1:24" x14ac:dyDescent="0.2">
      <c r="A114" s="8">
        <v>56</v>
      </c>
      <c r="B114" s="8">
        <v>112</v>
      </c>
      <c r="D114">
        <v>1744.4926470588</v>
      </c>
      <c r="E114">
        <v>413.08756684491999</v>
      </c>
      <c r="F114">
        <v>139.25562913907001</v>
      </c>
      <c r="G114">
        <v>119.36357615894001</v>
      </c>
      <c r="I114" s="9">
        <f t="shared" si="8"/>
        <v>293.72399068597997</v>
      </c>
      <c r="J114" s="9">
        <f t="shared" si="9"/>
        <v>1605.2370179197301</v>
      </c>
      <c r="K114" s="9">
        <f t="shared" si="10"/>
        <v>293.72399068597997</v>
      </c>
      <c r="L114" s="10">
        <f t="shared" si="7"/>
        <v>0.1829785803635558</v>
      </c>
      <c r="M114" s="10">
        <f t="shared" si="11"/>
        <v>0.23091121805565237</v>
      </c>
      <c r="P114" s="8">
        <f t="shared" si="12"/>
        <v>-38.392723773953058</v>
      </c>
      <c r="X114" s="8">
        <v>-13</v>
      </c>
    </row>
    <row r="115" spans="1:24" x14ac:dyDescent="0.2">
      <c r="A115" s="8">
        <v>56.5</v>
      </c>
      <c r="B115" s="8">
        <v>113</v>
      </c>
      <c r="D115">
        <v>1740.9886363636001</v>
      </c>
      <c r="E115">
        <v>411.62232620320998</v>
      </c>
      <c r="F115">
        <v>139.43642384105999</v>
      </c>
      <c r="G115">
        <v>119.75430463575999</v>
      </c>
      <c r="I115" s="9">
        <f t="shared" si="8"/>
        <v>291.86802156745</v>
      </c>
      <c r="J115" s="9">
        <f t="shared" si="9"/>
        <v>1601.5522125225402</v>
      </c>
      <c r="K115" s="9">
        <f t="shared" si="10"/>
        <v>291.86802156745</v>
      </c>
      <c r="L115" s="10">
        <f t="shared" si="7"/>
        <v>0.18224071577893827</v>
      </c>
      <c r="M115" s="10">
        <f t="shared" si="11"/>
        <v>0.23060132345042855</v>
      </c>
      <c r="P115" s="8">
        <f t="shared" si="12"/>
        <v>-38.475403873714967</v>
      </c>
      <c r="X115" s="8">
        <v>-13</v>
      </c>
    </row>
    <row r="116" spans="1:24" x14ac:dyDescent="0.2">
      <c r="A116" s="8">
        <v>57</v>
      </c>
      <c r="B116" s="8">
        <v>114</v>
      </c>
      <c r="D116">
        <v>1733.4959893048001</v>
      </c>
      <c r="E116">
        <v>410.36430481283003</v>
      </c>
      <c r="F116">
        <v>139.33708609272</v>
      </c>
      <c r="G116">
        <v>119.1821192053</v>
      </c>
      <c r="I116" s="9">
        <f t="shared" si="8"/>
        <v>291.18218560753002</v>
      </c>
      <c r="J116" s="9">
        <f t="shared" si="9"/>
        <v>1594.1589032120801</v>
      </c>
      <c r="K116" s="9">
        <f t="shared" si="10"/>
        <v>291.18218560753002</v>
      </c>
      <c r="L116" s="10">
        <f t="shared" si="7"/>
        <v>0.18265568446208552</v>
      </c>
      <c r="M116" s="10">
        <f t="shared" si="11"/>
        <v>0.23144426211296953</v>
      </c>
      <c r="P116" s="8">
        <f t="shared" si="12"/>
        <v>-38.250507242611235</v>
      </c>
      <c r="X116" s="8">
        <v>-13</v>
      </c>
    </row>
    <row r="117" spans="1:24" x14ac:dyDescent="0.2">
      <c r="A117" s="8">
        <v>57.5</v>
      </c>
      <c r="B117" s="8">
        <v>115</v>
      </c>
      <c r="D117">
        <v>1721.7814171123</v>
      </c>
      <c r="E117">
        <v>406.36497326202999</v>
      </c>
      <c r="F117">
        <v>139.6582781457</v>
      </c>
      <c r="G117">
        <v>119.34834437086</v>
      </c>
      <c r="I117" s="9">
        <f t="shared" si="8"/>
        <v>287.01662889117</v>
      </c>
      <c r="J117" s="9">
        <f t="shared" si="9"/>
        <v>1582.1231389666</v>
      </c>
      <c r="K117" s="9">
        <f t="shared" si="10"/>
        <v>287.01662889117</v>
      </c>
      <c r="L117" s="10">
        <f t="shared" si="7"/>
        <v>0.1814123198265348</v>
      </c>
      <c r="M117" s="10">
        <f t="shared" si="11"/>
        <v>0.23062886745681255</v>
      </c>
      <c r="P117" s="8">
        <f t="shared" si="12"/>
        <v>-38.468055113338757</v>
      </c>
      <c r="X117" s="8">
        <v>-13</v>
      </c>
    </row>
    <row r="118" spans="1:24" x14ac:dyDescent="0.2">
      <c r="A118" s="8">
        <v>58</v>
      </c>
      <c r="B118" s="8">
        <v>116</v>
      </c>
      <c r="D118">
        <v>1702.618315508</v>
      </c>
      <c r="E118">
        <v>402.55347593583002</v>
      </c>
      <c r="F118">
        <v>139.39271523178999</v>
      </c>
      <c r="G118">
        <v>119.69403973510001</v>
      </c>
      <c r="I118" s="9">
        <f t="shared" si="8"/>
        <v>282.85943620072999</v>
      </c>
      <c r="J118" s="9">
        <f t="shared" si="9"/>
        <v>1563.2256002762101</v>
      </c>
      <c r="K118" s="9">
        <f t="shared" si="10"/>
        <v>282.85943620072999</v>
      </c>
      <c r="L118" s="10">
        <f t="shared" si="7"/>
        <v>0.18094601070424568</v>
      </c>
      <c r="M118" s="10">
        <f t="shared" si="11"/>
        <v>0.23059052831391713</v>
      </c>
      <c r="P118" s="8">
        <f t="shared" si="12"/>
        <v>-38.478284023768126</v>
      </c>
      <c r="X118" s="8">
        <v>-13</v>
      </c>
    </row>
    <row r="119" spans="1:24" x14ac:dyDescent="0.2">
      <c r="A119" s="8">
        <v>58.5</v>
      </c>
      <c r="B119" s="8">
        <v>117</v>
      </c>
      <c r="D119">
        <v>1721.9826203209</v>
      </c>
      <c r="E119">
        <v>403.84692513368998</v>
      </c>
      <c r="F119">
        <v>139.60728476821001</v>
      </c>
      <c r="G119">
        <v>119.60794701987</v>
      </c>
      <c r="I119" s="9">
        <f t="shared" si="8"/>
        <v>284.23897811382</v>
      </c>
      <c r="J119" s="9">
        <f t="shared" si="9"/>
        <v>1582.3753355526899</v>
      </c>
      <c r="K119" s="9">
        <f t="shared" si="10"/>
        <v>284.23897811382</v>
      </c>
      <c r="L119" s="10">
        <f t="shared" si="7"/>
        <v>0.1796280387639772</v>
      </c>
      <c r="M119" s="10">
        <f t="shared" si="11"/>
        <v>0.22970052635304239</v>
      </c>
      <c r="P119" s="8">
        <f t="shared" si="12"/>
        <v>-38.71573717613996</v>
      </c>
      <c r="X119" s="8">
        <v>-13</v>
      </c>
    </row>
    <row r="120" spans="1:24" x14ac:dyDescent="0.2">
      <c r="A120" s="8">
        <v>59</v>
      </c>
      <c r="B120" s="8">
        <v>118</v>
      </c>
      <c r="D120">
        <v>1720.3997326203</v>
      </c>
      <c r="E120">
        <v>402.93516042780999</v>
      </c>
      <c r="F120">
        <v>139.17417218543</v>
      </c>
      <c r="G120">
        <v>119.52317880795</v>
      </c>
      <c r="I120" s="9">
        <f t="shared" si="8"/>
        <v>283.41198161986</v>
      </c>
      <c r="J120" s="9">
        <f t="shared" si="9"/>
        <v>1581.22556043487</v>
      </c>
      <c r="K120" s="9">
        <f t="shared" si="10"/>
        <v>283.41198161986</v>
      </c>
      <c r="L120" s="10">
        <f t="shared" si="7"/>
        <v>0.179235643991181</v>
      </c>
      <c r="M120" s="10">
        <f t="shared" si="11"/>
        <v>0.22973610155963989</v>
      </c>
      <c r="P120" s="8">
        <f t="shared" si="12"/>
        <v>-38.706245685868907</v>
      </c>
      <c r="X120" s="8">
        <v>-13</v>
      </c>
    </row>
    <row r="121" spans="1:24" x14ac:dyDescent="0.2">
      <c r="A121" s="8">
        <v>59.5</v>
      </c>
      <c r="B121" s="8">
        <v>119</v>
      </c>
      <c r="D121">
        <v>1721.3495989305</v>
      </c>
      <c r="E121">
        <v>403.07352941176998</v>
      </c>
      <c r="F121">
        <v>139.23443708609</v>
      </c>
      <c r="G121">
        <v>119.30132450331</v>
      </c>
      <c r="I121" s="9">
        <f t="shared" si="8"/>
        <v>283.77220490845997</v>
      </c>
      <c r="J121" s="9">
        <f t="shared" si="9"/>
        <v>1582.1151618444101</v>
      </c>
      <c r="K121" s="9">
        <f t="shared" si="10"/>
        <v>283.77220490845997</v>
      </c>
      <c r="L121" s="10">
        <f t="shared" si="7"/>
        <v>0.17936254689427406</v>
      </c>
      <c r="M121" s="10">
        <f t="shared" si="11"/>
        <v>0.23029097444212665</v>
      </c>
      <c r="P121" s="8">
        <f t="shared" si="12"/>
        <v>-38.558205208539363</v>
      </c>
      <c r="X121" s="8">
        <v>-13</v>
      </c>
    </row>
    <row r="122" spans="1:24" x14ac:dyDescent="0.2">
      <c r="A122" s="8">
        <v>60</v>
      </c>
      <c r="B122" s="8">
        <v>120</v>
      </c>
      <c r="D122">
        <v>1699.0715240642</v>
      </c>
      <c r="E122">
        <v>397.81082887701001</v>
      </c>
      <c r="F122">
        <v>139.25033112583</v>
      </c>
      <c r="G122">
        <v>119.28874172185</v>
      </c>
      <c r="I122" s="9">
        <f t="shared" si="8"/>
        <v>278.52208715516002</v>
      </c>
      <c r="J122" s="9">
        <f t="shared" si="9"/>
        <v>1559.8211929383701</v>
      </c>
      <c r="K122" s="9">
        <f t="shared" si="10"/>
        <v>278.52208715516002</v>
      </c>
      <c r="L122" s="10">
        <f t="shared" si="7"/>
        <v>0.17856026602028907</v>
      </c>
      <c r="M122" s="10">
        <f t="shared" si="11"/>
        <v>0.2299166635475354</v>
      </c>
      <c r="P122" s="8">
        <f t="shared" si="12"/>
        <v>-38.658071619845309</v>
      </c>
      <c r="X122" s="8">
        <v>-13</v>
      </c>
    </row>
    <row r="123" spans="1:24" x14ac:dyDescent="0.2">
      <c r="A123" s="8">
        <v>60.5</v>
      </c>
      <c r="B123" s="8">
        <v>121</v>
      </c>
      <c r="D123">
        <v>1710.4979946523999</v>
      </c>
      <c r="E123">
        <v>401.48796791443999</v>
      </c>
      <c r="F123">
        <v>139.5701986755</v>
      </c>
      <c r="G123">
        <v>119.39867549669</v>
      </c>
      <c r="I123" s="9">
        <f t="shared" si="8"/>
        <v>282.08929241775002</v>
      </c>
      <c r="J123" s="9">
        <f t="shared" si="9"/>
        <v>1570.9277959768999</v>
      </c>
      <c r="K123" s="9">
        <f t="shared" si="10"/>
        <v>282.08929241775002</v>
      </c>
      <c r="L123" s="10">
        <f t="shared" si="7"/>
        <v>0.17956859197486508</v>
      </c>
      <c r="M123" s="10">
        <f t="shared" si="11"/>
        <v>0.23135295948150514</v>
      </c>
      <c r="P123" s="8">
        <f t="shared" si="12"/>
        <v>-38.274866849234748</v>
      </c>
      <c r="X123" s="8">
        <v>-13</v>
      </c>
    </row>
    <row r="124" spans="1:24" x14ac:dyDescent="0.2">
      <c r="A124" s="8">
        <v>61</v>
      </c>
      <c r="B124" s="8">
        <v>122</v>
      </c>
      <c r="D124">
        <v>1682.1370320855999</v>
      </c>
      <c r="E124">
        <v>395.88903743316001</v>
      </c>
      <c r="F124">
        <v>138.79933774834001</v>
      </c>
      <c r="G124">
        <v>119.67284768211999</v>
      </c>
      <c r="I124" s="9">
        <f t="shared" si="8"/>
        <v>276.21618975104002</v>
      </c>
      <c r="J124" s="9">
        <f t="shared" si="9"/>
        <v>1543.33769433726</v>
      </c>
      <c r="K124" s="9">
        <f t="shared" si="10"/>
        <v>276.21618975104002</v>
      </c>
      <c r="L124" s="10">
        <f t="shared" si="7"/>
        <v>0.17897326733126465</v>
      </c>
      <c r="M124" s="10">
        <f t="shared" si="11"/>
        <v>0.23118560481729841</v>
      </c>
      <c r="P124" s="8">
        <f t="shared" si="12"/>
        <v>-38.319517191960912</v>
      </c>
      <c r="X124" s="8">
        <v>-13</v>
      </c>
    </row>
    <row r="125" spans="1:24" x14ac:dyDescent="0.2">
      <c r="A125" s="8">
        <v>61.5</v>
      </c>
      <c r="B125" s="8">
        <v>123</v>
      </c>
      <c r="D125">
        <v>1711.7907754011001</v>
      </c>
      <c r="E125">
        <v>399.86229946524003</v>
      </c>
      <c r="F125">
        <v>139.30066225165999</v>
      </c>
      <c r="G125">
        <v>119.05761589404</v>
      </c>
      <c r="I125" s="9">
        <f t="shared" si="8"/>
        <v>280.80468357120003</v>
      </c>
      <c r="J125" s="9">
        <f t="shared" si="9"/>
        <v>1572.49011314944</v>
      </c>
      <c r="K125" s="9">
        <f t="shared" si="10"/>
        <v>280.80468357120003</v>
      </c>
      <c r="L125" s="10">
        <f t="shared" si="7"/>
        <v>0.17857325856808998</v>
      </c>
      <c r="M125" s="10">
        <f t="shared" si="11"/>
        <v>0.23121356603351745</v>
      </c>
      <c r="P125" s="8">
        <f t="shared" si="12"/>
        <v>-38.312057119705749</v>
      </c>
      <c r="X125" s="8">
        <v>-13</v>
      </c>
    </row>
    <row r="126" spans="1:24" x14ac:dyDescent="0.2">
      <c r="A126" s="8">
        <v>62</v>
      </c>
      <c r="B126" s="8">
        <v>124</v>
      </c>
      <c r="D126">
        <v>1670.6463903742999</v>
      </c>
      <c r="E126">
        <v>393.15641711230001</v>
      </c>
      <c r="F126">
        <v>139.17417218543</v>
      </c>
      <c r="G126">
        <v>119.18543046358</v>
      </c>
      <c r="I126" s="9">
        <f t="shared" si="8"/>
        <v>273.97098664871999</v>
      </c>
      <c r="J126" s="9">
        <f t="shared" si="9"/>
        <v>1531.4722181888699</v>
      </c>
      <c r="K126" s="9">
        <f t="shared" si="10"/>
        <v>273.97098664871999</v>
      </c>
      <c r="L126" s="10">
        <f t="shared" si="7"/>
        <v>0.17889386656502335</v>
      </c>
      <c r="M126" s="10">
        <f t="shared" si="11"/>
        <v>0.23196214400984455</v>
      </c>
      <c r="P126" s="8">
        <f t="shared" si="12"/>
        <v>-38.112335986394662</v>
      </c>
      <c r="X126" s="8">
        <v>-13</v>
      </c>
    </row>
    <row r="127" spans="1:24" x14ac:dyDescent="0.2">
      <c r="A127" s="8">
        <v>62.5</v>
      </c>
      <c r="B127" s="8">
        <v>125</v>
      </c>
      <c r="D127">
        <v>1694.4692513369</v>
      </c>
      <c r="E127">
        <v>397.59491978609998</v>
      </c>
      <c r="F127">
        <v>138.97350993378001</v>
      </c>
      <c r="G127">
        <v>119.17947019867999</v>
      </c>
      <c r="I127" s="9">
        <f t="shared" si="8"/>
        <v>278.41544958741997</v>
      </c>
      <c r="J127" s="9">
        <f t="shared" si="9"/>
        <v>1555.4957414031201</v>
      </c>
      <c r="K127" s="9">
        <f t="shared" si="10"/>
        <v>278.41544958741997</v>
      </c>
      <c r="L127" s="10">
        <f t="shared" si="7"/>
        <v>0.17898824289694162</v>
      </c>
      <c r="M127" s="10">
        <f t="shared" si="11"/>
        <v>0.23248449032115653</v>
      </c>
      <c r="P127" s="8">
        <f t="shared" si="12"/>
        <v>-37.97297362125007</v>
      </c>
      <c r="X127" s="8">
        <v>-13</v>
      </c>
    </row>
    <row r="128" spans="1:24" x14ac:dyDescent="0.2">
      <c r="A128" s="8">
        <v>63</v>
      </c>
      <c r="B128" s="8">
        <v>126</v>
      </c>
      <c r="D128">
        <v>1714.9545454546001</v>
      </c>
      <c r="E128">
        <v>399.69050802138997</v>
      </c>
      <c r="F128">
        <v>139.40132450331001</v>
      </c>
      <c r="G128">
        <v>119.02715231788</v>
      </c>
      <c r="I128" s="9">
        <f t="shared" si="8"/>
        <v>280.66335570350998</v>
      </c>
      <c r="J128" s="9">
        <f t="shared" si="9"/>
        <v>1575.5532209512901</v>
      </c>
      <c r="K128" s="9">
        <f t="shared" si="10"/>
        <v>280.66335570350998</v>
      </c>
      <c r="L128" s="10">
        <f t="shared" si="7"/>
        <v>0.17813638534790377</v>
      </c>
      <c r="M128" s="10">
        <f t="shared" si="11"/>
        <v>0.23206060275151241</v>
      </c>
      <c r="P128" s="8">
        <f t="shared" si="12"/>
        <v>-38.086067124509661</v>
      </c>
      <c r="X128" s="8">
        <v>-13</v>
      </c>
    </row>
    <row r="129" spans="1:24" x14ac:dyDescent="0.2">
      <c r="A129" s="8">
        <v>63.5</v>
      </c>
      <c r="B129" s="8">
        <v>127</v>
      </c>
      <c r="D129">
        <v>1755.1737967914</v>
      </c>
      <c r="E129">
        <v>407.05414438502999</v>
      </c>
      <c r="F129">
        <v>139.52781456954</v>
      </c>
      <c r="G129">
        <v>119.00066225166</v>
      </c>
      <c r="I129" s="9">
        <f t="shared" si="8"/>
        <v>288.05348213336998</v>
      </c>
      <c r="J129" s="9">
        <f t="shared" si="9"/>
        <v>1615.6459822218601</v>
      </c>
      <c r="K129" s="9">
        <f t="shared" si="10"/>
        <v>288.05348213336998</v>
      </c>
      <c r="L129" s="10">
        <f t="shared" si="7"/>
        <v>0.17828997521922135</v>
      </c>
      <c r="M129" s="10">
        <f t="shared" si="11"/>
        <v>0.2326421626022237</v>
      </c>
      <c r="P129" s="8">
        <f t="shared" si="12"/>
        <v>-37.930906545190759</v>
      </c>
      <c r="X129" s="8">
        <v>-13</v>
      </c>
    </row>
    <row r="130" spans="1:24" x14ac:dyDescent="0.2">
      <c r="A130" s="8">
        <v>64</v>
      </c>
      <c r="B130" s="8">
        <v>128</v>
      </c>
      <c r="D130">
        <v>1755.6570855615</v>
      </c>
      <c r="E130">
        <v>407.37433155079998</v>
      </c>
      <c r="F130">
        <v>138.70264900661999</v>
      </c>
      <c r="G130">
        <v>119.23112582781999</v>
      </c>
      <c r="I130" s="9">
        <f t="shared" si="8"/>
        <v>288.14320572297999</v>
      </c>
      <c r="J130" s="9">
        <f t="shared" si="9"/>
        <v>1616.95443655488</v>
      </c>
      <c r="K130" s="9">
        <f t="shared" si="10"/>
        <v>288.14320572297999</v>
      </c>
      <c r="L130" s="10">
        <f t="shared" ref="L130:L193" si="14">K130/J130</f>
        <v>0.17820119058945438</v>
      </c>
      <c r="M130" s="10">
        <f t="shared" si="11"/>
        <v>0.23298134795185046</v>
      </c>
      <c r="P130" s="8">
        <f t="shared" si="12"/>
        <v>-37.840411654114277</v>
      </c>
      <c r="X130" s="8">
        <v>-13</v>
      </c>
    </row>
    <row r="131" spans="1:24" x14ac:dyDescent="0.2">
      <c r="A131" s="8">
        <v>64.5</v>
      </c>
      <c r="B131" s="8">
        <v>129</v>
      </c>
      <c r="D131">
        <v>1755.3643048127999</v>
      </c>
      <c r="E131">
        <v>406.96056149732999</v>
      </c>
      <c r="F131">
        <v>139.32980132450001</v>
      </c>
      <c r="G131">
        <v>119.31192052980001</v>
      </c>
      <c r="I131" s="9">
        <f t="shared" ref="I131:I194" si="15">E131-G131</f>
        <v>287.64864096753001</v>
      </c>
      <c r="J131" s="9">
        <f t="shared" ref="J131:J194" si="16">D131-F131</f>
        <v>1616.0345034882998</v>
      </c>
      <c r="K131" s="9">
        <f t="shared" ref="K131:K194" si="17">I131*1</f>
        <v>287.64864096753001</v>
      </c>
      <c r="L131" s="10">
        <f t="shared" si="14"/>
        <v>0.17799659620300465</v>
      </c>
      <c r="M131" s="10">
        <f t="shared" ref="M131:M181" si="18">L131+ABS($N$2)*A131</f>
        <v>0.23320472354479443</v>
      </c>
      <c r="P131" s="8">
        <f t="shared" ref="P131:P194" si="19">(M131-$O$2)/$O$2*100</f>
        <v>-37.780814887995533</v>
      </c>
      <c r="X131" s="8">
        <v>-13</v>
      </c>
    </row>
    <row r="132" spans="1:24" x14ac:dyDescent="0.2">
      <c r="A132" s="8">
        <v>65</v>
      </c>
      <c r="B132" s="8">
        <v>130</v>
      </c>
      <c r="D132">
        <v>1763.8315508021001</v>
      </c>
      <c r="E132">
        <v>409.98128342246002</v>
      </c>
      <c r="F132">
        <v>139.31920529800999</v>
      </c>
      <c r="G132">
        <v>119.22913907285</v>
      </c>
      <c r="I132" s="9">
        <f t="shared" si="15"/>
        <v>290.75214434961003</v>
      </c>
      <c r="J132" s="9">
        <f t="shared" si="16"/>
        <v>1624.51234550409</v>
      </c>
      <c r="K132" s="9">
        <f t="shared" si="17"/>
        <v>290.75214434961003</v>
      </c>
      <c r="L132" s="10">
        <f t="shared" si="14"/>
        <v>0.17897810697116553</v>
      </c>
      <c r="M132" s="10">
        <f t="shared" si="18"/>
        <v>0.23461420429234905</v>
      </c>
      <c r="P132" s="8">
        <f t="shared" si="19"/>
        <v>-37.404764428078231</v>
      </c>
      <c r="X132" s="8">
        <v>-13</v>
      </c>
    </row>
    <row r="133" spans="1:24" x14ac:dyDescent="0.2">
      <c r="A133" s="8">
        <v>65.5</v>
      </c>
      <c r="B133" s="8">
        <v>131</v>
      </c>
      <c r="D133">
        <v>1757.6290106951999</v>
      </c>
      <c r="E133">
        <v>408.46724598931002</v>
      </c>
      <c r="F133">
        <v>139.25562913907001</v>
      </c>
      <c r="G133">
        <v>118.94834437086</v>
      </c>
      <c r="I133" s="9">
        <f t="shared" si="15"/>
        <v>289.51890161845</v>
      </c>
      <c r="J133" s="9">
        <f t="shared" si="16"/>
        <v>1618.37338155613</v>
      </c>
      <c r="K133" s="9">
        <f t="shared" si="17"/>
        <v>289.51890161845</v>
      </c>
      <c r="L133" s="10">
        <f t="shared" si="14"/>
        <v>0.17889499723485697</v>
      </c>
      <c r="M133" s="10">
        <f t="shared" si="18"/>
        <v>0.23495906453543419</v>
      </c>
      <c r="P133" s="8">
        <f t="shared" si="19"/>
        <v>-37.312755471415038</v>
      </c>
      <c r="X133" s="8">
        <v>-13</v>
      </c>
    </row>
    <row r="134" spans="1:24" x14ac:dyDescent="0.2">
      <c r="A134" s="8">
        <v>66</v>
      </c>
      <c r="B134" s="8">
        <v>132</v>
      </c>
      <c r="D134">
        <v>1707.2056262558999</v>
      </c>
      <c r="E134">
        <v>401.17615539182998</v>
      </c>
      <c r="F134">
        <v>138.71721854305</v>
      </c>
      <c r="G134">
        <v>119.26622516556</v>
      </c>
      <c r="I134" s="9">
        <f t="shared" si="15"/>
        <v>281.90993022626998</v>
      </c>
      <c r="J134" s="9">
        <f t="shared" si="16"/>
        <v>1568.4884077128499</v>
      </c>
      <c r="K134" s="9">
        <f t="shared" si="17"/>
        <v>281.90993022626998</v>
      </c>
      <c r="L134" s="10">
        <f t="shared" si="14"/>
        <v>0.17973351211268912</v>
      </c>
      <c r="M134" s="10">
        <f t="shared" si="18"/>
        <v>0.23622554939266008</v>
      </c>
      <c r="P134" s="8">
        <f t="shared" si="19"/>
        <v>-36.974856416132177</v>
      </c>
      <c r="X134" s="8">
        <v>-13</v>
      </c>
    </row>
    <row r="135" spans="1:24" x14ac:dyDescent="0.2">
      <c r="A135" s="8">
        <v>66.5</v>
      </c>
      <c r="B135" s="8">
        <v>133</v>
      </c>
      <c r="D135">
        <v>1715.9872824632</v>
      </c>
      <c r="E135">
        <v>403.04149933065997</v>
      </c>
      <c r="F135">
        <v>138.93907284767999</v>
      </c>
      <c r="G135">
        <v>119.16953642384</v>
      </c>
      <c r="I135" s="9">
        <f t="shared" si="15"/>
        <v>283.87196290681999</v>
      </c>
      <c r="J135" s="9">
        <f t="shared" si="16"/>
        <v>1577.0482096155201</v>
      </c>
      <c r="K135" s="9">
        <f t="shared" si="17"/>
        <v>283.87196290681999</v>
      </c>
      <c r="L135" s="10">
        <f t="shared" si="14"/>
        <v>0.18000208311705776</v>
      </c>
      <c r="M135" s="10">
        <f t="shared" si="18"/>
        <v>0.23692209037642242</v>
      </c>
      <c r="P135" s="8">
        <f t="shared" si="19"/>
        <v>-36.789018789226283</v>
      </c>
      <c r="X135" s="8">
        <v>-13</v>
      </c>
    </row>
    <row r="136" spans="1:24" x14ac:dyDescent="0.2">
      <c r="A136" s="8">
        <v>67</v>
      </c>
      <c r="B136" s="8">
        <v>134</v>
      </c>
      <c r="D136">
        <v>1725.3433734939999</v>
      </c>
      <c r="E136">
        <v>403.34404283802002</v>
      </c>
      <c r="F136">
        <v>139.02119205298001</v>
      </c>
      <c r="G136">
        <v>118.91854304636</v>
      </c>
      <c r="I136" s="9">
        <f t="shared" si="15"/>
        <v>284.42549979166</v>
      </c>
      <c r="J136" s="9">
        <f t="shared" si="16"/>
        <v>1586.3221814410199</v>
      </c>
      <c r="K136" s="9">
        <f t="shared" si="17"/>
        <v>284.42549979166</v>
      </c>
      <c r="L136" s="10">
        <f t="shared" si="14"/>
        <v>0.17929869677122401</v>
      </c>
      <c r="M136" s="10">
        <f t="shared" si="18"/>
        <v>0.23664667400998241</v>
      </c>
      <c r="P136" s="8">
        <f t="shared" si="19"/>
        <v>-36.862500070505376</v>
      </c>
      <c r="X136" s="8">
        <v>-13</v>
      </c>
    </row>
    <row r="137" spans="1:24" x14ac:dyDescent="0.2">
      <c r="A137" s="8">
        <v>67.5</v>
      </c>
      <c r="B137" s="8">
        <v>135</v>
      </c>
      <c r="D137">
        <v>1726.3962516734</v>
      </c>
      <c r="E137">
        <v>405.21419009370999</v>
      </c>
      <c r="F137">
        <v>138.88410596027001</v>
      </c>
      <c r="G137">
        <v>119.18675496689001</v>
      </c>
      <c r="I137" s="9">
        <f t="shared" si="15"/>
        <v>286.02743512681997</v>
      </c>
      <c r="J137" s="9">
        <f t="shared" si="16"/>
        <v>1587.5121457131299</v>
      </c>
      <c r="K137" s="9">
        <f t="shared" si="17"/>
        <v>286.02743512681997</v>
      </c>
      <c r="L137" s="10">
        <f t="shared" si="14"/>
        <v>0.18017338380635375</v>
      </c>
      <c r="M137" s="10">
        <f t="shared" si="18"/>
        <v>0.23794933102450588</v>
      </c>
      <c r="P137" s="8">
        <f t="shared" si="19"/>
        <v>-36.514950258082649</v>
      </c>
      <c r="X137" s="8">
        <v>-13</v>
      </c>
    </row>
    <row r="138" spans="1:24" x14ac:dyDescent="0.2">
      <c r="A138" s="8">
        <v>68</v>
      </c>
      <c r="B138" s="8">
        <v>136</v>
      </c>
      <c r="D138">
        <v>1703.4177300202</v>
      </c>
      <c r="E138">
        <v>401.49697783748002</v>
      </c>
      <c r="F138">
        <v>138.8821192053</v>
      </c>
      <c r="G138">
        <v>119.1</v>
      </c>
      <c r="I138" s="9">
        <f t="shared" si="15"/>
        <v>282.39697783747999</v>
      </c>
      <c r="J138" s="9">
        <f t="shared" si="16"/>
        <v>1564.5356108148999</v>
      </c>
      <c r="K138" s="9">
        <f t="shared" si="17"/>
        <v>282.39697783747999</v>
      </c>
      <c r="L138" s="10">
        <f t="shared" si="14"/>
        <v>0.18049891347017116</v>
      </c>
      <c r="M138" s="10">
        <f t="shared" si="18"/>
        <v>0.238702830667717</v>
      </c>
      <c r="P138" s="8">
        <f t="shared" si="19"/>
        <v>-36.313916020567405</v>
      </c>
      <c r="X138" s="8">
        <v>-13</v>
      </c>
    </row>
    <row r="139" spans="1:24" x14ac:dyDescent="0.2">
      <c r="A139" s="8">
        <v>68.5</v>
      </c>
      <c r="B139" s="8">
        <v>137</v>
      </c>
      <c r="D139">
        <v>1650.7114093959999</v>
      </c>
      <c r="E139">
        <v>390.89194630872998</v>
      </c>
      <c r="F139">
        <v>138.79602649007001</v>
      </c>
      <c r="G139">
        <v>119.36490066224999</v>
      </c>
      <c r="I139" s="9">
        <f t="shared" si="15"/>
        <v>271.52704564648002</v>
      </c>
      <c r="J139" s="9">
        <f t="shared" si="16"/>
        <v>1511.9153829059298</v>
      </c>
      <c r="K139" s="9">
        <f t="shared" si="17"/>
        <v>271.52704564648002</v>
      </c>
      <c r="L139" s="10">
        <f t="shared" si="14"/>
        <v>0.17959142999431615</v>
      </c>
      <c r="M139" s="10">
        <f t="shared" si="18"/>
        <v>0.23822331717125572</v>
      </c>
      <c r="P139" s="8">
        <f t="shared" si="19"/>
        <v>-36.44185056042803</v>
      </c>
      <c r="X139" s="8">
        <v>-13</v>
      </c>
    </row>
    <row r="140" spans="1:24" x14ac:dyDescent="0.2">
      <c r="A140" s="8">
        <v>69</v>
      </c>
      <c r="B140" s="8">
        <v>138</v>
      </c>
      <c r="D140">
        <v>1682.1142284569</v>
      </c>
      <c r="E140">
        <v>396.92317969272</v>
      </c>
      <c r="F140">
        <v>138.89006622516999</v>
      </c>
      <c r="G140">
        <v>119.06688741722</v>
      </c>
      <c r="I140" s="9">
        <f t="shared" si="15"/>
        <v>277.85629227549998</v>
      </c>
      <c r="J140" s="9">
        <f t="shared" si="16"/>
        <v>1543.2241622317301</v>
      </c>
      <c r="K140" s="9">
        <f t="shared" si="17"/>
        <v>277.85629227549998</v>
      </c>
      <c r="L140" s="10">
        <f t="shared" si="14"/>
        <v>0.18004921065626572</v>
      </c>
      <c r="M140" s="10">
        <f t="shared" si="18"/>
        <v>0.239109067812599</v>
      </c>
      <c r="P140" s="8">
        <f t="shared" si="19"/>
        <v>-36.205531663112779</v>
      </c>
      <c r="X140" s="8">
        <v>-13</v>
      </c>
    </row>
    <row r="141" spans="1:24" x14ac:dyDescent="0.2">
      <c r="A141" s="8">
        <v>69.5</v>
      </c>
      <c r="B141" s="8">
        <v>139</v>
      </c>
      <c r="D141">
        <v>1718.1723446894</v>
      </c>
      <c r="E141">
        <v>404.79225116901</v>
      </c>
      <c r="F141">
        <v>138.92516556291</v>
      </c>
      <c r="G141">
        <v>119.22450331125999</v>
      </c>
      <c r="I141" s="9">
        <f t="shared" si="15"/>
        <v>285.56774785775002</v>
      </c>
      <c r="J141" s="9">
        <f t="shared" si="16"/>
        <v>1579.24717912649</v>
      </c>
      <c r="K141" s="9">
        <f t="shared" si="17"/>
        <v>285.56774785775002</v>
      </c>
      <c r="L141" s="10">
        <f t="shared" si="14"/>
        <v>0.18082523852643681</v>
      </c>
      <c r="M141" s="10">
        <f t="shared" si="18"/>
        <v>0.24031306566216382</v>
      </c>
      <c r="P141" s="8">
        <f t="shared" si="19"/>
        <v>-35.884304185650734</v>
      </c>
      <c r="X141" s="8">
        <v>-13</v>
      </c>
    </row>
    <row r="142" spans="1:24" x14ac:dyDescent="0.2">
      <c r="A142" s="8">
        <v>70</v>
      </c>
      <c r="B142" s="8">
        <v>140</v>
      </c>
      <c r="D142">
        <v>1685.6191432395999</v>
      </c>
      <c r="E142">
        <v>397.01606425703</v>
      </c>
      <c r="F142">
        <v>138.81390728477001</v>
      </c>
      <c r="G142">
        <v>118.93841059603</v>
      </c>
      <c r="I142" s="9">
        <f t="shared" si="15"/>
        <v>278.077653661</v>
      </c>
      <c r="J142" s="9">
        <f t="shared" si="16"/>
        <v>1546.8052359548299</v>
      </c>
      <c r="K142" s="9">
        <f t="shared" si="17"/>
        <v>278.077653661</v>
      </c>
      <c r="L142" s="10">
        <f t="shared" si="14"/>
        <v>0.17977547993580781</v>
      </c>
      <c r="M142" s="10">
        <f t="shared" si="18"/>
        <v>0.23969127705092852</v>
      </c>
      <c r="P142" s="8">
        <f t="shared" si="19"/>
        <v>-36.050197826718225</v>
      </c>
      <c r="X142" s="8">
        <v>-13</v>
      </c>
    </row>
    <row r="143" spans="1:24" x14ac:dyDescent="0.2">
      <c r="A143" s="8">
        <v>70.5</v>
      </c>
      <c r="B143" s="8">
        <v>141</v>
      </c>
      <c r="D143">
        <v>1656.5914266576999</v>
      </c>
      <c r="E143">
        <v>392.79102478231999</v>
      </c>
      <c r="F143">
        <v>138.79801324503001</v>
      </c>
      <c r="G143">
        <v>118.94437086092999</v>
      </c>
      <c r="I143" s="9">
        <f t="shared" si="15"/>
        <v>273.84665392138999</v>
      </c>
      <c r="J143" s="9">
        <f t="shared" si="16"/>
        <v>1517.7934134126699</v>
      </c>
      <c r="K143" s="9">
        <f t="shared" si="17"/>
        <v>273.84665392138999</v>
      </c>
      <c r="L143" s="10">
        <f t="shared" si="14"/>
        <v>0.18042419442686983</v>
      </c>
      <c r="M143" s="10">
        <f t="shared" si="18"/>
        <v>0.24076796152138424</v>
      </c>
      <c r="P143" s="8">
        <f t="shared" si="19"/>
        <v>-35.762937648810052</v>
      </c>
      <c r="X143" s="8">
        <v>-13</v>
      </c>
    </row>
    <row r="144" spans="1:24" x14ac:dyDescent="0.2">
      <c r="A144" s="8">
        <v>71</v>
      </c>
      <c r="B144" s="8">
        <v>142</v>
      </c>
      <c r="D144">
        <v>1744.2266308003</v>
      </c>
      <c r="E144">
        <v>407.07868190989001</v>
      </c>
      <c r="F144">
        <v>138.67483443709</v>
      </c>
      <c r="G144">
        <v>119.1582781457</v>
      </c>
      <c r="I144" s="9">
        <f t="shared" si="15"/>
        <v>287.92040376419004</v>
      </c>
      <c r="J144" s="9">
        <f t="shared" si="16"/>
        <v>1605.5517963632101</v>
      </c>
      <c r="K144" s="9">
        <f t="shared" si="17"/>
        <v>287.92040376419004</v>
      </c>
      <c r="L144" s="10">
        <f t="shared" si="14"/>
        <v>0.17932800699196894</v>
      </c>
      <c r="M144" s="10">
        <f t="shared" si="18"/>
        <v>0.24009974406587709</v>
      </c>
      <c r="P144" s="8">
        <f t="shared" si="19"/>
        <v>-35.941218538353382</v>
      </c>
    </row>
    <row r="145" spans="1:16" x14ac:dyDescent="0.2">
      <c r="A145" s="8">
        <v>71.5</v>
      </c>
      <c r="B145" s="8">
        <v>143</v>
      </c>
      <c r="D145">
        <v>1739.1358439812</v>
      </c>
      <c r="E145">
        <v>412.03295225286001</v>
      </c>
      <c r="F145">
        <v>138.95562913907</v>
      </c>
      <c r="G145">
        <v>119.12185430464</v>
      </c>
      <c r="I145" s="9">
        <f t="shared" si="15"/>
        <v>292.91109794822</v>
      </c>
      <c r="J145" s="9">
        <f t="shared" si="16"/>
        <v>1600.18021484213</v>
      </c>
      <c r="K145" s="9">
        <f t="shared" si="17"/>
        <v>292.91109794822</v>
      </c>
      <c r="L145" s="10">
        <f t="shared" si="14"/>
        <v>0.18304881864641598</v>
      </c>
      <c r="M145" s="10">
        <f t="shared" si="18"/>
        <v>0.24424852569971783</v>
      </c>
      <c r="P145" s="8">
        <f t="shared" si="19"/>
        <v>-34.834320665353658</v>
      </c>
    </row>
    <row r="146" spans="1:16" x14ac:dyDescent="0.2">
      <c r="A146" s="8">
        <v>72</v>
      </c>
      <c r="B146" s="8">
        <v>144</v>
      </c>
      <c r="D146">
        <v>1755.1946308725001</v>
      </c>
      <c r="E146">
        <v>412.83489932885999</v>
      </c>
      <c r="F146">
        <v>138.95364238411</v>
      </c>
      <c r="G146">
        <v>119.03907284768</v>
      </c>
      <c r="I146" s="9">
        <f t="shared" si="15"/>
        <v>293.79582648117997</v>
      </c>
      <c r="J146" s="9">
        <f t="shared" si="16"/>
        <v>1616.24098848839</v>
      </c>
      <c r="K146" s="9">
        <f t="shared" si="17"/>
        <v>293.79582648117997</v>
      </c>
      <c r="L146" s="10">
        <f t="shared" si="14"/>
        <v>0.18177724025917463</v>
      </c>
      <c r="M146" s="10">
        <f t="shared" si="18"/>
        <v>0.24340491729187022</v>
      </c>
      <c r="P146" s="8">
        <f t="shared" si="19"/>
        <v>-35.0593959849787</v>
      </c>
    </row>
    <row r="147" spans="1:16" x14ac:dyDescent="0.2">
      <c r="A147" s="8">
        <v>72.5</v>
      </c>
      <c r="B147" s="8">
        <v>145</v>
      </c>
      <c r="D147">
        <v>1767.210738255</v>
      </c>
      <c r="E147">
        <v>418.13087248322</v>
      </c>
      <c r="F147">
        <v>138.67483443709</v>
      </c>
      <c r="G147">
        <v>118.67947019867999</v>
      </c>
      <c r="I147" s="9">
        <f t="shared" si="15"/>
        <v>299.45140228453999</v>
      </c>
      <c r="J147" s="9">
        <f t="shared" si="16"/>
        <v>1628.5359038179099</v>
      </c>
      <c r="K147" s="9">
        <f t="shared" si="17"/>
        <v>299.45140228453999</v>
      </c>
      <c r="L147" s="10">
        <f t="shared" si="14"/>
        <v>0.18387767907511993</v>
      </c>
      <c r="M147" s="10">
        <f t="shared" si="18"/>
        <v>0.24593332608720925</v>
      </c>
      <c r="P147" s="8">
        <f t="shared" si="19"/>
        <v>-34.384814730856711</v>
      </c>
    </row>
    <row r="148" spans="1:16" x14ac:dyDescent="0.2">
      <c r="A148" s="8">
        <v>73</v>
      </c>
      <c r="B148" s="8">
        <v>146</v>
      </c>
      <c r="D148">
        <v>1776.2375838926</v>
      </c>
      <c r="E148">
        <v>418.77651006711</v>
      </c>
      <c r="F148">
        <v>138.74900662252</v>
      </c>
      <c r="G148">
        <v>118.82649006622999</v>
      </c>
      <c r="I148" s="9">
        <f t="shared" si="15"/>
        <v>299.95002000087999</v>
      </c>
      <c r="J148" s="9">
        <f t="shared" si="16"/>
        <v>1637.48857727008</v>
      </c>
      <c r="K148" s="9">
        <f t="shared" si="17"/>
        <v>299.95002000087999</v>
      </c>
      <c r="L148" s="10">
        <f t="shared" si="14"/>
        <v>0.18317686252256987</v>
      </c>
      <c r="M148" s="10">
        <f t="shared" si="18"/>
        <v>0.2456604795140529</v>
      </c>
      <c r="P148" s="8">
        <f t="shared" si="19"/>
        <v>-34.457610389470936</v>
      </c>
    </row>
    <row r="149" spans="1:16" x14ac:dyDescent="0.2">
      <c r="A149" s="8">
        <v>73.5</v>
      </c>
      <c r="B149" s="8">
        <v>147</v>
      </c>
      <c r="D149">
        <v>1733.1469798657999</v>
      </c>
      <c r="E149">
        <v>411.39194630872998</v>
      </c>
      <c r="F149">
        <v>138.66953642383999</v>
      </c>
      <c r="G149">
        <v>118.85894039735</v>
      </c>
      <c r="I149" s="9">
        <f t="shared" si="15"/>
        <v>292.53300591137997</v>
      </c>
      <c r="J149" s="9">
        <f t="shared" si="16"/>
        <v>1594.4774434419601</v>
      </c>
      <c r="K149" s="9">
        <f t="shared" si="17"/>
        <v>292.53300591137997</v>
      </c>
      <c r="L149" s="10">
        <f t="shared" si="14"/>
        <v>0.18346638086011177</v>
      </c>
      <c r="M149" s="10">
        <f t="shared" si="18"/>
        <v>0.24637796783098853</v>
      </c>
      <c r="P149" s="8">
        <f t="shared" si="19"/>
        <v>-34.266183999265145</v>
      </c>
    </row>
    <row r="150" spans="1:16" x14ac:dyDescent="0.2">
      <c r="A150" s="8">
        <v>74</v>
      </c>
      <c r="B150" s="8">
        <v>148</v>
      </c>
      <c r="D150">
        <v>1762.9132450331001</v>
      </c>
      <c r="E150">
        <v>417.61456953641999</v>
      </c>
      <c r="F150">
        <v>138.95430463576</v>
      </c>
      <c r="G150">
        <v>118.76225165563</v>
      </c>
      <c r="I150" s="9">
        <f t="shared" si="15"/>
        <v>298.85231788079</v>
      </c>
      <c r="J150" s="9">
        <f t="shared" si="16"/>
        <v>1623.95894039734</v>
      </c>
      <c r="K150" s="9">
        <f t="shared" si="17"/>
        <v>298.85231788079</v>
      </c>
      <c r="L150" s="10">
        <f t="shared" si="14"/>
        <v>0.18402701598334051</v>
      </c>
      <c r="M150" s="10">
        <f t="shared" si="18"/>
        <v>0.24736657293361097</v>
      </c>
      <c r="P150" s="8">
        <f t="shared" si="19"/>
        <v>-34.002423458964927</v>
      </c>
    </row>
    <row r="151" spans="1:16" x14ac:dyDescent="0.2">
      <c r="A151" s="8">
        <v>74.5</v>
      </c>
      <c r="B151" s="8">
        <v>149</v>
      </c>
      <c r="D151">
        <v>1661.9046357616</v>
      </c>
      <c r="E151">
        <v>399.49867549669</v>
      </c>
      <c r="F151">
        <v>138.70264900661999</v>
      </c>
      <c r="G151">
        <v>118.94701986755</v>
      </c>
      <c r="I151" s="9">
        <f t="shared" si="15"/>
        <v>280.55165562913999</v>
      </c>
      <c r="J151" s="9">
        <f t="shared" si="16"/>
        <v>1523.20198675498</v>
      </c>
      <c r="K151" s="9">
        <f t="shared" si="17"/>
        <v>280.55165562913999</v>
      </c>
      <c r="L151" s="10">
        <f t="shared" si="14"/>
        <v>0.18418545804737654</v>
      </c>
      <c r="M151" s="10">
        <f t="shared" si="18"/>
        <v>0.24795298497704071</v>
      </c>
      <c r="P151" s="8">
        <f t="shared" si="19"/>
        <v>-33.845968311198355</v>
      </c>
    </row>
    <row r="152" spans="1:16" x14ac:dyDescent="0.2">
      <c r="A152" s="8">
        <v>75</v>
      </c>
      <c r="B152" s="8">
        <v>150</v>
      </c>
      <c r="D152">
        <v>1709.7362416107001</v>
      </c>
      <c r="E152">
        <v>406.63087248322</v>
      </c>
      <c r="F152">
        <v>138.36158940396999</v>
      </c>
      <c r="G152">
        <v>118.75894039735</v>
      </c>
      <c r="I152" s="9">
        <f t="shared" si="15"/>
        <v>287.87193208587001</v>
      </c>
      <c r="J152" s="9">
        <f t="shared" si="16"/>
        <v>1571.3746522067302</v>
      </c>
      <c r="K152" s="9">
        <f t="shared" si="17"/>
        <v>287.87193208587001</v>
      </c>
      <c r="L152" s="10">
        <f t="shared" si="14"/>
        <v>0.18319751542485591</v>
      </c>
      <c r="M152" s="10">
        <f t="shared" si="18"/>
        <v>0.24739301233391381</v>
      </c>
      <c r="P152" s="8">
        <f t="shared" si="19"/>
        <v>-33.995369408272097</v>
      </c>
    </row>
    <row r="153" spans="1:16" x14ac:dyDescent="0.2">
      <c r="A153" s="8">
        <v>75.5</v>
      </c>
      <c r="B153" s="8">
        <v>151</v>
      </c>
      <c r="D153">
        <v>1737.6416107383</v>
      </c>
      <c r="E153">
        <v>411.32818791945999</v>
      </c>
      <c r="F153">
        <v>138.68079470199001</v>
      </c>
      <c r="G153">
        <v>118.81192052980001</v>
      </c>
      <c r="I153" s="9">
        <f t="shared" si="15"/>
        <v>292.51626738966002</v>
      </c>
      <c r="J153" s="9">
        <f t="shared" si="16"/>
        <v>1598.96081603631</v>
      </c>
      <c r="K153" s="9">
        <f t="shared" si="17"/>
        <v>292.51626738966002</v>
      </c>
      <c r="L153" s="10">
        <f t="shared" si="14"/>
        <v>0.18294148577998512</v>
      </c>
      <c r="M153" s="10">
        <f t="shared" si="18"/>
        <v>0.24756495266843676</v>
      </c>
      <c r="P153" s="8">
        <f t="shared" si="19"/>
        <v>-33.949495605463603</v>
      </c>
    </row>
    <row r="154" spans="1:16" x14ac:dyDescent="0.2">
      <c r="A154" s="8">
        <v>76</v>
      </c>
      <c r="B154" s="8">
        <v>152</v>
      </c>
      <c r="D154">
        <v>1732.9697986577</v>
      </c>
      <c r="E154">
        <v>410.18791946309</v>
      </c>
      <c r="F154">
        <v>138.0701986755</v>
      </c>
      <c r="G154">
        <v>118.82781456954</v>
      </c>
      <c r="I154" s="9">
        <f t="shared" si="15"/>
        <v>291.36010489354999</v>
      </c>
      <c r="J154" s="9">
        <f t="shared" si="16"/>
        <v>1594.8995999822</v>
      </c>
      <c r="K154" s="9">
        <f t="shared" si="17"/>
        <v>291.36010489354999</v>
      </c>
      <c r="L154" s="10">
        <f t="shared" si="14"/>
        <v>0.18268241141749722</v>
      </c>
      <c r="M154" s="10">
        <f t="shared" si="18"/>
        <v>0.24773384828534256</v>
      </c>
      <c r="P154" s="8">
        <f t="shared" si="19"/>
        <v>-33.904434135467902</v>
      </c>
    </row>
    <row r="155" spans="1:16" x14ac:dyDescent="0.2">
      <c r="A155" s="8">
        <v>76.5</v>
      </c>
      <c r="B155" s="8">
        <v>153</v>
      </c>
      <c r="D155">
        <v>1744.7946308725</v>
      </c>
      <c r="E155">
        <v>412.95973154362002</v>
      </c>
      <c r="F155">
        <v>138.76887417219001</v>
      </c>
      <c r="G155">
        <v>118.73509933775</v>
      </c>
      <c r="I155" s="9">
        <f t="shared" si="15"/>
        <v>294.22463220587002</v>
      </c>
      <c r="J155" s="9">
        <f t="shared" si="16"/>
        <v>1606.02575670031</v>
      </c>
      <c r="K155" s="9">
        <f t="shared" si="17"/>
        <v>294.22463220587002</v>
      </c>
      <c r="L155" s="10">
        <f t="shared" si="14"/>
        <v>0.18320044431315641</v>
      </c>
      <c r="M155" s="10">
        <f t="shared" si="18"/>
        <v>0.24867985116039548</v>
      </c>
      <c r="P155" s="8">
        <f t="shared" si="19"/>
        <v>-33.652039899602009</v>
      </c>
    </row>
    <row r="156" spans="1:16" x14ac:dyDescent="0.2">
      <c r="A156" s="8">
        <v>77</v>
      </c>
      <c r="B156" s="8">
        <v>154</v>
      </c>
      <c r="D156">
        <v>1748.3033557046999</v>
      </c>
      <c r="E156">
        <v>414.45906040269</v>
      </c>
      <c r="F156">
        <v>138.71125827815001</v>
      </c>
      <c r="G156">
        <v>118.67748344371</v>
      </c>
      <c r="I156" s="9">
        <f t="shared" si="15"/>
        <v>295.78157695898</v>
      </c>
      <c r="J156" s="9">
        <f t="shared" si="16"/>
        <v>1609.59209742655</v>
      </c>
      <c r="K156" s="9">
        <f t="shared" si="17"/>
        <v>295.78157695898</v>
      </c>
      <c r="L156" s="10">
        <f t="shared" si="14"/>
        <v>0.18376182228521243</v>
      </c>
      <c r="M156" s="10">
        <f t="shared" si="18"/>
        <v>0.24966919911184521</v>
      </c>
      <c r="P156" s="8">
        <f t="shared" si="19"/>
        <v>-33.38808116670949</v>
      </c>
    </row>
    <row r="157" spans="1:16" x14ac:dyDescent="0.2">
      <c r="A157" s="8">
        <v>77.5</v>
      </c>
      <c r="B157" s="8">
        <v>155</v>
      </c>
      <c r="D157">
        <v>1737.3765100671001</v>
      </c>
      <c r="E157">
        <v>411.44429530201</v>
      </c>
      <c r="F157">
        <v>138.75430463576001</v>
      </c>
      <c r="G157">
        <v>118.77086092715</v>
      </c>
      <c r="I157" s="9">
        <f t="shared" si="15"/>
        <v>292.67343437485999</v>
      </c>
      <c r="J157" s="9">
        <f t="shared" si="16"/>
        <v>1598.62220543134</v>
      </c>
      <c r="K157" s="9">
        <f t="shared" si="17"/>
        <v>292.67343437485999</v>
      </c>
      <c r="L157" s="10">
        <f t="shared" si="14"/>
        <v>0.18307854937864501</v>
      </c>
      <c r="M157" s="10">
        <f t="shared" si="18"/>
        <v>0.24941389618467152</v>
      </c>
      <c r="P157" s="8">
        <f t="shared" si="19"/>
        <v>-33.456196168172596</v>
      </c>
    </row>
    <row r="158" spans="1:16" x14ac:dyDescent="0.2">
      <c r="A158" s="8">
        <v>78</v>
      </c>
      <c r="B158" s="8">
        <v>156</v>
      </c>
      <c r="D158">
        <v>1787.2516778524</v>
      </c>
      <c r="E158">
        <v>419.47919463086998</v>
      </c>
      <c r="F158">
        <v>138.43576158939999</v>
      </c>
      <c r="G158">
        <v>118.67549668874</v>
      </c>
      <c r="I158" s="9">
        <f t="shared" si="15"/>
        <v>300.80369794212999</v>
      </c>
      <c r="J158" s="9">
        <f t="shared" si="16"/>
        <v>1648.815916263</v>
      </c>
      <c r="K158" s="9">
        <f t="shared" si="17"/>
        <v>300.80369794212999</v>
      </c>
      <c r="L158" s="10">
        <f t="shared" si="14"/>
        <v>0.18243619252772258</v>
      </c>
      <c r="M158" s="10">
        <f t="shared" si="18"/>
        <v>0.2491995093131428</v>
      </c>
      <c r="P158" s="8">
        <f t="shared" si="19"/>
        <v>-33.513394737062931</v>
      </c>
    </row>
    <row r="159" spans="1:16" x14ac:dyDescent="0.2">
      <c r="A159" s="8">
        <v>78.5</v>
      </c>
      <c r="B159" s="8">
        <v>157</v>
      </c>
      <c r="D159">
        <v>1774.0543046358</v>
      </c>
      <c r="E159">
        <v>421.57549668873997</v>
      </c>
      <c r="F159">
        <v>138.71920529801</v>
      </c>
      <c r="G159">
        <v>118.55695364237999</v>
      </c>
      <c r="I159" s="9">
        <f t="shared" si="15"/>
        <v>303.01854304635998</v>
      </c>
      <c r="J159" s="9">
        <f t="shared" si="16"/>
        <v>1635.3350993377901</v>
      </c>
      <c r="K159" s="9">
        <f t="shared" si="17"/>
        <v>303.01854304635998</v>
      </c>
      <c r="L159" s="10">
        <f t="shared" si="14"/>
        <v>0.18529446543956882</v>
      </c>
      <c r="M159" s="10">
        <f t="shared" si="18"/>
        <v>0.25248575220438274</v>
      </c>
      <c r="P159" s="8">
        <f t="shared" si="19"/>
        <v>-32.636622810383706</v>
      </c>
    </row>
    <row r="160" spans="1:16" x14ac:dyDescent="0.2">
      <c r="A160" s="8">
        <v>79</v>
      </c>
      <c r="B160" s="8">
        <v>158</v>
      </c>
      <c r="D160">
        <v>1739.2205298013</v>
      </c>
      <c r="E160">
        <v>414.28013245032997</v>
      </c>
      <c r="F160">
        <v>138.55298013244999</v>
      </c>
      <c r="G160">
        <v>118.45695364238</v>
      </c>
      <c r="I160" s="9">
        <f t="shared" si="15"/>
        <v>295.82317880794994</v>
      </c>
      <c r="J160" s="9">
        <f t="shared" si="16"/>
        <v>1600.6675496688499</v>
      </c>
      <c r="K160" s="9">
        <f t="shared" si="17"/>
        <v>295.82317880794994</v>
      </c>
      <c r="L160" s="10">
        <f t="shared" si="14"/>
        <v>0.18481237960321653</v>
      </c>
      <c r="M160" s="10">
        <f t="shared" si="18"/>
        <v>0.25243163634742416</v>
      </c>
      <c r="P160" s="8">
        <f t="shared" si="19"/>
        <v>-32.651060959278894</v>
      </c>
    </row>
    <row r="161" spans="1:16" x14ac:dyDescent="0.2">
      <c r="A161" s="8">
        <v>79.5</v>
      </c>
      <c r="B161" s="8">
        <v>159</v>
      </c>
      <c r="D161">
        <v>1769.0350993377999</v>
      </c>
      <c r="E161">
        <v>418.8</v>
      </c>
      <c r="F161">
        <v>138.09271523179001</v>
      </c>
      <c r="G161">
        <v>119.0582781457</v>
      </c>
      <c r="I161" s="9">
        <f t="shared" si="15"/>
        <v>299.74172185430001</v>
      </c>
      <c r="J161" s="9">
        <f t="shared" si="16"/>
        <v>1630.94238410601</v>
      </c>
      <c r="K161" s="9">
        <f t="shared" si="17"/>
        <v>299.74172185430001</v>
      </c>
      <c r="L161" s="10">
        <f t="shared" si="14"/>
        <v>0.18378437201422135</v>
      </c>
      <c r="M161" s="10">
        <f t="shared" si="18"/>
        <v>0.25183159873782274</v>
      </c>
      <c r="P161" s="8">
        <f t="shared" si="19"/>
        <v>-32.811151417733022</v>
      </c>
    </row>
    <row r="162" spans="1:16" x14ac:dyDescent="0.2">
      <c r="A162" s="8">
        <v>80</v>
      </c>
      <c r="B162" s="4">
        <v>160</v>
      </c>
      <c r="C162" s="4" t="s">
        <v>7</v>
      </c>
      <c r="D162">
        <v>1693.4827814570001</v>
      </c>
      <c r="E162">
        <v>403.38609271523001</v>
      </c>
      <c r="F162">
        <v>138.19139072848</v>
      </c>
      <c r="G162">
        <v>118.46357615894</v>
      </c>
      <c r="H162" s="4"/>
      <c r="I162" s="5">
        <f t="shared" si="15"/>
        <v>284.92251655629002</v>
      </c>
      <c r="J162" s="5">
        <f t="shared" si="16"/>
        <v>1555.2913907285201</v>
      </c>
      <c r="K162" s="9">
        <f t="shared" si="17"/>
        <v>284.92251655629002</v>
      </c>
      <c r="L162" s="6">
        <f t="shared" si="14"/>
        <v>0.18319558524838767</v>
      </c>
      <c r="M162" s="6">
        <f t="shared" si="18"/>
        <v>0.25167078195138276</v>
      </c>
      <c r="N162" s="4"/>
      <c r="O162" s="4"/>
      <c r="P162" s="4">
        <f t="shared" si="19"/>
        <v>-32.854057450048899</v>
      </c>
    </row>
    <row r="163" spans="1:16" x14ac:dyDescent="0.2">
      <c r="A163" s="8">
        <v>80.5</v>
      </c>
      <c r="B163" s="8">
        <v>161</v>
      </c>
      <c r="D163">
        <v>1751.3867735470999</v>
      </c>
      <c r="E163">
        <v>416.11957247829002</v>
      </c>
      <c r="F163">
        <v>138.69999999999999</v>
      </c>
      <c r="G163">
        <v>118.70264900662001</v>
      </c>
      <c r="I163" s="9">
        <f t="shared" si="15"/>
        <v>297.41692347167003</v>
      </c>
      <c r="J163" s="9">
        <f t="shared" si="16"/>
        <v>1612.6867735470998</v>
      </c>
      <c r="K163" s="9">
        <f t="shared" si="17"/>
        <v>297.41692347167003</v>
      </c>
      <c r="L163" s="10">
        <f t="shared" si="14"/>
        <v>0.18442324222545856</v>
      </c>
      <c r="M163" s="10">
        <f t="shared" si="18"/>
        <v>0.25332640890784741</v>
      </c>
      <c r="P163" s="8">
        <f t="shared" si="19"/>
        <v>-32.412335007574818</v>
      </c>
    </row>
    <row r="164" spans="1:16" x14ac:dyDescent="0.2">
      <c r="A164" s="8">
        <v>81</v>
      </c>
      <c r="B164" s="8">
        <v>162</v>
      </c>
      <c r="D164">
        <v>1658.4297082227999</v>
      </c>
      <c r="E164">
        <v>409.58289124667999</v>
      </c>
      <c r="F164">
        <v>138.23112582781999</v>
      </c>
      <c r="G164">
        <v>118.76887417219</v>
      </c>
      <c r="I164" s="9">
        <f t="shared" si="15"/>
        <v>290.81401707448998</v>
      </c>
      <c r="J164" s="9">
        <f t="shared" si="16"/>
        <v>1520.1985823949799</v>
      </c>
      <c r="K164" s="9">
        <f t="shared" si="17"/>
        <v>290.81401707448998</v>
      </c>
      <c r="L164" s="10">
        <f t="shared" si="14"/>
        <v>0.19130001859120951</v>
      </c>
      <c r="M164" s="10">
        <f t="shared" si="18"/>
        <v>0.26063115525299207</v>
      </c>
      <c r="P164" s="8">
        <f t="shared" si="19"/>
        <v>-30.463423518406401</v>
      </c>
    </row>
    <row r="165" spans="1:16" x14ac:dyDescent="0.2">
      <c r="A165" s="8">
        <v>81.5</v>
      </c>
      <c r="B165" s="8">
        <v>163</v>
      </c>
      <c r="D165">
        <v>1817.6377005347999</v>
      </c>
      <c r="E165">
        <v>623.91711229946998</v>
      </c>
      <c r="F165">
        <v>138.87019867550001</v>
      </c>
      <c r="G165">
        <v>118.59602649007</v>
      </c>
      <c r="I165" s="9">
        <f t="shared" si="15"/>
        <v>505.32108580939996</v>
      </c>
      <c r="J165" s="9">
        <f t="shared" si="16"/>
        <v>1678.7675018593</v>
      </c>
      <c r="K165" s="9">
        <f t="shared" si="17"/>
        <v>505.32108580939996</v>
      </c>
      <c r="L165" s="10">
        <f t="shared" si="14"/>
        <v>0.30100718845804275</v>
      </c>
      <c r="M165" s="10">
        <f t="shared" si="18"/>
        <v>0.37076629509921899</v>
      </c>
      <c r="P165" s="8">
        <f t="shared" si="19"/>
        <v>-1.0792903444801634</v>
      </c>
    </row>
    <row r="166" spans="1:16" x14ac:dyDescent="0.2">
      <c r="A166" s="8">
        <v>82</v>
      </c>
      <c r="B166" s="8">
        <v>164</v>
      </c>
      <c r="D166">
        <v>1798.4120769741</v>
      </c>
      <c r="E166">
        <v>644.19641672195996</v>
      </c>
      <c r="F166">
        <v>138.09735099337999</v>
      </c>
      <c r="G166">
        <v>118.61125827815</v>
      </c>
      <c r="I166" s="9">
        <f t="shared" si="15"/>
        <v>525.58515844380997</v>
      </c>
      <c r="J166" s="9">
        <f t="shared" si="16"/>
        <v>1660.3147259807201</v>
      </c>
      <c r="K166" s="9">
        <f t="shared" si="17"/>
        <v>525.58515844380997</v>
      </c>
      <c r="L166" s="10">
        <f t="shared" si="14"/>
        <v>0.31655754792715918</v>
      </c>
      <c r="M166" s="10">
        <f t="shared" si="18"/>
        <v>0.38674462454772918</v>
      </c>
      <c r="P166" s="8">
        <f t="shared" si="19"/>
        <v>3.1837392486853777</v>
      </c>
    </row>
    <row r="167" spans="1:16" x14ac:dyDescent="0.2">
      <c r="A167" s="8">
        <v>82.5</v>
      </c>
      <c r="B167" s="8">
        <v>165</v>
      </c>
      <c r="D167">
        <v>1849.1373589914001</v>
      </c>
      <c r="E167">
        <v>712.53682813537</v>
      </c>
      <c r="F167">
        <v>138.53377483444001</v>
      </c>
      <c r="G167">
        <v>119.01059602649001</v>
      </c>
      <c r="I167" s="9">
        <f t="shared" si="15"/>
        <v>593.52623210887998</v>
      </c>
      <c r="J167" s="9">
        <f t="shared" si="16"/>
        <v>1710.6035841569601</v>
      </c>
      <c r="K167" s="9">
        <f t="shared" si="17"/>
        <v>593.52623210887998</v>
      </c>
      <c r="L167" s="10">
        <f t="shared" si="14"/>
        <v>0.3469688930889202</v>
      </c>
      <c r="M167" s="10">
        <f t="shared" si="18"/>
        <v>0.41758393968888391</v>
      </c>
      <c r="P167" s="8">
        <f t="shared" si="19"/>
        <v>11.411690331015759</v>
      </c>
    </row>
    <row r="168" spans="1:16" x14ac:dyDescent="0.2">
      <c r="A168" s="8">
        <v>83</v>
      </c>
      <c r="B168" s="8">
        <v>166</v>
      </c>
      <c r="D168">
        <v>1839.8485254692</v>
      </c>
      <c r="E168">
        <v>717.66219839142002</v>
      </c>
      <c r="F168">
        <v>138.78079470199</v>
      </c>
      <c r="G168">
        <v>118.64900662252001</v>
      </c>
      <c r="I168" s="9">
        <f t="shared" si="15"/>
        <v>599.01319176890001</v>
      </c>
      <c r="J168" s="9">
        <f t="shared" si="16"/>
        <v>1701.0677307672099</v>
      </c>
      <c r="K168" s="9">
        <f t="shared" si="17"/>
        <v>599.01319176890001</v>
      </c>
      <c r="L168" s="10">
        <f t="shared" si="14"/>
        <v>0.35213953032824569</v>
      </c>
      <c r="M168" s="10">
        <f t="shared" si="18"/>
        <v>0.4231825469076031</v>
      </c>
      <c r="P168" s="8">
        <f t="shared" si="19"/>
        <v>12.905402695053631</v>
      </c>
    </row>
    <row r="169" spans="1:16" x14ac:dyDescent="0.2">
      <c r="A169" s="8">
        <v>83.5</v>
      </c>
      <c r="B169" s="8">
        <v>167</v>
      </c>
      <c r="D169">
        <v>1864.7707774799001</v>
      </c>
      <c r="E169">
        <v>739.51407506702003</v>
      </c>
      <c r="F169">
        <v>138.46092715232001</v>
      </c>
      <c r="G169">
        <v>119.04238410596</v>
      </c>
      <c r="I169" s="9">
        <f t="shared" si="15"/>
        <v>620.47169096106006</v>
      </c>
      <c r="J169" s="9">
        <f t="shared" si="16"/>
        <v>1726.3098503275801</v>
      </c>
      <c r="K169" s="9">
        <f t="shared" si="17"/>
        <v>620.47169096106006</v>
      </c>
      <c r="L169" s="10">
        <f t="shared" si="14"/>
        <v>0.35942081361774131</v>
      </c>
      <c r="M169" s="10">
        <f t="shared" si="18"/>
        <v>0.43089180017649242</v>
      </c>
      <c r="P169" s="8">
        <f t="shared" si="19"/>
        <v>14.962236917454003</v>
      </c>
    </row>
    <row r="170" spans="1:16" x14ac:dyDescent="0.2">
      <c r="A170" s="8">
        <v>84</v>
      </c>
      <c r="B170" s="8">
        <v>168</v>
      </c>
      <c r="D170">
        <v>1833.0616621984</v>
      </c>
      <c r="E170">
        <v>735.71849865952004</v>
      </c>
      <c r="F170">
        <v>138.88675496689001</v>
      </c>
      <c r="G170">
        <v>118.99602649006999</v>
      </c>
      <c r="I170" s="9">
        <f t="shared" si="15"/>
        <v>616.72247216945004</v>
      </c>
      <c r="J170" s="9">
        <f t="shared" si="16"/>
        <v>1694.1749072315099</v>
      </c>
      <c r="K170" s="9">
        <f t="shared" si="17"/>
        <v>616.72247216945004</v>
      </c>
      <c r="L170" s="10">
        <f t="shared" si="14"/>
        <v>0.36402526653948047</v>
      </c>
      <c r="M170" s="10">
        <f t="shared" si="18"/>
        <v>0.43592422307762535</v>
      </c>
      <c r="P170" s="8">
        <f t="shared" si="19"/>
        <v>16.304890905280871</v>
      </c>
    </row>
    <row r="171" spans="1:16" x14ac:dyDescent="0.2">
      <c r="A171" s="8">
        <v>84.5</v>
      </c>
      <c r="B171" s="8">
        <v>169</v>
      </c>
      <c r="D171">
        <v>1661.4497319034999</v>
      </c>
      <c r="E171">
        <v>703.17024128686</v>
      </c>
      <c r="F171">
        <v>139.13973509933999</v>
      </c>
      <c r="G171">
        <v>119.16225165563</v>
      </c>
      <c r="I171" s="9">
        <f t="shared" si="15"/>
        <v>584.00798963122998</v>
      </c>
      <c r="J171" s="9">
        <f t="shared" si="16"/>
        <v>1522.3099968041599</v>
      </c>
      <c r="K171" s="9">
        <f t="shared" si="17"/>
        <v>584.00798963122998</v>
      </c>
      <c r="L171" s="10">
        <f t="shared" si="14"/>
        <v>0.38363276261553753</v>
      </c>
      <c r="M171" s="10">
        <f t="shared" si="18"/>
        <v>0.45595968913307611</v>
      </c>
      <c r="P171" s="8">
        <f t="shared" si="19"/>
        <v>21.650367413478289</v>
      </c>
    </row>
    <row r="172" spans="1:16" x14ac:dyDescent="0.2">
      <c r="A172" s="8">
        <v>85</v>
      </c>
      <c r="B172" s="8">
        <v>170</v>
      </c>
      <c r="D172">
        <v>1689.0180965147999</v>
      </c>
      <c r="E172">
        <v>721.34517426273999</v>
      </c>
      <c r="F172">
        <v>139.03642384106001</v>
      </c>
      <c r="G172">
        <v>118.78410596027</v>
      </c>
      <c r="I172" s="9">
        <f t="shared" si="15"/>
        <v>602.56106830246995</v>
      </c>
      <c r="J172" s="9">
        <f t="shared" si="16"/>
        <v>1549.9816726737399</v>
      </c>
      <c r="K172" s="9">
        <f t="shared" si="17"/>
        <v>602.56106830246995</v>
      </c>
      <c r="L172" s="10">
        <f t="shared" si="14"/>
        <v>0.3887536729792706</v>
      </c>
      <c r="M172" s="10">
        <f t="shared" si="18"/>
        <v>0.46150856947620289</v>
      </c>
      <c r="P172" s="8">
        <f t="shared" si="19"/>
        <v>23.130812611952379</v>
      </c>
    </row>
    <row r="173" spans="1:16" x14ac:dyDescent="0.2">
      <c r="A173" s="8">
        <v>85.5</v>
      </c>
      <c r="B173" s="8">
        <v>171</v>
      </c>
      <c r="D173">
        <v>1788.4557640751</v>
      </c>
      <c r="E173">
        <v>751.80831099195996</v>
      </c>
      <c r="F173">
        <v>138.84370860927001</v>
      </c>
      <c r="G173">
        <v>118.90132450330999</v>
      </c>
      <c r="I173" s="9">
        <f t="shared" si="15"/>
        <v>632.90698648864998</v>
      </c>
      <c r="J173" s="9">
        <f t="shared" si="16"/>
        <v>1649.6120554658301</v>
      </c>
      <c r="K173" s="9">
        <f t="shared" si="17"/>
        <v>632.90698648864998</v>
      </c>
      <c r="L173" s="10">
        <f t="shared" si="14"/>
        <v>0.38367019954271908</v>
      </c>
      <c r="M173" s="10">
        <f t="shared" si="18"/>
        <v>0.45685306601904507</v>
      </c>
      <c r="P173" s="8">
        <f t="shared" si="19"/>
        <v>21.888720998251252</v>
      </c>
    </row>
    <row r="174" spans="1:16" x14ac:dyDescent="0.2">
      <c r="A174" s="8">
        <v>86</v>
      </c>
      <c r="B174" s="8">
        <v>172</v>
      </c>
      <c r="D174">
        <v>1794.6648793566001</v>
      </c>
      <c r="E174">
        <v>744.5</v>
      </c>
      <c r="F174">
        <v>138.56556291390999</v>
      </c>
      <c r="G174">
        <v>118.76357615894</v>
      </c>
      <c r="I174" s="9">
        <f t="shared" si="15"/>
        <v>625.73642384106006</v>
      </c>
      <c r="J174" s="9">
        <f t="shared" si="16"/>
        <v>1656.09931644269</v>
      </c>
      <c r="K174" s="9">
        <f t="shared" si="17"/>
        <v>625.73642384106006</v>
      </c>
      <c r="L174" s="10">
        <f t="shared" si="14"/>
        <v>0.37783749901252611</v>
      </c>
      <c r="M174" s="10">
        <f t="shared" si="18"/>
        <v>0.45144833546824586</v>
      </c>
      <c r="P174" s="8">
        <f t="shared" si="19"/>
        <v>20.44673506628067</v>
      </c>
    </row>
    <row r="175" spans="1:16" x14ac:dyDescent="0.2">
      <c r="A175" s="8">
        <v>86.5</v>
      </c>
      <c r="B175" s="8">
        <v>173</v>
      </c>
      <c r="D175">
        <v>1881.7850033179</v>
      </c>
      <c r="E175">
        <v>777.50298606502997</v>
      </c>
      <c r="F175">
        <v>138.25761589403999</v>
      </c>
      <c r="G175">
        <v>119.07880794702</v>
      </c>
      <c r="I175" s="9">
        <f t="shared" si="15"/>
        <v>658.42417811800999</v>
      </c>
      <c r="J175" s="9">
        <f t="shared" si="16"/>
        <v>1743.5273874238601</v>
      </c>
      <c r="K175" s="9">
        <f t="shared" si="17"/>
        <v>658.42417811800999</v>
      </c>
      <c r="L175" s="10">
        <f t="shared" si="14"/>
        <v>0.37763913711207098</v>
      </c>
      <c r="M175" s="10">
        <f t="shared" si="18"/>
        <v>0.45167794354718444</v>
      </c>
      <c r="P175" s="8">
        <f t="shared" si="19"/>
        <v>20.507994664068992</v>
      </c>
    </row>
    <row r="176" spans="1:16" x14ac:dyDescent="0.2">
      <c r="A176" s="8">
        <v>87</v>
      </c>
      <c r="B176" s="8">
        <v>174</v>
      </c>
      <c r="D176">
        <v>1888.6602521566001</v>
      </c>
      <c r="E176">
        <v>784.48838752487995</v>
      </c>
      <c r="F176">
        <v>138.77615894039999</v>
      </c>
      <c r="G176">
        <v>118.87019867550001</v>
      </c>
      <c r="I176" s="9">
        <f t="shared" si="15"/>
        <v>665.61818884937998</v>
      </c>
      <c r="J176" s="9">
        <f t="shared" si="16"/>
        <v>1749.8840932162002</v>
      </c>
      <c r="K176" s="9">
        <f t="shared" si="17"/>
        <v>665.61818884937998</v>
      </c>
      <c r="L176" s="10">
        <f t="shared" si="14"/>
        <v>0.38037844416655436</v>
      </c>
      <c r="M176" s="10">
        <f t="shared" si="18"/>
        <v>0.45484522058106153</v>
      </c>
      <c r="P176" s="8">
        <f t="shared" si="19"/>
        <v>21.353026415897748</v>
      </c>
    </row>
    <row r="177" spans="1:16" x14ac:dyDescent="0.2">
      <c r="A177" s="8">
        <v>87.5</v>
      </c>
      <c r="B177" s="8">
        <v>175</v>
      </c>
      <c r="D177">
        <v>1849.4737889846999</v>
      </c>
      <c r="E177">
        <v>764.54280026542995</v>
      </c>
      <c r="F177">
        <v>139.10927152318001</v>
      </c>
      <c r="G177">
        <v>118.79867549669</v>
      </c>
      <c r="I177" s="9">
        <f t="shared" si="15"/>
        <v>645.74412476873999</v>
      </c>
      <c r="J177" s="9">
        <f t="shared" si="16"/>
        <v>1710.3645174615199</v>
      </c>
      <c r="K177" s="9">
        <f t="shared" si="17"/>
        <v>645.74412476873999</v>
      </c>
      <c r="L177" s="10">
        <f t="shared" si="14"/>
        <v>0.37754766201951923</v>
      </c>
      <c r="M177" s="10">
        <f t="shared" si="18"/>
        <v>0.45244240841342009</v>
      </c>
      <c r="P177" s="8">
        <f t="shared" si="19"/>
        <v>20.711954430839342</v>
      </c>
    </row>
    <row r="178" spans="1:16" x14ac:dyDescent="0.2">
      <c r="A178" s="8">
        <v>88</v>
      </c>
      <c r="B178" s="8">
        <v>176</v>
      </c>
      <c r="D178">
        <v>1834.0212342402001</v>
      </c>
      <c r="E178">
        <v>756.60849369609002</v>
      </c>
      <c r="F178">
        <v>138.56291390729001</v>
      </c>
      <c r="G178">
        <v>118.89668874172</v>
      </c>
      <c r="I178" s="9">
        <f t="shared" si="15"/>
        <v>637.71180495437</v>
      </c>
      <c r="J178" s="9">
        <f t="shared" si="16"/>
        <v>1695.45832033291</v>
      </c>
      <c r="K178" s="9">
        <f t="shared" si="17"/>
        <v>637.71180495437</v>
      </c>
      <c r="L178" s="10">
        <f t="shared" si="14"/>
        <v>0.37612944966358874</v>
      </c>
      <c r="M178" s="10">
        <f t="shared" si="18"/>
        <v>0.45145216603688337</v>
      </c>
      <c r="P178" s="8">
        <f t="shared" si="19"/>
        <v>20.447757064701282</v>
      </c>
    </row>
    <row r="179" spans="1:16" x14ac:dyDescent="0.2">
      <c r="A179" s="8">
        <v>88.5</v>
      </c>
      <c r="B179" s="8">
        <v>177</v>
      </c>
      <c r="D179">
        <v>1794.3021390373999</v>
      </c>
      <c r="E179">
        <v>735.40775401070005</v>
      </c>
      <c r="F179">
        <v>138.99470198675999</v>
      </c>
      <c r="G179">
        <v>119.1</v>
      </c>
      <c r="I179" s="9">
        <f t="shared" si="15"/>
        <v>616.30775401070002</v>
      </c>
      <c r="J179" s="9">
        <f t="shared" si="16"/>
        <v>1655.3074370506399</v>
      </c>
      <c r="K179" s="9">
        <f t="shared" si="17"/>
        <v>616.30775401070002</v>
      </c>
      <c r="L179" s="10">
        <f t="shared" si="14"/>
        <v>0.37232222861803382</v>
      </c>
      <c r="M179" s="10">
        <f t="shared" si="18"/>
        <v>0.44807291497072216</v>
      </c>
      <c r="P179" s="8">
        <f t="shared" si="19"/>
        <v>19.54617049119846</v>
      </c>
    </row>
    <row r="180" spans="1:16" x14ac:dyDescent="0.2">
      <c r="A180" s="8">
        <v>89</v>
      </c>
      <c r="B180" s="8">
        <v>178</v>
      </c>
      <c r="D180">
        <v>1850.2546419098001</v>
      </c>
      <c r="E180">
        <v>752.46618037134999</v>
      </c>
      <c r="F180">
        <v>139.08675496689</v>
      </c>
      <c r="G180">
        <v>118.71125827815</v>
      </c>
      <c r="I180" s="9">
        <f t="shared" si="15"/>
        <v>633.75492209319998</v>
      </c>
      <c r="J180" s="9">
        <f t="shared" si="16"/>
        <v>1711.1678869429102</v>
      </c>
      <c r="K180" s="9">
        <f t="shared" si="17"/>
        <v>633.75492209319998</v>
      </c>
      <c r="L180" s="10">
        <f t="shared" si="14"/>
        <v>0.37036396424282825</v>
      </c>
      <c r="M180" s="10">
        <f t="shared" si="18"/>
        <v>0.44654262057491029</v>
      </c>
      <c r="P180" s="8">
        <f t="shared" si="19"/>
        <v>19.137886864513717</v>
      </c>
    </row>
    <row r="181" spans="1:16" x14ac:dyDescent="0.2">
      <c r="A181" s="8">
        <v>89.5</v>
      </c>
      <c r="B181" s="8">
        <v>179</v>
      </c>
      <c r="D181">
        <v>1834.3302387268</v>
      </c>
      <c r="E181">
        <v>745.89522546419005</v>
      </c>
      <c r="F181">
        <v>138.27284768211999</v>
      </c>
      <c r="G181">
        <v>119.1701986755</v>
      </c>
      <c r="I181" s="9">
        <f t="shared" si="15"/>
        <v>626.72502678869</v>
      </c>
      <c r="J181" s="9">
        <f t="shared" si="16"/>
        <v>1696.0573910446799</v>
      </c>
      <c r="K181" s="9">
        <f t="shared" si="17"/>
        <v>626.72502678869</v>
      </c>
      <c r="L181" s="10">
        <f t="shared" si="14"/>
        <v>0.36951876162790764</v>
      </c>
      <c r="M181" s="10">
        <f t="shared" si="18"/>
        <v>0.44612538793938339</v>
      </c>
      <c r="P181" s="8">
        <f t="shared" si="19"/>
        <v>19.026568902381484</v>
      </c>
    </row>
    <row r="182" spans="1:16" x14ac:dyDescent="0.2">
      <c r="A182" s="8">
        <v>90</v>
      </c>
      <c r="B182" s="8">
        <v>180</v>
      </c>
      <c r="D182">
        <v>1852.6883289125001</v>
      </c>
      <c r="E182">
        <v>753.88925729442997</v>
      </c>
      <c r="F182">
        <v>138.80728476821</v>
      </c>
      <c r="G182">
        <v>119.1821192053</v>
      </c>
      <c r="I182" s="9">
        <f t="shared" si="15"/>
        <v>634.70713808913001</v>
      </c>
      <c r="J182" s="9">
        <f t="shared" si="16"/>
        <v>1713.8810441442902</v>
      </c>
      <c r="K182" s="9">
        <f t="shared" si="17"/>
        <v>634.70713808913001</v>
      </c>
      <c r="L182" s="10">
        <f t="shared" si="14"/>
        <v>0.37033325052382959</v>
      </c>
      <c r="M182" s="10">
        <f>L182+ABS($N$2)*A182</f>
        <v>0.4473678468146991</v>
      </c>
      <c r="P182" s="8">
        <f t="shared" si="19"/>
        <v>19.35805780870491</v>
      </c>
    </row>
    <row r="183" spans="1:16" x14ac:dyDescent="0.2">
      <c r="A183" s="8">
        <v>90.5</v>
      </c>
      <c r="B183" s="8">
        <v>181</v>
      </c>
      <c r="D183">
        <v>1840.4714854111</v>
      </c>
      <c r="E183">
        <v>754.10941644562001</v>
      </c>
      <c r="F183">
        <v>139.06887417218999</v>
      </c>
      <c r="G183">
        <v>119.18410596027</v>
      </c>
      <c r="I183" s="9">
        <f t="shared" si="15"/>
        <v>634.92531048535</v>
      </c>
      <c r="J183" s="9">
        <f t="shared" si="16"/>
        <v>1701.4026112389101</v>
      </c>
      <c r="K183" s="9">
        <f t="shared" si="17"/>
        <v>634.92531048535</v>
      </c>
      <c r="L183" s="10">
        <f t="shared" si="14"/>
        <v>0.37317758083315539</v>
      </c>
      <c r="M183" s="10">
        <f t="shared" ref="M183:M241" si="20">L183+ABS($N$2)*A183</f>
        <v>0.4506401471034186</v>
      </c>
      <c r="P183" s="8">
        <f t="shared" si="19"/>
        <v>20.231109839174593</v>
      </c>
    </row>
    <row r="184" spans="1:16" x14ac:dyDescent="0.2">
      <c r="A184" s="8">
        <v>91</v>
      </c>
      <c r="B184" s="8">
        <v>182</v>
      </c>
      <c r="D184">
        <v>1790.9151193634</v>
      </c>
      <c r="E184">
        <v>736.76591511935999</v>
      </c>
      <c r="F184">
        <v>138.31125827815001</v>
      </c>
      <c r="G184">
        <v>118.68476821192</v>
      </c>
      <c r="I184" s="9">
        <f t="shared" si="15"/>
        <v>618.08114690744003</v>
      </c>
      <c r="J184" s="9">
        <f t="shared" si="16"/>
        <v>1652.6038610852499</v>
      </c>
      <c r="K184" s="9">
        <f t="shared" si="17"/>
        <v>618.08114690744003</v>
      </c>
      <c r="L184" s="10">
        <f t="shared" si="14"/>
        <v>0.37400441900308268</v>
      </c>
      <c r="M184" s="10">
        <f t="shared" si="20"/>
        <v>0.45189495525273959</v>
      </c>
      <c r="P184" s="8">
        <f t="shared" si="19"/>
        <v>20.565893540533278</v>
      </c>
    </row>
    <row r="185" spans="1:16" x14ac:dyDescent="0.2">
      <c r="A185" s="8">
        <v>91.5</v>
      </c>
      <c r="B185" s="8">
        <v>183</v>
      </c>
      <c r="D185">
        <v>1777.2034459906999</v>
      </c>
      <c r="E185">
        <v>734.20278330020005</v>
      </c>
      <c r="F185">
        <v>138.47814569536001</v>
      </c>
      <c r="G185">
        <v>118.79337748344</v>
      </c>
      <c r="I185" s="9">
        <f t="shared" si="15"/>
        <v>615.40940581676</v>
      </c>
      <c r="J185" s="9">
        <f t="shared" si="16"/>
        <v>1638.7253002953398</v>
      </c>
      <c r="K185" s="9">
        <f t="shared" si="17"/>
        <v>615.40940581676</v>
      </c>
      <c r="L185" s="10">
        <f t="shared" si="14"/>
        <v>0.37554152956926196</v>
      </c>
      <c r="M185" s="10">
        <f t="shared" si="20"/>
        <v>0.45386003579831258</v>
      </c>
      <c r="P185" s="8">
        <f t="shared" si="19"/>
        <v>21.090178419357866</v>
      </c>
    </row>
    <row r="186" spans="1:16" x14ac:dyDescent="0.2">
      <c r="A186" s="8">
        <v>92</v>
      </c>
      <c r="B186" s="8">
        <v>184</v>
      </c>
      <c r="D186">
        <v>1802.7912524850999</v>
      </c>
      <c r="E186">
        <v>747.18422796554</v>
      </c>
      <c r="F186">
        <v>138.65496688741999</v>
      </c>
      <c r="G186">
        <v>118.75761589404</v>
      </c>
      <c r="I186" s="9">
        <f t="shared" si="15"/>
        <v>628.42661207150002</v>
      </c>
      <c r="J186" s="9">
        <f t="shared" si="16"/>
        <v>1664.1362855976799</v>
      </c>
      <c r="K186" s="9">
        <f t="shared" si="17"/>
        <v>628.42661207150002</v>
      </c>
      <c r="L186" s="10">
        <f t="shared" si="14"/>
        <v>0.37762929485417629</v>
      </c>
      <c r="M186" s="10">
        <f t="shared" si="20"/>
        <v>0.45637577106262067</v>
      </c>
      <c r="P186" s="8">
        <f t="shared" si="19"/>
        <v>21.761378366440915</v>
      </c>
    </row>
    <row r="187" spans="1:16" x14ac:dyDescent="0.2">
      <c r="A187" s="8">
        <v>92.5</v>
      </c>
      <c r="B187" s="8">
        <v>185</v>
      </c>
      <c r="D187">
        <v>1862.046760187</v>
      </c>
      <c r="E187">
        <v>741.92384769539001</v>
      </c>
      <c r="F187">
        <v>139.02251655628999</v>
      </c>
      <c r="G187">
        <v>119.01456953642</v>
      </c>
      <c r="I187" s="9">
        <f t="shared" si="15"/>
        <v>622.90927815896998</v>
      </c>
      <c r="J187" s="9">
        <f t="shared" si="16"/>
        <v>1723.0242436307101</v>
      </c>
      <c r="K187" s="9">
        <f t="shared" si="17"/>
        <v>622.90927815896998</v>
      </c>
      <c r="L187" s="10">
        <f t="shared" si="14"/>
        <v>0.36152090167134993</v>
      </c>
      <c r="M187" s="10">
        <f t="shared" si="20"/>
        <v>0.44069534785918801</v>
      </c>
      <c r="P187" s="8">
        <f t="shared" si="19"/>
        <v>17.577830370074764</v>
      </c>
    </row>
    <row r="188" spans="1:16" x14ac:dyDescent="0.2">
      <c r="A188" s="8">
        <v>93</v>
      </c>
      <c r="B188" s="8">
        <v>186</v>
      </c>
      <c r="D188">
        <v>1884.9550335571</v>
      </c>
      <c r="E188">
        <v>762.74496644295004</v>
      </c>
      <c r="F188">
        <v>138.23841059603001</v>
      </c>
      <c r="G188">
        <v>118.80794701987</v>
      </c>
      <c r="I188" s="9">
        <f t="shared" si="15"/>
        <v>643.93701942308007</v>
      </c>
      <c r="J188" s="9">
        <f t="shared" si="16"/>
        <v>1746.71662296107</v>
      </c>
      <c r="K188" s="9">
        <f t="shared" si="17"/>
        <v>643.93701942308007</v>
      </c>
      <c r="L188" s="10">
        <f t="shared" si="14"/>
        <v>0.36865568859788189</v>
      </c>
      <c r="M188" s="10">
        <f t="shared" si="20"/>
        <v>0.44825810476511369</v>
      </c>
      <c r="P188" s="8">
        <f t="shared" si="19"/>
        <v>19.595579259266948</v>
      </c>
    </row>
    <row r="189" spans="1:16" x14ac:dyDescent="0.2">
      <c r="A189" s="8">
        <v>93.5</v>
      </c>
      <c r="B189" s="8">
        <v>187</v>
      </c>
      <c r="D189">
        <v>1880.4302013423001</v>
      </c>
      <c r="E189">
        <v>754.20201342281996</v>
      </c>
      <c r="F189">
        <v>138.35761589404001</v>
      </c>
      <c r="G189">
        <v>118.76291390729</v>
      </c>
      <c r="I189" s="9">
        <f t="shared" si="15"/>
        <v>635.43909951552996</v>
      </c>
      <c r="J189" s="9">
        <f t="shared" si="16"/>
        <v>1742.07258544826</v>
      </c>
      <c r="K189" s="9">
        <f t="shared" si="17"/>
        <v>635.43909951552996</v>
      </c>
      <c r="L189" s="10">
        <f t="shared" si="14"/>
        <v>0.36476040368434043</v>
      </c>
      <c r="M189" s="10">
        <f t="shared" si="20"/>
        <v>0.44479078983096598</v>
      </c>
      <c r="P189" s="8">
        <f t="shared" si="19"/>
        <v>18.670497183526255</v>
      </c>
    </row>
    <row r="190" spans="1:16" x14ac:dyDescent="0.2">
      <c r="A190" s="8">
        <v>94</v>
      </c>
      <c r="B190" s="8">
        <v>188</v>
      </c>
      <c r="D190">
        <v>1833.9271523179</v>
      </c>
      <c r="E190">
        <v>737.02649006623005</v>
      </c>
      <c r="F190">
        <v>138.86026490066001</v>
      </c>
      <c r="G190">
        <v>118.8821192053</v>
      </c>
      <c r="I190" s="9">
        <f t="shared" si="15"/>
        <v>618.14437086093005</v>
      </c>
      <c r="J190" s="9">
        <f t="shared" si="16"/>
        <v>1695.06688741724</v>
      </c>
      <c r="K190" s="9">
        <f t="shared" si="17"/>
        <v>618.14437086093005</v>
      </c>
      <c r="L190" s="10">
        <f t="shared" si="14"/>
        <v>0.36467255389714548</v>
      </c>
      <c r="M190" s="10">
        <f t="shared" si="20"/>
        <v>0.44513091002316474</v>
      </c>
      <c r="P190" s="8">
        <f t="shared" si="19"/>
        <v>18.761241491261856</v>
      </c>
    </row>
    <row r="191" spans="1:16" x14ac:dyDescent="0.2">
      <c r="A191" s="8">
        <v>94.5</v>
      </c>
      <c r="B191" s="8">
        <v>189</v>
      </c>
      <c r="D191">
        <v>1819.5920529801001</v>
      </c>
      <c r="E191">
        <v>728.42715231787997</v>
      </c>
      <c r="F191">
        <v>138.3238410596</v>
      </c>
      <c r="G191">
        <v>118.97549668873999</v>
      </c>
      <c r="I191" s="9">
        <f t="shared" si="15"/>
        <v>609.45165562913996</v>
      </c>
      <c r="J191" s="9">
        <f t="shared" si="16"/>
        <v>1681.2682119205001</v>
      </c>
      <c r="K191" s="9">
        <f t="shared" si="17"/>
        <v>609.45165562913996</v>
      </c>
      <c r="L191" s="10">
        <f t="shared" si="14"/>
        <v>0.36249519934298163</v>
      </c>
      <c r="M191" s="10">
        <f t="shared" si="20"/>
        <v>0.4433815254483946</v>
      </c>
      <c r="P191" s="8">
        <f t="shared" si="19"/>
        <v>18.294504449939446</v>
      </c>
    </row>
    <row r="192" spans="1:16" x14ac:dyDescent="0.2">
      <c r="A192" s="8">
        <v>95</v>
      </c>
      <c r="B192" s="8">
        <v>190</v>
      </c>
      <c r="D192">
        <v>1859.738410596</v>
      </c>
      <c r="E192">
        <v>740.27086092715001</v>
      </c>
      <c r="F192">
        <v>138.6178807947</v>
      </c>
      <c r="G192">
        <v>118.67880794702</v>
      </c>
      <c r="I192" s="9">
        <f t="shared" si="15"/>
        <v>621.59205298013001</v>
      </c>
      <c r="J192" s="9">
        <f t="shared" si="16"/>
        <v>1721.1205298013001</v>
      </c>
      <c r="K192" s="9">
        <f t="shared" si="17"/>
        <v>621.59205298013001</v>
      </c>
      <c r="L192" s="10">
        <f t="shared" si="14"/>
        <v>0.36115544624401846</v>
      </c>
      <c r="M192" s="10">
        <f t="shared" si="20"/>
        <v>0.44246974232882513</v>
      </c>
      <c r="P192" s="8">
        <f t="shared" si="19"/>
        <v>18.051240069029095</v>
      </c>
    </row>
    <row r="193" spans="1:16" x14ac:dyDescent="0.2">
      <c r="A193" s="8">
        <v>95.5</v>
      </c>
      <c r="B193" s="8">
        <v>191</v>
      </c>
      <c r="D193">
        <v>1852.1940397351</v>
      </c>
      <c r="E193">
        <v>736.08609271523005</v>
      </c>
      <c r="F193">
        <v>138.38609271523001</v>
      </c>
      <c r="G193">
        <v>118.64370860927001</v>
      </c>
      <c r="I193" s="9">
        <f t="shared" si="15"/>
        <v>617.44238410596006</v>
      </c>
      <c r="J193" s="9">
        <f t="shared" si="16"/>
        <v>1713.80794701987</v>
      </c>
      <c r="K193" s="9">
        <f t="shared" si="17"/>
        <v>617.44238410596006</v>
      </c>
      <c r="L193" s="10">
        <f t="shared" si="14"/>
        <v>0.36027513186622034</v>
      </c>
      <c r="M193" s="10">
        <f t="shared" si="20"/>
        <v>0.44201739793042072</v>
      </c>
      <c r="P193" s="8">
        <f t="shared" si="19"/>
        <v>17.93055426373795</v>
      </c>
    </row>
    <row r="194" spans="1:16" x14ac:dyDescent="0.2">
      <c r="A194" s="8">
        <v>96</v>
      </c>
      <c r="B194" s="8">
        <v>192</v>
      </c>
      <c r="D194">
        <v>1933.4799732977001</v>
      </c>
      <c r="E194">
        <v>760.95260347129999</v>
      </c>
      <c r="F194">
        <v>138.49403973509999</v>
      </c>
      <c r="G194">
        <v>118.85629139072999</v>
      </c>
      <c r="I194" s="9">
        <f t="shared" si="15"/>
        <v>642.09631208056999</v>
      </c>
      <c r="J194" s="9">
        <f t="shared" si="16"/>
        <v>1794.9859335626002</v>
      </c>
      <c r="K194" s="9">
        <f t="shared" si="17"/>
        <v>642.09631208056999</v>
      </c>
      <c r="L194" s="10">
        <f t="shared" ref="L194:L257" si="21">K194/J194</f>
        <v>0.35771662611648919</v>
      </c>
      <c r="M194" s="10">
        <f t="shared" si="20"/>
        <v>0.43988686216008333</v>
      </c>
      <c r="P194" s="8">
        <f t="shared" si="19"/>
        <v>17.362125813973265</v>
      </c>
    </row>
    <row r="195" spans="1:16" x14ac:dyDescent="0.2">
      <c r="A195" s="8">
        <v>96.5</v>
      </c>
      <c r="B195" s="8">
        <v>193</v>
      </c>
      <c r="D195">
        <v>1962.8965287049</v>
      </c>
      <c r="E195">
        <v>779.80841121494996</v>
      </c>
      <c r="F195">
        <v>138.76490066225</v>
      </c>
      <c r="G195">
        <v>118.55298013245</v>
      </c>
      <c r="I195" s="9">
        <f t="shared" ref="I195:I241" si="22">E195-G195</f>
        <v>661.25543108249997</v>
      </c>
      <c r="J195" s="9">
        <f t="shared" ref="J195:J241" si="23">D195-F195</f>
        <v>1824.1316280426499</v>
      </c>
      <c r="K195" s="9">
        <f t="shared" ref="K195:K258" si="24">I195*1</f>
        <v>661.25543108249997</v>
      </c>
      <c r="L195" s="10">
        <f t="shared" si="21"/>
        <v>0.36250422991242559</v>
      </c>
      <c r="M195" s="10">
        <f t="shared" si="20"/>
        <v>0.44510243593541343</v>
      </c>
      <c r="P195" s="8">
        <f t="shared" ref="P195:P241" si="25">(M195-$O$2)/$O$2*100</f>
        <v>18.753644584519297</v>
      </c>
    </row>
    <row r="196" spans="1:16" x14ac:dyDescent="0.2">
      <c r="A196" s="8">
        <v>97</v>
      </c>
      <c r="B196" s="8">
        <v>194</v>
      </c>
      <c r="D196">
        <v>1838.8579088472</v>
      </c>
      <c r="E196">
        <v>745.06032171582001</v>
      </c>
      <c r="F196">
        <v>138.79602649007001</v>
      </c>
      <c r="G196">
        <v>118.75430463575999</v>
      </c>
      <c r="I196" s="9">
        <f t="shared" si="22"/>
        <v>626.30601708005997</v>
      </c>
      <c r="J196" s="9">
        <f t="shared" si="23"/>
        <v>1700.0618823571299</v>
      </c>
      <c r="K196" s="9">
        <f t="shared" si="24"/>
        <v>626.30601708005997</v>
      </c>
      <c r="L196" s="10">
        <f t="shared" si="21"/>
        <v>0.36840189382499938</v>
      </c>
      <c r="M196" s="10">
        <f t="shared" si="20"/>
        <v>0.45142806982738093</v>
      </c>
      <c r="P196" s="8">
        <f t="shared" si="25"/>
        <v>20.441328178970576</v>
      </c>
    </row>
    <row r="197" spans="1:16" x14ac:dyDescent="0.2">
      <c r="A197" s="8">
        <v>97.5</v>
      </c>
      <c r="B197" s="8">
        <v>195</v>
      </c>
      <c r="D197">
        <v>1816.1614617939999</v>
      </c>
      <c r="E197">
        <v>733.67707641196</v>
      </c>
      <c r="F197">
        <v>138.40860927151999</v>
      </c>
      <c r="G197">
        <v>118.49735099338</v>
      </c>
      <c r="I197" s="9">
        <f t="shared" si="22"/>
        <v>615.17972541858001</v>
      </c>
      <c r="J197" s="9">
        <f t="shared" si="23"/>
        <v>1677.75285252248</v>
      </c>
      <c r="K197" s="9">
        <f t="shared" si="24"/>
        <v>615.17972541858001</v>
      </c>
      <c r="L197" s="10">
        <f t="shared" si="21"/>
        <v>0.36666885977494545</v>
      </c>
      <c r="M197" s="10">
        <f t="shared" si="20"/>
        <v>0.45012300575672071</v>
      </c>
      <c r="P197" s="8">
        <f t="shared" si="25"/>
        <v>20.093136162268831</v>
      </c>
    </row>
    <row r="198" spans="1:16" x14ac:dyDescent="0.2">
      <c r="A198" s="8">
        <v>98</v>
      </c>
      <c r="B198" s="8">
        <v>196</v>
      </c>
      <c r="D198">
        <v>1769.5150501671999</v>
      </c>
      <c r="E198">
        <v>713.41270903010002</v>
      </c>
      <c r="F198">
        <v>138.47615894040001</v>
      </c>
      <c r="G198">
        <v>118.78675496689</v>
      </c>
      <c r="I198" s="9">
        <f t="shared" si="22"/>
        <v>594.62595406320997</v>
      </c>
      <c r="J198" s="9">
        <f t="shared" si="23"/>
        <v>1631.0388912267999</v>
      </c>
      <c r="K198" s="9">
        <f t="shared" si="24"/>
        <v>594.62595406320997</v>
      </c>
      <c r="L198" s="10">
        <f t="shared" si="21"/>
        <v>0.36456883846341454</v>
      </c>
      <c r="M198" s="10">
        <f t="shared" si="20"/>
        <v>0.44845095442458355</v>
      </c>
      <c r="P198" s="8">
        <f t="shared" si="25"/>
        <v>19.647031684753681</v>
      </c>
    </row>
    <row r="199" spans="1:16" x14ac:dyDescent="0.2">
      <c r="A199" s="8">
        <v>98.5</v>
      </c>
      <c r="B199" s="8">
        <v>197</v>
      </c>
      <c r="D199">
        <v>1724.5919044458999</v>
      </c>
      <c r="E199">
        <v>699.18779031188001</v>
      </c>
      <c r="F199">
        <v>138.28410596027001</v>
      </c>
      <c r="G199">
        <v>118.87549668874</v>
      </c>
      <c r="I199" s="9">
        <f t="shared" si="22"/>
        <v>580.31229362314002</v>
      </c>
      <c r="J199" s="9">
        <f t="shared" si="23"/>
        <v>1586.30779848563</v>
      </c>
      <c r="K199" s="9">
        <f t="shared" si="24"/>
        <v>580.31229362314002</v>
      </c>
      <c r="L199" s="10">
        <f t="shared" si="21"/>
        <v>0.36582578373322983</v>
      </c>
      <c r="M199" s="10">
        <f t="shared" si="20"/>
        <v>0.45013586967379254</v>
      </c>
      <c r="P199" s="8">
        <f t="shared" si="25"/>
        <v>20.096568264438083</v>
      </c>
    </row>
    <row r="200" spans="1:16" x14ac:dyDescent="0.2">
      <c r="A200" s="8">
        <v>99</v>
      </c>
      <c r="B200" s="8">
        <v>198</v>
      </c>
      <c r="D200">
        <v>1774.6204379562</v>
      </c>
      <c r="E200">
        <v>708.44990046450005</v>
      </c>
      <c r="F200">
        <v>138.41456953642</v>
      </c>
      <c r="G200">
        <v>119.01192052979999</v>
      </c>
      <c r="I200" s="9">
        <f t="shared" si="22"/>
        <v>589.43797993470002</v>
      </c>
      <c r="J200" s="9">
        <f t="shared" si="23"/>
        <v>1636.20586841978</v>
      </c>
      <c r="K200" s="9">
        <f t="shared" si="24"/>
        <v>589.43797993470002</v>
      </c>
      <c r="L200" s="10">
        <f t="shared" si="21"/>
        <v>0.36024683159458981</v>
      </c>
      <c r="M200" s="10">
        <f t="shared" si="20"/>
        <v>0.44498488751454623</v>
      </c>
      <c r="P200" s="8">
        <f t="shared" si="25"/>
        <v>18.72228258272796</v>
      </c>
    </row>
    <row r="201" spans="1:16" x14ac:dyDescent="0.2">
      <c r="A201" s="8">
        <v>99.5</v>
      </c>
      <c r="B201" s="8">
        <v>199</v>
      </c>
      <c r="D201">
        <v>1740.3375668449</v>
      </c>
      <c r="E201">
        <v>677.02205882352996</v>
      </c>
      <c r="F201">
        <v>138.13178807947</v>
      </c>
      <c r="G201">
        <v>118.74105960265</v>
      </c>
      <c r="I201" s="9">
        <f t="shared" si="22"/>
        <v>558.28099922087995</v>
      </c>
      <c r="J201" s="9">
        <f t="shared" si="23"/>
        <v>1602.2057787654301</v>
      </c>
      <c r="K201" s="9">
        <f t="shared" si="24"/>
        <v>558.28099922087995</v>
      </c>
      <c r="L201" s="10">
        <f t="shared" si="21"/>
        <v>0.3484452537994589</v>
      </c>
      <c r="M201" s="10">
        <f t="shared" si="20"/>
        <v>0.43361127969880908</v>
      </c>
      <c r="P201" s="8">
        <f t="shared" si="25"/>
        <v>15.687795976616131</v>
      </c>
    </row>
    <row r="202" spans="1:16" x14ac:dyDescent="0.2">
      <c r="A202" s="8">
        <v>100</v>
      </c>
      <c r="B202" s="8">
        <v>200</v>
      </c>
      <c r="D202">
        <v>1784.7259358289</v>
      </c>
      <c r="E202">
        <v>697.65508021389996</v>
      </c>
      <c r="F202">
        <v>138.18609271522999</v>
      </c>
      <c r="G202">
        <v>118.64105960265</v>
      </c>
      <c r="I202" s="9">
        <f t="shared" si="22"/>
        <v>579.01402061124998</v>
      </c>
      <c r="J202" s="9">
        <f t="shared" si="23"/>
        <v>1646.53984311367</v>
      </c>
      <c r="K202" s="9">
        <f t="shared" si="24"/>
        <v>579.01402061124998</v>
      </c>
      <c r="L202" s="10">
        <f t="shared" si="21"/>
        <v>0.35165503163064199</v>
      </c>
      <c r="M202" s="10">
        <f t="shared" si="20"/>
        <v>0.43724902750938588</v>
      </c>
      <c r="P202" s="8">
        <f t="shared" si="25"/>
        <v>16.658349664280145</v>
      </c>
    </row>
    <row r="203" spans="1:16" x14ac:dyDescent="0.2">
      <c r="A203" s="8">
        <v>100.5</v>
      </c>
      <c r="B203" s="8">
        <v>201</v>
      </c>
      <c r="D203">
        <v>1833.5982620320999</v>
      </c>
      <c r="E203">
        <v>723.00267379678996</v>
      </c>
      <c r="F203">
        <v>138.57814569536001</v>
      </c>
      <c r="G203">
        <v>118.87284768212</v>
      </c>
      <c r="I203" s="9">
        <f t="shared" si="22"/>
        <v>604.12982611466998</v>
      </c>
      <c r="J203" s="9">
        <f t="shared" si="23"/>
        <v>1695.0201163367399</v>
      </c>
      <c r="K203" s="9">
        <f t="shared" si="24"/>
        <v>604.12982611466998</v>
      </c>
      <c r="L203" s="10">
        <f t="shared" si="21"/>
        <v>0.35641454652485727</v>
      </c>
      <c r="M203" s="10">
        <f t="shared" si="20"/>
        <v>0.44243651238299486</v>
      </c>
      <c r="P203" s="8">
        <f t="shared" si="25"/>
        <v>18.04237429598879</v>
      </c>
    </row>
    <row r="204" spans="1:16" x14ac:dyDescent="0.2">
      <c r="A204" s="8">
        <v>101</v>
      </c>
      <c r="B204" s="8">
        <v>202</v>
      </c>
      <c r="D204">
        <v>1837.6147651007</v>
      </c>
      <c r="E204">
        <v>709.22617449664006</v>
      </c>
      <c r="F204">
        <v>138.27682119204999</v>
      </c>
      <c r="G204">
        <v>118.75231788080001</v>
      </c>
      <c r="I204" s="9">
        <f t="shared" si="22"/>
        <v>590.47385661584008</v>
      </c>
      <c r="J204" s="9">
        <f t="shared" si="23"/>
        <v>1699.33794390865</v>
      </c>
      <c r="K204" s="9">
        <f t="shared" si="24"/>
        <v>590.47385661584008</v>
      </c>
      <c r="L204" s="10">
        <f t="shared" si="21"/>
        <v>0.34747288420906447</v>
      </c>
      <c r="M204" s="10">
        <f t="shared" si="20"/>
        <v>0.43392282004659577</v>
      </c>
      <c r="P204" s="8">
        <f t="shared" si="25"/>
        <v>15.770915161657317</v>
      </c>
    </row>
    <row r="205" spans="1:16" x14ac:dyDescent="0.2">
      <c r="A205" s="8">
        <v>101.5</v>
      </c>
      <c r="B205" s="8">
        <v>203</v>
      </c>
      <c r="D205">
        <v>1856.0785234898999</v>
      </c>
      <c r="E205">
        <v>723.19328859059999</v>
      </c>
      <c r="F205">
        <v>138.35761589404001</v>
      </c>
      <c r="G205">
        <v>118.54834437085999</v>
      </c>
      <c r="I205" s="9">
        <f t="shared" si="22"/>
        <v>604.64494421973995</v>
      </c>
      <c r="J205" s="9">
        <f t="shared" si="23"/>
        <v>1717.7209075958599</v>
      </c>
      <c r="K205" s="9">
        <f t="shared" si="24"/>
        <v>604.64494421973995</v>
      </c>
      <c r="L205" s="10">
        <f t="shared" si="21"/>
        <v>0.35200418272023443</v>
      </c>
      <c r="M205" s="10">
        <f t="shared" si="20"/>
        <v>0.43888208853715949</v>
      </c>
      <c r="P205" s="8">
        <f t="shared" si="25"/>
        <v>17.09405150102587</v>
      </c>
    </row>
    <row r="206" spans="1:16" x14ac:dyDescent="0.2">
      <c r="A206" s="8">
        <v>102</v>
      </c>
      <c r="B206" s="8">
        <v>204</v>
      </c>
      <c r="D206">
        <v>1746.1136968085</v>
      </c>
      <c r="E206">
        <v>702.49800531915002</v>
      </c>
      <c r="F206">
        <v>138.47748344371001</v>
      </c>
      <c r="G206">
        <v>119.04105960264999</v>
      </c>
      <c r="I206" s="9">
        <f t="shared" si="22"/>
        <v>583.45694571650006</v>
      </c>
      <c r="J206" s="9">
        <f t="shared" si="23"/>
        <v>1607.6362133647899</v>
      </c>
      <c r="K206" s="9">
        <f t="shared" si="24"/>
        <v>583.45694571650006</v>
      </c>
      <c r="L206" s="10">
        <f t="shared" si="21"/>
        <v>0.36292846656851679</v>
      </c>
      <c r="M206" s="10">
        <f t="shared" si="20"/>
        <v>0.45023434236483556</v>
      </c>
      <c r="P206" s="8">
        <f t="shared" si="25"/>
        <v>20.122840848026236</v>
      </c>
    </row>
    <row r="207" spans="1:16" x14ac:dyDescent="0.2">
      <c r="A207" s="8">
        <v>102.5</v>
      </c>
      <c r="B207" s="8">
        <v>205</v>
      </c>
      <c r="D207">
        <v>1795.3636968085</v>
      </c>
      <c r="E207">
        <v>715.13696808510997</v>
      </c>
      <c r="F207">
        <v>138.34172185431001</v>
      </c>
      <c r="G207">
        <v>118.44437086092999</v>
      </c>
      <c r="I207" s="9">
        <f t="shared" si="22"/>
        <v>596.69259722417996</v>
      </c>
      <c r="J207" s="9">
        <f t="shared" si="23"/>
        <v>1657.02197495419</v>
      </c>
      <c r="K207" s="9">
        <f t="shared" si="24"/>
        <v>596.69259722417996</v>
      </c>
      <c r="L207" s="10">
        <f t="shared" si="21"/>
        <v>0.3600993868778814</v>
      </c>
      <c r="M207" s="10">
        <f t="shared" si="20"/>
        <v>0.44783323265359387</v>
      </c>
      <c r="P207" s="8">
        <f t="shared" si="25"/>
        <v>19.482223079538876</v>
      </c>
    </row>
    <row r="208" spans="1:16" x14ac:dyDescent="0.2">
      <c r="A208" s="8">
        <v>103</v>
      </c>
      <c r="B208" s="8">
        <v>206</v>
      </c>
      <c r="D208">
        <v>1761.6017287233999</v>
      </c>
      <c r="E208">
        <v>692.05452127659998</v>
      </c>
      <c r="F208">
        <v>138.08278145694999</v>
      </c>
      <c r="G208">
        <v>118.31192052980001</v>
      </c>
      <c r="I208" s="9">
        <f t="shared" si="22"/>
        <v>573.74260074680001</v>
      </c>
      <c r="J208" s="9">
        <f t="shared" si="23"/>
        <v>1623.5189472664499</v>
      </c>
      <c r="K208" s="9">
        <f t="shared" si="24"/>
        <v>573.74260074680001</v>
      </c>
      <c r="L208" s="10">
        <f t="shared" si="21"/>
        <v>0.35339445943197734</v>
      </c>
      <c r="M208" s="10">
        <f t="shared" si="20"/>
        <v>0.44155627518708351</v>
      </c>
      <c r="P208" s="8">
        <f t="shared" si="25"/>
        <v>17.807526389812651</v>
      </c>
    </row>
    <row r="209" spans="1:16" x14ac:dyDescent="0.2">
      <c r="A209" s="8">
        <v>103.5</v>
      </c>
      <c r="B209" s="8">
        <v>207</v>
      </c>
      <c r="D209">
        <v>1685.602393617</v>
      </c>
      <c r="E209">
        <v>674.25997340425999</v>
      </c>
      <c r="F209">
        <v>138.45298013244999</v>
      </c>
      <c r="G209">
        <v>118.50066225166</v>
      </c>
      <c r="I209" s="9">
        <f t="shared" si="22"/>
        <v>555.75931115260005</v>
      </c>
      <c r="J209" s="9">
        <f t="shared" si="23"/>
        <v>1547.14941348455</v>
      </c>
      <c r="K209" s="9">
        <f t="shared" si="24"/>
        <v>555.75931115260005</v>
      </c>
      <c r="L209" s="10">
        <f t="shared" si="21"/>
        <v>0.35921502235579</v>
      </c>
      <c r="M209" s="10">
        <f t="shared" si="20"/>
        <v>0.44780480809028989</v>
      </c>
      <c r="P209" s="8">
        <f t="shared" si="25"/>
        <v>19.474639385953875</v>
      </c>
    </row>
    <row r="210" spans="1:16" x14ac:dyDescent="0.2">
      <c r="A210" s="8">
        <v>104</v>
      </c>
      <c r="B210" s="8">
        <v>208</v>
      </c>
      <c r="D210">
        <v>1712.1535904254999</v>
      </c>
      <c r="E210">
        <v>681.50398936169995</v>
      </c>
      <c r="F210">
        <v>138.20066225165999</v>
      </c>
      <c r="G210">
        <v>118.72185430464</v>
      </c>
      <c r="I210" s="9">
        <f t="shared" si="22"/>
        <v>562.78213505705992</v>
      </c>
      <c r="J210" s="9">
        <f t="shared" si="23"/>
        <v>1573.9529281738401</v>
      </c>
      <c r="K210" s="9">
        <f t="shared" si="24"/>
        <v>562.78213505705992</v>
      </c>
      <c r="L210" s="10">
        <f t="shared" si="21"/>
        <v>0.35755969888503664</v>
      </c>
      <c r="M210" s="10">
        <f t="shared" si="20"/>
        <v>0.44657745459893028</v>
      </c>
      <c r="P210" s="8">
        <f t="shared" si="25"/>
        <v>19.147180606749085</v>
      </c>
    </row>
    <row r="211" spans="1:16" x14ac:dyDescent="0.2">
      <c r="A211" s="8">
        <v>104.5</v>
      </c>
      <c r="B211" s="8">
        <v>209</v>
      </c>
      <c r="D211">
        <v>1811.6285140561999</v>
      </c>
      <c r="E211">
        <v>700.07028112449996</v>
      </c>
      <c r="F211">
        <v>138.14105960264999</v>
      </c>
      <c r="G211">
        <v>118.22913907285</v>
      </c>
      <c r="I211" s="9">
        <f t="shared" si="22"/>
        <v>581.84114205164997</v>
      </c>
      <c r="J211" s="9">
        <f t="shared" si="23"/>
        <v>1673.4874544535501</v>
      </c>
      <c r="K211" s="9">
        <f t="shared" si="24"/>
        <v>581.84114205164997</v>
      </c>
      <c r="L211" s="10">
        <f t="shared" si="21"/>
        <v>0.34768180693750145</v>
      </c>
      <c r="M211" s="10">
        <f t="shared" si="20"/>
        <v>0.4371275326307888</v>
      </c>
      <c r="P211" s="8">
        <f t="shared" si="25"/>
        <v>16.625934744776423</v>
      </c>
    </row>
    <row r="212" spans="1:16" x14ac:dyDescent="0.2">
      <c r="A212" s="8">
        <v>105</v>
      </c>
      <c r="B212" s="8">
        <v>210</v>
      </c>
      <c r="D212">
        <v>1849.2617940199</v>
      </c>
      <c r="E212">
        <v>698.76744186046994</v>
      </c>
      <c r="F212">
        <v>138.01523178808</v>
      </c>
      <c r="G212">
        <v>118.53046357616</v>
      </c>
      <c r="I212" s="9">
        <f t="shared" si="22"/>
        <v>580.23697828431</v>
      </c>
      <c r="J212" s="9">
        <f t="shared" si="23"/>
        <v>1711.24656223182</v>
      </c>
      <c r="K212" s="9">
        <f t="shared" si="24"/>
        <v>580.23697828431</v>
      </c>
      <c r="L212" s="10">
        <f t="shared" si="21"/>
        <v>0.33907269185543948</v>
      </c>
      <c r="M212" s="10">
        <f t="shared" si="20"/>
        <v>0.42894638752812053</v>
      </c>
      <c r="P212" s="8">
        <f t="shared" si="25"/>
        <v>14.443199447507403</v>
      </c>
    </row>
    <row r="213" spans="1:16" x14ac:dyDescent="0.2">
      <c r="A213" s="8">
        <v>105.5</v>
      </c>
      <c r="B213" s="8">
        <v>211</v>
      </c>
      <c r="D213">
        <v>1771.4803986710999</v>
      </c>
      <c r="E213">
        <v>678.54684385381995</v>
      </c>
      <c r="F213">
        <v>138.25033112583</v>
      </c>
      <c r="G213">
        <v>118.62119205298001</v>
      </c>
      <c r="I213" s="9">
        <f t="shared" si="22"/>
        <v>559.92565180083989</v>
      </c>
      <c r="J213" s="9">
        <f t="shared" si="23"/>
        <v>1633.23006754527</v>
      </c>
      <c r="K213" s="9">
        <f t="shared" si="24"/>
        <v>559.92565180083989</v>
      </c>
      <c r="L213" s="10">
        <f t="shared" si="21"/>
        <v>0.342833298827521</v>
      </c>
      <c r="M213" s="10">
        <f t="shared" si="20"/>
        <v>0.43313496447959576</v>
      </c>
      <c r="P213" s="8">
        <f t="shared" si="25"/>
        <v>15.560714739386365</v>
      </c>
    </row>
    <row r="214" spans="1:16" x14ac:dyDescent="0.2">
      <c r="A214" s="8">
        <v>106</v>
      </c>
      <c r="B214" s="8">
        <v>212</v>
      </c>
      <c r="D214">
        <v>1847.9521912350999</v>
      </c>
      <c r="E214">
        <v>705.76759628154002</v>
      </c>
      <c r="F214">
        <v>138.1178807947</v>
      </c>
      <c r="G214">
        <v>118.42649006623</v>
      </c>
      <c r="I214" s="9">
        <f t="shared" si="22"/>
        <v>587.34110621530999</v>
      </c>
      <c r="J214" s="9">
        <f t="shared" si="23"/>
        <v>1709.8343104403998</v>
      </c>
      <c r="K214" s="9">
        <f t="shared" si="24"/>
        <v>587.34110621530999</v>
      </c>
      <c r="L214" s="10">
        <f t="shared" si="21"/>
        <v>0.34350761511156558</v>
      </c>
      <c r="M214" s="10">
        <f t="shared" si="20"/>
        <v>0.4342372507430341</v>
      </c>
      <c r="P214" s="8">
        <f t="shared" si="25"/>
        <v>15.854805493762166</v>
      </c>
    </row>
    <row r="215" spans="1:16" x14ac:dyDescent="0.2">
      <c r="A215" s="8">
        <v>106.5</v>
      </c>
      <c r="B215" s="8">
        <v>213</v>
      </c>
      <c r="D215">
        <v>1947.3426294820999</v>
      </c>
      <c r="E215">
        <v>752.15869853918002</v>
      </c>
      <c r="F215">
        <v>138.10860927152001</v>
      </c>
      <c r="G215">
        <v>118.36490066224999</v>
      </c>
      <c r="I215" s="9">
        <f t="shared" si="22"/>
        <v>633.79379787693006</v>
      </c>
      <c r="J215" s="9">
        <f t="shared" si="23"/>
        <v>1809.23402021058</v>
      </c>
      <c r="K215" s="9">
        <f t="shared" si="24"/>
        <v>633.79379787693006</v>
      </c>
      <c r="L215" s="10">
        <f t="shared" si="21"/>
        <v>0.35031056833828589</v>
      </c>
      <c r="M215" s="10">
        <f t="shared" si="20"/>
        <v>0.44146817394914811</v>
      </c>
      <c r="P215" s="8">
        <f t="shared" si="25"/>
        <v>17.784020917245982</v>
      </c>
    </row>
    <row r="216" spans="1:16" x14ac:dyDescent="0.2">
      <c r="A216" s="8">
        <v>107</v>
      </c>
      <c r="B216" s="8">
        <v>214</v>
      </c>
      <c r="D216">
        <v>1862.4037558685</v>
      </c>
      <c r="E216">
        <v>712.83702213280003</v>
      </c>
      <c r="F216">
        <v>138.01920529801001</v>
      </c>
      <c r="G216">
        <v>118.21854304636</v>
      </c>
      <c r="I216" s="9">
        <f t="shared" si="22"/>
        <v>594.61847908644006</v>
      </c>
      <c r="J216" s="9">
        <f t="shared" si="23"/>
        <v>1724.3845505704899</v>
      </c>
      <c r="K216" s="9">
        <f t="shared" si="24"/>
        <v>594.61847908644006</v>
      </c>
      <c r="L216" s="10">
        <f t="shared" si="21"/>
        <v>0.34482939370439059</v>
      </c>
      <c r="M216" s="10">
        <f t="shared" si="20"/>
        <v>0.43641496929464652</v>
      </c>
      <c r="P216" s="8">
        <f t="shared" si="25"/>
        <v>16.435822342928144</v>
      </c>
    </row>
    <row r="217" spans="1:16" x14ac:dyDescent="0.2">
      <c r="A217" s="8">
        <v>107.5</v>
      </c>
      <c r="B217" s="8">
        <v>215</v>
      </c>
      <c r="D217">
        <v>1893.7498323273001</v>
      </c>
      <c r="E217">
        <v>728.86653252849999</v>
      </c>
      <c r="F217">
        <v>137.94039735099</v>
      </c>
      <c r="G217">
        <v>118.65629139073</v>
      </c>
      <c r="I217" s="9">
        <f t="shared" si="22"/>
        <v>610.21024113777003</v>
      </c>
      <c r="J217" s="9">
        <f t="shared" si="23"/>
        <v>1755.8094349763101</v>
      </c>
      <c r="K217" s="9">
        <f t="shared" si="24"/>
        <v>610.21024113777003</v>
      </c>
      <c r="L217" s="10">
        <f t="shared" si="21"/>
        <v>0.34753785290258632</v>
      </c>
      <c r="M217" s="10">
        <f t="shared" si="20"/>
        <v>0.43955139847223601</v>
      </c>
      <c r="P217" s="8">
        <f t="shared" si="25"/>
        <v>17.272623864890665</v>
      </c>
    </row>
    <row r="218" spans="1:16" x14ac:dyDescent="0.2">
      <c r="A218" s="8">
        <v>108</v>
      </c>
      <c r="B218" s="8">
        <v>216</v>
      </c>
      <c r="D218">
        <v>1866.6161548732</v>
      </c>
      <c r="E218">
        <v>695.63951935914997</v>
      </c>
      <c r="F218">
        <v>138.60331125828</v>
      </c>
      <c r="G218">
        <v>118.85695364238001</v>
      </c>
      <c r="I218" s="9">
        <f t="shared" si="22"/>
        <v>576.78256571677002</v>
      </c>
      <c r="J218" s="9">
        <f t="shared" si="23"/>
        <v>1728.01284361492</v>
      </c>
      <c r="K218" s="9">
        <f t="shared" si="24"/>
        <v>576.78256571677002</v>
      </c>
      <c r="L218" s="10">
        <f t="shared" si="21"/>
        <v>0.33378372611523449</v>
      </c>
      <c r="M218" s="10">
        <f t="shared" si="20"/>
        <v>0.42622524166427789</v>
      </c>
      <c r="P218" s="8">
        <f t="shared" si="25"/>
        <v>13.717195807248078</v>
      </c>
    </row>
    <row r="219" spans="1:16" x14ac:dyDescent="0.2">
      <c r="A219" s="8">
        <v>108.5</v>
      </c>
      <c r="B219" s="8">
        <v>217</v>
      </c>
      <c r="D219">
        <v>1890.4986648864999</v>
      </c>
      <c r="E219">
        <v>706.20827770360995</v>
      </c>
      <c r="F219">
        <v>137.96490066224999</v>
      </c>
      <c r="G219">
        <v>118.49602649006999</v>
      </c>
      <c r="I219" s="9">
        <f t="shared" si="22"/>
        <v>587.71225121353996</v>
      </c>
      <c r="J219" s="9">
        <f t="shared" si="23"/>
        <v>1752.5337642242498</v>
      </c>
      <c r="K219" s="9">
        <f t="shared" si="24"/>
        <v>587.71225121353996</v>
      </c>
      <c r="L219" s="10">
        <f t="shared" si="21"/>
        <v>0.33535003045929207</v>
      </c>
      <c r="M219" s="10">
        <f t="shared" si="20"/>
        <v>0.42821951598772917</v>
      </c>
      <c r="P219" s="8">
        <f t="shared" si="25"/>
        <v>14.249269606649911</v>
      </c>
    </row>
    <row r="220" spans="1:16" x14ac:dyDescent="0.2">
      <c r="A220" s="8">
        <v>109</v>
      </c>
      <c r="B220" s="8">
        <v>218</v>
      </c>
      <c r="D220">
        <v>1873.9052069426</v>
      </c>
      <c r="E220">
        <v>695.87383177569995</v>
      </c>
      <c r="F220">
        <v>138.12052980132</v>
      </c>
      <c r="G220">
        <v>118.51456953642</v>
      </c>
      <c r="I220" s="9">
        <f t="shared" si="22"/>
        <v>577.35926223927993</v>
      </c>
      <c r="J220" s="9">
        <f t="shared" si="23"/>
        <v>1735.7846771412801</v>
      </c>
      <c r="K220" s="9">
        <f t="shared" si="24"/>
        <v>577.35926223927993</v>
      </c>
      <c r="L220" s="10">
        <f t="shared" si="21"/>
        <v>0.33262147652446822</v>
      </c>
      <c r="M220" s="10">
        <f t="shared" si="20"/>
        <v>0.42591893203229902</v>
      </c>
      <c r="P220" s="8">
        <f t="shared" si="25"/>
        <v>13.635472180882413</v>
      </c>
    </row>
    <row r="221" spans="1:16" x14ac:dyDescent="0.2">
      <c r="A221" s="8">
        <v>109.5</v>
      </c>
      <c r="B221" s="8">
        <v>219</v>
      </c>
      <c r="D221">
        <v>1896.5414181577</v>
      </c>
      <c r="E221">
        <v>710.38369781311997</v>
      </c>
      <c r="F221">
        <v>137.64900662252001</v>
      </c>
      <c r="G221">
        <v>118.27682119204999</v>
      </c>
      <c r="I221" s="9">
        <f t="shared" si="22"/>
        <v>592.10687662107</v>
      </c>
      <c r="J221" s="9">
        <f t="shared" si="23"/>
        <v>1758.8924115351801</v>
      </c>
      <c r="K221" s="9">
        <f t="shared" si="24"/>
        <v>592.10687662107</v>
      </c>
      <c r="L221" s="10">
        <f t="shared" si="21"/>
        <v>0.33663621079829026</v>
      </c>
      <c r="M221" s="10">
        <f t="shared" si="20"/>
        <v>0.43036163628551483</v>
      </c>
      <c r="P221" s="8">
        <f t="shared" si="25"/>
        <v>14.820788816527781</v>
      </c>
    </row>
    <row r="222" spans="1:16" x14ac:dyDescent="0.2">
      <c r="A222" s="8">
        <v>110</v>
      </c>
      <c r="B222" s="8">
        <v>220</v>
      </c>
      <c r="D222">
        <v>1841.5811795891</v>
      </c>
      <c r="E222">
        <v>713.46520874752002</v>
      </c>
      <c r="F222">
        <v>138.30662251656</v>
      </c>
      <c r="G222">
        <v>118.07284768212</v>
      </c>
      <c r="I222" s="9">
        <f t="shared" si="22"/>
        <v>595.3923610654</v>
      </c>
      <c r="J222" s="9">
        <f t="shared" si="23"/>
        <v>1703.2745570725399</v>
      </c>
      <c r="K222" s="9">
        <f t="shared" si="24"/>
        <v>595.3923610654</v>
      </c>
      <c r="L222" s="10">
        <f t="shared" si="21"/>
        <v>0.3495574794992039</v>
      </c>
      <c r="M222" s="10">
        <f t="shared" si="20"/>
        <v>0.44371087496582218</v>
      </c>
      <c r="P222" s="8">
        <f t="shared" si="25"/>
        <v>18.382375134031481</v>
      </c>
    </row>
    <row r="223" spans="1:16" x14ac:dyDescent="0.2">
      <c r="A223" s="8">
        <v>110.5</v>
      </c>
      <c r="B223" s="8">
        <v>221</v>
      </c>
      <c r="D223">
        <v>1891.6657736101999</v>
      </c>
      <c r="E223">
        <v>704.0187541862</v>
      </c>
      <c r="F223">
        <v>138.48609271523</v>
      </c>
      <c r="G223">
        <v>118.29470198676</v>
      </c>
      <c r="I223" s="9">
        <f t="shared" si="22"/>
        <v>585.72405219943994</v>
      </c>
      <c r="J223" s="9">
        <f t="shared" si="23"/>
        <v>1753.17968089497</v>
      </c>
      <c r="K223" s="9">
        <f t="shared" si="24"/>
        <v>585.72405219943994</v>
      </c>
      <c r="L223" s="10">
        <f t="shared" si="21"/>
        <v>0.334092425655103</v>
      </c>
      <c r="M223" s="10">
        <f t="shared" si="20"/>
        <v>0.42867379110111498</v>
      </c>
      <c r="P223" s="8">
        <f t="shared" si="25"/>
        <v>14.370470528063063</v>
      </c>
    </row>
    <row r="224" spans="1:16" x14ac:dyDescent="0.2">
      <c r="A224" s="8">
        <v>111</v>
      </c>
      <c r="B224" s="8">
        <v>222</v>
      </c>
      <c r="D224">
        <v>1929.0060281312999</v>
      </c>
      <c r="E224">
        <v>727.13864701941998</v>
      </c>
      <c r="F224">
        <v>137.96225165563001</v>
      </c>
      <c r="G224">
        <v>118.28410596027</v>
      </c>
      <c r="I224" s="9">
        <f t="shared" si="22"/>
        <v>608.85454105914994</v>
      </c>
      <c r="J224" s="9">
        <f t="shared" si="23"/>
        <v>1791.0437764756698</v>
      </c>
      <c r="K224" s="9">
        <f t="shared" si="24"/>
        <v>608.85454105914994</v>
      </c>
      <c r="L224" s="10">
        <f t="shared" si="21"/>
        <v>0.33994397515912467</v>
      </c>
      <c r="M224" s="10">
        <f t="shared" si="20"/>
        <v>0.43495331058453035</v>
      </c>
      <c r="P224" s="8">
        <f t="shared" si="25"/>
        <v>16.045850765710831</v>
      </c>
    </row>
    <row r="225" spans="1:16" x14ac:dyDescent="0.2">
      <c r="A225" s="8">
        <v>111.5</v>
      </c>
      <c r="B225" s="8">
        <v>223</v>
      </c>
      <c r="D225">
        <v>1883.8905305574001</v>
      </c>
      <c r="E225">
        <v>681.61383478845005</v>
      </c>
      <c r="F225">
        <v>138.42847682119</v>
      </c>
      <c r="G225">
        <v>118.5821192053</v>
      </c>
      <c r="I225" s="9">
        <f t="shared" si="22"/>
        <v>563.03171558315</v>
      </c>
      <c r="J225" s="9">
        <f t="shared" si="23"/>
        <v>1745.46205373621</v>
      </c>
      <c r="K225" s="9">
        <f t="shared" si="24"/>
        <v>563.03171558315</v>
      </c>
      <c r="L225" s="10">
        <f t="shared" si="21"/>
        <v>0.32256886615092262</v>
      </c>
      <c r="M225" s="10">
        <f t="shared" si="20"/>
        <v>0.41800617155572206</v>
      </c>
      <c r="P225" s="8">
        <f t="shared" si="25"/>
        <v>11.524342091596173</v>
      </c>
    </row>
    <row r="226" spans="1:16" x14ac:dyDescent="0.2">
      <c r="A226" s="8">
        <v>112</v>
      </c>
      <c r="B226" s="8">
        <v>224</v>
      </c>
      <c r="D226">
        <v>1883.1511081263</v>
      </c>
      <c r="E226">
        <v>684.34251175284999</v>
      </c>
      <c r="F226">
        <v>137.72582781457001</v>
      </c>
      <c r="G226">
        <v>118.3582781457</v>
      </c>
      <c r="I226" s="9">
        <f t="shared" si="22"/>
        <v>565.98423360715003</v>
      </c>
      <c r="J226" s="9">
        <f t="shared" si="23"/>
        <v>1745.4252803117299</v>
      </c>
      <c r="K226" s="9">
        <f t="shared" si="24"/>
        <v>565.98423360715003</v>
      </c>
      <c r="L226" s="10">
        <f t="shared" si="21"/>
        <v>0.32426723732686297</v>
      </c>
      <c r="M226" s="10">
        <f t="shared" si="20"/>
        <v>0.42013251271105612</v>
      </c>
      <c r="P226" s="8">
        <f t="shared" si="25"/>
        <v>12.091651415112475</v>
      </c>
    </row>
    <row r="227" spans="1:16" x14ac:dyDescent="0.2">
      <c r="A227" s="8">
        <v>112.5</v>
      </c>
      <c r="B227" s="8">
        <v>225</v>
      </c>
      <c r="D227">
        <v>1878.9879113499001</v>
      </c>
      <c r="E227">
        <v>687.50167897918004</v>
      </c>
      <c r="F227">
        <v>138.39337748343999</v>
      </c>
      <c r="G227">
        <v>118.46622516556</v>
      </c>
      <c r="I227" s="9">
        <f t="shared" si="22"/>
        <v>569.03545381362005</v>
      </c>
      <c r="J227" s="9">
        <f t="shared" si="23"/>
        <v>1740.5945338664601</v>
      </c>
      <c r="K227" s="9">
        <f t="shared" si="24"/>
        <v>569.03545381362005</v>
      </c>
      <c r="L227" s="10">
        <f t="shared" si="21"/>
        <v>0.32692016592146611</v>
      </c>
      <c r="M227" s="10">
        <f t="shared" si="20"/>
        <v>0.42321341128505297</v>
      </c>
      <c r="P227" s="8">
        <f t="shared" si="25"/>
        <v>12.913637332777645</v>
      </c>
    </row>
    <row r="228" spans="1:16" x14ac:dyDescent="0.2">
      <c r="A228" s="8">
        <v>113</v>
      </c>
      <c r="B228" s="8">
        <v>226</v>
      </c>
      <c r="D228">
        <v>1870.9845533915</v>
      </c>
      <c r="E228">
        <v>683.74009402283002</v>
      </c>
      <c r="F228">
        <v>137.98940397351001</v>
      </c>
      <c r="G228">
        <v>118.33907284768</v>
      </c>
      <c r="I228" s="9">
        <f t="shared" si="22"/>
        <v>565.40102117515005</v>
      </c>
      <c r="J228" s="9">
        <f t="shared" si="23"/>
        <v>1732.99514941799</v>
      </c>
      <c r="K228" s="9">
        <f t="shared" si="24"/>
        <v>565.40102117515005</v>
      </c>
      <c r="L228" s="10">
        <f t="shared" si="21"/>
        <v>0.3262565514768086</v>
      </c>
      <c r="M228" s="10">
        <f t="shared" si="20"/>
        <v>0.42297776681978916</v>
      </c>
      <c r="P228" s="8">
        <f t="shared" si="25"/>
        <v>12.850767222850168</v>
      </c>
    </row>
    <row r="229" spans="1:16" x14ac:dyDescent="0.2">
      <c r="A229" s="8">
        <v>113.5</v>
      </c>
      <c r="B229" s="8">
        <v>227</v>
      </c>
      <c r="D229">
        <v>1858.5977165883</v>
      </c>
      <c r="E229">
        <v>680.30355943586005</v>
      </c>
      <c r="F229">
        <v>138.09271523179001</v>
      </c>
      <c r="G229">
        <v>118.45099337748</v>
      </c>
      <c r="I229" s="9">
        <f t="shared" si="22"/>
        <v>561.85256605838003</v>
      </c>
      <c r="J229" s="9">
        <f t="shared" si="23"/>
        <v>1720.5050013565101</v>
      </c>
      <c r="K229" s="9">
        <f t="shared" si="24"/>
        <v>561.85256605838003</v>
      </c>
      <c r="L229" s="10">
        <f t="shared" si="21"/>
        <v>0.32656258808628547</v>
      </c>
      <c r="M229" s="10">
        <f t="shared" si="20"/>
        <v>0.42371177340865979</v>
      </c>
      <c r="P229" s="8">
        <f t="shared" si="25"/>
        <v>13.046600699686243</v>
      </c>
    </row>
    <row r="230" spans="1:16" x14ac:dyDescent="0.2">
      <c r="A230" s="8">
        <v>114</v>
      </c>
      <c r="B230" s="8">
        <v>228</v>
      </c>
      <c r="D230">
        <v>1860.3472498343001</v>
      </c>
      <c r="E230">
        <v>685.61232604374004</v>
      </c>
      <c r="F230">
        <v>137.96225165563001</v>
      </c>
      <c r="G230">
        <v>118.16953642384</v>
      </c>
      <c r="I230" s="9">
        <f t="shared" si="22"/>
        <v>567.44278961990005</v>
      </c>
      <c r="J230" s="9">
        <f t="shared" si="23"/>
        <v>1722.38499817867</v>
      </c>
      <c r="K230" s="9">
        <f t="shared" si="24"/>
        <v>567.44278961990005</v>
      </c>
      <c r="L230" s="10">
        <f t="shared" si="21"/>
        <v>0.32945177194410102</v>
      </c>
      <c r="M230" s="10">
        <f t="shared" si="20"/>
        <v>0.42702892724586905</v>
      </c>
      <c r="P230" s="8">
        <f t="shared" si="25"/>
        <v>13.9316196886034</v>
      </c>
    </row>
    <row r="231" spans="1:16" x14ac:dyDescent="0.2">
      <c r="A231" s="8">
        <v>114.5</v>
      </c>
      <c r="B231" s="8">
        <v>229</v>
      </c>
      <c r="D231">
        <v>1839.8754141816</v>
      </c>
      <c r="E231">
        <v>681.17031146454997</v>
      </c>
      <c r="F231">
        <v>137.87086092715001</v>
      </c>
      <c r="G231">
        <v>118.66953642384</v>
      </c>
      <c r="I231" s="9">
        <f t="shared" si="22"/>
        <v>562.50077504070998</v>
      </c>
      <c r="J231" s="9">
        <f t="shared" si="23"/>
        <v>1702.00455325445</v>
      </c>
      <c r="K231" s="9">
        <f t="shared" si="24"/>
        <v>562.50077504070998</v>
      </c>
      <c r="L231" s="10">
        <f t="shared" si="21"/>
        <v>0.33049310823824574</v>
      </c>
      <c r="M231" s="10">
        <f t="shared" si="20"/>
        <v>0.42849823351940747</v>
      </c>
      <c r="P231" s="8">
        <f t="shared" si="25"/>
        <v>14.323631641148419</v>
      </c>
    </row>
    <row r="232" spans="1:16" x14ac:dyDescent="0.2">
      <c r="A232" s="8">
        <v>115</v>
      </c>
      <c r="B232" s="8">
        <v>230</v>
      </c>
      <c r="D232">
        <v>1838.521537442</v>
      </c>
      <c r="E232">
        <v>696.18886679921002</v>
      </c>
      <c r="F232">
        <v>138.23443708609</v>
      </c>
      <c r="G232">
        <v>118.23841059602999</v>
      </c>
      <c r="I232" s="9">
        <f t="shared" si="22"/>
        <v>577.95045620318001</v>
      </c>
      <c r="J232" s="9">
        <f t="shared" si="23"/>
        <v>1700.2871003559098</v>
      </c>
      <c r="K232" s="9">
        <f t="shared" si="24"/>
        <v>577.95045620318001</v>
      </c>
      <c r="L232" s="10">
        <f t="shared" si="21"/>
        <v>0.33991345113551791</v>
      </c>
      <c r="M232" s="10">
        <f t="shared" si="20"/>
        <v>0.4383465463960734</v>
      </c>
      <c r="P232" s="8">
        <f t="shared" si="25"/>
        <v>16.951168479168409</v>
      </c>
    </row>
    <row r="233" spans="1:16" x14ac:dyDescent="0.2">
      <c r="A233" s="8">
        <v>115.5</v>
      </c>
      <c r="B233" s="8">
        <v>231</v>
      </c>
      <c r="D233">
        <v>1824.8071570576999</v>
      </c>
      <c r="E233">
        <v>687.41815772035</v>
      </c>
      <c r="F233">
        <v>138.43642384105999</v>
      </c>
      <c r="G233">
        <v>118.52847682119</v>
      </c>
      <c r="I233" s="9">
        <f t="shared" si="22"/>
        <v>568.88968089916</v>
      </c>
      <c r="J233" s="9">
        <f t="shared" si="23"/>
        <v>1686.37073321664</v>
      </c>
      <c r="K233" s="9">
        <f t="shared" si="24"/>
        <v>568.88968089916</v>
      </c>
      <c r="L233" s="10">
        <f t="shared" si="21"/>
        <v>0.33734556090999085</v>
      </c>
      <c r="M233" s="10">
        <f t="shared" si="20"/>
        <v>0.43620662614994005</v>
      </c>
      <c r="P233" s="8">
        <f t="shared" si="25"/>
        <v>16.380236244626758</v>
      </c>
    </row>
    <row r="234" spans="1:16" x14ac:dyDescent="0.2">
      <c r="A234" s="8">
        <v>116</v>
      </c>
      <c r="B234" s="8">
        <v>232</v>
      </c>
      <c r="D234">
        <v>1816.2650762093999</v>
      </c>
      <c r="E234">
        <v>691.36646785950995</v>
      </c>
      <c r="F234">
        <v>138.02185430463999</v>
      </c>
      <c r="G234">
        <v>118.28675496689</v>
      </c>
      <c r="I234" s="9">
        <f t="shared" si="22"/>
        <v>573.07971289261991</v>
      </c>
      <c r="J234" s="9">
        <f t="shared" si="23"/>
        <v>1678.24322190476</v>
      </c>
      <c r="K234" s="9">
        <f t="shared" si="24"/>
        <v>573.07971289261991</v>
      </c>
      <c r="L234" s="10">
        <f t="shared" si="21"/>
        <v>0.34147595855753859</v>
      </c>
      <c r="M234" s="10">
        <f t="shared" si="20"/>
        <v>0.4407649937768815</v>
      </c>
      <c r="P234" s="8">
        <f t="shared" si="25"/>
        <v>17.596411950153414</v>
      </c>
    </row>
    <row r="235" spans="1:16" x14ac:dyDescent="0.2">
      <c r="A235" s="8">
        <v>116.5</v>
      </c>
      <c r="B235" s="8">
        <v>233</v>
      </c>
      <c r="D235">
        <v>1873.6290106951999</v>
      </c>
      <c r="E235">
        <v>716.20387700535002</v>
      </c>
      <c r="F235">
        <v>137.95827814570001</v>
      </c>
      <c r="G235">
        <v>118.62715231788</v>
      </c>
      <c r="I235" s="9">
        <f t="shared" si="22"/>
        <v>597.57672468747</v>
      </c>
      <c r="J235" s="9">
        <f t="shared" si="23"/>
        <v>1735.6707325494999</v>
      </c>
      <c r="K235" s="9">
        <f t="shared" si="24"/>
        <v>597.57672468747</v>
      </c>
      <c r="L235" s="10">
        <f t="shared" si="21"/>
        <v>0.34429152573754518</v>
      </c>
      <c r="M235" s="10">
        <f t="shared" si="20"/>
        <v>0.44400853093628179</v>
      </c>
      <c r="P235" s="8">
        <f t="shared" si="25"/>
        <v>18.461789957385875</v>
      </c>
    </row>
    <row r="236" spans="1:16" x14ac:dyDescent="0.2">
      <c r="A236" s="8">
        <v>117</v>
      </c>
      <c r="B236" s="8">
        <v>234</v>
      </c>
      <c r="D236">
        <v>1819.5207219250999</v>
      </c>
      <c r="E236">
        <v>692.45922459892995</v>
      </c>
      <c r="F236">
        <v>137.94834437086001</v>
      </c>
      <c r="G236">
        <v>118.06291390729</v>
      </c>
      <c r="I236" s="9">
        <f t="shared" si="22"/>
        <v>574.39631069164</v>
      </c>
      <c r="J236" s="9">
        <f t="shared" si="23"/>
        <v>1681.5723775542399</v>
      </c>
      <c r="K236" s="9">
        <f t="shared" si="24"/>
        <v>574.39631069164</v>
      </c>
      <c r="L236" s="10">
        <f t="shared" si="21"/>
        <v>0.34158286515568825</v>
      </c>
      <c r="M236" s="10">
        <f t="shared" si="20"/>
        <v>0.44172784033381862</v>
      </c>
      <c r="P236" s="8">
        <f t="shared" si="25"/>
        <v>17.853300092254102</v>
      </c>
    </row>
    <row r="237" spans="1:16" x14ac:dyDescent="0.2">
      <c r="A237" s="8">
        <v>117.5</v>
      </c>
      <c r="B237" s="8">
        <v>235</v>
      </c>
      <c r="D237">
        <v>1842.203480589</v>
      </c>
      <c r="E237">
        <v>701.34672021418999</v>
      </c>
      <c r="F237">
        <v>137.36688741722</v>
      </c>
      <c r="G237">
        <v>118.31324503310999</v>
      </c>
      <c r="I237" s="9">
        <f t="shared" si="22"/>
        <v>583.03347518108001</v>
      </c>
      <c r="J237" s="9">
        <f t="shared" si="23"/>
        <v>1704.8365931717801</v>
      </c>
      <c r="K237" s="9">
        <f t="shared" si="24"/>
        <v>583.03347518108001</v>
      </c>
      <c r="L237" s="10">
        <f t="shared" si="21"/>
        <v>0.3419878934533952</v>
      </c>
      <c r="M237" s="10">
        <f t="shared" si="20"/>
        <v>0.44256083861091927</v>
      </c>
      <c r="P237" s="8">
        <f t="shared" si="25"/>
        <v>18.075544621494739</v>
      </c>
    </row>
    <row r="238" spans="1:16" x14ac:dyDescent="0.2">
      <c r="A238" s="8">
        <v>118</v>
      </c>
      <c r="B238" s="8">
        <v>236</v>
      </c>
      <c r="D238">
        <v>1840.9243641231999</v>
      </c>
      <c r="E238">
        <v>706.74832663989002</v>
      </c>
      <c r="F238">
        <v>137.65695364237999</v>
      </c>
      <c r="G238">
        <v>118.46291390729</v>
      </c>
      <c r="I238" s="9">
        <f t="shared" si="22"/>
        <v>588.28541273259998</v>
      </c>
      <c r="J238" s="9">
        <f t="shared" si="23"/>
        <v>1703.26741048082</v>
      </c>
      <c r="K238" s="9">
        <f t="shared" si="24"/>
        <v>588.28541273259998</v>
      </c>
      <c r="L238" s="10">
        <f t="shared" si="21"/>
        <v>0.34538640797837566</v>
      </c>
      <c r="M238" s="10">
        <f t="shared" si="20"/>
        <v>0.44638732311529344</v>
      </c>
      <c r="P238" s="8">
        <f t="shared" si="25"/>
        <v>19.096453392496294</v>
      </c>
    </row>
    <row r="239" spans="1:16" x14ac:dyDescent="0.2">
      <c r="A239" s="8">
        <v>118.5</v>
      </c>
      <c r="B239" s="8">
        <v>237</v>
      </c>
      <c r="D239">
        <v>1889.1372155288</v>
      </c>
      <c r="E239">
        <v>716.40294511379</v>
      </c>
      <c r="F239">
        <v>137.67218543045999</v>
      </c>
      <c r="G239">
        <v>118.12649006623001</v>
      </c>
      <c r="I239" s="9">
        <f t="shared" si="22"/>
        <v>598.27645504756003</v>
      </c>
      <c r="J239" s="9">
        <f t="shared" si="23"/>
        <v>1751.4650300983399</v>
      </c>
      <c r="K239" s="9">
        <f t="shared" si="24"/>
        <v>598.27645504756003</v>
      </c>
      <c r="L239" s="10">
        <f t="shared" si="21"/>
        <v>0.34158629762306386</v>
      </c>
      <c r="M239" s="10">
        <f t="shared" si="20"/>
        <v>0.44301518273937535</v>
      </c>
      <c r="P239" s="8">
        <f t="shared" si="25"/>
        <v>18.196763956177431</v>
      </c>
    </row>
    <row r="240" spans="1:16" x14ac:dyDescent="0.2">
      <c r="A240" s="8">
        <v>119</v>
      </c>
      <c r="B240" s="8">
        <v>238</v>
      </c>
      <c r="D240">
        <v>1882.9337349397999</v>
      </c>
      <c r="E240">
        <v>730.14859437750999</v>
      </c>
      <c r="F240">
        <v>137.64635761589</v>
      </c>
      <c r="G240">
        <v>118.1357615894</v>
      </c>
      <c r="I240" s="9">
        <f t="shared" si="22"/>
        <v>612.01283278811002</v>
      </c>
      <c r="J240" s="9">
        <f t="shared" si="23"/>
        <v>1745.2873773239098</v>
      </c>
      <c r="K240" s="9">
        <f t="shared" si="24"/>
        <v>612.01283278811002</v>
      </c>
      <c r="L240" s="10">
        <f t="shared" si="21"/>
        <v>0.35066593659006673</v>
      </c>
      <c r="M240" s="10">
        <f t="shared" si="20"/>
        <v>0.45252279168577192</v>
      </c>
      <c r="P240" s="8">
        <f t="shared" si="25"/>
        <v>20.733400744731892</v>
      </c>
    </row>
    <row r="241" spans="1:16" x14ac:dyDescent="0.2">
      <c r="A241" s="8">
        <v>119.5</v>
      </c>
      <c r="B241" s="8">
        <v>239</v>
      </c>
      <c r="D241">
        <v>1826.300397878</v>
      </c>
      <c r="E241">
        <v>690.93435013263002</v>
      </c>
      <c r="F241">
        <v>137.69139072848</v>
      </c>
      <c r="G241">
        <v>118.45099337748</v>
      </c>
      <c r="I241" s="9">
        <f t="shared" si="22"/>
        <v>572.48335675515</v>
      </c>
      <c r="J241" s="9">
        <f t="shared" si="23"/>
        <v>1688.60900714952</v>
      </c>
      <c r="K241" s="9">
        <f t="shared" si="24"/>
        <v>572.48335675515</v>
      </c>
      <c r="L241" s="10">
        <f t="shared" si="21"/>
        <v>0.3390265919056884</v>
      </c>
      <c r="M241" s="10">
        <f t="shared" si="20"/>
        <v>0.44131141698078735</v>
      </c>
      <c r="P241" s="8">
        <f t="shared" si="25"/>
        <v>17.742198047263845</v>
      </c>
    </row>
    <row r="242" spans="1:16" x14ac:dyDescent="0.2">
      <c r="A242" s="8">
        <v>120</v>
      </c>
      <c r="B242" s="8">
        <v>240</v>
      </c>
      <c r="D242">
        <v>1857.4534038334</v>
      </c>
      <c r="E242">
        <v>689.45935228023995</v>
      </c>
      <c r="F242">
        <v>137.69602649007001</v>
      </c>
      <c r="G242">
        <v>118.1</v>
      </c>
      <c r="I242" s="9">
        <f>E242-G242</f>
        <v>571.35935228023993</v>
      </c>
      <c r="J242" s="9">
        <f>D242-F242</f>
        <v>1719.7573773433301</v>
      </c>
      <c r="K242" s="9">
        <f t="shared" si="24"/>
        <v>571.35935228023993</v>
      </c>
      <c r="L242" s="10">
        <f t="shared" si="21"/>
        <v>0.33223253454674645</v>
      </c>
      <c r="M242" s="10">
        <f>L242+ABS($N$2)*A242</f>
        <v>0.43494532960123911</v>
      </c>
      <c r="O242" s="11"/>
      <c r="P242" s="8">
        <f>(M242-$O$2)/$O$2*100</f>
        <v>16.043721433726361</v>
      </c>
    </row>
    <row r="243" spans="1:16" x14ac:dyDescent="0.2">
      <c r="A243" s="8">
        <v>120.5</v>
      </c>
      <c r="B243" s="8">
        <v>241</v>
      </c>
      <c r="D243">
        <v>1869.2359550562001</v>
      </c>
      <c r="E243">
        <v>684.65829477858995</v>
      </c>
      <c r="F243">
        <v>137.6178807947</v>
      </c>
      <c r="G243">
        <v>118.19072847682</v>
      </c>
      <c r="I243" s="9">
        <f t="shared" ref="I243:I274" si="26">E243-G243</f>
        <v>566.46756630176992</v>
      </c>
      <c r="J243" s="9">
        <f t="shared" ref="J243:J274" si="27">D243-F243</f>
        <v>1731.6180742615002</v>
      </c>
      <c r="K243" s="9">
        <f t="shared" si="24"/>
        <v>566.46756630176992</v>
      </c>
      <c r="L243" s="10">
        <f t="shared" si="21"/>
        <v>0.3271319321053846</v>
      </c>
      <c r="M243" s="10">
        <f t="shared" ref="M243:M274" si="28">L243+ABS($N$2)*A243</f>
        <v>0.43027269713927097</v>
      </c>
      <c r="P243" s="8">
        <f t="shared" ref="P243:P274" si="29">(M243-$O$2)/$O$2*100</f>
        <v>14.797059789432035</v>
      </c>
    </row>
    <row r="244" spans="1:16" x14ac:dyDescent="0.2">
      <c r="A244" s="8">
        <v>121</v>
      </c>
      <c r="B244" s="8">
        <v>242</v>
      </c>
      <c r="D244">
        <v>1818.3390614673001</v>
      </c>
      <c r="E244">
        <v>656.93390614673001</v>
      </c>
      <c r="F244">
        <v>137.63973509933999</v>
      </c>
      <c r="G244">
        <v>118.0642384106</v>
      </c>
      <c r="I244" s="9">
        <f t="shared" si="26"/>
        <v>538.86966773613005</v>
      </c>
      <c r="J244" s="9">
        <f t="shared" si="27"/>
        <v>1680.6993263679601</v>
      </c>
      <c r="K244" s="9">
        <f t="shared" si="24"/>
        <v>538.86966773613005</v>
      </c>
      <c r="L244" s="10">
        <f t="shared" si="21"/>
        <v>0.32062229054416475</v>
      </c>
      <c r="M244" s="10">
        <f t="shared" si="28"/>
        <v>0.42419102555744481</v>
      </c>
      <c r="N244" s="1"/>
      <c r="P244" s="8">
        <f t="shared" si="29"/>
        <v>13.174465511802083</v>
      </c>
    </row>
    <row r="245" spans="1:16" x14ac:dyDescent="0.2">
      <c r="A245" s="8">
        <v>121.5</v>
      </c>
      <c r="B245" s="8">
        <v>243</v>
      </c>
      <c r="D245">
        <v>1849.4335756774999</v>
      </c>
      <c r="E245">
        <v>670.40449438201995</v>
      </c>
      <c r="F245">
        <v>137.74105960265001</v>
      </c>
      <c r="G245">
        <v>118.37947019868</v>
      </c>
      <c r="I245" s="9">
        <f t="shared" si="26"/>
        <v>552.02502418333995</v>
      </c>
      <c r="J245" s="9">
        <f t="shared" si="27"/>
        <v>1711.6925160748499</v>
      </c>
      <c r="K245" s="9">
        <f t="shared" si="24"/>
        <v>552.02502418333995</v>
      </c>
      <c r="L245" s="10">
        <f t="shared" si="21"/>
        <v>0.32250244655460109</v>
      </c>
      <c r="M245" s="10">
        <f t="shared" si="28"/>
        <v>0.42649915154727491</v>
      </c>
      <c r="P245" s="8">
        <f t="shared" si="29"/>
        <v>13.790275157679527</v>
      </c>
    </row>
    <row r="246" spans="1:16" x14ac:dyDescent="0.2">
      <c r="A246" s="8">
        <v>122</v>
      </c>
      <c r="B246" s="8">
        <v>244</v>
      </c>
      <c r="D246">
        <v>1818.7891606081</v>
      </c>
      <c r="E246">
        <v>657.69927296761</v>
      </c>
      <c r="F246">
        <v>137.52913907285</v>
      </c>
      <c r="G246">
        <v>117.95695364238</v>
      </c>
      <c r="I246" s="9">
        <f t="shared" si="26"/>
        <v>539.74231932523003</v>
      </c>
      <c r="J246" s="9">
        <f t="shared" si="27"/>
        <v>1681.26002153525</v>
      </c>
      <c r="K246" s="9">
        <f t="shared" si="24"/>
        <v>539.74231932523003</v>
      </c>
      <c r="L246" s="10">
        <f t="shared" si="21"/>
        <v>0.32103441015171585</v>
      </c>
      <c r="M246" s="10">
        <f t="shared" si="28"/>
        <v>0.42545908512378339</v>
      </c>
      <c r="P246" s="8">
        <f t="shared" si="29"/>
        <v>13.512784700589494</v>
      </c>
    </row>
    <row r="247" spans="1:16" x14ac:dyDescent="0.2">
      <c r="A247" s="8">
        <v>122.5</v>
      </c>
      <c r="B247" s="8">
        <v>245</v>
      </c>
      <c r="D247">
        <v>1807.4608233731999</v>
      </c>
      <c r="E247">
        <v>657.47277556440997</v>
      </c>
      <c r="F247">
        <v>137.75960264900999</v>
      </c>
      <c r="G247">
        <v>118.1582781457</v>
      </c>
      <c r="I247" s="9">
        <f t="shared" si="26"/>
        <v>539.31449741870995</v>
      </c>
      <c r="J247" s="9">
        <f t="shared" si="27"/>
        <v>1669.7012207241899</v>
      </c>
      <c r="K247" s="9">
        <f t="shared" si="24"/>
        <v>539.31449741870995</v>
      </c>
      <c r="L247" s="10">
        <f t="shared" si="21"/>
        <v>0.3230006007810165</v>
      </c>
      <c r="M247" s="10">
        <f t="shared" si="28"/>
        <v>0.42785324573247774</v>
      </c>
      <c r="P247" s="8">
        <f t="shared" si="29"/>
        <v>14.151548443604375</v>
      </c>
    </row>
    <row r="248" spans="1:16" x14ac:dyDescent="0.2">
      <c r="A248" s="8">
        <v>123</v>
      </c>
      <c r="B248" s="8">
        <v>246</v>
      </c>
      <c r="D248">
        <v>1823.2123241795</v>
      </c>
      <c r="E248">
        <v>675.78499665104005</v>
      </c>
      <c r="F248">
        <v>137.86357615893999</v>
      </c>
      <c r="G248">
        <v>117.67880794702</v>
      </c>
      <c r="I248" s="9">
        <f t="shared" si="26"/>
        <v>558.10618870402004</v>
      </c>
      <c r="J248" s="9">
        <f t="shared" si="27"/>
        <v>1685.3487480205599</v>
      </c>
      <c r="K248" s="9">
        <f t="shared" si="24"/>
        <v>558.10618870402004</v>
      </c>
      <c r="L248" s="10">
        <f t="shared" si="21"/>
        <v>0.33115175085246606</v>
      </c>
      <c r="M248" s="10">
        <f t="shared" si="28"/>
        <v>0.43643236578332101</v>
      </c>
      <c r="P248" s="8">
        <f t="shared" si="29"/>
        <v>16.440463738405409</v>
      </c>
    </row>
    <row r="249" spans="1:16" x14ac:dyDescent="0.2">
      <c r="A249" s="8">
        <v>123.5</v>
      </c>
      <c r="B249" s="8">
        <v>247</v>
      </c>
      <c r="D249">
        <v>1837.8348930481</v>
      </c>
      <c r="E249">
        <v>681.80147058824002</v>
      </c>
      <c r="F249">
        <v>137.77284768211999</v>
      </c>
      <c r="G249">
        <v>118.36357615894001</v>
      </c>
      <c r="I249" s="9">
        <f t="shared" si="26"/>
        <v>563.43789442930006</v>
      </c>
      <c r="J249" s="9">
        <f t="shared" si="27"/>
        <v>1700.0620453659799</v>
      </c>
      <c r="K249" s="9">
        <f t="shared" si="24"/>
        <v>563.43789442930006</v>
      </c>
      <c r="L249" s="10">
        <f t="shared" si="21"/>
        <v>0.33142195954854475</v>
      </c>
      <c r="M249" s="10">
        <f t="shared" si="28"/>
        <v>0.43713054445879346</v>
      </c>
      <c r="P249" s="8">
        <f t="shared" si="29"/>
        <v>16.626738302617355</v>
      </c>
    </row>
    <row r="250" spans="1:16" x14ac:dyDescent="0.2">
      <c r="A250" s="8">
        <v>124</v>
      </c>
      <c r="B250" s="8">
        <v>248</v>
      </c>
      <c r="D250">
        <v>1826.0768716578</v>
      </c>
      <c r="E250">
        <v>668.90240641711</v>
      </c>
      <c r="F250">
        <v>137.49271523178999</v>
      </c>
      <c r="G250">
        <v>117.99668874172001</v>
      </c>
      <c r="I250" s="9">
        <f t="shared" si="26"/>
        <v>550.90571767538995</v>
      </c>
      <c r="J250" s="9">
        <f t="shared" si="27"/>
        <v>1688.5841564260099</v>
      </c>
      <c r="K250" s="9">
        <f t="shared" si="24"/>
        <v>550.90571767538995</v>
      </c>
      <c r="L250" s="10">
        <f t="shared" si="21"/>
        <v>0.3262530419812863</v>
      </c>
      <c r="M250" s="10">
        <f t="shared" si="28"/>
        <v>0.43238959687092871</v>
      </c>
      <c r="P250" s="8">
        <f t="shared" si="29"/>
        <v>15.361850134436628</v>
      </c>
    </row>
    <row r="251" spans="1:16" x14ac:dyDescent="0.2">
      <c r="A251" s="8">
        <v>124.5</v>
      </c>
      <c r="B251" s="8">
        <v>249</v>
      </c>
      <c r="D251">
        <v>1839.7520053476001</v>
      </c>
      <c r="E251">
        <v>678.21858288769999</v>
      </c>
      <c r="F251">
        <v>137.64105960264999</v>
      </c>
      <c r="G251">
        <v>117.93046357615999</v>
      </c>
      <c r="I251" s="9">
        <f t="shared" si="26"/>
        <v>560.28811931153996</v>
      </c>
      <c r="J251" s="9">
        <f t="shared" si="27"/>
        <v>1702.1109457449502</v>
      </c>
      <c r="K251" s="9">
        <f t="shared" si="24"/>
        <v>560.28811931153996</v>
      </c>
      <c r="L251" s="10">
        <f t="shared" si="21"/>
        <v>0.32917250236371803</v>
      </c>
      <c r="M251" s="10">
        <f t="shared" si="28"/>
        <v>0.43573702723275415</v>
      </c>
      <c r="P251" s="8">
        <f t="shared" si="29"/>
        <v>16.254946921526173</v>
      </c>
    </row>
    <row r="252" spans="1:16" x14ac:dyDescent="0.2">
      <c r="A252" s="8">
        <v>125</v>
      </c>
      <c r="B252" s="8">
        <v>250</v>
      </c>
      <c r="D252">
        <v>1764.8362299465</v>
      </c>
      <c r="E252">
        <v>654.83622994652001</v>
      </c>
      <c r="F252">
        <v>137.21324503311001</v>
      </c>
      <c r="G252">
        <v>118.24701986754999</v>
      </c>
      <c r="I252" s="9">
        <f t="shared" si="26"/>
        <v>536.58921007897004</v>
      </c>
      <c r="J252" s="9">
        <f t="shared" si="27"/>
        <v>1627.6229849133899</v>
      </c>
      <c r="K252" s="9">
        <f t="shared" si="24"/>
        <v>536.58921007897004</v>
      </c>
      <c r="L252" s="10">
        <f t="shared" si="21"/>
        <v>0.32967659897449986</v>
      </c>
      <c r="M252" s="10">
        <f t="shared" si="28"/>
        <v>0.43666909382292973</v>
      </c>
      <c r="P252" s="8">
        <f t="shared" si="29"/>
        <v>16.503622946734168</v>
      </c>
    </row>
    <row r="253" spans="1:16" x14ac:dyDescent="0.2">
      <c r="A253" s="8">
        <v>125.5</v>
      </c>
      <c r="B253" s="8">
        <v>251</v>
      </c>
      <c r="D253">
        <v>1861.5729513658</v>
      </c>
      <c r="E253">
        <v>682.57361758827005</v>
      </c>
      <c r="F253">
        <v>137.68609271522999</v>
      </c>
      <c r="G253">
        <v>118.12516556291</v>
      </c>
      <c r="I253" s="9">
        <f t="shared" si="26"/>
        <v>564.4484520253601</v>
      </c>
      <c r="J253" s="9">
        <f t="shared" si="27"/>
        <v>1723.88685865057</v>
      </c>
      <c r="K253" s="9">
        <f t="shared" si="24"/>
        <v>564.4484520253601</v>
      </c>
      <c r="L253" s="10">
        <f t="shared" si="21"/>
        <v>0.32742778285762963</v>
      </c>
      <c r="M253" s="10">
        <f t="shared" si="28"/>
        <v>0.43484824768545322</v>
      </c>
      <c r="P253" s="8">
        <f t="shared" si="29"/>
        <v>16.017819909960053</v>
      </c>
    </row>
    <row r="254" spans="1:16" x14ac:dyDescent="0.2">
      <c r="A254" s="8">
        <v>126</v>
      </c>
      <c r="B254" s="8">
        <v>252</v>
      </c>
      <c r="D254">
        <v>1865.652898068</v>
      </c>
      <c r="E254">
        <v>683.39307128581004</v>
      </c>
      <c r="F254">
        <v>137.16821192053001</v>
      </c>
      <c r="G254">
        <v>118.18675496689001</v>
      </c>
      <c r="I254" s="9">
        <f t="shared" si="26"/>
        <v>565.20631631892002</v>
      </c>
      <c r="J254" s="9">
        <f t="shared" si="27"/>
        <v>1728.48468614747</v>
      </c>
      <c r="K254" s="9">
        <f t="shared" si="24"/>
        <v>565.20631631892002</v>
      </c>
      <c r="L254" s="10">
        <f t="shared" si="21"/>
        <v>0.32699526981559734</v>
      </c>
      <c r="M254" s="10">
        <f t="shared" si="28"/>
        <v>0.43484370462281463</v>
      </c>
      <c r="P254" s="8">
        <f t="shared" si="29"/>
        <v>16.016607817636242</v>
      </c>
    </row>
    <row r="255" spans="1:16" x14ac:dyDescent="0.2">
      <c r="A255" s="8">
        <v>126.5</v>
      </c>
      <c r="B255" s="8">
        <v>253</v>
      </c>
      <c r="D255">
        <v>1885.1332445037001</v>
      </c>
      <c r="E255">
        <v>692.54297135242996</v>
      </c>
      <c r="F255">
        <v>137.17417218543</v>
      </c>
      <c r="G255">
        <v>118.01059602649001</v>
      </c>
      <c r="I255" s="9">
        <f t="shared" si="26"/>
        <v>574.53237532593994</v>
      </c>
      <c r="J255" s="9">
        <f t="shared" si="27"/>
        <v>1747.95907231827</v>
      </c>
      <c r="K255" s="9">
        <f t="shared" si="24"/>
        <v>574.53237532593994</v>
      </c>
      <c r="L255" s="10">
        <f t="shared" si="21"/>
        <v>0.32868754447662979</v>
      </c>
      <c r="M255" s="10">
        <f t="shared" si="28"/>
        <v>0.43696394926324078</v>
      </c>
      <c r="P255" s="8">
        <f t="shared" si="29"/>
        <v>16.582290586665017</v>
      </c>
    </row>
    <row r="256" spans="1:16" x14ac:dyDescent="0.2">
      <c r="A256" s="8">
        <v>127</v>
      </c>
      <c r="B256" s="8">
        <v>254</v>
      </c>
      <c r="D256">
        <v>1884.9133910726</v>
      </c>
      <c r="E256">
        <v>684.45836109260995</v>
      </c>
      <c r="F256">
        <v>137.19536423841001</v>
      </c>
      <c r="G256">
        <v>117.79602649007001</v>
      </c>
      <c r="I256" s="9">
        <f t="shared" si="26"/>
        <v>566.66233460253989</v>
      </c>
      <c r="J256" s="9">
        <f t="shared" si="27"/>
        <v>1747.7180268341899</v>
      </c>
      <c r="K256" s="9">
        <f t="shared" si="24"/>
        <v>566.66233460253989</v>
      </c>
      <c r="L256" s="10">
        <f t="shared" si="21"/>
        <v>0.32422983908278957</v>
      </c>
      <c r="M256" s="10">
        <f t="shared" si="28"/>
        <v>0.43293421384879427</v>
      </c>
      <c r="P256" s="8">
        <f t="shared" si="29"/>
        <v>15.507154329162551</v>
      </c>
    </row>
    <row r="257" spans="1:16" x14ac:dyDescent="0.2">
      <c r="A257" s="8">
        <v>127.5</v>
      </c>
      <c r="B257" s="8">
        <v>255</v>
      </c>
      <c r="D257">
        <v>1828.8163538874001</v>
      </c>
      <c r="E257">
        <v>667.72252010724003</v>
      </c>
      <c r="F257">
        <v>137.02384105959999</v>
      </c>
      <c r="G257">
        <v>118.16423841060001</v>
      </c>
      <c r="I257" s="9">
        <f t="shared" si="26"/>
        <v>549.55828169664005</v>
      </c>
      <c r="J257" s="9">
        <f t="shared" si="27"/>
        <v>1691.7925128278</v>
      </c>
      <c r="K257" s="9">
        <f t="shared" si="24"/>
        <v>549.55828169664005</v>
      </c>
      <c r="L257" s="10">
        <f t="shared" si="21"/>
        <v>0.32483787316097262</v>
      </c>
      <c r="M257" s="10">
        <f t="shared" si="28"/>
        <v>0.43397021790637108</v>
      </c>
      <c r="P257" s="8">
        <f t="shared" si="29"/>
        <v>15.783560944154543</v>
      </c>
    </row>
    <row r="258" spans="1:16" x14ac:dyDescent="0.2">
      <c r="A258" s="8">
        <v>128</v>
      </c>
      <c r="B258" s="8">
        <v>256</v>
      </c>
      <c r="D258">
        <v>1860.5991957105</v>
      </c>
      <c r="E258">
        <v>689.23659517425995</v>
      </c>
      <c r="F258">
        <v>137.32185430464</v>
      </c>
      <c r="G258">
        <v>118.47350993377999</v>
      </c>
      <c r="I258" s="9">
        <f t="shared" si="26"/>
        <v>570.76308524048</v>
      </c>
      <c r="J258" s="9">
        <f t="shared" si="27"/>
        <v>1723.2773414058599</v>
      </c>
      <c r="K258" s="9">
        <f t="shared" si="24"/>
        <v>570.76308524048</v>
      </c>
      <c r="L258" s="10">
        <f t="shared" ref="L258:L321" si="30">K258/J258</f>
        <v>0.33120790921259841</v>
      </c>
      <c r="M258" s="10">
        <f t="shared" si="28"/>
        <v>0.44076822393739057</v>
      </c>
      <c r="P258" s="8">
        <f t="shared" si="29"/>
        <v>17.597273759260879</v>
      </c>
    </row>
    <row r="259" spans="1:16" x14ac:dyDescent="0.2">
      <c r="A259" s="8">
        <v>128.5</v>
      </c>
      <c r="B259" s="8">
        <v>257</v>
      </c>
      <c r="D259">
        <v>1794.0260173449001</v>
      </c>
      <c r="E259">
        <v>659.24082721815</v>
      </c>
      <c r="F259">
        <v>137.46887417219</v>
      </c>
      <c r="G259">
        <v>117.8</v>
      </c>
      <c r="I259" s="9">
        <f t="shared" si="26"/>
        <v>541.44082721815005</v>
      </c>
      <c r="J259" s="9">
        <f t="shared" si="27"/>
        <v>1656.5571431727101</v>
      </c>
      <c r="K259" s="9">
        <f t="shared" ref="K259:K322" si="31">I259*1</f>
        <v>541.44082721815005</v>
      </c>
      <c r="L259" s="10">
        <f t="shared" si="30"/>
        <v>0.32684705713269818</v>
      </c>
      <c r="M259" s="10">
        <f t="shared" si="28"/>
        <v>0.43683534183688405</v>
      </c>
      <c r="P259" s="8">
        <f t="shared" si="29"/>
        <v>16.547978034390617</v>
      </c>
    </row>
    <row r="260" spans="1:16" x14ac:dyDescent="0.2">
      <c r="A260" s="8">
        <v>129</v>
      </c>
      <c r="B260" s="8">
        <v>258</v>
      </c>
      <c r="D260">
        <v>1780.158772515</v>
      </c>
      <c r="E260">
        <v>653.44029352901998</v>
      </c>
      <c r="F260">
        <v>137.24172185430999</v>
      </c>
      <c r="G260">
        <v>117.89403973509999</v>
      </c>
      <c r="I260" s="9">
        <f t="shared" si="26"/>
        <v>535.54625379391996</v>
      </c>
      <c r="J260" s="9">
        <f t="shared" si="27"/>
        <v>1642.9170506606899</v>
      </c>
      <c r="K260" s="9">
        <f t="shared" si="31"/>
        <v>535.54625379391996</v>
      </c>
      <c r="L260" s="10">
        <f t="shared" si="30"/>
        <v>0.32597278942266317</v>
      </c>
      <c r="M260" s="10">
        <f t="shared" si="28"/>
        <v>0.4363890441062428</v>
      </c>
      <c r="P260" s="8">
        <f t="shared" si="29"/>
        <v>16.428905484333534</v>
      </c>
    </row>
    <row r="261" spans="1:16" x14ac:dyDescent="0.2">
      <c r="A261" s="8">
        <v>129.5</v>
      </c>
      <c r="B261" s="8">
        <v>259</v>
      </c>
      <c r="D261">
        <v>1758.8610554442</v>
      </c>
      <c r="E261">
        <v>654.09084836339002</v>
      </c>
      <c r="F261">
        <v>136.98344370861</v>
      </c>
      <c r="G261">
        <v>118.04701986755001</v>
      </c>
      <c r="I261" s="9">
        <f t="shared" si="26"/>
        <v>536.04382849583999</v>
      </c>
      <c r="J261" s="9">
        <f t="shared" si="27"/>
        <v>1621.8776117355901</v>
      </c>
      <c r="K261" s="9">
        <f t="shared" si="31"/>
        <v>536.04382849583999</v>
      </c>
      <c r="L261" s="10">
        <f t="shared" si="30"/>
        <v>0.33050818669493393</v>
      </c>
      <c r="M261" s="10">
        <f t="shared" si="28"/>
        <v>0.44135241135790726</v>
      </c>
      <c r="P261" s="8">
        <f t="shared" si="29"/>
        <v>17.753135376061497</v>
      </c>
    </row>
    <row r="262" spans="1:16" x14ac:dyDescent="0.2">
      <c r="A262" s="8">
        <v>130</v>
      </c>
      <c r="B262" s="8">
        <v>260</v>
      </c>
      <c r="D262">
        <v>1754.6773547094001</v>
      </c>
      <c r="E262">
        <v>639.09018036071996</v>
      </c>
      <c r="F262">
        <v>137.44039735099</v>
      </c>
      <c r="G262">
        <v>117.91390728477</v>
      </c>
      <c r="I262" s="9">
        <f t="shared" si="26"/>
        <v>521.17627307594989</v>
      </c>
      <c r="J262" s="9">
        <f t="shared" si="27"/>
        <v>1617.2369573584101</v>
      </c>
      <c r="K262" s="9">
        <f t="shared" si="31"/>
        <v>521.17627307594989</v>
      </c>
      <c r="L262" s="10">
        <f t="shared" si="30"/>
        <v>0.32226339541933152</v>
      </c>
      <c r="M262" s="10">
        <f t="shared" si="28"/>
        <v>0.43353559006169856</v>
      </c>
      <c r="P262" s="8">
        <f t="shared" si="29"/>
        <v>15.667601927924252</v>
      </c>
    </row>
    <row r="263" spans="1:16" x14ac:dyDescent="0.2">
      <c r="A263" s="8">
        <v>130.5</v>
      </c>
      <c r="B263" s="8">
        <v>261</v>
      </c>
      <c r="D263">
        <v>1823.9772423024999</v>
      </c>
      <c r="E263">
        <v>655.33534136545995</v>
      </c>
      <c r="F263">
        <v>137.35827814570001</v>
      </c>
      <c r="G263">
        <v>117.92781456954</v>
      </c>
      <c r="I263" s="9">
        <f t="shared" si="26"/>
        <v>537.40752679591992</v>
      </c>
      <c r="J263" s="9">
        <f t="shared" si="27"/>
        <v>1686.6189641567998</v>
      </c>
      <c r="K263" s="9">
        <f t="shared" si="31"/>
        <v>537.40752679591992</v>
      </c>
      <c r="L263" s="10">
        <f t="shared" si="30"/>
        <v>0.31863007485190281</v>
      </c>
      <c r="M263" s="10">
        <f t="shared" si="28"/>
        <v>0.43033023947366356</v>
      </c>
      <c r="P263" s="8">
        <f t="shared" si="29"/>
        <v>14.812412124929054</v>
      </c>
    </row>
    <row r="264" spans="1:16" x14ac:dyDescent="0.2">
      <c r="A264" s="8">
        <v>131</v>
      </c>
      <c r="B264" s="8">
        <v>262</v>
      </c>
      <c r="D264">
        <v>1831.5942895086</v>
      </c>
      <c r="E264">
        <v>649.36122177954996</v>
      </c>
      <c r="F264">
        <v>137.19139072848</v>
      </c>
      <c r="G264">
        <v>117.82582781457</v>
      </c>
      <c r="I264" s="9">
        <f t="shared" si="26"/>
        <v>531.5353939649799</v>
      </c>
      <c r="J264" s="9">
        <f t="shared" si="27"/>
        <v>1694.40289878012</v>
      </c>
      <c r="K264" s="9">
        <f t="shared" si="31"/>
        <v>531.5353939649799</v>
      </c>
      <c r="L264" s="10">
        <f t="shared" si="30"/>
        <v>0.31370071093932683</v>
      </c>
      <c r="M264" s="10">
        <f t="shared" si="28"/>
        <v>0.42582884554048128</v>
      </c>
      <c r="P264" s="8">
        <f t="shared" si="29"/>
        <v>13.61143704117641</v>
      </c>
    </row>
    <row r="265" spans="1:16" x14ac:dyDescent="0.2">
      <c r="A265" s="8">
        <v>131.5</v>
      </c>
      <c r="B265" s="8">
        <v>263</v>
      </c>
      <c r="D265">
        <v>1806.6773547094001</v>
      </c>
      <c r="E265">
        <v>620.17835671343005</v>
      </c>
      <c r="F265">
        <v>137.59602649006999</v>
      </c>
      <c r="G265">
        <v>117.99536423841</v>
      </c>
      <c r="I265" s="9">
        <f t="shared" si="26"/>
        <v>502.18299247502006</v>
      </c>
      <c r="J265" s="9">
        <f t="shared" si="27"/>
        <v>1669.0813282193301</v>
      </c>
      <c r="K265" s="9">
        <f t="shared" si="31"/>
        <v>502.18299247502006</v>
      </c>
      <c r="L265" s="10">
        <f t="shared" si="30"/>
        <v>0.30087389031592437</v>
      </c>
      <c r="M265" s="10">
        <f t="shared" si="28"/>
        <v>0.41342999489647259</v>
      </c>
      <c r="P265" s="8">
        <f t="shared" si="29"/>
        <v>10.303414923659172</v>
      </c>
    </row>
    <row r="266" spans="1:16" x14ac:dyDescent="0.2">
      <c r="A266" s="8">
        <v>132</v>
      </c>
      <c r="B266" s="8">
        <v>264</v>
      </c>
      <c r="D266">
        <v>1743.2916943522</v>
      </c>
      <c r="E266">
        <v>603.76810631229</v>
      </c>
      <c r="F266">
        <v>137.29006622516999</v>
      </c>
      <c r="G266">
        <v>117.63178807947</v>
      </c>
      <c r="I266" s="9">
        <f t="shared" si="26"/>
        <v>486.13631823282003</v>
      </c>
      <c r="J266" s="9">
        <f t="shared" si="27"/>
        <v>1606.00162812703</v>
      </c>
      <c r="K266" s="9">
        <f t="shared" si="31"/>
        <v>486.13631823282003</v>
      </c>
      <c r="L266" s="10">
        <f t="shared" si="30"/>
        <v>0.30269976674915805</v>
      </c>
      <c r="M266" s="10">
        <f t="shared" si="28"/>
        <v>0.41568384130909997</v>
      </c>
      <c r="P266" s="8">
        <f t="shared" si="29"/>
        <v>10.904742739964549</v>
      </c>
    </row>
    <row r="267" spans="1:16" x14ac:dyDescent="0.2">
      <c r="A267" s="8">
        <v>132.5</v>
      </c>
      <c r="B267" s="8">
        <v>265</v>
      </c>
      <c r="D267">
        <v>1786.7926910299</v>
      </c>
      <c r="E267">
        <v>618.08970099667999</v>
      </c>
      <c r="F267">
        <v>138.01125827815</v>
      </c>
      <c r="G267">
        <v>117.78079470199</v>
      </c>
      <c r="I267" s="9">
        <f t="shared" si="26"/>
        <v>500.30890629469002</v>
      </c>
      <c r="J267" s="9">
        <f t="shared" si="27"/>
        <v>1648.7814327517499</v>
      </c>
      <c r="K267" s="9">
        <f t="shared" si="31"/>
        <v>500.30890629469002</v>
      </c>
      <c r="L267" s="10">
        <f t="shared" si="30"/>
        <v>0.30344161837126865</v>
      </c>
      <c r="M267" s="10">
        <f t="shared" si="28"/>
        <v>0.41685366291060427</v>
      </c>
      <c r="P267" s="8">
        <f t="shared" si="29"/>
        <v>11.216851970282249</v>
      </c>
    </row>
    <row r="268" spans="1:16" x14ac:dyDescent="0.2">
      <c r="A268" s="8">
        <v>133</v>
      </c>
      <c r="B268" s="8">
        <v>266</v>
      </c>
      <c r="D268">
        <v>1777.1935699932999</v>
      </c>
      <c r="E268">
        <v>619.53382451439995</v>
      </c>
      <c r="F268">
        <v>137.06622516556001</v>
      </c>
      <c r="G268">
        <v>117.97947019868</v>
      </c>
      <c r="I268" s="9">
        <f t="shared" si="26"/>
        <v>501.55435431571993</v>
      </c>
      <c r="J268" s="9">
        <f t="shared" si="27"/>
        <v>1640.1273448277398</v>
      </c>
      <c r="K268" s="9">
        <f t="shared" si="31"/>
        <v>501.55435431571993</v>
      </c>
      <c r="L268" s="10">
        <f t="shared" si="30"/>
        <v>0.30580208048930341</v>
      </c>
      <c r="M268" s="10">
        <f t="shared" si="28"/>
        <v>0.41964209500803273</v>
      </c>
      <c r="P268" s="8">
        <f t="shared" si="29"/>
        <v>11.960807625232055</v>
      </c>
    </row>
    <row r="269" spans="1:16" x14ac:dyDescent="0.2">
      <c r="A269" s="8">
        <v>133.5</v>
      </c>
      <c r="B269" s="8">
        <v>267</v>
      </c>
      <c r="D269">
        <v>1764.0914512923</v>
      </c>
      <c r="E269">
        <v>617.44797879390001</v>
      </c>
      <c r="F269">
        <v>137.27483443708999</v>
      </c>
      <c r="G269">
        <v>117.62715231788</v>
      </c>
      <c r="I269" s="9">
        <f t="shared" si="26"/>
        <v>499.82082647601999</v>
      </c>
      <c r="J269" s="9">
        <f t="shared" si="27"/>
        <v>1626.81661685521</v>
      </c>
      <c r="K269" s="9">
        <f t="shared" si="31"/>
        <v>499.82082647601999</v>
      </c>
      <c r="L269" s="10">
        <f t="shared" si="30"/>
        <v>0.30723857950395222</v>
      </c>
      <c r="M269" s="10">
        <f t="shared" si="28"/>
        <v>0.42150656400207531</v>
      </c>
      <c r="P269" s="8">
        <f t="shared" si="29"/>
        <v>12.458249270978333</v>
      </c>
    </row>
    <row r="270" spans="1:16" x14ac:dyDescent="0.2">
      <c r="A270" s="8">
        <v>134</v>
      </c>
      <c r="B270" s="8">
        <v>268</v>
      </c>
      <c r="D270">
        <v>1762.0722332671</v>
      </c>
      <c r="E270">
        <v>617.65142478462997</v>
      </c>
      <c r="F270">
        <v>137.18940397351</v>
      </c>
      <c r="G270">
        <v>117.63377483444</v>
      </c>
      <c r="I270" s="9">
        <f t="shared" si="26"/>
        <v>500.01764995018993</v>
      </c>
      <c r="J270" s="9">
        <f t="shared" si="27"/>
        <v>1624.88282929359</v>
      </c>
      <c r="K270" s="9">
        <f t="shared" si="31"/>
        <v>500.01764995018993</v>
      </c>
      <c r="L270" s="10">
        <f t="shared" si="30"/>
        <v>0.30772535775245419</v>
      </c>
      <c r="M270" s="10">
        <f t="shared" si="28"/>
        <v>0.42242131222997098</v>
      </c>
      <c r="P270" s="8">
        <f t="shared" si="29"/>
        <v>12.702304744886375</v>
      </c>
    </row>
    <row r="271" spans="1:16" x14ac:dyDescent="0.2">
      <c r="A271" s="8">
        <v>134.5</v>
      </c>
      <c r="B271" s="8">
        <v>269</v>
      </c>
      <c r="D271">
        <v>1757.5546719682</v>
      </c>
      <c r="E271">
        <v>613.63883366467996</v>
      </c>
      <c r="F271">
        <v>137.12450331126001</v>
      </c>
      <c r="G271">
        <v>117.77682119204999</v>
      </c>
      <c r="I271" s="9">
        <f t="shared" si="26"/>
        <v>495.86201247263</v>
      </c>
      <c r="J271" s="9">
        <f t="shared" si="27"/>
        <v>1620.4301686569399</v>
      </c>
      <c r="K271" s="9">
        <f t="shared" si="31"/>
        <v>495.86201247263</v>
      </c>
      <c r="L271" s="10">
        <f t="shared" si="30"/>
        <v>0.30600640623940922</v>
      </c>
      <c r="M271" s="10">
        <f t="shared" si="28"/>
        <v>0.42113033069631972</v>
      </c>
      <c r="P271" s="8">
        <f t="shared" si="29"/>
        <v>12.357869959014645</v>
      </c>
    </row>
    <row r="272" spans="1:16" x14ac:dyDescent="0.2">
      <c r="A272" s="8">
        <v>135</v>
      </c>
      <c r="B272" s="8">
        <v>270</v>
      </c>
      <c r="D272">
        <v>1835.0649263722</v>
      </c>
      <c r="E272">
        <v>648.85274431057996</v>
      </c>
      <c r="F272">
        <v>137.34304635762001</v>
      </c>
      <c r="G272">
        <v>117.50993377483</v>
      </c>
      <c r="I272" s="9">
        <f t="shared" si="26"/>
        <v>531.34281053575</v>
      </c>
      <c r="J272" s="9">
        <f t="shared" si="27"/>
        <v>1697.7218800145799</v>
      </c>
      <c r="K272" s="9">
        <f t="shared" si="31"/>
        <v>531.34281053575</v>
      </c>
      <c r="L272" s="10">
        <f t="shared" si="30"/>
        <v>0.31297400168464984</v>
      </c>
      <c r="M272" s="10">
        <f t="shared" si="28"/>
        <v>0.42852589612095404</v>
      </c>
      <c r="P272" s="8">
        <f t="shared" si="29"/>
        <v>14.331012042797852</v>
      </c>
    </row>
    <row r="273" spans="1:16" x14ac:dyDescent="0.2">
      <c r="A273" s="8">
        <v>135.5</v>
      </c>
      <c r="B273" s="8">
        <v>271</v>
      </c>
      <c r="D273">
        <v>1846.8661311914</v>
      </c>
      <c r="E273">
        <v>662.65863453814995</v>
      </c>
      <c r="F273">
        <v>137.49470198675999</v>
      </c>
      <c r="G273">
        <v>117.82847682118999</v>
      </c>
      <c r="I273" s="9">
        <f t="shared" si="26"/>
        <v>544.83015771696</v>
      </c>
      <c r="J273" s="9">
        <f t="shared" si="27"/>
        <v>1709.37142920464</v>
      </c>
      <c r="K273" s="9">
        <f t="shared" si="31"/>
        <v>544.83015771696</v>
      </c>
      <c r="L273" s="10">
        <f t="shared" si="30"/>
        <v>0.31873128824346042</v>
      </c>
      <c r="M273" s="10">
        <f t="shared" si="28"/>
        <v>0.43471115265915838</v>
      </c>
      <c r="P273" s="8">
        <f t="shared" si="29"/>
        <v>15.981242860021633</v>
      </c>
    </row>
    <row r="274" spans="1:16" x14ac:dyDescent="0.2">
      <c r="A274" s="8">
        <v>136</v>
      </c>
      <c r="B274" s="8">
        <v>272</v>
      </c>
      <c r="D274">
        <v>1817.8710754843</v>
      </c>
      <c r="E274">
        <v>635.28924515697997</v>
      </c>
      <c r="F274">
        <v>137.24370860926999</v>
      </c>
      <c r="G274">
        <v>117.7059602649</v>
      </c>
      <c r="I274" s="9">
        <f t="shared" si="26"/>
        <v>517.58328489207997</v>
      </c>
      <c r="J274" s="9">
        <f t="shared" si="27"/>
        <v>1680.62736687503</v>
      </c>
      <c r="K274" s="9">
        <f t="shared" si="31"/>
        <v>517.58328489207997</v>
      </c>
      <c r="L274" s="10">
        <f t="shared" si="30"/>
        <v>0.30797028246331482</v>
      </c>
      <c r="M274" s="10">
        <f t="shared" si="28"/>
        <v>0.42437811685840648</v>
      </c>
      <c r="P274" s="8">
        <f t="shared" si="29"/>
        <v>13.224381603167803</v>
      </c>
    </row>
    <row r="275" spans="1:16" x14ac:dyDescent="0.2">
      <c r="A275" s="8">
        <v>136.5</v>
      </c>
      <c r="B275" s="8">
        <v>273</v>
      </c>
      <c r="D275">
        <v>1768.6245824983</v>
      </c>
      <c r="E275">
        <v>617.54041416166001</v>
      </c>
      <c r="F275">
        <v>137.03443708609001</v>
      </c>
      <c r="G275">
        <v>117.6357615894</v>
      </c>
      <c r="I275" s="9">
        <f>E275-G275</f>
        <v>499.90465257226003</v>
      </c>
      <c r="J275" s="9">
        <f>D275-F275</f>
        <v>1631.5901454122099</v>
      </c>
      <c r="K275" s="9">
        <f t="shared" si="31"/>
        <v>499.90465257226003</v>
      </c>
      <c r="L275" s="10">
        <f t="shared" si="30"/>
        <v>0.30639107129809401</v>
      </c>
      <c r="M275" s="10">
        <f>L275+ABS($N$2)*A275</f>
        <v>0.42322687567257938</v>
      </c>
      <c r="O275" s="11"/>
      <c r="P275" s="8">
        <f>(M275-$O$2)/$O$2*100</f>
        <v>12.917229640888699</v>
      </c>
    </row>
    <row r="276" spans="1:16" x14ac:dyDescent="0.2">
      <c r="A276" s="8">
        <v>137</v>
      </c>
      <c r="B276" s="8">
        <v>274</v>
      </c>
      <c r="D276">
        <v>1741.4415497662001</v>
      </c>
      <c r="E276">
        <v>609.71209084836005</v>
      </c>
      <c r="F276">
        <v>137.16026490066</v>
      </c>
      <c r="G276">
        <v>117.77350993378001</v>
      </c>
      <c r="I276" s="9">
        <f t="shared" ref="I276:I291" si="32">E276-G276</f>
        <v>491.93858091458003</v>
      </c>
      <c r="J276" s="9">
        <f t="shared" ref="J276:J291" si="33">D276-F276</f>
        <v>1604.2812848655401</v>
      </c>
      <c r="K276" s="9">
        <f t="shared" si="31"/>
        <v>491.93858091458003</v>
      </c>
      <c r="L276" s="10">
        <f t="shared" si="30"/>
        <v>0.30664110187872134</v>
      </c>
      <c r="M276" s="10">
        <f t="shared" ref="M276:M291" si="34">L276+ABS($N$2)*A276</f>
        <v>0.42390487623260042</v>
      </c>
      <c r="P276" s="8">
        <f t="shared" ref="P276:P291" si="35">(M276-$O$2)/$O$2*100</f>
        <v>13.09812066963276</v>
      </c>
    </row>
    <row r="277" spans="1:16" x14ac:dyDescent="0.2">
      <c r="A277" s="8">
        <v>137.5</v>
      </c>
      <c r="B277" s="8">
        <v>275</v>
      </c>
      <c r="D277">
        <v>1822.7000668003</v>
      </c>
      <c r="E277">
        <v>640.10487641950999</v>
      </c>
      <c r="F277">
        <v>136.71258278145999</v>
      </c>
      <c r="G277">
        <v>117.81059602649</v>
      </c>
      <c r="I277" s="9">
        <f t="shared" si="32"/>
        <v>522.29428039302002</v>
      </c>
      <c r="J277" s="9">
        <f t="shared" si="33"/>
        <v>1685.98748401884</v>
      </c>
      <c r="K277" s="9">
        <f t="shared" si="31"/>
        <v>522.29428039302002</v>
      </c>
      <c r="L277" s="10">
        <f t="shared" si="30"/>
        <v>0.30978538414059997</v>
      </c>
      <c r="M277" s="10">
        <f t="shared" si="34"/>
        <v>0.42747712847387281</v>
      </c>
      <c r="N277" s="1"/>
      <c r="P277" s="8">
        <f t="shared" si="35"/>
        <v>14.051200093102528</v>
      </c>
    </row>
    <row r="278" spans="1:16" x14ac:dyDescent="0.2">
      <c r="A278" s="8">
        <v>138</v>
      </c>
      <c r="B278" s="8">
        <v>276</v>
      </c>
      <c r="D278">
        <v>1864.6499665998999</v>
      </c>
      <c r="E278">
        <v>643.63193052771999</v>
      </c>
      <c r="F278">
        <v>136.88344370861</v>
      </c>
      <c r="G278">
        <v>117.74370860927</v>
      </c>
      <c r="I278" s="9">
        <f t="shared" si="32"/>
        <v>525.88822191844997</v>
      </c>
      <c r="J278" s="9">
        <f t="shared" si="33"/>
        <v>1727.7665228912899</v>
      </c>
      <c r="K278" s="9">
        <f t="shared" si="31"/>
        <v>525.88822191844997</v>
      </c>
      <c r="L278" s="10">
        <f t="shared" si="30"/>
        <v>0.30437458704687415</v>
      </c>
      <c r="M278" s="10">
        <f t="shared" si="34"/>
        <v>0.42249430135954069</v>
      </c>
      <c r="P278" s="8">
        <f t="shared" si="35"/>
        <v>12.721778296257172</v>
      </c>
    </row>
    <row r="279" spans="1:16" x14ac:dyDescent="0.2">
      <c r="A279" s="8">
        <v>138.5</v>
      </c>
      <c r="B279" s="8">
        <v>277</v>
      </c>
      <c r="D279">
        <v>1846.5671342685</v>
      </c>
      <c r="E279">
        <v>632.72010688042997</v>
      </c>
      <c r="F279">
        <v>136.91589403974001</v>
      </c>
      <c r="G279">
        <v>117.68807947019999</v>
      </c>
      <c r="I279" s="9">
        <f t="shared" si="32"/>
        <v>515.03202741022994</v>
      </c>
      <c r="J279" s="9">
        <f t="shared" si="33"/>
        <v>1709.6512402287599</v>
      </c>
      <c r="K279" s="9">
        <f t="shared" si="31"/>
        <v>515.03202741022994</v>
      </c>
      <c r="L279" s="10">
        <f t="shared" si="30"/>
        <v>0.30124976094031675</v>
      </c>
      <c r="M279" s="10">
        <f t="shared" si="34"/>
        <v>0.419797445232377</v>
      </c>
      <c r="P279" s="8">
        <f t="shared" si="35"/>
        <v>12.00225517491606</v>
      </c>
    </row>
    <row r="280" spans="1:16" x14ac:dyDescent="0.2">
      <c r="A280" s="8">
        <v>139</v>
      </c>
      <c r="B280" s="8">
        <v>278</v>
      </c>
      <c r="D280">
        <v>1838.209752839</v>
      </c>
      <c r="E280">
        <v>626.02605210420995</v>
      </c>
      <c r="F280">
        <v>136.91390728477</v>
      </c>
      <c r="G280">
        <v>117.71125827815</v>
      </c>
      <c r="I280" s="9">
        <f t="shared" si="32"/>
        <v>508.31479382605994</v>
      </c>
      <c r="J280" s="9">
        <f t="shared" si="33"/>
        <v>1701.29584555423</v>
      </c>
      <c r="K280" s="9">
        <f t="shared" si="31"/>
        <v>508.31479382605994</v>
      </c>
      <c r="L280" s="10">
        <f t="shared" si="30"/>
        <v>0.29878095285683048</v>
      </c>
      <c r="M280" s="10">
        <f t="shared" si="34"/>
        <v>0.41775660712828444</v>
      </c>
      <c r="P280" s="8">
        <f t="shared" si="35"/>
        <v>11.457758125919637</v>
      </c>
    </row>
    <row r="281" spans="1:16" x14ac:dyDescent="0.2">
      <c r="A281" s="8">
        <v>139.5</v>
      </c>
      <c r="B281" s="8">
        <v>279</v>
      </c>
      <c r="D281">
        <v>1776.9357615894</v>
      </c>
      <c r="E281">
        <v>590.86953642384003</v>
      </c>
      <c r="F281">
        <v>136.82450331126</v>
      </c>
      <c r="G281">
        <v>117.61456953642001</v>
      </c>
      <c r="I281" s="9">
        <f t="shared" si="32"/>
        <v>473.25496688742004</v>
      </c>
      <c r="J281" s="9">
        <f t="shared" si="33"/>
        <v>1640.11125827814</v>
      </c>
      <c r="K281" s="9">
        <f t="shared" si="31"/>
        <v>473.25496688742004</v>
      </c>
      <c r="L281" s="10">
        <f t="shared" si="30"/>
        <v>0.28855052637359713</v>
      </c>
      <c r="M281" s="10">
        <f t="shared" si="34"/>
        <v>0.40795415062444484</v>
      </c>
      <c r="P281" s="8">
        <f t="shared" si="35"/>
        <v>8.8424558005890912</v>
      </c>
    </row>
    <row r="282" spans="1:16" x14ac:dyDescent="0.2">
      <c r="A282" s="8">
        <v>140</v>
      </c>
      <c r="B282" s="8">
        <v>280</v>
      </c>
      <c r="D282">
        <v>1741.6483443709001</v>
      </c>
      <c r="E282">
        <v>576.99403973510005</v>
      </c>
      <c r="F282">
        <v>136.85496688742001</v>
      </c>
      <c r="G282">
        <v>117.77814569536</v>
      </c>
      <c r="I282" s="9">
        <f t="shared" si="32"/>
        <v>459.21589403974008</v>
      </c>
      <c r="J282" s="9">
        <f t="shared" si="33"/>
        <v>1604.7933774834801</v>
      </c>
      <c r="K282" s="9">
        <f t="shared" si="31"/>
        <v>459.21589403974008</v>
      </c>
      <c r="L282" s="10">
        <f t="shared" si="30"/>
        <v>0.28615266020093438</v>
      </c>
      <c r="M282" s="10">
        <f t="shared" si="34"/>
        <v>0.40598425443117581</v>
      </c>
      <c r="P282" s="8">
        <f t="shared" si="35"/>
        <v>8.316886103554646</v>
      </c>
    </row>
    <row r="283" spans="1:16" x14ac:dyDescent="0.2">
      <c r="A283" s="8">
        <v>140.5</v>
      </c>
      <c r="B283" s="8">
        <v>281</v>
      </c>
      <c r="D283">
        <v>1760.9900464499001</v>
      </c>
      <c r="E283">
        <v>586.54080955540996</v>
      </c>
      <c r="F283">
        <v>137.23443708609</v>
      </c>
      <c r="G283">
        <v>117.96887417219</v>
      </c>
      <c r="I283" s="9">
        <f t="shared" si="32"/>
        <v>468.57193538321997</v>
      </c>
      <c r="J283" s="9">
        <f t="shared" si="33"/>
        <v>1623.75560936381</v>
      </c>
      <c r="K283" s="9">
        <f t="shared" si="31"/>
        <v>468.57193538321997</v>
      </c>
      <c r="L283" s="10">
        <f t="shared" si="30"/>
        <v>0.28857294329336125</v>
      </c>
      <c r="M283" s="10">
        <f t="shared" si="34"/>
        <v>0.40883250750299638</v>
      </c>
      <c r="P283" s="8">
        <f t="shared" si="35"/>
        <v>9.0768020367642901</v>
      </c>
    </row>
    <row r="284" spans="1:16" x14ac:dyDescent="0.2">
      <c r="A284" s="8">
        <v>141</v>
      </c>
      <c r="B284" s="8">
        <v>282</v>
      </c>
      <c r="D284">
        <v>1708.6045122761</v>
      </c>
      <c r="E284">
        <v>565.00530856005003</v>
      </c>
      <c r="F284">
        <v>136.74238410596001</v>
      </c>
      <c r="G284">
        <v>117.66490066225001</v>
      </c>
      <c r="I284" s="9">
        <f t="shared" si="32"/>
        <v>447.34040789779999</v>
      </c>
      <c r="J284" s="9">
        <f t="shared" si="33"/>
        <v>1571.8621281701398</v>
      </c>
      <c r="K284" s="9">
        <f t="shared" si="31"/>
        <v>447.34040789779999</v>
      </c>
      <c r="L284" s="10">
        <f t="shared" si="30"/>
        <v>0.28459264962288056</v>
      </c>
      <c r="M284" s="10">
        <f t="shared" si="34"/>
        <v>0.40528018381190944</v>
      </c>
      <c r="P284" s="8">
        <f t="shared" si="35"/>
        <v>8.1290395645730165</v>
      </c>
    </row>
    <row r="285" spans="1:16" x14ac:dyDescent="0.2">
      <c r="A285" s="8">
        <v>141.5</v>
      </c>
      <c r="B285" s="8">
        <v>283</v>
      </c>
      <c r="D285">
        <v>1808.7654155496</v>
      </c>
      <c r="E285">
        <v>584.11260053619003</v>
      </c>
      <c r="F285">
        <v>136.75629139073001</v>
      </c>
      <c r="G285">
        <v>117.82715231788001</v>
      </c>
      <c r="I285" s="9">
        <f t="shared" si="32"/>
        <v>466.28544821831002</v>
      </c>
      <c r="J285" s="9">
        <f t="shared" si="33"/>
        <v>1672.00912415887</v>
      </c>
      <c r="K285" s="9">
        <f t="shared" si="31"/>
        <v>466.28544821831002</v>
      </c>
      <c r="L285" s="10">
        <f t="shared" si="30"/>
        <v>0.27887733474713072</v>
      </c>
      <c r="M285" s="10">
        <f t="shared" si="34"/>
        <v>0.39999283891555332</v>
      </c>
      <c r="P285" s="8">
        <f t="shared" si="35"/>
        <v>6.7183722081967474</v>
      </c>
    </row>
    <row r="286" spans="1:16" x14ac:dyDescent="0.2">
      <c r="A286" s="8">
        <v>142</v>
      </c>
      <c r="B286" s="8">
        <v>284</v>
      </c>
      <c r="D286">
        <v>1614.4068364611001</v>
      </c>
      <c r="E286">
        <v>552.19235924933002</v>
      </c>
      <c r="F286">
        <v>136.52185430463999</v>
      </c>
      <c r="G286">
        <v>117.73841059602999</v>
      </c>
      <c r="I286" s="9">
        <f t="shared" si="32"/>
        <v>434.45394865330002</v>
      </c>
      <c r="J286" s="9">
        <f t="shared" si="33"/>
        <v>1477.88498215646</v>
      </c>
      <c r="K286" s="9">
        <f t="shared" si="31"/>
        <v>434.45394865330002</v>
      </c>
      <c r="L286" s="10">
        <f t="shared" si="30"/>
        <v>0.29397006796791814</v>
      </c>
      <c r="M286" s="10">
        <f t="shared" si="34"/>
        <v>0.41551354211573444</v>
      </c>
      <c r="P286" s="8">
        <f t="shared" si="35"/>
        <v>10.859306794777101</v>
      </c>
    </row>
    <row r="287" spans="1:16" x14ac:dyDescent="0.2">
      <c r="A287" s="8">
        <v>142.5</v>
      </c>
      <c r="B287" s="8">
        <v>285</v>
      </c>
      <c r="D287">
        <v>1820.7096989966999</v>
      </c>
      <c r="E287">
        <v>592.78193979932996</v>
      </c>
      <c r="F287">
        <v>137.22516556291001</v>
      </c>
      <c r="G287">
        <v>117.49735099338</v>
      </c>
      <c r="I287" s="9">
        <f t="shared" si="32"/>
        <v>475.28458880594997</v>
      </c>
      <c r="J287" s="9">
        <f t="shared" si="33"/>
        <v>1683.4845334337899</v>
      </c>
      <c r="K287" s="9">
        <f t="shared" si="31"/>
        <v>475.28458880594997</v>
      </c>
      <c r="L287" s="10">
        <f t="shared" si="30"/>
        <v>0.28232192180376958</v>
      </c>
      <c r="M287" s="10">
        <f t="shared" si="34"/>
        <v>0.40429336593097959</v>
      </c>
      <c r="P287" s="8">
        <f t="shared" si="35"/>
        <v>7.8657558562839043</v>
      </c>
    </row>
    <row r="288" spans="1:16" x14ac:dyDescent="0.2">
      <c r="A288" s="8">
        <v>143</v>
      </c>
      <c r="B288" s="8">
        <v>286</v>
      </c>
      <c r="D288">
        <v>1799.0066889632001</v>
      </c>
      <c r="E288">
        <v>574.34247491638996</v>
      </c>
      <c r="F288">
        <v>136.89867549669</v>
      </c>
      <c r="G288">
        <v>117.44569536424</v>
      </c>
      <c r="I288" s="9">
        <f t="shared" si="32"/>
        <v>456.89677955214995</v>
      </c>
      <c r="J288" s="9">
        <f t="shared" si="33"/>
        <v>1662.1080134665101</v>
      </c>
      <c r="K288" s="9">
        <f t="shared" si="31"/>
        <v>456.89677955214995</v>
      </c>
      <c r="L288" s="10">
        <f t="shared" si="30"/>
        <v>0.27488994448636417</v>
      </c>
      <c r="M288" s="10">
        <f t="shared" si="34"/>
        <v>0.39728935859296788</v>
      </c>
      <c r="P288" s="8">
        <f t="shared" si="35"/>
        <v>5.997081746833965</v>
      </c>
    </row>
    <row r="289" spans="1:16" x14ac:dyDescent="0.2">
      <c r="A289" s="8">
        <v>143.5</v>
      </c>
      <c r="B289" s="8">
        <v>287</v>
      </c>
      <c r="D289">
        <v>1783.0421969189999</v>
      </c>
      <c r="E289">
        <v>564.26858673811</v>
      </c>
      <c r="F289">
        <v>136.4</v>
      </c>
      <c r="G289">
        <v>117.48013245033</v>
      </c>
      <c r="I289" s="9">
        <f t="shared" si="32"/>
        <v>446.78845428777998</v>
      </c>
      <c r="J289" s="9">
        <f t="shared" si="33"/>
        <v>1646.6421969189998</v>
      </c>
      <c r="K289" s="9">
        <f t="shared" si="31"/>
        <v>446.78845428777998</v>
      </c>
      <c r="L289" s="10">
        <f t="shared" si="30"/>
        <v>0.27133305287800663</v>
      </c>
      <c r="M289" s="10">
        <f t="shared" si="34"/>
        <v>0.3941604369640041</v>
      </c>
      <c r="P289" s="8">
        <f t="shared" si="35"/>
        <v>5.1622832441524462</v>
      </c>
    </row>
    <row r="290" spans="1:16" x14ac:dyDescent="0.2">
      <c r="A290" s="8">
        <v>144</v>
      </c>
      <c r="B290" s="8">
        <v>288</v>
      </c>
      <c r="D290">
        <v>1786.5358338915</v>
      </c>
      <c r="E290">
        <v>569.39584728733996</v>
      </c>
      <c r="F290">
        <v>137.05298013244999</v>
      </c>
      <c r="G290">
        <v>117.70794701987001</v>
      </c>
      <c r="I290" s="9">
        <f t="shared" si="32"/>
        <v>451.68790026746996</v>
      </c>
      <c r="J290" s="9">
        <f t="shared" si="33"/>
        <v>1649.4828537590502</v>
      </c>
      <c r="K290" s="9">
        <f t="shared" si="31"/>
        <v>451.68790026746996</v>
      </c>
      <c r="L290" s="10">
        <f t="shared" si="30"/>
        <v>0.27383606882490863</v>
      </c>
      <c r="M290" s="10">
        <f t="shared" si="34"/>
        <v>0.39709142289029981</v>
      </c>
      <c r="P290" s="8">
        <f t="shared" si="35"/>
        <v>5.9442723614262372</v>
      </c>
    </row>
    <row r="291" spans="1:16" x14ac:dyDescent="0.2">
      <c r="A291" s="8">
        <v>144.5</v>
      </c>
      <c r="B291" s="8">
        <v>289</v>
      </c>
      <c r="D291">
        <v>1701.703802535</v>
      </c>
      <c r="E291">
        <v>541.44029352901998</v>
      </c>
      <c r="F291">
        <v>136.74370860926999</v>
      </c>
      <c r="G291">
        <v>117.70927152318001</v>
      </c>
      <c r="I291" s="9">
        <f t="shared" si="32"/>
        <v>423.73102200583998</v>
      </c>
      <c r="J291" s="9">
        <f t="shared" si="33"/>
        <v>1564.96009392573</v>
      </c>
      <c r="K291" s="9">
        <f t="shared" si="31"/>
        <v>423.73102200583998</v>
      </c>
      <c r="L291" s="10">
        <f t="shared" si="30"/>
        <v>0.27076155082197861</v>
      </c>
      <c r="M291" s="10">
        <f t="shared" si="34"/>
        <v>0.3944448748667635</v>
      </c>
      <c r="P291" s="8">
        <f t="shared" si="35"/>
        <v>5.2381714776995585</v>
      </c>
    </row>
    <row r="292" spans="1:16" x14ac:dyDescent="0.2">
      <c r="A292" s="8">
        <v>145</v>
      </c>
      <c r="B292" s="8">
        <v>290</v>
      </c>
      <c r="D292">
        <v>1701.0576407507001</v>
      </c>
      <c r="E292">
        <v>530.57238605897999</v>
      </c>
      <c r="F292">
        <v>136.71788079469999</v>
      </c>
      <c r="G292">
        <v>117.63642384105999</v>
      </c>
      <c r="I292" s="9">
        <f>E292-G292</f>
        <v>412.93596221792001</v>
      </c>
      <c r="J292" s="9">
        <f>D292-F292</f>
        <v>1564.3397599560001</v>
      </c>
      <c r="K292" s="9">
        <f t="shared" si="31"/>
        <v>412.93596221792001</v>
      </c>
      <c r="L292" s="10">
        <f t="shared" si="30"/>
        <v>0.26396820741137117</v>
      </c>
      <c r="M292" s="10">
        <f>L292+ABS($N$2)*A292</f>
        <v>0.38807950143554981</v>
      </c>
      <c r="O292" s="11"/>
      <c r="P292" s="8">
        <f>(M292-$O$2)/$O$2*100</f>
        <v>3.5398853460824795</v>
      </c>
    </row>
    <row r="293" spans="1:16" x14ac:dyDescent="0.2">
      <c r="A293" s="8">
        <v>145.5</v>
      </c>
      <c r="B293" s="8">
        <v>291</v>
      </c>
      <c r="D293">
        <v>1719.9309651475</v>
      </c>
      <c r="E293">
        <v>534.03552278819996</v>
      </c>
      <c r="F293">
        <v>137.07417218543</v>
      </c>
      <c r="G293">
        <v>117.65695364238</v>
      </c>
      <c r="I293" s="9">
        <f t="shared" ref="I293:I301" si="36">E293-G293</f>
        <v>416.37856914581994</v>
      </c>
      <c r="J293" s="9">
        <f t="shared" ref="J293:J301" si="37">D293-F293</f>
        <v>1582.8567929620701</v>
      </c>
      <c r="K293" s="9">
        <f t="shared" si="31"/>
        <v>416.37856914581994</v>
      </c>
      <c r="L293" s="10">
        <f t="shared" si="30"/>
        <v>0.26305511085853334</v>
      </c>
      <c r="M293" s="10">
        <f t="shared" ref="M293:M301" si="38">L293+ABS($N$2)*A293</f>
        <v>0.38759437486210568</v>
      </c>
      <c r="P293" s="8">
        <f t="shared" ref="P293:P301" si="39">(M293-$O$2)/$O$2*100</f>
        <v>3.4104532333145117</v>
      </c>
    </row>
    <row r="294" spans="1:16" x14ac:dyDescent="0.2">
      <c r="A294" s="8">
        <v>146</v>
      </c>
      <c r="B294" s="8">
        <v>292</v>
      </c>
      <c r="D294">
        <v>1740.9845844504</v>
      </c>
      <c r="E294">
        <v>526.07841823056003</v>
      </c>
      <c r="F294">
        <v>137.01655629139</v>
      </c>
      <c r="G294">
        <v>118.00463576159</v>
      </c>
      <c r="I294" s="9">
        <f t="shared" si="36"/>
        <v>408.07378246897002</v>
      </c>
      <c r="J294" s="9">
        <f t="shared" si="37"/>
        <v>1603.9680281590099</v>
      </c>
      <c r="K294" s="9">
        <f t="shared" si="31"/>
        <v>408.07378246897002</v>
      </c>
      <c r="L294" s="10">
        <f t="shared" si="30"/>
        <v>0.25441515996883418</v>
      </c>
      <c r="M294" s="10">
        <f t="shared" si="38"/>
        <v>0.37938239395180023</v>
      </c>
      <c r="N294" s="1"/>
      <c r="P294" s="8">
        <f t="shared" si="39"/>
        <v>1.2194909207677043</v>
      </c>
    </row>
    <row r="295" spans="1:16" x14ac:dyDescent="0.2">
      <c r="A295" s="8">
        <v>146.5</v>
      </c>
      <c r="B295" s="8">
        <v>293</v>
      </c>
      <c r="D295">
        <v>1753.8116621984</v>
      </c>
      <c r="E295">
        <v>524.78351206434002</v>
      </c>
      <c r="F295">
        <v>136.74966887417</v>
      </c>
      <c r="G295">
        <v>117.49271523179</v>
      </c>
      <c r="I295" s="9">
        <f t="shared" si="36"/>
        <v>407.29079683255003</v>
      </c>
      <c r="J295" s="9">
        <f t="shared" si="37"/>
        <v>1617.0619933242299</v>
      </c>
      <c r="K295" s="9">
        <f t="shared" si="31"/>
        <v>407.29079683255003</v>
      </c>
      <c r="L295" s="10">
        <f t="shared" si="30"/>
        <v>0.25187086117537977</v>
      </c>
      <c r="M295" s="10">
        <f t="shared" si="38"/>
        <v>0.37726606513773953</v>
      </c>
      <c r="P295" s="8">
        <f t="shared" si="39"/>
        <v>0.65485289698162308</v>
      </c>
    </row>
    <row r="296" spans="1:16" x14ac:dyDescent="0.2">
      <c r="A296" s="8">
        <v>147</v>
      </c>
      <c r="B296" s="8">
        <v>294</v>
      </c>
      <c r="D296">
        <v>1770.6784759358</v>
      </c>
      <c r="E296">
        <v>533.20989304812997</v>
      </c>
      <c r="F296">
        <v>136.53377483444001</v>
      </c>
      <c r="G296">
        <v>117.64039735099</v>
      </c>
      <c r="I296" s="9">
        <f t="shared" si="36"/>
        <v>415.56949569713998</v>
      </c>
      <c r="J296" s="9">
        <f t="shared" si="37"/>
        <v>1634.1447011013599</v>
      </c>
      <c r="K296" s="9">
        <f t="shared" si="31"/>
        <v>415.56949569713998</v>
      </c>
      <c r="L296" s="10">
        <f t="shared" si="30"/>
        <v>0.25430397651876224</v>
      </c>
      <c r="M296" s="10">
        <f t="shared" si="38"/>
        <v>0.38012715046051571</v>
      </c>
      <c r="P296" s="8">
        <f t="shared" si="39"/>
        <v>1.4181924838183231</v>
      </c>
    </row>
    <row r="297" spans="1:16" x14ac:dyDescent="0.2">
      <c r="A297" s="8">
        <v>147.5</v>
      </c>
      <c r="B297" s="8">
        <v>295</v>
      </c>
      <c r="D297">
        <v>1759.3221925134001</v>
      </c>
      <c r="E297">
        <v>531.03810160427997</v>
      </c>
      <c r="F297">
        <v>136.94900662251999</v>
      </c>
      <c r="G297">
        <v>117.4178807947</v>
      </c>
      <c r="I297" s="9">
        <f t="shared" si="36"/>
        <v>413.62022080957996</v>
      </c>
      <c r="J297" s="9">
        <f t="shared" si="37"/>
        <v>1622.37318589088</v>
      </c>
      <c r="K297" s="9">
        <f t="shared" si="31"/>
        <v>413.62022080957996</v>
      </c>
      <c r="L297" s="10">
        <f t="shared" si="30"/>
        <v>0.25494764361656547</v>
      </c>
      <c r="M297" s="10">
        <f t="shared" si="38"/>
        <v>0.38119878753771269</v>
      </c>
      <c r="P297" s="8">
        <f t="shared" si="39"/>
        <v>1.7041060136366815</v>
      </c>
    </row>
    <row r="298" spans="1:16" x14ac:dyDescent="0.2">
      <c r="A298" s="8">
        <v>148</v>
      </c>
      <c r="B298" s="8">
        <v>296</v>
      </c>
      <c r="D298">
        <v>1715.8503989362</v>
      </c>
      <c r="E298">
        <v>525.11502659575001</v>
      </c>
      <c r="F298">
        <v>136.90993377482999</v>
      </c>
      <c r="G298">
        <v>117.10596026490001</v>
      </c>
      <c r="I298" s="9">
        <f t="shared" si="36"/>
        <v>408.00906633085003</v>
      </c>
      <c r="J298" s="9">
        <f t="shared" si="37"/>
        <v>1578.94046516137</v>
      </c>
      <c r="K298" s="9">
        <f t="shared" si="31"/>
        <v>408.00906633085003</v>
      </c>
      <c r="L298" s="10">
        <f t="shared" si="30"/>
        <v>0.25840687178104016</v>
      </c>
      <c r="M298" s="10">
        <f t="shared" si="38"/>
        <v>0.38508598568158109</v>
      </c>
      <c r="P298" s="8">
        <f t="shared" si="39"/>
        <v>2.7412132265784099</v>
      </c>
    </row>
    <row r="299" spans="1:16" x14ac:dyDescent="0.2">
      <c r="A299" s="8">
        <v>148.5</v>
      </c>
      <c r="B299" s="8">
        <v>297</v>
      </c>
      <c r="D299">
        <v>1746.1759570181</v>
      </c>
      <c r="E299">
        <v>534.58898589657997</v>
      </c>
      <c r="F299">
        <v>136.75099337748</v>
      </c>
      <c r="G299">
        <v>117.44370860927</v>
      </c>
      <c r="I299" s="9">
        <f t="shared" si="36"/>
        <v>417.14527728730997</v>
      </c>
      <c r="J299" s="9">
        <f t="shared" si="37"/>
        <v>1609.42496364062</v>
      </c>
      <c r="K299" s="9">
        <f t="shared" si="31"/>
        <v>417.14527728730997</v>
      </c>
      <c r="L299" s="10">
        <f t="shared" si="30"/>
        <v>0.25918901888019757</v>
      </c>
      <c r="M299" s="10">
        <f t="shared" si="38"/>
        <v>0.38629610276013226</v>
      </c>
      <c r="P299" s="8">
        <f t="shared" si="39"/>
        <v>3.0640733186601699</v>
      </c>
    </row>
    <row r="300" spans="1:16" x14ac:dyDescent="0.2">
      <c r="A300" s="8">
        <v>149</v>
      </c>
      <c r="B300" s="8">
        <v>298</v>
      </c>
      <c r="D300">
        <v>1775.8498659516999</v>
      </c>
      <c r="E300">
        <v>530.48525469168999</v>
      </c>
      <c r="F300">
        <v>136.71523178807999</v>
      </c>
      <c r="G300">
        <v>117.03907284768</v>
      </c>
      <c r="I300" s="9">
        <f t="shared" si="36"/>
        <v>413.44618184400997</v>
      </c>
      <c r="J300" s="9">
        <f t="shared" si="37"/>
        <v>1639.1346341636199</v>
      </c>
      <c r="K300" s="9">
        <f t="shared" si="31"/>
        <v>413.44618184400997</v>
      </c>
      <c r="L300" s="10">
        <f t="shared" si="30"/>
        <v>0.25223442493787207</v>
      </c>
      <c r="M300" s="10">
        <f t="shared" si="38"/>
        <v>0.37976947879720047</v>
      </c>
      <c r="P300" s="8">
        <f t="shared" si="39"/>
        <v>1.3227654311803654</v>
      </c>
    </row>
    <row r="301" spans="1:16" x14ac:dyDescent="0.2">
      <c r="A301" s="8">
        <v>149.5</v>
      </c>
      <c r="B301" s="8">
        <v>299</v>
      </c>
      <c r="D301">
        <v>1743.721849866</v>
      </c>
      <c r="E301">
        <v>519.08780160857998</v>
      </c>
      <c r="F301">
        <v>136.58013245033001</v>
      </c>
      <c r="G301">
        <v>117.35099337747999</v>
      </c>
      <c r="I301" s="9">
        <f t="shared" si="36"/>
        <v>401.73680823109999</v>
      </c>
      <c r="J301" s="9">
        <f t="shared" si="37"/>
        <v>1607.14171741567</v>
      </c>
      <c r="K301" s="9">
        <f t="shared" si="31"/>
        <v>401.73680823109999</v>
      </c>
      <c r="L301" s="10">
        <f t="shared" si="30"/>
        <v>0.24996974683545911</v>
      </c>
      <c r="M301" s="10">
        <f t="shared" si="38"/>
        <v>0.37793277067418118</v>
      </c>
      <c r="P301" s="8">
        <f t="shared" si="39"/>
        <v>0.83273040544938737</v>
      </c>
    </row>
    <row r="302" spans="1:16" x14ac:dyDescent="0.2">
      <c r="A302" s="8">
        <v>150</v>
      </c>
      <c r="B302" s="8">
        <v>300</v>
      </c>
      <c r="D302">
        <v>1774.0066755674</v>
      </c>
      <c r="E302">
        <v>527.8090787717</v>
      </c>
      <c r="F302">
        <v>136.83576158939999</v>
      </c>
      <c r="G302">
        <v>117.33178807947</v>
      </c>
      <c r="I302" s="9">
        <f>E302-G302</f>
        <v>410.47729069222999</v>
      </c>
      <c r="J302" s="9">
        <f>D302-F302</f>
        <v>1637.170913978</v>
      </c>
      <c r="K302" s="9">
        <f t="shared" si="31"/>
        <v>410.47729069222999</v>
      </c>
      <c r="L302" s="10">
        <f t="shared" si="30"/>
        <v>0.25072354217120296</v>
      </c>
      <c r="M302" s="10">
        <f>L302+ABS($N$2)*A302</f>
        <v>0.37911453598931877</v>
      </c>
      <c r="O302" s="11"/>
      <c r="P302" s="8">
        <f>(M302-$O$2)/$O$2*100</f>
        <v>1.148026227008371</v>
      </c>
    </row>
    <row r="303" spans="1:16" x14ac:dyDescent="0.2">
      <c r="A303" s="8">
        <v>150.5</v>
      </c>
      <c r="B303" s="8">
        <v>301</v>
      </c>
      <c r="D303">
        <v>1765.7025232404001</v>
      </c>
      <c r="E303">
        <v>532.43027888445999</v>
      </c>
      <c r="F303">
        <v>136.80198675496999</v>
      </c>
      <c r="G303">
        <v>117.43443708609</v>
      </c>
      <c r="I303" s="9">
        <f t="shared" ref="I303:I309" si="40">E303-G303</f>
        <v>414.99584179837001</v>
      </c>
      <c r="J303" s="9">
        <f t="shared" ref="J303:J309" si="41">D303-F303</f>
        <v>1628.9005364854302</v>
      </c>
      <c r="K303" s="9">
        <f t="shared" si="31"/>
        <v>414.99584179837001</v>
      </c>
      <c r="L303" s="10">
        <f t="shared" si="30"/>
        <v>0.25477052312462173</v>
      </c>
      <c r="M303" s="10">
        <f t="shared" ref="M303:M309" si="42">L303+ABS($N$2)*A303</f>
        <v>0.38358948692213124</v>
      </c>
      <c r="P303" s="8">
        <f t="shared" ref="P303:P309" si="43">(M303-$O$2)/$O$2*100</f>
        <v>2.3419462995677729</v>
      </c>
    </row>
    <row r="304" spans="1:16" x14ac:dyDescent="0.2">
      <c r="A304" s="8">
        <v>151</v>
      </c>
      <c r="B304" s="8">
        <v>302</v>
      </c>
      <c r="D304">
        <v>1759.2090245520999</v>
      </c>
      <c r="E304">
        <v>538.81021897810001</v>
      </c>
      <c r="F304">
        <v>136.44834437086001</v>
      </c>
      <c r="G304">
        <v>116.93112582782</v>
      </c>
      <c r="I304" s="9">
        <f t="shared" si="40"/>
        <v>421.87909315028003</v>
      </c>
      <c r="J304" s="9">
        <f t="shared" si="41"/>
        <v>1622.7606801812399</v>
      </c>
      <c r="K304" s="9">
        <f t="shared" si="31"/>
        <v>421.87909315028003</v>
      </c>
      <c r="L304" s="10">
        <f t="shared" si="30"/>
        <v>0.25997616179803051</v>
      </c>
      <c r="M304" s="10">
        <f t="shared" si="42"/>
        <v>0.38922309557493373</v>
      </c>
      <c r="N304" s="1"/>
      <c r="P304" s="8">
        <f t="shared" si="43"/>
        <v>3.8449970709642622</v>
      </c>
    </row>
    <row r="305" spans="1:16" x14ac:dyDescent="0.2">
      <c r="A305" s="8">
        <v>151.5</v>
      </c>
      <c r="B305" s="8">
        <v>303</v>
      </c>
      <c r="D305">
        <v>1725.4366290644</v>
      </c>
      <c r="E305">
        <v>527.36629064366002</v>
      </c>
      <c r="F305">
        <v>136.81390728477001</v>
      </c>
      <c r="G305">
        <v>117.15562913907</v>
      </c>
      <c r="I305" s="9">
        <f t="shared" si="40"/>
        <v>410.21066150459001</v>
      </c>
      <c r="J305" s="9">
        <f t="shared" si="41"/>
        <v>1588.62272177963</v>
      </c>
      <c r="K305" s="9">
        <f t="shared" si="31"/>
        <v>410.21066150459001</v>
      </c>
      <c r="L305" s="10">
        <f t="shared" si="30"/>
        <v>0.25821779827312169</v>
      </c>
      <c r="M305" s="10">
        <f t="shared" si="42"/>
        <v>0.38789270202941867</v>
      </c>
      <c r="P305" s="8">
        <f t="shared" si="43"/>
        <v>3.4900471324639049</v>
      </c>
    </row>
    <row r="306" spans="1:16" x14ac:dyDescent="0.2">
      <c r="A306" s="8">
        <v>152</v>
      </c>
      <c r="B306" s="8">
        <v>304</v>
      </c>
      <c r="D306">
        <v>1736.9124087590999</v>
      </c>
      <c r="E306">
        <v>523.53218314532</v>
      </c>
      <c r="F306">
        <v>136.53443708609001</v>
      </c>
      <c r="G306">
        <v>117.16953642384</v>
      </c>
      <c r="I306" s="9">
        <f t="shared" si="40"/>
        <v>406.36264672148002</v>
      </c>
      <c r="J306" s="9">
        <f t="shared" si="41"/>
        <v>1600.3779716730098</v>
      </c>
      <c r="K306" s="9">
        <f t="shared" si="31"/>
        <v>406.36264672148002</v>
      </c>
      <c r="L306" s="10">
        <f t="shared" si="30"/>
        <v>0.25391667088286335</v>
      </c>
      <c r="M306" s="10">
        <f t="shared" si="42"/>
        <v>0.38401954461855403</v>
      </c>
      <c r="P306" s="8">
        <f t="shared" si="43"/>
        <v>2.456685997014048</v>
      </c>
    </row>
    <row r="307" spans="1:16" x14ac:dyDescent="0.2">
      <c r="A307" s="8">
        <v>152.5</v>
      </c>
      <c r="B307" s="8">
        <v>305</v>
      </c>
      <c r="D307">
        <v>1756.8854655057</v>
      </c>
      <c r="E307">
        <v>526.87474882786</v>
      </c>
      <c r="F307">
        <v>136.30662251656</v>
      </c>
      <c r="G307">
        <v>117.76953642383999</v>
      </c>
      <c r="I307" s="9">
        <f t="shared" si="40"/>
        <v>409.10521240401999</v>
      </c>
      <c r="J307" s="9">
        <f t="shared" si="41"/>
        <v>1620.57884298914</v>
      </c>
      <c r="K307" s="9">
        <f t="shared" si="31"/>
        <v>409.10521240401999</v>
      </c>
      <c r="L307" s="10">
        <f t="shared" si="30"/>
        <v>0.25244388088482628</v>
      </c>
      <c r="M307" s="10">
        <f t="shared" si="42"/>
        <v>0.38297472459991067</v>
      </c>
      <c r="P307" s="8">
        <f t="shared" si="43"/>
        <v>2.1779272773768241</v>
      </c>
    </row>
    <row r="308" spans="1:16" x14ac:dyDescent="0.2">
      <c r="A308" s="8">
        <v>153</v>
      </c>
      <c r="B308" s="8">
        <v>306</v>
      </c>
      <c r="D308">
        <v>1767.6724715338</v>
      </c>
      <c r="E308">
        <v>536.50368385800004</v>
      </c>
      <c r="F308">
        <v>136.45827814570001</v>
      </c>
      <c r="G308">
        <v>117.19403973510001</v>
      </c>
      <c r="I308" s="9">
        <f t="shared" si="40"/>
        <v>419.30964412290007</v>
      </c>
      <c r="J308" s="9">
        <f t="shared" si="41"/>
        <v>1631.2141933881001</v>
      </c>
      <c r="K308" s="9">
        <f t="shared" si="31"/>
        <v>419.30964412290007</v>
      </c>
      <c r="L308" s="10">
        <f t="shared" si="30"/>
        <v>0.25705370013485257</v>
      </c>
      <c r="M308" s="10">
        <f t="shared" si="42"/>
        <v>0.38801251382933066</v>
      </c>
      <c r="P308" s="8">
        <f t="shared" si="43"/>
        <v>3.5220130053845491</v>
      </c>
    </row>
    <row r="309" spans="1:16" x14ac:dyDescent="0.2">
      <c r="A309" s="8">
        <v>153.5</v>
      </c>
      <c r="B309" s="8">
        <v>307</v>
      </c>
      <c r="D309">
        <v>1719.854180602</v>
      </c>
      <c r="E309">
        <v>510.22006688963</v>
      </c>
      <c r="F309">
        <v>136.33973509934</v>
      </c>
      <c r="G309">
        <v>117.66622516555999</v>
      </c>
      <c r="I309" s="9">
        <f t="shared" si="40"/>
        <v>392.55384172407003</v>
      </c>
      <c r="J309" s="9">
        <f t="shared" si="41"/>
        <v>1583.51444550266</v>
      </c>
      <c r="K309" s="9">
        <f t="shared" si="31"/>
        <v>392.55384172407003</v>
      </c>
      <c r="L309" s="10">
        <f t="shared" si="30"/>
        <v>0.24790038565101968</v>
      </c>
      <c r="M309" s="10">
        <f t="shared" si="42"/>
        <v>0.37928716932489154</v>
      </c>
      <c r="P309" s="8">
        <f t="shared" si="43"/>
        <v>1.1940849229868928</v>
      </c>
    </row>
    <row r="310" spans="1:16" x14ac:dyDescent="0.2">
      <c r="A310" s="8">
        <v>154</v>
      </c>
      <c r="B310" s="8">
        <v>308</v>
      </c>
      <c r="D310">
        <v>1706.1377926421001</v>
      </c>
      <c r="E310">
        <v>500.72374581939999</v>
      </c>
      <c r="F310">
        <v>136.51854304636001</v>
      </c>
      <c r="G310">
        <v>117.23907284768001</v>
      </c>
      <c r="I310" s="9">
        <f>E310-G310</f>
        <v>383.48467297171999</v>
      </c>
      <c r="J310" s="9">
        <f>D310-F310</f>
        <v>1569.61924959574</v>
      </c>
      <c r="K310" s="9">
        <f t="shared" si="31"/>
        <v>383.48467297171999</v>
      </c>
      <c r="L310" s="10">
        <f t="shared" si="30"/>
        <v>0.24431700431202508</v>
      </c>
      <c r="M310" s="10">
        <f>L310+ABS($N$2)*A310</f>
        <v>0.37613175796529064</v>
      </c>
      <c r="O310" s="11"/>
      <c r="P310" s="8">
        <f>(M310-$O$2)/$O$2*100</f>
        <v>0.35221894144377353</v>
      </c>
    </row>
    <row r="311" spans="1:16" x14ac:dyDescent="0.2">
      <c r="A311" s="8">
        <v>154.5</v>
      </c>
      <c r="B311" s="8">
        <v>309</v>
      </c>
      <c r="D311">
        <v>1706.9279519679999</v>
      </c>
      <c r="E311">
        <v>494.90527018012</v>
      </c>
      <c r="F311">
        <v>136.68013245033001</v>
      </c>
      <c r="G311">
        <v>117.28609271523</v>
      </c>
      <c r="I311" s="9">
        <f t="shared" ref="I311:I319" si="44">E311-G311</f>
        <v>377.61917746489002</v>
      </c>
      <c r="J311" s="9">
        <f t="shared" ref="J311:J319" si="45">D311-F311</f>
        <v>1570.24781951767</v>
      </c>
      <c r="K311" s="9">
        <f t="shared" si="31"/>
        <v>377.61917746489002</v>
      </c>
      <c r="L311" s="10">
        <f t="shared" si="30"/>
        <v>0.24048380947975623</v>
      </c>
      <c r="M311" s="10">
        <f t="shared" ref="M311:M319" si="46">L311+ABS($N$2)*A311</f>
        <v>0.37272653311241555</v>
      </c>
      <c r="P311" s="8">
        <f t="shared" ref="P311:P319" si="47">(M311-$O$2)/$O$2*100</f>
        <v>-0.5562974567171618</v>
      </c>
    </row>
    <row r="312" spans="1:16" x14ac:dyDescent="0.2">
      <c r="A312" s="8">
        <v>155</v>
      </c>
      <c r="B312" s="8">
        <v>310</v>
      </c>
      <c r="D312">
        <v>1744.2874331551</v>
      </c>
      <c r="E312">
        <v>504.62767379679002</v>
      </c>
      <c r="F312">
        <v>136.22781456953999</v>
      </c>
      <c r="G312">
        <v>117.24900662252</v>
      </c>
      <c r="I312" s="9">
        <f t="shared" si="44"/>
        <v>387.37866717427005</v>
      </c>
      <c r="J312" s="9">
        <f t="shared" si="45"/>
        <v>1608.05961858556</v>
      </c>
      <c r="K312" s="9">
        <f t="shared" si="31"/>
        <v>387.37866717427005</v>
      </c>
      <c r="L312" s="10">
        <f t="shared" si="30"/>
        <v>0.24089819972906609</v>
      </c>
      <c r="M312" s="10">
        <f t="shared" si="46"/>
        <v>0.37356889334111909</v>
      </c>
      <c r="N312" s="1"/>
      <c r="P312" s="8">
        <f t="shared" si="47"/>
        <v>-0.33155515217019182</v>
      </c>
    </row>
    <row r="313" spans="1:16" x14ac:dyDescent="0.2">
      <c r="A313" s="8">
        <v>155.5</v>
      </c>
      <c r="B313" s="8">
        <v>311</v>
      </c>
      <c r="D313">
        <v>1787.638368984</v>
      </c>
      <c r="E313">
        <v>518.12098930481</v>
      </c>
      <c r="F313">
        <v>136.4701986755</v>
      </c>
      <c r="G313">
        <v>117.48476821192</v>
      </c>
      <c r="I313" s="9">
        <f t="shared" si="44"/>
        <v>400.63622109288997</v>
      </c>
      <c r="J313" s="9">
        <f t="shared" si="45"/>
        <v>1651.1681703085001</v>
      </c>
      <c r="K313" s="9">
        <f t="shared" si="31"/>
        <v>400.63622109288997</v>
      </c>
      <c r="L313" s="10">
        <f t="shared" si="30"/>
        <v>0.24263804759392626</v>
      </c>
      <c r="M313" s="10">
        <f t="shared" si="46"/>
        <v>0.375736711185373</v>
      </c>
      <c r="P313" s="8">
        <f t="shared" si="47"/>
        <v>0.24682018127296729</v>
      </c>
    </row>
    <row r="314" spans="1:16" x14ac:dyDescent="0.2">
      <c r="A314" s="8">
        <v>156</v>
      </c>
      <c r="B314" s="8">
        <v>312</v>
      </c>
      <c r="D314">
        <v>1784.4906417111999</v>
      </c>
      <c r="E314">
        <v>508.60360962567</v>
      </c>
      <c r="F314">
        <v>136.88410596027001</v>
      </c>
      <c r="G314">
        <v>117.31390728477</v>
      </c>
      <c r="I314" s="9">
        <f t="shared" si="44"/>
        <v>391.28970234090002</v>
      </c>
      <c r="J314" s="9">
        <f t="shared" si="45"/>
        <v>1647.6065357509299</v>
      </c>
      <c r="K314" s="9">
        <f t="shared" si="31"/>
        <v>391.28970234090002</v>
      </c>
      <c r="L314" s="10">
        <f t="shared" si="30"/>
        <v>0.23748977310445168</v>
      </c>
      <c r="M314" s="10">
        <f t="shared" si="46"/>
        <v>0.37101640667529212</v>
      </c>
      <c r="P314" s="8">
        <f t="shared" si="47"/>
        <v>-1.0125603991608518</v>
      </c>
    </row>
    <row r="315" spans="1:16" x14ac:dyDescent="0.2">
      <c r="A315" s="8">
        <v>156.5</v>
      </c>
      <c r="B315" s="8">
        <v>313</v>
      </c>
      <c r="D315">
        <v>1780.3990641711</v>
      </c>
      <c r="E315">
        <v>507.43315508020999</v>
      </c>
      <c r="F315">
        <v>136.69139072848</v>
      </c>
      <c r="G315">
        <v>117.45364238411</v>
      </c>
      <c r="I315" s="9">
        <f t="shared" si="44"/>
        <v>389.97951269609996</v>
      </c>
      <c r="J315" s="9">
        <f t="shared" si="45"/>
        <v>1643.70767344262</v>
      </c>
      <c r="K315" s="9">
        <f t="shared" si="31"/>
        <v>389.97951269609996</v>
      </c>
      <c r="L315" s="10">
        <f t="shared" si="30"/>
        <v>0.23725600299676017</v>
      </c>
      <c r="M315" s="10">
        <f t="shared" si="46"/>
        <v>0.37121060654699434</v>
      </c>
      <c r="P315" s="8">
        <f t="shared" si="47"/>
        <v>-0.96074773609595965</v>
      </c>
    </row>
    <row r="316" spans="1:16" x14ac:dyDescent="0.2">
      <c r="A316" s="8">
        <v>157</v>
      </c>
      <c r="B316" s="8">
        <v>314</v>
      </c>
      <c r="D316">
        <v>1777.1129679144001</v>
      </c>
      <c r="E316">
        <v>501.15975935828999</v>
      </c>
      <c r="F316">
        <v>136.90198675497001</v>
      </c>
      <c r="G316">
        <v>116.99072847682</v>
      </c>
      <c r="I316" s="9">
        <f t="shared" si="44"/>
        <v>384.16903088147001</v>
      </c>
      <c r="J316" s="9">
        <f t="shared" si="45"/>
        <v>1640.21098115943</v>
      </c>
      <c r="K316" s="9">
        <f t="shared" si="31"/>
        <v>384.16903088147001</v>
      </c>
      <c r="L316" s="10">
        <f t="shared" si="30"/>
        <v>0.23421927745533636</v>
      </c>
      <c r="M316" s="10">
        <f t="shared" si="46"/>
        <v>0.36860185098496423</v>
      </c>
      <c r="P316" s="8">
        <f t="shared" si="47"/>
        <v>-1.6567655643744028</v>
      </c>
    </row>
    <row r="317" spans="1:16" x14ac:dyDescent="0.2">
      <c r="A317" s="8">
        <v>157.5</v>
      </c>
      <c r="B317" s="8">
        <v>315</v>
      </c>
      <c r="D317">
        <v>1779.6517379679001</v>
      </c>
      <c r="E317">
        <v>498.89906417112002</v>
      </c>
      <c r="F317">
        <v>136.58211920529999</v>
      </c>
      <c r="G317">
        <v>117.31655629139</v>
      </c>
      <c r="I317" s="9">
        <f t="shared" si="44"/>
        <v>381.58250787973003</v>
      </c>
      <c r="J317" s="9">
        <f t="shared" si="45"/>
        <v>1643.0696187626002</v>
      </c>
      <c r="K317" s="9">
        <f t="shared" si="31"/>
        <v>381.58250787973003</v>
      </c>
      <c r="L317" s="10">
        <f t="shared" si="30"/>
        <v>0.23223757747228069</v>
      </c>
      <c r="M317" s="10">
        <f t="shared" si="46"/>
        <v>0.36704812098130229</v>
      </c>
      <c r="P317" s="8">
        <f t="shared" si="47"/>
        <v>-2.0713018278019675</v>
      </c>
    </row>
    <row r="318" spans="1:16" x14ac:dyDescent="0.2">
      <c r="A318" s="8">
        <v>158</v>
      </c>
      <c r="B318" s="8">
        <v>316</v>
      </c>
      <c r="D318">
        <v>1768.6885026738</v>
      </c>
      <c r="E318">
        <v>495.26270053475997</v>
      </c>
      <c r="F318">
        <v>136.68807947019999</v>
      </c>
      <c r="G318">
        <v>117.53708609272</v>
      </c>
      <c r="I318" s="9">
        <f t="shared" si="44"/>
        <v>377.72561444203996</v>
      </c>
      <c r="J318" s="9">
        <f t="shared" si="45"/>
        <v>1632.0004232036001</v>
      </c>
      <c r="K318" s="9">
        <f t="shared" si="31"/>
        <v>377.72561444203996</v>
      </c>
      <c r="L318" s="10">
        <f t="shared" si="30"/>
        <v>0.23144945863467881</v>
      </c>
      <c r="M318" s="10">
        <f t="shared" si="46"/>
        <v>0.36668797212309412</v>
      </c>
      <c r="P318" s="8">
        <f t="shared" si="47"/>
        <v>-2.1673897977886791</v>
      </c>
    </row>
    <row r="319" spans="1:16" x14ac:dyDescent="0.2">
      <c r="A319" s="8">
        <v>158.5</v>
      </c>
      <c r="B319" s="8">
        <v>317</v>
      </c>
      <c r="D319">
        <v>1748.2573529412</v>
      </c>
      <c r="E319">
        <v>482.25802139037</v>
      </c>
      <c r="F319">
        <v>136.25761589403999</v>
      </c>
      <c r="G319">
        <v>117.71721854305</v>
      </c>
      <c r="I319" s="9">
        <f t="shared" si="44"/>
        <v>364.54080284732004</v>
      </c>
      <c r="J319" s="9">
        <f t="shared" si="45"/>
        <v>1611.9997370471601</v>
      </c>
      <c r="K319" s="9">
        <f t="shared" si="31"/>
        <v>364.54080284732004</v>
      </c>
      <c r="L319" s="10">
        <f t="shared" si="30"/>
        <v>0.22614197413895432</v>
      </c>
      <c r="M319" s="10">
        <f t="shared" si="46"/>
        <v>0.36180845760676339</v>
      </c>
      <c r="P319" s="8">
        <f t="shared" si="47"/>
        <v>-3.4692477204476879</v>
      </c>
    </row>
    <row r="320" spans="1:16" x14ac:dyDescent="0.2">
      <c r="A320" s="8">
        <v>159</v>
      </c>
      <c r="B320" s="8">
        <v>318</v>
      </c>
      <c r="D320">
        <v>1676.0838881490999</v>
      </c>
      <c r="E320">
        <v>475.67776298269001</v>
      </c>
      <c r="F320">
        <v>135.92649006623</v>
      </c>
      <c r="G320">
        <v>117.32052980132001</v>
      </c>
      <c r="I320" s="9">
        <f>E320-G320</f>
        <v>358.35723318137002</v>
      </c>
      <c r="J320" s="9">
        <f>D320-F320</f>
        <v>1540.15739808287</v>
      </c>
      <c r="K320" s="9">
        <f t="shared" si="31"/>
        <v>358.35723318137002</v>
      </c>
      <c r="L320" s="10">
        <f t="shared" si="30"/>
        <v>0.23267572108372794</v>
      </c>
      <c r="M320" s="10">
        <f>L320+ABS($N$2)*A320</f>
        <v>0.36877017453093069</v>
      </c>
      <c r="O320" s="11"/>
      <c r="P320" s="8">
        <f>(M320-$O$2)/$O$2*100</f>
        <v>-1.6118567233097629</v>
      </c>
    </row>
    <row r="321" spans="1:16" x14ac:dyDescent="0.2">
      <c r="A321" s="8">
        <v>159.5</v>
      </c>
      <c r="B321" s="8">
        <v>319</v>
      </c>
      <c r="D321">
        <v>1714.0850066933999</v>
      </c>
      <c r="E321">
        <v>468.16398929050001</v>
      </c>
      <c r="F321">
        <v>136.55298013244999</v>
      </c>
      <c r="G321">
        <v>117.57615894040001</v>
      </c>
      <c r="I321" s="9">
        <f t="shared" ref="I321" si="48">E321-G321</f>
        <v>350.58783035010003</v>
      </c>
      <c r="J321" s="9">
        <f t="shared" ref="J321" si="49">D321-F321</f>
        <v>1577.5320265609498</v>
      </c>
      <c r="K321" s="9">
        <f t="shared" si="31"/>
        <v>350.58783035010003</v>
      </c>
      <c r="L321" s="10">
        <f t="shared" si="30"/>
        <v>0.22223816977864358</v>
      </c>
      <c r="M321" s="10">
        <f t="shared" ref="M321" si="50">L321+ABS($N$2)*A321</f>
        <v>0.35876059320524006</v>
      </c>
      <c r="P321" s="8">
        <f t="shared" ref="P321" si="51">(M321-$O$2)/$O$2*100</f>
        <v>-4.2824200975425404</v>
      </c>
    </row>
    <row r="322" spans="1:16" x14ac:dyDescent="0.2">
      <c r="A322" s="8">
        <v>160</v>
      </c>
      <c r="B322" s="8">
        <v>320</v>
      </c>
      <c r="D322">
        <v>1702.8393574296999</v>
      </c>
      <c r="E322">
        <v>459.21285140561997</v>
      </c>
      <c r="F322">
        <v>136.1761589404</v>
      </c>
      <c r="G322">
        <v>117.01390728477</v>
      </c>
      <c r="I322" s="9">
        <f>E322-G322</f>
        <v>342.19894412085</v>
      </c>
      <c r="J322" s="9">
        <f>D322-F322</f>
        <v>1566.6631984892999</v>
      </c>
      <c r="K322" s="9">
        <f t="shared" si="31"/>
        <v>342.19894412085</v>
      </c>
      <c r="L322" s="10">
        <f t="shared" ref="L322" si="52">K322/J322</f>
        <v>0.21842534148426107</v>
      </c>
      <c r="M322" s="10">
        <f>L322+ABS($N$2)*A322</f>
        <v>0.35537573489025126</v>
      </c>
      <c r="O322" s="11"/>
      <c r="P322" s="8">
        <f>(M322-$O$2)/$O$2*100</f>
        <v>-5.1855026889967526</v>
      </c>
    </row>
    <row r="323" spans="1:16" x14ac:dyDescent="0.2">
      <c r="I323" s="9"/>
      <c r="J323" s="9"/>
      <c r="K323" s="9"/>
      <c r="L323" s="9"/>
    </row>
    <row r="324" spans="1:16" x14ac:dyDescent="0.2">
      <c r="I324" s="9"/>
      <c r="J324" s="9"/>
      <c r="K324" s="9"/>
      <c r="L324" s="9"/>
    </row>
    <row r="325" spans="1:16" x14ac:dyDescent="0.2">
      <c r="I325" s="9"/>
      <c r="J325" s="9"/>
      <c r="K325" s="9"/>
      <c r="L325" s="9"/>
    </row>
    <row r="326" spans="1:16" x14ac:dyDescent="0.2">
      <c r="I326" s="9"/>
      <c r="J326" s="9"/>
      <c r="K326" s="9"/>
      <c r="L326" s="9"/>
    </row>
    <row r="327" spans="1:16" x14ac:dyDescent="0.2">
      <c r="I327" s="9"/>
      <c r="J327" s="9"/>
      <c r="K327" s="9"/>
      <c r="L327" s="9"/>
    </row>
    <row r="328" spans="1:16" x14ac:dyDescent="0.2">
      <c r="I328" s="9"/>
      <c r="J328" s="9"/>
      <c r="K328" s="9"/>
      <c r="L328" s="9"/>
    </row>
    <row r="329" spans="1:16" x14ac:dyDescent="0.2">
      <c r="I329" s="9"/>
      <c r="J329" s="9"/>
      <c r="K329" s="9"/>
      <c r="L329" s="9"/>
    </row>
    <row r="330" spans="1:16" x14ac:dyDescent="0.2">
      <c r="I330" s="9"/>
      <c r="J330" s="9"/>
      <c r="K330" s="9"/>
      <c r="L330" s="9"/>
    </row>
    <row r="331" spans="1:16" x14ac:dyDescent="0.2">
      <c r="I331" s="9"/>
      <c r="J331" s="9"/>
      <c r="K331" s="9"/>
      <c r="L331" s="9"/>
    </row>
    <row r="332" spans="1:16" x14ac:dyDescent="0.2">
      <c r="I332" s="9"/>
      <c r="J332" s="9"/>
      <c r="K332" s="9"/>
      <c r="L332" s="9"/>
    </row>
    <row r="333" spans="1:16" x14ac:dyDescent="0.2">
      <c r="I333" s="9"/>
      <c r="J333" s="9"/>
      <c r="K333" s="9"/>
      <c r="L333" s="9"/>
    </row>
    <row r="334" spans="1:16" x14ac:dyDescent="0.2">
      <c r="I334" s="9"/>
      <c r="J334" s="9"/>
      <c r="K334" s="9"/>
      <c r="L334" s="9"/>
    </row>
    <row r="335" spans="1:16" x14ac:dyDescent="0.2">
      <c r="I335" s="9"/>
      <c r="J335" s="9"/>
      <c r="K335" s="9"/>
      <c r="L335" s="9"/>
    </row>
    <row r="336" spans="1:16" x14ac:dyDescent="0.2">
      <c r="I336" s="9"/>
      <c r="J336" s="9"/>
      <c r="K336" s="9"/>
      <c r="L336" s="9"/>
    </row>
    <row r="337" spans="9:12" x14ac:dyDescent="0.2">
      <c r="I337" s="9"/>
      <c r="J337" s="9"/>
      <c r="K337" s="9"/>
      <c r="L337" s="9"/>
    </row>
    <row r="338" spans="9:12" x14ac:dyDescent="0.2">
      <c r="I338" s="9"/>
      <c r="J338" s="9"/>
      <c r="K338" s="9"/>
      <c r="L338" s="9"/>
    </row>
    <row r="339" spans="9:12" x14ac:dyDescent="0.2">
      <c r="I339" s="9"/>
      <c r="J339" s="9"/>
      <c r="K339" s="9"/>
      <c r="L339" s="9"/>
    </row>
    <row r="340" spans="9:12" x14ac:dyDescent="0.2">
      <c r="I340" s="9"/>
      <c r="J340" s="9"/>
      <c r="K340" s="9"/>
      <c r="L340" s="9"/>
    </row>
    <row r="341" spans="9:12" x14ac:dyDescent="0.2">
      <c r="I341" s="9"/>
      <c r="J341" s="9"/>
      <c r="K341" s="9"/>
      <c r="L341" s="9"/>
    </row>
    <row r="342" spans="9:12" x14ac:dyDescent="0.2">
      <c r="I342" s="9"/>
      <c r="J342" s="9"/>
      <c r="K342" s="9"/>
      <c r="L342" s="9"/>
    </row>
    <row r="343" spans="9:12" x14ac:dyDescent="0.2">
      <c r="I343" s="9"/>
      <c r="J343" s="9"/>
      <c r="K343" s="9"/>
      <c r="L343" s="9"/>
    </row>
    <row r="344" spans="9:12" x14ac:dyDescent="0.2">
      <c r="I344" s="9"/>
      <c r="J344" s="9"/>
      <c r="K344" s="9"/>
      <c r="L344" s="9"/>
    </row>
    <row r="345" spans="9:12" x14ac:dyDescent="0.2">
      <c r="I345" s="9"/>
      <c r="J345" s="9"/>
      <c r="K345" s="9"/>
      <c r="L345" s="9"/>
    </row>
    <row r="346" spans="9:12" x14ac:dyDescent="0.2">
      <c r="I346" s="9"/>
      <c r="J346" s="9"/>
      <c r="K346" s="9"/>
      <c r="L346" s="9"/>
    </row>
    <row r="347" spans="9:12" x14ac:dyDescent="0.2">
      <c r="I347" s="9"/>
      <c r="J347" s="9"/>
      <c r="K347" s="9"/>
      <c r="L347" s="9"/>
    </row>
    <row r="348" spans="9:12" x14ac:dyDescent="0.2">
      <c r="I348" s="9"/>
      <c r="J348" s="9"/>
      <c r="K348" s="9"/>
      <c r="L348" s="9"/>
    </row>
    <row r="349" spans="9:12" x14ac:dyDescent="0.2">
      <c r="I349" s="9"/>
      <c r="J349" s="9"/>
      <c r="K349" s="9"/>
      <c r="L349" s="9"/>
    </row>
    <row r="350" spans="9:12" x14ac:dyDescent="0.2">
      <c r="I350" s="9"/>
      <c r="J350" s="9"/>
      <c r="K350" s="9"/>
      <c r="L350" s="9"/>
    </row>
    <row r="351" spans="9:12" x14ac:dyDescent="0.2">
      <c r="I351" s="9"/>
      <c r="J351" s="9"/>
      <c r="K351" s="9"/>
      <c r="L351" s="9"/>
    </row>
    <row r="352" spans="9:12" x14ac:dyDescent="0.2">
      <c r="I352" s="9"/>
      <c r="J352" s="9"/>
      <c r="K352" s="9"/>
      <c r="L352" s="9"/>
    </row>
    <row r="353" spans="9:12" x14ac:dyDescent="0.2">
      <c r="I353" s="9"/>
      <c r="J353" s="9"/>
      <c r="K353" s="9"/>
      <c r="L353" s="9"/>
    </row>
    <row r="354" spans="9:12" x14ac:dyDescent="0.2">
      <c r="I354" s="9"/>
      <c r="J354" s="9"/>
      <c r="K354" s="9"/>
      <c r="L354" s="9"/>
    </row>
    <row r="355" spans="9:12" x14ac:dyDescent="0.2">
      <c r="I355" s="9"/>
      <c r="J355" s="9"/>
      <c r="K355" s="9"/>
      <c r="L355" s="9"/>
    </row>
    <row r="356" spans="9:12" x14ac:dyDescent="0.2">
      <c r="I356" s="9"/>
      <c r="J356" s="9"/>
      <c r="K356" s="9"/>
      <c r="L356" s="9"/>
    </row>
    <row r="357" spans="9:12" x14ac:dyDescent="0.2">
      <c r="I357" s="9"/>
      <c r="J357" s="9"/>
      <c r="K357" s="9"/>
      <c r="L357" s="9"/>
    </row>
    <row r="358" spans="9:12" x14ac:dyDescent="0.2">
      <c r="I358" s="9"/>
      <c r="J358" s="9"/>
      <c r="K358" s="9"/>
      <c r="L358" s="9"/>
    </row>
    <row r="359" spans="9:12" x14ac:dyDescent="0.2">
      <c r="I359" s="9"/>
      <c r="J359" s="9"/>
      <c r="K359" s="9"/>
      <c r="L359" s="9"/>
    </row>
    <row r="360" spans="9:12" x14ac:dyDescent="0.2">
      <c r="I360" s="9"/>
      <c r="J360" s="9"/>
      <c r="K360" s="9"/>
      <c r="L360" s="9"/>
    </row>
    <row r="361" spans="9:12" x14ac:dyDescent="0.2">
      <c r="I361" s="9"/>
      <c r="J361" s="9"/>
      <c r="K361" s="9"/>
      <c r="L361" s="9"/>
    </row>
    <row r="362" spans="9:12" x14ac:dyDescent="0.2">
      <c r="I362" s="9"/>
      <c r="J362" s="9"/>
      <c r="K362" s="9"/>
      <c r="L362" s="9"/>
    </row>
    <row r="363" spans="9:12" x14ac:dyDescent="0.2">
      <c r="I363" s="9"/>
      <c r="J363" s="9"/>
      <c r="K363" s="9"/>
      <c r="L363" s="9"/>
    </row>
    <row r="364" spans="9:12" x14ac:dyDescent="0.2">
      <c r="I364" s="9"/>
      <c r="J364" s="9"/>
      <c r="K364" s="9"/>
      <c r="L364" s="9"/>
    </row>
    <row r="365" spans="9:12" x14ac:dyDescent="0.2">
      <c r="I365" s="9"/>
      <c r="J365" s="9"/>
      <c r="K365" s="9"/>
      <c r="L365" s="9"/>
    </row>
    <row r="366" spans="9:12" x14ac:dyDescent="0.2">
      <c r="I366" s="9"/>
      <c r="J366" s="9"/>
      <c r="K366" s="9"/>
      <c r="L366" s="9"/>
    </row>
    <row r="367" spans="9:12" x14ac:dyDescent="0.2">
      <c r="I367" s="9"/>
      <c r="J367" s="9"/>
      <c r="K367" s="9"/>
      <c r="L367" s="9"/>
    </row>
    <row r="368" spans="9:12" x14ac:dyDescent="0.2">
      <c r="I368" s="9"/>
      <c r="J368" s="9"/>
      <c r="K368" s="9"/>
      <c r="L368" s="9"/>
    </row>
    <row r="369" spans="9:12" x14ac:dyDescent="0.2">
      <c r="I369" s="9"/>
      <c r="J369" s="9"/>
      <c r="K369" s="9"/>
      <c r="L369" s="9"/>
    </row>
    <row r="370" spans="9:12" x14ac:dyDescent="0.2">
      <c r="I370" s="9"/>
      <c r="J370" s="9"/>
      <c r="K370" s="9"/>
      <c r="L370" s="9"/>
    </row>
    <row r="371" spans="9:12" x14ac:dyDescent="0.2">
      <c r="I371" s="9"/>
      <c r="J371" s="9"/>
      <c r="K371" s="9"/>
      <c r="L371" s="9"/>
    </row>
    <row r="372" spans="9:12" x14ac:dyDescent="0.2">
      <c r="I372" s="9"/>
      <c r="J372" s="9"/>
      <c r="K372" s="9"/>
      <c r="L372" s="9"/>
    </row>
    <row r="373" spans="9:12" x14ac:dyDescent="0.2">
      <c r="I373" s="9"/>
      <c r="J373" s="9"/>
      <c r="K373" s="9"/>
      <c r="L373" s="9"/>
    </row>
    <row r="374" spans="9:12" x14ac:dyDescent="0.2">
      <c r="I374" s="9"/>
      <c r="J374" s="9"/>
      <c r="K374" s="9"/>
      <c r="L374" s="9"/>
    </row>
    <row r="375" spans="9:12" x14ac:dyDescent="0.2">
      <c r="I375" s="9"/>
      <c r="J375" s="9"/>
      <c r="K375" s="9"/>
      <c r="L375" s="9"/>
    </row>
    <row r="376" spans="9:12" x14ac:dyDescent="0.2">
      <c r="I376" s="9"/>
      <c r="J376" s="9"/>
      <c r="K376" s="9"/>
      <c r="L376" s="9"/>
    </row>
    <row r="377" spans="9:12" x14ac:dyDescent="0.2">
      <c r="I377" s="9"/>
      <c r="J377" s="9"/>
      <c r="K377" s="9"/>
      <c r="L377" s="9"/>
    </row>
    <row r="378" spans="9:12" x14ac:dyDescent="0.2">
      <c r="I378" s="9"/>
      <c r="J378" s="9"/>
      <c r="K378" s="9"/>
      <c r="L378" s="9"/>
    </row>
    <row r="379" spans="9:12" x14ac:dyDescent="0.2">
      <c r="I379" s="9"/>
      <c r="J379" s="9"/>
      <c r="K379" s="9"/>
      <c r="L379" s="9"/>
    </row>
    <row r="380" spans="9:12" x14ac:dyDescent="0.2">
      <c r="I380" s="9"/>
      <c r="J380" s="9"/>
      <c r="K380" s="9"/>
      <c r="L380" s="9"/>
    </row>
    <row r="381" spans="9:12" x14ac:dyDescent="0.2">
      <c r="I381" s="9"/>
      <c r="J381" s="9"/>
      <c r="K381" s="9"/>
      <c r="L381" s="9"/>
    </row>
    <row r="382" spans="9:12" x14ac:dyDescent="0.2">
      <c r="I382" s="9"/>
      <c r="J382" s="9"/>
      <c r="K382" s="9"/>
      <c r="L382" s="9"/>
    </row>
    <row r="383" spans="9:12" x14ac:dyDescent="0.2">
      <c r="I383" s="9"/>
      <c r="J383" s="9"/>
      <c r="K383" s="9"/>
      <c r="L383" s="9"/>
    </row>
    <row r="384" spans="9:12" x14ac:dyDescent="0.2">
      <c r="I384" s="9"/>
      <c r="J384" s="9"/>
      <c r="K384" s="9"/>
      <c r="L384" s="9"/>
    </row>
    <row r="385" spans="9:12" x14ac:dyDescent="0.2">
      <c r="I385" s="9"/>
      <c r="J385" s="9"/>
      <c r="K385" s="9"/>
      <c r="L385" s="9"/>
    </row>
    <row r="386" spans="9:12" x14ac:dyDescent="0.2">
      <c r="I386" s="9"/>
      <c r="J386" s="9"/>
      <c r="K386" s="9"/>
      <c r="L386" s="9"/>
    </row>
    <row r="387" spans="9:12" x14ac:dyDescent="0.2">
      <c r="I387" s="9"/>
      <c r="J387" s="9"/>
      <c r="K387" s="9"/>
      <c r="L387" s="9"/>
    </row>
    <row r="388" spans="9:12" x14ac:dyDescent="0.2">
      <c r="I388" s="9"/>
      <c r="J388" s="9"/>
      <c r="K388" s="9"/>
      <c r="L388" s="9"/>
    </row>
    <row r="389" spans="9:12" x14ac:dyDescent="0.2">
      <c r="I389" s="9"/>
      <c r="J389" s="9"/>
      <c r="K389" s="9"/>
      <c r="L389" s="9"/>
    </row>
    <row r="390" spans="9:12" x14ac:dyDescent="0.2">
      <c r="I390" s="9"/>
      <c r="J390" s="9"/>
      <c r="K390" s="9"/>
      <c r="L390" s="9"/>
    </row>
    <row r="391" spans="9:12" x14ac:dyDescent="0.2">
      <c r="I391" s="9"/>
      <c r="J391" s="9"/>
      <c r="K391" s="9"/>
      <c r="L391" s="9"/>
    </row>
    <row r="392" spans="9:12" x14ac:dyDescent="0.2">
      <c r="I392" s="9"/>
      <c r="J392" s="9"/>
      <c r="K392" s="9"/>
      <c r="L392" s="9"/>
    </row>
    <row r="393" spans="9:12" x14ac:dyDescent="0.2">
      <c r="I393" s="9"/>
      <c r="J393" s="9"/>
      <c r="K393" s="9"/>
      <c r="L393" s="9"/>
    </row>
    <row r="394" spans="9:12" x14ac:dyDescent="0.2">
      <c r="I394" s="9"/>
      <c r="J394" s="9"/>
      <c r="K394" s="9"/>
      <c r="L394" s="9"/>
    </row>
    <row r="395" spans="9:12" x14ac:dyDescent="0.2">
      <c r="I395" s="9"/>
      <c r="J395" s="9"/>
      <c r="K395" s="9"/>
      <c r="L395" s="9"/>
    </row>
    <row r="396" spans="9:12" x14ac:dyDescent="0.2">
      <c r="I396" s="9"/>
      <c r="J396" s="9"/>
      <c r="K396" s="9"/>
      <c r="L396" s="9"/>
    </row>
    <row r="397" spans="9:12" x14ac:dyDescent="0.2">
      <c r="I397" s="9"/>
      <c r="J397" s="9"/>
      <c r="K397" s="9"/>
      <c r="L397" s="9"/>
    </row>
    <row r="398" spans="9:12" x14ac:dyDescent="0.2">
      <c r="I398" s="9"/>
      <c r="J398" s="9"/>
      <c r="K398" s="9"/>
      <c r="L398" s="9"/>
    </row>
    <row r="399" spans="9:12" x14ac:dyDescent="0.2">
      <c r="I399" s="9"/>
      <c r="J399" s="9"/>
      <c r="K399" s="9"/>
      <c r="L399" s="9"/>
    </row>
    <row r="400" spans="9:12" x14ac:dyDescent="0.2">
      <c r="I400" s="9"/>
      <c r="J400" s="9"/>
      <c r="K400" s="9"/>
      <c r="L400" s="9"/>
    </row>
    <row r="401" spans="9:12" x14ac:dyDescent="0.2">
      <c r="I401" s="9"/>
      <c r="J401" s="9"/>
      <c r="K401" s="9"/>
      <c r="L401" s="9"/>
    </row>
    <row r="402" spans="9:12" x14ac:dyDescent="0.2">
      <c r="I402" s="9"/>
      <c r="J402" s="9"/>
      <c r="K402" s="9"/>
      <c r="L402" s="9"/>
    </row>
    <row r="403" spans="9:12" x14ac:dyDescent="0.2">
      <c r="I403" s="9"/>
      <c r="J403" s="9"/>
      <c r="K403" s="9"/>
      <c r="L403" s="9"/>
    </row>
    <row r="404" spans="9:12" x14ac:dyDescent="0.2">
      <c r="I404" s="9"/>
      <c r="J404" s="9"/>
      <c r="K404" s="9"/>
      <c r="L404" s="9"/>
    </row>
    <row r="405" spans="9:12" x14ac:dyDescent="0.2">
      <c r="I405" s="9"/>
      <c r="J405" s="9"/>
      <c r="K405" s="9"/>
      <c r="L405" s="9"/>
    </row>
    <row r="406" spans="9:12" x14ac:dyDescent="0.2">
      <c r="I406" s="9"/>
      <c r="J406" s="9"/>
      <c r="K406" s="9"/>
      <c r="L406" s="9"/>
    </row>
    <row r="407" spans="9:12" x14ac:dyDescent="0.2">
      <c r="I407" s="9"/>
      <c r="J407" s="9"/>
      <c r="K407" s="9"/>
      <c r="L407" s="9"/>
    </row>
    <row r="408" spans="9:12" x14ac:dyDescent="0.2">
      <c r="I408" s="9"/>
      <c r="J408" s="9"/>
      <c r="K408" s="9"/>
      <c r="L408" s="9"/>
    </row>
    <row r="409" spans="9:12" x14ac:dyDescent="0.2">
      <c r="I409" s="9"/>
      <c r="J409" s="9"/>
      <c r="K409" s="9"/>
      <c r="L409" s="9"/>
    </row>
    <row r="410" spans="9:12" x14ac:dyDescent="0.2">
      <c r="I410" s="9"/>
      <c r="J410" s="9"/>
      <c r="K410" s="9"/>
      <c r="L410" s="9"/>
    </row>
    <row r="411" spans="9:12" x14ac:dyDescent="0.2">
      <c r="I411" s="9"/>
      <c r="J411" s="9"/>
      <c r="K411" s="9"/>
      <c r="L411" s="9"/>
    </row>
    <row r="412" spans="9:12" x14ac:dyDescent="0.2">
      <c r="I412" s="9"/>
      <c r="J412" s="9"/>
      <c r="K412" s="9"/>
      <c r="L412" s="9"/>
    </row>
    <row r="413" spans="9:12" x14ac:dyDescent="0.2">
      <c r="I413" s="9"/>
      <c r="J413" s="9"/>
      <c r="K413" s="9"/>
      <c r="L413" s="9"/>
    </row>
    <row r="414" spans="9:12" x14ac:dyDescent="0.2">
      <c r="I414" s="9"/>
      <c r="J414" s="9"/>
      <c r="K414" s="9"/>
      <c r="L414" s="9"/>
    </row>
    <row r="415" spans="9:12" x14ac:dyDescent="0.2">
      <c r="I415" s="9"/>
      <c r="J415" s="9"/>
      <c r="K415" s="9"/>
      <c r="L415" s="9"/>
    </row>
    <row r="416" spans="9:12" x14ac:dyDescent="0.2">
      <c r="I416" s="9"/>
      <c r="J416" s="9"/>
      <c r="K416" s="9"/>
      <c r="L416" s="9"/>
    </row>
    <row r="417" spans="9:12" x14ac:dyDescent="0.2">
      <c r="I417" s="9"/>
      <c r="J417" s="9"/>
      <c r="K417" s="9"/>
      <c r="L417" s="9"/>
    </row>
    <row r="418" spans="9:12" x14ac:dyDescent="0.2">
      <c r="I418" s="9"/>
      <c r="J418" s="9"/>
      <c r="K418" s="9"/>
      <c r="L418" s="9"/>
    </row>
    <row r="419" spans="9:12" x14ac:dyDescent="0.2">
      <c r="I419" s="9"/>
      <c r="J419" s="9"/>
      <c r="K419" s="9"/>
      <c r="L419" s="9"/>
    </row>
    <row r="420" spans="9:12" x14ac:dyDescent="0.2">
      <c r="I420" s="9"/>
      <c r="J420" s="9"/>
      <c r="K420" s="9"/>
      <c r="L420" s="9"/>
    </row>
    <row r="421" spans="9:12" x14ac:dyDescent="0.2">
      <c r="I421" s="9"/>
      <c r="J421" s="9"/>
      <c r="K421" s="9"/>
      <c r="L421" s="9"/>
    </row>
    <row r="422" spans="9:12" x14ac:dyDescent="0.2">
      <c r="I422" s="9"/>
      <c r="J422" s="9"/>
      <c r="K422" s="9"/>
      <c r="L422" s="9"/>
    </row>
    <row r="423" spans="9:12" x14ac:dyDescent="0.2">
      <c r="I423" s="9"/>
      <c r="J423" s="9"/>
      <c r="K423" s="9"/>
      <c r="L423" s="9"/>
    </row>
    <row r="424" spans="9:12" x14ac:dyDescent="0.2">
      <c r="I424" s="9"/>
      <c r="J424" s="9"/>
      <c r="K424" s="9"/>
      <c r="L424" s="9"/>
    </row>
    <row r="425" spans="9:12" x14ac:dyDescent="0.2">
      <c r="I425" s="9"/>
      <c r="J425" s="9"/>
      <c r="K425" s="9"/>
      <c r="L425" s="9"/>
    </row>
    <row r="426" spans="9:12" x14ac:dyDescent="0.2">
      <c r="I426" s="9"/>
      <c r="J426" s="9"/>
      <c r="K426" s="9"/>
      <c r="L426" s="9"/>
    </row>
    <row r="427" spans="9:12" x14ac:dyDescent="0.2">
      <c r="I427" s="9"/>
      <c r="J427" s="9"/>
      <c r="K427" s="9"/>
      <c r="L427" s="9"/>
    </row>
    <row r="428" spans="9:12" x14ac:dyDescent="0.2">
      <c r="I428" s="9"/>
      <c r="J428" s="9"/>
      <c r="K428" s="9"/>
      <c r="L428" s="9"/>
    </row>
    <row r="429" spans="9:12" x14ac:dyDescent="0.2">
      <c r="I429" s="9"/>
      <c r="J429" s="9"/>
      <c r="K429" s="9"/>
      <c r="L429" s="9"/>
    </row>
    <row r="430" spans="9:12" x14ac:dyDescent="0.2">
      <c r="I430" s="9"/>
      <c r="J430" s="9"/>
      <c r="K430" s="9"/>
      <c r="L430" s="9"/>
    </row>
    <row r="431" spans="9:12" x14ac:dyDescent="0.2">
      <c r="I431" s="9"/>
      <c r="J431" s="9"/>
      <c r="K431" s="9"/>
      <c r="L431" s="9"/>
    </row>
    <row r="432" spans="9:12" x14ac:dyDescent="0.2">
      <c r="I432" s="9"/>
      <c r="J432" s="9"/>
      <c r="K432" s="9"/>
      <c r="L432" s="9"/>
    </row>
    <row r="433" spans="9:12" x14ac:dyDescent="0.2">
      <c r="I433" s="9"/>
      <c r="J433" s="9"/>
      <c r="K433" s="9"/>
      <c r="L433" s="9"/>
    </row>
    <row r="434" spans="9:12" x14ac:dyDescent="0.2">
      <c r="I434" s="9"/>
      <c r="J434" s="9"/>
      <c r="K434" s="9"/>
      <c r="L434" s="9"/>
    </row>
    <row r="435" spans="9:12" x14ac:dyDescent="0.2">
      <c r="I435" s="9"/>
      <c r="J435" s="9"/>
      <c r="K435" s="9"/>
      <c r="L435" s="9"/>
    </row>
    <row r="436" spans="9:12" x14ac:dyDescent="0.2">
      <c r="I436" s="9"/>
      <c r="J436" s="9"/>
      <c r="K436" s="9"/>
      <c r="L436" s="9"/>
    </row>
    <row r="437" spans="9:12" x14ac:dyDescent="0.2">
      <c r="I437" s="9"/>
      <c r="J437" s="9"/>
      <c r="K437" s="9"/>
      <c r="L437" s="9"/>
    </row>
    <row r="438" spans="9:12" x14ac:dyDescent="0.2">
      <c r="I438" s="9"/>
      <c r="J438" s="9"/>
      <c r="K438" s="9"/>
      <c r="L438" s="9"/>
    </row>
    <row r="439" spans="9:12" x14ac:dyDescent="0.2">
      <c r="I439" s="9"/>
      <c r="J439" s="9"/>
      <c r="K439" s="9"/>
      <c r="L439" s="9"/>
    </row>
    <row r="440" spans="9:12" x14ac:dyDescent="0.2">
      <c r="I440" s="9"/>
      <c r="J440" s="9"/>
      <c r="K440" s="9"/>
      <c r="L440" s="9"/>
    </row>
    <row r="441" spans="9:12" x14ac:dyDescent="0.2">
      <c r="I441" s="9"/>
      <c r="J441" s="9"/>
      <c r="K441" s="9"/>
      <c r="L441" s="9"/>
    </row>
    <row r="442" spans="9:12" x14ac:dyDescent="0.2">
      <c r="I442" s="9"/>
      <c r="J442" s="9"/>
      <c r="K442" s="9"/>
      <c r="L442" s="9"/>
    </row>
    <row r="443" spans="9:12" x14ac:dyDescent="0.2">
      <c r="I443" s="9"/>
      <c r="J443" s="9"/>
      <c r="K443" s="9"/>
      <c r="L443" s="9"/>
    </row>
    <row r="444" spans="9:12" x14ac:dyDescent="0.2">
      <c r="I444" s="9"/>
      <c r="J444" s="9"/>
      <c r="K444" s="9"/>
      <c r="L444" s="9"/>
    </row>
    <row r="445" spans="9:12" x14ac:dyDescent="0.2">
      <c r="I445" s="9"/>
      <c r="J445" s="9"/>
      <c r="K445" s="9"/>
      <c r="L445" s="9"/>
    </row>
    <row r="446" spans="9:12" x14ac:dyDescent="0.2">
      <c r="I446" s="9"/>
      <c r="J446" s="9"/>
      <c r="K446" s="9"/>
      <c r="L446" s="9"/>
    </row>
    <row r="447" spans="9:12" x14ac:dyDescent="0.2">
      <c r="I447" s="9"/>
      <c r="J447" s="9"/>
      <c r="K447" s="9"/>
      <c r="L447" s="9"/>
    </row>
    <row r="448" spans="9:12" x14ac:dyDescent="0.2">
      <c r="I448" s="9"/>
      <c r="J448" s="9"/>
      <c r="K448" s="9"/>
      <c r="L448" s="9"/>
    </row>
    <row r="449" spans="9:12" x14ac:dyDescent="0.2">
      <c r="I449" s="9"/>
      <c r="J449" s="9"/>
      <c r="K449" s="9"/>
      <c r="L449" s="9"/>
    </row>
    <row r="450" spans="9:12" x14ac:dyDescent="0.2">
      <c r="I450" s="9"/>
      <c r="J450" s="9"/>
      <c r="K450" s="9"/>
      <c r="L450" s="9"/>
    </row>
    <row r="451" spans="9:12" x14ac:dyDescent="0.2">
      <c r="I451" s="9"/>
      <c r="J451" s="9"/>
      <c r="K451" s="9"/>
      <c r="L451" s="9"/>
    </row>
    <row r="452" spans="9:12" x14ac:dyDescent="0.2">
      <c r="I452" s="9"/>
      <c r="J452" s="9"/>
      <c r="K452" s="9"/>
      <c r="L452" s="9"/>
    </row>
    <row r="453" spans="9:12" x14ac:dyDescent="0.2">
      <c r="I453" s="9"/>
      <c r="J453" s="9"/>
      <c r="K453" s="9"/>
      <c r="L453" s="9"/>
    </row>
    <row r="454" spans="9:12" x14ac:dyDescent="0.2">
      <c r="I454" s="9"/>
      <c r="J454" s="9"/>
      <c r="K454" s="9"/>
      <c r="L454" s="9"/>
    </row>
    <row r="455" spans="9:12" x14ac:dyDescent="0.2">
      <c r="I455" s="9"/>
      <c r="J455" s="9"/>
      <c r="K455" s="9"/>
      <c r="L455" s="9"/>
    </row>
    <row r="456" spans="9:12" x14ac:dyDescent="0.2">
      <c r="I456" s="9"/>
      <c r="J456" s="9"/>
      <c r="K456" s="9"/>
      <c r="L456" s="9"/>
    </row>
    <row r="457" spans="9:12" x14ac:dyDescent="0.2">
      <c r="I457" s="9"/>
      <c r="J457" s="9"/>
      <c r="K457" s="9"/>
      <c r="L457" s="9"/>
    </row>
    <row r="458" spans="9:12" x14ac:dyDescent="0.2">
      <c r="I458" s="9"/>
      <c r="J458" s="9"/>
      <c r="K458" s="9"/>
      <c r="L458" s="9"/>
    </row>
    <row r="459" spans="9:12" x14ac:dyDescent="0.2">
      <c r="I459" s="9"/>
      <c r="J459" s="9"/>
      <c r="K459" s="9"/>
      <c r="L459" s="9"/>
    </row>
    <row r="460" spans="9:12" x14ac:dyDescent="0.2">
      <c r="I460" s="9"/>
      <c r="J460" s="9"/>
      <c r="K460" s="9"/>
      <c r="L460" s="9"/>
    </row>
    <row r="461" spans="9:12" x14ac:dyDescent="0.2">
      <c r="I461" s="9"/>
      <c r="J461" s="9"/>
      <c r="K461" s="9"/>
      <c r="L461" s="9"/>
    </row>
    <row r="462" spans="9:12" x14ac:dyDescent="0.2">
      <c r="I462" s="9"/>
      <c r="J462" s="9"/>
      <c r="K462" s="9"/>
      <c r="L462" s="9"/>
    </row>
    <row r="463" spans="9:12" x14ac:dyDescent="0.2">
      <c r="I463" s="9"/>
      <c r="J463" s="9"/>
      <c r="K463" s="9"/>
      <c r="L463" s="9"/>
    </row>
    <row r="464" spans="9:12" x14ac:dyDescent="0.2">
      <c r="I464" s="9"/>
      <c r="J464" s="9"/>
      <c r="K464" s="9"/>
      <c r="L464" s="9"/>
    </row>
    <row r="465" spans="9:12" x14ac:dyDescent="0.2">
      <c r="I465" s="9"/>
      <c r="J465" s="9"/>
      <c r="K465" s="9"/>
      <c r="L465" s="9"/>
    </row>
    <row r="466" spans="9:12" x14ac:dyDescent="0.2">
      <c r="I466" s="9"/>
      <c r="J466" s="9"/>
      <c r="K466" s="9"/>
      <c r="L466" s="9"/>
    </row>
    <row r="467" spans="9:12" x14ac:dyDescent="0.2">
      <c r="I467" s="9"/>
      <c r="J467" s="9"/>
      <c r="K467" s="9"/>
      <c r="L467" s="9"/>
    </row>
    <row r="468" spans="9:12" x14ac:dyDescent="0.2">
      <c r="I468" s="9"/>
      <c r="J468" s="9"/>
      <c r="K468" s="9"/>
      <c r="L468" s="9"/>
    </row>
    <row r="469" spans="9:12" x14ac:dyDescent="0.2">
      <c r="I469" s="9"/>
      <c r="J469" s="9"/>
      <c r="K469" s="9"/>
      <c r="L469" s="9"/>
    </row>
    <row r="470" spans="9:12" x14ac:dyDescent="0.2">
      <c r="I470" s="9"/>
      <c r="J470" s="9"/>
      <c r="K470" s="9"/>
      <c r="L470" s="9"/>
    </row>
    <row r="471" spans="9:12" x14ac:dyDescent="0.2">
      <c r="I471" s="9"/>
      <c r="J471" s="9"/>
      <c r="K471" s="9"/>
      <c r="L471" s="9"/>
    </row>
    <row r="472" spans="9:12" x14ac:dyDescent="0.2">
      <c r="I472" s="9"/>
      <c r="J472" s="9"/>
      <c r="K472" s="9"/>
      <c r="L472" s="9"/>
    </row>
    <row r="473" spans="9:12" x14ac:dyDescent="0.2">
      <c r="I473" s="9"/>
      <c r="J473" s="9"/>
      <c r="K473" s="9"/>
      <c r="L473" s="9"/>
    </row>
    <row r="474" spans="9:12" x14ac:dyDescent="0.2">
      <c r="I474" s="9"/>
      <c r="J474" s="9"/>
      <c r="K474" s="9"/>
      <c r="L474" s="9"/>
    </row>
    <row r="475" spans="9:12" x14ac:dyDescent="0.2">
      <c r="I475" s="9"/>
      <c r="J475" s="9"/>
      <c r="K475" s="9"/>
      <c r="L475" s="9"/>
    </row>
    <row r="476" spans="9:12" x14ac:dyDescent="0.2">
      <c r="I476" s="9"/>
      <c r="J476" s="9"/>
      <c r="K476" s="9"/>
      <c r="L476" s="9"/>
    </row>
    <row r="477" spans="9:12" x14ac:dyDescent="0.2">
      <c r="I477" s="9"/>
      <c r="J477" s="9"/>
      <c r="K477" s="9"/>
      <c r="L477" s="9"/>
    </row>
    <row r="478" spans="9:12" x14ac:dyDescent="0.2">
      <c r="I478" s="9"/>
      <c r="J478" s="9"/>
      <c r="K478" s="9"/>
      <c r="L478" s="9"/>
    </row>
    <row r="479" spans="9:12" x14ac:dyDescent="0.2">
      <c r="I479" s="9"/>
      <c r="J479" s="9"/>
      <c r="K479" s="9"/>
      <c r="L479" s="9"/>
    </row>
    <row r="480" spans="9:12" x14ac:dyDescent="0.2">
      <c r="I480" s="9"/>
      <c r="J480" s="9"/>
      <c r="K480" s="9"/>
      <c r="L480" s="9"/>
    </row>
    <row r="481" spans="9:12" x14ac:dyDescent="0.2">
      <c r="I481" s="9"/>
      <c r="J481" s="9"/>
      <c r="K481" s="9"/>
      <c r="L481" s="9"/>
    </row>
    <row r="482" spans="9:12" x14ac:dyDescent="0.2">
      <c r="I482" s="9"/>
      <c r="J482" s="9"/>
      <c r="K482" s="9"/>
      <c r="L482" s="9"/>
    </row>
    <row r="483" spans="9:12" x14ac:dyDescent="0.2">
      <c r="I483" s="9"/>
      <c r="J483" s="9"/>
      <c r="K483" s="9"/>
      <c r="L483" s="9"/>
    </row>
    <row r="484" spans="9:12" x14ac:dyDescent="0.2">
      <c r="I484" s="9"/>
      <c r="J484" s="9"/>
      <c r="K484" s="9"/>
      <c r="L484" s="9"/>
    </row>
    <row r="485" spans="9:12" x14ac:dyDescent="0.2">
      <c r="I485" s="9"/>
      <c r="J485" s="9"/>
      <c r="K485" s="9"/>
      <c r="L485" s="9"/>
    </row>
    <row r="486" spans="9:12" x14ac:dyDescent="0.2">
      <c r="I486" s="9"/>
      <c r="J486" s="9"/>
      <c r="K486" s="9"/>
      <c r="L486" s="9"/>
    </row>
    <row r="487" spans="9:12" x14ac:dyDescent="0.2">
      <c r="I487" s="9"/>
      <c r="J487" s="9"/>
      <c r="K487" s="9"/>
      <c r="L487" s="9"/>
    </row>
    <row r="488" spans="9:12" x14ac:dyDescent="0.2">
      <c r="I488" s="9"/>
      <c r="J488" s="9"/>
      <c r="K488" s="9"/>
      <c r="L488" s="9"/>
    </row>
    <row r="489" spans="9:12" x14ac:dyDescent="0.2">
      <c r="I489" s="9"/>
      <c r="J489" s="9"/>
      <c r="K489" s="9"/>
      <c r="L489" s="9"/>
    </row>
    <row r="490" spans="9:12" x14ac:dyDescent="0.2">
      <c r="I490" s="9"/>
      <c r="J490" s="9"/>
      <c r="K490" s="9"/>
      <c r="L490" s="9"/>
    </row>
    <row r="491" spans="9:12" x14ac:dyDescent="0.2">
      <c r="I491" s="9"/>
      <c r="J491" s="9"/>
      <c r="K491" s="9"/>
      <c r="L491" s="9"/>
    </row>
    <row r="492" spans="9:12" x14ac:dyDescent="0.2">
      <c r="I492" s="9"/>
      <c r="J492" s="9"/>
      <c r="K492" s="9"/>
      <c r="L492" s="9"/>
    </row>
    <row r="493" spans="9:12" x14ac:dyDescent="0.2">
      <c r="I493" s="9"/>
      <c r="J493" s="9"/>
      <c r="K493" s="9"/>
      <c r="L493" s="9"/>
    </row>
    <row r="494" spans="9:12" x14ac:dyDescent="0.2">
      <c r="I494" s="9"/>
      <c r="J494" s="9"/>
      <c r="K494" s="9"/>
      <c r="L494" s="9"/>
    </row>
    <row r="495" spans="9:12" x14ac:dyDescent="0.2">
      <c r="I495" s="9"/>
      <c r="J495" s="9"/>
      <c r="K495" s="9"/>
      <c r="L495" s="9"/>
    </row>
    <row r="496" spans="9:12" x14ac:dyDescent="0.2">
      <c r="I496" s="9"/>
      <c r="J496" s="9"/>
      <c r="K496" s="9"/>
      <c r="L496" s="9"/>
    </row>
    <row r="497" spans="9:12" x14ac:dyDescent="0.2">
      <c r="I497" s="9"/>
      <c r="J497" s="9"/>
      <c r="K497" s="9"/>
      <c r="L497" s="9"/>
    </row>
    <row r="498" spans="9:12" x14ac:dyDescent="0.2">
      <c r="I498" s="9"/>
      <c r="J498" s="9"/>
      <c r="K498" s="9"/>
      <c r="L498" s="9"/>
    </row>
    <row r="499" spans="9:12" x14ac:dyDescent="0.2">
      <c r="I499" s="9"/>
      <c r="J499" s="9"/>
      <c r="K499" s="9"/>
      <c r="L499" s="9"/>
    </row>
    <row r="500" spans="9:12" x14ac:dyDescent="0.2">
      <c r="I500" s="9"/>
      <c r="J500" s="9"/>
      <c r="K500" s="9"/>
      <c r="L500" s="9"/>
    </row>
    <row r="501" spans="9:12" x14ac:dyDescent="0.2">
      <c r="I501" s="9"/>
      <c r="J501" s="9"/>
      <c r="K501" s="9"/>
      <c r="L501" s="9"/>
    </row>
    <row r="502" spans="9:12" x14ac:dyDescent="0.2">
      <c r="I502" s="9"/>
      <c r="J502" s="9"/>
      <c r="K502" s="9"/>
      <c r="L502" s="9"/>
    </row>
    <row r="503" spans="9:12" x14ac:dyDescent="0.2">
      <c r="I503" s="9"/>
      <c r="J503" s="9"/>
      <c r="K503" s="9"/>
      <c r="L503" s="9"/>
    </row>
    <row r="504" spans="9:12" x14ac:dyDescent="0.2">
      <c r="I504" s="9"/>
      <c r="J504" s="9"/>
      <c r="K504" s="9"/>
      <c r="L504" s="9"/>
    </row>
    <row r="505" spans="9:12" x14ac:dyDescent="0.2">
      <c r="I505" s="9"/>
      <c r="J505" s="9"/>
      <c r="K505" s="9"/>
      <c r="L505" s="9"/>
    </row>
    <row r="506" spans="9:12" x14ac:dyDescent="0.2">
      <c r="I506" s="9"/>
      <c r="J506" s="9"/>
      <c r="K506" s="9"/>
      <c r="L506" s="9"/>
    </row>
    <row r="507" spans="9:12" x14ac:dyDescent="0.2">
      <c r="I507" s="9"/>
      <c r="J507" s="9"/>
      <c r="K507" s="9"/>
      <c r="L507" s="9"/>
    </row>
    <row r="508" spans="9:12" x14ac:dyDescent="0.2">
      <c r="I508" s="9"/>
      <c r="J508" s="9"/>
      <c r="K508" s="9"/>
      <c r="L508" s="9"/>
    </row>
    <row r="509" spans="9:12" x14ac:dyDescent="0.2">
      <c r="I509" s="9"/>
      <c r="J509" s="9"/>
      <c r="K509" s="9"/>
      <c r="L509" s="9"/>
    </row>
    <row r="510" spans="9:12" x14ac:dyDescent="0.2">
      <c r="I510" s="9"/>
      <c r="J510" s="9"/>
      <c r="K510" s="9"/>
      <c r="L510" s="9"/>
    </row>
    <row r="511" spans="9:12" x14ac:dyDescent="0.2">
      <c r="I511" s="9"/>
      <c r="J511" s="9"/>
      <c r="K511" s="9"/>
      <c r="L511" s="9"/>
    </row>
    <row r="512" spans="9:12" x14ac:dyDescent="0.2">
      <c r="I512" s="9"/>
      <c r="J512" s="9"/>
      <c r="K512" s="9"/>
      <c r="L512" s="9"/>
    </row>
    <row r="513" spans="9:12" x14ac:dyDescent="0.2">
      <c r="I513" s="9"/>
      <c r="J513" s="9"/>
      <c r="K513" s="9"/>
      <c r="L513" s="9"/>
    </row>
    <row r="514" spans="9:12" x14ac:dyDescent="0.2">
      <c r="I514" s="9"/>
      <c r="J514" s="9"/>
      <c r="K514" s="9"/>
      <c r="L514" s="9"/>
    </row>
    <row r="515" spans="9:12" x14ac:dyDescent="0.2">
      <c r="I515" s="9"/>
      <c r="J515" s="9"/>
      <c r="K515" s="9"/>
      <c r="L515" s="9"/>
    </row>
    <row r="516" spans="9:12" x14ac:dyDescent="0.2">
      <c r="I516" s="9"/>
      <c r="J516" s="9"/>
      <c r="K516" s="9"/>
      <c r="L516" s="9"/>
    </row>
    <row r="517" spans="9:12" x14ac:dyDescent="0.2">
      <c r="I517" s="9"/>
      <c r="J517" s="9"/>
      <c r="K517" s="9"/>
      <c r="L517" s="9"/>
    </row>
    <row r="518" spans="9:12" x14ac:dyDescent="0.2">
      <c r="I518" s="9"/>
      <c r="J518" s="9"/>
      <c r="K518" s="9"/>
      <c r="L518" s="9"/>
    </row>
    <row r="519" spans="9:12" x14ac:dyDescent="0.2">
      <c r="I519" s="9"/>
      <c r="J519" s="9"/>
      <c r="K519" s="9"/>
      <c r="L519" s="9"/>
    </row>
    <row r="520" spans="9:12" x14ac:dyDescent="0.2">
      <c r="I520" s="9"/>
      <c r="J520" s="9"/>
      <c r="K520" s="9"/>
      <c r="L520" s="9"/>
    </row>
    <row r="521" spans="9:12" x14ac:dyDescent="0.2">
      <c r="I521" s="9"/>
      <c r="J521" s="9"/>
      <c r="K521" s="9"/>
      <c r="L521" s="9"/>
    </row>
    <row r="522" spans="9:12" x14ac:dyDescent="0.2">
      <c r="I522" s="9"/>
      <c r="J522" s="9"/>
      <c r="K522" s="9"/>
      <c r="L522" s="9"/>
    </row>
    <row r="523" spans="9:12" x14ac:dyDescent="0.2">
      <c r="I523" s="9"/>
      <c r="J523" s="9"/>
      <c r="K523" s="9"/>
      <c r="L523" s="9"/>
    </row>
    <row r="524" spans="9:12" x14ac:dyDescent="0.2">
      <c r="I524" s="9"/>
      <c r="J524" s="9"/>
      <c r="K524" s="9"/>
      <c r="L524" s="9"/>
    </row>
    <row r="525" spans="9:12" x14ac:dyDescent="0.2">
      <c r="I525" s="9"/>
      <c r="J525" s="9"/>
      <c r="K525" s="9"/>
      <c r="L525" s="9"/>
    </row>
    <row r="526" spans="9:12" x14ac:dyDescent="0.2">
      <c r="I526" s="9"/>
      <c r="J526" s="9"/>
      <c r="K526" s="9"/>
      <c r="L526" s="9"/>
    </row>
    <row r="527" spans="9:12" x14ac:dyDescent="0.2">
      <c r="I527" s="9"/>
      <c r="J527" s="9"/>
      <c r="K527" s="9"/>
      <c r="L527" s="9"/>
    </row>
    <row r="528" spans="9:12" x14ac:dyDescent="0.2">
      <c r="I528" s="9"/>
      <c r="J528" s="9"/>
      <c r="K528" s="9"/>
      <c r="L528" s="9"/>
    </row>
    <row r="529" spans="9:12" x14ac:dyDescent="0.2">
      <c r="I529" s="9"/>
      <c r="J529" s="9"/>
      <c r="K529" s="9"/>
      <c r="L529" s="9"/>
    </row>
    <row r="530" spans="9:12" x14ac:dyDescent="0.2">
      <c r="I530" s="9"/>
      <c r="J530" s="9"/>
      <c r="K530" s="9"/>
      <c r="L530" s="9"/>
    </row>
    <row r="531" spans="9:12" x14ac:dyDescent="0.2">
      <c r="I531" s="9"/>
      <c r="J531" s="9"/>
      <c r="K531" s="9"/>
      <c r="L531" s="9"/>
    </row>
    <row r="532" spans="9:12" x14ac:dyDescent="0.2">
      <c r="I532" s="9"/>
      <c r="J532" s="9"/>
      <c r="K532" s="9"/>
      <c r="L532" s="9"/>
    </row>
    <row r="533" spans="9:12" x14ac:dyDescent="0.2">
      <c r="I533" s="9"/>
      <c r="J533" s="9"/>
      <c r="K533" s="9"/>
      <c r="L533" s="9"/>
    </row>
    <row r="534" spans="9:12" x14ac:dyDescent="0.2">
      <c r="I534" s="9"/>
      <c r="J534" s="9"/>
      <c r="K534" s="9"/>
      <c r="L534" s="9"/>
    </row>
    <row r="535" spans="9:12" x14ac:dyDescent="0.2">
      <c r="I535" s="9"/>
      <c r="J535" s="9"/>
      <c r="K535" s="9"/>
      <c r="L535" s="9"/>
    </row>
    <row r="536" spans="9:12" x14ac:dyDescent="0.2">
      <c r="I536" s="9"/>
      <c r="J536" s="9"/>
      <c r="K536" s="9"/>
      <c r="L536" s="9"/>
    </row>
    <row r="537" spans="9:12" x14ac:dyDescent="0.2">
      <c r="I537" s="9"/>
      <c r="J537" s="9"/>
      <c r="K537" s="9"/>
      <c r="L537" s="9"/>
    </row>
    <row r="538" spans="9:12" x14ac:dyDescent="0.2">
      <c r="I538" s="9"/>
      <c r="J538" s="9"/>
      <c r="K538" s="9"/>
      <c r="L538" s="9"/>
    </row>
    <row r="539" spans="9:12" x14ac:dyDescent="0.2">
      <c r="I539" s="9"/>
      <c r="J539" s="9"/>
      <c r="K539" s="9"/>
      <c r="L539" s="9"/>
    </row>
    <row r="540" spans="9:12" x14ac:dyDescent="0.2">
      <c r="I540" s="9"/>
      <c r="J540" s="9"/>
      <c r="K540" s="9"/>
      <c r="L540" s="9"/>
    </row>
    <row r="541" spans="9:12" x14ac:dyDescent="0.2">
      <c r="I541" s="9"/>
      <c r="J541" s="9"/>
      <c r="K541" s="9"/>
      <c r="L541" s="9"/>
    </row>
    <row r="542" spans="9:12" x14ac:dyDescent="0.2">
      <c r="I542" s="9"/>
      <c r="J542" s="9"/>
      <c r="K542" s="9"/>
      <c r="L542" s="9"/>
    </row>
    <row r="543" spans="9:12" x14ac:dyDescent="0.2">
      <c r="I543" s="9"/>
      <c r="J543" s="9"/>
      <c r="K543" s="9"/>
      <c r="L543" s="9"/>
    </row>
    <row r="544" spans="9:12" x14ac:dyDescent="0.2">
      <c r="I544" s="9"/>
      <c r="J544" s="9"/>
      <c r="K544" s="9"/>
      <c r="L544" s="9"/>
    </row>
    <row r="545" spans="9:12" x14ac:dyDescent="0.2">
      <c r="I545" s="9"/>
      <c r="J545" s="9"/>
      <c r="K545" s="9"/>
      <c r="L545" s="9"/>
    </row>
    <row r="546" spans="9:12" x14ac:dyDescent="0.2">
      <c r="I546" s="9"/>
      <c r="J546" s="9"/>
      <c r="K546" s="9"/>
      <c r="L546" s="9"/>
    </row>
    <row r="547" spans="9:12" x14ac:dyDescent="0.2">
      <c r="I547" s="9"/>
      <c r="J547" s="9"/>
      <c r="K547" s="9"/>
      <c r="L547" s="9"/>
    </row>
    <row r="548" spans="9:12" x14ac:dyDescent="0.2">
      <c r="I548" s="9"/>
      <c r="J548" s="9"/>
      <c r="K548" s="9"/>
      <c r="L548" s="9"/>
    </row>
    <row r="549" spans="9:12" x14ac:dyDescent="0.2">
      <c r="I549" s="9"/>
      <c r="J549" s="9"/>
      <c r="K549" s="9"/>
      <c r="L549" s="9"/>
    </row>
    <row r="550" spans="9:12" x14ac:dyDescent="0.2">
      <c r="I550" s="9"/>
      <c r="J550" s="9"/>
      <c r="K550" s="9"/>
      <c r="L550" s="9"/>
    </row>
    <row r="551" spans="9:12" x14ac:dyDescent="0.2">
      <c r="I551" s="9"/>
      <c r="J551" s="9"/>
      <c r="K551" s="9"/>
      <c r="L551" s="9"/>
    </row>
    <row r="552" spans="9:12" x14ac:dyDescent="0.2">
      <c r="I552" s="9"/>
      <c r="J552" s="9"/>
      <c r="K552" s="9"/>
      <c r="L552" s="9"/>
    </row>
    <row r="553" spans="9:12" x14ac:dyDescent="0.2">
      <c r="I553" s="9"/>
      <c r="J553" s="9"/>
      <c r="K553" s="9"/>
      <c r="L553" s="9"/>
    </row>
    <row r="554" spans="9:12" x14ac:dyDescent="0.2">
      <c r="I554" s="9"/>
      <c r="J554" s="9"/>
      <c r="K554" s="9"/>
      <c r="L554" s="9"/>
    </row>
    <row r="555" spans="9:12" x14ac:dyDescent="0.2">
      <c r="I555" s="9"/>
      <c r="J555" s="9"/>
      <c r="K555" s="9"/>
      <c r="L555" s="9"/>
    </row>
    <row r="556" spans="9:12" x14ac:dyDescent="0.2">
      <c r="I556" s="9"/>
      <c r="J556" s="9"/>
      <c r="K556" s="9"/>
      <c r="L556" s="9"/>
    </row>
    <row r="557" spans="9:12" x14ac:dyDescent="0.2">
      <c r="I557" s="9"/>
      <c r="J557" s="9"/>
      <c r="K557" s="9"/>
      <c r="L557" s="9"/>
    </row>
    <row r="558" spans="9:12" x14ac:dyDescent="0.2">
      <c r="I558" s="9"/>
      <c r="J558" s="9"/>
      <c r="K558" s="9"/>
      <c r="L558" s="9"/>
    </row>
    <row r="559" spans="9:12" x14ac:dyDescent="0.2">
      <c r="I559" s="9"/>
      <c r="J559" s="9"/>
      <c r="K559" s="9"/>
      <c r="L559" s="9"/>
    </row>
    <row r="560" spans="9:12" x14ac:dyDescent="0.2">
      <c r="I560" s="9"/>
      <c r="J560" s="9"/>
      <c r="K560" s="9"/>
      <c r="L560" s="9"/>
    </row>
    <row r="561" spans="9:12" x14ac:dyDescent="0.2">
      <c r="I561" s="9"/>
      <c r="J561" s="9"/>
      <c r="K561" s="9"/>
      <c r="L561" s="9"/>
    </row>
    <row r="562" spans="9:12" x14ac:dyDescent="0.2">
      <c r="I562" s="9"/>
      <c r="J562" s="9"/>
      <c r="K562" s="9"/>
      <c r="L562" s="9"/>
    </row>
    <row r="563" spans="9:12" x14ac:dyDescent="0.2">
      <c r="I563" s="9"/>
      <c r="J563" s="9"/>
      <c r="K563" s="9"/>
      <c r="L563" s="9"/>
    </row>
    <row r="564" spans="9:12" x14ac:dyDescent="0.2">
      <c r="I564" s="9"/>
      <c r="J564" s="9"/>
      <c r="K564" s="9"/>
      <c r="L564" s="9"/>
    </row>
    <row r="565" spans="9:12" x14ac:dyDescent="0.2">
      <c r="I565" s="9"/>
      <c r="J565" s="9"/>
      <c r="K565" s="9"/>
      <c r="L565" s="9"/>
    </row>
    <row r="566" spans="9:12" x14ac:dyDescent="0.2">
      <c r="I566" s="9"/>
      <c r="J566" s="9"/>
      <c r="K566" s="9"/>
      <c r="L566" s="9"/>
    </row>
    <row r="567" spans="9:12" x14ac:dyDescent="0.2">
      <c r="I567" s="9"/>
      <c r="J567" s="9"/>
      <c r="K567" s="9"/>
      <c r="L567" s="9"/>
    </row>
    <row r="568" spans="9:12" x14ac:dyDescent="0.2">
      <c r="I568" s="9"/>
      <c r="J568" s="9"/>
      <c r="K568" s="9"/>
      <c r="L568" s="9"/>
    </row>
    <row r="569" spans="9:12" x14ac:dyDescent="0.2">
      <c r="I569" s="9"/>
      <c r="J569" s="9"/>
      <c r="K569" s="9"/>
      <c r="L569" s="9"/>
    </row>
    <row r="570" spans="9:12" x14ac:dyDescent="0.2">
      <c r="I570" s="9"/>
      <c r="J570" s="9"/>
      <c r="K570" s="9"/>
      <c r="L570" s="9"/>
    </row>
    <row r="571" spans="9:12" x14ac:dyDescent="0.2">
      <c r="I571" s="9"/>
      <c r="J571" s="9"/>
      <c r="K571" s="9"/>
      <c r="L571" s="9"/>
    </row>
    <row r="572" spans="9:12" x14ac:dyDescent="0.2">
      <c r="I572" s="9"/>
      <c r="J572" s="9"/>
      <c r="K572" s="9"/>
      <c r="L572" s="9"/>
    </row>
    <row r="573" spans="9:12" x14ac:dyDescent="0.2">
      <c r="I573" s="9"/>
      <c r="J573" s="9"/>
      <c r="K573" s="9"/>
      <c r="L573" s="9"/>
    </row>
    <row r="574" spans="9:12" x14ac:dyDescent="0.2">
      <c r="I574" s="9"/>
      <c r="J574" s="9"/>
      <c r="K574" s="9"/>
      <c r="L574" s="9"/>
    </row>
    <row r="575" spans="9:12" x14ac:dyDescent="0.2">
      <c r="I575" s="9"/>
      <c r="J575" s="9"/>
      <c r="K575" s="9"/>
      <c r="L575" s="9"/>
    </row>
    <row r="576" spans="9:12" x14ac:dyDescent="0.2">
      <c r="I576" s="9"/>
      <c r="J576" s="9"/>
      <c r="K576" s="9"/>
      <c r="L576" s="9"/>
    </row>
    <row r="577" spans="9:12" x14ac:dyDescent="0.2">
      <c r="I577" s="9"/>
      <c r="J577" s="9"/>
      <c r="K577" s="9"/>
      <c r="L577" s="9"/>
    </row>
    <row r="578" spans="9:12" x14ac:dyDescent="0.2">
      <c r="I578" s="9"/>
      <c r="J578" s="9"/>
      <c r="K578" s="9"/>
      <c r="L578" s="9"/>
    </row>
    <row r="579" spans="9:12" x14ac:dyDescent="0.2">
      <c r="I579" s="9"/>
      <c r="J579" s="9"/>
      <c r="K579" s="9"/>
      <c r="L579" s="9"/>
    </row>
    <row r="580" spans="9:12" x14ac:dyDescent="0.2">
      <c r="I580" s="9"/>
      <c r="J580" s="9"/>
      <c r="K580" s="9"/>
      <c r="L580" s="9"/>
    </row>
    <row r="581" spans="9:12" x14ac:dyDescent="0.2">
      <c r="I581" s="9"/>
      <c r="J581" s="9"/>
      <c r="K581" s="9"/>
      <c r="L581" s="9"/>
    </row>
    <row r="582" spans="9:12" x14ac:dyDescent="0.2">
      <c r="I582" s="9"/>
      <c r="J582" s="9"/>
      <c r="K582" s="9"/>
      <c r="L582" s="9"/>
    </row>
    <row r="583" spans="9:12" x14ac:dyDescent="0.2">
      <c r="I583" s="9"/>
      <c r="J583" s="9"/>
      <c r="K583" s="9"/>
      <c r="L583" s="9"/>
    </row>
    <row r="584" spans="9:12" x14ac:dyDescent="0.2">
      <c r="I584" s="9"/>
      <c r="J584" s="9"/>
      <c r="K584" s="9"/>
      <c r="L584" s="9"/>
    </row>
    <row r="585" spans="9:12" x14ac:dyDescent="0.2">
      <c r="I585" s="9"/>
      <c r="J585" s="9"/>
      <c r="K585" s="9"/>
      <c r="L585" s="9"/>
    </row>
    <row r="586" spans="9:12" x14ac:dyDescent="0.2">
      <c r="I586" s="9"/>
      <c r="J586" s="9"/>
      <c r="K586" s="9"/>
      <c r="L586" s="9"/>
    </row>
    <row r="587" spans="9:12" x14ac:dyDescent="0.2">
      <c r="I587" s="9"/>
      <c r="J587" s="9"/>
      <c r="K587" s="9"/>
      <c r="L587" s="9"/>
    </row>
    <row r="588" spans="9:12" x14ac:dyDescent="0.2">
      <c r="I588" s="9"/>
      <c r="J588" s="9"/>
      <c r="K588" s="9"/>
      <c r="L588" s="9"/>
    </row>
    <row r="589" spans="9:12" x14ac:dyDescent="0.2">
      <c r="I589" s="9"/>
      <c r="J589" s="9"/>
      <c r="K589" s="9"/>
      <c r="L589" s="9"/>
    </row>
    <row r="590" spans="9:12" x14ac:dyDescent="0.2">
      <c r="I590" s="9"/>
      <c r="J590" s="9"/>
      <c r="K590" s="9"/>
      <c r="L590" s="9"/>
    </row>
    <row r="591" spans="9:12" x14ac:dyDescent="0.2">
      <c r="I591" s="9"/>
      <c r="J591" s="9"/>
      <c r="K591" s="9"/>
      <c r="L591" s="9"/>
    </row>
    <row r="592" spans="9:12" x14ac:dyDescent="0.2">
      <c r="I592" s="9"/>
      <c r="J592" s="9"/>
      <c r="K592" s="9"/>
      <c r="L592" s="9"/>
    </row>
    <row r="593" spans="9:12" x14ac:dyDescent="0.2">
      <c r="I593" s="9"/>
      <c r="J593" s="9"/>
      <c r="K593" s="9"/>
      <c r="L593" s="9"/>
    </row>
    <row r="594" spans="9:12" x14ac:dyDescent="0.2">
      <c r="I594" s="9"/>
      <c r="J594" s="9"/>
      <c r="K594" s="9"/>
      <c r="L594" s="9"/>
    </row>
    <row r="595" spans="9:12" x14ac:dyDescent="0.2">
      <c r="I595" s="9"/>
      <c r="J595" s="9"/>
      <c r="K595" s="9"/>
      <c r="L595" s="9"/>
    </row>
    <row r="596" spans="9:12" x14ac:dyDescent="0.2">
      <c r="I596" s="9"/>
      <c r="J596" s="9"/>
      <c r="K596" s="9"/>
      <c r="L596" s="9"/>
    </row>
    <row r="597" spans="9:12" x14ac:dyDescent="0.2">
      <c r="I597" s="9"/>
      <c r="J597" s="9"/>
      <c r="K597" s="9"/>
      <c r="L597" s="9"/>
    </row>
    <row r="598" spans="9:12" x14ac:dyDescent="0.2">
      <c r="I598" s="9"/>
      <c r="J598" s="9"/>
      <c r="K598" s="9"/>
      <c r="L598" s="9"/>
    </row>
    <row r="599" spans="9:12" x14ac:dyDescent="0.2">
      <c r="I599" s="9"/>
      <c r="J599" s="9"/>
      <c r="K599" s="9"/>
      <c r="L599" s="9"/>
    </row>
    <row r="600" spans="9:12" x14ac:dyDescent="0.2">
      <c r="I600" s="9"/>
      <c r="J600" s="9"/>
      <c r="K600" s="9"/>
      <c r="L600" s="9"/>
    </row>
    <row r="601" spans="9:12" x14ac:dyDescent="0.2">
      <c r="I601" s="9"/>
      <c r="J601" s="9"/>
      <c r="K601" s="9"/>
      <c r="L601" s="9"/>
    </row>
    <row r="602" spans="9:12" x14ac:dyDescent="0.2">
      <c r="I602" s="9"/>
      <c r="J602" s="9"/>
      <c r="K602" s="9"/>
      <c r="L602" s="9"/>
    </row>
    <row r="603" spans="9:12" x14ac:dyDescent="0.2">
      <c r="I603" s="9"/>
      <c r="J603" s="9"/>
      <c r="K603" s="9"/>
      <c r="L603" s="9"/>
    </row>
    <row r="604" spans="9:12" x14ac:dyDescent="0.2">
      <c r="I604" s="9"/>
      <c r="J604" s="9"/>
      <c r="K604" s="9"/>
      <c r="L604" s="9"/>
    </row>
    <row r="605" spans="9:12" x14ac:dyDescent="0.2">
      <c r="I605" s="9"/>
      <c r="J605" s="9"/>
      <c r="K605" s="9"/>
      <c r="L605" s="9"/>
    </row>
    <row r="606" spans="9:12" x14ac:dyDescent="0.2">
      <c r="I606" s="9"/>
      <c r="J606" s="9"/>
      <c r="K606" s="9"/>
      <c r="L606" s="9"/>
    </row>
    <row r="607" spans="9:12" x14ac:dyDescent="0.2">
      <c r="I607" s="9"/>
      <c r="J607" s="9"/>
      <c r="K607" s="9"/>
      <c r="L607" s="9"/>
    </row>
    <row r="608" spans="9:12" x14ac:dyDescent="0.2">
      <c r="I608" s="9"/>
      <c r="J608" s="9"/>
      <c r="K608" s="9"/>
      <c r="L608" s="9"/>
    </row>
    <row r="609" spans="9:12" x14ac:dyDescent="0.2">
      <c r="I609" s="9"/>
      <c r="J609" s="9"/>
      <c r="K609" s="9"/>
      <c r="L609" s="9"/>
    </row>
    <row r="610" spans="9:12" x14ac:dyDescent="0.2">
      <c r="I610" s="9"/>
      <c r="J610" s="9"/>
      <c r="K610" s="9"/>
      <c r="L610" s="9"/>
    </row>
    <row r="611" spans="9:12" x14ac:dyDescent="0.2">
      <c r="I611" s="9"/>
      <c r="J611" s="9"/>
      <c r="K611" s="9"/>
      <c r="L611" s="9"/>
    </row>
    <row r="612" spans="9:12" x14ac:dyDescent="0.2">
      <c r="I612" s="9"/>
      <c r="J612" s="9"/>
      <c r="K612" s="9"/>
      <c r="L612" s="9"/>
    </row>
    <row r="613" spans="9:12" x14ac:dyDescent="0.2">
      <c r="I613" s="9"/>
      <c r="J613" s="9"/>
      <c r="K613" s="9"/>
      <c r="L613" s="9"/>
    </row>
    <row r="614" spans="9:12" x14ac:dyDescent="0.2">
      <c r="I614" s="9"/>
      <c r="J614" s="9"/>
      <c r="K614" s="9"/>
      <c r="L614" s="9"/>
    </row>
    <row r="615" spans="9:12" x14ac:dyDescent="0.2">
      <c r="I615" s="9"/>
      <c r="J615" s="9"/>
      <c r="K615" s="9"/>
      <c r="L615" s="9"/>
    </row>
    <row r="616" spans="9:12" x14ac:dyDescent="0.2">
      <c r="I616" s="9"/>
      <c r="J616" s="9"/>
      <c r="K616" s="9"/>
      <c r="L616" s="9"/>
    </row>
    <row r="617" spans="9:12" x14ac:dyDescent="0.2">
      <c r="I617" s="9"/>
      <c r="J617" s="9"/>
      <c r="K617" s="9"/>
      <c r="L617" s="9"/>
    </row>
    <row r="618" spans="9:12" x14ac:dyDescent="0.2">
      <c r="I618" s="9"/>
      <c r="J618" s="9"/>
      <c r="K618" s="9"/>
      <c r="L618" s="9"/>
    </row>
    <row r="619" spans="9:12" x14ac:dyDescent="0.2">
      <c r="I619" s="9"/>
      <c r="J619" s="9"/>
      <c r="K619" s="9"/>
      <c r="L619" s="9"/>
    </row>
    <row r="620" spans="9:12" x14ac:dyDescent="0.2">
      <c r="I620" s="9"/>
      <c r="J620" s="9"/>
      <c r="K620" s="9"/>
      <c r="L620" s="9"/>
    </row>
    <row r="621" spans="9:12" x14ac:dyDescent="0.2">
      <c r="I621" s="9"/>
      <c r="J621" s="9"/>
      <c r="K621" s="9"/>
      <c r="L621" s="9"/>
    </row>
    <row r="622" spans="9:12" x14ac:dyDescent="0.2">
      <c r="I622" s="9"/>
      <c r="J622" s="9"/>
      <c r="K622" s="9"/>
      <c r="L622" s="9"/>
    </row>
    <row r="623" spans="9:12" x14ac:dyDescent="0.2">
      <c r="I623" s="9"/>
      <c r="J623" s="9"/>
      <c r="K623" s="9"/>
      <c r="L623" s="9"/>
    </row>
    <row r="624" spans="9:12" x14ac:dyDescent="0.2">
      <c r="I624" s="9"/>
      <c r="J624" s="9"/>
      <c r="K624" s="9"/>
      <c r="L624" s="9"/>
    </row>
    <row r="625" spans="9:12" x14ac:dyDescent="0.2">
      <c r="I625" s="9"/>
      <c r="J625" s="9"/>
      <c r="K625" s="9"/>
      <c r="L625" s="9"/>
    </row>
    <row r="626" spans="9:12" x14ac:dyDescent="0.2">
      <c r="I626" s="9"/>
      <c r="J626" s="9"/>
      <c r="K626" s="9"/>
      <c r="L626" s="9"/>
    </row>
    <row r="627" spans="9:12" x14ac:dyDescent="0.2">
      <c r="I627" s="9"/>
      <c r="J627" s="9"/>
      <c r="K627" s="9"/>
      <c r="L627" s="9"/>
    </row>
    <row r="628" spans="9:12" x14ac:dyDescent="0.2">
      <c r="I628" s="9"/>
      <c r="J628" s="9"/>
      <c r="K628" s="9"/>
      <c r="L628" s="9"/>
    </row>
    <row r="629" spans="9:12" x14ac:dyDescent="0.2">
      <c r="I629" s="9"/>
      <c r="J629" s="9"/>
      <c r="K629" s="9"/>
      <c r="L629" s="9"/>
    </row>
    <row r="630" spans="9:12" x14ac:dyDescent="0.2">
      <c r="I630" s="9"/>
      <c r="J630" s="9"/>
      <c r="K630" s="9"/>
      <c r="L630" s="9"/>
    </row>
    <row r="631" spans="9:12" x14ac:dyDescent="0.2">
      <c r="I631" s="9"/>
      <c r="J631" s="9"/>
      <c r="K631" s="9"/>
      <c r="L631" s="9"/>
    </row>
    <row r="632" spans="9:12" x14ac:dyDescent="0.2">
      <c r="I632" s="9"/>
      <c r="J632" s="9"/>
      <c r="K632" s="9"/>
      <c r="L632" s="9"/>
    </row>
    <row r="633" spans="9:12" x14ac:dyDescent="0.2">
      <c r="I633" s="9"/>
      <c r="J633" s="9"/>
      <c r="K633" s="9"/>
      <c r="L633" s="9"/>
    </row>
    <row r="634" spans="9:12" x14ac:dyDescent="0.2">
      <c r="I634" s="9"/>
      <c r="J634" s="9"/>
      <c r="K634" s="9"/>
      <c r="L634" s="9"/>
    </row>
    <row r="635" spans="9:12" x14ac:dyDescent="0.2">
      <c r="I635" s="9"/>
      <c r="J635" s="9"/>
      <c r="K635" s="9"/>
      <c r="L635" s="9"/>
    </row>
    <row r="636" spans="9:12" x14ac:dyDescent="0.2">
      <c r="I636" s="9"/>
      <c r="J636" s="9"/>
      <c r="K636" s="9"/>
      <c r="L636" s="9"/>
    </row>
    <row r="637" spans="9:12" x14ac:dyDescent="0.2">
      <c r="I637" s="9"/>
      <c r="J637" s="9"/>
      <c r="K637" s="9"/>
      <c r="L637" s="9"/>
    </row>
    <row r="638" spans="9:12" x14ac:dyDescent="0.2">
      <c r="I638" s="9"/>
      <c r="J638" s="9"/>
      <c r="K638" s="9"/>
      <c r="L638" s="9"/>
    </row>
    <row r="639" spans="9:12" x14ac:dyDescent="0.2">
      <c r="I639" s="9"/>
      <c r="J639" s="9"/>
      <c r="K639" s="9"/>
      <c r="L639" s="9"/>
    </row>
    <row r="640" spans="9:12" x14ac:dyDescent="0.2">
      <c r="I640" s="9"/>
      <c r="J640" s="9"/>
      <c r="K640" s="9"/>
      <c r="L640" s="9"/>
    </row>
    <row r="641" spans="9:12" x14ac:dyDescent="0.2">
      <c r="I641" s="9"/>
      <c r="J641" s="9"/>
      <c r="K641" s="9"/>
      <c r="L641" s="9"/>
    </row>
    <row r="642" spans="9:12" x14ac:dyDescent="0.2">
      <c r="I642" s="9"/>
      <c r="J642" s="9"/>
      <c r="K642" s="9"/>
      <c r="L642" s="9"/>
    </row>
    <row r="643" spans="9:12" x14ac:dyDescent="0.2">
      <c r="I643" s="9"/>
      <c r="J643" s="9"/>
      <c r="K643" s="9"/>
      <c r="L643" s="9"/>
    </row>
    <row r="644" spans="9:12" x14ac:dyDescent="0.2">
      <c r="I644" s="9"/>
      <c r="J644" s="9"/>
      <c r="K644" s="9"/>
      <c r="L644" s="9"/>
    </row>
    <row r="645" spans="9:12" x14ac:dyDescent="0.2">
      <c r="I645" s="9"/>
      <c r="J645" s="9"/>
      <c r="K645" s="9"/>
      <c r="L645" s="9"/>
    </row>
    <row r="646" spans="9:12" x14ac:dyDescent="0.2">
      <c r="I646" s="9"/>
      <c r="J646" s="9"/>
      <c r="K646" s="9"/>
      <c r="L646" s="9"/>
    </row>
    <row r="647" spans="9:12" x14ac:dyDescent="0.2">
      <c r="I647" s="9"/>
      <c r="J647" s="9"/>
      <c r="K647" s="9"/>
      <c r="L647" s="9"/>
    </row>
    <row r="648" spans="9:12" x14ac:dyDescent="0.2">
      <c r="I648" s="9"/>
      <c r="J648" s="9"/>
      <c r="K648" s="9"/>
      <c r="L648" s="9"/>
    </row>
    <row r="649" spans="9:12" x14ac:dyDescent="0.2">
      <c r="I649" s="9"/>
      <c r="J649" s="9"/>
      <c r="K649" s="9"/>
      <c r="L649" s="9"/>
    </row>
    <row r="650" spans="9:12" x14ac:dyDescent="0.2">
      <c r="I650" s="9"/>
      <c r="J650" s="9"/>
      <c r="K650" s="9"/>
      <c r="L650" s="9"/>
    </row>
    <row r="651" spans="9:12" x14ac:dyDescent="0.2">
      <c r="I651" s="9"/>
      <c r="J651" s="9"/>
      <c r="K651" s="9"/>
      <c r="L651" s="9"/>
    </row>
    <row r="652" spans="9:12" x14ac:dyDescent="0.2">
      <c r="I652" s="9"/>
      <c r="J652" s="9"/>
      <c r="K652" s="9"/>
      <c r="L652" s="9"/>
    </row>
    <row r="653" spans="9:12" x14ac:dyDescent="0.2">
      <c r="I653" s="9"/>
      <c r="J653" s="9"/>
      <c r="K653" s="9"/>
      <c r="L653" s="9"/>
    </row>
    <row r="654" spans="9:12" x14ac:dyDescent="0.2">
      <c r="I654" s="9"/>
      <c r="J654" s="9"/>
      <c r="K654" s="9"/>
      <c r="L654" s="9"/>
    </row>
    <row r="655" spans="9:12" x14ac:dyDescent="0.2">
      <c r="I655" s="9"/>
      <c r="J655" s="9"/>
      <c r="K655" s="9"/>
      <c r="L655" s="9"/>
    </row>
    <row r="656" spans="9:12" x14ac:dyDescent="0.2">
      <c r="I656" s="9"/>
      <c r="J656" s="9"/>
      <c r="K656" s="9"/>
      <c r="L656" s="9"/>
    </row>
    <row r="657" spans="9:12" x14ac:dyDescent="0.2">
      <c r="I657" s="9"/>
      <c r="J657" s="9"/>
      <c r="K657" s="9"/>
      <c r="L657" s="9"/>
    </row>
    <row r="658" spans="9:12" x14ac:dyDescent="0.2">
      <c r="I658" s="9"/>
      <c r="J658" s="9"/>
      <c r="K658" s="9"/>
      <c r="L658" s="9"/>
    </row>
    <row r="659" spans="9:12" x14ac:dyDescent="0.2">
      <c r="I659" s="9"/>
      <c r="J659" s="9"/>
      <c r="K659" s="9"/>
      <c r="L659" s="9"/>
    </row>
    <row r="660" spans="9:12" x14ac:dyDescent="0.2">
      <c r="I660" s="9"/>
      <c r="J660" s="9"/>
      <c r="K660" s="9"/>
      <c r="L660" s="9"/>
    </row>
    <row r="661" spans="9:12" x14ac:dyDescent="0.2">
      <c r="I661" s="9"/>
      <c r="J661" s="9"/>
      <c r="K661" s="9"/>
      <c r="L661" s="9"/>
    </row>
    <row r="662" spans="9:12" x14ac:dyDescent="0.2">
      <c r="I662" s="9"/>
      <c r="J662" s="9"/>
      <c r="K662" s="9"/>
      <c r="L662" s="9"/>
    </row>
    <row r="663" spans="9:12" x14ac:dyDescent="0.2">
      <c r="I663" s="9"/>
      <c r="J663" s="9"/>
      <c r="K663" s="9"/>
      <c r="L663" s="9"/>
    </row>
    <row r="664" spans="9:12" x14ac:dyDescent="0.2">
      <c r="I664" s="9"/>
      <c r="J664" s="9"/>
      <c r="K664" s="9"/>
      <c r="L664" s="9"/>
    </row>
    <row r="665" spans="9:12" x14ac:dyDescent="0.2">
      <c r="I665" s="9"/>
      <c r="J665" s="9"/>
      <c r="K665" s="9"/>
      <c r="L665" s="9"/>
    </row>
    <row r="666" spans="9:12" x14ac:dyDescent="0.2">
      <c r="I666" s="9"/>
      <c r="J666" s="9"/>
      <c r="K666" s="9"/>
      <c r="L666" s="9"/>
    </row>
    <row r="667" spans="9:12" x14ac:dyDescent="0.2">
      <c r="I667" s="9"/>
      <c r="J667" s="9"/>
      <c r="K667" s="9"/>
      <c r="L667" s="9"/>
    </row>
    <row r="668" spans="9:12" x14ac:dyDescent="0.2">
      <c r="I668" s="9"/>
      <c r="J668" s="9"/>
      <c r="K668" s="9"/>
      <c r="L668" s="9"/>
    </row>
    <row r="669" spans="9:12" x14ac:dyDescent="0.2">
      <c r="I669" s="9"/>
      <c r="J669" s="9"/>
      <c r="K669" s="9"/>
      <c r="L669" s="9"/>
    </row>
    <row r="670" spans="9:12" x14ac:dyDescent="0.2">
      <c r="I670" s="9"/>
      <c r="J670" s="9"/>
      <c r="K670" s="9"/>
      <c r="L670" s="9"/>
    </row>
    <row r="671" spans="9:12" x14ac:dyDescent="0.2">
      <c r="I671" s="9"/>
      <c r="J671" s="9"/>
      <c r="K671" s="9"/>
      <c r="L671" s="9"/>
    </row>
    <row r="672" spans="9:12" x14ac:dyDescent="0.2">
      <c r="I672" s="9"/>
      <c r="J672" s="9"/>
      <c r="K672" s="9"/>
      <c r="L672" s="9"/>
    </row>
    <row r="673" spans="9:12" x14ac:dyDescent="0.2">
      <c r="I673" s="9"/>
      <c r="J673" s="9"/>
      <c r="K673" s="9"/>
      <c r="L673" s="9"/>
    </row>
    <row r="674" spans="9:12" x14ac:dyDescent="0.2">
      <c r="I674" s="9"/>
      <c r="J674" s="9"/>
      <c r="K674" s="9"/>
      <c r="L674" s="9"/>
    </row>
    <row r="675" spans="9:12" x14ac:dyDescent="0.2">
      <c r="I675" s="9"/>
      <c r="J675" s="9"/>
      <c r="K675" s="9"/>
      <c r="L675" s="9"/>
    </row>
    <row r="676" spans="9:12" x14ac:dyDescent="0.2">
      <c r="I676" s="9"/>
      <c r="J676" s="9"/>
      <c r="K676" s="9"/>
      <c r="L676" s="9"/>
    </row>
    <row r="677" spans="9:12" x14ac:dyDescent="0.2">
      <c r="I677" s="9"/>
      <c r="J677" s="9"/>
      <c r="K677" s="9"/>
      <c r="L677" s="9"/>
    </row>
    <row r="678" spans="9:12" x14ac:dyDescent="0.2">
      <c r="I678" s="9"/>
      <c r="J678" s="9"/>
      <c r="K678" s="9"/>
      <c r="L678" s="9"/>
    </row>
    <row r="679" spans="9:12" x14ac:dyDescent="0.2">
      <c r="I679" s="9"/>
      <c r="J679" s="9"/>
      <c r="K679" s="9"/>
      <c r="L679" s="9"/>
    </row>
    <row r="680" spans="9:12" x14ac:dyDescent="0.2">
      <c r="I680" s="9"/>
      <c r="J680" s="9"/>
      <c r="K680" s="9"/>
      <c r="L680" s="9"/>
    </row>
    <row r="681" spans="9:12" x14ac:dyDescent="0.2">
      <c r="I681" s="9"/>
      <c r="J681" s="9"/>
      <c r="K681" s="9"/>
      <c r="L681" s="9"/>
    </row>
    <row r="682" spans="9:12" x14ac:dyDescent="0.2">
      <c r="I682" s="9"/>
      <c r="J682" s="9"/>
      <c r="K682" s="9"/>
      <c r="L682" s="9"/>
    </row>
    <row r="683" spans="9:12" x14ac:dyDescent="0.2">
      <c r="I683" s="9"/>
      <c r="J683" s="9"/>
      <c r="K683" s="9"/>
      <c r="L683" s="9"/>
    </row>
    <row r="684" spans="9:12" x14ac:dyDescent="0.2">
      <c r="I684" s="9"/>
      <c r="J684" s="9"/>
      <c r="K684" s="9"/>
      <c r="L684" s="9"/>
    </row>
    <row r="685" spans="9:12" x14ac:dyDescent="0.2">
      <c r="I685" s="9"/>
      <c r="J685" s="9"/>
      <c r="K685" s="9"/>
      <c r="L685" s="9"/>
    </row>
    <row r="686" spans="9:12" x14ac:dyDescent="0.2">
      <c r="I686" s="9"/>
      <c r="J686" s="9"/>
      <c r="K686" s="9"/>
      <c r="L686" s="9"/>
    </row>
    <row r="687" spans="9:12" x14ac:dyDescent="0.2">
      <c r="I687" s="9"/>
      <c r="J687" s="9"/>
      <c r="K687" s="9"/>
      <c r="L687" s="9"/>
    </row>
    <row r="688" spans="9:12" x14ac:dyDescent="0.2">
      <c r="I688" s="9"/>
      <c r="J688" s="9"/>
      <c r="K688" s="9"/>
      <c r="L688" s="9"/>
    </row>
    <row r="689" spans="9:12" x14ac:dyDescent="0.2">
      <c r="I689" s="9"/>
      <c r="J689" s="9"/>
      <c r="K689" s="9"/>
      <c r="L689" s="9"/>
    </row>
    <row r="690" spans="9:12" x14ac:dyDescent="0.2">
      <c r="I690" s="9"/>
      <c r="J690" s="9"/>
      <c r="K690" s="9"/>
      <c r="L690" s="9"/>
    </row>
    <row r="691" spans="9:12" x14ac:dyDescent="0.2">
      <c r="I691" s="9"/>
      <c r="J691" s="9"/>
      <c r="K691" s="9"/>
      <c r="L691" s="9"/>
    </row>
    <row r="692" spans="9:12" x14ac:dyDescent="0.2">
      <c r="I692" s="9"/>
      <c r="J692" s="9"/>
      <c r="K692" s="9"/>
      <c r="L692" s="9"/>
    </row>
    <row r="693" spans="9:12" x14ac:dyDescent="0.2">
      <c r="I693" s="9"/>
      <c r="J693" s="9"/>
      <c r="K693" s="9"/>
      <c r="L693" s="9"/>
    </row>
    <row r="694" spans="9:12" x14ac:dyDescent="0.2">
      <c r="I694" s="9"/>
      <c r="J694" s="9"/>
      <c r="K694" s="9"/>
      <c r="L694" s="9"/>
    </row>
    <row r="695" spans="9:12" x14ac:dyDescent="0.2">
      <c r="I695" s="9"/>
      <c r="J695" s="9"/>
      <c r="K695" s="9"/>
      <c r="L695" s="9"/>
    </row>
    <row r="696" spans="9:12" x14ac:dyDescent="0.2">
      <c r="I696" s="9"/>
      <c r="J696" s="9"/>
      <c r="K696" s="9"/>
      <c r="L696" s="9"/>
    </row>
    <row r="697" spans="9:12" x14ac:dyDescent="0.2">
      <c r="I697" s="9"/>
      <c r="J697" s="9"/>
      <c r="K697" s="9"/>
      <c r="L697" s="9"/>
    </row>
    <row r="698" spans="9:12" x14ac:dyDescent="0.2">
      <c r="I698" s="9"/>
      <c r="J698" s="9"/>
      <c r="K698" s="9"/>
      <c r="L698" s="9"/>
    </row>
    <row r="699" spans="9:12" x14ac:dyDescent="0.2">
      <c r="I699" s="9"/>
      <c r="J699" s="9"/>
      <c r="K699" s="9"/>
      <c r="L699" s="9"/>
    </row>
    <row r="700" spans="9:12" x14ac:dyDescent="0.2">
      <c r="I700" s="9"/>
      <c r="J700" s="9"/>
      <c r="K700" s="9"/>
      <c r="L700" s="9"/>
    </row>
    <row r="701" spans="9:12" x14ac:dyDescent="0.2">
      <c r="I701" s="9"/>
      <c r="J701" s="9"/>
      <c r="K701" s="9"/>
      <c r="L701" s="9"/>
    </row>
    <row r="702" spans="9:12" x14ac:dyDescent="0.2">
      <c r="I702" s="9"/>
      <c r="J702" s="9"/>
      <c r="K702" s="9"/>
      <c r="L702" s="9"/>
    </row>
    <row r="703" spans="9:12" x14ac:dyDescent="0.2">
      <c r="I703" s="9"/>
      <c r="J703" s="9"/>
      <c r="K703" s="9"/>
      <c r="L703" s="9"/>
    </row>
    <row r="704" spans="9:12" x14ac:dyDescent="0.2">
      <c r="I704" s="9"/>
      <c r="J704" s="9"/>
      <c r="K704" s="9"/>
      <c r="L704" s="9"/>
    </row>
    <row r="705" spans="9:12" x14ac:dyDescent="0.2">
      <c r="I705" s="9"/>
      <c r="J705" s="9"/>
      <c r="K705" s="9"/>
      <c r="L705" s="9"/>
    </row>
    <row r="706" spans="9:12" x14ac:dyDescent="0.2">
      <c r="I706" s="9"/>
      <c r="J706" s="9"/>
      <c r="K706" s="9"/>
      <c r="L706" s="9"/>
    </row>
    <row r="707" spans="9:12" x14ac:dyDescent="0.2">
      <c r="I707" s="9"/>
      <c r="J707" s="9"/>
      <c r="K707" s="9"/>
      <c r="L707" s="9"/>
    </row>
    <row r="708" spans="9:12" x14ac:dyDescent="0.2">
      <c r="I708" s="9"/>
      <c r="J708" s="9"/>
      <c r="K708" s="9"/>
      <c r="L708" s="9"/>
    </row>
    <row r="709" spans="9:12" x14ac:dyDescent="0.2">
      <c r="I709" s="9"/>
      <c r="J709" s="9"/>
      <c r="K709" s="9"/>
      <c r="L709" s="9"/>
    </row>
    <row r="710" spans="9:12" x14ac:dyDescent="0.2">
      <c r="I710" s="9"/>
      <c r="J710" s="9"/>
      <c r="K710" s="9"/>
      <c r="L710" s="9"/>
    </row>
    <row r="711" spans="9:12" x14ac:dyDescent="0.2">
      <c r="I711" s="9"/>
      <c r="J711" s="9"/>
      <c r="K711" s="9"/>
      <c r="L711" s="9"/>
    </row>
    <row r="712" spans="9:12" x14ac:dyDescent="0.2">
      <c r="I712" s="9"/>
      <c r="J712" s="9"/>
      <c r="K712" s="9"/>
      <c r="L712" s="9"/>
    </row>
    <row r="713" spans="9:12" x14ac:dyDescent="0.2">
      <c r="I713" s="9"/>
      <c r="J713" s="9"/>
      <c r="K713" s="9"/>
      <c r="L713" s="9"/>
    </row>
    <row r="714" spans="9:12" x14ac:dyDescent="0.2">
      <c r="I714" s="9"/>
      <c r="J714" s="9"/>
      <c r="K714" s="9"/>
      <c r="L714" s="9"/>
    </row>
    <row r="715" spans="9:12" x14ac:dyDescent="0.2">
      <c r="I715" s="9"/>
      <c r="J715" s="9"/>
      <c r="K715" s="9"/>
      <c r="L715" s="9"/>
    </row>
    <row r="716" spans="9:12" x14ac:dyDescent="0.2">
      <c r="I716" s="9"/>
      <c r="J716" s="9"/>
      <c r="K716" s="9"/>
      <c r="L716" s="9"/>
    </row>
    <row r="717" spans="9:12" x14ac:dyDescent="0.2">
      <c r="I717" s="9"/>
      <c r="J717" s="9"/>
      <c r="K717" s="9"/>
      <c r="L717" s="9"/>
    </row>
    <row r="718" spans="9:12" x14ac:dyDescent="0.2">
      <c r="I718" s="9"/>
      <c r="J718" s="9"/>
      <c r="K718" s="9"/>
      <c r="L718" s="9"/>
    </row>
    <row r="719" spans="9:12" x14ac:dyDescent="0.2">
      <c r="I719" s="9"/>
      <c r="J719" s="9"/>
      <c r="K719" s="9"/>
      <c r="L719" s="9"/>
    </row>
    <row r="720" spans="9:12" x14ac:dyDescent="0.2">
      <c r="I720" s="9"/>
      <c r="J720" s="9"/>
      <c r="K720" s="9"/>
      <c r="L720" s="9"/>
    </row>
    <row r="721" spans="9:12" x14ac:dyDescent="0.2">
      <c r="I721" s="9"/>
      <c r="J721" s="9"/>
      <c r="K721" s="9"/>
      <c r="L721" s="9"/>
    </row>
    <row r="722" spans="9:12" x14ac:dyDescent="0.2">
      <c r="I722" s="9"/>
      <c r="J722" s="9"/>
      <c r="K722" s="9"/>
      <c r="L722" s="9"/>
    </row>
    <row r="723" spans="9:12" x14ac:dyDescent="0.2">
      <c r="I723" s="9"/>
      <c r="J723" s="9"/>
      <c r="K723" s="9"/>
      <c r="L723" s="9"/>
    </row>
    <row r="724" spans="9:12" x14ac:dyDescent="0.2">
      <c r="I724" s="9"/>
      <c r="J724" s="9"/>
      <c r="K724" s="9"/>
      <c r="L724" s="9"/>
    </row>
    <row r="725" spans="9:12" x14ac:dyDescent="0.2">
      <c r="I725" s="9"/>
      <c r="J725" s="9"/>
      <c r="K725" s="9"/>
      <c r="L725" s="9"/>
    </row>
    <row r="726" spans="9:12" x14ac:dyDescent="0.2">
      <c r="I726" s="9"/>
      <c r="J726" s="9"/>
      <c r="K726" s="9"/>
      <c r="L726" s="9"/>
    </row>
    <row r="727" spans="9:12" x14ac:dyDescent="0.2">
      <c r="I727" s="9"/>
      <c r="J727" s="9"/>
      <c r="K727" s="9"/>
      <c r="L727" s="9"/>
    </row>
    <row r="728" spans="9:12" x14ac:dyDescent="0.2">
      <c r="I728" s="9"/>
      <c r="J728" s="9"/>
      <c r="K728" s="9"/>
      <c r="L728" s="9"/>
    </row>
    <row r="729" spans="9:12" x14ac:dyDescent="0.2">
      <c r="I729" s="9"/>
      <c r="J729" s="9"/>
      <c r="K729" s="9"/>
      <c r="L729" s="9"/>
    </row>
    <row r="730" spans="9:12" x14ac:dyDescent="0.2">
      <c r="I730" s="9"/>
      <c r="J730" s="9"/>
      <c r="K730" s="9"/>
      <c r="L730" s="9"/>
    </row>
    <row r="731" spans="9:12" x14ac:dyDescent="0.2">
      <c r="I731" s="9"/>
      <c r="J731" s="9"/>
      <c r="K731" s="9"/>
      <c r="L731" s="9"/>
    </row>
    <row r="732" spans="9:12" x14ac:dyDescent="0.2">
      <c r="I732" s="9"/>
      <c r="J732" s="9"/>
      <c r="K732" s="9"/>
      <c r="L732" s="9"/>
    </row>
    <row r="733" spans="9:12" x14ac:dyDescent="0.2">
      <c r="I733" s="9"/>
      <c r="J733" s="9"/>
      <c r="K733" s="9"/>
      <c r="L733" s="9"/>
    </row>
    <row r="734" spans="9:12" x14ac:dyDescent="0.2">
      <c r="I734" s="9"/>
      <c r="J734" s="9"/>
      <c r="K734" s="9"/>
      <c r="L734" s="9"/>
    </row>
    <row r="735" spans="9:12" x14ac:dyDescent="0.2">
      <c r="I735" s="9"/>
      <c r="J735" s="9"/>
      <c r="K735" s="9"/>
      <c r="L735" s="9"/>
    </row>
    <row r="736" spans="9:12" x14ac:dyDescent="0.2">
      <c r="I736" s="9"/>
      <c r="J736" s="9"/>
      <c r="K736" s="9"/>
      <c r="L736" s="9"/>
    </row>
    <row r="737" spans="9:12" x14ac:dyDescent="0.2">
      <c r="I737" s="9"/>
      <c r="J737" s="9"/>
      <c r="K737" s="9"/>
      <c r="L737" s="9"/>
    </row>
    <row r="738" spans="9:12" x14ac:dyDescent="0.2">
      <c r="I738" s="9"/>
      <c r="J738" s="9"/>
      <c r="K738" s="9"/>
      <c r="L738" s="9"/>
    </row>
    <row r="739" spans="9:12" x14ac:dyDescent="0.2">
      <c r="I739" s="9"/>
      <c r="J739" s="9"/>
      <c r="K739" s="9"/>
      <c r="L739" s="9"/>
    </row>
    <row r="740" spans="9:12" x14ac:dyDescent="0.2">
      <c r="I740" s="9"/>
      <c r="J740" s="9"/>
      <c r="K740" s="9"/>
      <c r="L740" s="9"/>
    </row>
    <row r="741" spans="9:12" x14ac:dyDescent="0.2">
      <c r="I741" s="9"/>
      <c r="J741" s="9"/>
      <c r="K741" s="9"/>
      <c r="L741" s="9"/>
    </row>
    <row r="742" spans="9:12" x14ac:dyDescent="0.2">
      <c r="I742" s="9"/>
      <c r="J742" s="9"/>
      <c r="K742" s="9"/>
      <c r="L742" s="9"/>
    </row>
    <row r="743" spans="9:12" x14ac:dyDescent="0.2">
      <c r="I743" s="9"/>
      <c r="J743" s="9"/>
      <c r="K743" s="9"/>
      <c r="L743" s="9"/>
    </row>
    <row r="744" spans="9:12" x14ac:dyDescent="0.2">
      <c r="I744" s="9"/>
      <c r="J744" s="9"/>
      <c r="K744" s="9"/>
      <c r="L744" s="9"/>
    </row>
    <row r="745" spans="9:12" x14ac:dyDescent="0.2">
      <c r="I745" s="9"/>
      <c r="J745" s="9"/>
      <c r="K745" s="9"/>
      <c r="L745" s="9"/>
    </row>
    <row r="746" spans="9:12" x14ac:dyDescent="0.2">
      <c r="I746" s="9"/>
      <c r="J746" s="9"/>
      <c r="K746" s="9"/>
      <c r="L746" s="9"/>
    </row>
    <row r="747" spans="9:12" x14ac:dyDescent="0.2">
      <c r="I747" s="9"/>
      <c r="J747" s="9"/>
      <c r="K747" s="9"/>
      <c r="L747" s="9"/>
    </row>
    <row r="748" spans="9:12" x14ac:dyDescent="0.2">
      <c r="I748" s="9"/>
      <c r="J748" s="9"/>
      <c r="K748" s="9"/>
      <c r="L748" s="9"/>
    </row>
    <row r="749" spans="9:12" x14ac:dyDescent="0.2">
      <c r="I749" s="9"/>
      <c r="J749" s="9"/>
      <c r="K749" s="9"/>
      <c r="L749" s="9"/>
    </row>
    <row r="750" spans="9:12" x14ac:dyDescent="0.2">
      <c r="I750" s="9"/>
      <c r="J750" s="9"/>
      <c r="K750" s="9"/>
      <c r="L750" s="9"/>
    </row>
    <row r="751" spans="9:12" x14ac:dyDescent="0.2">
      <c r="I751" s="9"/>
      <c r="J751" s="9"/>
      <c r="K751" s="9"/>
      <c r="L751" s="9"/>
    </row>
    <row r="752" spans="9:12" x14ac:dyDescent="0.2">
      <c r="I752" s="9"/>
      <c r="J752" s="9"/>
      <c r="K752" s="9"/>
      <c r="L752" s="9"/>
    </row>
    <row r="753" spans="9:12" x14ac:dyDescent="0.2">
      <c r="I753" s="9"/>
      <c r="J753" s="9"/>
      <c r="K753" s="9"/>
      <c r="L753" s="9"/>
    </row>
    <row r="754" spans="9:12" x14ac:dyDescent="0.2">
      <c r="I754" s="9"/>
      <c r="J754" s="9"/>
      <c r="K754" s="9"/>
      <c r="L754" s="9"/>
    </row>
    <row r="755" spans="9:12" x14ac:dyDescent="0.2">
      <c r="I755" s="9"/>
      <c r="J755" s="9"/>
      <c r="K755" s="9"/>
      <c r="L755" s="9"/>
    </row>
    <row r="756" spans="9:12" x14ac:dyDescent="0.2">
      <c r="I756" s="9"/>
      <c r="J756" s="9"/>
      <c r="K756" s="9"/>
      <c r="L756" s="9"/>
    </row>
    <row r="757" spans="9:12" x14ac:dyDescent="0.2">
      <c r="I757" s="9"/>
      <c r="J757" s="9"/>
      <c r="K757" s="9"/>
      <c r="L757" s="9"/>
    </row>
    <row r="758" spans="9:12" x14ac:dyDescent="0.2">
      <c r="I758" s="9"/>
      <c r="J758" s="9"/>
      <c r="K758" s="9"/>
      <c r="L758" s="9"/>
    </row>
    <row r="759" spans="9:12" x14ac:dyDescent="0.2">
      <c r="I759" s="9"/>
      <c r="J759" s="9"/>
      <c r="K759" s="9"/>
      <c r="L759" s="9"/>
    </row>
    <row r="760" spans="9:12" x14ac:dyDescent="0.2">
      <c r="I760" s="9"/>
      <c r="J760" s="9"/>
      <c r="K760" s="9"/>
      <c r="L760" s="9"/>
    </row>
    <row r="761" spans="9:12" x14ac:dyDescent="0.2">
      <c r="I761" s="9"/>
      <c r="J761" s="9"/>
      <c r="K761" s="9"/>
      <c r="L761" s="9"/>
    </row>
    <row r="762" spans="9:12" x14ac:dyDescent="0.2">
      <c r="I762" s="9"/>
      <c r="J762" s="9"/>
      <c r="K762" s="9"/>
      <c r="L762" s="9"/>
    </row>
    <row r="763" spans="9:12" x14ac:dyDescent="0.2">
      <c r="I763" s="9"/>
      <c r="J763" s="9"/>
      <c r="K763" s="9"/>
      <c r="L763" s="9"/>
    </row>
    <row r="764" spans="9:12" x14ac:dyDescent="0.2">
      <c r="I764" s="9"/>
      <c r="J764" s="9"/>
      <c r="K764" s="9"/>
      <c r="L764" s="9"/>
    </row>
    <row r="765" spans="9:12" x14ac:dyDescent="0.2">
      <c r="I765" s="9"/>
      <c r="J765" s="9"/>
      <c r="K765" s="9"/>
      <c r="L765" s="9"/>
    </row>
    <row r="766" spans="9:12" x14ac:dyDescent="0.2">
      <c r="I766" s="9"/>
      <c r="J766" s="9"/>
      <c r="K766" s="9"/>
      <c r="L766" s="9"/>
    </row>
    <row r="767" spans="9:12" x14ac:dyDescent="0.2">
      <c r="I767" s="9"/>
      <c r="J767" s="9"/>
      <c r="K767" s="9"/>
      <c r="L767" s="9"/>
    </row>
    <row r="768" spans="9:12" x14ac:dyDescent="0.2">
      <c r="I768" s="9"/>
      <c r="J768" s="9"/>
      <c r="K768" s="9"/>
      <c r="L768" s="9"/>
    </row>
    <row r="769" spans="9:12" x14ac:dyDescent="0.2">
      <c r="I769" s="9"/>
      <c r="J769" s="9"/>
      <c r="K769" s="9"/>
      <c r="L769" s="9"/>
    </row>
    <row r="770" spans="9:12" x14ac:dyDescent="0.2">
      <c r="I770" s="9"/>
      <c r="J770" s="9"/>
      <c r="K770" s="9"/>
      <c r="L770" s="9"/>
    </row>
    <row r="771" spans="9:12" x14ac:dyDescent="0.2">
      <c r="I771" s="9"/>
      <c r="J771" s="9"/>
      <c r="K771" s="9"/>
      <c r="L771" s="9"/>
    </row>
    <row r="772" spans="9:12" x14ac:dyDescent="0.2">
      <c r="I772" s="9"/>
      <c r="J772" s="9"/>
      <c r="K772" s="9"/>
      <c r="L772" s="9"/>
    </row>
    <row r="773" spans="9:12" x14ac:dyDescent="0.2">
      <c r="I773" s="9"/>
      <c r="J773" s="9"/>
      <c r="K773" s="9"/>
      <c r="L773" s="9"/>
    </row>
    <row r="774" spans="9:12" x14ac:dyDescent="0.2">
      <c r="I774" s="9"/>
      <c r="J774" s="9"/>
      <c r="K774" s="9"/>
      <c r="L774" s="9"/>
    </row>
    <row r="775" spans="9:12" x14ac:dyDescent="0.2">
      <c r="I775" s="9"/>
      <c r="J775" s="9"/>
      <c r="K775" s="9"/>
      <c r="L775" s="9"/>
    </row>
    <row r="776" spans="9:12" x14ac:dyDescent="0.2">
      <c r="I776" s="9"/>
      <c r="J776" s="9"/>
      <c r="K776" s="9"/>
      <c r="L776" s="9"/>
    </row>
    <row r="777" spans="9:12" x14ac:dyDescent="0.2">
      <c r="I777" s="9"/>
      <c r="J777" s="9"/>
      <c r="K777" s="9"/>
      <c r="L777" s="9"/>
    </row>
    <row r="778" spans="9:12" x14ac:dyDescent="0.2">
      <c r="I778" s="9"/>
      <c r="J778" s="9"/>
      <c r="K778" s="9"/>
      <c r="L778" s="9"/>
    </row>
    <row r="779" spans="9:12" x14ac:dyDescent="0.2">
      <c r="I779" s="9"/>
      <c r="J779" s="9"/>
      <c r="K779" s="9"/>
      <c r="L779" s="9"/>
    </row>
    <row r="780" spans="9:12" x14ac:dyDescent="0.2">
      <c r="I780" s="9"/>
      <c r="J780" s="9"/>
      <c r="K780" s="9"/>
      <c r="L780" s="9"/>
    </row>
    <row r="781" spans="9:12" x14ac:dyDescent="0.2">
      <c r="I781" s="9"/>
      <c r="J781" s="9"/>
      <c r="K781" s="9"/>
      <c r="L781" s="9"/>
    </row>
    <row r="782" spans="9:12" x14ac:dyDescent="0.2">
      <c r="I782" s="9"/>
      <c r="J782" s="9"/>
      <c r="K782" s="9"/>
      <c r="L782" s="9"/>
    </row>
    <row r="783" spans="9:12" x14ac:dyDescent="0.2">
      <c r="I783" s="9"/>
      <c r="J783" s="9"/>
      <c r="K783" s="9"/>
      <c r="L783" s="9"/>
    </row>
    <row r="784" spans="9:12" x14ac:dyDescent="0.2">
      <c r="I784" s="9"/>
      <c r="J784" s="9"/>
      <c r="K784" s="9"/>
      <c r="L784" s="9"/>
    </row>
    <row r="785" spans="9:12" x14ac:dyDescent="0.2">
      <c r="I785" s="9"/>
      <c r="J785" s="9"/>
      <c r="K785" s="9"/>
      <c r="L785" s="9"/>
    </row>
    <row r="786" spans="9:12" x14ac:dyDescent="0.2">
      <c r="I786" s="9"/>
      <c r="J786" s="9"/>
      <c r="K786" s="9"/>
      <c r="L786" s="9"/>
    </row>
    <row r="787" spans="9:12" x14ac:dyDescent="0.2">
      <c r="I787" s="9"/>
      <c r="J787" s="9"/>
      <c r="K787" s="9"/>
      <c r="L787" s="9"/>
    </row>
    <row r="788" spans="9:12" x14ac:dyDescent="0.2">
      <c r="I788" s="9"/>
      <c r="J788" s="9"/>
      <c r="K788" s="9"/>
      <c r="L788" s="9"/>
    </row>
    <row r="789" spans="9:12" x14ac:dyDescent="0.2">
      <c r="I789" s="9"/>
      <c r="J789" s="9"/>
      <c r="K789" s="9"/>
      <c r="L789" s="9"/>
    </row>
    <row r="790" spans="9:12" x14ac:dyDescent="0.2">
      <c r="I790" s="9"/>
      <c r="J790" s="9"/>
      <c r="K790" s="9"/>
      <c r="L790" s="9"/>
    </row>
    <row r="791" spans="9:12" x14ac:dyDescent="0.2">
      <c r="I791" s="9"/>
      <c r="J791" s="9"/>
      <c r="K791" s="9"/>
      <c r="L791" s="9"/>
    </row>
    <row r="792" spans="9:12" x14ac:dyDescent="0.2">
      <c r="I792" s="9"/>
      <c r="J792" s="9"/>
      <c r="K792" s="9"/>
      <c r="L792" s="9"/>
    </row>
    <row r="793" spans="9:12" x14ac:dyDescent="0.2">
      <c r="I793" s="9"/>
      <c r="J793" s="9"/>
      <c r="K793" s="9"/>
      <c r="L793" s="9"/>
    </row>
    <row r="794" spans="9:12" x14ac:dyDescent="0.2">
      <c r="I794" s="9"/>
      <c r="J794" s="9"/>
      <c r="K794" s="9"/>
      <c r="L794" s="9"/>
    </row>
    <row r="795" spans="9:12" x14ac:dyDescent="0.2">
      <c r="I795" s="9"/>
      <c r="J795" s="9"/>
      <c r="K795" s="9"/>
      <c r="L795" s="9"/>
    </row>
    <row r="796" spans="9:12" x14ac:dyDescent="0.2">
      <c r="I796" s="9"/>
      <c r="J796" s="9"/>
      <c r="K796" s="9"/>
      <c r="L796" s="9"/>
    </row>
    <row r="797" spans="9:12" x14ac:dyDescent="0.2">
      <c r="I797" s="9"/>
      <c r="J797" s="9"/>
      <c r="K797" s="9"/>
      <c r="L797" s="9"/>
    </row>
    <row r="798" spans="9:12" x14ac:dyDescent="0.2">
      <c r="I798" s="9"/>
      <c r="J798" s="9"/>
      <c r="K798" s="9"/>
      <c r="L798" s="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F4980-0BD0-894C-BE16-E7FFF92039C8}">
  <dimension ref="A1:Y798"/>
  <sheetViews>
    <sheetView topLeftCell="E1" zoomScale="70" zoomScaleNormal="70" workbookViewId="0">
      <selection activeCell="P2" sqref="P2:P322"/>
    </sheetView>
  </sheetViews>
  <sheetFormatPr baseColWidth="10" defaultColWidth="13.5" defaultRowHeight="15" x14ac:dyDescent="0.2"/>
  <cols>
    <col min="1" max="2" width="13.5" style="8"/>
    <col min="3" max="3" width="15.83203125" style="8" customWidth="1"/>
    <col min="4" max="4" width="36.6640625" customWidth="1"/>
    <col min="5" max="6" width="36.5" customWidth="1"/>
    <col min="7" max="7" width="36" customWidth="1"/>
    <col min="8" max="8" width="5.33203125" style="8" customWidth="1"/>
    <col min="9" max="10" width="10" style="8" customWidth="1"/>
    <col min="11" max="11" width="15.83203125" style="8" customWidth="1"/>
    <col min="12" max="12" width="20.6640625" style="8" customWidth="1"/>
    <col min="13" max="13" width="14.6640625" style="8" customWidth="1"/>
    <col min="14" max="14" width="13.5" style="8"/>
    <col min="15" max="15" width="11" style="8" customWidth="1"/>
    <col min="16" max="16" width="11.1640625" style="8" customWidth="1"/>
    <col min="17" max="16384" width="13.5" style="8"/>
  </cols>
  <sheetData>
    <row r="1" spans="1:16" s="1" customFormat="1" ht="55.5" customHeight="1" x14ac:dyDescent="0.2">
      <c r="A1" s="1" t="s">
        <v>0</v>
      </c>
      <c r="B1" s="1" t="s">
        <v>1</v>
      </c>
      <c r="C1" s="1" t="s">
        <v>2</v>
      </c>
      <c r="D1" s="2" t="s">
        <v>12</v>
      </c>
      <c r="E1" s="2" t="s">
        <v>13</v>
      </c>
      <c r="F1" s="2" t="s">
        <v>14</v>
      </c>
      <c r="G1" s="2" t="s">
        <v>15</v>
      </c>
      <c r="I1" s="1" t="s">
        <v>16</v>
      </c>
      <c r="J1" s="1" t="s">
        <v>17</v>
      </c>
      <c r="K1" s="1" t="s">
        <v>3</v>
      </c>
      <c r="L1" s="1" t="s">
        <v>18</v>
      </c>
      <c r="M1" s="3" t="s">
        <v>19</v>
      </c>
      <c r="N1" s="3" t="s">
        <v>4</v>
      </c>
      <c r="O1" s="1" t="s">
        <v>5</v>
      </c>
      <c r="P1" s="1" t="s">
        <v>6</v>
      </c>
    </row>
    <row r="2" spans="1:16" x14ac:dyDescent="0.2">
      <c r="A2" s="8">
        <v>0</v>
      </c>
      <c r="B2" s="4">
        <v>0</v>
      </c>
      <c r="C2" s="4" t="s">
        <v>7</v>
      </c>
      <c r="D2">
        <v>807.89317773788002</v>
      </c>
      <c r="E2">
        <v>255.10412926391001</v>
      </c>
      <c r="F2">
        <v>127.08014247551</v>
      </c>
      <c r="G2">
        <v>111.37132680321</v>
      </c>
      <c r="H2" s="4"/>
      <c r="I2" s="5">
        <f>E2-G2</f>
        <v>143.73280246070001</v>
      </c>
      <c r="J2" s="5">
        <f>D2-F2</f>
        <v>680.81303526237002</v>
      </c>
      <c r="K2" s="9">
        <f>I2*1</f>
        <v>143.73280246070001</v>
      </c>
      <c r="L2" s="6">
        <f t="shared" ref="L2:L65" si="0">K2/J2</f>
        <v>0.21111934557085651</v>
      </c>
      <c r="M2" s="6">
        <f>L2+ABS($N$2)*A2</f>
        <v>0.21111934557085651</v>
      </c>
      <c r="N2" s="4">
        <f>LINEST(V64:V103,U64:U103)</f>
        <v>-8.3907577206837494E-4</v>
      </c>
      <c r="O2" s="7">
        <f>AVERAGE(M62:M81)</f>
        <v>0.36757893162325905</v>
      </c>
      <c r="P2" s="4">
        <f>(M2-$O$2)/$O$2*100</f>
        <v>-42.564894936024764</v>
      </c>
    </row>
    <row r="3" spans="1:16" x14ac:dyDescent="0.2">
      <c r="A3" s="8">
        <v>0.5</v>
      </c>
      <c r="B3" s="8">
        <v>1</v>
      </c>
      <c r="D3">
        <v>789.63554757630004</v>
      </c>
      <c r="E3">
        <v>253.97666068223</v>
      </c>
      <c r="F3">
        <v>127.16028495102</v>
      </c>
      <c r="G3">
        <v>111.23508459484</v>
      </c>
      <c r="I3" s="9">
        <f t="shared" ref="I3:I66" si="1">E3-G3</f>
        <v>142.74157608739</v>
      </c>
      <c r="J3" s="9">
        <f t="shared" ref="J3:J66" si="2">D3-F3</f>
        <v>662.47526262528004</v>
      </c>
      <c r="K3" s="9">
        <f t="shared" ref="K3:K66" si="3">I3*1</f>
        <v>142.74157608739</v>
      </c>
      <c r="L3" s="10">
        <f t="shared" si="0"/>
        <v>0.21546702819019795</v>
      </c>
      <c r="M3" s="10">
        <f t="shared" ref="M3:M66" si="4">L3+ABS($N$2)*A3</f>
        <v>0.21588656607623213</v>
      </c>
      <c r="P3" s="8">
        <f t="shared" ref="P3:P66" si="5">(M3-$O$2)/$O$2*100</f>
        <v>-41.267970630727078</v>
      </c>
    </row>
    <row r="4" spans="1:16" ht="16" x14ac:dyDescent="0.2">
      <c r="A4" s="8">
        <v>1</v>
      </c>
      <c r="B4" s="8">
        <v>2</v>
      </c>
      <c r="D4">
        <v>760.63464991023</v>
      </c>
      <c r="E4">
        <v>253.96768402154001</v>
      </c>
      <c r="F4">
        <v>126.96705253784999</v>
      </c>
      <c r="G4">
        <v>111.21015138023</v>
      </c>
      <c r="I4" s="9">
        <f t="shared" si="1"/>
        <v>142.75753264131001</v>
      </c>
      <c r="J4" s="9">
        <f t="shared" si="2"/>
        <v>633.66759737237999</v>
      </c>
      <c r="K4" s="9">
        <f t="shared" si="3"/>
        <v>142.75753264131001</v>
      </c>
      <c r="L4" s="10">
        <f t="shared" si="0"/>
        <v>0.22528772693014532</v>
      </c>
      <c r="M4" s="10">
        <f t="shared" si="4"/>
        <v>0.22612680270221369</v>
      </c>
      <c r="N4" s="1" t="s">
        <v>8</v>
      </c>
      <c r="P4" s="8">
        <f t="shared" si="5"/>
        <v>-38.482110031818479</v>
      </c>
    </row>
    <row r="5" spans="1:16" x14ac:dyDescent="0.2">
      <c r="A5" s="8">
        <v>1.5</v>
      </c>
      <c r="B5" s="8">
        <v>3</v>
      </c>
      <c r="D5">
        <v>747.28096947935001</v>
      </c>
      <c r="E5">
        <v>272.39317773788002</v>
      </c>
      <c r="F5">
        <v>127.14692787177</v>
      </c>
      <c r="G5">
        <v>111.6642920748</v>
      </c>
      <c r="I5" s="9">
        <f t="shared" si="1"/>
        <v>160.72888566308001</v>
      </c>
      <c r="J5" s="9">
        <f t="shared" si="2"/>
        <v>620.13404160758</v>
      </c>
      <c r="K5" s="9">
        <f t="shared" si="3"/>
        <v>160.72888566308001</v>
      </c>
      <c r="L5" s="10">
        <f t="shared" si="0"/>
        <v>0.25918410356319227</v>
      </c>
      <c r="M5" s="10">
        <f t="shared" si="4"/>
        <v>0.26044271722129481</v>
      </c>
      <c r="N5" s="8">
        <f>RSQ(V64:V83,U64:U83)</f>
        <v>0.63053997526918415</v>
      </c>
      <c r="P5" s="8">
        <f t="shared" si="5"/>
        <v>-29.146451329199373</v>
      </c>
    </row>
    <row r="6" spans="1:16" x14ac:dyDescent="0.2">
      <c r="A6" s="8">
        <v>2</v>
      </c>
      <c r="B6" s="8">
        <v>4</v>
      </c>
      <c r="D6">
        <v>753.64721723519006</v>
      </c>
      <c r="E6">
        <v>285.57989228007</v>
      </c>
      <c r="F6">
        <v>126.83348174533</v>
      </c>
      <c r="G6">
        <v>111.28049866428999</v>
      </c>
      <c r="I6" s="9">
        <f t="shared" si="1"/>
        <v>174.29939361577999</v>
      </c>
      <c r="J6" s="9">
        <f t="shared" si="2"/>
        <v>626.81373548986005</v>
      </c>
      <c r="K6" s="9">
        <f t="shared" si="3"/>
        <v>174.29939361577999</v>
      </c>
      <c r="L6" s="10">
        <f t="shared" si="0"/>
        <v>0.27807207109072618</v>
      </c>
      <c r="M6" s="10">
        <f t="shared" si="4"/>
        <v>0.27975022263486293</v>
      </c>
      <c r="P6" s="8">
        <f t="shared" si="5"/>
        <v>-23.893836515748401</v>
      </c>
    </row>
    <row r="7" spans="1:16" x14ac:dyDescent="0.2">
      <c r="A7" s="8">
        <v>2.5</v>
      </c>
      <c r="B7" s="8">
        <v>5</v>
      </c>
      <c r="D7">
        <v>722.73518850987</v>
      </c>
      <c r="E7">
        <v>283.04847396768002</v>
      </c>
      <c r="F7">
        <v>127.15672306322</v>
      </c>
      <c r="G7">
        <v>111.38913624221</v>
      </c>
      <c r="I7" s="9">
        <f t="shared" si="1"/>
        <v>171.65933772547004</v>
      </c>
      <c r="J7" s="9">
        <f t="shared" si="2"/>
        <v>595.57846544664994</v>
      </c>
      <c r="K7" s="9">
        <f t="shared" si="3"/>
        <v>171.65933772547004</v>
      </c>
      <c r="L7" s="10">
        <f t="shared" si="0"/>
        <v>0.28822287521214407</v>
      </c>
      <c r="M7" s="10">
        <f t="shared" si="4"/>
        <v>0.29032056464231498</v>
      </c>
      <c r="P7" s="8">
        <f t="shared" si="5"/>
        <v>-21.018170611619311</v>
      </c>
    </row>
    <row r="8" spans="1:16" x14ac:dyDescent="0.2">
      <c r="A8" s="8">
        <v>3</v>
      </c>
      <c r="B8" s="8">
        <v>6</v>
      </c>
      <c r="D8">
        <v>863.74326750448995</v>
      </c>
      <c r="E8">
        <v>320.21903052064999</v>
      </c>
      <c r="F8">
        <v>127.47284060552001</v>
      </c>
      <c r="G8">
        <v>111.44256455922</v>
      </c>
      <c r="I8" s="9">
        <f t="shared" si="1"/>
        <v>208.77646596143001</v>
      </c>
      <c r="J8" s="9">
        <f t="shared" si="2"/>
        <v>736.27042689896996</v>
      </c>
      <c r="K8" s="9">
        <f t="shared" si="3"/>
        <v>208.77646596143001</v>
      </c>
      <c r="L8" s="10">
        <f t="shared" si="0"/>
        <v>0.28355948892413962</v>
      </c>
      <c r="M8" s="10">
        <f t="shared" si="4"/>
        <v>0.28607671624034475</v>
      </c>
      <c r="P8" s="8">
        <f t="shared" si="5"/>
        <v>-22.172711320258141</v>
      </c>
    </row>
    <row r="9" spans="1:16" x14ac:dyDescent="0.2">
      <c r="A9" s="8">
        <v>3.5</v>
      </c>
      <c r="B9" s="8">
        <v>7</v>
      </c>
      <c r="D9">
        <v>821.14901256733003</v>
      </c>
      <c r="E9">
        <v>311.66696588869002</v>
      </c>
      <c r="F9">
        <v>127.46749777382</v>
      </c>
      <c r="G9">
        <v>110.95369545859</v>
      </c>
      <c r="I9" s="9">
        <f t="shared" si="1"/>
        <v>200.71327043010001</v>
      </c>
      <c r="J9" s="9">
        <f t="shared" si="2"/>
        <v>693.68151479351002</v>
      </c>
      <c r="K9" s="9">
        <f t="shared" si="3"/>
        <v>200.71327043010001</v>
      </c>
      <c r="L9" s="10">
        <f t="shared" si="0"/>
        <v>0.2893449892345003</v>
      </c>
      <c r="M9" s="10">
        <f t="shared" si="4"/>
        <v>0.29228175443673959</v>
      </c>
      <c r="P9" s="8">
        <f t="shared" si="5"/>
        <v>-20.484628118918806</v>
      </c>
    </row>
    <row r="10" spans="1:16" x14ac:dyDescent="0.2">
      <c r="A10" s="8">
        <v>4</v>
      </c>
      <c r="B10" s="8">
        <v>8</v>
      </c>
      <c r="D10">
        <v>785.22800718132999</v>
      </c>
      <c r="E10">
        <v>310.39407540395001</v>
      </c>
      <c r="F10">
        <v>127.38735529831</v>
      </c>
      <c r="G10">
        <v>111.86286731968001</v>
      </c>
      <c r="I10" s="9">
        <f t="shared" si="1"/>
        <v>198.53120808427002</v>
      </c>
      <c r="J10" s="9">
        <f t="shared" si="2"/>
        <v>657.84065188301997</v>
      </c>
      <c r="K10" s="9">
        <f t="shared" si="3"/>
        <v>198.53120808427002</v>
      </c>
      <c r="L10" s="10">
        <f t="shared" si="0"/>
        <v>0.30179224636846202</v>
      </c>
      <c r="M10" s="10">
        <f t="shared" si="4"/>
        <v>0.30514854945673553</v>
      </c>
      <c r="P10" s="8">
        <f t="shared" si="5"/>
        <v>-16.98421122528045</v>
      </c>
    </row>
    <row r="11" spans="1:16" x14ac:dyDescent="0.2">
      <c r="A11" s="8">
        <v>4.5</v>
      </c>
      <c r="B11" s="8">
        <v>9</v>
      </c>
      <c r="D11">
        <v>724.54241877256004</v>
      </c>
      <c r="E11">
        <v>292.94043321300001</v>
      </c>
      <c r="F11">
        <v>127.28227960819</v>
      </c>
      <c r="G11">
        <v>111.51558325913</v>
      </c>
      <c r="I11" s="9">
        <f t="shared" si="1"/>
        <v>181.42484995387002</v>
      </c>
      <c r="J11" s="9">
        <f t="shared" si="2"/>
        <v>597.26013916437</v>
      </c>
      <c r="K11" s="9">
        <f t="shared" si="3"/>
        <v>181.42484995387002</v>
      </c>
      <c r="L11" s="10">
        <f t="shared" si="0"/>
        <v>0.30376185862278127</v>
      </c>
      <c r="M11" s="10">
        <f t="shared" si="4"/>
        <v>0.30753769959708893</v>
      </c>
      <c r="P11" s="8">
        <f t="shared" si="5"/>
        <v>-16.334241943906594</v>
      </c>
    </row>
    <row r="12" spans="1:16" x14ac:dyDescent="0.2">
      <c r="A12" s="8">
        <v>5</v>
      </c>
      <c r="B12" s="8">
        <v>10</v>
      </c>
      <c r="D12">
        <v>758.98646209386004</v>
      </c>
      <c r="E12">
        <v>295.87545126354001</v>
      </c>
      <c r="F12">
        <v>126.90917186109</v>
      </c>
      <c r="G12">
        <v>111.678539626</v>
      </c>
      <c r="I12" s="9">
        <f t="shared" si="1"/>
        <v>184.19691163754001</v>
      </c>
      <c r="J12" s="9">
        <f t="shared" si="2"/>
        <v>632.07729023277</v>
      </c>
      <c r="K12" s="9">
        <f t="shared" si="3"/>
        <v>184.19691163754001</v>
      </c>
      <c r="L12" s="10">
        <f t="shared" si="0"/>
        <v>0.29141517103028225</v>
      </c>
      <c r="M12" s="10">
        <f t="shared" si="4"/>
        <v>0.29561054989062413</v>
      </c>
      <c r="P12" s="8">
        <f t="shared" si="5"/>
        <v>-19.579027942329713</v>
      </c>
    </row>
    <row r="13" spans="1:16" x14ac:dyDescent="0.2">
      <c r="A13" s="8">
        <v>5.5</v>
      </c>
      <c r="B13" s="8">
        <v>11</v>
      </c>
      <c r="D13">
        <v>778.39873987399005</v>
      </c>
      <c r="E13">
        <v>300.70477047704998</v>
      </c>
      <c r="F13">
        <v>128.04541406946001</v>
      </c>
      <c r="G13">
        <v>111.54674977738</v>
      </c>
      <c r="I13" s="9">
        <f t="shared" si="1"/>
        <v>189.15802069966998</v>
      </c>
      <c r="J13" s="9">
        <f t="shared" si="2"/>
        <v>650.35332580453007</v>
      </c>
      <c r="K13" s="9">
        <f t="shared" si="3"/>
        <v>189.15802069966998</v>
      </c>
      <c r="L13" s="10">
        <f t="shared" si="0"/>
        <v>0.29085423752645378</v>
      </c>
      <c r="M13" s="10">
        <f t="shared" si="4"/>
        <v>0.29546915427282983</v>
      </c>
      <c r="P13" s="8">
        <f t="shared" si="5"/>
        <v>-19.617494678486189</v>
      </c>
    </row>
    <row r="14" spans="1:16" x14ac:dyDescent="0.2">
      <c r="A14" s="8">
        <v>6</v>
      </c>
      <c r="B14" s="8">
        <v>12</v>
      </c>
      <c r="D14">
        <v>737.41494149414996</v>
      </c>
      <c r="E14">
        <v>291.38973897390002</v>
      </c>
      <c r="F14">
        <v>127.59038290293999</v>
      </c>
      <c r="G14">
        <v>111.69545859305001</v>
      </c>
      <c r="I14" s="9">
        <f t="shared" si="1"/>
        <v>179.69428038085002</v>
      </c>
      <c r="J14" s="9">
        <f t="shared" si="2"/>
        <v>609.82455859121001</v>
      </c>
      <c r="K14" s="9">
        <f t="shared" si="3"/>
        <v>179.69428038085002</v>
      </c>
      <c r="L14" s="10">
        <f t="shared" si="0"/>
        <v>0.29466553593048445</v>
      </c>
      <c r="M14" s="10">
        <f t="shared" si="4"/>
        <v>0.2996999905628947</v>
      </c>
      <c r="P14" s="8">
        <f t="shared" si="5"/>
        <v>-18.466493920259609</v>
      </c>
    </row>
    <row r="15" spans="1:16" x14ac:dyDescent="0.2">
      <c r="A15" s="8">
        <v>6.5</v>
      </c>
      <c r="B15" s="8">
        <v>13</v>
      </c>
      <c r="D15">
        <v>761.94509450944997</v>
      </c>
      <c r="E15">
        <v>302.56165616561998</v>
      </c>
      <c r="F15">
        <v>127.77738201247</v>
      </c>
      <c r="G15">
        <v>111.6731967943</v>
      </c>
      <c r="I15" s="9">
        <f t="shared" si="1"/>
        <v>190.88845937131998</v>
      </c>
      <c r="J15" s="9">
        <f t="shared" si="2"/>
        <v>634.16771249698002</v>
      </c>
      <c r="K15" s="9">
        <f t="shared" si="3"/>
        <v>190.88845937131998</v>
      </c>
      <c r="L15" s="10">
        <f t="shared" si="0"/>
        <v>0.3010062726462584</v>
      </c>
      <c r="M15" s="10">
        <f t="shared" si="4"/>
        <v>0.30646026516470282</v>
      </c>
      <c r="P15" s="8">
        <f t="shared" si="5"/>
        <v>-16.627358425753929</v>
      </c>
    </row>
    <row r="16" spans="1:16" x14ac:dyDescent="0.2">
      <c r="A16" s="8">
        <v>7</v>
      </c>
      <c r="B16" s="8">
        <v>14</v>
      </c>
      <c r="D16">
        <v>752.67326732672996</v>
      </c>
      <c r="E16">
        <v>299.47254725472999</v>
      </c>
      <c r="F16">
        <v>127.48975957256999</v>
      </c>
      <c r="G16">
        <v>111.47195013357</v>
      </c>
      <c r="I16" s="9">
        <f t="shared" si="1"/>
        <v>188.00059712115998</v>
      </c>
      <c r="J16" s="9">
        <f t="shared" si="2"/>
        <v>625.18350775416002</v>
      </c>
      <c r="K16" s="9">
        <f t="shared" si="3"/>
        <v>188.00059712115998</v>
      </c>
      <c r="L16" s="10">
        <f t="shared" si="0"/>
        <v>0.30071266242532935</v>
      </c>
      <c r="M16" s="10">
        <f t="shared" si="4"/>
        <v>0.30658619282980798</v>
      </c>
      <c r="P16" s="8">
        <f t="shared" si="5"/>
        <v>-16.593099752508142</v>
      </c>
    </row>
    <row r="17" spans="1:16" x14ac:dyDescent="0.2">
      <c r="A17" s="8">
        <v>7.5</v>
      </c>
      <c r="B17" s="8">
        <v>15</v>
      </c>
      <c r="D17">
        <v>740.25358422938996</v>
      </c>
      <c r="E17">
        <v>299.20788530466001</v>
      </c>
      <c r="F17">
        <v>127.91362422084001</v>
      </c>
      <c r="G17">
        <v>111.39804096171</v>
      </c>
      <c r="I17" s="9">
        <f t="shared" si="1"/>
        <v>187.80984434295002</v>
      </c>
      <c r="J17" s="9">
        <f t="shared" si="2"/>
        <v>612.33996000854995</v>
      </c>
      <c r="K17" s="9">
        <f t="shared" si="3"/>
        <v>187.80984434295002</v>
      </c>
      <c r="L17" s="10">
        <f t="shared" si="0"/>
        <v>0.30670845708048788</v>
      </c>
      <c r="M17" s="10">
        <f t="shared" si="4"/>
        <v>0.31300152537100068</v>
      </c>
      <c r="P17" s="8">
        <f t="shared" si="5"/>
        <v>-14.847805887905496</v>
      </c>
    </row>
    <row r="18" spans="1:16" x14ac:dyDescent="0.2">
      <c r="A18" s="8">
        <v>8</v>
      </c>
      <c r="B18" s="8">
        <v>16</v>
      </c>
      <c r="D18">
        <v>697.84677419355</v>
      </c>
      <c r="E18">
        <v>290.3835125448</v>
      </c>
      <c r="F18">
        <v>127.25378450578999</v>
      </c>
      <c r="G18">
        <v>111.65983971505</v>
      </c>
      <c r="I18" s="9">
        <f t="shared" si="1"/>
        <v>178.72367282975</v>
      </c>
      <c r="J18" s="9">
        <f t="shared" si="2"/>
        <v>570.59298968776</v>
      </c>
      <c r="K18" s="9">
        <f t="shared" si="3"/>
        <v>178.72367282975</v>
      </c>
      <c r="L18" s="10">
        <f t="shared" si="0"/>
        <v>0.31322444555014811</v>
      </c>
      <c r="M18" s="10">
        <f t="shared" si="4"/>
        <v>0.31993705172669512</v>
      </c>
      <c r="P18" s="8">
        <f t="shared" si="5"/>
        <v>-12.960993081451496</v>
      </c>
    </row>
    <row r="19" spans="1:16" x14ac:dyDescent="0.2">
      <c r="A19" s="8">
        <v>8.5</v>
      </c>
      <c r="B19" s="8">
        <v>17</v>
      </c>
      <c r="D19">
        <v>748.82706093189995</v>
      </c>
      <c r="E19">
        <v>308.23297491039</v>
      </c>
      <c r="F19">
        <v>127.97239536955</v>
      </c>
      <c r="G19">
        <v>111.75690115761</v>
      </c>
      <c r="I19" s="9">
        <f t="shared" si="1"/>
        <v>196.47607375278</v>
      </c>
      <c r="J19" s="9">
        <f t="shared" si="2"/>
        <v>620.85466556234996</v>
      </c>
      <c r="K19" s="9">
        <f t="shared" si="3"/>
        <v>196.47607375278</v>
      </c>
      <c r="L19" s="10">
        <f t="shared" si="0"/>
        <v>0.31646065440261828</v>
      </c>
      <c r="M19" s="10">
        <f t="shared" si="4"/>
        <v>0.32359279846519945</v>
      </c>
      <c r="P19" s="8">
        <f t="shared" si="5"/>
        <v>-11.966445672991428</v>
      </c>
    </row>
    <row r="20" spans="1:16" x14ac:dyDescent="0.2">
      <c r="A20" s="8">
        <v>9</v>
      </c>
      <c r="B20" s="8">
        <v>18</v>
      </c>
      <c r="D20">
        <v>742.80555555555998</v>
      </c>
      <c r="E20">
        <v>304.68010752688002</v>
      </c>
      <c r="F20">
        <v>127.42119323241</v>
      </c>
      <c r="G20">
        <v>111.77827248442</v>
      </c>
      <c r="I20" s="9">
        <f t="shared" si="1"/>
        <v>192.90183504246002</v>
      </c>
      <c r="J20" s="9">
        <f t="shared" si="2"/>
        <v>615.38436232314996</v>
      </c>
      <c r="K20" s="9">
        <f t="shared" si="3"/>
        <v>192.90183504246002</v>
      </c>
      <c r="L20" s="10">
        <f t="shared" si="0"/>
        <v>0.31346561084885616</v>
      </c>
      <c r="M20" s="10">
        <f t="shared" si="4"/>
        <v>0.32101729279747154</v>
      </c>
      <c r="P20" s="8">
        <f t="shared" si="5"/>
        <v>-12.667113052472146</v>
      </c>
    </row>
    <row r="21" spans="1:16" x14ac:dyDescent="0.2">
      <c r="A21" s="8">
        <v>9.5</v>
      </c>
      <c r="B21" s="8">
        <v>19</v>
      </c>
      <c r="D21">
        <v>725.25985663081997</v>
      </c>
      <c r="E21">
        <v>301.25268817204</v>
      </c>
      <c r="F21">
        <v>127.88958147818001</v>
      </c>
      <c r="G21">
        <v>111.70169189671</v>
      </c>
      <c r="I21" s="9">
        <f t="shared" si="1"/>
        <v>189.55099627532999</v>
      </c>
      <c r="J21" s="9">
        <f t="shared" si="2"/>
        <v>597.37027515263992</v>
      </c>
      <c r="K21" s="9">
        <f t="shared" si="3"/>
        <v>189.55099627532999</v>
      </c>
      <c r="L21" s="10">
        <f t="shared" si="0"/>
        <v>0.31730905296032008</v>
      </c>
      <c r="M21" s="10">
        <f t="shared" si="4"/>
        <v>0.32528027279496963</v>
      </c>
      <c r="P21" s="8">
        <f t="shared" si="5"/>
        <v>-11.507367585376844</v>
      </c>
    </row>
    <row r="22" spans="1:16" x14ac:dyDescent="0.2">
      <c r="A22" s="8">
        <v>10</v>
      </c>
      <c r="B22" s="8">
        <v>20</v>
      </c>
      <c r="D22">
        <v>747.44265232974999</v>
      </c>
      <c r="E22">
        <v>307.25985663082002</v>
      </c>
      <c r="F22">
        <v>127.6340160285</v>
      </c>
      <c r="G22">
        <v>111.94746215494</v>
      </c>
      <c r="I22" s="9">
        <f t="shared" si="1"/>
        <v>195.31239447588001</v>
      </c>
      <c r="J22" s="9">
        <f t="shared" si="2"/>
        <v>619.80863630124998</v>
      </c>
      <c r="K22" s="9">
        <f t="shared" si="3"/>
        <v>195.31239447588001</v>
      </c>
      <c r="L22" s="10">
        <f t="shared" si="0"/>
        <v>0.31511725238521998</v>
      </c>
      <c r="M22" s="10">
        <f t="shared" si="4"/>
        <v>0.32350801010590374</v>
      </c>
      <c r="P22" s="8">
        <f t="shared" si="5"/>
        <v>-11.989512381118924</v>
      </c>
    </row>
    <row r="23" spans="1:16" x14ac:dyDescent="0.2">
      <c r="A23" s="8">
        <v>10.5</v>
      </c>
      <c r="B23" s="8">
        <v>21</v>
      </c>
      <c r="D23">
        <v>737.55824372760003</v>
      </c>
      <c r="E23">
        <v>303.24283154122003</v>
      </c>
      <c r="F23">
        <v>128.51024042743001</v>
      </c>
      <c r="G23">
        <v>111.95725734638999</v>
      </c>
      <c r="I23" s="9">
        <f t="shared" si="1"/>
        <v>191.28557419483002</v>
      </c>
      <c r="J23" s="9">
        <f t="shared" si="2"/>
        <v>609.04800330016997</v>
      </c>
      <c r="K23" s="9">
        <f t="shared" si="3"/>
        <v>191.28557419483002</v>
      </c>
      <c r="L23" s="10">
        <f t="shared" si="0"/>
        <v>0.31407306675062641</v>
      </c>
      <c r="M23" s="10">
        <f t="shared" si="4"/>
        <v>0.32288336235734433</v>
      </c>
      <c r="P23" s="8">
        <f t="shared" si="5"/>
        <v>-12.159448058825184</v>
      </c>
    </row>
    <row r="24" spans="1:16" x14ac:dyDescent="0.2">
      <c r="A24" s="8">
        <v>11</v>
      </c>
      <c r="B24" s="8">
        <v>22</v>
      </c>
      <c r="D24">
        <v>735.24616771866999</v>
      </c>
      <c r="E24">
        <v>300.70874661857999</v>
      </c>
      <c r="F24">
        <v>128.10062333037001</v>
      </c>
      <c r="G24">
        <v>112.01335707925</v>
      </c>
      <c r="I24" s="9">
        <f t="shared" si="1"/>
        <v>188.69538953932999</v>
      </c>
      <c r="J24" s="9">
        <f t="shared" si="2"/>
        <v>607.14554438829998</v>
      </c>
      <c r="K24" s="9">
        <f t="shared" si="3"/>
        <v>188.69538953932999</v>
      </c>
      <c r="L24" s="10">
        <f t="shared" si="0"/>
        <v>0.31079103072302189</v>
      </c>
      <c r="M24" s="10">
        <f t="shared" si="4"/>
        <v>0.32002086421577403</v>
      </c>
      <c r="P24" s="8">
        <f t="shared" si="5"/>
        <v>-12.938191859219096</v>
      </c>
    </row>
    <row r="25" spans="1:16" x14ac:dyDescent="0.2">
      <c r="A25" s="8">
        <v>11.5</v>
      </c>
      <c r="B25" s="8">
        <v>23</v>
      </c>
      <c r="D25">
        <v>708.54553651939</v>
      </c>
      <c r="E25">
        <v>293.55906221821999</v>
      </c>
      <c r="F25">
        <v>128.26447016918999</v>
      </c>
      <c r="G25">
        <v>112.04007123776</v>
      </c>
      <c r="I25" s="9">
        <f t="shared" si="1"/>
        <v>181.51899098045999</v>
      </c>
      <c r="J25" s="9">
        <f t="shared" si="2"/>
        <v>580.28106635020004</v>
      </c>
      <c r="K25" s="9">
        <f t="shared" si="3"/>
        <v>181.51899098045999</v>
      </c>
      <c r="L25" s="10">
        <f t="shared" si="0"/>
        <v>0.31281218965519919</v>
      </c>
      <c r="M25" s="10">
        <f t="shared" si="4"/>
        <v>0.32246156103398549</v>
      </c>
      <c r="P25" s="8">
        <f t="shared" si="5"/>
        <v>-12.274199282867359</v>
      </c>
    </row>
    <row r="26" spans="1:16" x14ac:dyDescent="0.2">
      <c r="A26" s="8">
        <v>12</v>
      </c>
      <c r="B26" s="8">
        <v>24</v>
      </c>
      <c r="D26">
        <v>683.51397655545998</v>
      </c>
      <c r="E26">
        <v>289.51397655545998</v>
      </c>
      <c r="F26">
        <v>128.46304541407</v>
      </c>
      <c r="G26">
        <v>111.84861976848001</v>
      </c>
      <c r="I26" s="9">
        <f t="shared" si="1"/>
        <v>177.66535678697997</v>
      </c>
      <c r="J26" s="9">
        <f t="shared" si="2"/>
        <v>555.05093114139004</v>
      </c>
      <c r="K26" s="9">
        <f t="shared" si="3"/>
        <v>177.66535678697997</v>
      </c>
      <c r="L26" s="10">
        <f t="shared" si="0"/>
        <v>0.32008838616239105</v>
      </c>
      <c r="M26" s="10">
        <f t="shared" si="4"/>
        <v>0.33015729542721156</v>
      </c>
      <c r="P26" s="8">
        <f t="shared" si="5"/>
        <v>-10.180571566164156</v>
      </c>
    </row>
    <row r="27" spans="1:16" x14ac:dyDescent="0.2">
      <c r="A27" s="8">
        <v>12.5</v>
      </c>
      <c r="B27" s="8">
        <v>25</v>
      </c>
      <c r="D27">
        <v>666.30997304582002</v>
      </c>
      <c r="E27">
        <v>287.93530997304998</v>
      </c>
      <c r="F27">
        <v>128.06589492430999</v>
      </c>
      <c r="G27">
        <v>112.07658058771</v>
      </c>
      <c r="I27" s="9">
        <f t="shared" si="1"/>
        <v>175.85872938533998</v>
      </c>
      <c r="J27" s="9">
        <f t="shared" si="2"/>
        <v>538.24407812151003</v>
      </c>
      <c r="K27" s="9">
        <f t="shared" si="3"/>
        <v>175.85872938533998</v>
      </c>
      <c r="L27" s="10">
        <f t="shared" si="0"/>
        <v>0.32672673334204227</v>
      </c>
      <c r="M27" s="10">
        <f t="shared" si="4"/>
        <v>0.33721518049289695</v>
      </c>
      <c r="P27" s="8">
        <f t="shared" si="5"/>
        <v>-8.2604710221756346</v>
      </c>
    </row>
    <row r="28" spans="1:16" x14ac:dyDescent="0.2">
      <c r="A28" s="8">
        <v>13</v>
      </c>
      <c r="B28" s="8">
        <v>26</v>
      </c>
      <c r="D28">
        <v>600.37286612757998</v>
      </c>
      <c r="E28">
        <v>274.50673854447001</v>
      </c>
      <c r="F28">
        <v>128.04541406946001</v>
      </c>
      <c r="G28">
        <v>112.0231522707</v>
      </c>
      <c r="I28" s="9">
        <f t="shared" si="1"/>
        <v>162.48358627377002</v>
      </c>
      <c r="J28" s="9">
        <f t="shared" si="2"/>
        <v>472.32745205812</v>
      </c>
      <c r="K28" s="9">
        <f t="shared" si="3"/>
        <v>162.48358627377002</v>
      </c>
      <c r="L28" s="10">
        <f t="shared" si="0"/>
        <v>0.34400623035092265</v>
      </c>
      <c r="M28" s="10">
        <f t="shared" si="4"/>
        <v>0.35491421538781154</v>
      </c>
      <c r="P28" s="8">
        <f t="shared" si="5"/>
        <v>-3.4454412769303935</v>
      </c>
    </row>
    <row r="29" spans="1:16" x14ac:dyDescent="0.2">
      <c r="A29" s="8">
        <v>13.5</v>
      </c>
      <c r="B29" s="8">
        <v>27</v>
      </c>
      <c r="D29">
        <v>604.33333333332996</v>
      </c>
      <c r="E29">
        <v>276.57681940701002</v>
      </c>
      <c r="F29">
        <v>128.55298308102999</v>
      </c>
      <c r="G29">
        <v>111.80231522707</v>
      </c>
      <c r="I29" s="9">
        <f t="shared" si="1"/>
        <v>164.77450417994004</v>
      </c>
      <c r="J29" s="9">
        <f t="shared" si="2"/>
        <v>475.78035025229997</v>
      </c>
      <c r="K29" s="9">
        <f t="shared" si="3"/>
        <v>164.77450417994004</v>
      </c>
      <c r="L29" s="10">
        <f t="shared" si="0"/>
        <v>0.34632473596810442</v>
      </c>
      <c r="M29" s="10">
        <f t="shared" si="4"/>
        <v>0.35765225889102747</v>
      </c>
      <c r="P29" s="8">
        <f t="shared" si="5"/>
        <v>-2.7005554122469881</v>
      </c>
    </row>
    <row r="30" spans="1:16" x14ac:dyDescent="0.2">
      <c r="A30" s="8">
        <v>14</v>
      </c>
      <c r="B30" s="8">
        <v>28</v>
      </c>
      <c r="D30">
        <v>644.61635220126004</v>
      </c>
      <c r="E30">
        <v>288.10422282119998</v>
      </c>
      <c r="F30">
        <v>128.39002671416</v>
      </c>
      <c r="G30">
        <v>111.69545859305001</v>
      </c>
      <c r="I30" s="9">
        <f t="shared" si="1"/>
        <v>176.40876422814998</v>
      </c>
      <c r="J30" s="9">
        <f t="shared" si="2"/>
        <v>516.22632548709998</v>
      </c>
      <c r="K30" s="9">
        <f t="shared" si="3"/>
        <v>176.40876422814998</v>
      </c>
      <c r="L30" s="10">
        <f t="shared" si="0"/>
        <v>0.34172756312203661</v>
      </c>
      <c r="M30" s="10">
        <f t="shared" si="4"/>
        <v>0.35347462393099388</v>
      </c>
      <c r="P30" s="8">
        <f t="shared" si="5"/>
        <v>-3.8370827266893075</v>
      </c>
    </row>
    <row r="31" spans="1:16" x14ac:dyDescent="0.2">
      <c r="A31" s="8">
        <v>14.5</v>
      </c>
      <c r="B31" s="8">
        <v>29</v>
      </c>
      <c r="D31">
        <v>604.79260595130995</v>
      </c>
      <c r="E31">
        <v>278.68620378719999</v>
      </c>
      <c r="F31">
        <v>128.51825467498</v>
      </c>
      <c r="G31">
        <v>112.0160284951</v>
      </c>
      <c r="I31" s="9">
        <f t="shared" si="1"/>
        <v>166.6701752921</v>
      </c>
      <c r="J31" s="9">
        <f t="shared" si="2"/>
        <v>476.27435127632998</v>
      </c>
      <c r="K31" s="9">
        <f t="shared" si="3"/>
        <v>166.6701752921</v>
      </c>
      <c r="L31" s="10">
        <f t="shared" si="0"/>
        <v>0.34994572948439018</v>
      </c>
      <c r="M31" s="10">
        <f t="shared" si="4"/>
        <v>0.3621123281793816</v>
      </c>
      <c r="P31" s="8">
        <f t="shared" si="5"/>
        <v>-1.4871917222612501</v>
      </c>
    </row>
    <row r="32" spans="1:16" x14ac:dyDescent="0.2">
      <c r="A32" s="8">
        <v>15</v>
      </c>
      <c r="B32" s="8">
        <v>30</v>
      </c>
      <c r="D32">
        <v>677.92515779982</v>
      </c>
      <c r="E32">
        <v>300.24797114517997</v>
      </c>
      <c r="F32">
        <v>128.63223508460001</v>
      </c>
      <c r="G32">
        <v>111.97773820125001</v>
      </c>
      <c r="I32" s="9">
        <f t="shared" si="1"/>
        <v>188.27023294392995</v>
      </c>
      <c r="J32" s="9">
        <f t="shared" si="2"/>
        <v>549.29292271522002</v>
      </c>
      <c r="K32" s="9">
        <f t="shared" si="3"/>
        <v>188.27023294392995</v>
      </c>
      <c r="L32" s="10">
        <f t="shared" si="0"/>
        <v>0.34275015234729017</v>
      </c>
      <c r="M32" s="10">
        <f t="shared" si="4"/>
        <v>0.35533628892831581</v>
      </c>
      <c r="P32" s="8">
        <f t="shared" si="5"/>
        <v>-3.3306159961014945</v>
      </c>
    </row>
    <row r="33" spans="1:16" x14ac:dyDescent="0.2">
      <c r="A33" s="8">
        <v>15.5</v>
      </c>
      <c r="B33" s="8">
        <v>31</v>
      </c>
      <c r="D33">
        <v>682.50900900901001</v>
      </c>
      <c r="E33">
        <v>301.83153153153</v>
      </c>
      <c r="F33">
        <v>128.80142475512</v>
      </c>
      <c r="G33">
        <v>112.22974176312999</v>
      </c>
      <c r="I33" s="9">
        <f t="shared" si="1"/>
        <v>189.60178976840001</v>
      </c>
      <c r="J33" s="9">
        <f t="shared" si="2"/>
        <v>553.70758425388999</v>
      </c>
      <c r="K33" s="9">
        <f t="shared" si="3"/>
        <v>189.60178976840001</v>
      </c>
      <c r="L33" s="10">
        <f t="shared" si="0"/>
        <v>0.34242223722451748</v>
      </c>
      <c r="M33" s="10">
        <f t="shared" si="4"/>
        <v>0.35542791169157728</v>
      </c>
      <c r="P33" s="8">
        <f t="shared" si="5"/>
        <v>-3.3056899855554454</v>
      </c>
    </row>
    <row r="34" spans="1:16" x14ac:dyDescent="0.2">
      <c r="A34" s="8">
        <v>16</v>
      </c>
      <c r="B34" s="8">
        <v>32</v>
      </c>
      <c r="D34">
        <v>671.12252252251994</v>
      </c>
      <c r="E34">
        <v>296.78018018018003</v>
      </c>
      <c r="F34">
        <v>128.81834372217</v>
      </c>
      <c r="G34">
        <v>111.92965271593999</v>
      </c>
      <c r="I34" s="9">
        <f t="shared" si="1"/>
        <v>184.85052746424003</v>
      </c>
      <c r="J34" s="9">
        <f t="shared" si="2"/>
        <v>542.30417880034997</v>
      </c>
      <c r="K34" s="9">
        <f t="shared" si="3"/>
        <v>184.85052746424003</v>
      </c>
      <c r="L34" s="10">
        <f t="shared" si="0"/>
        <v>0.34086133703257521</v>
      </c>
      <c r="M34" s="10">
        <f t="shared" si="4"/>
        <v>0.35428654938566922</v>
      </c>
      <c r="P34" s="8">
        <f t="shared" si="5"/>
        <v>-3.6161980717691207</v>
      </c>
    </row>
    <row r="35" spans="1:16" x14ac:dyDescent="0.2">
      <c r="A35" s="8">
        <v>16.5</v>
      </c>
      <c r="B35" s="8">
        <v>33</v>
      </c>
      <c r="D35">
        <v>678.05045045044994</v>
      </c>
      <c r="E35">
        <v>298.03963963963997</v>
      </c>
      <c r="F35">
        <v>128.79341050757</v>
      </c>
      <c r="G35">
        <v>112.27248441674</v>
      </c>
      <c r="I35" s="9">
        <f t="shared" si="1"/>
        <v>185.76715522289999</v>
      </c>
      <c r="J35" s="9">
        <f t="shared" si="2"/>
        <v>549.25703994287994</v>
      </c>
      <c r="K35" s="9">
        <f t="shared" si="3"/>
        <v>185.76715522289999</v>
      </c>
      <c r="L35" s="10">
        <f t="shared" si="0"/>
        <v>0.33821533765360362</v>
      </c>
      <c r="M35" s="10">
        <f t="shared" si="4"/>
        <v>0.3520600878927318</v>
      </c>
      <c r="P35" s="8">
        <f t="shared" si="5"/>
        <v>-4.2219078394930731</v>
      </c>
    </row>
    <row r="36" spans="1:16" x14ac:dyDescent="0.2">
      <c r="A36" s="8">
        <v>17</v>
      </c>
      <c r="B36" s="8">
        <v>34</v>
      </c>
      <c r="D36">
        <v>667.90090090089996</v>
      </c>
      <c r="E36">
        <v>294.24504504505001</v>
      </c>
      <c r="F36">
        <v>128.45592163846999</v>
      </c>
      <c r="G36">
        <v>112.10240427427</v>
      </c>
      <c r="I36" s="9">
        <f t="shared" si="1"/>
        <v>182.14264077078002</v>
      </c>
      <c r="J36" s="9">
        <f t="shared" si="2"/>
        <v>539.44497926243002</v>
      </c>
      <c r="K36" s="9">
        <f t="shared" si="3"/>
        <v>182.14264077078002</v>
      </c>
      <c r="L36" s="10">
        <f t="shared" si="0"/>
        <v>0.33764822692356727</v>
      </c>
      <c r="M36" s="10">
        <f t="shared" si="4"/>
        <v>0.35191251504872967</v>
      </c>
      <c r="P36" s="8">
        <f t="shared" si="5"/>
        <v>-4.2620550925879215</v>
      </c>
    </row>
    <row r="37" spans="1:16" x14ac:dyDescent="0.2">
      <c r="A37" s="8">
        <v>17.5</v>
      </c>
      <c r="B37" s="8">
        <v>35</v>
      </c>
      <c r="D37">
        <v>711.64234234234004</v>
      </c>
      <c r="E37">
        <v>307.55135135134998</v>
      </c>
      <c r="F37">
        <v>128.95102404273999</v>
      </c>
      <c r="G37">
        <v>112.13000890472</v>
      </c>
      <c r="I37" s="9">
        <f t="shared" si="1"/>
        <v>195.42134244662998</v>
      </c>
      <c r="J37" s="9">
        <f t="shared" si="2"/>
        <v>582.69131829960008</v>
      </c>
      <c r="K37" s="9">
        <f t="shared" si="3"/>
        <v>195.42134244662998</v>
      </c>
      <c r="L37" s="10">
        <f t="shared" si="0"/>
        <v>0.33537713075407616</v>
      </c>
      <c r="M37" s="10">
        <f t="shared" si="4"/>
        <v>0.35006095676527271</v>
      </c>
      <c r="P37" s="8">
        <f t="shared" si="5"/>
        <v>-4.7657722874990442</v>
      </c>
    </row>
    <row r="38" spans="1:16" x14ac:dyDescent="0.2">
      <c r="A38" s="8">
        <v>18</v>
      </c>
      <c r="B38" s="8">
        <v>36</v>
      </c>
      <c r="D38">
        <v>726.67747747748001</v>
      </c>
      <c r="E38">
        <v>311.52702702702999</v>
      </c>
      <c r="F38">
        <v>129.0035618878</v>
      </c>
      <c r="G38">
        <v>112.10685663402001</v>
      </c>
      <c r="I38" s="9">
        <f t="shared" si="1"/>
        <v>199.42017039300998</v>
      </c>
      <c r="J38" s="9">
        <f t="shared" si="2"/>
        <v>597.67391558968006</v>
      </c>
      <c r="K38" s="9">
        <f t="shared" si="3"/>
        <v>199.42017039300998</v>
      </c>
      <c r="L38" s="10">
        <f t="shared" si="0"/>
        <v>0.33366048808781801</v>
      </c>
      <c r="M38" s="10">
        <f t="shared" si="4"/>
        <v>0.34876385198504878</v>
      </c>
      <c r="P38" s="8">
        <f t="shared" si="5"/>
        <v>-5.1186501781049643</v>
      </c>
    </row>
    <row r="39" spans="1:16" x14ac:dyDescent="0.2">
      <c r="A39" s="8">
        <v>18.5</v>
      </c>
      <c r="B39" s="8">
        <v>37</v>
      </c>
      <c r="D39">
        <v>709.97387387387005</v>
      </c>
      <c r="E39">
        <v>308.33513513513998</v>
      </c>
      <c r="F39">
        <v>128.91184327694</v>
      </c>
      <c r="G39">
        <v>112.65716829919999</v>
      </c>
      <c r="I39" s="9">
        <f t="shared" si="1"/>
        <v>195.67796683593997</v>
      </c>
      <c r="J39" s="9">
        <f t="shared" si="2"/>
        <v>581.06203059693007</v>
      </c>
      <c r="K39" s="9">
        <f t="shared" si="3"/>
        <v>195.67796683593997</v>
      </c>
      <c r="L39" s="10">
        <f t="shared" si="0"/>
        <v>0.33675916947269519</v>
      </c>
      <c r="M39" s="10">
        <f t="shared" si="4"/>
        <v>0.35228207125596012</v>
      </c>
      <c r="P39" s="8">
        <f t="shared" si="5"/>
        <v>-4.1615171739432215</v>
      </c>
    </row>
    <row r="40" spans="1:16" x14ac:dyDescent="0.2">
      <c r="A40" s="8">
        <v>19</v>
      </c>
      <c r="B40" s="8">
        <v>38</v>
      </c>
      <c r="D40">
        <v>711.88378378378002</v>
      </c>
      <c r="E40">
        <v>309.16306306306001</v>
      </c>
      <c r="F40">
        <v>128.66429207479999</v>
      </c>
      <c r="G40">
        <v>112.09171861086</v>
      </c>
      <c r="I40" s="9">
        <f t="shared" si="1"/>
        <v>197.07134445220001</v>
      </c>
      <c r="J40" s="9">
        <f t="shared" si="2"/>
        <v>583.21949170898006</v>
      </c>
      <c r="K40" s="9">
        <f t="shared" si="3"/>
        <v>197.07134445220001</v>
      </c>
      <c r="L40" s="10">
        <f t="shared" si="0"/>
        <v>0.33790253455818375</v>
      </c>
      <c r="M40" s="10">
        <f t="shared" si="4"/>
        <v>0.3538449742274829</v>
      </c>
      <c r="P40" s="8">
        <f t="shared" si="5"/>
        <v>-3.7363287757341963</v>
      </c>
    </row>
    <row r="41" spans="1:16" x14ac:dyDescent="0.2">
      <c r="A41" s="8">
        <v>19.5</v>
      </c>
      <c r="B41" s="8">
        <v>39</v>
      </c>
      <c r="D41">
        <v>722.78018018017997</v>
      </c>
      <c r="E41">
        <v>308.57207207207</v>
      </c>
      <c r="F41">
        <v>129.10685663402001</v>
      </c>
      <c r="G41">
        <v>112.3125556545</v>
      </c>
      <c r="I41" s="9">
        <f t="shared" si="1"/>
        <v>196.25951641757001</v>
      </c>
      <c r="J41" s="9">
        <f t="shared" si="2"/>
        <v>593.67332354615996</v>
      </c>
      <c r="K41" s="9">
        <f t="shared" si="3"/>
        <v>196.25951641757001</v>
      </c>
      <c r="L41" s="10">
        <f t="shared" si="0"/>
        <v>0.330585034957041</v>
      </c>
      <c r="M41" s="10">
        <f t="shared" si="4"/>
        <v>0.34694701251237431</v>
      </c>
      <c r="P41" s="8">
        <f t="shared" si="5"/>
        <v>-5.6129221062187868</v>
      </c>
    </row>
    <row r="42" spans="1:16" x14ac:dyDescent="0.2">
      <c r="A42" s="8">
        <v>20</v>
      </c>
      <c r="B42" s="8">
        <v>40</v>
      </c>
      <c r="D42">
        <v>692.08407871198995</v>
      </c>
      <c r="E42">
        <v>299.07155635062998</v>
      </c>
      <c r="F42">
        <v>129.19145146928</v>
      </c>
      <c r="G42">
        <v>112.45592163847</v>
      </c>
      <c r="I42" s="9">
        <f t="shared" si="1"/>
        <v>186.61563471215999</v>
      </c>
      <c r="J42" s="9">
        <f t="shared" si="2"/>
        <v>562.89262724270998</v>
      </c>
      <c r="K42" s="9">
        <f t="shared" si="3"/>
        <v>186.61563471215999</v>
      </c>
      <c r="L42" s="10">
        <f t="shared" si="0"/>
        <v>0.33152971931127179</v>
      </c>
      <c r="M42" s="10">
        <f t="shared" si="4"/>
        <v>0.34831123475263931</v>
      </c>
      <c r="P42" s="8">
        <f t="shared" si="5"/>
        <v>-5.2417848829180702</v>
      </c>
    </row>
    <row r="43" spans="1:16" x14ac:dyDescent="0.2">
      <c r="A43" s="8">
        <v>20.5</v>
      </c>
      <c r="B43" s="8">
        <v>41</v>
      </c>
      <c r="D43">
        <v>702.24865831842999</v>
      </c>
      <c r="E43">
        <v>302.00447227191</v>
      </c>
      <c r="F43">
        <v>129.05966162065999</v>
      </c>
      <c r="G43">
        <v>112.51291184327999</v>
      </c>
      <c r="I43" s="9">
        <f t="shared" si="1"/>
        <v>189.49156042863001</v>
      </c>
      <c r="J43" s="9">
        <f t="shared" si="2"/>
        <v>573.18899669776999</v>
      </c>
      <c r="K43" s="9">
        <f t="shared" si="3"/>
        <v>189.49156042863001</v>
      </c>
      <c r="L43" s="10">
        <f t="shared" si="0"/>
        <v>0.33059176208950286</v>
      </c>
      <c r="M43" s="10">
        <f t="shared" si="4"/>
        <v>0.34779281541690454</v>
      </c>
      <c r="P43" s="8">
        <f t="shared" si="5"/>
        <v>-5.3828210770887708</v>
      </c>
    </row>
    <row r="44" spans="1:16" x14ac:dyDescent="0.2">
      <c r="A44" s="8">
        <v>21</v>
      </c>
      <c r="B44" s="8">
        <v>42</v>
      </c>
      <c r="D44">
        <v>694.21466905188004</v>
      </c>
      <c r="E44">
        <v>299.79069767442002</v>
      </c>
      <c r="F44">
        <v>128.96527159395001</v>
      </c>
      <c r="G44">
        <v>112.71059661621</v>
      </c>
      <c r="I44" s="9">
        <f t="shared" si="1"/>
        <v>187.08010105821</v>
      </c>
      <c r="J44" s="9">
        <f t="shared" si="2"/>
        <v>565.24939745793006</v>
      </c>
      <c r="K44" s="9">
        <f t="shared" si="3"/>
        <v>187.08010105821</v>
      </c>
      <c r="L44" s="10">
        <f t="shared" si="0"/>
        <v>0.33096912955512503</v>
      </c>
      <c r="M44" s="10">
        <f t="shared" si="4"/>
        <v>0.34858972076856093</v>
      </c>
      <c r="P44" s="8">
        <f t="shared" si="5"/>
        <v>-5.1660226473917294</v>
      </c>
    </row>
    <row r="45" spans="1:16" x14ac:dyDescent="0.2">
      <c r="A45" s="8">
        <v>21.5</v>
      </c>
      <c r="B45" s="8">
        <v>43</v>
      </c>
      <c r="D45">
        <v>617.95421903051999</v>
      </c>
      <c r="E45">
        <v>276.23518850987</v>
      </c>
      <c r="F45">
        <v>128.82457702581999</v>
      </c>
      <c r="G45">
        <v>112.80231522707</v>
      </c>
      <c r="I45" s="9">
        <f t="shared" si="1"/>
        <v>163.43287328280002</v>
      </c>
      <c r="J45" s="9">
        <f t="shared" si="2"/>
        <v>489.12964200470003</v>
      </c>
      <c r="K45" s="9">
        <f t="shared" si="3"/>
        <v>163.43287328280002</v>
      </c>
      <c r="L45" s="10">
        <f t="shared" si="0"/>
        <v>0.33412997137726036</v>
      </c>
      <c r="M45" s="10">
        <f t="shared" si="4"/>
        <v>0.35217010047673042</v>
      </c>
      <c r="P45" s="8">
        <f t="shared" si="5"/>
        <v>-4.1919788706284002</v>
      </c>
    </row>
    <row r="46" spans="1:16" x14ac:dyDescent="0.2">
      <c r="A46" s="8">
        <v>22</v>
      </c>
      <c r="B46" s="8">
        <v>44</v>
      </c>
      <c r="D46">
        <v>645.17324955116999</v>
      </c>
      <c r="E46">
        <v>282.96319569119999</v>
      </c>
      <c r="F46">
        <v>128.98753339269999</v>
      </c>
      <c r="G46">
        <v>112.71059661621</v>
      </c>
      <c r="I46" s="9">
        <f t="shared" si="1"/>
        <v>170.25259907498997</v>
      </c>
      <c r="J46" s="9">
        <f t="shared" si="2"/>
        <v>516.18571615846997</v>
      </c>
      <c r="K46" s="9">
        <f t="shared" si="3"/>
        <v>170.25259907498997</v>
      </c>
      <c r="L46" s="10">
        <f t="shared" si="0"/>
        <v>0.32982818730830998</v>
      </c>
      <c r="M46" s="10">
        <f t="shared" si="4"/>
        <v>0.34828785429381426</v>
      </c>
      <c r="P46" s="8">
        <f t="shared" si="5"/>
        <v>-5.2481455463874918</v>
      </c>
    </row>
    <row r="47" spans="1:16" x14ac:dyDescent="0.2">
      <c r="A47" s="8">
        <v>22.5</v>
      </c>
      <c r="B47" s="8">
        <v>45</v>
      </c>
      <c r="D47">
        <v>678.62702702702995</v>
      </c>
      <c r="E47">
        <v>288.44774774774999</v>
      </c>
      <c r="F47">
        <v>129.10418521816999</v>
      </c>
      <c r="G47">
        <v>112.25734639359</v>
      </c>
      <c r="I47" s="9">
        <f t="shared" si="1"/>
        <v>176.19040135415997</v>
      </c>
      <c r="J47" s="9">
        <f t="shared" si="2"/>
        <v>549.52284180885999</v>
      </c>
      <c r="K47" s="9">
        <f t="shared" si="3"/>
        <v>176.19040135415997</v>
      </c>
      <c r="L47" s="10">
        <f t="shared" si="0"/>
        <v>0.3206243452486805</v>
      </c>
      <c r="M47" s="10">
        <f t="shared" si="4"/>
        <v>0.33950355012021893</v>
      </c>
      <c r="P47" s="8">
        <f t="shared" si="5"/>
        <v>-7.6379191209509489</v>
      </c>
    </row>
    <row r="48" spans="1:16" x14ac:dyDescent="0.2">
      <c r="A48" s="8">
        <v>23</v>
      </c>
      <c r="B48" s="8">
        <v>46</v>
      </c>
      <c r="D48">
        <v>725.43873873873997</v>
      </c>
      <c r="E48">
        <v>298.43873873874003</v>
      </c>
      <c r="F48">
        <v>129.09439002670999</v>
      </c>
      <c r="G48">
        <v>112.47284060552001</v>
      </c>
      <c r="I48" s="9">
        <f t="shared" si="1"/>
        <v>185.96589813322004</v>
      </c>
      <c r="J48" s="9">
        <f t="shared" si="2"/>
        <v>596.34434871202996</v>
      </c>
      <c r="K48" s="9">
        <f t="shared" si="3"/>
        <v>185.96589813322004</v>
      </c>
      <c r="L48" s="10">
        <f t="shared" si="0"/>
        <v>0.31184314655595324</v>
      </c>
      <c r="M48" s="10">
        <f t="shared" si="4"/>
        <v>0.33114188931352584</v>
      </c>
      <c r="P48" s="8">
        <f t="shared" si="5"/>
        <v>-9.9127123931788503</v>
      </c>
    </row>
    <row r="49" spans="1:25" x14ac:dyDescent="0.2">
      <c r="A49" s="8">
        <v>23.5</v>
      </c>
      <c r="B49" s="8">
        <v>47</v>
      </c>
      <c r="D49">
        <v>740.80180180180002</v>
      </c>
      <c r="E49">
        <v>300.94684684685001</v>
      </c>
      <c r="F49">
        <v>129.44612644701999</v>
      </c>
      <c r="G49">
        <v>112.64113980410001</v>
      </c>
      <c r="I49" s="9">
        <f t="shared" si="1"/>
        <v>188.30570704274999</v>
      </c>
      <c r="J49" s="9">
        <f t="shared" si="2"/>
        <v>611.35567535478003</v>
      </c>
      <c r="K49" s="9">
        <f t="shared" si="3"/>
        <v>188.30570704274999</v>
      </c>
      <c r="L49" s="10">
        <f t="shared" si="0"/>
        <v>0.3080133458047527</v>
      </c>
      <c r="M49" s="10">
        <f t="shared" si="4"/>
        <v>0.32773162644835951</v>
      </c>
      <c r="P49" s="8">
        <f t="shared" si="5"/>
        <v>-10.840475812618132</v>
      </c>
    </row>
    <row r="50" spans="1:25" x14ac:dyDescent="0.2">
      <c r="A50" s="8">
        <v>24</v>
      </c>
      <c r="B50" s="8">
        <v>48</v>
      </c>
      <c r="D50">
        <v>748.91891891891999</v>
      </c>
      <c r="E50">
        <v>298.7</v>
      </c>
      <c r="F50">
        <v>129.05253784505999</v>
      </c>
      <c r="G50">
        <v>112.47640249331999</v>
      </c>
      <c r="I50" s="9">
        <f t="shared" si="1"/>
        <v>186.22359750667999</v>
      </c>
      <c r="J50" s="9">
        <f t="shared" si="2"/>
        <v>619.86638107386</v>
      </c>
      <c r="K50" s="9">
        <f t="shared" si="3"/>
        <v>186.22359750667999</v>
      </c>
      <c r="L50" s="10">
        <f t="shared" si="0"/>
        <v>0.30042538713595857</v>
      </c>
      <c r="M50" s="10">
        <f t="shared" si="4"/>
        <v>0.32056320566559959</v>
      </c>
      <c r="P50" s="8">
        <f t="shared" si="5"/>
        <v>-12.790647644040456</v>
      </c>
    </row>
    <row r="51" spans="1:25" x14ac:dyDescent="0.2">
      <c r="A51" s="8">
        <v>24.5</v>
      </c>
      <c r="B51" s="8">
        <v>49</v>
      </c>
      <c r="D51">
        <v>764.37927927928001</v>
      </c>
      <c r="E51">
        <v>306.37387387387002</v>
      </c>
      <c r="F51">
        <v>129.59928762243999</v>
      </c>
      <c r="G51">
        <v>112.68477292964999</v>
      </c>
      <c r="I51" s="9">
        <f t="shared" si="1"/>
        <v>193.68910094422003</v>
      </c>
      <c r="J51" s="9">
        <f t="shared" si="2"/>
        <v>634.77999165684002</v>
      </c>
      <c r="K51" s="9">
        <f t="shared" si="3"/>
        <v>193.68910094422003</v>
      </c>
      <c r="L51" s="10">
        <f t="shared" si="0"/>
        <v>0.30512792383180176</v>
      </c>
      <c r="M51" s="10">
        <f t="shared" si="4"/>
        <v>0.32568528024747695</v>
      </c>
      <c r="P51" s="8">
        <f t="shared" si="5"/>
        <v>-11.397185140828466</v>
      </c>
    </row>
    <row r="52" spans="1:25" x14ac:dyDescent="0.2">
      <c r="A52" s="8">
        <v>25</v>
      </c>
      <c r="B52" s="8">
        <v>50</v>
      </c>
      <c r="D52">
        <v>733.77477477477998</v>
      </c>
      <c r="E52">
        <v>295.49189189189002</v>
      </c>
      <c r="F52">
        <v>129.47016918967</v>
      </c>
      <c r="G52">
        <v>112.52092609083</v>
      </c>
      <c r="I52" s="9">
        <f t="shared" si="1"/>
        <v>182.97096580106</v>
      </c>
      <c r="J52" s="9">
        <f t="shared" si="2"/>
        <v>604.30460558511004</v>
      </c>
      <c r="K52" s="9">
        <f t="shared" si="3"/>
        <v>182.97096580106</v>
      </c>
      <c r="L52" s="10">
        <f t="shared" si="0"/>
        <v>0.30277936674651146</v>
      </c>
      <c r="M52" s="10">
        <f t="shared" si="4"/>
        <v>0.32375626104822081</v>
      </c>
      <c r="P52" s="8">
        <f t="shared" si="5"/>
        <v>-11.921975609840777</v>
      </c>
    </row>
    <row r="53" spans="1:25" x14ac:dyDescent="0.2">
      <c r="A53" s="8">
        <v>25.5</v>
      </c>
      <c r="B53" s="8">
        <v>51</v>
      </c>
      <c r="D53">
        <v>756.54954954954997</v>
      </c>
      <c r="E53">
        <v>297.60360360359999</v>
      </c>
      <c r="F53">
        <v>129.74265360640999</v>
      </c>
      <c r="G53">
        <v>112.81478183437</v>
      </c>
      <c r="I53" s="9">
        <f t="shared" si="1"/>
        <v>184.78882176923</v>
      </c>
      <c r="J53" s="9">
        <f t="shared" si="2"/>
        <v>626.80689594314003</v>
      </c>
      <c r="K53" s="9">
        <f t="shared" si="3"/>
        <v>184.78882176923</v>
      </c>
      <c r="L53" s="10">
        <f t="shared" si="0"/>
        <v>0.29480980979187071</v>
      </c>
      <c r="M53" s="10">
        <f t="shared" si="4"/>
        <v>0.31620624197961428</v>
      </c>
      <c r="P53" s="8">
        <f t="shared" si="5"/>
        <v>-13.975961412363521</v>
      </c>
      <c r="S53" s="11"/>
      <c r="U53" s="12"/>
    </row>
    <row r="54" spans="1:25" x14ac:dyDescent="0.2">
      <c r="A54" s="8">
        <v>26</v>
      </c>
      <c r="B54" s="8">
        <v>52</v>
      </c>
      <c r="D54">
        <v>727.12702702702995</v>
      </c>
      <c r="E54">
        <v>290.29639639639998</v>
      </c>
      <c r="F54">
        <v>129.35886019590001</v>
      </c>
      <c r="G54">
        <v>112.59661620659</v>
      </c>
      <c r="I54" s="9">
        <f t="shared" si="1"/>
        <v>177.69978018980999</v>
      </c>
      <c r="J54" s="9">
        <f t="shared" si="2"/>
        <v>597.76816683112997</v>
      </c>
      <c r="K54" s="9">
        <f t="shared" si="3"/>
        <v>177.69978018980999</v>
      </c>
      <c r="L54" s="10">
        <f t="shared" si="0"/>
        <v>0.29727206975879383</v>
      </c>
      <c r="M54" s="10">
        <f t="shared" si="4"/>
        <v>0.31908803983257156</v>
      </c>
      <c r="P54" s="8">
        <f t="shared" si="5"/>
        <v>-13.191967117524309</v>
      </c>
      <c r="S54" s="11"/>
    </row>
    <row r="55" spans="1:25" x14ac:dyDescent="0.2">
      <c r="A55" s="8">
        <v>26.5</v>
      </c>
      <c r="B55" s="8">
        <v>53</v>
      </c>
      <c r="D55">
        <v>619.04155374887</v>
      </c>
      <c r="E55">
        <v>262.50045167117997</v>
      </c>
      <c r="F55">
        <v>129.78183437222</v>
      </c>
      <c r="G55">
        <v>112.45503116652</v>
      </c>
      <c r="I55" s="9">
        <f t="shared" si="1"/>
        <v>150.04542050465997</v>
      </c>
      <c r="J55" s="9">
        <f t="shared" si="2"/>
        <v>489.25971937664997</v>
      </c>
      <c r="K55" s="9">
        <f t="shared" si="3"/>
        <v>150.04542050465997</v>
      </c>
      <c r="L55" s="10">
        <f t="shared" si="0"/>
        <v>0.30667846659403725</v>
      </c>
      <c r="M55" s="10">
        <f t="shared" si="4"/>
        <v>0.32891397455384919</v>
      </c>
      <c r="P55" s="8">
        <f t="shared" si="5"/>
        <v>-10.518817522718784</v>
      </c>
      <c r="S55" s="11"/>
    </row>
    <row r="56" spans="1:25" x14ac:dyDescent="0.2">
      <c r="A56" s="8">
        <v>27</v>
      </c>
      <c r="B56" s="8">
        <v>54</v>
      </c>
      <c r="D56">
        <v>575.37488708219996</v>
      </c>
      <c r="E56">
        <v>249.83830171635</v>
      </c>
      <c r="F56">
        <v>129.83882457703001</v>
      </c>
      <c r="G56">
        <v>112.87088156723</v>
      </c>
      <c r="I56" s="9">
        <f t="shared" si="1"/>
        <v>136.96742014912002</v>
      </c>
      <c r="J56" s="9">
        <f t="shared" si="2"/>
        <v>445.53606250516998</v>
      </c>
      <c r="K56" s="9">
        <f t="shared" si="3"/>
        <v>136.96742014912002</v>
      </c>
      <c r="L56" s="10">
        <f t="shared" si="0"/>
        <v>0.30742162459078304</v>
      </c>
      <c r="M56" s="10">
        <f t="shared" si="4"/>
        <v>0.33007667043662914</v>
      </c>
      <c r="P56" s="8">
        <f t="shared" si="5"/>
        <v>-10.202505628115523</v>
      </c>
      <c r="S56" s="11"/>
    </row>
    <row r="57" spans="1:25" x14ac:dyDescent="0.2">
      <c r="A57" s="8">
        <v>27.5</v>
      </c>
      <c r="B57" s="8">
        <v>55</v>
      </c>
      <c r="D57">
        <v>514.49232158988002</v>
      </c>
      <c r="E57">
        <v>234.85727190604999</v>
      </c>
      <c r="F57">
        <v>129.66340160285</v>
      </c>
      <c r="G57">
        <v>112.6375779163</v>
      </c>
      <c r="I57" s="9">
        <f t="shared" si="1"/>
        <v>122.21969398974998</v>
      </c>
      <c r="J57" s="9">
        <f t="shared" si="2"/>
        <v>384.82891998703002</v>
      </c>
      <c r="K57" s="9">
        <f t="shared" si="3"/>
        <v>122.21969398974998</v>
      </c>
      <c r="L57" s="10">
        <f t="shared" si="0"/>
        <v>0.31759487824841537</v>
      </c>
      <c r="M57" s="10">
        <f t="shared" si="4"/>
        <v>0.34066946198029568</v>
      </c>
      <c r="P57" s="8">
        <f t="shared" si="5"/>
        <v>-7.3207323183972814</v>
      </c>
      <c r="S57" s="11"/>
    </row>
    <row r="58" spans="1:25" x14ac:dyDescent="0.2">
      <c r="A58" s="8">
        <v>28</v>
      </c>
      <c r="B58" s="8">
        <v>56</v>
      </c>
      <c r="D58">
        <v>519.79042457090998</v>
      </c>
      <c r="E58">
        <v>234.68473351399999</v>
      </c>
      <c r="F58">
        <v>129.73552983081001</v>
      </c>
      <c r="G58">
        <v>112.38646482636</v>
      </c>
      <c r="I58" s="9">
        <f t="shared" si="1"/>
        <v>122.29826868763999</v>
      </c>
      <c r="J58" s="9">
        <f t="shared" si="2"/>
        <v>390.05489474009994</v>
      </c>
      <c r="K58" s="9">
        <f t="shared" si="3"/>
        <v>122.29826868763999</v>
      </c>
      <c r="L58" s="10">
        <f t="shared" si="0"/>
        <v>0.31354117160644623</v>
      </c>
      <c r="M58" s="10">
        <f t="shared" si="4"/>
        <v>0.33703529322436071</v>
      </c>
      <c r="P58" s="8">
        <f t="shared" si="5"/>
        <v>-8.3094094277969361</v>
      </c>
      <c r="S58" s="11"/>
    </row>
    <row r="59" spans="1:25" x14ac:dyDescent="0.2">
      <c r="A59" s="8">
        <v>28.5</v>
      </c>
      <c r="B59" s="8">
        <v>57</v>
      </c>
      <c r="D59">
        <v>504.74345076783999</v>
      </c>
      <c r="E59">
        <v>231.3342366757</v>
      </c>
      <c r="F59">
        <v>129.82902938557001</v>
      </c>
      <c r="G59">
        <v>112.59216384683999</v>
      </c>
      <c r="I59" s="9">
        <f t="shared" si="1"/>
        <v>118.74207282886</v>
      </c>
      <c r="J59" s="9">
        <f t="shared" si="2"/>
        <v>374.91442138227001</v>
      </c>
      <c r="K59" s="9">
        <f t="shared" si="3"/>
        <v>118.74207282886</v>
      </c>
      <c r="L59" s="10">
        <f t="shared" si="0"/>
        <v>0.31671780560233048</v>
      </c>
      <c r="M59" s="10">
        <f t="shared" si="4"/>
        <v>0.34063146510627917</v>
      </c>
      <c r="P59" s="8">
        <f t="shared" si="5"/>
        <v>-7.3310693836498269</v>
      </c>
      <c r="R59" s="1"/>
      <c r="S59" s="11"/>
    </row>
    <row r="60" spans="1:25" x14ac:dyDescent="0.2">
      <c r="A60" s="8">
        <v>29</v>
      </c>
      <c r="B60" s="8">
        <v>58</v>
      </c>
      <c r="D60">
        <v>509.06666666667002</v>
      </c>
      <c r="E60">
        <v>233.19009009009</v>
      </c>
      <c r="F60">
        <v>129.73909171861001</v>
      </c>
      <c r="G60">
        <v>112.62600178094</v>
      </c>
      <c r="I60" s="9">
        <f t="shared" si="1"/>
        <v>120.56408830914999</v>
      </c>
      <c r="J60" s="9">
        <f t="shared" si="2"/>
        <v>379.32757494806003</v>
      </c>
      <c r="K60" s="9">
        <f t="shared" si="3"/>
        <v>120.56408830914999</v>
      </c>
      <c r="L60" s="10">
        <f t="shared" si="0"/>
        <v>0.31783634059732779</v>
      </c>
      <c r="M60" s="10">
        <f t="shared" si="4"/>
        <v>0.34216953798731065</v>
      </c>
      <c r="P60" s="8">
        <f t="shared" si="5"/>
        <v>-6.9126360218031051</v>
      </c>
      <c r="S60" s="11"/>
    </row>
    <row r="61" spans="1:25" x14ac:dyDescent="0.2">
      <c r="A61" s="8">
        <v>29.5</v>
      </c>
      <c r="B61" s="8">
        <v>59</v>
      </c>
      <c r="C61" s="2"/>
      <c r="D61">
        <v>505.62522522523</v>
      </c>
      <c r="E61">
        <v>230.95765765766001</v>
      </c>
      <c r="F61">
        <v>129.37577916295999</v>
      </c>
      <c r="G61">
        <v>112.58058771149</v>
      </c>
      <c r="I61" s="9">
        <f t="shared" si="1"/>
        <v>118.37706994617001</v>
      </c>
      <c r="J61" s="9">
        <f t="shared" si="2"/>
        <v>376.24944606227001</v>
      </c>
      <c r="K61" s="9">
        <f t="shared" si="3"/>
        <v>118.37706994617001</v>
      </c>
      <c r="L61" s="10">
        <f t="shared" si="0"/>
        <v>0.31462390492550618</v>
      </c>
      <c r="M61" s="10">
        <f t="shared" si="4"/>
        <v>0.33937664020152325</v>
      </c>
      <c r="P61" s="8">
        <f t="shared" si="5"/>
        <v>-7.6724450166912845</v>
      </c>
      <c r="S61" s="11"/>
    </row>
    <row r="62" spans="1:25" x14ac:dyDescent="0.2">
      <c r="A62" s="8">
        <v>30</v>
      </c>
      <c r="B62" s="8">
        <v>60</v>
      </c>
      <c r="D62">
        <v>529.69506726456996</v>
      </c>
      <c r="E62">
        <v>238.3067264574</v>
      </c>
      <c r="F62">
        <v>129.63312555655</v>
      </c>
      <c r="G62">
        <v>112.89136242207999</v>
      </c>
      <c r="I62" s="9">
        <f t="shared" si="1"/>
        <v>125.41536403532001</v>
      </c>
      <c r="J62" s="9">
        <f t="shared" si="2"/>
        <v>400.06194170801996</v>
      </c>
      <c r="K62" s="9">
        <f t="shared" si="3"/>
        <v>125.41536403532001</v>
      </c>
      <c r="L62" s="10">
        <f t="shared" si="0"/>
        <v>0.31348986484411157</v>
      </c>
      <c r="M62" s="10">
        <f t="shared" si="4"/>
        <v>0.33866213800616279</v>
      </c>
      <c r="P62" s="8">
        <f t="shared" si="5"/>
        <v>-7.866825633720981</v>
      </c>
      <c r="U62" s="1" t="s">
        <v>9</v>
      </c>
      <c r="X62" s="1" t="s">
        <v>10</v>
      </c>
    </row>
    <row r="63" spans="1:25" x14ac:dyDescent="0.2">
      <c r="A63" s="8">
        <v>30.5</v>
      </c>
      <c r="B63" s="8">
        <v>61</v>
      </c>
      <c r="D63">
        <v>531.29775784752997</v>
      </c>
      <c r="E63">
        <v>240.02331838564999</v>
      </c>
      <c r="F63">
        <v>129.74977738201</v>
      </c>
      <c r="G63">
        <v>112.71504897596</v>
      </c>
      <c r="I63" s="9">
        <f t="shared" si="1"/>
        <v>127.30826940968998</v>
      </c>
      <c r="J63" s="9">
        <f t="shared" si="2"/>
        <v>401.54798046551997</v>
      </c>
      <c r="K63" s="9">
        <f t="shared" si="3"/>
        <v>127.30826940968998</v>
      </c>
      <c r="L63" s="10">
        <f t="shared" si="0"/>
        <v>0.31704372977321366</v>
      </c>
      <c r="M63" s="10">
        <f t="shared" si="4"/>
        <v>0.3426355408212991</v>
      </c>
      <c r="P63" s="8">
        <f t="shared" si="5"/>
        <v>-6.7858597585579421</v>
      </c>
    </row>
    <row r="64" spans="1:25" x14ac:dyDescent="0.2">
      <c r="A64" s="8">
        <v>31</v>
      </c>
      <c r="B64" s="8">
        <v>62</v>
      </c>
      <c r="D64">
        <v>547.35515695066999</v>
      </c>
      <c r="E64">
        <v>246.38475336323</v>
      </c>
      <c r="F64">
        <v>129.99109528049999</v>
      </c>
      <c r="G64">
        <v>112.85040071237999</v>
      </c>
      <c r="I64" s="9">
        <f t="shared" si="1"/>
        <v>133.53435265085</v>
      </c>
      <c r="J64" s="9">
        <f t="shared" si="2"/>
        <v>417.36406167017003</v>
      </c>
      <c r="K64" s="9">
        <f t="shared" si="3"/>
        <v>133.53435265085</v>
      </c>
      <c r="L64" s="10">
        <f t="shared" si="0"/>
        <v>0.31994693581542266</v>
      </c>
      <c r="M64" s="10">
        <f t="shared" si="4"/>
        <v>0.34595828474954227</v>
      </c>
      <c r="P64" s="8">
        <f t="shared" si="5"/>
        <v>-5.8819059020162605</v>
      </c>
      <c r="U64" s="8">
        <v>30.5</v>
      </c>
      <c r="V64" s="10">
        <f>L62</f>
        <v>0.31348986484411157</v>
      </c>
      <c r="X64" s="8">
        <v>-13</v>
      </c>
      <c r="Y64" s="10"/>
    </row>
    <row r="65" spans="1:25" x14ac:dyDescent="0.2">
      <c r="A65" s="8">
        <v>31.5</v>
      </c>
      <c r="B65" s="8">
        <v>63</v>
      </c>
      <c r="D65">
        <v>555.87443946188</v>
      </c>
      <c r="E65">
        <v>251.29596412556</v>
      </c>
      <c r="F65">
        <v>129.18432769367999</v>
      </c>
      <c r="G65">
        <v>112.44256455922</v>
      </c>
      <c r="I65" s="9">
        <f t="shared" si="1"/>
        <v>138.85339956633999</v>
      </c>
      <c r="J65" s="9">
        <f t="shared" si="2"/>
        <v>426.69011176820004</v>
      </c>
      <c r="K65" s="9">
        <f t="shared" si="3"/>
        <v>138.85339956633999</v>
      </c>
      <c r="L65" s="10">
        <f t="shared" si="0"/>
        <v>0.32541977359384477</v>
      </c>
      <c r="M65" s="10">
        <f t="shared" si="4"/>
        <v>0.35185066041399859</v>
      </c>
      <c r="P65" s="8">
        <f t="shared" si="5"/>
        <v>-4.2788826714858512</v>
      </c>
      <c r="U65" s="8">
        <v>31</v>
      </c>
      <c r="V65" s="10">
        <f t="shared" ref="V65:V83" si="6">L63</f>
        <v>0.31704372977321366</v>
      </c>
      <c r="X65" s="8">
        <v>-13</v>
      </c>
      <c r="Y65" s="10"/>
    </row>
    <row r="66" spans="1:25" x14ac:dyDescent="0.2">
      <c r="A66" s="8">
        <v>32</v>
      </c>
      <c r="B66" s="8">
        <v>64</v>
      </c>
      <c r="D66">
        <v>564.52517985611996</v>
      </c>
      <c r="E66">
        <v>258.49820143885</v>
      </c>
      <c r="F66">
        <v>129.3481745325</v>
      </c>
      <c r="G66">
        <v>112.44968833482</v>
      </c>
      <c r="I66" s="9">
        <f t="shared" si="1"/>
        <v>146.04851310403001</v>
      </c>
      <c r="J66" s="9">
        <f t="shared" si="2"/>
        <v>435.17700532361994</v>
      </c>
      <c r="K66" s="9">
        <f t="shared" si="3"/>
        <v>146.04851310403001</v>
      </c>
      <c r="L66" s="10">
        <f t="shared" ref="L66:L129" si="7">K66/J66</f>
        <v>0.33560714678713516</v>
      </c>
      <c r="M66" s="10">
        <f t="shared" si="4"/>
        <v>0.36245757149332314</v>
      </c>
      <c r="P66" s="8">
        <f t="shared" si="5"/>
        <v>-1.3932681362665602</v>
      </c>
      <c r="U66" s="8">
        <v>31.5</v>
      </c>
      <c r="V66" s="10">
        <f t="shared" si="6"/>
        <v>0.31994693581542266</v>
      </c>
      <c r="X66" s="8">
        <v>-13</v>
      </c>
      <c r="Y66" s="10"/>
    </row>
    <row r="67" spans="1:25" x14ac:dyDescent="0.2">
      <c r="A67" s="8">
        <v>32.5</v>
      </c>
      <c r="B67" s="8">
        <v>65</v>
      </c>
      <c r="D67">
        <v>573.85624438455</v>
      </c>
      <c r="E67">
        <v>261.51123090746</v>
      </c>
      <c r="F67">
        <v>129.69813000891</v>
      </c>
      <c r="G67">
        <v>112.95636687443999</v>
      </c>
      <c r="I67" s="9">
        <f t="shared" ref="I67:I130" si="8">E67-G67</f>
        <v>148.55486403302001</v>
      </c>
      <c r="J67" s="9">
        <f t="shared" ref="J67:J130" si="9">D67-F67</f>
        <v>444.15811437564003</v>
      </c>
      <c r="K67" s="9">
        <f t="shared" ref="K67:K130" si="10">I67*1</f>
        <v>148.55486403302001</v>
      </c>
      <c r="L67" s="10">
        <f t="shared" si="7"/>
        <v>0.33446391999805269</v>
      </c>
      <c r="M67" s="10">
        <f t="shared" ref="M67:M130" si="11">L67+ABS($N$2)*A67</f>
        <v>0.36173388259027489</v>
      </c>
      <c r="P67" s="8">
        <f t="shared" ref="P67:P130" si="12">(M67-$O$2)/$O$2*100</f>
        <v>-1.5901480009128763</v>
      </c>
      <c r="U67" s="8">
        <v>32</v>
      </c>
      <c r="V67" s="10">
        <f t="shared" si="6"/>
        <v>0.32541977359384477</v>
      </c>
      <c r="X67" s="8">
        <v>-13</v>
      </c>
      <c r="Y67" s="10"/>
    </row>
    <row r="68" spans="1:25" x14ac:dyDescent="0.2">
      <c r="A68" s="8">
        <v>33</v>
      </c>
      <c r="B68" s="8">
        <v>66</v>
      </c>
      <c r="D68">
        <v>580.19496855345994</v>
      </c>
      <c r="E68">
        <v>266.24258760108</v>
      </c>
      <c r="F68">
        <v>129.90026714159001</v>
      </c>
      <c r="G68">
        <v>112.95369545859</v>
      </c>
      <c r="I68" s="9">
        <f t="shared" si="8"/>
        <v>153.28889214249</v>
      </c>
      <c r="J68" s="9">
        <f t="shared" si="9"/>
        <v>450.29470141186994</v>
      </c>
      <c r="K68" s="9">
        <f t="shared" si="10"/>
        <v>153.28889214249</v>
      </c>
      <c r="L68" s="10">
        <f t="shared" si="7"/>
        <v>0.34041904482078644</v>
      </c>
      <c r="M68" s="10">
        <f t="shared" si="11"/>
        <v>0.3681085452990428</v>
      </c>
      <c r="P68" s="8">
        <f t="shared" si="12"/>
        <v>0.14408161899947006</v>
      </c>
      <c r="U68" s="8">
        <v>32.5</v>
      </c>
      <c r="V68" s="10">
        <f t="shared" si="6"/>
        <v>0.33560714678713516</v>
      </c>
      <c r="X68" s="8">
        <v>-13</v>
      </c>
      <c r="Y68" s="10"/>
    </row>
    <row r="69" spans="1:25" x14ac:dyDescent="0.2">
      <c r="A69" s="8">
        <v>33.5</v>
      </c>
      <c r="B69" s="8">
        <v>67</v>
      </c>
      <c r="D69">
        <v>545.51392632525005</v>
      </c>
      <c r="E69">
        <v>253.06918238994001</v>
      </c>
      <c r="F69">
        <v>129.95903829029001</v>
      </c>
      <c r="G69">
        <v>112.47284060552001</v>
      </c>
      <c r="I69" s="9">
        <f t="shared" si="8"/>
        <v>140.59634178442002</v>
      </c>
      <c r="J69" s="9">
        <f t="shared" si="9"/>
        <v>415.55488803496007</v>
      </c>
      <c r="K69" s="9">
        <f t="shared" si="10"/>
        <v>140.59634178442002</v>
      </c>
      <c r="L69" s="10">
        <f t="shared" si="7"/>
        <v>0.33833398627377437</v>
      </c>
      <c r="M69" s="10">
        <f t="shared" si="11"/>
        <v>0.36644302463806494</v>
      </c>
      <c r="P69" s="8">
        <f t="shared" si="12"/>
        <v>-0.30902396396274762</v>
      </c>
      <c r="U69" s="8">
        <v>33</v>
      </c>
      <c r="V69" s="10">
        <f t="shared" si="6"/>
        <v>0.33446391999805269</v>
      </c>
      <c r="X69" s="8">
        <v>-13</v>
      </c>
      <c r="Y69" s="10"/>
    </row>
    <row r="70" spans="1:25" x14ac:dyDescent="0.2">
      <c r="A70" s="8">
        <v>34</v>
      </c>
      <c r="B70" s="8">
        <v>68</v>
      </c>
      <c r="D70">
        <v>555.13477088949003</v>
      </c>
      <c r="E70">
        <v>256.50224618149002</v>
      </c>
      <c r="F70">
        <v>129.82012466607</v>
      </c>
      <c r="G70">
        <v>112.59394479074</v>
      </c>
      <c r="I70" s="9">
        <f t="shared" si="8"/>
        <v>143.90830139075001</v>
      </c>
      <c r="J70" s="9">
        <f t="shared" si="9"/>
        <v>425.31464622342003</v>
      </c>
      <c r="K70" s="9">
        <f t="shared" si="10"/>
        <v>143.90830139075001</v>
      </c>
      <c r="L70" s="10">
        <f t="shared" si="7"/>
        <v>0.33835726718697157</v>
      </c>
      <c r="M70" s="10">
        <f t="shared" si="11"/>
        <v>0.3668858434372963</v>
      </c>
      <c r="P70" s="8">
        <f t="shared" si="12"/>
        <v>-0.18855492693828196</v>
      </c>
      <c r="U70" s="8">
        <v>33.5</v>
      </c>
      <c r="V70" s="10">
        <f t="shared" si="6"/>
        <v>0.34041904482078644</v>
      </c>
      <c r="X70" s="8">
        <v>-13</v>
      </c>
      <c r="Y70" s="10"/>
    </row>
    <row r="71" spans="1:25" x14ac:dyDescent="0.2">
      <c r="A71" s="8">
        <v>34.5</v>
      </c>
      <c r="B71" s="8">
        <v>69</v>
      </c>
      <c r="D71">
        <v>543.18238993710997</v>
      </c>
      <c r="E71">
        <v>255.52291105121</v>
      </c>
      <c r="F71">
        <v>129.80498664292</v>
      </c>
      <c r="G71">
        <v>112.84683882458</v>
      </c>
      <c r="I71" s="9">
        <f t="shared" si="8"/>
        <v>142.67607222663</v>
      </c>
      <c r="J71" s="9">
        <f t="shared" si="9"/>
        <v>413.37740329419</v>
      </c>
      <c r="K71" s="9">
        <f t="shared" si="10"/>
        <v>142.67607222663</v>
      </c>
      <c r="L71" s="10">
        <f t="shared" si="7"/>
        <v>0.34514724580891309</v>
      </c>
      <c r="M71" s="10">
        <f t="shared" si="11"/>
        <v>0.37409535994527204</v>
      </c>
      <c r="P71" s="8">
        <f t="shared" si="12"/>
        <v>1.7727970134838529</v>
      </c>
      <c r="U71" s="8">
        <v>34</v>
      </c>
      <c r="V71" s="10">
        <f t="shared" si="6"/>
        <v>0.33833398627377437</v>
      </c>
      <c r="X71" s="8">
        <v>-13</v>
      </c>
      <c r="Y71" s="10"/>
    </row>
    <row r="72" spans="1:25" x14ac:dyDescent="0.2">
      <c r="A72" s="8">
        <v>35</v>
      </c>
      <c r="B72" s="8">
        <v>70</v>
      </c>
      <c r="D72">
        <v>543.46900269542004</v>
      </c>
      <c r="E72">
        <v>254.32884097035</v>
      </c>
      <c r="F72">
        <v>129.88156723063</v>
      </c>
      <c r="G72">
        <v>112.75333926981</v>
      </c>
      <c r="I72" s="9">
        <f t="shared" si="8"/>
        <v>141.57550170054</v>
      </c>
      <c r="J72" s="9">
        <f t="shared" si="9"/>
        <v>413.58743546479002</v>
      </c>
      <c r="K72" s="9">
        <f t="shared" si="10"/>
        <v>141.57550170054</v>
      </c>
      <c r="L72" s="10">
        <f t="shared" si="7"/>
        <v>0.34231093490893238</v>
      </c>
      <c r="M72" s="10">
        <f t="shared" si="11"/>
        <v>0.37167858693132549</v>
      </c>
      <c r="P72" s="8">
        <f t="shared" si="12"/>
        <v>1.1153129179526213</v>
      </c>
      <c r="U72" s="8">
        <v>34.5</v>
      </c>
      <c r="V72" s="10">
        <f t="shared" si="6"/>
        <v>0.33835726718697157</v>
      </c>
      <c r="X72" s="8">
        <v>-13</v>
      </c>
      <c r="Y72" s="10"/>
    </row>
    <row r="73" spans="1:25" x14ac:dyDescent="0.2">
      <c r="A73" s="8">
        <v>35.5</v>
      </c>
      <c r="B73" s="8">
        <v>71</v>
      </c>
      <c r="D73">
        <v>524.46594982079</v>
      </c>
      <c r="E73">
        <v>248.76164874552001</v>
      </c>
      <c r="F73">
        <v>130.25022261799</v>
      </c>
      <c r="G73">
        <v>113.01869991095001</v>
      </c>
      <c r="I73" s="9">
        <f t="shared" si="8"/>
        <v>135.74294883457</v>
      </c>
      <c r="J73" s="9">
        <f t="shared" si="9"/>
        <v>394.2157272028</v>
      </c>
      <c r="K73" s="9">
        <f t="shared" si="10"/>
        <v>135.74294883457</v>
      </c>
      <c r="L73" s="10">
        <f t="shared" si="7"/>
        <v>0.34433671583259418</v>
      </c>
      <c r="M73" s="10">
        <f t="shared" si="11"/>
        <v>0.3741239057410215</v>
      </c>
      <c r="P73" s="8">
        <f t="shared" si="12"/>
        <v>1.7805629089946202</v>
      </c>
      <c r="U73" s="8">
        <v>35</v>
      </c>
      <c r="V73" s="10">
        <f t="shared" si="6"/>
        <v>0.34514724580891309</v>
      </c>
      <c r="X73" s="8">
        <v>-13</v>
      </c>
      <c r="Y73" s="10"/>
    </row>
    <row r="74" spans="1:25" x14ac:dyDescent="0.2">
      <c r="A74" s="8">
        <v>36</v>
      </c>
      <c r="B74" s="8">
        <v>72</v>
      </c>
      <c r="D74">
        <v>535.9</v>
      </c>
      <c r="E74">
        <v>251.33603603604001</v>
      </c>
      <c r="F74">
        <v>129.30810329475</v>
      </c>
      <c r="G74">
        <v>112.59216384683999</v>
      </c>
      <c r="I74" s="9">
        <f t="shared" si="8"/>
        <v>138.74387218920003</v>
      </c>
      <c r="J74" s="9">
        <f t="shared" si="9"/>
        <v>406.59189670524995</v>
      </c>
      <c r="K74" s="9">
        <f t="shared" si="10"/>
        <v>138.74387218920003</v>
      </c>
      <c r="L74" s="10">
        <f t="shared" si="7"/>
        <v>0.34123619608134842</v>
      </c>
      <c r="M74" s="10">
        <f t="shared" si="11"/>
        <v>0.3714429238758099</v>
      </c>
      <c r="P74" s="8">
        <f t="shared" si="12"/>
        <v>1.051200686472193</v>
      </c>
      <c r="U74" s="8">
        <v>35.5</v>
      </c>
      <c r="V74" s="10">
        <f t="shared" si="6"/>
        <v>0.34231093490893238</v>
      </c>
      <c r="X74" s="8">
        <v>-13</v>
      </c>
      <c r="Y74" s="10"/>
    </row>
    <row r="75" spans="1:25" x14ac:dyDescent="0.2">
      <c r="A75" s="8">
        <v>36.5</v>
      </c>
      <c r="B75" s="8">
        <v>73</v>
      </c>
      <c r="D75">
        <v>553.51261261261004</v>
      </c>
      <c r="E75">
        <v>254.02432432431999</v>
      </c>
      <c r="F75">
        <v>130.05431878895999</v>
      </c>
      <c r="G75">
        <v>112.50578806768</v>
      </c>
      <c r="I75" s="9">
        <f t="shared" si="8"/>
        <v>141.51853625664</v>
      </c>
      <c r="J75" s="9">
        <f t="shared" si="9"/>
        <v>423.45829382365002</v>
      </c>
      <c r="K75" s="9">
        <f t="shared" si="10"/>
        <v>141.51853625664</v>
      </c>
      <c r="L75" s="10">
        <f t="shared" si="7"/>
        <v>0.33419710587974849</v>
      </c>
      <c r="M75" s="10">
        <f t="shared" si="11"/>
        <v>0.36482337156024419</v>
      </c>
      <c r="P75" s="8">
        <f t="shared" si="12"/>
        <v>-0.74965125200350291</v>
      </c>
      <c r="U75" s="8">
        <v>36</v>
      </c>
      <c r="V75" s="10">
        <f t="shared" si="6"/>
        <v>0.34433671583259418</v>
      </c>
      <c r="X75" s="8">
        <v>-13</v>
      </c>
      <c r="Y75" s="10"/>
    </row>
    <row r="76" spans="1:25" x14ac:dyDescent="0.2">
      <c r="A76" s="8">
        <v>37</v>
      </c>
      <c r="B76" s="8">
        <v>74</v>
      </c>
      <c r="D76">
        <v>574.75315315315004</v>
      </c>
      <c r="E76">
        <v>261.95945945945999</v>
      </c>
      <c r="F76">
        <v>129.73820124666</v>
      </c>
      <c r="G76">
        <v>112.49777382013001</v>
      </c>
      <c r="I76" s="9">
        <f t="shared" si="8"/>
        <v>149.46168563932997</v>
      </c>
      <c r="J76" s="9">
        <f t="shared" si="9"/>
        <v>445.01495190649007</v>
      </c>
      <c r="K76" s="9">
        <f t="shared" si="10"/>
        <v>149.46168563932997</v>
      </c>
      <c r="L76" s="10">
        <f t="shared" si="7"/>
        <v>0.33585767174568104</v>
      </c>
      <c r="M76" s="10">
        <f t="shared" si="11"/>
        <v>0.3669034753122109</v>
      </c>
      <c r="P76" s="8">
        <f t="shared" si="12"/>
        <v>-0.18375816809338863</v>
      </c>
      <c r="U76" s="8">
        <v>36.5</v>
      </c>
      <c r="V76" s="10">
        <f t="shared" si="6"/>
        <v>0.34123619608134842</v>
      </c>
      <c r="X76" s="8">
        <v>-13</v>
      </c>
      <c r="Y76" s="10"/>
    </row>
    <row r="77" spans="1:25" x14ac:dyDescent="0.2">
      <c r="A77" s="8">
        <v>37.5</v>
      </c>
      <c r="B77" s="8">
        <v>75</v>
      </c>
      <c r="D77">
        <v>568.10900900901004</v>
      </c>
      <c r="E77">
        <v>257.62972972973</v>
      </c>
      <c r="F77">
        <v>129.52359750668001</v>
      </c>
      <c r="G77">
        <v>113.17275155833001</v>
      </c>
      <c r="I77" s="9">
        <f t="shared" si="8"/>
        <v>144.45697817140001</v>
      </c>
      <c r="J77" s="9">
        <f t="shared" si="9"/>
        <v>438.58541150233003</v>
      </c>
      <c r="K77" s="9">
        <f t="shared" si="10"/>
        <v>144.45697817140001</v>
      </c>
      <c r="L77" s="10">
        <f t="shared" si="7"/>
        <v>0.32937023070734894</v>
      </c>
      <c r="M77" s="10">
        <f t="shared" si="11"/>
        <v>0.36083557215991302</v>
      </c>
      <c r="P77" s="8">
        <f t="shared" si="12"/>
        <v>-1.8345337241083968</v>
      </c>
      <c r="U77" s="8">
        <v>37</v>
      </c>
      <c r="V77" s="10">
        <f t="shared" si="6"/>
        <v>0.33419710587974849</v>
      </c>
      <c r="X77" s="8">
        <v>-13</v>
      </c>
      <c r="Y77" s="10"/>
    </row>
    <row r="78" spans="1:25" x14ac:dyDescent="0.2">
      <c r="A78" s="8">
        <v>38</v>
      </c>
      <c r="B78" s="8">
        <v>76</v>
      </c>
      <c r="D78">
        <v>553.44923629828997</v>
      </c>
      <c r="E78">
        <v>260.43755615454</v>
      </c>
      <c r="F78">
        <v>129.72840605521</v>
      </c>
      <c r="G78">
        <v>112.71593944791</v>
      </c>
      <c r="I78" s="9">
        <f t="shared" si="8"/>
        <v>147.72161670663002</v>
      </c>
      <c r="J78" s="9">
        <f t="shared" si="9"/>
        <v>423.72083024307994</v>
      </c>
      <c r="K78" s="9">
        <f t="shared" si="10"/>
        <v>147.72161670663002</v>
      </c>
      <c r="L78" s="10">
        <f t="shared" si="7"/>
        <v>0.34862958382736375</v>
      </c>
      <c r="M78" s="10">
        <f t="shared" si="11"/>
        <v>0.38051446316596199</v>
      </c>
      <c r="P78" s="8">
        <f t="shared" si="12"/>
        <v>3.5191166929993938</v>
      </c>
      <c r="U78" s="8">
        <v>37.5</v>
      </c>
      <c r="V78" s="10">
        <f t="shared" si="6"/>
        <v>0.33585767174568104</v>
      </c>
      <c r="X78" s="8">
        <v>-13</v>
      </c>
      <c r="Y78" s="10"/>
    </row>
    <row r="79" spans="1:25" x14ac:dyDescent="0.2">
      <c r="A79" s="8">
        <v>38.5</v>
      </c>
      <c r="B79" s="8">
        <v>77</v>
      </c>
      <c r="D79">
        <v>505.91644204852003</v>
      </c>
      <c r="E79">
        <v>252.14375561545</v>
      </c>
      <c r="F79">
        <v>129.60106856633999</v>
      </c>
      <c r="G79">
        <v>112.51647373108</v>
      </c>
      <c r="I79" s="9">
        <f t="shared" si="8"/>
        <v>139.62728188437001</v>
      </c>
      <c r="J79" s="9">
        <f t="shared" si="9"/>
        <v>376.31537348218001</v>
      </c>
      <c r="K79" s="9">
        <f t="shared" si="10"/>
        <v>139.62728188437001</v>
      </c>
      <c r="L79" s="10">
        <f t="shared" si="7"/>
        <v>0.37103794243734745</v>
      </c>
      <c r="M79" s="10">
        <f t="shared" si="11"/>
        <v>0.4033423596619799</v>
      </c>
      <c r="P79" s="8">
        <f t="shared" si="12"/>
        <v>9.7294553528371654</v>
      </c>
      <c r="U79" s="8">
        <v>38</v>
      </c>
      <c r="V79" s="10">
        <f t="shared" si="6"/>
        <v>0.32937023070734894</v>
      </c>
      <c r="X79" s="8">
        <v>-13</v>
      </c>
      <c r="Y79" s="10"/>
    </row>
    <row r="80" spans="1:25" x14ac:dyDescent="0.2">
      <c r="A80" s="8">
        <v>39</v>
      </c>
      <c r="B80" s="8">
        <v>78</v>
      </c>
      <c r="D80">
        <v>530.22262118491994</v>
      </c>
      <c r="E80">
        <v>253.37971274686001</v>
      </c>
      <c r="F80">
        <v>129.66696349065001</v>
      </c>
      <c r="G80">
        <v>113.03739982191</v>
      </c>
      <c r="I80" s="9">
        <f t="shared" si="8"/>
        <v>140.34231292495002</v>
      </c>
      <c r="J80" s="9">
        <f t="shared" si="9"/>
        <v>400.55565769426994</v>
      </c>
      <c r="K80" s="9">
        <f t="shared" si="10"/>
        <v>140.34231292495002</v>
      </c>
      <c r="L80" s="10">
        <f t="shared" si="7"/>
        <v>0.35036906913962101</v>
      </c>
      <c r="M80" s="10">
        <f t="shared" si="11"/>
        <v>0.38309302425028763</v>
      </c>
      <c r="P80" s="8">
        <f t="shared" si="12"/>
        <v>4.220615299826096</v>
      </c>
      <c r="U80" s="8">
        <v>38.5</v>
      </c>
      <c r="V80" s="10">
        <f t="shared" si="6"/>
        <v>0.34862958382736375</v>
      </c>
      <c r="X80" s="8">
        <v>-13</v>
      </c>
      <c r="Y80" s="10"/>
    </row>
    <row r="81" spans="1:25" x14ac:dyDescent="0.2">
      <c r="A81" s="8">
        <v>39.5</v>
      </c>
      <c r="B81" s="8">
        <v>79</v>
      </c>
      <c r="D81">
        <v>485.98488888889</v>
      </c>
      <c r="E81">
        <v>241.98933333332999</v>
      </c>
      <c r="F81">
        <v>130.00623330364999</v>
      </c>
      <c r="G81">
        <v>112.82368655387</v>
      </c>
      <c r="I81" s="9">
        <f t="shared" si="8"/>
        <v>129.16564677945999</v>
      </c>
      <c r="J81" s="9">
        <f t="shared" si="9"/>
        <v>355.97865558524001</v>
      </c>
      <c r="K81" s="9">
        <f t="shared" si="10"/>
        <v>129.16564677945999</v>
      </c>
      <c r="L81" s="10">
        <f t="shared" si="7"/>
        <v>0.36284660541545011</v>
      </c>
      <c r="M81" s="10">
        <f t="shared" si="11"/>
        <v>0.39599009841215094</v>
      </c>
      <c r="P81" s="8">
        <f t="shared" si="12"/>
        <v>7.7292696465017228</v>
      </c>
      <c r="U81" s="8">
        <v>39</v>
      </c>
      <c r="V81" s="10">
        <f t="shared" si="6"/>
        <v>0.37103794243734745</v>
      </c>
      <c r="X81" s="8">
        <v>-13</v>
      </c>
      <c r="Y81" s="10"/>
    </row>
    <row r="82" spans="1:25" x14ac:dyDescent="0.2">
      <c r="A82" s="8">
        <v>40</v>
      </c>
      <c r="B82" s="13">
        <v>80</v>
      </c>
      <c r="C82" s="13" t="s">
        <v>11</v>
      </c>
      <c r="D82">
        <v>515.82222222222003</v>
      </c>
      <c r="E82">
        <v>250.22488888889001</v>
      </c>
      <c r="F82">
        <v>130.3250222618</v>
      </c>
      <c r="G82">
        <v>112.94033837934001</v>
      </c>
      <c r="H82" s="13"/>
      <c r="I82" s="14">
        <f t="shared" si="8"/>
        <v>137.28455050955</v>
      </c>
      <c r="J82" s="14">
        <f t="shared" si="9"/>
        <v>385.49719996042006</v>
      </c>
      <c r="K82" s="9">
        <f t="shared" si="10"/>
        <v>137.28455050955</v>
      </c>
      <c r="L82" s="15">
        <f t="shared" si="7"/>
        <v>0.35612334025680431</v>
      </c>
      <c r="M82" s="15">
        <f t="shared" si="11"/>
        <v>0.3896863711395393</v>
      </c>
      <c r="N82" s="13"/>
      <c r="O82" s="13"/>
      <c r="P82" s="13">
        <f t="shared" si="12"/>
        <v>6.0143380412614942</v>
      </c>
      <c r="U82" s="8">
        <v>39.5</v>
      </c>
      <c r="V82" s="10">
        <f t="shared" si="6"/>
        <v>0.35036906913962101</v>
      </c>
      <c r="X82" s="8">
        <v>-13</v>
      </c>
      <c r="Y82" s="10"/>
    </row>
    <row r="83" spans="1:25" x14ac:dyDescent="0.2">
      <c r="A83" s="8">
        <v>40.5</v>
      </c>
      <c r="B83" s="8">
        <v>81</v>
      </c>
      <c r="D83">
        <v>486.40504050405002</v>
      </c>
      <c r="E83">
        <v>245.22502250225</v>
      </c>
      <c r="F83">
        <v>129.79073909172001</v>
      </c>
      <c r="G83">
        <v>112.94568121104</v>
      </c>
      <c r="I83" s="9">
        <f t="shared" si="8"/>
        <v>132.27934129121002</v>
      </c>
      <c r="J83" s="9">
        <f t="shared" si="9"/>
        <v>356.61430141233001</v>
      </c>
      <c r="K83" s="9">
        <f t="shared" si="10"/>
        <v>132.27934129121002</v>
      </c>
      <c r="L83" s="10">
        <f t="shared" si="7"/>
        <v>0.37093111736498752</v>
      </c>
      <c r="M83" s="10">
        <f t="shared" si="11"/>
        <v>0.40491368613375672</v>
      </c>
      <c r="P83" s="8">
        <f t="shared" si="12"/>
        <v>10.156935367765584</v>
      </c>
      <c r="U83" s="8">
        <v>40</v>
      </c>
      <c r="V83" s="10">
        <f t="shared" si="6"/>
        <v>0.36284660541545011</v>
      </c>
      <c r="X83" s="8">
        <v>-13</v>
      </c>
      <c r="Y83" s="10"/>
    </row>
    <row r="84" spans="1:25" x14ac:dyDescent="0.2">
      <c r="A84" s="8">
        <v>41</v>
      </c>
      <c r="B84" s="8">
        <v>82</v>
      </c>
      <c r="D84">
        <v>507.28802880287998</v>
      </c>
      <c r="E84">
        <v>250.87668766876999</v>
      </c>
      <c r="F84">
        <v>130.06856634016</v>
      </c>
      <c r="G84">
        <v>112.70169189671</v>
      </c>
      <c r="I84" s="9">
        <f t="shared" si="8"/>
        <v>138.17499577205999</v>
      </c>
      <c r="J84" s="9">
        <f t="shared" si="9"/>
        <v>377.21946246272</v>
      </c>
      <c r="K84" s="9">
        <f t="shared" si="10"/>
        <v>138.17499577205999</v>
      </c>
      <c r="L84" s="10">
        <f t="shared" si="7"/>
        <v>0.36629869219888306</v>
      </c>
      <c r="M84" s="10">
        <f t="shared" si="11"/>
        <v>0.40070079885368642</v>
      </c>
      <c r="P84" s="8">
        <f t="shared" si="12"/>
        <v>9.010817645113244</v>
      </c>
      <c r="U84" s="8">
        <v>150.5</v>
      </c>
      <c r="V84" s="10">
        <f>L302</f>
        <v>0.24868963645157718</v>
      </c>
      <c r="X84" s="8">
        <v>-13</v>
      </c>
      <c r="Y84" s="10"/>
    </row>
    <row r="85" spans="1:25" x14ac:dyDescent="0.2">
      <c r="A85" s="8">
        <v>41.5</v>
      </c>
      <c r="B85" s="8">
        <v>83</v>
      </c>
      <c r="D85">
        <v>506.22560429723001</v>
      </c>
      <c r="E85">
        <v>253.95344673232</v>
      </c>
      <c r="F85">
        <v>129.95369545859</v>
      </c>
      <c r="G85">
        <v>112.49510240427</v>
      </c>
      <c r="I85" s="9">
        <f t="shared" si="8"/>
        <v>141.45834432805</v>
      </c>
      <c r="J85" s="9">
        <f t="shared" si="9"/>
        <v>376.27190883864</v>
      </c>
      <c r="K85" s="9">
        <f t="shared" si="10"/>
        <v>141.45834432805</v>
      </c>
      <c r="L85" s="10">
        <f t="shared" si="7"/>
        <v>0.37594713026720478</v>
      </c>
      <c r="M85" s="10">
        <f t="shared" si="11"/>
        <v>0.41076877480804236</v>
      </c>
      <c r="P85" s="8">
        <f t="shared" si="12"/>
        <v>11.749814657236577</v>
      </c>
      <c r="U85" s="8">
        <v>151</v>
      </c>
      <c r="V85" s="10">
        <f t="shared" ref="V85:V103" si="13">L303</f>
        <v>0.24419817122843257</v>
      </c>
      <c r="X85" s="8">
        <v>-13</v>
      </c>
      <c r="Y85" s="10"/>
    </row>
    <row r="86" spans="1:25" x14ac:dyDescent="0.2">
      <c r="A86" s="8">
        <v>42</v>
      </c>
      <c r="B86" s="8">
        <v>84</v>
      </c>
      <c r="D86">
        <v>535.63285457810002</v>
      </c>
      <c r="E86">
        <v>260.21005385996</v>
      </c>
      <c r="F86">
        <v>129.49777382012999</v>
      </c>
      <c r="G86">
        <v>112.52359750668001</v>
      </c>
      <c r="I86" s="9">
        <f t="shared" si="8"/>
        <v>147.68645635327999</v>
      </c>
      <c r="J86" s="9">
        <f t="shared" si="9"/>
        <v>406.13508075797006</v>
      </c>
      <c r="K86" s="9">
        <f t="shared" si="10"/>
        <v>147.68645635327999</v>
      </c>
      <c r="L86" s="10">
        <f t="shared" si="7"/>
        <v>0.3636387580153202</v>
      </c>
      <c r="M86" s="10">
        <f t="shared" si="11"/>
        <v>0.39887994044219194</v>
      </c>
      <c r="P86" s="8">
        <f t="shared" si="12"/>
        <v>8.5154523630353438</v>
      </c>
      <c r="U86" s="8">
        <v>151.5</v>
      </c>
      <c r="V86" s="10">
        <f t="shared" si="13"/>
        <v>0.24597316272867711</v>
      </c>
      <c r="X86" s="8">
        <v>-13</v>
      </c>
      <c r="Y86" s="10"/>
    </row>
    <row r="87" spans="1:25" x14ac:dyDescent="0.2">
      <c r="A87" s="8">
        <v>42.5</v>
      </c>
      <c r="B87" s="8">
        <v>85</v>
      </c>
      <c r="D87">
        <v>550.66337522441995</v>
      </c>
      <c r="E87">
        <v>254.20377019749</v>
      </c>
      <c r="F87">
        <v>130.00712377560001</v>
      </c>
      <c r="G87">
        <v>112.77649154052</v>
      </c>
      <c r="I87" s="9">
        <f t="shared" si="8"/>
        <v>141.42727865697</v>
      </c>
      <c r="J87" s="9">
        <f t="shared" si="9"/>
        <v>420.65625144881994</v>
      </c>
      <c r="K87" s="9">
        <f t="shared" si="10"/>
        <v>141.42727865697</v>
      </c>
      <c r="L87" s="10">
        <f t="shared" si="7"/>
        <v>0.33620629235835109</v>
      </c>
      <c r="M87" s="10">
        <f t="shared" si="11"/>
        <v>0.37186701267125705</v>
      </c>
      <c r="P87" s="8">
        <f t="shared" si="12"/>
        <v>1.1665742182397321</v>
      </c>
      <c r="U87" s="8">
        <v>152</v>
      </c>
      <c r="V87" s="10">
        <f t="shared" si="13"/>
        <v>0.23818588207911884</v>
      </c>
      <c r="X87" s="8">
        <v>-13</v>
      </c>
      <c r="Y87" s="10"/>
    </row>
    <row r="88" spans="1:25" x14ac:dyDescent="0.2">
      <c r="A88" s="8">
        <v>43</v>
      </c>
      <c r="B88" s="8">
        <v>86</v>
      </c>
      <c r="D88">
        <v>539.96855345912002</v>
      </c>
      <c r="E88">
        <v>245.19227313567001</v>
      </c>
      <c r="F88">
        <v>130.13000890472</v>
      </c>
      <c r="G88">
        <v>112.85663401603</v>
      </c>
      <c r="I88" s="9">
        <f t="shared" si="8"/>
        <v>132.33563911964001</v>
      </c>
      <c r="J88" s="9">
        <f t="shared" si="9"/>
        <v>409.83854455440002</v>
      </c>
      <c r="K88" s="9">
        <f t="shared" si="10"/>
        <v>132.33563911964001</v>
      </c>
      <c r="L88" s="10">
        <f t="shared" si="7"/>
        <v>0.32289700634068691</v>
      </c>
      <c r="M88" s="10">
        <f t="shared" si="11"/>
        <v>0.35897726453962703</v>
      </c>
      <c r="P88" s="8">
        <f t="shared" si="12"/>
        <v>-2.3400870788884309</v>
      </c>
      <c r="U88" s="8">
        <v>152.5</v>
      </c>
      <c r="V88" s="10">
        <f t="shared" si="13"/>
        <v>0.24097057731949362</v>
      </c>
      <c r="X88" s="8">
        <v>-13</v>
      </c>
      <c r="Y88" s="10"/>
    </row>
    <row r="89" spans="1:25" x14ac:dyDescent="0.2">
      <c r="A89" s="8">
        <v>43.5</v>
      </c>
      <c r="B89" s="8">
        <v>87</v>
      </c>
      <c r="D89">
        <v>528.69362084455997</v>
      </c>
      <c r="E89">
        <v>236.72866127583001</v>
      </c>
      <c r="F89">
        <v>130.05342831701</v>
      </c>
      <c r="G89">
        <v>112.89225289402999</v>
      </c>
      <c r="I89" s="9">
        <f t="shared" si="8"/>
        <v>123.83640838180001</v>
      </c>
      <c r="J89" s="9">
        <f t="shared" si="9"/>
        <v>398.64019252754997</v>
      </c>
      <c r="K89" s="9">
        <f t="shared" si="10"/>
        <v>123.83640838180001</v>
      </c>
      <c r="L89" s="10">
        <f t="shared" si="7"/>
        <v>0.31064707147722365</v>
      </c>
      <c r="M89" s="10">
        <f t="shared" si="11"/>
        <v>0.34714686756219798</v>
      </c>
      <c r="P89" s="8">
        <f t="shared" si="12"/>
        <v>-5.5585514574601387</v>
      </c>
      <c r="U89" s="8">
        <v>153</v>
      </c>
      <c r="V89" s="10">
        <f t="shared" si="13"/>
        <v>0.23997336206858472</v>
      </c>
      <c r="X89" s="8">
        <v>-13</v>
      </c>
      <c r="Y89" s="10"/>
    </row>
    <row r="90" spans="1:25" x14ac:dyDescent="0.2">
      <c r="A90" s="8">
        <v>44</v>
      </c>
      <c r="B90" s="8">
        <v>88</v>
      </c>
      <c r="D90">
        <v>517.52111410602004</v>
      </c>
      <c r="E90">
        <v>228.43126684635999</v>
      </c>
      <c r="F90">
        <v>129.62422083704001</v>
      </c>
      <c r="G90">
        <v>112.58236865539</v>
      </c>
      <c r="I90" s="9">
        <f t="shared" si="8"/>
        <v>115.84889819096999</v>
      </c>
      <c r="J90" s="9">
        <f t="shared" si="9"/>
        <v>387.89689326898002</v>
      </c>
      <c r="K90" s="9">
        <f t="shared" si="10"/>
        <v>115.84889819096999</v>
      </c>
      <c r="L90" s="10">
        <f t="shared" si="7"/>
        <v>0.29865899985601763</v>
      </c>
      <c r="M90" s="10">
        <f t="shared" si="11"/>
        <v>0.33557833382702612</v>
      </c>
      <c r="P90" s="8">
        <f t="shared" si="12"/>
        <v>-8.705775832938965</v>
      </c>
      <c r="U90" s="8">
        <v>153.5</v>
      </c>
      <c r="V90" s="10">
        <f t="shared" si="13"/>
        <v>0.23770924409793995</v>
      </c>
      <c r="X90" s="8">
        <v>-13</v>
      </c>
      <c r="Y90" s="10"/>
    </row>
    <row r="91" spans="1:25" x14ac:dyDescent="0.2">
      <c r="A91" s="8">
        <v>44.5</v>
      </c>
      <c r="B91" s="8">
        <v>89</v>
      </c>
      <c r="D91">
        <v>518.42407906559004</v>
      </c>
      <c r="E91">
        <v>225.42228212040001</v>
      </c>
      <c r="F91">
        <v>129.83437221727999</v>
      </c>
      <c r="G91">
        <v>112.53161175423</v>
      </c>
      <c r="I91" s="9">
        <f t="shared" si="8"/>
        <v>112.89067036617001</v>
      </c>
      <c r="J91" s="9">
        <f t="shared" si="9"/>
        <v>388.58970684831002</v>
      </c>
      <c r="K91" s="9">
        <f t="shared" si="10"/>
        <v>112.89067036617001</v>
      </c>
      <c r="L91" s="10">
        <f t="shared" si="7"/>
        <v>0.29051379482431339</v>
      </c>
      <c r="M91" s="10">
        <f t="shared" si="11"/>
        <v>0.32785266668135604</v>
      </c>
      <c r="P91" s="8">
        <f t="shared" si="12"/>
        <v>-10.807546767293905</v>
      </c>
      <c r="U91" s="8">
        <v>154</v>
      </c>
      <c r="V91" s="10">
        <f t="shared" si="13"/>
        <v>0.23851214471422824</v>
      </c>
      <c r="X91" s="8">
        <v>-13</v>
      </c>
      <c r="Y91" s="10"/>
    </row>
    <row r="92" spans="1:25" x14ac:dyDescent="0.2">
      <c r="A92" s="8">
        <v>45</v>
      </c>
      <c r="B92" s="8">
        <v>90</v>
      </c>
      <c r="D92">
        <v>500.40322580645</v>
      </c>
      <c r="E92">
        <v>217.02688172043</v>
      </c>
      <c r="F92">
        <v>129.71772039180999</v>
      </c>
      <c r="G92">
        <v>112.6340160285</v>
      </c>
      <c r="I92" s="9">
        <f t="shared" si="8"/>
        <v>104.39286569193</v>
      </c>
      <c r="J92" s="9">
        <f t="shared" si="9"/>
        <v>370.68550541464003</v>
      </c>
      <c r="K92" s="9">
        <f t="shared" si="10"/>
        <v>104.39286569193</v>
      </c>
      <c r="L92" s="10">
        <f t="shared" si="7"/>
        <v>0.2816211159245588</v>
      </c>
      <c r="M92" s="10">
        <f t="shared" si="11"/>
        <v>0.31937952566763567</v>
      </c>
      <c r="P92" s="8">
        <f t="shared" si="12"/>
        <v>-13.112668275836922</v>
      </c>
      <c r="U92" s="8">
        <v>154.5</v>
      </c>
      <c r="V92" s="10">
        <f t="shared" si="13"/>
        <v>0.23739314386357269</v>
      </c>
      <c r="X92" s="8">
        <v>-13</v>
      </c>
      <c r="Y92" s="10"/>
    </row>
    <row r="93" spans="1:25" x14ac:dyDescent="0.2">
      <c r="A93" s="8">
        <v>45.5</v>
      </c>
      <c r="B93" s="8">
        <v>91</v>
      </c>
      <c r="D93">
        <v>487.93727598565999</v>
      </c>
      <c r="E93">
        <v>211.91129032257999</v>
      </c>
      <c r="F93">
        <v>129.65449688334999</v>
      </c>
      <c r="G93">
        <v>112.44701691896999</v>
      </c>
      <c r="I93" s="9">
        <f t="shared" si="8"/>
        <v>99.464273403609994</v>
      </c>
      <c r="J93" s="9">
        <f t="shared" si="9"/>
        <v>358.28277910230997</v>
      </c>
      <c r="K93" s="9">
        <f t="shared" si="10"/>
        <v>99.464273403609994</v>
      </c>
      <c r="L93" s="10">
        <f t="shared" si="7"/>
        <v>0.27761388267898673</v>
      </c>
      <c r="M93" s="10">
        <f t="shared" si="11"/>
        <v>0.31579183030809777</v>
      </c>
      <c r="P93" s="8">
        <f t="shared" si="12"/>
        <v>-14.088702278573246</v>
      </c>
      <c r="U93" s="8">
        <v>155</v>
      </c>
      <c r="V93" s="10">
        <f t="shared" si="13"/>
        <v>0.24210189733205201</v>
      </c>
      <c r="X93" s="8">
        <v>-13</v>
      </c>
      <c r="Y93" s="10"/>
    </row>
    <row r="94" spans="1:25" x14ac:dyDescent="0.2">
      <c r="A94" s="8">
        <v>46</v>
      </c>
      <c r="B94" s="8">
        <v>92</v>
      </c>
      <c r="D94">
        <v>516.58691756272003</v>
      </c>
      <c r="E94">
        <v>215.54749103943001</v>
      </c>
      <c r="F94">
        <v>129.89314336597999</v>
      </c>
      <c r="G94">
        <v>112.63668744435</v>
      </c>
      <c r="I94" s="9">
        <f t="shared" si="8"/>
        <v>102.91080359508001</v>
      </c>
      <c r="J94" s="9">
        <f t="shared" si="9"/>
        <v>386.69377419674004</v>
      </c>
      <c r="K94" s="9">
        <f t="shared" si="10"/>
        <v>102.91080359508001</v>
      </c>
      <c r="L94" s="10">
        <f t="shared" si="7"/>
        <v>0.26612997276424105</v>
      </c>
      <c r="M94" s="10">
        <f t="shared" si="11"/>
        <v>0.3047274582793863</v>
      </c>
      <c r="P94" s="8">
        <f t="shared" si="12"/>
        <v>-17.098769253807731</v>
      </c>
      <c r="U94" s="8">
        <v>155.5</v>
      </c>
      <c r="V94" s="10">
        <f t="shared" si="13"/>
        <v>0.24338112257394087</v>
      </c>
      <c r="X94" s="8">
        <v>-13</v>
      </c>
      <c r="Y94" s="10"/>
    </row>
    <row r="95" spans="1:25" x14ac:dyDescent="0.2">
      <c r="A95" s="8">
        <v>46.5</v>
      </c>
      <c r="B95" s="8">
        <v>93</v>
      </c>
      <c r="D95">
        <v>448.57437275986001</v>
      </c>
      <c r="E95">
        <v>202.35394265233001</v>
      </c>
      <c r="F95">
        <v>129.85040071238001</v>
      </c>
      <c r="G95">
        <v>112.56277827248</v>
      </c>
      <c r="I95" s="9">
        <f t="shared" si="8"/>
        <v>89.791164379850002</v>
      </c>
      <c r="J95" s="9">
        <f t="shared" si="9"/>
        <v>318.72397204748</v>
      </c>
      <c r="K95" s="9">
        <f t="shared" si="10"/>
        <v>89.791164379850002</v>
      </c>
      <c r="L95" s="10">
        <f t="shared" si="7"/>
        <v>0.28172077488565528</v>
      </c>
      <c r="M95" s="10">
        <f t="shared" si="11"/>
        <v>0.32073779828683469</v>
      </c>
      <c r="P95" s="8">
        <f t="shared" si="12"/>
        <v>-12.743149649401841</v>
      </c>
      <c r="U95" s="8">
        <v>156</v>
      </c>
      <c r="V95" s="10">
        <f t="shared" si="13"/>
        <v>0.23797044537233303</v>
      </c>
      <c r="X95" s="8">
        <v>-13</v>
      </c>
      <c r="Y95" s="10"/>
    </row>
    <row r="96" spans="1:25" x14ac:dyDescent="0.2">
      <c r="A96" s="8">
        <v>47</v>
      </c>
      <c r="B96" s="8">
        <v>94</v>
      </c>
      <c r="D96">
        <v>506.09050179211999</v>
      </c>
      <c r="E96">
        <v>211.25089605734999</v>
      </c>
      <c r="F96">
        <v>129.71237756011001</v>
      </c>
      <c r="G96">
        <v>112.76580587712</v>
      </c>
      <c r="I96" s="9">
        <f t="shared" si="8"/>
        <v>98.485090180229989</v>
      </c>
      <c r="J96" s="9">
        <f t="shared" si="9"/>
        <v>376.37812423201001</v>
      </c>
      <c r="K96" s="9">
        <f t="shared" si="10"/>
        <v>98.485090180229989</v>
      </c>
      <c r="L96" s="10">
        <f t="shared" si="7"/>
        <v>0.26166528775067976</v>
      </c>
      <c r="M96" s="10">
        <f t="shared" si="11"/>
        <v>0.30110184903789339</v>
      </c>
      <c r="P96" s="8">
        <f t="shared" si="12"/>
        <v>-18.085117743772024</v>
      </c>
      <c r="U96" s="8">
        <v>156.5</v>
      </c>
      <c r="V96" s="10">
        <f t="shared" si="13"/>
        <v>0.23956702662214499</v>
      </c>
      <c r="X96" s="8">
        <v>-13</v>
      </c>
      <c r="Y96" s="10"/>
    </row>
    <row r="97" spans="1:25" x14ac:dyDescent="0.2">
      <c r="A97" s="8">
        <v>47.5</v>
      </c>
      <c r="B97" s="8">
        <v>95</v>
      </c>
      <c r="D97">
        <v>471.75336322869998</v>
      </c>
      <c r="E97">
        <v>202.84125560538001</v>
      </c>
      <c r="F97">
        <v>129.54407836153001</v>
      </c>
      <c r="G97">
        <v>112.36598397151</v>
      </c>
      <c r="I97" s="9">
        <f t="shared" si="8"/>
        <v>90.475271633870008</v>
      </c>
      <c r="J97" s="9">
        <f t="shared" si="9"/>
        <v>342.20928486716997</v>
      </c>
      <c r="K97" s="9">
        <f t="shared" si="10"/>
        <v>90.475271633870008</v>
      </c>
      <c r="L97" s="10">
        <f t="shared" si="7"/>
        <v>0.26438578856499578</v>
      </c>
      <c r="M97" s="10">
        <f t="shared" si="11"/>
        <v>0.30424188773824357</v>
      </c>
      <c r="P97" s="8">
        <f t="shared" si="12"/>
        <v>-17.230868919857254</v>
      </c>
      <c r="U97" s="8">
        <v>157</v>
      </c>
      <c r="V97" s="10">
        <f t="shared" si="13"/>
        <v>0.23947555092549469</v>
      </c>
      <c r="X97" s="8">
        <v>-13</v>
      </c>
      <c r="Y97" s="10"/>
    </row>
    <row r="98" spans="1:25" x14ac:dyDescent="0.2">
      <c r="A98" s="8">
        <v>48</v>
      </c>
      <c r="B98" s="8">
        <v>96</v>
      </c>
      <c r="D98">
        <v>491.16771300447999</v>
      </c>
      <c r="E98">
        <v>203.68340807174999</v>
      </c>
      <c r="F98">
        <v>129.12733748887001</v>
      </c>
      <c r="G98">
        <v>112.60106856634</v>
      </c>
      <c r="I98" s="9">
        <f t="shared" si="8"/>
        <v>91.08233950540999</v>
      </c>
      <c r="J98" s="9">
        <f t="shared" si="9"/>
        <v>362.04037551560998</v>
      </c>
      <c r="K98" s="9">
        <f t="shared" si="10"/>
        <v>91.08233950540999</v>
      </c>
      <c r="L98" s="10">
        <f t="shared" si="7"/>
        <v>0.25158061273053461</v>
      </c>
      <c r="M98" s="10">
        <f t="shared" si="11"/>
        <v>0.29185624978981661</v>
      </c>
      <c r="P98" s="8">
        <f t="shared" si="12"/>
        <v>-20.600386833664487</v>
      </c>
      <c r="U98" s="8">
        <v>157.5</v>
      </c>
      <c r="V98" s="10">
        <f t="shared" si="13"/>
        <v>0.22924391211409575</v>
      </c>
      <c r="X98" s="8">
        <v>-13</v>
      </c>
      <c r="Y98" s="10"/>
    </row>
    <row r="99" spans="1:25" x14ac:dyDescent="0.2">
      <c r="A99" s="8">
        <v>48.5</v>
      </c>
      <c r="B99" s="8">
        <v>97</v>
      </c>
      <c r="D99">
        <v>496.75156950672999</v>
      </c>
      <c r="E99">
        <v>202.99013452915</v>
      </c>
      <c r="F99">
        <v>129.62065894924001</v>
      </c>
      <c r="G99">
        <v>112.67764915405</v>
      </c>
      <c r="I99" s="9">
        <f t="shared" si="8"/>
        <v>90.312485375099996</v>
      </c>
      <c r="J99" s="9">
        <f t="shared" si="9"/>
        <v>367.13091055748998</v>
      </c>
      <c r="K99" s="9">
        <f t="shared" si="10"/>
        <v>90.312485375099996</v>
      </c>
      <c r="L99" s="10">
        <f t="shared" si="7"/>
        <v>0.24599531877596487</v>
      </c>
      <c r="M99" s="10">
        <f t="shared" si="11"/>
        <v>0.28669049372128108</v>
      </c>
      <c r="P99" s="8">
        <f t="shared" si="12"/>
        <v>-22.005732903343485</v>
      </c>
      <c r="U99" s="8">
        <v>158</v>
      </c>
      <c r="V99" s="10">
        <f t="shared" si="13"/>
        <v>0.2274455970852361</v>
      </c>
      <c r="X99" s="8">
        <v>-13</v>
      </c>
      <c r="Y99" s="10"/>
    </row>
    <row r="100" spans="1:25" x14ac:dyDescent="0.2">
      <c r="A100" s="8">
        <v>49</v>
      </c>
      <c r="B100" s="8">
        <v>98</v>
      </c>
      <c r="D100">
        <v>422.37130044843002</v>
      </c>
      <c r="E100">
        <v>190.47264573991001</v>
      </c>
      <c r="F100">
        <v>129.50133570793</v>
      </c>
      <c r="G100">
        <v>112.54585930543</v>
      </c>
      <c r="I100" s="9">
        <f t="shared" si="8"/>
        <v>77.926786434480007</v>
      </c>
      <c r="J100" s="9">
        <f t="shared" si="9"/>
        <v>292.8699647405</v>
      </c>
      <c r="K100" s="9">
        <f t="shared" si="10"/>
        <v>77.926786434480007</v>
      </c>
      <c r="L100" s="10">
        <f t="shared" si="7"/>
        <v>0.2660798163564766</v>
      </c>
      <c r="M100" s="10">
        <f t="shared" si="11"/>
        <v>0.30719452918782697</v>
      </c>
      <c r="P100" s="8">
        <f t="shared" si="12"/>
        <v>-16.427601595327989</v>
      </c>
      <c r="U100" s="8">
        <v>158.5</v>
      </c>
      <c r="V100" s="10">
        <f t="shared" si="13"/>
        <v>0.22901026521543191</v>
      </c>
      <c r="X100" s="8">
        <v>-13</v>
      </c>
      <c r="Y100" s="10"/>
    </row>
    <row r="101" spans="1:25" x14ac:dyDescent="0.2">
      <c r="A101" s="8">
        <v>49.5</v>
      </c>
      <c r="B101" s="8">
        <v>99</v>
      </c>
      <c r="D101">
        <v>506.45560538117002</v>
      </c>
      <c r="E101">
        <v>202.96412556054</v>
      </c>
      <c r="F101">
        <v>129.17631344613</v>
      </c>
      <c r="G101">
        <v>112.46749777382</v>
      </c>
      <c r="I101" s="9">
        <f t="shared" si="8"/>
        <v>90.496627786719998</v>
      </c>
      <c r="J101" s="9">
        <f t="shared" si="9"/>
        <v>377.27929193504002</v>
      </c>
      <c r="K101" s="9">
        <f t="shared" si="10"/>
        <v>90.496627786719998</v>
      </c>
      <c r="L101" s="10">
        <f t="shared" si="7"/>
        <v>0.23986640592588293</v>
      </c>
      <c r="M101" s="10">
        <f t="shared" si="11"/>
        <v>0.28140065664326747</v>
      </c>
      <c r="P101" s="8">
        <f t="shared" si="12"/>
        <v>-23.44483526284305</v>
      </c>
      <c r="U101" s="8">
        <v>159</v>
      </c>
      <c r="V101" s="10">
        <f t="shared" si="13"/>
        <v>0.22977110699633499</v>
      </c>
      <c r="X101" s="8">
        <v>-13</v>
      </c>
      <c r="Y101" s="10"/>
    </row>
    <row r="102" spans="1:25" x14ac:dyDescent="0.2">
      <c r="A102" s="8">
        <v>50</v>
      </c>
      <c r="B102" s="8">
        <v>100</v>
      </c>
      <c r="D102">
        <v>501.87432675045</v>
      </c>
      <c r="E102">
        <v>200.90215439855999</v>
      </c>
      <c r="F102">
        <v>129.21104185217999</v>
      </c>
      <c r="G102">
        <v>112.81121994657001</v>
      </c>
      <c r="I102" s="9">
        <f t="shared" si="8"/>
        <v>88.09093445198998</v>
      </c>
      <c r="J102" s="9">
        <f t="shared" si="9"/>
        <v>372.66328489827004</v>
      </c>
      <c r="K102" s="9">
        <f t="shared" si="10"/>
        <v>88.09093445198998</v>
      </c>
      <c r="L102" s="10">
        <f t="shared" si="7"/>
        <v>0.23638211227606476</v>
      </c>
      <c r="M102" s="10">
        <f t="shared" si="11"/>
        <v>0.27833590087948351</v>
      </c>
      <c r="P102" s="8">
        <f t="shared" si="12"/>
        <v>-24.278603332805531</v>
      </c>
      <c r="U102" s="8">
        <v>159.5</v>
      </c>
      <c r="V102" s="10">
        <f t="shared" si="13"/>
        <v>0.22785028654683709</v>
      </c>
      <c r="X102" s="8">
        <v>-13</v>
      </c>
      <c r="Y102" s="10"/>
    </row>
    <row r="103" spans="1:25" x14ac:dyDescent="0.2">
      <c r="A103" s="8">
        <v>50.5</v>
      </c>
      <c r="B103" s="8">
        <v>101</v>
      </c>
      <c r="D103">
        <v>543.15080789946001</v>
      </c>
      <c r="E103">
        <v>207.34560143626999</v>
      </c>
      <c r="F103">
        <v>129.60373998219001</v>
      </c>
      <c r="G103">
        <v>112.53428317008</v>
      </c>
      <c r="I103" s="9">
        <f t="shared" si="8"/>
        <v>94.811318266189986</v>
      </c>
      <c r="J103" s="9">
        <f t="shared" si="9"/>
        <v>413.54706791727</v>
      </c>
      <c r="K103" s="9">
        <f t="shared" si="10"/>
        <v>94.811318266189986</v>
      </c>
      <c r="L103" s="10">
        <f t="shared" si="7"/>
        <v>0.22926366941418375</v>
      </c>
      <c r="M103" s="10">
        <f t="shared" si="11"/>
        <v>0.27163699590363666</v>
      </c>
      <c r="P103" s="8">
        <f t="shared" si="12"/>
        <v>-26.101043195249208</v>
      </c>
      <c r="U103" s="8">
        <v>160</v>
      </c>
      <c r="V103" s="10">
        <f t="shared" si="13"/>
        <v>0.22742714865458161</v>
      </c>
      <c r="X103" s="8">
        <v>-13</v>
      </c>
      <c r="Y103" s="10"/>
    </row>
    <row r="104" spans="1:25" x14ac:dyDescent="0.2">
      <c r="A104" s="8">
        <v>51</v>
      </c>
      <c r="B104" s="8">
        <v>102</v>
      </c>
      <c r="D104">
        <v>526.29729729730002</v>
      </c>
      <c r="E104">
        <v>206.34864864865</v>
      </c>
      <c r="F104">
        <v>129.44167408727</v>
      </c>
      <c r="G104">
        <v>112.56723063224</v>
      </c>
      <c r="I104" s="9">
        <f t="shared" si="8"/>
        <v>93.781418016410001</v>
      </c>
      <c r="J104" s="9">
        <f t="shared" si="9"/>
        <v>396.85562321002999</v>
      </c>
      <c r="K104" s="9">
        <f t="shared" si="10"/>
        <v>93.781418016410001</v>
      </c>
      <c r="L104" s="10">
        <f t="shared" si="7"/>
        <v>0.23631117346364919</v>
      </c>
      <c r="M104" s="10">
        <f t="shared" si="11"/>
        <v>0.27910403783913629</v>
      </c>
      <c r="P104" s="8">
        <f t="shared" si="12"/>
        <v>-24.069631356022036</v>
      </c>
      <c r="X104" s="8">
        <v>-13</v>
      </c>
      <c r="Y104" s="10"/>
    </row>
    <row r="105" spans="1:25" x14ac:dyDescent="0.2">
      <c r="A105" s="8">
        <v>51.5</v>
      </c>
      <c r="B105" s="8">
        <v>103</v>
      </c>
      <c r="D105">
        <v>515.36126126125998</v>
      </c>
      <c r="E105">
        <v>203.70630630631001</v>
      </c>
      <c r="F105">
        <v>129.13535173642001</v>
      </c>
      <c r="G105">
        <v>112.49065004452</v>
      </c>
      <c r="I105" s="9">
        <f t="shared" si="8"/>
        <v>91.215656261790016</v>
      </c>
      <c r="J105" s="9">
        <f t="shared" si="9"/>
        <v>386.22590952483995</v>
      </c>
      <c r="K105" s="9">
        <f t="shared" si="10"/>
        <v>91.215656261790016</v>
      </c>
      <c r="L105" s="10">
        <f t="shared" si="7"/>
        <v>0.23617176893701775</v>
      </c>
      <c r="M105" s="10">
        <f t="shared" si="11"/>
        <v>0.27938417119853903</v>
      </c>
      <c r="P105" s="8">
        <f t="shared" si="12"/>
        <v>-23.993420960022014</v>
      </c>
      <c r="V105" s="10"/>
      <c r="X105" s="8">
        <v>-13</v>
      </c>
    </row>
    <row r="106" spans="1:25" x14ac:dyDescent="0.2">
      <c r="A106" s="8">
        <v>52</v>
      </c>
      <c r="B106" s="8">
        <v>104</v>
      </c>
      <c r="D106">
        <v>495.58976660681998</v>
      </c>
      <c r="E106">
        <v>199.35996409335999</v>
      </c>
      <c r="F106">
        <v>129.23241317898999</v>
      </c>
      <c r="G106">
        <v>112.15494211932</v>
      </c>
      <c r="I106" s="9">
        <f t="shared" si="8"/>
        <v>87.205021974039994</v>
      </c>
      <c r="J106" s="9">
        <f t="shared" si="9"/>
        <v>366.35735342782999</v>
      </c>
      <c r="K106" s="9">
        <f t="shared" si="10"/>
        <v>87.205021974039994</v>
      </c>
      <c r="L106" s="10">
        <f t="shared" si="7"/>
        <v>0.23803267808904185</v>
      </c>
      <c r="M106" s="10">
        <f t="shared" si="11"/>
        <v>0.28166461823659733</v>
      </c>
      <c r="P106" s="8">
        <f t="shared" si="12"/>
        <v>-23.373024402475135</v>
      </c>
      <c r="X106" s="8">
        <v>-13</v>
      </c>
    </row>
    <row r="107" spans="1:25" x14ac:dyDescent="0.2">
      <c r="A107" s="8">
        <v>52.5</v>
      </c>
      <c r="B107" s="8">
        <v>105</v>
      </c>
      <c r="D107">
        <v>509.33752244164998</v>
      </c>
      <c r="E107">
        <v>199.12298025134999</v>
      </c>
      <c r="F107">
        <v>129.65716829920001</v>
      </c>
      <c r="G107">
        <v>112.23241317899</v>
      </c>
      <c r="I107" s="9">
        <f t="shared" si="8"/>
        <v>86.890567072359985</v>
      </c>
      <c r="J107" s="9">
        <f t="shared" si="9"/>
        <v>379.68035414244997</v>
      </c>
      <c r="K107" s="9">
        <f t="shared" si="10"/>
        <v>86.890567072359985</v>
      </c>
      <c r="L107" s="10">
        <f t="shared" si="7"/>
        <v>0.22885189113514165</v>
      </c>
      <c r="M107" s="10">
        <f t="shared" si="11"/>
        <v>0.27290336916873131</v>
      </c>
      <c r="P107" s="8">
        <f t="shared" si="12"/>
        <v>-25.7565258260131</v>
      </c>
      <c r="X107" s="8">
        <v>-13</v>
      </c>
    </row>
    <row r="108" spans="1:25" x14ac:dyDescent="0.2">
      <c r="A108" s="8">
        <v>53</v>
      </c>
      <c r="B108" s="8">
        <v>106</v>
      </c>
      <c r="D108">
        <v>502.76280323449998</v>
      </c>
      <c r="E108">
        <v>197.07547169810999</v>
      </c>
      <c r="F108">
        <v>129.31878895815001</v>
      </c>
      <c r="G108">
        <v>112.37132680321</v>
      </c>
      <c r="I108" s="9">
        <f t="shared" si="8"/>
        <v>84.704144894899997</v>
      </c>
      <c r="J108" s="9">
        <f t="shared" si="9"/>
        <v>373.44401427635</v>
      </c>
      <c r="K108" s="9">
        <f t="shared" si="10"/>
        <v>84.704144894899997</v>
      </c>
      <c r="L108" s="10">
        <f t="shared" si="7"/>
        <v>0.22681885813336028</v>
      </c>
      <c r="M108" s="10">
        <f t="shared" si="11"/>
        <v>0.27128987405298416</v>
      </c>
      <c r="P108" s="8">
        <f t="shared" si="12"/>
        <v>-26.19547783793114</v>
      </c>
      <c r="X108" s="8">
        <v>-13</v>
      </c>
    </row>
    <row r="109" spans="1:25" x14ac:dyDescent="0.2">
      <c r="A109" s="8">
        <v>53.5</v>
      </c>
      <c r="B109" s="8">
        <v>107</v>
      </c>
      <c r="D109">
        <v>485.83468104222999</v>
      </c>
      <c r="E109">
        <v>195.42946990116999</v>
      </c>
      <c r="F109">
        <v>129.10240427426999</v>
      </c>
      <c r="G109">
        <v>112.27960819234001</v>
      </c>
      <c r="I109" s="9">
        <f t="shared" si="8"/>
        <v>83.149861708829988</v>
      </c>
      <c r="J109" s="9">
        <f t="shared" si="9"/>
        <v>356.73227676796</v>
      </c>
      <c r="K109" s="9">
        <f t="shared" si="10"/>
        <v>83.149861708829988</v>
      </c>
      <c r="L109" s="10">
        <f t="shared" si="7"/>
        <v>0.23308757610098632</v>
      </c>
      <c r="M109" s="10">
        <f t="shared" si="11"/>
        <v>0.27797812990664439</v>
      </c>
      <c r="P109" s="8">
        <f t="shared" si="12"/>
        <v>-24.375935073571842</v>
      </c>
      <c r="X109" s="8">
        <v>-13</v>
      </c>
    </row>
    <row r="110" spans="1:25" x14ac:dyDescent="0.2">
      <c r="A110" s="8">
        <v>54</v>
      </c>
      <c r="B110" s="8">
        <v>108</v>
      </c>
      <c r="D110">
        <v>484.95058400719</v>
      </c>
      <c r="E110">
        <v>194.97663971249</v>
      </c>
      <c r="F110">
        <v>129.17275155832999</v>
      </c>
      <c r="G110">
        <v>112.42564559216</v>
      </c>
      <c r="I110" s="9">
        <f t="shared" si="8"/>
        <v>82.550994120330003</v>
      </c>
      <c r="J110" s="9">
        <f t="shared" si="9"/>
        <v>355.77783244886001</v>
      </c>
      <c r="K110" s="9">
        <f t="shared" si="10"/>
        <v>82.550994120330003</v>
      </c>
      <c r="L110" s="10">
        <f t="shared" si="7"/>
        <v>0.23202961677550835</v>
      </c>
      <c r="M110" s="10">
        <f t="shared" si="11"/>
        <v>0.27733970846720057</v>
      </c>
      <c r="P110" s="8">
        <f t="shared" si="12"/>
        <v>-24.549617889565809</v>
      </c>
      <c r="X110" s="8">
        <v>-13</v>
      </c>
    </row>
    <row r="111" spans="1:25" x14ac:dyDescent="0.2">
      <c r="A111" s="8">
        <v>54.5</v>
      </c>
      <c r="B111" s="8">
        <v>109</v>
      </c>
      <c r="D111">
        <v>505.75942549372002</v>
      </c>
      <c r="E111">
        <v>197.4829443447</v>
      </c>
      <c r="F111">
        <v>129.01780943899999</v>
      </c>
      <c r="G111">
        <v>112.42208370436001</v>
      </c>
      <c r="I111" s="9">
        <f t="shared" si="8"/>
        <v>85.060860640339996</v>
      </c>
      <c r="J111" s="9">
        <f t="shared" si="9"/>
        <v>376.74161605472</v>
      </c>
      <c r="K111" s="9">
        <f t="shared" si="10"/>
        <v>85.060860640339996</v>
      </c>
      <c r="L111" s="10">
        <f t="shared" si="7"/>
        <v>0.22578036780514657</v>
      </c>
      <c r="M111" s="10">
        <f t="shared" si="11"/>
        <v>0.27150999738287301</v>
      </c>
      <c r="P111" s="8">
        <f t="shared" si="12"/>
        <v>-26.135593195218686</v>
      </c>
      <c r="X111" s="8">
        <v>-13</v>
      </c>
    </row>
    <row r="112" spans="1:25" x14ac:dyDescent="0.2">
      <c r="A112" s="8">
        <v>55</v>
      </c>
      <c r="B112" s="8">
        <v>110</v>
      </c>
      <c r="D112">
        <v>481.48833034110999</v>
      </c>
      <c r="E112">
        <v>194.11669658887001</v>
      </c>
      <c r="F112">
        <v>129.69813000891</v>
      </c>
      <c r="G112">
        <v>112.43900267142</v>
      </c>
      <c r="I112" s="9">
        <f t="shared" si="8"/>
        <v>81.677693917450014</v>
      </c>
      <c r="J112" s="9">
        <f t="shared" si="9"/>
        <v>351.79020033220002</v>
      </c>
      <c r="K112" s="9">
        <f t="shared" si="10"/>
        <v>81.677693917450014</v>
      </c>
      <c r="L112" s="10">
        <f t="shared" si="7"/>
        <v>0.23217728589460626</v>
      </c>
      <c r="M112" s="10">
        <f t="shared" si="11"/>
        <v>0.27832645335836687</v>
      </c>
      <c r="P112" s="8">
        <f t="shared" si="12"/>
        <v>-24.281173534823075</v>
      </c>
      <c r="X112" s="8">
        <v>-13</v>
      </c>
    </row>
    <row r="113" spans="1:24" x14ac:dyDescent="0.2">
      <c r="A113" s="8">
        <v>55.5</v>
      </c>
      <c r="B113" s="8">
        <v>111</v>
      </c>
      <c r="D113">
        <v>479.04749103942999</v>
      </c>
      <c r="E113">
        <v>193.59408602151001</v>
      </c>
      <c r="F113">
        <v>129.26001780944</v>
      </c>
      <c r="G113">
        <v>112.64024933215001</v>
      </c>
      <c r="I113" s="9">
        <f t="shared" si="8"/>
        <v>80.953836689360003</v>
      </c>
      <c r="J113" s="9">
        <f t="shared" si="9"/>
        <v>349.78747322998998</v>
      </c>
      <c r="K113" s="9">
        <f t="shared" si="10"/>
        <v>80.953836689360003</v>
      </c>
      <c r="L113" s="10">
        <f t="shared" si="7"/>
        <v>0.23143720940552884</v>
      </c>
      <c r="M113" s="10">
        <f t="shared" si="11"/>
        <v>0.27800591475532366</v>
      </c>
      <c r="P113" s="8">
        <f t="shared" si="12"/>
        <v>-24.368376194025462</v>
      </c>
      <c r="X113" s="8">
        <v>-13</v>
      </c>
    </row>
    <row r="114" spans="1:24" x14ac:dyDescent="0.2">
      <c r="A114" s="8">
        <v>56</v>
      </c>
      <c r="B114" s="8">
        <v>112</v>
      </c>
      <c r="D114">
        <v>475.24014336917998</v>
      </c>
      <c r="E114">
        <v>192.22670250895999</v>
      </c>
      <c r="F114">
        <v>129.22350845948</v>
      </c>
      <c r="G114">
        <v>112.36331255566</v>
      </c>
      <c r="I114" s="9">
        <f t="shared" si="8"/>
        <v>79.863389953299986</v>
      </c>
      <c r="J114" s="9">
        <f t="shared" si="9"/>
        <v>346.01663490969997</v>
      </c>
      <c r="K114" s="9">
        <f t="shared" si="10"/>
        <v>79.863389953299986</v>
      </c>
      <c r="L114" s="10">
        <f t="shared" si="7"/>
        <v>0.23080794937544535</v>
      </c>
      <c r="M114" s="10">
        <f t="shared" si="11"/>
        <v>0.27779619261127436</v>
      </c>
      <c r="P114" s="8">
        <f t="shared" si="12"/>
        <v>-24.425431189839056</v>
      </c>
      <c r="X114" s="8">
        <v>-13</v>
      </c>
    </row>
    <row r="115" spans="1:24" x14ac:dyDescent="0.2">
      <c r="A115" s="8">
        <v>56.5</v>
      </c>
      <c r="B115" s="8">
        <v>113</v>
      </c>
      <c r="D115">
        <v>488.84234234233998</v>
      </c>
      <c r="E115">
        <v>195.15765765766</v>
      </c>
      <c r="F115">
        <v>129.22617987532999</v>
      </c>
      <c r="G115">
        <v>112.37845057881</v>
      </c>
      <c r="I115" s="9">
        <f t="shared" si="8"/>
        <v>82.779207078849993</v>
      </c>
      <c r="J115" s="9">
        <f t="shared" si="9"/>
        <v>359.61616246700999</v>
      </c>
      <c r="K115" s="9">
        <f t="shared" si="10"/>
        <v>82.779207078849993</v>
      </c>
      <c r="L115" s="10">
        <f t="shared" si="7"/>
        <v>0.23018767151891814</v>
      </c>
      <c r="M115" s="10">
        <f t="shared" si="11"/>
        <v>0.27759545264078134</v>
      </c>
      <c r="P115" s="8">
        <f t="shared" si="12"/>
        <v>-24.480042581630894</v>
      </c>
      <c r="X115" s="8">
        <v>-13</v>
      </c>
    </row>
    <row r="116" spans="1:24" x14ac:dyDescent="0.2">
      <c r="A116" s="8">
        <v>57</v>
      </c>
      <c r="B116" s="8">
        <v>114</v>
      </c>
      <c r="D116">
        <v>561.59099099099001</v>
      </c>
      <c r="E116">
        <v>205.54414414414001</v>
      </c>
      <c r="F116">
        <v>129.24220837044001</v>
      </c>
      <c r="G116">
        <v>112.28940338379</v>
      </c>
      <c r="I116" s="9">
        <f t="shared" si="8"/>
        <v>93.254740760350003</v>
      </c>
      <c r="J116" s="9">
        <f t="shared" si="9"/>
        <v>432.34878262054997</v>
      </c>
      <c r="K116" s="9">
        <f t="shared" si="10"/>
        <v>93.254740760350003</v>
      </c>
      <c r="L116" s="10">
        <f t="shared" si="7"/>
        <v>0.21569331176351395</v>
      </c>
      <c r="M116" s="10">
        <f t="shared" si="11"/>
        <v>0.2635206307714113</v>
      </c>
      <c r="P116" s="8">
        <f t="shared" si="12"/>
        <v>-28.309103678036625</v>
      </c>
      <c r="X116" s="8">
        <v>-13</v>
      </c>
    </row>
    <row r="117" spans="1:24" x14ac:dyDescent="0.2">
      <c r="A117" s="8">
        <v>57.5</v>
      </c>
      <c r="B117" s="8">
        <v>115</v>
      </c>
      <c r="D117">
        <v>525.99373881932001</v>
      </c>
      <c r="E117">
        <v>201.66815742397</v>
      </c>
      <c r="F117">
        <v>128.92341941229</v>
      </c>
      <c r="G117">
        <v>111.87266251113</v>
      </c>
      <c r="I117" s="9">
        <f t="shared" si="8"/>
        <v>89.795494912839999</v>
      </c>
      <c r="J117" s="9">
        <f t="shared" si="9"/>
        <v>397.07031940703001</v>
      </c>
      <c r="K117" s="9">
        <f t="shared" si="10"/>
        <v>89.795494912839999</v>
      </c>
      <c r="L117" s="10">
        <f t="shared" si="7"/>
        <v>0.22614506933416034</v>
      </c>
      <c r="M117" s="10">
        <f t="shared" si="11"/>
        <v>0.27439192622809189</v>
      </c>
      <c r="P117" s="8">
        <f t="shared" si="12"/>
        <v>-25.351563263880667</v>
      </c>
      <c r="X117" s="8">
        <v>-13</v>
      </c>
    </row>
    <row r="118" spans="1:24" x14ac:dyDescent="0.2">
      <c r="A118" s="8">
        <v>58</v>
      </c>
      <c r="B118" s="8">
        <v>116</v>
      </c>
      <c r="D118">
        <v>494.13339301701001</v>
      </c>
      <c r="E118">
        <v>195.83169203222999</v>
      </c>
      <c r="F118">
        <v>129.12733748887001</v>
      </c>
      <c r="G118">
        <v>112.57257346394</v>
      </c>
      <c r="I118" s="9">
        <f t="shared" si="8"/>
        <v>83.259118568289992</v>
      </c>
      <c r="J118" s="9">
        <f t="shared" si="9"/>
        <v>365.00605552814</v>
      </c>
      <c r="K118" s="9">
        <f t="shared" si="10"/>
        <v>83.259118568289992</v>
      </c>
      <c r="L118" s="10">
        <f t="shared" si="7"/>
        <v>0.22810338981313466</v>
      </c>
      <c r="M118" s="10">
        <f t="shared" si="11"/>
        <v>0.27676978459310042</v>
      </c>
      <c r="P118" s="8">
        <f t="shared" si="12"/>
        <v>-24.704665914648018</v>
      </c>
      <c r="X118" s="8">
        <v>-13</v>
      </c>
    </row>
    <row r="119" spans="1:24" x14ac:dyDescent="0.2">
      <c r="A119" s="8">
        <v>58.5</v>
      </c>
      <c r="B119" s="8">
        <v>117</v>
      </c>
      <c r="D119">
        <v>456.36794986570999</v>
      </c>
      <c r="E119">
        <v>190.72247090421001</v>
      </c>
      <c r="F119">
        <v>128.53606411397999</v>
      </c>
      <c r="G119">
        <v>112.42653606411</v>
      </c>
      <c r="I119" s="9">
        <f t="shared" si="8"/>
        <v>78.295934840100017</v>
      </c>
      <c r="J119" s="9">
        <f t="shared" si="9"/>
        <v>327.83188575173</v>
      </c>
      <c r="K119" s="9">
        <f t="shared" si="10"/>
        <v>78.295934840100017</v>
      </c>
      <c r="L119" s="10">
        <f t="shared" si="7"/>
        <v>0.23882952892323056</v>
      </c>
      <c r="M119" s="10">
        <f t="shared" si="11"/>
        <v>0.28791546158923048</v>
      </c>
      <c r="P119" s="8">
        <f t="shared" si="12"/>
        <v>-21.672479889483352</v>
      </c>
      <c r="X119" s="8">
        <v>-13</v>
      </c>
    </row>
    <row r="120" spans="1:24" x14ac:dyDescent="0.2">
      <c r="A120" s="8">
        <v>59</v>
      </c>
      <c r="B120" s="8">
        <v>118</v>
      </c>
      <c r="D120">
        <v>465.40196956133002</v>
      </c>
      <c r="E120">
        <v>191.17547000894999</v>
      </c>
      <c r="F120">
        <v>128.97773820124999</v>
      </c>
      <c r="G120">
        <v>111.95102404274</v>
      </c>
      <c r="I120" s="9">
        <f t="shared" si="8"/>
        <v>79.224445966209984</v>
      </c>
      <c r="J120" s="9">
        <f t="shared" si="9"/>
        <v>336.42423136008006</v>
      </c>
      <c r="K120" s="9">
        <f t="shared" si="10"/>
        <v>79.224445966209984</v>
      </c>
      <c r="L120" s="10">
        <f t="shared" si="7"/>
        <v>0.23548971382330317</v>
      </c>
      <c r="M120" s="10">
        <f t="shared" si="11"/>
        <v>0.28499518437533727</v>
      </c>
      <c r="P120" s="8">
        <f t="shared" si="12"/>
        <v>-22.466942510340594</v>
      </c>
      <c r="X120" s="8">
        <v>-13</v>
      </c>
    </row>
    <row r="121" spans="1:24" x14ac:dyDescent="0.2">
      <c r="A121" s="8">
        <v>59.5</v>
      </c>
      <c r="B121" s="8">
        <v>119</v>
      </c>
      <c r="D121">
        <v>474.48468468469002</v>
      </c>
      <c r="E121">
        <v>191.78198198198001</v>
      </c>
      <c r="F121">
        <v>128.93143365984</v>
      </c>
      <c r="G121">
        <v>112.18610863758001</v>
      </c>
      <c r="I121" s="9">
        <f t="shared" si="8"/>
        <v>79.595873344400005</v>
      </c>
      <c r="J121" s="9">
        <f t="shared" si="9"/>
        <v>345.55325102485006</v>
      </c>
      <c r="K121" s="9">
        <f t="shared" si="10"/>
        <v>79.595873344400005</v>
      </c>
      <c r="L121" s="10">
        <f t="shared" si="7"/>
        <v>0.23034329183225066</v>
      </c>
      <c r="M121" s="10">
        <f t="shared" si="11"/>
        <v>0.28026830027031896</v>
      </c>
      <c r="P121" s="8">
        <f t="shared" si="12"/>
        <v>-23.752893281279508</v>
      </c>
      <c r="X121" s="8">
        <v>-13</v>
      </c>
    </row>
    <row r="122" spans="1:24" x14ac:dyDescent="0.2">
      <c r="A122" s="8">
        <v>60</v>
      </c>
      <c r="B122" s="8">
        <v>120</v>
      </c>
      <c r="D122">
        <v>459.40450450450999</v>
      </c>
      <c r="E122">
        <v>190.84324324324001</v>
      </c>
      <c r="F122">
        <v>128.82813891361999</v>
      </c>
      <c r="G122">
        <v>112.67764915405</v>
      </c>
      <c r="I122" s="9">
        <f t="shared" si="8"/>
        <v>78.165594089190009</v>
      </c>
      <c r="J122" s="9">
        <f t="shared" si="9"/>
        <v>330.57636559088996</v>
      </c>
      <c r="K122" s="9">
        <f t="shared" si="10"/>
        <v>78.165594089190009</v>
      </c>
      <c r="L122" s="10">
        <f t="shared" si="7"/>
        <v>0.2364524576627631</v>
      </c>
      <c r="M122" s="10">
        <f t="shared" si="11"/>
        <v>0.28679700398686558</v>
      </c>
      <c r="P122" s="8">
        <f t="shared" si="12"/>
        <v>-21.976756741648323</v>
      </c>
      <c r="X122" s="8">
        <v>-13</v>
      </c>
    </row>
    <row r="123" spans="1:24" x14ac:dyDescent="0.2">
      <c r="A123" s="8">
        <v>60.5</v>
      </c>
      <c r="B123" s="8">
        <v>121</v>
      </c>
      <c r="D123">
        <v>458.53645364536999</v>
      </c>
      <c r="E123">
        <v>189.73087308730999</v>
      </c>
      <c r="F123">
        <v>129.22974176312999</v>
      </c>
      <c r="G123">
        <v>112.03205699020999</v>
      </c>
      <c r="I123" s="9">
        <f t="shared" si="8"/>
        <v>77.698816097099993</v>
      </c>
      <c r="J123" s="9">
        <f t="shared" si="9"/>
        <v>329.30671188223999</v>
      </c>
      <c r="K123" s="9">
        <f t="shared" si="10"/>
        <v>77.698816097099993</v>
      </c>
      <c r="L123" s="10">
        <f t="shared" si="7"/>
        <v>0.23594665184013944</v>
      </c>
      <c r="M123" s="10">
        <f t="shared" si="11"/>
        <v>0.28671073605027614</v>
      </c>
      <c r="P123" s="8">
        <f t="shared" si="12"/>
        <v>-22.00022596938901</v>
      </c>
      <c r="X123" s="8">
        <v>-13</v>
      </c>
    </row>
    <row r="124" spans="1:24" x14ac:dyDescent="0.2">
      <c r="A124" s="8">
        <v>61</v>
      </c>
      <c r="B124" s="8">
        <v>122</v>
      </c>
      <c r="D124">
        <v>478.51575157515998</v>
      </c>
      <c r="E124">
        <v>192.01260126013</v>
      </c>
      <c r="F124">
        <v>129.38468388246</v>
      </c>
      <c r="G124">
        <v>112.33837934105</v>
      </c>
      <c r="I124" s="9">
        <f t="shared" si="8"/>
        <v>79.674221919079997</v>
      </c>
      <c r="J124" s="9">
        <f t="shared" si="9"/>
        <v>349.13106769269996</v>
      </c>
      <c r="K124" s="9">
        <f t="shared" si="10"/>
        <v>79.674221919079997</v>
      </c>
      <c r="L124" s="10">
        <f t="shared" si="7"/>
        <v>0.22820719578358487</v>
      </c>
      <c r="M124" s="10">
        <f t="shared" si="11"/>
        <v>0.27939081787975573</v>
      </c>
      <c r="P124" s="8">
        <f t="shared" si="12"/>
        <v>-23.991612727654793</v>
      </c>
      <c r="X124" s="8">
        <v>-13</v>
      </c>
    </row>
    <row r="125" spans="1:24" x14ac:dyDescent="0.2">
      <c r="A125" s="8">
        <v>61.5</v>
      </c>
      <c r="B125" s="8">
        <v>123</v>
      </c>
      <c r="D125">
        <v>521.05201793721994</v>
      </c>
      <c r="E125">
        <v>200.39910313901001</v>
      </c>
      <c r="F125">
        <v>128.77382012467001</v>
      </c>
      <c r="G125">
        <v>112.24487978629</v>
      </c>
      <c r="I125" s="9">
        <f t="shared" si="8"/>
        <v>88.15422335272001</v>
      </c>
      <c r="J125" s="9">
        <f t="shared" si="9"/>
        <v>392.27819781254993</v>
      </c>
      <c r="K125" s="9">
        <f t="shared" si="10"/>
        <v>88.15422335272001</v>
      </c>
      <c r="L125" s="10">
        <f t="shared" si="7"/>
        <v>0.22472373903085099</v>
      </c>
      <c r="M125" s="10">
        <f t="shared" si="11"/>
        <v>0.27632689901305607</v>
      </c>
      <c r="P125" s="8">
        <f t="shared" si="12"/>
        <v>-24.825153119420211</v>
      </c>
      <c r="X125" s="8">
        <v>-13</v>
      </c>
    </row>
    <row r="126" spans="1:24" x14ac:dyDescent="0.2">
      <c r="A126" s="8">
        <v>62</v>
      </c>
      <c r="B126" s="8">
        <v>124</v>
      </c>
      <c r="D126">
        <v>546.28609865471003</v>
      </c>
      <c r="E126">
        <v>204.38475336323</v>
      </c>
      <c r="F126">
        <v>128.74354407836</v>
      </c>
      <c r="G126">
        <v>112.21371326803001</v>
      </c>
      <c r="I126" s="9">
        <f t="shared" si="8"/>
        <v>92.171040095199999</v>
      </c>
      <c r="J126" s="9">
        <f t="shared" si="9"/>
        <v>417.54255457635003</v>
      </c>
      <c r="K126" s="9">
        <f t="shared" si="10"/>
        <v>92.171040095199999</v>
      </c>
      <c r="L126" s="10">
        <f t="shared" si="7"/>
        <v>0.22074645825913297</v>
      </c>
      <c r="M126" s="10">
        <f t="shared" si="11"/>
        <v>0.27276915612737224</v>
      </c>
      <c r="P126" s="8">
        <f t="shared" si="12"/>
        <v>-25.793038539287057</v>
      </c>
      <c r="X126" s="8">
        <v>-13</v>
      </c>
    </row>
    <row r="127" spans="1:24" x14ac:dyDescent="0.2">
      <c r="A127" s="8">
        <v>62.5</v>
      </c>
      <c r="B127" s="8">
        <v>125</v>
      </c>
      <c r="D127">
        <v>505.49820788531002</v>
      </c>
      <c r="E127">
        <v>199.79749103943001</v>
      </c>
      <c r="F127">
        <v>128.90382902939001</v>
      </c>
      <c r="G127">
        <v>112.21193232413</v>
      </c>
      <c r="I127" s="9">
        <f t="shared" si="8"/>
        <v>87.58555871530001</v>
      </c>
      <c r="J127" s="9">
        <f t="shared" si="9"/>
        <v>376.59437885592001</v>
      </c>
      <c r="K127" s="9">
        <f t="shared" si="10"/>
        <v>87.58555871530001</v>
      </c>
      <c r="L127" s="10">
        <f t="shared" si="7"/>
        <v>0.23257266606416629</v>
      </c>
      <c r="M127" s="10">
        <f t="shared" si="11"/>
        <v>0.28501490181843975</v>
      </c>
      <c r="P127" s="8">
        <f t="shared" si="12"/>
        <v>-22.46157837180975</v>
      </c>
      <c r="X127" s="8">
        <v>-13</v>
      </c>
    </row>
    <row r="128" spans="1:24" x14ac:dyDescent="0.2">
      <c r="A128" s="8">
        <v>63</v>
      </c>
      <c r="B128" s="8">
        <v>126</v>
      </c>
      <c r="D128">
        <v>499.34825425245998</v>
      </c>
      <c r="E128">
        <v>196.40107430617999</v>
      </c>
      <c r="F128">
        <v>128.91095280498999</v>
      </c>
      <c r="G128">
        <v>111.89937666964001</v>
      </c>
      <c r="I128" s="9">
        <f t="shared" si="8"/>
        <v>84.501697636539987</v>
      </c>
      <c r="J128" s="9">
        <f t="shared" si="9"/>
        <v>370.43730144746996</v>
      </c>
      <c r="K128" s="9">
        <f t="shared" si="10"/>
        <v>84.501697636539987</v>
      </c>
      <c r="L128" s="10">
        <f t="shared" si="7"/>
        <v>0.22811336036180144</v>
      </c>
      <c r="M128" s="10">
        <f t="shared" si="11"/>
        <v>0.28097513400210905</v>
      </c>
      <c r="P128" s="8">
        <f t="shared" si="12"/>
        <v>-23.560598872927905</v>
      </c>
      <c r="X128" s="8">
        <v>-13</v>
      </c>
    </row>
    <row r="129" spans="1:24" x14ac:dyDescent="0.2">
      <c r="A129" s="8">
        <v>63.5</v>
      </c>
      <c r="B129" s="8">
        <v>127</v>
      </c>
      <c r="D129">
        <v>519.04476275739</v>
      </c>
      <c r="E129">
        <v>200.31960608774</v>
      </c>
      <c r="F129">
        <v>129.04630454141</v>
      </c>
      <c r="G129">
        <v>111.90917186109</v>
      </c>
      <c r="I129" s="9">
        <f t="shared" si="8"/>
        <v>88.410434226649997</v>
      </c>
      <c r="J129" s="9">
        <f t="shared" si="9"/>
        <v>389.99845821598001</v>
      </c>
      <c r="K129" s="9">
        <f t="shared" si="10"/>
        <v>88.410434226649997</v>
      </c>
      <c r="L129" s="10">
        <f t="shared" si="7"/>
        <v>0.22669431728288669</v>
      </c>
      <c r="M129" s="10">
        <f t="shared" si="11"/>
        <v>0.27997562880922849</v>
      </c>
      <c r="P129" s="8">
        <f t="shared" si="12"/>
        <v>-23.832514673016515</v>
      </c>
      <c r="X129" s="8">
        <v>-13</v>
      </c>
    </row>
    <row r="130" spans="1:24" x14ac:dyDescent="0.2">
      <c r="A130" s="8">
        <v>64</v>
      </c>
      <c r="B130" s="8">
        <v>128</v>
      </c>
      <c r="D130">
        <v>458.94001790509998</v>
      </c>
      <c r="E130">
        <v>191.91136974038</v>
      </c>
      <c r="F130">
        <v>128.99910952805001</v>
      </c>
      <c r="G130">
        <v>112.03205699020999</v>
      </c>
      <c r="I130" s="9">
        <f t="shared" si="8"/>
        <v>79.879312750170001</v>
      </c>
      <c r="J130" s="9">
        <f t="shared" si="9"/>
        <v>329.94090837704994</v>
      </c>
      <c r="K130" s="9">
        <f t="shared" si="10"/>
        <v>79.879312750170001</v>
      </c>
      <c r="L130" s="10">
        <f t="shared" ref="L130:L193" si="14">K130/J130</f>
        <v>0.24210187558459864</v>
      </c>
      <c r="M130" s="10">
        <f t="shared" si="11"/>
        <v>0.29580272499697463</v>
      </c>
      <c r="P130" s="8">
        <f t="shared" si="12"/>
        <v>-19.526746625361454</v>
      </c>
      <c r="X130" s="8">
        <v>-13</v>
      </c>
    </row>
    <row r="131" spans="1:24" x14ac:dyDescent="0.2">
      <c r="A131" s="8">
        <v>64.5</v>
      </c>
      <c r="B131" s="8">
        <v>129</v>
      </c>
      <c r="D131">
        <v>488.70323741007002</v>
      </c>
      <c r="E131">
        <v>195.64568345324</v>
      </c>
      <c r="F131">
        <v>128.55120213712999</v>
      </c>
      <c r="G131">
        <v>112.21816562778</v>
      </c>
      <c r="I131" s="9">
        <f t="shared" ref="I131:I194" si="15">E131-G131</f>
        <v>83.427517825460001</v>
      </c>
      <c r="J131" s="9">
        <f t="shared" ref="J131:J194" si="16">D131-F131</f>
        <v>360.15203527294</v>
      </c>
      <c r="K131" s="9">
        <f t="shared" ref="K131:K194" si="17">I131*1</f>
        <v>83.427517825460001</v>
      </c>
      <c r="L131" s="10">
        <f t="shared" si="14"/>
        <v>0.2316452765905786</v>
      </c>
      <c r="M131" s="10">
        <f t="shared" ref="M131:M181" si="18">L131+ABS($N$2)*A131</f>
        <v>0.28576566388898877</v>
      </c>
      <c r="P131" s="8">
        <f t="shared" ref="P131:P194" si="19">(M131-$O$2)/$O$2*100</f>
        <v>-22.257333240775282</v>
      </c>
      <c r="X131" s="8">
        <v>-13</v>
      </c>
    </row>
    <row r="132" spans="1:24" x14ac:dyDescent="0.2">
      <c r="A132" s="8">
        <v>65</v>
      </c>
      <c r="B132" s="8">
        <v>130</v>
      </c>
      <c r="D132">
        <v>430.57374100718999</v>
      </c>
      <c r="E132">
        <v>187.63669064748001</v>
      </c>
      <c r="F132">
        <v>128.51113089937999</v>
      </c>
      <c r="G132">
        <v>111.99109528050001</v>
      </c>
      <c r="I132" s="9">
        <f t="shared" si="15"/>
        <v>75.645595366980004</v>
      </c>
      <c r="J132" s="9">
        <f t="shared" si="16"/>
        <v>302.06261010780997</v>
      </c>
      <c r="K132" s="9">
        <f t="shared" si="17"/>
        <v>75.645595366980004</v>
      </c>
      <c r="L132" s="10">
        <f t="shared" si="14"/>
        <v>0.25043018511950593</v>
      </c>
      <c r="M132" s="10">
        <f t="shared" si="18"/>
        <v>0.30497011030395033</v>
      </c>
      <c r="P132" s="8">
        <f t="shared" si="19"/>
        <v>-17.032755670414236</v>
      </c>
      <c r="X132" s="8">
        <v>-13</v>
      </c>
    </row>
    <row r="133" spans="1:24" x14ac:dyDescent="0.2">
      <c r="A133" s="8">
        <v>65.5</v>
      </c>
      <c r="B133" s="8">
        <v>131</v>
      </c>
      <c r="D133">
        <v>509.68124999999998</v>
      </c>
      <c r="E133">
        <v>199.95535714286001</v>
      </c>
      <c r="F133">
        <v>129.05431878895999</v>
      </c>
      <c r="G133">
        <v>112.25200356189001</v>
      </c>
      <c r="I133" s="9">
        <f t="shared" si="15"/>
        <v>87.703353580970003</v>
      </c>
      <c r="J133" s="9">
        <f t="shared" si="16"/>
        <v>380.62693121103996</v>
      </c>
      <c r="K133" s="9">
        <f t="shared" si="17"/>
        <v>87.703353580970003</v>
      </c>
      <c r="L133" s="10">
        <f t="shared" si="14"/>
        <v>0.2304181506598191</v>
      </c>
      <c r="M133" s="10">
        <f t="shared" si="18"/>
        <v>0.28537761373029769</v>
      </c>
      <c r="P133" s="8">
        <f t="shared" si="19"/>
        <v>-22.36290244654489</v>
      </c>
      <c r="X133" s="8">
        <v>-13</v>
      </c>
    </row>
    <row r="134" spans="1:24" x14ac:dyDescent="0.2">
      <c r="A134" s="8">
        <v>66</v>
      </c>
      <c r="B134" s="8">
        <v>132</v>
      </c>
      <c r="D134">
        <v>571.14553571428996</v>
      </c>
      <c r="E134">
        <v>209.61964285714001</v>
      </c>
      <c r="F134">
        <v>128.73909171861001</v>
      </c>
      <c r="G134">
        <v>112.04274265361001</v>
      </c>
      <c r="I134" s="9">
        <f t="shared" si="15"/>
        <v>97.576900203530002</v>
      </c>
      <c r="J134" s="9">
        <f t="shared" si="16"/>
        <v>442.40644399567998</v>
      </c>
      <c r="K134" s="9">
        <f t="shared" si="17"/>
        <v>97.576900203530002</v>
      </c>
      <c r="L134" s="10">
        <f t="shared" si="14"/>
        <v>0.2205594008130741</v>
      </c>
      <c r="M134" s="10">
        <f t="shared" si="18"/>
        <v>0.27593840176958684</v>
      </c>
      <c r="P134" s="8">
        <f t="shared" si="19"/>
        <v>-24.930843954788166</v>
      </c>
      <c r="X134" s="8">
        <v>-13</v>
      </c>
    </row>
    <row r="135" spans="1:24" x14ac:dyDescent="0.2">
      <c r="A135" s="8">
        <v>66.5</v>
      </c>
      <c r="B135" s="8">
        <v>133</v>
      </c>
      <c r="D135">
        <v>528.41250000000002</v>
      </c>
      <c r="E135">
        <v>204.45089285713999</v>
      </c>
      <c r="F135">
        <v>129.41585040071001</v>
      </c>
      <c r="G135">
        <v>112.21282279608</v>
      </c>
      <c r="I135" s="9">
        <f t="shared" si="15"/>
        <v>92.238070061059986</v>
      </c>
      <c r="J135" s="9">
        <f t="shared" si="16"/>
        <v>398.99664959928998</v>
      </c>
      <c r="K135" s="9">
        <f t="shared" si="17"/>
        <v>92.238070061059986</v>
      </c>
      <c r="L135" s="10">
        <f t="shared" si="14"/>
        <v>0.23117504909801659</v>
      </c>
      <c r="M135" s="10">
        <f t="shared" si="18"/>
        <v>0.28697358794056355</v>
      </c>
      <c r="P135" s="8">
        <f t="shared" si="19"/>
        <v>-21.928717004191622</v>
      </c>
      <c r="X135" s="8">
        <v>-13</v>
      </c>
    </row>
    <row r="136" spans="1:24" x14ac:dyDescent="0.2">
      <c r="A136" s="8">
        <v>67</v>
      </c>
      <c r="B136" s="8">
        <v>134</v>
      </c>
      <c r="D136">
        <v>507.44017857143001</v>
      </c>
      <c r="E136">
        <v>200.49196428571</v>
      </c>
      <c r="F136">
        <v>129.00890471950001</v>
      </c>
      <c r="G136">
        <v>111.82457702582001</v>
      </c>
      <c r="I136" s="9">
        <f t="shared" si="15"/>
        <v>88.667387259889992</v>
      </c>
      <c r="J136" s="9">
        <f t="shared" si="16"/>
        <v>378.43127385192997</v>
      </c>
      <c r="K136" s="9">
        <f t="shared" si="17"/>
        <v>88.667387259889992</v>
      </c>
      <c r="L136" s="10">
        <f t="shared" si="14"/>
        <v>0.23430248340041571</v>
      </c>
      <c r="M136" s="10">
        <f t="shared" si="18"/>
        <v>0.29052056012899685</v>
      </c>
      <c r="P136" s="8">
        <f t="shared" si="19"/>
        <v>-20.963761756955449</v>
      </c>
      <c r="X136" s="8">
        <v>-13</v>
      </c>
    </row>
    <row r="137" spans="1:24" x14ac:dyDescent="0.2">
      <c r="A137" s="8">
        <v>67.5</v>
      </c>
      <c r="B137" s="8">
        <v>135</v>
      </c>
      <c r="D137">
        <v>502.14824797844</v>
      </c>
      <c r="E137">
        <v>197.92902066487</v>
      </c>
      <c r="F137">
        <v>129.16651825468</v>
      </c>
      <c r="G137">
        <v>111.94479073909</v>
      </c>
      <c r="I137" s="9">
        <f t="shared" si="15"/>
        <v>85.984229925779999</v>
      </c>
      <c r="J137" s="9">
        <f t="shared" si="16"/>
        <v>372.98172972376</v>
      </c>
      <c r="K137" s="9">
        <f t="shared" si="17"/>
        <v>85.984229925779999</v>
      </c>
      <c r="L137" s="10">
        <f t="shared" si="14"/>
        <v>0.2305320155747633</v>
      </c>
      <c r="M137" s="10">
        <f t="shared" si="18"/>
        <v>0.28716963018937858</v>
      </c>
      <c r="P137" s="8">
        <f t="shared" si="19"/>
        <v>-21.875383629520424</v>
      </c>
      <c r="X137" s="8">
        <v>-13</v>
      </c>
    </row>
    <row r="138" spans="1:24" x14ac:dyDescent="0.2">
      <c r="A138" s="8">
        <v>68</v>
      </c>
      <c r="B138" s="8">
        <v>136</v>
      </c>
      <c r="D138">
        <v>515.78167115903</v>
      </c>
      <c r="E138">
        <v>199.93890386343</v>
      </c>
      <c r="F138">
        <v>129.21549421193001</v>
      </c>
      <c r="G138">
        <v>112.10596616207</v>
      </c>
      <c r="I138" s="9">
        <f t="shared" si="15"/>
        <v>87.832937701359995</v>
      </c>
      <c r="J138" s="9">
        <f t="shared" si="16"/>
        <v>386.56617694709996</v>
      </c>
      <c r="K138" s="9">
        <f t="shared" si="17"/>
        <v>87.832937701359995</v>
      </c>
      <c r="L138" s="10">
        <f t="shared" si="14"/>
        <v>0.22721319903106676</v>
      </c>
      <c r="M138" s="10">
        <f t="shared" si="18"/>
        <v>0.28427035153171626</v>
      </c>
      <c r="P138" s="8">
        <f t="shared" si="19"/>
        <v>-22.66413358449169</v>
      </c>
      <c r="X138" s="8">
        <v>-13</v>
      </c>
    </row>
    <row r="139" spans="1:24" x14ac:dyDescent="0.2">
      <c r="A139" s="8">
        <v>68.5</v>
      </c>
      <c r="B139" s="8">
        <v>137</v>
      </c>
      <c r="D139">
        <v>528.00898472596998</v>
      </c>
      <c r="E139">
        <v>202.4734950584</v>
      </c>
      <c r="F139">
        <v>129.19946571682999</v>
      </c>
      <c r="G139">
        <v>111.73642030276</v>
      </c>
      <c r="I139" s="9">
        <f t="shared" si="15"/>
        <v>90.737074755640009</v>
      </c>
      <c r="J139" s="9">
        <f t="shared" si="16"/>
        <v>398.80951900913999</v>
      </c>
      <c r="K139" s="9">
        <f t="shared" si="17"/>
        <v>90.737074755640009</v>
      </c>
      <c r="L139" s="10">
        <f t="shared" si="14"/>
        <v>0.22751983197662962</v>
      </c>
      <c r="M139" s="10">
        <f t="shared" si="18"/>
        <v>0.2849965223633133</v>
      </c>
      <c r="P139" s="8">
        <f t="shared" si="19"/>
        <v>-22.466578510159703</v>
      </c>
      <c r="X139" s="8">
        <v>-13</v>
      </c>
    </row>
    <row r="140" spans="1:24" x14ac:dyDescent="0.2">
      <c r="A140" s="8">
        <v>69</v>
      </c>
      <c r="B140" s="8">
        <v>138</v>
      </c>
      <c r="D140">
        <v>528.25022341375995</v>
      </c>
      <c r="E140">
        <v>202.86327077748001</v>
      </c>
      <c r="F140">
        <v>128.73463935885999</v>
      </c>
      <c r="G140">
        <v>112.0142475512</v>
      </c>
      <c r="I140" s="9">
        <f t="shared" si="15"/>
        <v>90.849023226280011</v>
      </c>
      <c r="J140" s="9">
        <f t="shared" si="16"/>
        <v>399.51558405489993</v>
      </c>
      <c r="K140" s="9">
        <f t="shared" si="17"/>
        <v>90.849023226280011</v>
      </c>
      <c r="L140" s="10">
        <f t="shared" si="14"/>
        <v>0.22739794604306568</v>
      </c>
      <c r="M140" s="10">
        <f t="shared" si="18"/>
        <v>0.28529417431578352</v>
      </c>
      <c r="P140" s="8">
        <f t="shared" si="19"/>
        <v>-22.385602173688035</v>
      </c>
      <c r="X140" s="8">
        <v>-13</v>
      </c>
    </row>
    <row r="141" spans="1:24" x14ac:dyDescent="0.2">
      <c r="A141" s="8">
        <v>69.5</v>
      </c>
      <c r="B141" s="8">
        <v>139</v>
      </c>
      <c r="D141">
        <v>556.20017873101006</v>
      </c>
      <c r="E141">
        <v>208.05183199285</v>
      </c>
      <c r="F141">
        <v>129.17364203028001</v>
      </c>
      <c r="G141">
        <v>111.93143365984</v>
      </c>
      <c r="I141" s="9">
        <f t="shared" si="15"/>
        <v>96.120398333010002</v>
      </c>
      <c r="J141" s="9">
        <f t="shared" si="16"/>
        <v>427.02653670073005</v>
      </c>
      <c r="K141" s="9">
        <f t="shared" si="17"/>
        <v>96.120398333010002</v>
      </c>
      <c r="L141" s="10">
        <f t="shared" si="14"/>
        <v>0.22509233050397842</v>
      </c>
      <c r="M141" s="10">
        <f t="shared" si="18"/>
        <v>0.28340809666273048</v>
      </c>
      <c r="P141" s="8">
        <f t="shared" si="19"/>
        <v>-22.898710377339416</v>
      </c>
      <c r="X141" s="8">
        <v>-13</v>
      </c>
    </row>
    <row r="142" spans="1:24" x14ac:dyDescent="0.2">
      <c r="A142" s="8">
        <v>70</v>
      </c>
      <c r="B142" s="8">
        <v>140</v>
      </c>
      <c r="D142">
        <v>499.89722966935</v>
      </c>
      <c r="E142">
        <v>200.38427167114</v>
      </c>
      <c r="F142">
        <v>128.59038290294001</v>
      </c>
      <c r="G142">
        <v>112.00445235975</v>
      </c>
      <c r="I142" s="9">
        <f t="shared" si="15"/>
        <v>88.379819311389994</v>
      </c>
      <c r="J142" s="9">
        <f t="shared" si="16"/>
        <v>371.30684676640999</v>
      </c>
      <c r="K142" s="9">
        <f t="shared" si="17"/>
        <v>88.379819311389994</v>
      </c>
      <c r="L142" s="10">
        <f t="shared" si="14"/>
        <v>0.23802367255293289</v>
      </c>
      <c r="M142" s="10">
        <f t="shared" si="18"/>
        <v>0.2967589765977191</v>
      </c>
      <c r="P142" s="8">
        <f t="shared" si="19"/>
        <v>-19.266597982858581</v>
      </c>
      <c r="X142" s="8">
        <v>-13</v>
      </c>
    </row>
    <row r="143" spans="1:24" x14ac:dyDescent="0.2">
      <c r="A143" s="8">
        <v>70.5</v>
      </c>
      <c r="B143" s="8">
        <v>141</v>
      </c>
      <c r="D143">
        <v>533.90270270270003</v>
      </c>
      <c r="E143">
        <v>209.78198198198001</v>
      </c>
      <c r="F143">
        <v>128.81300089046999</v>
      </c>
      <c r="G143">
        <v>112.13178984862</v>
      </c>
      <c r="I143" s="9">
        <f t="shared" si="15"/>
        <v>97.650192133360008</v>
      </c>
      <c r="J143" s="9">
        <f t="shared" si="16"/>
        <v>405.08970181223003</v>
      </c>
      <c r="K143" s="9">
        <f t="shared" si="17"/>
        <v>97.650192133360008</v>
      </c>
      <c r="L143" s="10">
        <f t="shared" si="14"/>
        <v>0.24105819450977675</v>
      </c>
      <c r="M143" s="10">
        <f t="shared" si="18"/>
        <v>0.30021303644059716</v>
      </c>
      <c r="P143" s="8">
        <f t="shared" si="19"/>
        <v>-18.326919577563523</v>
      </c>
      <c r="X143" s="8">
        <v>-13</v>
      </c>
    </row>
    <row r="144" spans="1:24" x14ac:dyDescent="0.2">
      <c r="A144" s="8">
        <v>71</v>
      </c>
      <c r="B144" s="8">
        <v>142</v>
      </c>
      <c r="D144">
        <v>695.68198198198002</v>
      </c>
      <c r="E144">
        <v>244.76486486486999</v>
      </c>
      <c r="F144">
        <v>128.74621549420999</v>
      </c>
      <c r="G144">
        <v>111.99020480855</v>
      </c>
      <c r="I144" s="9">
        <f t="shared" si="15"/>
        <v>132.77466005631999</v>
      </c>
      <c r="J144" s="9">
        <f t="shared" si="16"/>
        <v>566.93576648777002</v>
      </c>
      <c r="K144" s="9">
        <f t="shared" si="17"/>
        <v>132.77466005631999</v>
      </c>
      <c r="L144" s="10">
        <f t="shared" si="14"/>
        <v>0.23419700767667867</v>
      </c>
      <c r="M144" s="10">
        <f t="shared" si="18"/>
        <v>0.29377138749353326</v>
      </c>
      <c r="P144" s="8">
        <f t="shared" si="19"/>
        <v>-20.079372831240779</v>
      </c>
    </row>
    <row r="145" spans="1:16" x14ac:dyDescent="0.2">
      <c r="A145" s="8">
        <v>71.5</v>
      </c>
      <c r="B145" s="8">
        <v>143</v>
      </c>
      <c r="D145">
        <v>723.57965796580004</v>
      </c>
      <c r="E145">
        <v>243.70657065706999</v>
      </c>
      <c r="F145">
        <v>128.69011576135</v>
      </c>
      <c r="G145">
        <v>112.07301869990999</v>
      </c>
      <c r="I145" s="9">
        <f t="shared" si="15"/>
        <v>131.63355195715999</v>
      </c>
      <c r="J145" s="9">
        <f t="shared" si="16"/>
        <v>594.88954220444998</v>
      </c>
      <c r="K145" s="9">
        <f t="shared" si="17"/>
        <v>131.63355195715999</v>
      </c>
      <c r="L145" s="10">
        <f t="shared" si="14"/>
        <v>0.22127393846826196</v>
      </c>
      <c r="M145" s="10">
        <f t="shared" si="18"/>
        <v>0.2812678561711508</v>
      </c>
      <c r="P145" s="8">
        <f t="shared" si="19"/>
        <v>-23.480963686071828</v>
      </c>
    </row>
    <row r="146" spans="1:16" x14ac:dyDescent="0.2">
      <c r="A146" s="8">
        <v>72</v>
      </c>
      <c r="B146" s="8">
        <v>144</v>
      </c>
      <c r="D146">
        <v>741.77597109303997</v>
      </c>
      <c r="E146">
        <v>247.39295392954</v>
      </c>
      <c r="F146">
        <v>128.82368655387</v>
      </c>
      <c r="G146">
        <v>112.22439893143</v>
      </c>
      <c r="I146" s="9">
        <f t="shared" si="15"/>
        <v>135.16855499810998</v>
      </c>
      <c r="J146" s="9">
        <f t="shared" si="16"/>
        <v>612.95228453917002</v>
      </c>
      <c r="K146" s="9">
        <f t="shared" si="17"/>
        <v>135.16855499810998</v>
      </c>
      <c r="L146" s="10">
        <f t="shared" si="14"/>
        <v>0.22052051751423432</v>
      </c>
      <c r="M146" s="10">
        <f t="shared" si="18"/>
        <v>0.28093397310315732</v>
      </c>
      <c r="P146" s="8">
        <f t="shared" si="19"/>
        <v>-23.57179671246946</v>
      </c>
    </row>
    <row r="147" spans="1:16" x14ac:dyDescent="0.2">
      <c r="A147" s="8">
        <v>72.5</v>
      </c>
      <c r="B147" s="8">
        <v>145</v>
      </c>
      <c r="D147">
        <v>752.09665763324006</v>
      </c>
      <c r="E147">
        <v>248.10207768743999</v>
      </c>
      <c r="F147">
        <v>129.08459483525999</v>
      </c>
      <c r="G147">
        <v>111.83081032948</v>
      </c>
      <c r="I147" s="9">
        <f t="shared" si="15"/>
        <v>136.27126735795997</v>
      </c>
      <c r="J147" s="9">
        <f t="shared" si="16"/>
        <v>623.01206279798009</v>
      </c>
      <c r="K147" s="9">
        <f t="shared" si="17"/>
        <v>136.27126735795997</v>
      </c>
      <c r="L147" s="10">
        <f t="shared" si="14"/>
        <v>0.21872974135678611</v>
      </c>
      <c r="M147" s="10">
        <f t="shared" si="18"/>
        <v>0.27956273483174332</v>
      </c>
      <c r="P147" s="8">
        <f t="shared" si="19"/>
        <v>-23.94484264993886</v>
      </c>
    </row>
    <row r="148" spans="1:16" x14ac:dyDescent="0.2">
      <c r="A148" s="8">
        <v>73</v>
      </c>
      <c r="B148" s="8">
        <v>146</v>
      </c>
      <c r="D148">
        <v>764.03342366756999</v>
      </c>
      <c r="E148">
        <v>251.36133694669999</v>
      </c>
      <c r="F148">
        <v>128.6803205699</v>
      </c>
      <c r="G148">
        <v>111.66162065895</v>
      </c>
      <c r="I148" s="9">
        <f t="shared" si="15"/>
        <v>139.69971628774999</v>
      </c>
      <c r="J148" s="9">
        <f t="shared" si="16"/>
        <v>635.35310309766999</v>
      </c>
      <c r="K148" s="9">
        <f t="shared" si="17"/>
        <v>139.69971628774999</v>
      </c>
      <c r="L148" s="10">
        <f t="shared" si="14"/>
        <v>0.21987728651460539</v>
      </c>
      <c r="M148" s="10">
        <f t="shared" si="18"/>
        <v>0.28112981787559677</v>
      </c>
      <c r="P148" s="8">
        <f t="shared" si="19"/>
        <v>-23.518517061327707</v>
      </c>
    </row>
    <row r="149" spans="1:16" x14ac:dyDescent="0.2">
      <c r="A149" s="8">
        <v>73.5</v>
      </c>
      <c r="B149" s="8">
        <v>147</v>
      </c>
      <c r="D149">
        <v>757.85727190604996</v>
      </c>
      <c r="E149">
        <v>253.79584462510999</v>
      </c>
      <c r="F149">
        <v>129.25556544969001</v>
      </c>
      <c r="G149">
        <v>111.83170080143</v>
      </c>
      <c r="I149" s="9">
        <f t="shared" si="15"/>
        <v>141.96414382367999</v>
      </c>
      <c r="J149" s="9">
        <f t="shared" si="16"/>
        <v>628.60170645635992</v>
      </c>
      <c r="K149" s="9">
        <f t="shared" si="17"/>
        <v>141.96414382367999</v>
      </c>
      <c r="L149" s="10">
        <f t="shared" si="14"/>
        <v>0.22584116836713633</v>
      </c>
      <c r="M149" s="10">
        <f t="shared" si="18"/>
        <v>0.28751323761416187</v>
      </c>
      <c r="P149" s="8">
        <f t="shared" si="19"/>
        <v>-21.781905087846152</v>
      </c>
    </row>
    <row r="150" spans="1:16" x14ac:dyDescent="0.2">
      <c r="A150" s="8">
        <v>74</v>
      </c>
      <c r="B150" s="8">
        <v>148</v>
      </c>
      <c r="D150">
        <v>768.08130081300999</v>
      </c>
      <c r="E150">
        <v>258.68834688346999</v>
      </c>
      <c r="F150">
        <v>128.63668744435</v>
      </c>
      <c r="G150">
        <v>111.85218165628</v>
      </c>
      <c r="I150" s="9">
        <f t="shared" si="15"/>
        <v>146.83616522719001</v>
      </c>
      <c r="J150" s="9">
        <f t="shared" si="16"/>
        <v>639.44461336865993</v>
      </c>
      <c r="K150" s="9">
        <f t="shared" si="17"/>
        <v>146.83616522719001</v>
      </c>
      <c r="L150" s="10">
        <f t="shared" si="14"/>
        <v>0.22963077983195762</v>
      </c>
      <c r="M150" s="10">
        <f t="shared" si="18"/>
        <v>0.29172238696501734</v>
      </c>
      <c r="P150" s="8">
        <f t="shared" si="19"/>
        <v>-20.636804270378857</v>
      </c>
    </row>
    <row r="151" spans="1:16" x14ac:dyDescent="0.2">
      <c r="A151" s="8">
        <v>74.5</v>
      </c>
      <c r="B151" s="8">
        <v>149</v>
      </c>
      <c r="D151">
        <v>781.58055805581</v>
      </c>
      <c r="E151">
        <v>254.00270027003</v>
      </c>
      <c r="F151">
        <v>129.06233303651001</v>
      </c>
      <c r="G151">
        <v>111.62422083704</v>
      </c>
      <c r="I151" s="9">
        <f t="shared" si="15"/>
        <v>142.37847943298999</v>
      </c>
      <c r="J151" s="9">
        <f t="shared" si="16"/>
        <v>652.51822501929996</v>
      </c>
      <c r="K151" s="9">
        <f t="shared" si="17"/>
        <v>142.37847943298999</v>
      </c>
      <c r="L151" s="10">
        <f t="shared" si="14"/>
        <v>0.21819847166533743</v>
      </c>
      <c r="M151" s="10">
        <f t="shared" si="18"/>
        <v>0.2807096166844314</v>
      </c>
      <c r="P151" s="8">
        <f t="shared" si="19"/>
        <v>-23.632832968746484</v>
      </c>
    </row>
    <row r="152" spans="1:16" x14ac:dyDescent="0.2">
      <c r="A152" s="8">
        <v>75</v>
      </c>
      <c r="B152" s="8">
        <v>150</v>
      </c>
      <c r="D152">
        <v>793.47794779477999</v>
      </c>
      <c r="E152">
        <v>253.96939693969</v>
      </c>
      <c r="F152">
        <v>129.33392698130001</v>
      </c>
      <c r="G152">
        <v>112.11932324132</v>
      </c>
      <c r="I152" s="9">
        <f t="shared" si="15"/>
        <v>141.85007369837001</v>
      </c>
      <c r="J152" s="9">
        <f t="shared" si="16"/>
        <v>664.14402081347998</v>
      </c>
      <c r="K152" s="9">
        <f t="shared" si="17"/>
        <v>141.85007369837001</v>
      </c>
      <c r="L152" s="10">
        <f t="shared" si="14"/>
        <v>0.21358330309836152</v>
      </c>
      <c r="M152" s="10">
        <f t="shared" si="18"/>
        <v>0.27651398600348964</v>
      </c>
      <c r="P152" s="8">
        <f t="shared" si="19"/>
        <v>-24.774256026486356</v>
      </c>
    </row>
    <row r="153" spans="1:16" x14ac:dyDescent="0.2">
      <c r="A153" s="8">
        <v>75.5</v>
      </c>
      <c r="B153" s="8">
        <v>151</v>
      </c>
      <c r="D153">
        <v>779.94689468947001</v>
      </c>
      <c r="E153">
        <v>252.36723672367</v>
      </c>
      <c r="F153">
        <v>128.78361531612001</v>
      </c>
      <c r="G153">
        <v>111.87800534282999</v>
      </c>
      <c r="I153" s="9">
        <f t="shared" si="15"/>
        <v>140.48923138084001</v>
      </c>
      <c r="J153" s="9">
        <f t="shared" si="16"/>
        <v>651.16327937334995</v>
      </c>
      <c r="K153" s="9">
        <f t="shared" si="17"/>
        <v>140.48923138084001</v>
      </c>
      <c r="L153" s="10">
        <f t="shared" si="14"/>
        <v>0.21575115770662082</v>
      </c>
      <c r="M153" s="10">
        <f t="shared" si="18"/>
        <v>0.27910137849778316</v>
      </c>
      <c r="P153" s="8">
        <f t="shared" si="19"/>
        <v>-24.07035483093432</v>
      </c>
    </row>
    <row r="154" spans="1:16" x14ac:dyDescent="0.2">
      <c r="A154" s="8">
        <v>76</v>
      </c>
      <c r="B154" s="8">
        <v>152</v>
      </c>
      <c r="D154">
        <v>778.77047704770996</v>
      </c>
      <c r="E154">
        <v>250.85958595860001</v>
      </c>
      <c r="F154">
        <v>128.01157613535</v>
      </c>
      <c r="G154">
        <v>112.16918967053</v>
      </c>
      <c r="I154" s="9">
        <f t="shared" si="15"/>
        <v>138.69039628807002</v>
      </c>
      <c r="J154" s="9">
        <f t="shared" si="16"/>
        <v>650.75890091235999</v>
      </c>
      <c r="K154" s="9">
        <f t="shared" si="17"/>
        <v>138.69039628807002</v>
      </c>
      <c r="L154" s="10">
        <f t="shared" si="14"/>
        <v>0.21312101316421017</v>
      </c>
      <c r="M154" s="10">
        <f t="shared" si="18"/>
        <v>0.27689077184140665</v>
      </c>
      <c r="P154" s="8">
        <f t="shared" si="19"/>
        <v>-24.671751283830652</v>
      </c>
    </row>
    <row r="155" spans="1:16" x14ac:dyDescent="0.2">
      <c r="A155" s="8">
        <v>76.5</v>
      </c>
      <c r="B155" s="8">
        <v>153</v>
      </c>
      <c r="D155">
        <v>788</v>
      </c>
      <c r="E155">
        <v>252.37803780377999</v>
      </c>
      <c r="F155">
        <v>128.89225289403001</v>
      </c>
      <c r="G155">
        <v>112.05609973286001</v>
      </c>
      <c r="I155" s="9">
        <f t="shared" si="15"/>
        <v>140.32193807092</v>
      </c>
      <c r="J155" s="9">
        <f t="shared" si="16"/>
        <v>659.10774710597002</v>
      </c>
      <c r="K155" s="9">
        <f t="shared" si="17"/>
        <v>140.32193807092</v>
      </c>
      <c r="L155" s="10">
        <f t="shared" si="14"/>
        <v>0.21289681192043297</v>
      </c>
      <c r="M155" s="10">
        <f t="shared" si="18"/>
        <v>0.27708610848366366</v>
      </c>
      <c r="P155" s="8">
        <f t="shared" si="19"/>
        <v>-24.618609869714668</v>
      </c>
    </row>
    <row r="156" spans="1:16" x14ac:dyDescent="0.2">
      <c r="A156" s="8">
        <v>77</v>
      </c>
      <c r="B156" s="8">
        <v>154</v>
      </c>
      <c r="D156">
        <v>780.22142214221003</v>
      </c>
      <c r="E156">
        <v>247.76417641763999</v>
      </c>
      <c r="F156">
        <v>128.83437221727999</v>
      </c>
      <c r="G156">
        <v>111.62333036509</v>
      </c>
      <c r="I156" s="9">
        <f t="shared" si="15"/>
        <v>136.14084605254999</v>
      </c>
      <c r="J156" s="9">
        <f t="shared" si="16"/>
        <v>651.38704992493001</v>
      </c>
      <c r="K156" s="9">
        <f t="shared" si="17"/>
        <v>136.14084605254999</v>
      </c>
      <c r="L156" s="10">
        <f t="shared" si="14"/>
        <v>0.20900146244577586</v>
      </c>
      <c r="M156" s="10">
        <f t="shared" si="18"/>
        <v>0.27361029689504074</v>
      </c>
      <c r="P156" s="8">
        <f t="shared" si="19"/>
        <v>-25.564205846413728</v>
      </c>
    </row>
    <row r="157" spans="1:16" x14ac:dyDescent="0.2">
      <c r="A157" s="8">
        <v>77.5</v>
      </c>
      <c r="B157" s="8">
        <v>155</v>
      </c>
      <c r="D157">
        <v>762.23366159354998</v>
      </c>
      <c r="E157">
        <v>247.94091316025001</v>
      </c>
      <c r="F157">
        <v>128.85129118432999</v>
      </c>
      <c r="G157">
        <v>111.83971504898</v>
      </c>
      <c r="I157" s="9">
        <f t="shared" si="15"/>
        <v>136.10119811127001</v>
      </c>
      <c r="J157" s="9">
        <f t="shared" si="16"/>
        <v>633.38237040922002</v>
      </c>
      <c r="K157" s="9">
        <f t="shared" si="17"/>
        <v>136.10119811127001</v>
      </c>
      <c r="L157" s="10">
        <f t="shared" si="14"/>
        <v>0.21487999109185313</v>
      </c>
      <c r="M157" s="10">
        <f t="shared" si="18"/>
        <v>0.2799083634271522</v>
      </c>
      <c r="P157" s="8">
        <f t="shared" si="19"/>
        <v>-23.850814247962024</v>
      </c>
    </row>
    <row r="158" spans="1:16" x14ac:dyDescent="0.2">
      <c r="A158" s="8">
        <v>78</v>
      </c>
      <c r="B158" s="8">
        <v>156</v>
      </c>
      <c r="D158">
        <v>760.84691136974004</v>
      </c>
      <c r="E158">
        <v>247.87735004475999</v>
      </c>
      <c r="F158">
        <v>128.31166518255</v>
      </c>
      <c r="G158">
        <v>111.80765805877</v>
      </c>
      <c r="I158" s="9">
        <f t="shared" si="15"/>
        <v>136.06969198599</v>
      </c>
      <c r="J158" s="9">
        <f t="shared" si="16"/>
        <v>632.53524618719007</v>
      </c>
      <c r="K158" s="9">
        <f t="shared" si="17"/>
        <v>136.06969198599</v>
      </c>
      <c r="L158" s="10">
        <f t="shared" si="14"/>
        <v>0.2151179603131903</v>
      </c>
      <c r="M158" s="10">
        <f t="shared" si="18"/>
        <v>0.28056587053452353</v>
      </c>
      <c r="P158" s="8">
        <f t="shared" si="19"/>
        <v>-23.671939168134209</v>
      </c>
    </row>
    <row r="159" spans="1:16" x14ac:dyDescent="0.2">
      <c r="A159" s="8">
        <v>78.5</v>
      </c>
      <c r="B159" s="8">
        <v>157</v>
      </c>
      <c r="D159">
        <v>778.98209489705005</v>
      </c>
      <c r="E159">
        <v>250.19158460161</v>
      </c>
      <c r="F159">
        <v>128.91807658059</v>
      </c>
      <c r="G159">
        <v>111.96705253784999</v>
      </c>
      <c r="I159" s="9">
        <f t="shared" si="15"/>
        <v>138.22453206376002</v>
      </c>
      <c r="J159" s="9">
        <f t="shared" si="16"/>
        <v>650.06401831646008</v>
      </c>
      <c r="K159" s="9">
        <f t="shared" si="17"/>
        <v>138.22453206376002</v>
      </c>
      <c r="L159" s="10">
        <f t="shared" si="14"/>
        <v>0.21263218416816054</v>
      </c>
      <c r="M159" s="10">
        <f t="shared" si="18"/>
        <v>0.27849963227552799</v>
      </c>
      <c r="P159" s="8">
        <f t="shared" si="19"/>
        <v>-24.234060138961038</v>
      </c>
    </row>
    <row r="160" spans="1:16" x14ac:dyDescent="0.2">
      <c r="A160" s="8">
        <v>79</v>
      </c>
      <c r="B160" s="8">
        <v>158</v>
      </c>
      <c r="D160">
        <v>760.31692032229</v>
      </c>
      <c r="E160">
        <v>249.41450313339001</v>
      </c>
      <c r="F160">
        <v>128.67408726625001</v>
      </c>
      <c r="G160">
        <v>111.59216384683999</v>
      </c>
      <c r="I160" s="9">
        <f t="shared" si="15"/>
        <v>137.82233928655</v>
      </c>
      <c r="J160" s="9">
        <f t="shared" si="16"/>
        <v>631.64283305603999</v>
      </c>
      <c r="K160" s="9">
        <f t="shared" si="17"/>
        <v>137.82233928655</v>
      </c>
      <c r="L160" s="10">
        <f t="shared" si="14"/>
        <v>0.21819663277066309</v>
      </c>
      <c r="M160" s="10">
        <f t="shared" si="18"/>
        <v>0.28448361876406469</v>
      </c>
      <c r="P160" s="8">
        <f t="shared" si="19"/>
        <v>-22.606114145943721</v>
      </c>
    </row>
    <row r="161" spans="1:16" x14ac:dyDescent="0.2">
      <c r="A161" s="8">
        <v>79.5</v>
      </c>
      <c r="B161" s="8">
        <v>159</v>
      </c>
      <c r="D161">
        <v>777.26169064748001</v>
      </c>
      <c r="E161">
        <v>249.67805755396</v>
      </c>
      <c r="F161">
        <v>128.78183437222</v>
      </c>
      <c r="G161">
        <v>111.51202137132999</v>
      </c>
      <c r="I161" s="9">
        <f t="shared" si="15"/>
        <v>138.16603618263002</v>
      </c>
      <c r="J161" s="9">
        <f t="shared" si="16"/>
        <v>648.47985627525998</v>
      </c>
      <c r="K161" s="9">
        <f t="shared" si="17"/>
        <v>138.16603618263002</v>
      </c>
      <c r="L161" s="10">
        <f t="shared" si="14"/>
        <v>0.21306141562550363</v>
      </c>
      <c r="M161" s="10">
        <f t="shared" si="18"/>
        <v>0.27976793950493944</v>
      </c>
      <c r="P161" s="8">
        <f t="shared" si="19"/>
        <v>-23.889016633934645</v>
      </c>
    </row>
    <row r="162" spans="1:16" x14ac:dyDescent="0.2">
      <c r="A162" s="8">
        <v>80</v>
      </c>
      <c r="B162" s="4">
        <v>160</v>
      </c>
      <c r="C162" s="4" t="s">
        <v>7</v>
      </c>
      <c r="D162">
        <v>793.70953237410004</v>
      </c>
      <c r="E162">
        <v>254.55395683453</v>
      </c>
      <c r="F162">
        <v>128.61620658948999</v>
      </c>
      <c r="G162">
        <v>111.63134461265</v>
      </c>
      <c r="H162" s="4"/>
      <c r="I162" s="5">
        <f t="shared" si="15"/>
        <v>142.92261222188</v>
      </c>
      <c r="J162" s="5">
        <f t="shared" si="16"/>
        <v>665.09332578460999</v>
      </c>
      <c r="K162" s="9">
        <f t="shared" si="17"/>
        <v>142.92261222188</v>
      </c>
      <c r="L162" s="6">
        <f t="shared" si="14"/>
        <v>0.21489106367632591</v>
      </c>
      <c r="M162" s="6">
        <f t="shared" si="18"/>
        <v>0.28201712544179591</v>
      </c>
      <c r="N162" s="4"/>
      <c r="O162" s="4"/>
      <c r="P162" s="4">
        <f t="shared" si="19"/>
        <v>-23.277124671867103</v>
      </c>
    </row>
    <row r="163" spans="1:16" x14ac:dyDescent="0.2">
      <c r="A163" s="8">
        <v>80.5</v>
      </c>
      <c r="B163" s="8">
        <v>161</v>
      </c>
      <c r="D163">
        <v>789.98111510791</v>
      </c>
      <c r="E163">
        <v>251.71223021583</v>
      </c>
      <c r="F163">
        <v>128.91095280498999</v>
      </c>
      <c r="G163">
        <v>111.9839715049</v>
      </c>
      <c r="I163" s="9">
        <f t="shared" si="15"/>
        <v>139.72825871092999</v>
      </c>
      <c r="J163" s="9">
        <f t="shared" si="16"/>
        <v>661.07016230292004</v>
      </c>
      <c r="K163" s="9">
        <f t="shared" si="17"/>
        <v>139.72825871092999</v>
      </c>
      <c r="L163" s="10">
        <f t="shared" si="14"/>
        <v>0.21136676056315906</v>
      </c>
      <c r="M163" s="10">
        <f t="shared" si="18"/>
        <v>0.27891236021466326</v>
      </c>
      <c r="P163" s="8">
        <f t="shared" si="19"/>
        <v>-24.121777332840285</v>
      </c>
    </row>
    <row r="164" spans="1:16" x14ac:dyDescent="0.2">
      <c r="A164" s="8">
        <v>81</v>
      </c>
      <c r="B164" s="8">
        <v>162</v>
      </c>
      <c r="D164">
        <v>794.98291366906994</v>
      </c>
      <c r="E164">
        <v>251.14208633094</v>
      </c>
      <c r="F164">
        <v>128.73909171861001</v>
      </c>
      <c r="G164">
        <v>111.81478183437</v>
      </c>
      <c r="I164" s="9">
        <f t="shared" si="15"/>
        <v>139.32730449657001</v>
      </c>
      <c r="J164" s="9">
        <f t="shared" si="16"/>
        <v>666.24382195045996</v>
      </c>
      <c r="K164" s="9">
        <f t="shared" si="17"/>
        <v>139.32730449657001</v>
      </c>
      <c r="L164" s="10">
        <f t="shared" si="14"/>
        <v>0.20912359695686603</v>
      </c>
      <c r="M164" s="10">
        <f t="shared" si="18"/>
        <v>0.27708873449440441</v>
      </c>
      <c r="P164" s="8">
        <f t="shared" si="19"/>
        <v>-24.617895462409237</v>
      </c>
    </row>
    <row r="165" spans="1:16" x14ac:dyDescent="0.2">
      <c r="A165" s="8">
        <v>81.5</v>
      </c>
      <c r="B165" s="8">
        <v>163</v>
      </c>
      <c r="D165">
        <v>714.16726618705002</v>
      </c>
      <c r="E165">
        <v>255.28237410072001</v>
      </c>
      <c r="F165">
        <v>128.51113089937999</v>
      </c>
      <c r="G165">
        <v>111.91095280499</v>
      </c>
      <c r="I165" s="9">
        <f t="shared" si="15"/>
        <v>143.37142129572999</v>
      </c>
      <c r="J165" s="9">
        <f t="shared" si="16"/>
        <v>585.65613528767005</v>
      </c>
      <c r="K165" s="9">
        <f t="shared" si="17"/>
        <v>143.37142129572999</v>
      </c>
      <c r="L165" s="10">
        <f t="shared" si="14"/>
        <v>0.24480477989922703</v>
      </c>
      <c r="M165" s="10">
        <f t="shared" si="18"/>
        <v>0.31318945532279957</v>
      </c>
      <c r="P165" s="8">
        <f t="shared" si="19"/>
        <v>-14.796679466984422</v>
      </c>
    </row>
    <row r="166" spans="1:16" x14ac:dyDescent="0.2">
      <c r="A166" s="8">
        <v>82</v>
      </c>
      <c r="B166" s="8">
        <v>164</v>
      </c>
      <c r="D166">
        <v>671.74170403587004</v>
      </c>
      <c r="E166">
        <v>281.57847533632003</v>
      </c>
      <c r="F166">
        <v>128.67943009794999</v>
      </c>
      <c r="G166">
        <v>112.00712377559999</v>
      </c>
      <c r="I166" s="9">
        <f t="shared" si="15"/>
        <v>169.57135156072002</v>
      </c>
      <c r="J166" s="9">
        <f t="shared" si="16"/>
        <v>543.06227393792005</v>
      </c>
      <c r="K166" s="9">
        <f t="shared" si="17"/>
        <v>169.57135156072002</v>
      </c>
      <c r="L166" s="10">
        <f t="shared" si="14"/>
        <v>0.31225028822404355</v>
      </c>
      <c r="M166" s="10">
        <f t="shared" si="18"/>
        <v>0.38105450153365028</v>
      </c>
      <c r="P166" s="8">
        <f t="shared" si="19"/>
        <v>3.6660343537324058</v>
      </c>
    </row>
    <row r="167" spans="1:16" x14ac:dyDescent="0.2">
      <c r="A167" s="8">
        <v>82.5</v>
      </c>
      <c r="B167" s="8">
        <v>165</v>
      </c>
      <c r="D167">
        <v>786.24436429215996</v>
      </c>
      <c r="E167">
        <v>328.49594229035</v>
      </c>
      <c r="F167">
        <v>128.36064113980001</v>
      </c>
      <c r="G167">
        <v>111.89759572574</v>
      </c>
      <c r="I167" s="9">
        <f t="shared" si="15"/>
        <v>216.59834656460998</v>
      </c>
      <c r="J167" s="9">
        <f t="shared" si="16"/>
        <v>657.88372315235995</v>
      </c>
      <c r="K167" s="9">
        <f t="shared" si="17"/>
        <v>216.59834656460998</v>
      </c>
      <c r="L167" s="10">
        <f t="shared" si="14"/>
        <v>0.32923499843823884</v>
      </c>
      <c r="M167" s="10">
        <f t="shared" si="18"/>
        <v>0.39845874963387978</v>
      </c>
      <c r="P167" s="8">
        <f t="shared" si="19"/>
        <v>8.4008672298635005</v>
      </c>
    </row>
    <row r="168" spans="1:16" x14ac:dyDescent="0.2">
      <c r="A168" s="8">
        <v>83</v>
      </c>
      <c r="B168" s="8">
        <v>166</v>
      </c>
      <c r="D168">
        <v>819.64382326420002</v>
      </c>
      <c r="E168">
        <v>360.77006311993</v>
      </c>
      <c r="F168">
        <v>128.85307212823</v>
      </c>
      <c r="G168">
        <v>111.87533392698001</v>
      </c>
      <c r="I168" s="9">
        <f t="shared" si="15"/>
        <v>248.89472919295</v>
      </c>
      <c r="J168" s="9">
        <f t="shared" si="16"/>
        <v>690.79075113597003</v>
      </c>
      <c r="K168" s="9">
        <f t="shared" si="17"/>
        <v>248.89472919295</v>
      </c>
      <c r="L168" s="10">
        <f t="shared" si="14"/>
        <v>0.3603040845345068</v>
      </c>
      <c r="M168" s="10">
        <f t="shared" si="18"/>
        <v>0.4299473736161819</v>
      </c>
      <c r="P168" s="8">
        <f t="shared" si="19"/>
        <v>16.967360375497758</v>
      </c>
    </row>
    <row r="169" spans="1:16" x14ac:dyDescent="0.2">
      <c r="A169" s="8">
        <v>83.5</v>
      </c>
      <c r="B169" s="8">
        <v>167</v>
      </c>
      <c r="D169">
        <v>846.46312949640003</v>
      </c>
      <c r="E169">
        <v>383.90647482013998</v>
      </c>
      <c r="F169">
        <v>128.27782724843999</v>
      </c>
      <c r="G169">
        <v>111.72217275156</v>
      </c>
      <c r="I169" s="9">
        <f t="shared" si="15"/>
        <v>272.18430206858</v>
      </c>
      <c r="J169" s="9">
        <f t="shared" si="16"/>
        <v>718.18530224796007</v>
      </c>
      <c r="K169" s="9">
        <f t="shared" si="17"/>
        <v>272.18430206858</v>
      </c>
      <c r="L169" s="10">
        <f t="shared" si="14"/>
        <v>0.37898896178552799</v>
      </c>
      <c r="M169" s="10">
        <f t="shared" si="18"/>
        <v>0.44905178875323731</v>
      </c>
      <c r="P169" s="8">
        <f t="shared" si="19"/>
        <v>22.164724395434572</v>
      </c>
    </row>
    <row r="170" spans="1:16" x14ac:dyDescent="0.2">
      <c r="A170" s="8">
        <v>84</v>
      </c>
      <c r="B170" s="8">
        <v>168</v>
      </c>
      <c r="D170">
        <v>859.51258992806004</v>
      </c>
      <c r="E170">
        <v>394.77428057553999</v>
      </c>
      <c r="F170">
        <v>128.82101513801999</v>
      </c>
      <c r="G170">
        <v>111.80587711487</v>
      </c>
      <c r="I170" s="9">
        <f t="shared" si="15"/>
        <v>282.96840346067</v>
      </c>
      <c r="J170" s="9">
        <f t="shared" si="16"/>
        <v>730.69157479004002</v>
      </c>
      <c r="K170" s="9">
        <f t="shared" si="17"/>
        <v>282.96840346067</v>
      </c>
      <c r="L170" s="10">
        <f t="shared" si="14"/>
        <v>0.38726107324007303</v>
      </c>
      <c r="M170" s="10">
        <f t="shared" si="18"/>
        <v>0.45774343809381651</v>
      </c>
      <c r="P170" s="8">
        <f t="shared" si="19"/>
        <v>24.529291184449427</v>
      </c>
    </row>
    <row r="171" spans="1:16" x14ac:dyDescent="0.2">
      <c r="A171" s="8">
        <v>84.5</v>
      </c>
      <c r="B171" s="8">
        <v>169</v>
      </c>
      <c r="D171">
        <v>852.68165467626</v>
      </c>
      <c r="E171">
        <v>402.27248201438999</v>
      </c>
      <c r="F171">
        <v>128.33837934105</v>
      </c>
      <c r="G171">
        <v>111.73018699911</v>
      </c>
      <c r="I171" s="9">
        <f t="shared" si="15"/>
        <v>290.54229501527999</v>
      </c>
      <c r="J171" s="9">
        <f t="shared" si="16"/>
        <v>724.34327533521002</v>
      </c>
      <c r="K171" s="9">
        <f t="shared" si="17"/>
        <v>290.54229501527999</v>
      </c>
      <c r="L171" s="10">
        <f t="shared" si="14"/>
        <v>0.40111133064750748</v>
      </c>
      <c r="M171" s="10">
        <f t="shared" si="18"/>
        <v>0.47201323338728518</v>
      </c>
      <c r="P171" s="8">
        <f t="shared" si="19"/>
        <v>28.411394881321293</v>
      </c>
    </row>
    <row r="172" spans="1:16" x14ac:dyDescent="0.2">
      <c r="A172" s="8">
        <v>85</v>
      </c>
      <c r="B172" s="8">
        <v>170</v>
      </c>
      <c r="D172">
        <v>858.01528776978</v>
      </c>
      <c r="E172">
        <v>405.59082733813</v>
      </c>
      <c r="F172">
        <v>128.70525378451001</v>
      </c>
      <c r="G172">
        <v>112.01335707925</v>
      </c>
      <c r="I172" s="9">
        <f t="shared" si="15"/>
        <v>293.57747025888</v>
      </c>
      <c r="J172" s="9">
        <f t="shared" si="16"/>
        <v>729.31003398527002</v>
      </c>
      <c r="K172" s="9">
        <f t="shared" si="17"/>
        <v>293.57747025888</v>
      </c>
      <c r="L172" s="10">
        <f t="shared" si="14"/>
        <v>0.40254138374409015</v>
      </c>
      <c r="M172" s="10">
        <f t="shared" si="18"/>
        <v>0.47386282436990201</v>
      </c>
      <c r="P172" s="8">
        <f t="shared" si="19"/>
        <v>28.914576871227215</v>
      </c>
    </row>
    <row r="173" spans="1:16" x14ac:dyDescent="0.2">
      <c r="A173" s="8">
        <v>85.5</v>
      </c>
      <c r="B173" s="8">
        <v>171</v>
      </c>
      <c r="D173">
        <v>856.10071942445995</v>
      </c>
      <c r="E173">
        <v>408.39388489209</v>
      </c>
      <c r="F173">
        <v>128.68121104184999</v>
      </c>
      <c r="G173">
        <v>111.67586821015</v>
      </c>
      <c r="I173" s="9">
        <f t="shared" si="15"/>
        <v>296.71801668194001</v>
      </c>
      <c r="J173" s="9">
        <f t="shared" si="16"/>
        <v>727.41950838260993</v>
      </c>
      <c r="K173" s="9">
        <f t="shared" si="17"/>
        <v>296.71801668194001</v>
      </c>
      <c r="L173" s="10">
        <f t="shared" si="14"/>
        <v>0.40790494791881704</v>
      </c>
      <c r="M173" s="10">
        <f t="shared" si="18"/>
        <v>0.47964592643066312</v>
      </c>
      <c r="P173" s="8">
        <f t="shared" si="19"/>
        <v>30.48787217278937</v>
      </c>
    </row>
    <row r="174" spans="1:16" x14ac:dyDescent="0.2">
      <c r="A174" s="8">
        <v>86</v>
      </c>
      <c r="B174" s="8">
        <v>172</v>
      </c>
      <c r="D174">
        <v>873.07795698924997</v>
      </c>
      <c r="E174">
        <v>410.42114695341002</v>
      </c>
      <c r="F174">
        <v>128.79786286731999</v>
      </c>
      <c r="G174">
        <v>111.75601068566</v>
      </c>
      <c r="I174" s="9">
        <f t="shared" si="15"/>
        <v>298.66513626775003</v>
      </c>
      <c r="J174" s="9">
        <f t="shared" si="16"/>
        <v>744.28009412193001</v>
      </c>
      <c r="K174" s="9">
        <f t="shared" si="17"/>
        <v>298.66513626775003</v>
      </c>
      <c r="L174" s="10">
        <f t="shared" si="14"/>
        <v>0.40128056443603055</v>
      </c>
      <c r="M174" s="10">
        <f t="shared" si="18"/>
        <v>0.47344108083391079</v>
      </c>
      <c r="P174" s="8">
        <f t="shared" si="19"/>
        <v>28.799841368262243</v>
      </c>
    </row>
    <row r="175" spans="1:16" x14ac:dyDescent="0.2">
      <c r="A175" s="8">
        <v>86.5</v>
      </c>
      <c r="B175" s="8">
        <v>173</v>
      </c>
      <c r="D175">
        <v>861.01881720430003</v>
      </c>
      <c r="E175">
        <v>413.33960573476998</v>
      </c>
      <c r="F175">
        <v>128.99554764025001</v>
      </c>
      <c r="G175">
        <v>111.86464826357999</v>
      </c>
      <c r="I175" s="9">
        <f t="shared" si="15"/>
        <v>301.47495747119001</v>
      </c>
      <c r="J175" s="9">
        <f t="shared" si="16"/>
        <v>732.02326956405</v>
      </c>
      <c r="K175" s="9">
        <f t="shared" si="17"/>
        <v>301.47495747119001</v>
      </c>
      <c r="L175" s="10">
        <f t="shared" si="14"/>
        <v>0.4118379428713117</v>
      </c>
      <c r="M175" s="10">
        <f t="shared" si="18"/>
        <v>0.48441799715522615</v>
      </c>
      <c r="P175" s="8">
        <f t="shared" si="19"/>
        <v>31.78611598221805</v>
      </c>
    </row>
    <row r="176" spans="1:16" x14ac:dyDescent="0.2">
      <c r="A176" s="8">
        <v>87</v>
      </c>
      <c r="B176" s="8">
        <v>174</v>
      </c>
      <c r="D176">
        <v>861.55555555555998</v>
      </c>
      <c r="E176">
        <v>411.70698924730999</v>
      </c>
      <c r="F176">
        <v>128.73374888691001</v>
      </c>
      <c r="G176">
        <v>111.83526268923001</v>
      </c>
      <c r="I176" s="9">
        <f t="shared" si="15"/>
        <v>299.87172655808001</v>
      </c>
      <c r="J176" s="9">
        <f t="shared" si="16"/>
        <v>732.82180666864997</v>
      </c>
      <c r="K176" s="9">
        <f t="shared" si="17"/>
        <v>299.87172655808001</v>
      </c>
      <c r="L176" s="10">
        <f t="shared" si="14"/>
        <v>0.40920142363294726</v>
      </c>
      <c r="M176" s="10">
        <f t="shared" si="18"/>
        <v>0.48220101580289587</v>
      </c>
      <c r="P176" s="8">
        <f t="shared" si="19"/>
        <v>31.182985290657488</v>
      </c>
    </row>
    <row r="177" spans="1:16" x14ac:dyDescent="0.2">
      <c r="A177" s="8">
        <v>87.5</v>
      </c>
      <c r="B177" s="8">
        <v>175</v>
      </c>
      <c r="D177">
        <v>863.10931899642003</v>
      </c>
      <c r="E177">
        <v>406.26523297491002</v>
      </c>
      <c r="F177">
        <v>128.73909171861001</v>
      </c>
      <c r="G177">
        <v>112.09973285842</v>
      </c>
      <c r="I177" s="9">
        <f t="shared" si="15"/>
        <v>294.16550011649002</v>
      </c>
      <c r="J177" s="9">
        <f t="shared" si="16"/>
        <v>734.37022727781005</v>
      </c>
      <c r="K177" s="9">
        <f t="shared" si="17"/>
        <v>294.16550011649002</v>
      </c>
      <c r="L177" s="10">
        <f t="shared" si="14"/>
        <v>0.40056839069703748</v>
      </c>
      <c r="M177" s="10">
        <f t="shared" si="18"/>
        <v>0.47398752075302031</v>
      </c>
      <c r="P177" s="8">
        <f t="shared" si="19"/>
        <v>28.948500573700482</v>
      </c>
    </row>
    <row r="178" spans="1:16" x14ac:dyDescent="0.2">
      <c r="A178" s="8">
        <v>88</v>
      </c>
      <c r="B178" s="8">
        <v>176</v>
      </c>
      <c r="D178">
        <v>865.12702702702995</v>
      </c>
      <c r="E178">
        <v>401.30720720721001</v>
      </c>
      <c r="F178">
        <v>128.84772929652999</v>
      </c>
      <c r="G178">
        <v>111.68655387355</v>
      </c>
      <c r="I178" s="9">
        <f t="shared" si="15"/>
        <v>289.62065333366002</v>
      </c>
      <c r="J178" s="9">
        <f t="shared" si="16"/>
        <v>736.27929773049993</v>
      </c>
      <c r="K178" s="9">
        <f t="shared" si="17"/>
        <v>289.62065333366002</v>
      </c>
      <c r="L178" s="10">
        <f t="shared" si="14"/>
        <v>0.39335705108969365</v>
      </c>
      <c r="M178" s="10">
        <f t="shared" si="18"/>
        <v>0.46719571903171064</v>
      </c>
      <c r="P178" s="8">
        <f t="shared" si="19"/>
        <v>27.10078811332728</v>
      </c>
    </row>
    <row r="179" spans="1:16" x14ac:dyDescent="0.2">
      <c r="A179" s="8">
        <v>88.5</v>
      </c>
      <c r="B179" s="8">
        <v>177</v>
      </c>
      <c r="D179">
        <v>849.89729729730004</v>
      </c>
      <c r="E179">
        <v>399.57387387387001</v>
      </c>
      <c r="F179">
        <v>128.52448797862999</v>
      </c>
      <c r="G179">
        <v>111.65716829919999</v>
      </c>
      <c r="I179" s="9">
        <f t="shared" si="15"/>
        <v>287.91670557467</v>
      </c>
      <c r="J179" s="9">
        <f t="shared" si="16"/>
        <v>721.37280931867008</v>
      </c>
      <c r="K179" s="9">
        <f t="shared" si="17"/>
        <v>287.91670557467</v>
      </c>
      <c r="L179" s="10">
        <f t="shared" si="14"/>
        <v>0.39912331301564397</v>
      </c>
      <c r="M179" s="10">
        <f t="shared" si="18"/>
        <v>0.47338151884369517</v>
      </c>
      <c r="P179" s="8">
        <f t="shared" si="19"/>
        <v>28.783637504250613</v>
      </c>
    </row>
    <row r="180" spans="1:16" x14ac:dyDescent="0.2">
      <c r="A180" s="8">
        <v>89</v>
      </c>
      <c r="B180" s="8">
        <v>178</v>
      </c>
      <c r="D180">
        <v>851.31981981982005</v>
      </c>
      <c r="E180">
        <v>395.40270270270003</v>
      </c>
      <c r="F180">
        <v>128.67764915404999</v>
      </c>
      <c r="G180">
        <v>111.96527159395001</v>
      </c>
      <c r="I180" s="9">
        <f t="shared" si="15"/>
        <v>283.43743110875005</v>
      </c>
      <c r="J180" s="9">
        <f t="shared" si="16"/>
        <v>722.6421706657701</v>
      </c>
      <c r="K180" s="9">
        <f t="shared" si="17"/>
        <v>283.43743110875005</v>
      </c>
      <c r="L180" s="10">
        <f t="shared" si="14"/>
        <v>0.39222376248485358</v>
      </c>
      <c r="M180" s="10">
        <f t="shared" si="18"/>
        <v>0.46690150619893894</v>
      </c>
      <c r="P180" s="8">
        <f t="shared" si="19"/>
        <v>27.020747390788465</v>
      </c>
    </row>
    <row r="181" spans="1:16" x14ac:dyDescent="0.2">
      <c r="A181" s="8">
        <v>89.5</v>
      </c>
      <c r="B181" s="8">
        <v>179</v>
      </c>
      <c r="D181">
        <v>845.90270270270003</v>
      </c>
      <c r="E181">
        <v>390.37567567567999</v>
      </c>
      <c r="F181">
        <v>129.10952804986999</v>
      </c>
      <c r="G181">
        <v>112.04808548531</v>
      </c>
      <c r="I181" s="9">
        <f t="shared" si="15"/>
        <v>278.32759019036996</v>
      </c>
      <c r="J181" s="9">
        <f t="shared" si="16"/>
        <v>716.79317465282998</v>
      </c>
      <c r="K181" s="9">
        <f t="shared" si="17"/>
        <v>278.32759019036996</v>
      </c>
      <c r="L181" s="10">
        <f t="shared" si="14"/>
        <v>0.38829553633120811</v>
      </c>
      <c r="M181" s="10">
        <f t="shared" si="18"/>
        <v>0.46339281793132769</v>
      </c>
      <c r="P181" s="8">
        <f t="shared" si="19"/>
        <v>26.066207300006717</v>
      </c>
    </row>
    <row r="182" spans="1:16" x14ac:dyDescent="0.2">
      <c r="A182" s="8">
        <v>90</v>
      </c>
      <c r="B182" s="8">
        <v>180</v>
      </c>
      <c r="D182">
        <v>832.25675675675996</v>
      </c>
      <c r="E182">
        <v>383.31171171171002</v>
      </c>
      <c r="F182">
        <v>128.43989314337</v>
      </c>
      <c r="G182">
        <v>111.6749777382</v>
      </c>
      <c r="I182" s="9">
        <f t="shared" si="15"/>
        <v>271.63673397350999</v>
      </c>
      <c r="J182" s="9">
        <f t="shared" si="16"/>
        <v>703.81686361338996</v>
      </c>
      <c r="K182" s="9">
        <f t="shared" si="17"/>
        <v>271.63673397350999</v>
      </c>
      <c r="L182" s="10">
        <f t="shared" si="14"/>
        <v>0.38594803281485646</v>
      </c>
      <c r="M182" s="10">
        <f>L182+ABS($N$2)*A182</f>
        <v>0.4614648523010102</v>
      </c>
      <c r="P182" s="8">
        <f t="shared" si="19"/>
        <v>25.541703454858833</v>
      </c>
    </row>
    <row r="183" spans="1:16" x14ac:dyDescent="0.2">
      <c r="A183" s="8">
        <v>90.5</v>
      </c>
      <c r="B183" s="8">
        <v>181</v>
      </c>
      <c r="D183">
        <v>842.64954954954999</v>
      </c>
      <c r="E183">
        <v>381.57117117117002</v>
      </c>
      <c r="F183">
        <v>128.74977738201</v>
      </c>
      <c r="G183">
        <v>111.57524487979001</v>
      </c>
      <c r="I183" s="9">
        <f t="shared" si="15"/>
        <v>269.99592629137999</v>
      </c>
      <c r="J183" s="9">
        <f t="shared" si="16"/>
        <v>713.89977216754005</v>
      </c>
      <c r="K183" s="9">
        <f t="shared" si="17"/>
        <v>269.99592629137999</v>
      </c>
      <c r="L183" s="10">
        <f t="shared" si="14"/>
        <v>0.37819864470837311</v>
      </c>
      <c r="M183" s="10">
        <f t="shared" ref="M183:M241" si="20">L183+ABS($N$2)*A183</f>
        <v>0.45413500208056101</v>
      </c>
      <c r="P183" s="8">
        <f t="shared" si="19"/>
        <v>23.547614678312268</v>
      </c>
    </row>
    <row r="184" spans="1:16" x14ac:dyDescent="0.2">
      <c r="A184" s="8">
        <v>91</v>
      </c>
      <c r="B184" s="8">
        <v>182</v>
      </c>
      <c r="D184">
        <v>788.14324324324002</v>
      </c>
      <c r="E184">
        <v>362.31891891892002</v>
      </c>
      <c r="F184">
        <v>128.84594835262999</v>
      </c>
      <c r="G184">
        <v>111.90026714159001</v>
      </c>
      <c r="I184" s="9">
        <f t="shared" si="15"/>
        <v>250.41865177733001</v>
      </c>
      <c r="J184" s="9">
        <f t="shared" si="16"/>
        <v>659.29729489061003</v>
      </c>
      <c r="K184" s="9">
        <f t="shared" si="17"/>
        <v>250.41865177733001</v>
      </c>
      <c r="L184" s="10">
        <f t="shared" si="14"/>
        <v>0.37982660283609876</v>
      </c>
      <c r="M184" s="10">
        <f t="shared" si="20"/>
        <v>0.45618249809432088</v>
      </c>
      <c r="P184" s="8">
        <f t="shared" si="19"/>
        <v>24.104636813590247</v>
      </c>
    </row>
    <row r="185" spans="1:16" x14ac:dyDescent="0.2">
      <c r="A185" s="8">
        <v>91.5</v>
      </c>
      <c r="B185" s="8">
        <v>183</v>
      </c>
      <c r="D185">
        <v>824.25737265416001</v>
      </c>
      <c r="E185">
        <v>369.10902591600001</v>
      </c>
      <c r="F185">
        <v>128.84683882458</v>
      </c>
      <c r="G185">
        <v>112.21816562778</v>
      </c>
      <c r="I185" s="9">
        <f t="shared" si="15"/>
        <v>256.89086028821998</v>
      </c>
      <c r="J185" s="9">
        <f t="shared" si="16"/>
        <v>695.41053382958</v>
      </c>
      <c r="K185" s="9">
        <f t="shared" si="17"/>
        <v>256.89086028821998</v>
      </c>
      <c r="L185" s="10">
        <f t="shared" si="14"/>
        <v>0.36940892867057812</v>
      </c>
      <c r="M185" s="10">
        <f t="shared" si="20"/>
        <v>0.44618436181483445</v>
      </c>
      <c r="P185" s="8">
        <f t="shared" si="19"/>
        <v>21.384639713828889</v>
      </c>
    </row>
    <row r="186" spans="1:16" x14ac:dyDescent="0.2">
      <c r="A186" s="8">
        <v>92</v>
      </c>
      <c r="B186" s="8">
        <v>184</v>
      </c>
      <c r="D186">
        <v>857.17158176943997</v>
      </c>
      <c r="E186">
        <v>375.59964253798</v>
      </c>
      <c r="F186">
        <v>128.72306322351</v>
      </c>
      <c r="G186">
        <v>111.98040961709999</v>
      </c>
      <c r="I186" s="9">
        <f t="shared" si="15"/>
        <v>263.61923292087999</v>
      </c>
      <c r="J186" s="9">
        <f t="shared" si="16"/>
        <v>728.44851854593003</v>
      </c>
      <c r="K186" s="9">
        <f t="shared" si="17"/>
        <v>263.61923292087999</v>
      </c>
      <c r="L186" s="10">
        <f t="shared" si="14"/>
        <v>0.36189137078224193</v>
      </c>
      <c r="M186" s="10">
        <f t="shared" si="20"/>
        <v>0.43908634181253242</v>
      </c>
      <c r="P186" s="8">
        <f t="shared" si="19"/>
        <v>19.453620443775357</v>
      </c>
    </row>
    <row r="187" spans="1:16" x14ac:dyDescent="0.2">
      <c r="A187" s="8">
        <v>92.5</v>
      </c>
      <c r="B187" s="8">
        <v>185</v>
      </c>
      <c r="D187">
        <v>842.31903485254998</v>
      </c>
      <c r="E187">
        <v>368.93386952636001</v>
      </c>
      <c r="F187">
        <v>128.93766696348999</v>
      </c>
      <c r="G187">
        <v>111.91718610864</v>
      </c>
      <c r="I187" s="9">
        <f t="shared" si="15"/>
        <v>257.01668341772</v>
      </c>
      <c r="J187" s="9">
        <f t="shared" si="16"/>
        <v>713.38136788906002</v>
      </c>
      <c r="K187" s="9">
        <f t="shared" si="17"/>
        <v>257.01668341772</v>
      </c>
      <c r="L187" s="10">
        <f t="shared" si="14"/>
        <v>0.36027950124103802</v>
      </c>
      <c r="M187" s="10">
        <f t="shared" si="20"/>
        <v>0.43789401015736273</v>
      </c>
      <c r="P187" s="8">
        <f t="shared" si="19"/>
        <v>19.129246125066651</v>
      </c>
    </row>
    <row r="188" spans="1:16" x14ac:dyDescent="0.2">
      <c r="A188" s="8">
        <v>93</v>
      </c>
      <c r="B188" s="8">
        <v>186</v>
      </c>
      <c r="D188">
        <v>848.89812332439999</v>
      </c>
      <c r="E188">
        <v>369.59874888293001</v>
      </c>
      <c r="F188">
        <v>128.48797862866999</v>
      </c>
      <c r="G188">
        <v>111.69634906500001</v>
      </c>
      <c r="I188" s="9">
        <f t="shared" si="15"/>
        <v>257.90239981793002</v>
      </c>
      <c r="J188" s="9">
        <f t="shared" si="16"/>
        <v>720.41014469572997</v>
      </c>
      <c r="K188" s="9">
        <f t="shared" si="17"/>
        <v>257.90239981793002</v>
      </c>
      <c r="L188" s="10">
        <f t="shared" si="14"/>
        <v>0.35799384797233363</v>
      </c>
      <c r="M188" s="10">
        <f t="shared" si="20"/>
        <v>0.4360278947746925</v>
      </c>
      <c r="P188" s="8">
        <f t="shared" si="19"/>
        <v>18.62156866530874</v>
      </c>
    </row>
    <row r="189" spans="1:16" x14ac:dyDescent="0.2">
      <c r="A189" s="8">
        <v>93.5</v>
      </c>
      <c r="B189" s="8">
        <v>187</v>
      </c>
      <c r="D189">
        <v>833.16140667267996</v>
      </c>
      <c r="E189">
        <v>365.47069431921</v>
      </c>
      <c r="F189">
        <v>128.77203918077001</v>
      </c>
      <c r="G189">
        <v>112.06144256456</v>
      </c>
      <c r="I189" s="9">
        <f t="shared" si="15"/>
        <v>253.40925175465</v>
      </c>
      <c r="J189" s="9">
        <f t="shared" si="16"/>
        <v>704.38936749190998</v>
      </c>
      <c r="K189" s="9">
        <f t="shared" si="17"/>
        <v>253.40925175465</v>
      </c>
      <c r="L189" s="10">
        <f t="shared" si="14"/>
        <v>0.3597573493435226</v>
      </c>
      <c r="M189" s="10">
        <f t="shared" si="20"/>
        <v>0.43821093403191569</v>
      </c>
      <c r="P189" s="8">
        <f t="shared" si="19"/>
        <v>19.21546539589194</v>
      </c>
    </row>
    <row r="190" spans="1:16" x14ac:dyDescent="0.2">
      <c r="A190" s="8">
        <v>94</v>
      </c>
      <c r="B190" s="8">
        <v>188</v>
      </c>
      <c r="D190">
        <v>840.18665464382002</v>
      </c>
      <c r="E190">
        <v>362.72046889089</v>
      </c>
      <c r="F190">
        <v>128.57880676759001</v>
      </c>
      <c r="G190">
        <v>111.74176313446</v>
      </c>
      <c r="I190" s="9">
        <f t="shared" si="15"/>
        <v>250.97870575643</v>
      </c>
      <c r="J190" s="9">
        <f t="shared" si="16"/>
        <v>711.60784787623004</v>
      </c>
      <c r="K190" s="9">
        <f t="shared" si="17"/>
        <v>250.97870575643</v>
      </c>
      <c r="L190" s="10">
        <f t="shared" si="14"/>
        <v>0.35269243657931487</v>
      </c>
      <c r="M190" s="10">
        <f t="shared" si="20"/>
        <v>0.43156555915374212</v>
      </c>
      <c r="P190" s="8">
        <f t="shared" si="19"/>
        <v>17.407588418605172</v>
      </c>
    </row>
    <row r="191" spans="1:16" x14ac:dyDescent="0.2">
      <c r="A191" s="8">
        <v>94.5</v>
      </c>
      <c r="B191" s="8">
        <v>189</v>
      </c>
      <c r="D191">
        <v>845.99279279279006</v>
      </c>
      <c r="E191">
        <v>361.19459459460001</v>
      </c>
      <c r="F191">
        <v>128.62243989314001</v>
      </c>
      <c r="G191">
        <v>111.79786286732001</v>
      </c>
      <c r="I191" s="9">
        <f t="shared" si="15"/>
        <v>249.39673172727998</v>
      </c>
      <c r="J191" s="9">
        <f t="shared" si="16"/>
        <v>717.37035289965002</v>
      </c>
      <c r="K191" s="9">
        <f t="shared" si="17"/>
        <v>249.39673172727998</v>
      </c>
      <c r="L191" s="10">
        <f t="shared" si="14"/>
        <v>0.34765408232889028</v>
      </c>
      <c r="M191" s="10">
        <f t="shared" si="20"/>
        <v>0.42694674278935174</v>
      </c>
      <c r="P191" s="8">
        <f t="shared" si="19"/>
        <v>16.151037521089552</v>
      </c>
    </row>
    <row r="192" spans="1:16" x14ac:dyDescent="0.2">
      <c r="A192" s="8">
        <v>95</v>
      </c>
      <c r="B192" s="8">
        <v>190</v>
      </c>
      <c r="D192">
        <v>854.41981981981996</v>
      </c>
      <c r="E192">
        <v>359.27747747747998</v>
      </c>
      <c r="F192">
        <v>128.61709706144001</v>
      </c>
      <c r="G192">
        <v>111.74977738201</v>
      </c>
      <c r="I192" s="9">
        <f t="shared" si="15"/>
        <v>247.52770009546998</v>
      </c>
      <c r="J192" s="9">
        <f t="shared" si="16"/>
        <v>725.80272275838001</v>
      </c>
      <c r="K192" s="9">
        <f t="shared" si="17"/>
        <v>247.52770009546998</v>
      </c>
      <c r="L192" s="10">
        <f t="shared" si="14"/>
        <v>0.34103991667977257</v>
      </c>
      <c r="M192" s="10">
        <f t="shared" si="20"/>
        <v>0.42075211502626819</v>
      </c>
      <c r="P192" s="8">
        <f t="shared" si="19"/>
        <v>14.465786482427584</v>
      </c>
    </row>
    <row r="193" spans="1:16" x14ac:dyDescent="0.2">
      <c r="A193" s="8">
        <v>95.5</v>
      </c>
      <c r="B193" s="8">
        <v>191</v>
      </c>
      <c r="D193">
        <v>847.66486486486997</v>
      </c>
      <c r="E193">
        <v>355.91081081081001</v>
      </c>
      <c r="F193">
        <v>128.25823686554</v>
      </c>
      <c r="G193">
        <v>111.85752448798</v>
      </c>
      <c r="I193" s="9">
        <f t="shared" si="15"/>
        <v>244.05328632282999</v>
      </c>
      <c r="J193" s="9">
        <f t="shared" si="16"/>
        <v>719.40662799933</v>
      </c>
      <c r="K193" s="9">
        <f t="shared" si="17"/>
        <v>244.05328632282999</v>
      </c>
      <c r="L193" s="10">
        <f t="shared" si="14"/>
        <v>0.33924247681946196</v>
      </c>
      <c r="M193" s="10">
        <f t="shared" si="20"/>
        <v>0.41937421305199174</v>
      </c>
      <c r="P193" s="8">
        <f t="shared" si="19"/>
        <v>14.090927681845212</v>
      </c>
    </row>
    <row r="194" spans="1:16" x14ac:dyDescent="0.2">
      <c r="A194" s="8">
        <v>96</v>
      </c>
      <c r="B194" s="8">
        <v>192</v>
      </c>
      <c r="D194">
        <v>778.63783783784004</v>
      </c>
      <c r="E194">
        <v>336.70630630631001</v>
      </c>
      <c r="F194">
        <v>128.69991095281</v>
      </c>
      <c r="G194">
        <v>111.85485307213</v>
      </c>
      <c r="I194" s="9">
        <f t="shared" si="15"/>
        <v>224.85145323418001</v>
      </c>
      <c r="J194" s="9">
        <f t="shared" si="16"/>
        <v>649.93792688503004</v>
      </c>
      <c r="K194" s="9">
        <f t="shared" si="17"/>
        <v>224.85145323418001</v>
      </c>
      <c r="L194" s="10">
        <f t="shared" ref="L194:L257" si="21">K194/J194</f>
        <v>0.34595835068716468</v>
      </c>
      <c r="M194" s="10">
        <f t="shared" si="20"/>
        <v>0.42650962480572868</v>
      </c>
      <c r="P194" s="8">
        <f t="shared" si="19"/>
        <v>16.032119393303308</v>
      </c>
    </row>
    <row r="195" spans="1:16" x14ac:dyDescent="0.2">
      <c r="A195" s="8">
        <v>96.5</v>
      </c>
      <c r="B195" s="8">
        <v>193</v>
      </c>
      <c r="D195">
        <v>825.01801801802003</v>
      </c>
      <c r="E195">
        <v>347.47657657657999</v>
      </c>
      <c r="F195">
        <v>128.92163846839</v>
      </c>
      <c r="G195">
        <v>111.50044523598</v>
      </c>
      <c r="I195" s="9">
        <f t="shared" ref="I195:I241" si="22">E195-G195</f>
        <v>235.97613134059998</v>
      </c>
      <c r="J195" s="9">
        <f t="shared" ref="J195:J241" si="23">D195-F195</f>
        <v>696.09637954963</v>
      </c>
      <c r="K195" s="9">
        <f t="shared" ref="K195:K258" si="24">I195*1</f>
        <v>235.97613134059998</v>
      </c>
      <c r="L195" s="10">
        <f t="shared" si="21"/>
        <v>0.33899922233940516</v>
      </c>
      <c r="M195" s="10">
        <f t="shared" si="20"/>
        <v>0.41997003434400337</v>
      </c>
      <c r="P195" s="8">
        <f t="shared" ref="P195:P241" si="25">(M195-$O$2)/$O$2*100</f>
        <v>14.253021110154727</v>
      </c>
    </row>
    <row r="196" spans="1:16" x14ac:dyDescent="0.2">
      <c r="A196" s="8">
        <v>97</v>
      </c>
      <c r="B196" s="8">
        <v>194</v>
      </c>
      <c r="D196">
        <v>818.75675675675996</v>
      </c>
      <c r="E196">
        <v>341.44414414414001</v>
      </c>
      <c r="F196">
        <v>128.51469278718</v>
      </c>
      <c r="G196">
        <v>112.22439893143</v>
      </c>
      <c r="I196" s="9">
        <f t="shared" si="22"/>
        <v>229.21974521271</v>
      </c>
      <c r="J196" s="9">
        <f t="shared" si="23"/>
        <v>690.24206396957993</v>
      </c>
      <c r="K196" s="9">
        <f t="shared" si="24"/>
        <v>229.21974521271</v>
      </c>
      <c r="L196" s="10">
        <f t="shared" si="21"/>
        <v>0.33208602775447787</v>
      </c>
      <c r="M196" s="10">
        <f t="shared" si="20"/>
        <v>0.41347637764511025</v>
      </c>
      <c r="P196" s="8">
        <f t="shared" si="25"/>
        <v>12.486419126135512</v>
      </c>
    </row>
    <row r="197" spans="1:16" x14ac:dyDescent="0.2">
      <c r="A197" s="8">
        <v>97.5</v>
      </c>
      <c r="B197" s="8">
        <v>195</v>
      </c>
      <c r="D197">
        <v>803.59819819819995</v>
      </c>
      <c r="E197">
        <v>333.44684684685001</v>
      </c>
      <c r="F197">
        <v>128.87622439892999</v>
      </c>
      <c r="G197">
        <v>111.58147818344</v>
      </c>
      <c r="I197" s="9">
        <f t="shared" si="22"/>
        <v>221.86536866341001</v>
      </c>
      <c r="J197" s="9">
        <f t="shared" si="23"/>
        <v>674.72197379927002</v>
      </c>
      <c r="K197" s="9">
        <f t="shared" si="24"/>
        <v>221.86536866341001</v>
      </c>
      <c r="L197" s="10">
        <f t="shared" si="21"/>
        <v>0.3288248749542208</v>
      </c>
      <c r="M197" s="10">
        <f t="shared" si="20"/>
        <v>0.41063476273088739</v>
      </c>
      <c r="P197" s="8">
        <f t="shared" si="25"/>
        <v>11.71335661635726</v>
      </c>
    </row>
    <row r="198" spans="1:16" x14ac:dyDescent="0.2">
      <c r="A198" s="8">
        <v>98</v>
      </c>
      <c r="B198" s="8">
        <v>196</v>
      </c>
      <c r="D198">
        <v>805.22882882883005</v>
      </c>
      <c r="E198">
        <v>334.43153153153003</v>
      </c>
      <c r="F198">
        <v>128.77292965271999</v>
      </c>
      <c r="G198">
        <v>112.14158504007</v>
      </c>
      <c r="I198" s="9">
        <f t="shared" si="22"/>
        <v>222.28994649146003</v>
      </c>
      <c r="J198" s="9">
        <f t="shared" si="23"/>
        <v>676.45589917611005</v>
      </c>
      <c r="K198" s="9">
        <f t="shared" si="24"/>
        <v>222.28994649146003</v>
      </c>
      <c r="L198" s="10">
        <f t="shared" si="21"/>
        <v>0.32860966511223899</v>
      </c>
      <c r="M198" s="10">
        <f t="shared" si="20"/>
        <v>0.41083909077493974</v>
      </c>
      <c r="P198" s="8">
        <f t="shared" si="25"/>
        <v>11.768944145041239</v>
      </c>
    </row>
    <row r="199" spans="1:16" x14ac:dyDescent="0.2">
      <c r="A199" s="8">
        <v>98.5</v>
      </c>
      <c r="B199" s="8">
        <v>197</v>
      </c>
      <c r="D199">
        <v>825.46486486487004</v>
      </c>
      <c r="E199">
        <v>336.51981981981999</v>
      </c>
      <c r="F199">
        <v>128.91985752449</v>
      </c>
      <c r="G199">
        <v>111.96170970614</v>
      </c>
      <c r="I199" s="9">
        <f t="shared" si="22"/>
        <v>224.55811011367999</v>
      </c>
      <c r="J199" s="9">
        <f t="shared" si="23"/>
        <v>696.54500734038004</v>
      </c>
      <c r="K199" s="9">
        <f t="shared" si="24"/>
        <v>224.55811011367999</v>
      </c>
      <c r="L199" s="10">
        <f t="shared" si="21"/>
        <v>0.32238851437771537</v>
      </c>
      <c r="M199" s="10">
        <f t="shared" si="20"/>
        <v>0.40503747792645028</v>
      </c>
      <c r="P199" s="8">
        <f t="shared" si="25"/>
        <v>10.190612976040597</v>
      </c>
    </row>
    <row r="200" spans="1:16" x14ac:dyDescent="0.2">
      <c r="A200" s="8">
        <v>99</v>
      </c>
      <c r="B200" s="8">
        <v>198</v>
      </c>
      <c r="D200">
        <v>831.96216216215998</v>
      </c>
      <c r="E200">
        <v>334.50540540540999</v>
      </c>
      <c r="F200">
        <v>128.66073018700001</v>
      </c>
      <c r="G200">
        <v>111.60641139804</v>
      </c>
      <c r="I200" s="9">
        <f t="shared" si="22"/>
        <v>222.89899400736999</v>
      </c>
      <c r="J200" s="9">
        <f t="shared" si="23"/>
        <v>703.30143197515997</v>
      </c>
      <c r="K200" s="9">
        <f t="shared" si="24"/>
        <v>222.89899400736999</v>
      </c>
      <c r="L200" s="10">
        <f t="shared" si="21"/>
        <v>0.31693237618097525</v>
      </c>
      <c r="M200" s="10">
        <f t="shared" si="20"/>
        <v>0.40000087761574438</v>
      </c>
      <c r="P200" s="8">
        <f t="shared" si="25"/>
        <v>8.8204037835648847</v>
      </c>
    </row>
    <row r="201" spans="1:16" x14ac:dyDescent="0.2">
      <c r="A201" s="8">
        <v>99.5</v>
      </c>
      <c r="B201" s="8">
        <v>199</v>
      </c>
      <c r="D201">
        <v>822.95135135135001</v>
      </c>
      <c r="E201">
        <v>327.33063063063003</v>
      </c>
      <c r="F201">
        <v>128.64915405164999</v>
      </c>
      <c r="G201">
        <v>111.82991985752</v>
      </c>
      <c r="I201" s="9">
        <f t="shared" si="22"/>
        <v>215.50071077311003</v>
      </c>
      <c r="J201" s="9">
        <f t="shared" si="23"/>
        <v>694.30219729970008</v>
      </c>
      <c r="K201" s="9">
        <f t="shared" si="24"/>
        <v>215.50071077311003</v>
      </c>
      <c r="L201" s="10">
        <f t="shared" si="21"/>
        <v>0.31038460141886565</v>
      </c>
      <c r="M201" s="10">
        <f t="shared" si="20"/>
        <v>0.39387264073966893</v>
      </c>
      <c r="P201" s="8">
        <f t="shared" si="25"/>
        <v>7.1532144131043305</v>
      </c>
    </row>
    <row r="202" spans="1:16" x14ac:dyDescent="0.2">
      <c r="A202" s="8">
        <v>100</v>
      </c>
      <c r="B202" s="8">
        <v>200</v>
      </c>
      <c r="D202">
        <v>705.77897574123995</v>
      </c>
      <c r="E202">
        <v>293.01437556155003</v>
      </c>
      <c r="F202">
        <v>128.39626001780999</v>
      </c>
      <c r="G202">
        <v>111.88067675868</v>
      </c>
      <c r="I202" s="9">
        <f t="shared" si="22"/>
        <v>181.13369880287001</v>
      </c>
      <c r="J202" s="9">
        <f t="shared" si="23"/>
        <v>577.38271572343001</v>
      </c>
      <c r="K202" s="9">
        <f t="shared" si="24"/>
        <v>181.13369880287001</v>
      </c>
      <c r="L202" s="10">
        <f t="shared" si="21"/>
        <v>0.31371513879822166</v>
      </c>
      <c r="M202" s="10">
        <f t="shared" si="20"/>
        <v>0.39762271600505916</v>
      </c>
      <c r="P202" s="8">
        <f t="shared" si="25"/>
        <v>8.1734239362207894</v>
      </c>
    </row>
    <row r="203" spans="1:16" x14ac:dyDescent="0.2">
      <c r="A203" s="8">
        <v>100.5</v>
      </c>
      <c r="B203" s="8">
        <v>201</v>
      </c>
      <c r="D203">
        <v>727.46540880503005</v>
      </c>
      <c r="E203">
        <v>299.53099730458001</v>
      </c>
      <c r="F203">
        <v>129.05431878895999</v>
      </c>
      <c r="G203">
        <v>111.95369545859</v>
      </c>
      <c r="I203" s="9">
        <f t="shared" si="22"/>
        <v>187.57730184599001</v>
      </c>
      <c r="J203" s="9">
        <f t="shared" si="23"/>
        <v>598.41109001607003</v>
      </c>
      <c r="K203" s="9">
        <f t="shared" si="24"/>
        <v>187.57730184599001</v>
      </c>
      <c r="L203" s="10">
        <f t="shared" si="21"/>
        <v>0.31345893312397122</v>
      </c>
      <c r="M203" s="10">
        <f t="shared" si="20"/>
        <v>0.39778604821684288</v>
      </c>
      <c r="P203" s="8">
        <f t="shared" si="25"/>
        <v>8.2178585318224577</v>
      </c>
    </row>
    <row r="204" spans="1:16" x14ac:dyDescent="0.2">
      <c r="A204" s="8">
        <v>101</v>
      </c>
      <c r="B204" s="8">
        <v>202</v>
      </c>
      <c r="D204">
        <v>765.56912028725003</v>
      </c>
      <c r="E204">
        <v>303.99640933572999</v>
      </c>
      <c r="F204">
        <v>128.01335707925</v>
      </c>
      <c r="G204">
        <v>111.9964381122</v>
      </c>
      <c r="I204" s="9">
        <f t="shared" si="22"/>
        <v>191.99997122353</v>
      </c>
      <c r="J204" s="9">
        <f t="shared" si="23"/>
        <v>637.55576320800003</v>
      </c>
      <c r="K204" s="9">
        <f t="shared" si="24"/>
        <v>191.99997122353</v>
      </c>
      <c r="L204" s="10">
        <f t="shared" si="21"/>
        <v>0.30115008333928395</v>
      </c>
      <c r="M204" s="10">
        <f t="shared" si="20"/>
        <v>0.38589673631818983</v>
      </c>
      <c r="P204" s="8">
        <f t="shared" si="25"/>
        <v>4.9833663246252522</v>
      </c>
    </row>
    <row r="205" spans="1:16" x14ac:dyDescent="0.2">
      <c r="A205" s="8">
        <v>101.5</v>
      </c>
      <c r="B205" s="8">
        <v>203</v>
      </c>
      <c r="D205">
        <v>772.59694793537005</v>
      </c>
      <c r="E205">
        <v>303.52872531418001</v>
      </c>
      <c r="F205">
        <v>128.46571682992001</v>
      </c>
      <c r="G205">
        <v>112.02226179874999</v>
      </c>
      <c r="I205" s="9">
        <f t="shared" si="22"/>
        <v>191.50646351543003</v>
      </c>
      <c r="J205" s="9">
        <f t="shared" si="23"/>
        <v>644.13123110545007</v>
      </c>
      <c r="K205" s="9">
        <f t="shared" si="24"/>
        <v>191.50646351543003</v>
      </c>
      <c r="L205" s="10">
        <f t="shared" si="21"/>
        <v>0.29730970067507673</v>
      </c>
      <c r="M205" s="10">
        <f t="shared" si="20"/>
        <v>0.38247589154001677</v>
      </c>
      <c r="P205" s="8">
        <f t="shared" si="25"/>
        <v>4.0527240913867137</v>
      </c>
    </row>
    <row r="206" spans="1:16" x14ac:dyDescent="0.2">
      <c r="A206" s="8">
        <v>102</v>
      </c>
      <c r="B206" s="8">
        <v>204</v>
      </c>
      <c r="D206">
        <v>796.59425493716003</v>
      </c>
      <c r="E206">
        <v>304.75763016157998</v>
      </c>
      <c r="F206">
        <v>128.42920747996001</v>
      </c>
      <c r="G206">
        <v>111.57880676759</v>
      </c>
      <c r="I206" s="9">
        <f t="shared" si="22"/>
        <v>193.17882339399</v>
      </c>
      <c r="J206" s="9">
        <f t="shared" si="23"/>
        <v>668.16504745719999</v>
      </c>
      <c r="K206" s="9">
        <f t="shared" si="24"/>
        <v>193.17882339399</v>
      </c>
      <c r="L206" s="10">
        <f t="shared" si="21"/>
        <v>0.28911842085897838</v>
      </c>
      <c r="M206" s="10">
        <f t="shared" si="20"/>
        <v>0.37470414960995263</v>
      </c>
      <c r="P206" s="8">
        <f t="shared" si="25"/>
        <v>1.9384184929283141</v>
      </c>
    </row>
    <row r="207" spans="1:16" x14ac:dyDescent="0.2">
      <c r="A207" s="8">
        <v>102.5</v>
      </c>
      <c r="B207" s="8">
        <v>205</v>
      </c>
      <c r="D207">
        <v>798.51166965889001</v>
      </c>
      <c r="E207">
        <v>306.70287253141998</v>
      </c>
      <c r="F207">
        <v>128.40783615315999</v>
      </c>
      <c r="G207">
        <v>111.70703472840999</v>
      </c>
      <c r="I207" s="9">
        <f t="shared" si="22"/>
        <v>194.99583780300998</v>
      </c>
      <c r="J207" s="9">
        <f t="shared" si="23"/>
        <v>670.10383350572999</v>
      </c>
      <c r="K207" s="9">
        <f t="shared" si="24"/>
        <v>194.99583780300998</v>
      </c>
      <c r="L207" s="10">
        <f t="shared" si="21"/>
        <v>0.2909934670614634</v>
      </c>
      <c r="M207" s="10">
        <f t="shared" si="20"/>
        <v>0.37699873369847181</v>
      </c>
      <c r="P207" s="8">
        <f t="shared" si="25"/>
        <v>2.5626610408855943</v>
      </c>
    </row>
    <row r="208" spans="1:16" x14ac:dyDescent="0.2">
      <c r="A208" s="8">
        <v>103</v>
      </c>
      <c r="B208" s="8">
        <v>206</v>
      </c>
      <c r="D208">
        <v>792.43895870736003</v>
      </c>
      <c r="E208">
        <v>304.95062836624999</v>
      </c>
      <c r="F208">
        <v>128.52270703472999</v>
      </c>
      <c r="G208">
        <v>112.03027604630999</v>
      </c>
      <c r="I208" s="9">
        <f t="shared" si="22"/>
        <v>192.92035231993998</v>
      </c>
      <c r="J208" s="9">
        <f t="shared" si="23"/>
        <v>663.9162516726301</v>
      </c>
      <c r="K208" s="9">
        <f t="shared" si="24"/>
        <v>192.92035231993998</v>
      </c>
      <c r="L208" s="10">
        <f t="shared" si="21"/>
        <v>0.29057934917831613</v>
      </c>
      <c r="M208" s="10">
        <f t="shared" si="20"/>
        <v>0.37700415370135876</v>
      </c>
      <c r="P208" s="8">
        <f t="shared" si="25"/>
        <v>2.5641355549071165</v>
      </c>
    </row>
    <row r="209" spans="1:16" x14ac:dyDescent="0.2">
      <c r="A209" s="8">
        <v>103.5</v>
      </c>
      <c r="B209" s="8">
        <v>207</v>
      </c>
      <c r="D209">
        <v>783.19838420107999</v>
      </c>
      <c r="E209">
        <v>299.13285457810002</v>
      </c>
      <c r="F209">
        <v>128.37043633126001</v>
      </c>
      <c r="G209">
        <v>111.56455921638999</v>
      </c>
      <c r="I209" s="9">
        <f t="shared" si="22"/>
        <v>187.56829536171003</v>
      </c>
      <c r="J209" s="9">
        <f t="shared" si="23"/>
        <v>654.82794786982004</v>
      </c>
      <c r="K209" s="9">
        <f t="shared" si="24"/>
        <v>187.56829536171003</v>
      </c>
      <c r="L209" s="10">
        <f t="shared" si="21"/>
        <v>0.28643905009228265</v>
      </c>
      <c r="M209" s="10">
        <f t="shared" si="20"/>
        <v>0.37328339250135945</v>
      </c>
      <c r="P209" s="8">
        <f t="shared" si="25"/>
        <v>1.551900935374348</v>
      </c>
    </row>
    <row r="210" spans="1:16" x14ac:dyDescent="0.2">
      <c r="A210" s="8">
        <v>104</v>
      </c>
      <c r="B210" s="8">
        <v>208</v>
      </c>
      <c r="D210">
        <v>781.92010771993</v>
      </c>
      <c r="E210">
        <v>294.76929982047</v>
      </c>
      <c r="F210">
        <v>128.20837043633</v>
      </c>
      <c r="G210">
        <v>111.71861086376001</v>
      </c>
      <c r="I210" s="9">
        <f t="shared" si="22"/>
        <v>183.05068895670999</v>
      </c>
      <c r="J210" s="9">
        <f t="shared" si="23"/>
        <v>653.71173728359997</v>
      </c>
      <c r="K210" s="9">
        <f t="shared" si="24"/>
        <v>183.05068895670999</v>
      </c>
      <c r="L210" s="10">
        <f t="shared" si="21"/>
        <v>0.28001744272995521</v>
      </c>
      <c r="M210" s="10">
        <f t="shared" si="20"/>
        <v>0.36728132302506622</v>
      </c>
      <c r="P210" s="8">
        <f t="shared" si="25"/>
        <v>-8.0964541922620287E-2</v>
      </c>
    </row>
    <row r="211" spans="1:16" x14ac:dyDescent="0.2">
      <c r="A211" s="8">
        <v>104.5</v>
      </c>
      <c r="B211" s="8">
        <v>209</v>
      </c>
      <c r="D211">
        <v>794.72621184919001</v>
      </c>
      <c r="E211">
        <v>299.29353680431001</v>
      </c>
      <c r="F211">
        <v>128.32769367764999</v>
      </c>
      <c r="G211">
        <v>111.77560106857</v>
      </c>
      <c r="I211" s="9">
        <f t="shared" si="22"/>
        <v>187.51793573574002</v>
      </c>
      <c r="J211" s="9">
        <f t="shared" si="23"/>
        <v>666.39851817153999</v>
      </c>
      <c r="K211" s="9">
        <f t="shared" si="24"/>
        <v>187.51793573574002</v>
      </c>
      <c r="L211" s="10">
        <f t="shared" si="21"/>
        <v>0.28139008509540286</v>
      </c>
      <c r="M211" s="10">
        <f t="shared" si="20"/>
        <v>0.36907350327654803</v>
      </c>
      <c r="P211" s="8">
        <f t="shared" si="25"/>
        <v>0.40659883489209414</v>
      </c>
    </row>
    <row r="212" spans="1:16" x14ac:dyDescent="0.2">
      <c r="A212" s="8">
        <v>105</v>
      </c>
      <c r="B212" s="8">
        <v>210</v>
      </c>
      <c r="D212">
        <v>807.23624887285996</v>
      </c>
      <c r="E212">
        <v>298.58791704238001</v>
      </c>
      <c r="F212">
        <v>128.05342831701</v>
      </c>
      <c r="G212">
        <v>111.79073909172</v>
      </c>
      <c r="I212" s="9">
        <f t="shared" si="22"/>
        <v>186.79717795066</v>
      </c>
      <c r="J212" s="9">
        <f t="shared" si="23"/>
        <v>679.18282055584996</v>
      </c>
      <c r="K212" s="9">
        <f t="shared" si="24"/>
        <v>186.79717795066</v>
      </c>
      <c r="L212" s="10">
        <f t="shared" si="21"/>
        <v>0.27503224801502391</v>
      </c>
      <c r="M212" s="10">
        <f t="shared" si="20"/>
        <v>0.36313520408220329</v>
      </c>
      <c r="P212" s="8">
        <f t="shared" si="25"/>
        <v>-1.2089179108911097</v>
      </c>
    </row>
    <row r="213" spans="1:16" x14ac:dyDescent="0.2">
      <c r="A213" s="8">
        <v>105.5</v>
      </c>
      <c r="B213" s="8">
        <v>211</v>
      </c>
      <c r="D213">
        <v>811.24977457168995</v>
      </c>
      <c r="E213">
        <v>301.28584310189001</v>
      </c>
      <c r="F213">
        <v>128.21282279607999</v>
      </c>
      <c r="G213">
        <v>111.44968833482</v>
      </c>
      <c r="I213" s="9">
        <f t="shared" si="22"/>
        <v>189.83615476707001</v>
      </c>
      <c r="J213" s="9">
        <f t="shared" si="23"/>
        <v>683.03695177560996</v>
      </c>
      <c r="K213" s="9">
        <f t="shared" si="24"/>
        <v>189.83615476707001</v>
      </c>
      <c r="L213" s="10">
        <f t="shared" si="21"/>
        <v>0.27792955311359879</v>
      </c>
      <c r="M213" s="10">
        <f t="shared" si="20"/>
        <v>0.36645204706681234</v>
      </c>
      <c r="P213" s="8">
        <f t="shared" si="25"/>
        <v>-0.30656940849963871</v>
      </c>
    </row>
    <row r="214" spans="1:16" x14ac:dyDescent="0.2">
      <c r="A214" s="8">
        <v>106</v>
      </c>
      <c r="B214" s="8">
        <v>212</v>
      </c>
      <c r="D214">
        <v>759.92064923353996</v>
      </c>
      <c r="E214">
        <v>291.76104598737999</v>
      </c>
      <c r="F214">
        <v>128.86464826357999</v>
      </c>
      <c r="G214">
        <v>111.62600178094</v>
      </c>
      <c r="I214" s="9">
        <f t="shared" si="22"/>
        <v>180.13504420644</v>
      </c>
      <c r="J214" s="9">
        <f t="shared" si="23"/>
        <v>631.05600096996</v>
      </c>
      <c r="K214" s="9">
        <f t="shared" si="24"/>
        <v>180.13504420644</v>
      </c>
      <c r="L214" s="10">
        <f t="shared" si="21"/>
        <v>0.28545017229780678</v>
      </c>
      <c r="M214" s="10">
        <f t="shared" si="20"/>
        <v>0.37439220413705454</v>
      </c>
      <c r="P214" s="8">
        <f t="shared" si="25"/>
        <v>1.8535535983271703</v>
      </c>
    </row>
    <row r="215" spans="1:16" x14ac:dyDescent="0.2">
      <c r="A215" s="8">
        <v>106.5</v>
      </c>
      <c r="B215" s="8">
        <v>213</v>
      </c>
      <c r="D215">
        <v>735.04328223624998</v>
      </c>
      <c r="E215">
        <v>285.19386834987</v>
      </c>
      <c r="F215">
        <v>128.92252894033999</v>
      </c>
      <c r="G215">
        <v>111.9715048976</v>
      </c>
      <c r="I215" s="9">
        <f t="shared" si="22"/>
        <v>173.22236345227</v>
      </c>
      <c r="J215" s="9">
        <f t="shared" si="23"/>
        <v>606.12075329590994</v>
      </c>
      <c r="K215" s="9">
        <f t="shared" si="24"/>
        <v>173.22236345227</v>
      </c>
      <c r="L215" s="10">
        <f t="shared" si="21"/>
        <v>0.28578853720209502</v>
      </c>
      <c r="M215" s="10">
        <f t="shared" si="20"/>
        <v>0.37515010692737694</v>
      </c>
      <c r="P215" s="8">
        <f t="shared" si="25"/>
        <v>2.0597413651220284</v>
      </c>
    </row>
    <row r="216" spans="1:16" x14ac:dyDescent="0.2">
      <c r="A216" s="8">
        <v>107</v>
      </c>
      <c r="B216" s="8">
        <v>214</v>
      </c>
      <c r="D216">
        <v>761.63336306868996</v>
      </c>
      <c r="E216">
        <v>288.13380909902003</v>
      </c>
      <c r="F216">
        <v>128.17809439003</v>
      </c>
      <c r="G216">
        <v>111.61798753338999</v>
      </c>
      <c r="I216" s="9">
        <f t="shared" si="22"/>
        <v>176.51582156563003</v>
      </c>
      <c r="J216" s="9">
        <f t="shared" si="23"/>
        <v>633.45526867865999</v>
      </c>
      <c r="K216" s="9">
        <f t="shared" si="24"/>
        <v>176.51582156563003</v>
      </c>
      <c r="L216" s="10">
        <f t="shared" si="21"/>
        <v>0.27865554253551122</v>
      </c>
      <c r="M216" s="10">
        <f t="shared" si="20"/>
        <v>0.36843665014682736</v>
      </c>
      <c r="P216" s="8">
        <f t="shared" si="25"/>
        <v>0.23334267820534516</v>
      </c>
    </row>
    <row r="217" spans="1:16" x14ac:dyDescent="0.2">
      <c r="A217" s="8">
        <v>107.5</v>
      </c>
      <c r="B217" s="8">
        <v>215</v>
      </c>
      <c r="D217">
        <v>778.58162355039997</v>
      </c>
      <c r="E217">
        <v>295.88760035681997</v>
      </c>
      <c r="F217">
        <v>128.74799643810999</v>
      </c>
      <c r="G217">
        <v>111.39269813001</v>
      </c>
      <c r="I217" s="9">
        <f t="shared" si="22"/>
        <v>184.49490222680998</v>
      </c>
      <c r="J217" s="9">
        <f t="shared" si="23"/>
        <v>649.83362711228995</v>
      </c>
      <c r="K217" s="9">
        <f t="shared" si="24"/>
        <v>184.49490222680998</v>
      </c>
      <c r="L217" s="10">
        <f t="shared" si="21"/>
        <v>0.28391098048690183</v>
      </c>
      <c r="M217" s="10">
        <f t="shared" si="20"/>
        <v>0.37411162598425213</v>
      </c>
      <c r="P217" s="8">
        <f t="shared" si="25"/>
        <v>1.7772221960992578</v>
      </c>
    </row>
    <row r="218" spans="1:16" x14ac:dyDescent="0.2">
      <c r="A218" s="8">
        <v>108</v>
      </c>
      <c r="B218" s="8">
        <v>216</v>
      </c>
      <c r="D218">
        <v>787.61195361285002</v>
      </c>
      <c r="E218">
        <v>296.69669937556</v>
      </c>
      <c r="F218">
        <v>128.66963490649999</v>
      </c>
      <c r="G218">
        <v>111.58504007124</v>
      </c>
      <c r="I218" s="9">
        <f t="shared" si="22"/>
        <v>185.11165930432</v>
      </c>
      <c r="J218" s="9">
        <f t="shared" si="23"/>
        <v>658.94231870635008</v>
      </c>
      <c r="K218" s="9">
        <f t="shared" si="24"/>
        <v>185.11165930432</v>
      </c>
      <c r="L218" s="10">
        <f t="shared" si="21"/>
        <v>0.28092240253704642</v>
      </c>
      <c r="M218" s="10">
        <f t="shared" si="20"/>
        <v>0.37154258592043093</v>
      </c>
      <c r="P218" s="8">
        <f t="shared" si="25"/>
        <v>1.0783137868288737</v>
      </c>
    </row>
    <row r="219" spans="1:16" x14ac:dyDescent="0.2">
      <c r="A219" s="8">
        <v>108.5</v>
      </c>
      <c r="B219" s="8">
        <v>217</v>
      </c>
      <c r="D219">
        <v>731.47903657449001</v>
      </c>
      <c r="E219">
        <v>278.65120428188999</v>
      </c>
      <c r="F219">
        <v>128.44523597507001</v>
      </c>
      <c r="G219">
        <v>111.87355298308</v>
      </c>
      <c r="I219" s="9">
        <f t="shared" si="22"/>
        <v>166.77765129880999</v>
      </c>
      <c r="J219" s="9">
        <f t="shared" si="23"/>
        <v>603.03380059942003</v>
      </c>
      <c r="K219" s="9">
        <f t="shared" si="24"/>
        <v>166.77765129880999</v>
      </c>
      <c r="L219" s="10">
        <f t="shared" si="21"/>
        <v>0.27656435034492555</v>
      </c>
      <c r="M219" s="10">
        <f t="shared" si="20"/>
        <v>0.36760407161434422</v>
      </c>
      <c r="P219" s="8">
        <f t="shared" si="25"/>
        <v>6.839344946715376E-3</v>
      </c>
    </row>
    <row r="220" spans="1:16" x14ac:dyDescent="0.2">
      <c r="A220" s="8">
        <v>109</v>
      </c>
      <c r="B220" s="8">
        <v>218</v>
      </c>
      <c r="D220">
        <v>697.65923282783001</v>
      </c>
      <c r="E220">
        <v>270.89652096343002</v>
      </c>
      <c r="F220">
        <v>128.56544968834001</v>
      </c>
      <c r="G220">
        <v>111.3285841496</v>
      </c>
      <c r="I220" s="9">
        <f t="shared" si="22"/>
        <v>159.56793681383002</v>
      </c>
      <c r="J220" s="9">
        <f t="shared" si="23"/>
        <v>569.09378313949003</v>
      </c>
      <c r="K220" s="9">
        <f t="shared" si="24"/>
        <v>159.56793681383002</v>
      </c>
      <c r="L220" s="10">
        <f t="shared" si="21"/>
        <v>0.28038952724724892</v>
      </c>
      <c r="M220" s="10">
        <f t="shared" si="20"/>
        <v>0.3718487864027018</v>
      </c>
      <c r="P220" s="8">
        <f t="shared" si="25"/>
        <v>1.1616157543596737</v>
      </c>
    </row>
    <row r="221" spans="1:16" x14ac:dyDescent="0.2">
      <c r="A221" s="8">
        <v>109.5</v>
      </c>
      <c r="B221" s="8">
        <v>219</v>
      </c>
      <c r="D221">
        <v>695.34504504505003</v>
      </c>
      <c r="E221">
        <v>274.06126126125997</v>
      </c>
      <c r="F221">
        <v>128.44701691897001</v>
      </c>
      <c r="G221">
        <v>111.47818343722</v>
      </c>
      <c r="I221" s="9">
        <f t="shared" si="22"/>
        <v>162.58307782403998</v>
      </c>
      <c r="J221" s="9">
        <f t="shared" si="23"/>
        <v>566.89802812608002</v>
      </c>
      <c r="K221" s="9">
        <f t="shared" si="24"/>
        <v>162.58307782403998</v>
      </c>
      <c r="L221" s="10">
        <f t="shared" si="21"/>
        <v>0.28679422004953764</v>
      </c>
      <c r="M221" s="10">
        <f t="shared" si="20"/>
        <v>0.37867301709102469</v>
      </c>
      <c r="P221" s="8">
        <f t="shared" si="25"/>
        <v>3.0181505285880323</v>
      </c>
    </row>
    <row r="222" spans="1:16" x14ac:dyDescent="0.2">
      <c r="A222" s="8">
        <v>110</v>
      </c>
      <c r="B222" s="8">
        <v>220</v>
      </c>
      <c r="D222">
        <v>650.98288288287995</v>
      </c>
      <c r="E222">
        <v>262.76486486486999</v>
      </c>
      <c r="F222">
        <v>128.56901157614001</v>
      </c>
      <c r="G222">
        <v>111.55743544078</v>
      </c>
      <c r="I222" s="9">
        <f t="shared" si="22"/>
        <v>151.20742942408998</v>
      </c>
      <c r="J222" s="9">
        <f t="shared" si="23"/>
        <v>522.41387130673991</v>
      </c>
      <c r="K222" s="9">
        <f t="shared" si="24"/>
        <v>151.20742942408998</v>
      </c>
      <c r="L222" s="10">
        <f t="shared" si="21"/>
        <v>0.28943992058608109</v>
      </c>
      <c r="M222" s="10">
        <f t="shared" si="20"/>
        <v>0.38173825551360235</v>
      </c>
      <c r="P222" s="8">
        <f t="shared" si="25"/>
        <v>3.8520499060744728</v>
      </c>
    </row>
    <row r="223" spans="1:16" x14ac:dyDescent="0.2">
      <c r="A223" s="8">
        <v>110.5</v>
      </c>
      <c r="B223" s="8">
        <v>221</v>
      </c>
      <c r="D223">
        <v>585.32010820559003</v>
      </c>
      <c r="E223">
        <v>247.80432822362999</v>
      </c>
      <c r="F223">
        <v>129.04452359750999</v>
      </c>
      <c r="G223">
        <v>111.90115761353999</v>
      </c>
      <c r="I223" s="9">
        <f t="shared" si="22"/>
        <v>135.90317061009</v>
      </c>
      <c r="J223" s="9">
        <f t="shared" si="23"/>
        <v>456.27558460808007</v>
      </c>
      <c r="K223" s="9">
        <f t="shared" si="24"/>
        <v>135.90317061009</v>
      </c>
      <c r="L223" s="10">
        <f t="shared" si="21"/>
        <v>0.29785326060526474</v>
      </c>
      <c r="M223" s="10">
        <f t="shared" si="20"/>
        <v>0.39057113341882016</v>
      </c>
      <c r="P223" s="8">
        <f t="shared" si="25"/>
        <v>6.2550379843658712</v>
      </c>
    </row>
    <row r="224" spans="1:16" x14ac:dyDescent="0.2">
      <c r="A224" s="8">
        <v>111</v>
      </c>
      <c r="B224" s="8">
        <v>222</v>
      </c>
      <c r="D224">
        <v>557.03673835125005</v>
      </c>
      <c r="E224">
        <v>240.66666666667001</v>
      </c>
      <c r="F224">
        <v>128.41763134460999</v>
      </c>
      <c r="G224">
        <v>111.74532502226</v>
      </c>
      <c r="I224" s="9">
        <f t="shared" si="22"/>
        <v>128.92134164441001</v>
      </c>
      <c r="J224" s="9">
        <f t="shared" si="23"/>
        <v>428.61910700664009</v>
      </c>
      <c r="K224" s="9">
        <f t="shared" si="24"/>
        <v>128.92134164441001</v>
      </c>
      <c r="L224" s="10">
        <f t="shared" si="21"/>
        <v>0.30078300182360462</v>
      </c>
      <c r="M224" s="10">
        <f t="shared" si="20"/>
        <v>0.39392041252319421</v>
      </c>
      <c r="P224" s="8">
        <f t="shared" si="25"/>
        <v>7.1662107465215676</v>
      </c>
    </row>
    <row r="225" spans="1:16" x14ac:dyDescent="0.2">
      <c r="A225" s="8">
        <v>111.5</v>
      </c>
      <c r="B225" s="8">
        <v>223</v>
      </c>
      <c r="D225">
        <v>595.33064516129002</v>
      </c>
      <c r="E225">
        <v>248.59767025089999</v>
      </c>
      <c r="F225">
        <v>128.56455921638999</v>
      </c>
      <c r="G225">
        <v>111.6447016919</v>
      </c>
      <c r="I225" s="9">
        <f t="shared" si="22"/>
        <v>136.952968559</v>
      </c>
      <c r="J225" s="9">
        <f t="shared" si="23"/>
        <v>466.76608594490006</v>
      </c>
      <c r="K225" s="9">
        <f t="shared" si="24"/>
        <v>136.952968559</v>
      </c>
      <c r="L225" s="10">
        <f t="shared" si="21"/>
        <v>0.29340813885772921</v>
      </c>
      <c r="M225" s="10">
        <f t="shared" si="20"/>
        <v>0.38696508744335301</v>
      </c>
      <c r="P225" s="8">
        <f t="shared" si="25"/>
        <v>5.2740116889950901</v>
      </c>
    </row>
    <row r="226" spans="1:16" x14ac:dyDescent="0.2">
      <c r="A226" s="8">
        <v>112</v>
      </c>
      <c r="B226" s="8">
        <v>224</v>
      </c>
      <c r="D226">
        <v>563.69545859305003</v>
      </c>
      <c r="E226">
        <v>242.87088156722999</v>
      </c>
      <c r="F226">
        <v>128.80053428317001</v>
      </c>
      <c r="G226">
        <v>111.6304541407</v>
      </c>
      <c r="I226" s="9">
        <f t="shared" si="22"/>
        <v>131.24042742653</v>
      </c>
      <c r="J226" s="9">
        <f t="shared" si="23"/>
        <v>434.89492430988003</v>
      </c>
      <c r="K226" s="9">
        <f t="shared" si="24"/>
        <v>131.24042742653</v>
      </c>
      <c r="L226" s="10">
        <f t="shared" si="21"/>
        <v>0.30177502677179086</v>
      </c>
      <c r="M226" s="10">
        <f t="shared" si="20"/>
        <v>0.39575151324344882</v>
      </c>
      <c r="P226" s="8">
        <f t="shared" si="25"/>
        <v>7.6643624529233234</v>
      </c>
    </row>
    <row r="227" spans="1:16" x14ac:dyDescent="0.2">
      <c r="A227" s="8">
        <v>112.5</v>
      </c>
      <c r="B227" s="8">
        <v>225</v>
      </c>
      <c r="D227">
        <v>562.85357142857004</v>
      </c>
      <c r="E227">
        <v>239.66071428570999</v>
      </c>
      <c r="F227">
        <v>128.05609973285999</v>
      </c>
      <c r="G227">
        <v>111.22617987533</v>
      </c>
      <c r="I227" s="9">
        <f t="shared" si="22"/>
        <v>128.43453441037997</v>
      </c>
      <c r="J227" s="9">
        <f t="shared" si="23"/>
        <v>434.79747169571004</v>
      </c>
      <c r="K227" s="9">
        <f t="shared" si="24"/>
        <v>128.43453441037997</v>
      </c>
      <c r="L227" s="10">
        <f t="shared" si="21"/>
        <v>0.2953893312890834</v>
      </c>
      <c r="M227" s="10">
        <f t="shared" si="20"/>
        <v>0.38978535564677558</v>
      </c>
      <c r="P227" s="8">
        <f t="shared" si="25"/>
        <v>6.0412668172931223</v>
      </c>
    </row>
    <row r="228" spans="1:16" x14ac:dyDescent="0.2">
      <c r="A228" s="8">
        <v>113</v>
      </c>
      <c r="B228" s="8">
        <v>226</v>
      </c>
      <c r="D228">
        <v>576.38839285714005</v>
      </c>
      <c r="E228">
        <v>244.66964285713999</v>
      </c>
      <c r="F228">
        <v>128.68833481745</v>
      </c>
      <c r="G228">
        <v>111.53250222618</v>
      </c>
      <c r="I228" s="9">
        <f t="shared" si="22"/>
        <v>133.13714063096</v>
      </c>
      <c r="J228" s="9">
        <f t="shared" si="23"/>
        <v>447.70005803969002</v>
      </c>
      <c r="K228" s="9">
        <f t="shared" si="24"/>
        <v>133.13714063096</v>
      </c>
      <c r="L228" s="10">
        <f t="shared" si="21"/>
        <v>0.29738021749185695</v>
      </c>
      <c r="M228" s="10">
        <f t="shared" si="20"/>
        <v>0.39219577973558328</v>
      </c>
      <c r="P228" s="8">
        <f t="shared" si="25"/>
        <v>6.6970236851209579</v>
      </c>
    </row>
    <row r="229" spans="1:16" x14ac:dyDescent="0.2">
      <c r="A229" s="8">
        <v>113.5</v>
      </c>
      <c r="B229" s="8">
        <v>227</v>
      </c>
      <c r="D229">
        <v>548.65535714286</v>
      </c>
      <c r="E229">
        <v>237.39642857142999</v>
      </c>
      <c r="F229">
        <v>127.79697239537001</v>
      </c>
      <c r="G229">
        <v>111.42119323241</v>
      </c>
      <c r="I229" s="9">
        <f t="shared" si="22"/>
        <v>125.97523533901999</v>
      </c>
      <c r="J229" s="9">
        <f t="shared" si="23"/>
        <v>420.85838474748999</v>
      </c>
      <c r="K229" s="9">
        <f t="shared" si="24"/>
        <v>125.97523533901999</v>
      </c>
      <c r="L229" s="10">
        <f t="shared" si="21"/>
        <v>0.29932927536801629</v>
      </c>
      <c r="M229" s="10">
        <f t="shared" si="20"/>
        <v>0.39456437549777684</v>
      </c>
      <c r="P229" s="8">
        <f t="shared" si="25"/>
        <v>7.3414011394363197</v>
      </c>
    </row>
    <row r="230" spans="1:16" x14ac:dyDescent="0.2">
      <c r="A230" s="8">
        <v>114</v>
      </c>
      <c r="B230" s="8">
        <v>228</v>
      </c>
      <c r="D230">
        <v>536.20446428570995</v>
      </c>
      <c r="E230">
        <v>236.28035714286</v>
      </c>
      <c r="F230">
        <v>128.23508459484</v>
      </c>
      <c r="G230">
        <v>111.35618878005</v>
      </c>
      <c r="I230" s="9">
        <f t="shared" si="22"/>
        <v>124.92416836280999</v>
      </c>
      <c r="J230" s="9">
        <f t="shared" si="23"/>
        <v>407.96937969086991</v>
      </c>
      <c r="K230" s="9">
        <f t="shared" si="24"/>
        <v>124.92416836280999</v>
      </c>
      <c r="L230" s="10">
        <f t="shared" si="21"/>
        <v>0.30620966813114409</v>
      </c>
      <c r="M230" s="10">
        <f t="shared" si="20"/>
        <v>0.4018643061469388</v>
      </c>
      <c r="P230" s="8">
        <f t="shared" si="25"/>
        <v>9.3273502842702882</v>
      </c>
    </row>
    <row r="231" spans="1:16" x14ac:dyDescent="0.2">
      <c r="A231" s="8">
        <v>114.5</v>
      </c>
      <c r="B231" s="8">
        <v>229</v>
      </c>
      <c r="D231">
        <v>531.28840970349995</v>
      </c>
      <c r="E231">
        <v>234.56603773584999</v>
      </c>
      <c r="F231">
        <v>128.33748886910001</v>
      </c>
      <c r="G231">
        <v>111.54585930543</v>
      </c>
      <c r="I231" s="9">
        <f t="shared" si="22"/>
        <v>123.02017843041999</v>
      </c>
      <c r="J231" s="9">
        <f t="shared" si="23"/>
        <v>402.95092083439994</v>
      </c>
      <c r="K231" s="9">
        <f t="shared" si="24"/>
        <v>123.02017843041999</v>
      </c>
      <c r="L231" s="10">
        <f t="shared" si="21"/>
        <v>0.30529816925515202</v>
      </c>
      <c r="M231" s="10">
        <f t="shared" si="20"/>
        <v>0.40137234515698095</v>
      </c>
      <c r="P231" s="8">
        <f t="shared" si="25"/>
        <v>9.1935120939841077</v>
      </c>
    </row>
    <row r="232" spans="1:16" x14ac:dyDescent="0.2">
      <c r="A232" s="8">
        <v>115</v>
      </c>
      <c r="B232" s="8">
        <v>230</v>
      </c>
      <c r="D232">
        <v>591.70440251571995</v>
      </c>
      <c r="E232">
        <v>254.70080862533999</v>
      </c>
      <c r="F232">
        <v>128.22350845948</v>
      </c>
      <c r="G232">
        <v>111.66785396260001</v>
      </c>
      <c r="I232" s="9">
        <f t="shared" si="22"/>
        <v>143.03295466274</v>
      </c>
      <c r="J232" s="9">
        <f t="shared" si="23"/>
        <v>463.48089405623995</v>
      </c>
      <c r="K232" s="9">
        <f t="shared" si="24"/>
        <v>143.03295466274</v>
      </c>
      <c r="L232" s="10">
        <f t="shared" si="21"/>
        <v>0.30860593499542188</v>
      </c>
      <c r="M232" s="10">
        <f t="shared" si="20"/>
        <v>0.40509964878328497</v>
      </c>
      <c r="P232" s="8">
        <f t="shared" si="25"/>
        <v>10.20752658329228</v>
      </c>
    </row>
    <row r="233" spans="1:16" x14ac:dyDescent="0.2">
      <c r="A233" s="8">
        <v>115.5</v>
      </c>
      <c r="B233" s="8">
        <v>231</v>
      </c>
      <c r="D233">
        <v>637.99460431654995</v>
      </c>
      <c r="E233">
        <v>257.50269784173003</v>
      </c>
      <c r="F233">
        <v>128.02226179875001</v>
      </c>
      <c r="G233">
        <v>111.74443455031</v>
      </c>
      <c r="I233" s="9">
        <f t="shared" si="22"/>
        <v>145.75826329142001</v>
      </c>
      <c r="J233" s="9">
        <f t="shared" si="23"/>
        <v>509.97234251779992</v>
      </c>
      <c r="K233" s="9">
        <f t="shared" si="24"/>
        <v>145.75826329142001</v>
      </c>
      <c r="L233" s="10">
        <f t="shared" si="21"/>
        <v>0.28581601616235197</v>
      </c>
      <c r="M233" s="10">
        <f t="shared" si="20"/>
        <v>0.38272926783624928</v>
      </c>
      <c r="P233" s="8">
        <f t="shared" si="25"/>
        <v>4.1216552173121244</v>
      </c>
    </row>
    <row r="234" spans="1:16" x14ac:dyDescent="0.2">
      <c r="A234" s="8">
        <v>116</v>
      </c>
      <c r="B234" s="8">
        <v>232</v>
      </c>
      <c r="D234">
        <v>641.54496402877999</v>
      </c>
      <c r="E234">
        <v>253.24640287770001</v>
      </c>
      <c r="F234">
        <v>127.82368655387</v>
      </c>
      <c r="G234">
        <v>111.37399821906</v>
      </c>
      <c r="I234" s="9">
        <f t="shared" si="22"/>
        <v>141.87240465863999</v>
      </c>
      <c r="J234" s="9">
        <f t="shared" si="23"/>
        <v>513.72127747491004</v>
      </c>
      <c r="K234" s="9">
        <f t="shared" si="24"/>
        <v>141.87240465863999</v>
      </c>
      <c r="L234" s="10">
        <f t="shared" si="21"/>
        <v>0.27616610578402406</v>
      </c>
      <c r="M234" s="10">
        <f t="shared" si="20"/>
        <v>0.37349889534395553</v>
      </c>
      <c r="P234" s="8">
        <f t="shared" si="25"/>
        <v>1.6105285726125338</v>
      </c>
    </row>
    <row r="235" spans="1:16" x14ac:dyDescent="0.2">
      <c r="A235" s="8">
        <v>116.5</v>
      </c>
      <c r="B235" s="8">
        <v>233</v>
      </c>
      <c r="D235">
        <v>660.56564748201004</v>
      </c>
      <c r="E235">
        <v>260.17895683453003</v>
      </c>
      <c r="F235">
        <v>128.0267141585</v>
      </c>
      <c r="G235">
        <v>111.77738201247</v>
      </c>
      <c r="I235" s="9">
        <f t="shared" si="22"/>
        <v>148.40157482206001</v>
      </c>
      <c r="J235" s="9">
        <f t="shared" si="23"/>
        <v>532.53893332351004</v>
      </c>
      <c r="K235" s="9">
        <f t="shared" si="24"/>
        <v>148.40157482206001</v>
      </c>
      <c r="L235" s="10">
        <f t="shared" si="21"/>
        <v>0.27866802882543068</v>
      </c>
      <c r="M235" s="10">
        <f t="shared" si="20"/>
        <v>0.37642035627139636</v>
      </c>
      <c r="P235" s="8">
        <f t="shared" si="25"/>
        <v>2.4053132232287755</v>
      </c>
    </row>
    <row r="236" spans="1:16" x14ac:dyDescent="0.2">
      <c r="A236" s="8">
        <v>117</v>
      </c>
      <c r="B236" s="8">
        <v>234</v>
      </c>
      <c r="D236">
        <v>657.32374100719005</v>
      </c>
      <c r="E236">
        <v>257.76618705035997</v>
      </c>
      <c r="F236">
        <v>128.49243098842001</v>
      </c>
      <c r="G236">
        <v>111.34016028495</v>
      </c>
      <c r="I236" s="9">
        <f t="shared" si="22"/>
        <v>146.42602676540997</v>
      </c>
      <c r="J236" s="9">
        <f t="shared" si="23"/>
        <v>528.83131001877007</v>
      </c>
      <c r="K236" s="9">
        <f t="shared" si="24"/>
        <v>146.42602676540997</v>
      </c>
      <c r="L236" s="10">
        <f t="shared" si="21"/>
        <v>0.27688607688567607</v>
      </c>
      <c r="M236" s="10">
        <f t="shared" si="20"/>
        <v>0.37505794221767597</v>
      </c>
      <c r="P236" s="8">
        <f t="shared" si="25"/>
        <v>2.0346679178235223</v>
      </c>
    </row>
    <row r="237" spans="1:16" x14ac:dyDescent="0.2">
      <c r="A237" s="8">
        <v>117.5</v>
      </c>
      <c r="B237" s="8">
        <v>235</v>
      </c>
      <c r="D237">
        <v>630.09352517985997</v>
      </c>
      <c r="E237">
        <v>251.70773381295001</v>
      </c>
      <c r="F237">
        <v>128.09349955476</v>
      </c>
      <c r="G237">
        <v>111.89670525379</v>
      </c>
      <c r="I237" s="9">
        <f t="shared" si="22"/>
        <v>139.81102855916001</v>
      </c>
      <c r="J237" s="9">
        <f t="shared" si="23"/>
        <v>502.00002562509997</v>
      </c>
      <c r="K237" s="9">
        <f t="shared" si="24"/>
        <v>139.81102855916001</v>
      </c>
      <c r="L237" s="10">
        <f t="shared" si="21"/>
        <v>0.27850801080152271</v>
      </c>
      <c r="M237" s="10">
        <f t="shared" si="20"/>
        <v>0.37709941401955677</v>
      </c>
      <c r="P237" s="8">
        <f t="shared" si="25"/>
        <v>2.5900511637743961</v>
      </c>
    </row>
    <row r="238" spans="1:16" x14ac:dyDescent="0.2">
      <c r="A238" s="8">
        <v>118</v>
      </c>
      <c r="B238" s="8">
        <v>236</v>
      </c>
      <c r="D238">
        <v>642.00359712229999</v>
      </c>
      <c r="E238">
        <v>252.72931654676</v>
      </c>
      <c r="F238">
        <v>127.92965271593999</v>
      </c>
      <c r="G238">
        <v>111.82813891361999</v>
      </c>
      <c r="I238" s="9">
        <f t="shared" si="22"/>
        <v>140.90117763314001</v>
      </c>
      <c r="J238" s="9">
        <f t="shared" si="23"/>
        <v>514.07394440635994</v>
      </c>
      <c r="K238" s="9">
        <f t="shared" si="24"/>
        <v>140.90117763314001</v>
      </c>
      <c r="L238" s="10">
        <f t="shared" si="21"/>
        <v>0.27408737432870528</v>
      </c>
      <c r="M238" s="10">
        <f t="shared" si="20"/>
        <v>0.3730983154327735</v>
      </c>
      <c r="P238" s="8">
        <f t="shared" si="25"/>
        <v>1.5015506425083689</v>
      </c>
    </row>
    <row r="239" spans="1:16" x14ac:dyDescent="0.2">
      <c r="A239" s="8">
        <v>118.5</v>
      </c>
      <c r="B239" s="8">
        <v>237</v>
      </c>
      <c r="D239">
        <v>600.29739442947005</v>
      </c>
      <c r="E239">
        <v>244.65049415992999</v>
      </c>
      <c r="F239">
        <v>128.44256455921999</v>
      </c>
      <c r="G239">
        <v>111.52804986643</v>
      </c>
      <c r="I239" s="9">
        <f t="shared" si="22"/>
        <v>133.1224442935</v>
      </c>
      <c r="J239" s="9">
        <f t="shared" si="23"/>
        <v>471.85482987025006</v>
      </c>
      <c r="K239" s="9">
        <f t="shared" si="24"/>
        <v>133.1224442935</v>
      </c>
      <c r="L239" s="10">
        <f t="shared" si="21"/>
        <v>0.28212584860073553</v>
      </c>
      <c r="M239" s="10">
        <f t="shared" si="20"/>
        <v>0.38155632759083796</v>
      </c>
      <c r="P239" s="8">
        <f t="shared" si="25"/>
        <v>3.8025563396284898</v>
      </c>
    </row>
    <row r="240" spans="1:16" x14ac:dyDescent="0.2">
      <c r="A240" s="8">
        <v>119</v>
      </c>
      <c r="B240" s="8">
        <v>238</v>
      </c>
      <c r="D240">
        <v>615.36217662801005</v>
      </c>
      <c r="E240">
        <v>249.27475468332</v>
      </c>
      <c r="F240">
        <v>128.00445235974999</v>
      </c>
      <c r="G240">
        <v>111.26981300089</v>
      </c>
      <c r="I240" s="9">
        <f t="shared" si="22"/>
        <v>138.00494168243</v>
      </c>
      <c r="J240" s="9">
        <f t="shared" si="23"/>
        <v>487.35772426826009</v>
      </c>
      <c r="K240" s="9">
        <f t="shared" si="24"/>
        <v>138.00494168243</v>
      </c>
      <c r="L240" s="10">
        <f t="shared" si="21"/>
        <v>0.28316970227492871</v>
      </c>
      <c r="M240" s="10">
        <f t="shared" si="20"/>
        <v>0.38301971915106536</v>
      </c>
      <c r="P240" s="8">
        <f t="shared" si="25"/>
        <v>4.2006726173392233</v>
      </c>
    </row>
    <row r="241" spans="1:16" x14ac:dyDescent="0.2">
      <c r="A241" s="8">
        <v>119.5</v>
      </c>
      <c r="B241" s="8">
        <v>239</v>
      </c>
      <c r="D241">
        <v>529.42818911686004</v>
      </c>
      <c r="E241">
        <v>230.87957181088001</v>
      </c>
      <c r="F241">
        <v>128.21104185217999</v>
      </c>
      <c r="G241">
        <v>111.61175422974</v>
      </c>
      <c r="I241" s="9">
        <f t="shared" si="22"/>
        <v>119.26781758114001</v>
      </c>
      <c r="J241" s="9">
        <f t="shared" si="23"/>
        <v>401.21714726468008</v>
      </c>
      <c r="K241" s="9">
        <f t="shared" si="24"/>
        <v>119.26781758114001</v>
      </c>
      <c r="L241" s="10">
        <f t="shared" si="21"/>
        <v>0.29726500573132253</v>
      </c>
      <c r="M241" s="10">
        <f t="shared" si="20"/>
        <v>0.39753456049349334</v>
      </c>
      <c r="P241" s="8">
        <f t="shared" si="25"/>
        <v>8.1494411929290251</v>
      </c>
    </row>
    <row r="242" spans="1:16" x14ac:dyDescent="0.2">
      <c r="A242" s="8">
        <v>120</v>
      </c>
      <c r="B242" s="8">
        <v>240</v>
      </c>
      <c r="D242">
        <v>527.39279279279003</v>
      </c>
      <c r="E242">
        <v>230.30450450450999</v>
      </c>
      <c r="F242">
        <v>128.18254674977999</v>
      </c>
      <c r="G242">
        <v>111.24666073019</v>
      </c>
      <c r="I242" s="9">
        <f>E242-G242</f>
        <v>119.05784377431999</v>
      </c>
      <c r="J242" s="9">
        <f>D242-F242</f>
        <v>399.21024604301005</v>
      </c>
      <c r="K242" s="9">
        <f t="shared" si="24"/>
        <v>119.05784377431999</v>
      </c>
      <c r="L242" s="10">
        <f t="shared" si="21"/>
        <v>0.29823343702829952</v>
      </c>
      <c r="M242" s="10">
        <f>L242+ABS($N$2)*A242</f>
        <v>0.39892252967650454</v>
      </c>
      <c r="O242" s="11"/>
      <c r="P242" s="8">
        <f>(M242-$O$2)/$O$2*100</f>
        <v>8.527038781801112</v>
      </c>
    </row>
    <row r="243" spans="1:16" x14ac:dyDescent="0.2">
      <c r="A243" s="8">
        <v>120.5</v>
      </c>
      <c r="B243" s="8">
        <v>241</v>
      </c>
      <c r="D243">
        <v>509.09189189188999</v>
      </c>
      <c r="E243">
        <v>225.79099099099</v>
      </c>
      <c r="F243">
        <v>128.06411398041001</v>
      </c>
      <c r="G243">
        <v>111.59394479074</v>
      </c>
      <c r="I243" s="9">
        <f t="shared" ref="I243:I274" si="26">E243-G243</f>
        <v>114.19704620025</v>
      </c>
      <c r="J243" s="9">
        <f t="shared" ref="J243:J274" si="27">D243-F243</f>
        <v>381.02777791147997</v>
      </c>
      <c r="K243" s="9">
        <f t="shared" si="24"/>
        <v>114.19704620025</v>
      </c>
      <c r="L243" s="10">
        <f t="shared" si="21"/>
        <v>0.29970792897619175</v>
      </c>
      <c r="M243" s="10">
        <f t="shared" ref="M243:M274" si="28">L243+ABS($N$2)*A243</f>
        <v>0.40081655951043094</v>
      </c>
      <c r="P243" s="8">
        <f t="shared" ref="P243:P274" si="29">(M243-$O$2)/$O$2*100</f>
        <v>9.0423103795399147</v>
      </c>
    </row>
    <row r="244" spans="1:16" x14ac:dyDescent="0.2">
      <c r="A244" s="8">
        <v>121</v>
      </c>
      <c r="B244" s="8">
        <v>242</v>
      </c>
      <c r="D244">
        <v>513.28253119429996</v>
      </c>
      <c r="E244">
        <v>225.90196078431001</v>
      </c>
      <c r="F244">
        <v>128.14069456812001</v>
      </c>
      <c r="G244">
        <v>111.65627782724999</v>
      </c>
      <c r="I244" s="9">
        <f t="shared" si="26"/>
        <v>114.24568295706001</v>
      </c>
      <c r="J244" s="9">
        <f t="shared" si="27"/>
        <v>385.14183662617995</v>
      </c>
      <c r="K244" s="9">
        <f t="shared" si="24"/>
        <v>114.24568295706001</v>
      </c>
      <c r="L244" s="10">
        <f t="shared" si="21"/>
        <v>0.29663275212541318</v>
      </c>
      <c r="M244" s="10">
        <f t="shared" si="28"/>
        <v>0.39816092054568653</v>
      </c>
      <c r="N244" s="1"/>
      <c r="P244" s="8">
        <f t="shared" si="29"/>
        <v>8.3198427035452962</v>
      </c>
    </row>
    <row r="245" spans="1:16" x14ac:dyDescent="0.2">
      <c r="A245" s="8">
        <v>121.5</v>
      </c>
      <c r="B245" s="8">
        <v>243</v>
      </c>
      <c r="D245">
        <v>501.60427807487002</v>
      </c>
      <c r="E245">
        <v>222.90106951871999</v>
      </c>
      <c r="F245">
        <v>127.6731967943</v>
      </c>
      <c r="G245">
        <v>111.51024042743001</v>
      </c>
      <c r="I245" s="9">
        <f t="shared" si="26"/>
        <v>111.39082909128999</v>
      </c>
      <c r="J245" s="9">
        <f t="shared" si="27"/>
        <v>373.93108128057003</v>
      </c>
      <c r="K245" s="9">
        <f t="shared" si="24"/>
        <v>111.39082909128999</v>
      </c>
      <c r="L245" s="10">
        <f t="shared" si="21"/>
        <v>0.29789133524236411</v>
      </c>
      <c r="M245" s="10">
        <f t="shared" si="28"/>
        <v>0.39983904154867167</v>
      </c>
      <c r="P245" s="8">
        <f t="shared" si="29"/>
        <v>8.7763762147491136</v>
      </c>
    </row>
    <row r="246" spans="1:16" x14ac:dyDescent="0.2">
      <c r="A246" s="8">
        <v>122</v>
      </c>
      <c r="B246" s="8">
        <v>244</v>
      </c>
      <c r="D246">
        <v>495.67201426025002</v>
      </c>
      <c r="E246">
        <v>220.34046345811001</v>
      </c>
      <c r="F246">
        <v>128.45770258236999</v>
      </c>
      <c r="G246">
        <v>111.10863757792001</v>
      </c>
      <c r="I246" s="9">
        <f t="shared" si="26"/>
        <v>109.23182588019</v>
      </c>
      <c r="J246" s="9">
        <f t="shared" si="27"/>
        <v>367.21431167788</v>
      </c>
      <c r="K246" s="9">
        <f t="shared" si="24"/>
        <v>109.23182588019</v>
      </c>
      <c r="L246" s="10">
        <f t="shared" si="21"/>
        <v>0.29746069912440681</v>
      </c>
      <c r="M246" s="10">
        <f t="shared" si="28"/>
        <v>0.39982794331674854</v>
      </c>
      <c r="P246" s="8">
        <f t="shared" si="29"/>
        <v>8.7733569361756309</v>
      </c>
    </row>
    <row r="247" spans="1:16" x14ac:dyDescent="0.2">
      <c r="A247" s="8">
        <v>122.5</v>
      </c>
      <c r="B247" s="8">
        <v>245</v>
      </c>
      <c r="D247">
        <v>499.35561497326</v>
      </c>
      <c r="E247">
        <v>220.78253119429999</v>
      </c>
      <c r="F247">
        <v>128.25645592164</v>
      </c>
      <c r="G247">
        <v>111.39002671416</v>
      </c>
      <c r="I247" s="9">
        <f t="shared" si="26"/>
        <v>109.39250448013999</v>
      </c>
      <c r="J247" s="9">
        <f t="shared" si="27"/>
        <v>371.09915905162001</v>
      </c>
      <c r="K247" s="9">
        <f t="shared" si="24"/>
        <v>109.39250448013999</v>
      </c>
      <c r="L247" s="10">
        <f t="shared" si="21"/>
        <v>0.29477971537230957</v>
      </c>
      <c r="M247" s="10">
        <f t="shared" si="28"/>
        <v>0.39756649745068551</v>
      </c>
      <c r="P247" s="8">
        <f t="shared" si="29"/>
        <v>8.1581296553093718</v>
      </c>
    </row>
    <row r="248" spans="1:16" x14ac:dyDescent="0.2">
      <c r="A248" s="8">
        <v>123</v>
      </c>
      <c r="B248" s="8">
        <v>246</v>
      </c>
      <c r="D248">
        <v>506.78877005347999</v>
      </c>
      <c r="E248">
        <v>223.56238859179999</v>
      </c>
      <c r="F248">
        <v>127.6892252894</v>
      </c>
      <c r="G248">
        <v>111.29029385574</v>
      </c>
      <c r="I248" s="9">
        <f t="shared" si="26"/>
        <v>112.27209473605998</v>
      </c>
      <c r="J248" s="9">
        <f t="shared" si="27"/>
        <v>379.09954476408001</v>
      </c>
      <c r="K248" s="9">
        <f t="shared" si="24"/>
        <v>112.27209473605998</v>
      </c>
      <c r="L248" s="10">
        <f t="shared" si="21"/>
        <v>0.29615465459323825</v>
      </c>
      <c r="M248" s="10">
        <f t="shared" si="28"/>
        <v>0.39936097455764835</v>
      </c>
      <c r="P248" s="8">
        <f t="shared" si="29"/>
        <v>8.6463178926053139</v>
      </c>
    </row>
    <row r="249" spans="1:16" x14ac:dyDescent="0.2">
      <c r="A249" s="8">
        <v>123.5</v>
      </c>
      <c r="B249" s="8">
        <v>247</v>
      </c>
      <c r="D249">
        <v>494.08645276291998</v>
      </c>
      <c r="E249">
        <v>220.87611408199999</v>
      </c>
      <c r="F249">
        <v>128.68477292964999</v>
      </c>
      <c r="G249">
        <v>111.60997328584</v>
      </c>
      <c r="I249" s="9">
        <f t="shared" si="26"/>
        <v>109.26614079615999</v>
      </c>
      <c r="J249" s="9">
        <f t="shared" si="27"/>
        <v>365.40167983327001</v>
      </c>
      <c r="K249" s="9">
        <f t="shared" si="24"/>
        <v>109.26614079615999</v>
      </c>
      <c r="L249" s="10">
        <f t="shared" si="21"/>
        <v>0.29903020929191482</v>
      </c>
      <c r="M249" s="10">
        <f t="shared" si="28"/>
        <v>0.40265606714235913</v>
      </c>
      <c r="P249" s="8">
        <f t="shared" si="29"/>
        <v>9.5427491897309071</v>
      </c>
    </row>
    <row r="250" spans="1:16" x14ac:dyDescent="0.2">
      <c r="A250" s="8">
        <v>124</v>
      </c>
      <c r="B250" s="8">
        <v>248</v>
      </c>
      <c r="D250">
        <v>479.62655971480001</v>
      </c>
      <c r="E250">
        <v>218.10071301248001</v>
      </c>
      <c r="F250">
        <v>128.15316117542</v>
      </c>
      <c r="G250">
        <v>111.3143365984</v>
      </c>
      <c r="I250" s="9">
        <f t="shared" si="26"/>
        <v>106.78637641408001</v>
      </c>
      <c r="J250" s="9">
        <f t="shared" si="27"/>
        <v>351.47339853938001</v>
      </c>
      <c r="K250" s="9">
        <f t="shared" si="24"/>
        <v>106.78637641408001</v>
      </c>
      <c r="L250" s="10">
        <f t="shared" si="21"/>
        <v>0.30382491778283294</v>
      </c>
      <c r="M250" s="10">
        <f t="shared" si="28"/>
        <v>0.40787031351931141</v>
      </c>
      <c r="P250" s="8">
        <f t="shared" si="29"/>
        <v>10.96128706782031</v>
      </c>
    </row>
    <row r="251" spans="1:16" x14ac:dyDescent="0.2">
      <c r="A251" s="8">
        <v>124.5</v>
      </c>
      <c r="B251" s="8">
        <v>249</v>
      </c>
      <c r="D251">
        <v>513.07664562669004</v>
      </c>
      <c r="E251">
        <v>225.64743011722001</v>
      </c>
      <c r="F251">
        <v>128.17097061442999</v>
      </c>
      <c r="G251">
        <v>111.44345503117</v>
      </c>
      <c r="I251" s="9">
        <f t="shared" si="26"/>
        <v>114.20397508605001</v>
      </c>
      <c r="J251" s="9">
        <f t="shared" si="27"/>
        <v>384.90567501226008</v>
      </c>
      <c r="K251" s="9">
        <f t="shared" si="24"/>
        <v>114.20397508605001</v>
      </c>
      <c r="L251" s="10">
        <f t="shared" si="21"/>
        <v>0.29670639457943138</v>
      </c>
      <c r="M251" s="10">
        <f t="shared" si="28"/>
        <v>0.40117132820194407</v>
      </c>
      <c r="P251" s="8">
        <f t="shared" si="29"/>
        <v>9.1388253484328406</v>
      </c>
    </row>
    <row r="252" spans="1:16" x14ac:dyDescent="0.2">
      <c r="A252" s="8">
        <v>125</v>
      </c>
      <c r="B252" s="8">
        <v>250</v>
      </c>
      <c r="D252">
        <v>512.16501352570003</v>
      </c>
      <c r="E252">
        <v>229.72678088367999</v>
      </c>
      <c r="F252">
        <v>128.11665182547</v>
      </c>
      <c r="G252">
        <v>111.60373998219001</v>
      </c>
      <c r="I252" s="9">
        <f t="shared" si="26"/>
        <v>118.12304090148999</v>
      </c>
      <c r="J252" s="9">
        <f t="shared" si="27"/>
        <v>384.04836170023003</v>
      </c>
      <c r="K252" s="9">
        <f t="shared" si="24"/>
        <v>118.12304090148999</v>
      </c>
      <c r="L252" s="10">
        <f t="shared" si="21"/>
        <v>0.30757334930044888</v>
      </c>
      <c r="M252" s="10">
        <f t="shared" si="28"/>
        <v>0.41245782080899573</v>
      </c>
      <c r="P252" s="8">
        <f t="shared" si="29"/>
        <v>12.209320318644973</v>
      </c>
    </row>
    <row r="253" spans="1:16" x14ac:dyDescent="0.2">
      <c r="A253" s="8">
        <v>125.5</v>
      </c>
      <c r="B253" s="8">
        <v>251</v>
      </c>
      <c r="D253">
        <v>502.80269058296</v>
      </c>
      <c r="E253">
        <v>228.42242152466</v>
      </c>
      <c r="F253">
        <v>128.16651825468</v>
      </c>
      <c r="G253">
        <v>111.50667853963</v>
      </c>
      <c r="I253" s="9">
        <f t="shared" si="26"/>
        <v>116.91574298502999</v>
      </c>
      <c r="J253" s="9">
        <f t="shared" si="27"/>
        <v>374.63617232828</v>
      </c>
      <c r="K253" s="9">
        <f t="shared" si="24"/>
        <v>116.91574298502999</v>
      </c>
      <c r="L253" s="10">
        <f t="shared" si="21"/>
        <v>0.31207809501796052</v>
      </c>
      <c r="M253" s="10">
        <f t="shared" si="28"/>
        <v>0.41738210441254159</v>
      </c>
      <c r="P253" s="8">
        <f t="shared" si="29"/>
        <v>13.548973704599335</v>
      </c>
    </row>
    <row r="254" spans="1:16" x14ac:dyDescent="0.2">
      <c r="A254" s="8">
        <v>126</v>
      </c>
      <c r="B254" s="8">
        <v>252</v>
      </c>
      <c r="D254">
        <v>495.49865470852001</v>
      </c>
      <c r="E254">
        <v>228.35246636771001</v>
      </c>
      <c r="F254">
        <v>127.82724844166999</v>
      </c>
      <c r="G254">
        <v>111.71059661621</v>
      </c>
      <c r="I254" s="9">
        <f t="shared" si="26"/>
        <v>116.64186975150001</v>
      </c>
      <c r="J254" s="9">
        <f t="shared" si="27"/>
        <v>367.67140626685</v>
      </c>
      <c r="K254" s="9">
        <f t="shared" si="24"/>
        <v>116.64186975150001</v>
      </c>
      <c r="L254" s="10">
        <f t="shared" si="21"/>
        <v>0.31724487616761587</v>
      </c>
      <c r="M254" s="10">
        <f t="shared" si="28"/>
        <v>0.4229684234482311</v>
      </c>
      <c r="P254" s="8">
        <f t="shared" si="29"/>
        <v>15.06873410300407</v>
      </c>
    </row>
    <row r="255" spans="1:16" x14ac:dyDescent="0.2">
      <c r="A255" s="8">
        <v>126.5</v>
      </c>
      <c r="B255" s="8">
        <v>253</v>
      </c>
      <c r="D255">
        <v>490.52286995515999</v>
      </c>
      <c r="E255">
        <v>228.33991031389999</v>
      </c>
      <c r="F255">
        <v>128.23597506678999</v>
      </c>
      <c r="G255">
        <v>111.61887800533999</v>
      </c>
      <c r="I255" s="9">
        <f t="shared" si="26"/>
        <v>116.72103230856</v>
      </c>
      <c r="J255" s="9">
        <f t="shared" si="27"/>
        <v>362.28689488837</v>
      </c>
      <c r="K255" s="9">
        <f t="shared" si="24"/>
        <v>116.72103230856</v>
      </c>
      <c r="L255" s="10">
        <f t="shared" si="21"/>
        <v>0.3221784556808901</v>
      </c>
      <c r="M255" s="10">
        <f t="shared" si="28"/>
        <v>0.42832154084753954</v>
      </c>
      <c r="P255" s="8">
        <f t="shared" si="29"/>
        <v>16.525051900019427</v>
      </c>
    </row>
    <row r="256" spans="1:16" x14ac:dyDescent="0.2">
      <c r="A256" s="8">
        <v>127</v>
      </c>
      <c r="B256" s="8">
        <v>254</v>
      </c>
      <c r="D256">
        <v>488.08340807175</v>
      </c>
      <c r="E256">
        <v>226.66188340807</v>
      </c>
      <c r="F256">
        <v>127.95458593054001</v>
      </c>
      <c r="G256">
        <v>111.38290293855999</v>
      </c>
      <c r="I256" s="9">
        <f t="shared" si="26"/>
        <v>115.27898046951</v>
      </c>
      <c r="J256" s="9">
        <f t="shared" si="27"/>
        <v>360.12882214120998</v>
      </c>
      <c r="K256" s="9">
        <f t="shared" si="24"/>
        <v>115.27898046951</v>
      </c>
      <c r="L256" s="10">
        <f t="shared" si="21"/>
        <v>0.3201048441057795</v>
      </c>
      <c r="M256" s="10">
        <f t="shared" si="28"/>
        <v>0.4266674671584631</v>
      </c>
      <c r="P256" s="8">
        <f t="shared" si="29"/>
        <v>16.075060470485663</v>
      </c>
    </row>
    <row r="257" spans="1:16" x14ac:dyDescent="0.2">
      <c r="A257" s="8">
        <v>127.5</v>
      </c>
      <c r="B257" s="8">
        <v>255</v>
      </c>
      <c r="D257">
        <v>489.29596412555998</v>
      </c>
      <c r="E257">
        <v>225.41345291479999</v>
      </c>
      <c r="F257">
        <v>127.93232413179</v>
      </c>
      <c r="G257">
        <v>111.31878895814999</v>
      </c>
      <c r="I257" s="9">
        <f t="shared" si="26"/>
        <v>114.09466395665</v>
      </c>
      <c r="J257" s="9">
        <f t="shared" si="27"/>
        <v>361.36363999376999</v>
      </c>
      <c r="K257" s="9">
        <f t="shared" si="24"/>
        <v>114.09466395665</v>
      </c>
      <c r="L257" s="10">
        <f t="shared" si="21"/>
        <v>0.31573365809193482</v>
      </c>
      <c r="M257" s="10">
        <f t="shared" si="28"/>
        <v>0.42271581903065264</v>
      </c>
      <c r="P257" s="8">
        <f t="shared" si="29"/>
        <v>15.000012966984947</v>
      </c>
    </row>
    <row r="258" spans="1:16" x14ac:dyDescent="0.2">
      <c r="A258" s="8">
        <v>128</v>
      </c>
      <c r="B258" s="8">
        <v>256</v>
      </c>
      <c r="D258">
        <v>515.97130044843004</v>
      </c>
      <c r="E258">
        <v>233.58116591928001</v>
      </c>
      <c r="F258">
        <v>127.68833481745</v>
      </c>
      <c r="G258">
        <v>111.46215494211999</v>
      </c>
      <c r="I258" s="9">
        <f t="shared" si="26"/>
        <v>122.11901097716002</v>
      </c>
      <c r="J258" s="9">
        <f t="shared" si="27"/>
        <v>388.28296563098002</v>
      </c>
      <c r="K258" s="9">
        <f t="shared" si="24"/>
        <v>122.11901097716002</v>
      </c>
      <c r="L258" s="10">
        <f t="shared" ref="L258:L321" si="30">K258/J258</f>
        <v>0.31451034886042523</v>
      </c>
      <c r="M258" s="10">
        <f t="shared" si="28"/>
        <v>0.42191204768517721</v>
      </c>
      <c r="P258" s="8">
        <f t="shared" si="29"/>
        <v>14.781346640836732</v>
      </c>
    </row>
    <row r="259" spans="1:16" x14ac:dyDescent="0.2">
      <c r="A259" s="8">
        <v>128.5</v>
      </c>
      <c r="B259" s="8">
        <v>257</v>
      </c>
      <c r="D259">
        <v>540.19372197308996</v>
      </c>
      <c r="E259">
        <v>240.40807174887999</v>
      </c>
      <c r="F259">
        <v>128.42386464826001</v>
      </c>
      <c r="G259">
        <v>111.83348174533</v>
      </c>
      <c r="I259" s="9">
        <f t="shared" si="26"/>
        <v>128.57459000354999</v>
      </c>
      <c r="J259" s="9">
        <f t="shared" si="27"/>
        <v>411.76985732482996</v>
      </c>
      <c r="K259" s="9">
        <f t="shared" ref="K259:K322" si="31">I259*1</f>
        <v>128.57459000354999</v>
      </c>
      <c r="L259" s="10">
        <f t="shared" si="30"/>
        <v>0.31224866929033679</v>
      </c>
      <c r="M259" s="10">
        <f t="shared" si="28"/>
        <v>0.42006990600112298</v>
      </c>
      <c r="P259" s="8">
        <f t="shared" si="29"/>
        <v>14.280191235678124</v>
      </c>
    </row>
    <row r="260" spans="1:16" x14ac:dyDescent="0.2">
      <c r="A260" s="8">
        <v>129</v>
      </c>
      <c r="B260" s="8">
        <v>258</v>
      </c>
      <c r="D260">
        <v>522.47666068222998</v>
      </c>
      <c r="E260">
        <v>235.18850987433001</v>
      </c>
      <c r="F260">
        <v>127.48174532502</v>
      </c>
      <c r="G260">
        <v>111.51647373108</v>
      </c>
      <c r="I260" s="9">
        <f t="shared" si="26"/>
        <v>123.67203614325001</v>
      </c>
      <c r="J260" s="9">
        <f t="shared" si="27"/>
        <v>394.99491535720995</v>
      </c>
      <c r="K260" s="9">
        <f t="shared" si="31"/>
        <v>123.67203614325001</v>
      </c>
      <c r="L260" s="10">
        <f t="shared" si="30"/>
        <v>0.31309779274350497</v>
      </c>
      <c r="M260" s="10">
        <f t="shared" si="28"/>
        <v>0.42133856734032532</v>
      </c>
      <c r="P260" s="8">
        <f t="shared" si="29"/>
        <v>14.62533107641922</v>
      </c>
    </row>
    <row r="261" spans="1:16" x14ac:dyDescent="0.2">
      <c r="A261" s="8">
        <v>129.5</v>
      </c>
      <c r="B261" s="8">
        <v>259</v>
      </c>
      <c r="D261">
        <v>513.16696588869002</v>
      </c>
      <c r="E261">
        <v>233.80071813286</v>
      </c>
      <c r="F261">
        <v>127.85930543188</v>
      </c>
      <c r="G261">
        <v>111.39358860196</v>
      </c>
      <c r="I261" s="9">
        <f t="shared" si="26"/>
        <v>122.40712953089999</v>
      </c>
      <c r="J261" s="9">
        <f t="shared" si="27"/>
        <v>385.30766045681003</v>
      </c>
      <c r="K261" s="9">
        <f t="shared" si="31"/>
        <v>122.40712953089999</v>
      </c>
      <c r="L261" s="10">
        <f t="shared" si="30"/>
        <v>0.31768672698014233</v>
      </c>
      <c r="M261" s="10">
        <f t="shared" si="28"/>
        <v>0.4263470394629969</v>
      </c>
      <c r="P261" s="8">
        <f t="shared" si="29"/>
        <v>15.98788798373536</v>
      </c>
    </row>
    <row r="262" spans="1:16" x14ac:dyDescent="0.2">
      <c r="A262" s="8">
        <v>130</v>
      </c>
      <c r="B262" s="8">
        <v>260</v>
      </c>
      <c r="D262">
        <v>509.11400359065999</v>
      </c>
      <c r="E262">
        <v>233.06822262118999</v>
      </c>
      <c r="F262">
        <v>128.12555654497001</v>
      </c>
      <c r="G262">
        <v>111.55921638468</v>
      </c>
      <c r="I262" s="9">
        <f t="shared" si="26"/>
        <v>121.50900623650999</v>
      </c>
      <c r="J262" s="9">
        <f t="shared" si="27"/>
        <v>380.98844704569001</v>
      </c>
      <c r="K262" s="9">
        <f t="shared" si="31"/>
        <v>121.50900623650999</v>
      </c>
      <c r="L262" s="10">
        <f t="shared" si="30"/>
        <v>0.31893094706343689</v>
      </c>
      <c r="M262" s="10">
        <f t="shared" si="28"/>
        <v>0.42801079743232562</v>
      </c>
      <c r="P262" s="8">
        <f t="shared" si="29"/>
        <v>16.440514025707195</v>
      </c>
    </row>
    <row r="263" spans="1:16" x14ac:dyDescent="0.2">
      <c r="A263" s="8">
        <v>130.5</v>
      </c>
      <c r="B263" s="8">
        <v>261</v>
      </c>
      <c r="D263">
        <v>500.08527827647998</v>
      </c>
      <c r="E263">
        <v>229.59335727109999</v>
      </c>
      <c r="F263">
        <v>127.9732858415</v>
      </c>
      <c r="G263">
        <v>111.46393588602</v>
      </c>
      <c r="I263" s="9">
        <f t="shared" si="26"/>
        <v>118.12942138507999</v>
      </c>
      <c r="J263" s="9">
        <f t="shared" si="27"/>
        <v>372.11199243497998</v>
      </c>
      <c r="K263" s="9">
        <f t="shared" si="31"/>
        <v>118.12942138507999</v>
      </c>
      <c r="L263" s="10">
        <f t="shared" si="30"/>
        <v>0.31745663613816755</v>
      </c>
      <c r="M263" s="10">
        <f t="shared" si="28"/>
        <v>0.42695602439309049</v>
      </c>
      <c r="P263" s="8">
        <f t="shared" si="29"/>
        <v>16.15356258521599</v>
      </c>
    </row>
    <row r="264" spans="1:16" x14ac:dyDescent="0.2">
      <c r="A264" s="8">
        <v>131</v>
      </c>
      <c r="B264" s="8">
        <v>262</v>
      </c>
      <c r="D264">
        <v>493.86355475763003</v>
      </c>
      <c r="E264">
        <v>228.83482944344999</v>
      </c>
      <c r="F264">
        <v>128.29296527158999</v>
      </c>
      <c r="G264">
        <v>111.24131789849</v>
      </c>
      <c r="I264" s="9">
        <f t="shared" si="26"/>
        <v>117.59351154495999</v>
      </c>
      <c r="J264" s="9">
        <f t="shared" si="27"/>
        <v>365.57058948604003</v>
      </c>
      <c r="K264" s="9">
        <f t="shared" si="31"/>
        <v>117.59351154495999</v>
      </c>
      <c r="L264" s="10">
        <f t="shared" si="30"/>
        <v>0.32167114895726728</v>
      </c>
      <c r="M264" s="10">
        <f t="shared" si="28"/>
        <v>0.43159007509822439</v>
      </c>
      <c r="P264" s="8">
        <f t="shared" si="29"/>
        <v>17.414257991416108</v>
      </c>
    </row>
    <row r="265" spans="1:16" x14ac:dyDescent="0.2">
      <c r="A265" s="8">
        <v>131.5</v>
      </c>
      <c r="B265" s="8">
        <v>263</v>
      </c>
      <c r="D265">
        <v>487.87612208258997</v>
      </c>
      <c r="E265">
        <v>225.39407540395001</v>
      </c>
      <c r="F265">
        <v>127.88512911843</v>
      </c>
      <c r="G265">
        <v>111.52626892252999</v>
      </c>
      <c r="I265" s="9">
        <f t="shared" si="26"/>
        <v>113.86780648142002</v>
      </c>
      <c r="J265" s="9">
        <f t="shared" si="27"/>
        <v>359.99099296416</v>
      </c>
      <c r="K265" s="9">
        <f t="shared" si="31"/>
        <v>113.86780648142002</v>
      </c>
      <c r="L265" s="10">
        <f t="shared" si="30"/>
        <v>0.31630737631470818</v>
      </c>
      <c r="M265" s="10">
        <f t="shared" si="28"/>
        <v>0.4266458403416995</v>
      </c>
      <c r="P265" s="8">
        <f t="shared" si="29"/>
        <v>16.069176886062561</v>
      </c>
    </row>
    <row r="266" spans="1:16" x14ac:dyDescent="0.2">
      <c r="A266" s="8">
        <v>132</v>
      </c>
      <c r="B266" s="8">
        <v>264</v>
      </c>
      <c r="D266">
        <v>486.15978456014</v>
      </c>
      <c r="E266">
        <v>226.87701974865001</v>
      </c>
      <c r="F266">
        <v>127.69189670525</v>
      </c>
      <c r="G266">
        <v>111.33837934105</v>
      </c>
      <c r="I266" s="9">
        <f t="shared" si="26"/>
        <v>115.53864040760001</v>
      </c>
      <c r="J266" s="9">
        <f t="shared" si="27"/>
        <v>358.46788785489002</v>
      </c>
      <c r="K266" s="9">
        <f t="shared" si="31"/>
        <v>115.53864040760001</v>
      </c>
      <c r="L266" s="10">
        <f t="shared" si="30"/>
        <v>0.32231238647064187</v>
      </c>
      <c r="M266" s="10">
        <f t="shared" si="28"/>
        <v>0.43307038838366735</v>
      </c>
      <c r="P266" s="8">
        <f t="shared" si="29"/>
        <v>17.816977831453119</v>
      </c>
    </row>
    <row r="267" spans="1:16" x14ac:dyDescent="0.2">
      <c r="A267" s="8">
        <v>132.5</v>
      </c>
      <c r="B267" s="8">
        <v>265</v>
      </c>
      <c r="D267">
        <v>486.82944344703998</v>
      </c>
      <c r="E267">
        <v>226.80341113105999</v>
      </c>
      <c r="F267">
        <v>128.25378450579001</v>
      </c>
      <c r="G267">
        <v>111.25378450578999</v>
      </c>
      <c r="I267" s="9">
        <f t="shared" si="26"/>
        <v>115.54962662526999</v>
      </c>
      <c r="J267" s="9">
        <f t="shared" si="27"/>
        <v>358.57565894124997</v>
      </c>
      <c r="K267" s="9">
        <f t="shared" si="31"/>
        <v>115.54962662526999</v>
      </c>
      <c r="L267" s="10">
        <f t="shared" si="30"/>
        <v>0.32224615292194714</v>
      </c>
      <c r="M267" s="10">
        <f t="shared" si="28"/>
        <v>0.43342369272100684</v>
      </c>
      <c r="P267" s="8">
        <f t="shared" si="29"/>
        <v>17.913094422188959</v>
      </c>
    </row>
    <row r="268" spans="1:16" x14ac:dyDescent="0.2">
      <c r="A268" s="8">
        <v>133</v>
      </c>
      <c r="B268" s="8">
        <v>266</v>
      </c>
      <c r="D268">
        <v>484.22082585278002</v>
      </c>
      <c r="E268">
        <v>224.89407540395001</v>
      </c>
      <c r="F268">
        <v>127.89314336597999</v>
      </c>
      <c r="G268">
        <v>111.38557435441</v>
      </c>
      <c r="I268" s="9">
        <f t="shared" si="26"/>
        <v>113.50850104954002</v>
      </c>
      <c r="J268" s="9">
        <f t="shared" si="27"/>
        <v>356.32768248680003</v>
      </c>
      <c r="K268" s="9">
        <f t="shared" si="31"/>
        <v>113.50850104954002</v>
      </c>
      <c r="L268" s="10">
        <f t="shared" si="30"/>
        <v>0.31855089185708968</v>
      </c>
      <c r="M268" s="10">
        <f t="shared" si="28"/>
        <v>0.43014796954218354</v>
      </c>
      <c r="P268" s="8">
        <f t="shared" si="29"/>
        <v>17.021932579926283</v>
      </c>
    </row>
    <row r="269" spans="1:16" x14ac:dyDescent="0.2">
      <c r="A269" s="8">
        <v>133.5</v>
      </c>
      <c r="B269" s="8">
        <v>267</v>
      </c>
      <c r="D269">
        <v>483.16696588869002</v>
      </c>
      <c r="E269">
        <v>223.32675044883001</v>
      </c>
      <c r="F269">
        <v>127.48975957256999</v>
      </c>
      <c r="G269">
        <v>111.39447907391001</v>
      </c>
      <c r="I269" s="9">
        <f t="shared" si="26"/>
        <v>111.93227137492001</v>
      </c>
      <c r="J269" s="9">
        <f t="shared" si="27"/>
        <v>355.67720631612002</v>
      </c>
      <c r="K269" s="9">
        <f t="shared" si="31"/>
        <v>111.93227137492001</v>
      </c>
      <c r="L269" s="10">
        <f t="shared" si="30"/>
        <v>0.31470184028446413</v>
      </c>
      <c r="M269" s="10">
        <f t="shared" si="28"/>
        <v>0.4267184558555922</v>
      </c>
      <c r="P269" s="8">
        <f t="shared" si="29"/>
        <v>16.088931966576023</v>
      </c>
    </row>
    <row r="270" spans="1:16" x14ac:dyDescent="0.2">
      <c r="A270" s="8">
        <v>134</v>
      </c>
      <c r="B270" s="8">
        <v>268</v>
      </c>
      <c r="D270">
        <v>500.57360861759003</v>
      </c>
      <c r="E270">
        <v>228.55026929982</v>
      </c>
      <c r="F270">
        <v>128.42564559216001</v>
      </c>
      <c r="G270">
        <v>111.14069456812</v>
      </c>
      <c r="I270" s="9">
        <f t="shared" si="26"/>
        <v>117.4095747317</v>
      </c>
      <c r="J270" s="9">
        <f t="shared" si="27"/>
        <v>372.14796302543004</v>
      </c>
      <c r="K270" s="9">
        <f t="shared" si="31"/>
        <v>117.4095747317</v>
      </c>
      <c r="L270" s="10">
        <f t="shared" si="30"/>
        <v>0.31549164955036185</v>
      </c>
      <c r="M270" s="10">
        <f t="shared" si="28"/>
        <v>0.42792780300752409</v>
      </c>
      <c r="P270" s="8">
        <f t="shared" si="29"/>
        <v>16.417935358198964</v>
      </c>
    </row>
    <row r="271" spans="1:16" x14ac:dyDescent="0.2">
      <c r="A271" s="8">
        <v>134.5</v>
      </c>
      <c r="B271" s="8">
        <v>269</v>
      </c>
      <c r="D271">
        <v>487.08438061040999</v>
      </c>
      <c r="E271">
        <v>226.39048473968001</v>
      </c>
      <c r="F271">
        <v>128.19412288513001</v>
      </c>
      <c r="G271">
        <v>111.51825467498</v>
      </c>
      <c r="I271" s="9">
        <f t="shared" si="26"/>
        <v>114.87223006470001</v>
      </c>
      <c r="J271" s="9">
        <f t="shared" si="27"/>
        <v>358.89025772527998</v>
      </c>
      <c r="K271" s="9">
        <f t="shared" si="31"/>
        <v>114.87223006470001</v>
      </c>
      <c r="L271" s="10">
        <f t="shared" si="30"/>
        <v>0.32007620043180818</v>
      </c>
      <c r="M271" s="10">
        <f t="shared" si="28"/>
        <v>0.43293189177500457</v>
      </c>
      <c r="P271" s="8">
        <f t="shared" si="29"/>
        <v>17.779299771926922</v>
      </c>
    </row>
    <row r="272" spans="1:16" x14ac:dyDescent="0.2">
      <c r="A272" s="8">
        <v>135</v>
      </c>
      <c r="B272" s="8">
        <v>270</v>
      </c>
      <c r="D272">
        <v>471.40843806103999</v>
      </c>
      <c r="E272">
        <v>220.79982046679001</v>
      </c>
      <c r="F272">
        <v>127.99020480855</v>
      </c>
      <c r="G272">
        <v>111.05342831701</v>
      </c>
      <c r="I272" s="9">
        <f t="shared" si="26"/>
        <v>109.74639214978001</v>
      </c>
      <c r="J272" s="9">
        <f t="shared" si="27"/>
        <v>343.41823325248998</v>
      </c>
      <c r="K272" s="9">
        <f t="shared" si="31"/>
        <v>109.74639214978001</v>
      </c>
      <c r="L272" s="10">
        <f t="shared" si="30"/>
        <v>0.31957066201866929</v>
      </c>
      <c r="M272" s="10">
        <f t="shared" si="28"/>
        <v>0.43284589124789991</v>
      </c>
      <c r="P272" s="8">
        <f t="shared" si="29"/>
        <v>17.755903293046895</v>
      </c>
    </row>
    <row r="273" spans="1:16" x14ac:dyDescent="0.2">
      <c r="A273" s="8">
        <v>135.5</v>
      </c>
      <c r="B273" s="8">
        <v>271</v>
      </c>
      <c r="D273">
        <v>465.78904847397001</v>
      </c>
      <c r="E273">
        <v>223.61220825852999</v>
      </c>
      <c r="F273">
        <v>127.43009795192</v>
      </c>
      <c r="G273">
        <v>111.37043633126</v>
      </c>
      <c r="I273" s="9">
        <f t="shared" si="26"/>
        <v>112.24177192726999</v>
      </c>
      <c r="J273" s="9">
        <f t="shared" si="27"/>
        <v>338.35895052205001</v>
      </c>
      <c r="K273" s="9">
        <f t="shared" si="31"/>
        <v>112.24177192726999</v>
      </c>
      <c r="L273" s="10">
        <f t="shared" si="30"/>
        <v>0.33172396283323818</v>
      </c>
      <c r="M273" s="10">
        <f t="shared" si="28"/>
        <v>0.44541872994850296</v>
      </c>
      <c r="P273" s="8">
        <f t="shared" si="29"/>
        <v>21.176349248716974</v>
      </c>
    </row>
    <row r="274" spans="1:16" x14ac:dyDescent="0.2">
      <c r="A274" s="8">
        <v>136</v>
      </c>
      <c r="B274" s="8">
        <v>272</v>
      </c>
      <c r="D274">
        <v>523.34829443446995</v>
      </c>
      <c r="E274">
        <v>240</v>
      </c>
      <c r="F274">
        <v>128.22439893142999</v>
      </c>
      <c r="G274">
        <v>111.05877114870999</v>
      </c>
      <c r="I274" s="9">
        <f t="shared" si="26"/>
        <v>128.94122885129002</v>
      </c>
      <c r="J274" s="9">
        <f t="shared" si="27"/>
        <v>395.12389550303999</v>
      </c>
      <c r="K274" s="9">
        <f t="shared" si="31"/>
        <v>128.94122885129002</v>
      </c>
      <c r="L274" s="10">
        <f t="shared" si="30"/>
        <v>0.32633113390201929</v>
      </c>
      <c r="M274" s="10">
        <f t="shared" si="28"/>
        <v>0.44044543890331828</v>
      </c>
      <c r="P274" s="8">
        <f t="shared" si="29"/>
        <v>19.82336336804579</v>
      </c>
    </row>
    <row r="275" spans="1:16" x14ac:dyDescent="0.2">
      <c r="A275" s="8">
        <v>136.5</v>
      </c>
      <c r="B275" s="8">
        <v>273</v>
      </c>
      <c r="D275">
        <v>600.20896860987</v>
      </c>
      <c r="E275">
        <v>257.59820627802998</v>
      </c>
      <c r="F275">
        <v>128.3481745325</v>
      </c>
      <c r="G275">
        <v>111.3268032057</v>
      </c>
      <c r="I275" s="9">
        <f>E275-G275</f>
        <v>146.27140307232997</v>
      </c>
      <c r="J275" s="9">
        <f>D275-F275</f>
        <v>471.86079407736997</v>
      </c>
      <c r="K275" s="9">
        <f t="shared" si="31"/>
        <v>146.27140307232997</v>
      </c>
      <c r="L275" s="10">
        <f t="shared" si="30"/>
        <v>0.30998846462405216</v>
      </c>
      <c r="M275" s="10">
        <f>L275+ABS($N$2)*A275</f>
        <v>0.42452230751138531</v>
      </c>
      <c r="O275" s="11"/>
      <c r="P275" s="8">
        <f>(M275-$O$2)/$O$2*100</f>
        <v>15.491468903470498</v>
      </c>
    </row>
    <row r="276" spans="1:16" x14ac:dyDescent="0.2">
      <c r="A276" s="8">
        <v>137</v>
      </c>
      <c r="B276" s="8">
        <v>274</v>
      </c>
      <c r="D276">
        <v>653.02690582959997</v>
      </c>
      <c r="E276">
        <v>274.73363228699998</v>
      </c>
      <c r="F276">
        <v>128.37399821906001</v>
      </c>
      <c r="G276">
        <v>111.09706144256999</v>
      </c>
      <c r="I276" s="9">
        <f t="shared" ref="I276:I291" si="32">E276-G276</f>
        <v>163.63657084442997</v>
      </c>
      <c r="J276" s="9">
        <f t="shared" ref="J276:J291" si="33">D276-F276</f>
        <v>524.65290761053996</v>
      </c>
      <c r="K276" s="9">
        <f t="shared" si="31"/>
        <v>163.63657084442997</v>
      </c>
      <c r="L276" s="10">
        <f t="shared" si="30"/>
        <v>0.31189490894025612</v>
      </c>
      <c r="M276" s="10">
        <f t="shared" ref="M276:M291" si="34">L276+ABS($N$2)*A276</f>
        <v>0.42684828971362349</v>
      </c>
      <c r="P276" s="8">
        <f t="shared" ref="P276:P291" si="35">(M276-$O$2)/$O$2*100</f>
        <v>16.124253321218937</v>
      </c>
    </row>
    <row r="277" spans="1:16" x14ac:dyDescent="0.2">
      <c r="A277" s="8">
        <v>137.5</v>
      </c>
      <c r="B277" s="8">
        <v>275</v>
      </c>
      <c r="D277">
        <v>667.79820627802997</v>
      </c>
      <c r="E277">
        <v>276.50313901344998</v>
      </c>
      <c r="F277">
        <v>128.29474621548999</v>
      </c>
      <c r="G277">
        <v>111.24666073019</v>
      </c>
      <c r="I277" s="9">
        <f t="shared" si="32"/>
        <v>165.25647828325998</v>
      </c>
      <c r="J277" s="9">
        <f t="shared" si="33"/>
        <v>539.50346006253994</v>
      </c>
      <c r="K277" s="9">
        <f t="shared" si="31"/>
        <v>165.25647828325998</v>
      </c>
      <c r="L277" s="10">
        <f t="shared" si="30"/>
        <v>0.30631217502127461</v>
      </c>
      <c r="M277" s="10">
        <f t="shared" si="34"/>
        <v>0.42168509368067619</v>
      </c>
      <c r="N277" s="1"/>
      <c r="P277" s="8">
        <f t="shared" si="35"/>
        <v>14.719603710277909</v>
      </c>
    </row>
    <row r="278" spans="1:16" x14ac:dyDescent="0.2">
      <c r="A278" s="8">
        <v>138</v>
      </c>
      <c r="B278" s="8">
        <v>276</v>
      </c>
      <c r="D278">
        <v>654.80879712747003</v>
      </c>
      <c r="E278">
        <v>266.39856373429001</v>
      </c>
      <c r="F278">
        <v>127.79964381121999</v>
      </c>
      <c r="G278">
        <v>111.20926090828</v>
      </c>
      <c r="I278" s="9">
        <f t="shared" si="32"/>
        <v>155.18930282601002</v>
      </c>
      <c r="J278" s="9">
        <f t="shared" si="33"/>
        <v>527.00915331625004</v>
      </c>
      <c r="K278" s="9">
        <f t="shared" si="31"/>
        <v>155.18930282601002</v>
      </c>
      <c r="L278" s="10">
        <f t="shared" si="30"/>
        <v>0.29447174085965699</v>
      </c>
      <c r="M278" s="10">
        <f t="shared" si="34"/>
        <v>0.41026419740509273</v>
      </c>
      <c r="P278" s="8">
        <f t="shared" si="35"/>
        <v>11.612544166590833</v>
      </c>
    </row>
    <row r="279" spans="1:16" x14ac:dyDescent="0.2">
      <c r="A279" s="8">
        <v>138.5</v>
      </c>
      <c r="B279" s="8">
        <v>277</v>
      </c>
      <c r="D279">
        <v>648.52423698383996</v>
      </c>
      <c r="E279">
        <v>267.79353680431001</v>
      </c>
      <c r="F279">
        <v>127.86553873553</v>
      </c>
      <c r="G279">
        <v>111.25378450578999</v>
      </c>
      <c r="I279" s="9">
        <f t="shared" si="32"/>
        <v>156.53975229852</v>
      </c>
      <c r="J279" s="9">
        <f t="shared" si="33"/>
        <v>520.65869824830997</v>
      </c>
      <c r="K279" s="9">
        <f t="shared" si="31"/>
        <v>156.53975229852</v>
      </c>
      <c r="L279" s="10">
        <f t="shared" si="30"/>
        <v>0.30065713455893101</v>
      </c>
      <c r="M279" s="10">
        <f t="shared" si="34"/>
        <v>0.41686912899040096</v>
      </c>
      <c r="P279" s="8">
        <f t="shared" si="35"/>
        <v>13.409418529367912</v>
      </c>
    </row>
    <row r="280" spans="1:16" x14ac:dyDescent="0.2">
      <c r="A280" s="8">
        <v>139</v>
      </c>
      <c r="B280" s="8">
        <v>278</v>
      </c>
      <c r="D280">
        <v>590.48025134650004</v>
      </c>
      <c r="E280">
        <v>255.65439856373001</v>
      </c>
      <c r="F280">
        <v>127.91451469278999</v>
      </c>
      <c r="G280">
        <v>111.16918967053</v>
      </c>
      <c r="I280" s="9">
        <f t="shared" si="32"/>
        <v>144.48520889320002</v>
      </c>
      <c r="J280" s="9">
        <f t="shared" si="33"/>
        <v>462.56573665371002</v>
      </c>
      <c r="K280" s="9">
        <f t="shared" si="31"/>
        <v>144.48520889320002</v>
      </c>
      <c r="L280" s="10">
        <f t="shared" si="30"/>
        <v>0.31235605546237377</v>
      </c>
      <c r="M280" s="10">
        <f t="shared" si="34"/>
        <v>0.42898758777987789</v>
      </c>
      <c r="P280" s="8">
        <f t="shared" si="35"/>
        <v>16.706250242752795</v>
      </c>
    </row>
    <row r="281" spans="1:16" x14ac:dyDescent="0.2">
      <c r="A281" s="8">
        <v>139.5</v>
      </c>
      <c r="B281" s="8">
        <v>279</v>
      </c>
      <c r="D281">
        <v>596.78186714542005</v>
      </c>
      <c r="E281">
        <v>259.58617594255003</v>
      </c>
      <c r="F281">
        <v>128.17364203028001</v>
      </c>
      <c r="G281">
        <v>111.46482635797</v>
      </c>
      <c r="I281" s="9">
        <f t="shared" si="32"/>
        <v>148.12134958458003</v>
      </c>
      <c r="J281" s="9">
        <f t="shared" si="33"/>
        <v>468.60822511514004</v>
      </c>
      <c r="K281" s="9">
        <f t="shared" si="31"/>
        <v>148.12134958458003</v>
      </c>
      <c r="L281" s="10">
        <f t="shared" si="30"/>
        <v>0.31608781418248827</v>
      </c>
      <c r="M281" s="10">
        <f t="shared" si="34"/>
        <v>0.43313888438602655</v>
      </c>
      <c r="P281" s="8">
        <f t="shared" si="35"/>
        <v>17.835612197154312</v>
      </c>
    </row>
    <row r="282" spans="1:16" x14ac:dyDescent="0.2">
      <c r="A282" s="8">
        <v>140</v>
      </c>
      <c r="B282" s="8">
        <v>280</v>
      </c>
      <c r="D282">
        <v>756.17741935484003</v>
      </c>
      <c r="E282">
        <v>292.60752688171999</v>
      </c>
      <c r="F282">
        <v>127.72662511131</v>
      </c>
      <c r="G282">
        <v>111.01513802315</v>
      </c>
      <c r="I282" s="9">
        <f t="shared" si="32"/>
        <v>181.59238885856999</v>
      </c>
      <c r="J282" s="9">
        <f t="shared" si="33"/>
        <v>628.45079424353003</v>
      </c>
      <c r="K282" s="9">
        <f t="shared" si="31"/>
        <v>181.59238885856999</v>
      </c>
      <c r="L282" s="10">
        <f t="shared" si="30"/>
        <v>0.28895243752083061</v>
      </c>
      <c r="M282" s="10">
        <f t="shared" si="34"/>
        <v>0.4064230456104031</v>
      </c>
      <c r="P282" s="8">
        <f t="shared" si="35"/>
        <v>10.567557236103065</v>
      </c>
    </row>
    <row r="283" spans="1:16" x14ac:dyDescent="0.2">
      <c r="A283" s="8">
        <v>140.5</v>
      </c>
      <c r="B283" s="8">
        <v>281</v>
      </c>
      <c r="D283">
        <v>777.11827956988998</v>
      </c>
      <c r="E283">
        <v>296.6335125448</v>
      </c>
      <c r="F283">
        <v>127.79875333926999</v>
      </c>
      <c r="G283">
        <v>111.03116651825999</v>
      </c>
      <c r="I283" s="9">
        <f t="shared" si="32"/>
        <v>185.60234602654</v>
      </c>
      <c r="J283" s="9">
        <f t="shared" si="33"/>
        <v>649.31952623062</v>
      </c>
      <c r="K283" s="9">
        <f t="shared" si="31"/>
        <v>185.60234602654</v>
      </c>
      <c r="L283" s="10">
        <f t="shared" si="30"/>
        <v>0.28584131314205896</v>
      </c>
      <c r="M283" s="10">
        <f t="shared" si="34"/>
        <v>0.40373145911766561</v>
      </c>
      <c r="P283" s="8">
        <f t="shared" si="35"/>
        <v>9.8353100202870714</v>
      </c>
    </row>
    <row r="284" spans="1:16" x14ac:dyDescent="0.2">
      <c r="A284" s="8">
        <v>141</v>
      </c>
      <c r="B284" s="8">
        <v>282</v>
      </c>
      <c r="D284">
        <v>761.72401433692005</v>
      </c>
      <c r="E284">
        <v>293.30286738350998</v>
      </c>
      <c r="F284">
        <v>127.69367764915</v>
      </c>
      <c r="G284">
        <v>111.10863757792001</v>
      </c>
      <c r="I284" s="9">
        <f t="shared" si="32"/>
        <v>182.19422980558997</v>
      </c>
      <c r="J284" s="9">
        <f t="shared" si="33"/>
        <v>634.03033668777005</v>
      </c>
      <c r="K284" s="9">
        <f t="shared" si="31"/>
        <v>182.19422980558997</v>
      </c>
      <c r="L284" s="10">
        <f t="shared" si="30"/>
        <v>0.28735885219213414</v>
      </c>
      <c r="M284" s="10">
        <f t="shared" si="34"/>
        <v>0.40566853605377501</v>
      </c>
      <c r="P284" s="8">
        <f t="shared" si="35"/>
        <v>10.362292599934687</v>
      </c>
    </row>
    <row r="285" spans="1:16" x14ac:dyDescent="0.2">
      <c r="A285" s="8">
        <v>141.5</v>
      </c>
      <c r="B285" s="8">
        <v>283</v>
      </c>
      <c r="D285">
        <v>774.10304659498001</v>
      </c>
      <c r="E285">
        <v>296.39964157705998</v>
      </c>
      <c r="F285">
        <v>127.63134461265</v>
      </c>
      <c r="G285">
        <v>111.18165627783</v>
      </c>
      <c r="I285" s="9">
        <f t="shared" si="32"/>
        <v>185.21798529922998</v>
      </c>
      <c r="J285" s="9">
        <f t="shared" si="33"/>
        <v>646.47170198233005</v>
      </c>
      <c r="K285" s="9">
        <f t="shared" si="31"/>
        <v>185.21798529922998</v>
      </c>
      <c r="L285" s="10">
        <f t="shared" si="30"/>
        <v>0.28650594408275049</v>
      </c>
      <c r="M285" s="10">
        <f t="shared" si="34"/>
        <v>0.40523516583042551</v>
      </c>
      <c r="P285" s="8">
        <f t="shared" si="35"/>
        <v>10.244394051877077</v>
      </c>
    </row>
    <row r="286" spans="1:16" x14ac:dyDescent="0.2">
      <c r="A286" s="8">
        <v>142</v>
      </c>
      <c r="B286" s="8">
        <v>284</v>
      </c>
      <c r="D286">
        <v>786.57551385165004</v>
      </c>
      <c r="E286">
        <v>293.81411974977999</v>
      </c>
      <c r="F286">
        <v>127.60195903829</v>
      </c>
      <c r="G286">
        <v>111.03472840606</v>
      </c>
      <c r="I286" s="9">
        <f t="shared" si="32"/>
        <v>182.77939134371999</v>
      </c>
      <c r="J286" s="9">
        <f t="shared" si="33"/>
        <v>658.97355481336001</v>
      </c>
      <c r="K286" s="9">
        <f t="shared" si="31"/>
        <v>182.77939134371999</v>
      </c>
      <c r="L286" s="10">
        <f t="shared" si="30"/>
        <v>0.27736984285429828</v>
      </c>
      <c r="M286" s="10">
        <f t="shared" si="34"/>
        <v>0.39651860248800752</v>
      </c>
      <c r="P286" s="8">
        <f t="shared" si="35"/>
        <v>7.8730493983832206</v>
      </c>
    </row>
    <row r="287" spans="1:16" x14ac:dyDescent="0.2">
      <c r="A287" s="8">
        <v>142.5</v>
      </c>
      <c r="B287" s="8">
        <v>285</v>
      </c>
      <c r="D287">
        <v>767.33869526363003</v>
      </c>
      <c r="E287">
        <v>287.40929401250997</v>
      </c>
      <c r="F287">
        <v>128.06767586820999</v>
      </c>
      <c r="G287">
        <v>111.46037399822001</v>
      </c>
      <c r="I287" s="9">
        <f t="shared" si="32"/>
        <v>175.94892001428997</v>
      </c>
      <c r="J287" s="9">
        <f t="shared" si="33"/>
        <v>639.27101939542001</v>
      </c>
      <c r="K287" s="9">
        <f t="shared" si="31"/>
        <v>175.94892001428997</v>
      </c>
      <c r="L287" s="10">
        <f t="shared" si="30"/>
        <v>0.27523368755350547</v>
      </c>
      <c r="M287" s="10">
        <f t="shared" si="34"/>
        <v>0.39480198507324893</v>
      </c>
      <c r="P287" s="8">
        <f t="shared" si="35"/>
        <v>7.4060429224739881</v>
      </c>
    </row>
    <row r="288" spans="1:16" x14ac:dyDescent="0.2">
      <c r="A288" s="8">
        <v>143</v>
      </c>
      <c r="B288" s="8">
        <v>286</v>
      </c>
      <c r="D288">
        <v>753.87399463807003</v>
      </c>
      <c r="E288">
        <v>282.14387846290998</v>
      </c>
      <c r="F288">
        <v>127.56812110419</v>
      </c>
      <c r="G288">
        <v>111.08548530721001</v>
      </c>
      <c r="I288" s="9">
        <f t="shared" si="32"/>
        <v>171.05839315569997</v>
      </c>
      <c r="J288" s="9">
        <f t="shared" si="33"/>
        <v>626.30587353388</v>
      </c>
      <c r="K288" s="9">
        <f t="shared" si="31"/>
        <v>171.05839315569997</v>
      </c>
      <c r="L288" s="10">
        <f t="shared" si="30"/>
        <v>0.27312276698048016</v>
      </c>
      <c r="M288" s="10">
        <f t="shared" si="34"/>
        <v>0.39311060238625778</v>
      </c>
      <c r="P288" s="8">
        <f t="shared" si="35"/>
        <v>6.9459015646649691</v>
      </c>
    </row>
    <row r="289" spans="1:16" x14ac:dyDescent="0.2">
      <c r="A289" s="8">
        <v>143.5</v>
      </c>
      <c r="B289" s="8">
        <v>287</v>
      </c>
      <c r="D289">
        <v>747.89722966935005</v>
      </c>
      <c r="E289">
        <v>282.24128686326998</v>
      </c>
      <c r="F289">
        <v>127.82546749777001</v>
      </c>
      <c r="G289">
        <v>111.13089937667</v>
      </c>
      <c r="I289" s="9">
        <f t="shared" si="32"/>
        <v>171.11038748659996</v>
      </c>
      <c r="J289" s="9">
        <f t="shared" si="33"/>
        <v>620.07176217158008</v>
      </c>
      <c r="K289" s="9">
        <f t="shared" si="31"/>
        <v>171.11038748659996</v>
      </c>
      <c r="L289" s="10">
        <f t="shared" si="30"/>
        <v>0.27595255569669369</v>
      </c>
      <c r="M289" s="10">
        <f t="shared" si="34"/>
        <v>0.39635992898850547</v>
      </c>
      <c r="P289" s="8">
        <f t="shared" si="35"/>
        <v>7.8298822073798267</v>
      </c>
    </row>
    <row r="290" spans="1:16" x14ac:dyDescent="0.2">
      <c r="A290" s="8">
        <v>144</v>
      </c>
      <c r="B290" s="8">
        <v>288</v>
      </c>
      <c r="D290">
        <v>747.54155495979001</v>
      </c>
      <c r="E290">
        <v>281.56121537087</v>
      </c>
      <c r="F290">
        <v>127.9697239537</v>
      </c>
      <c r="G290">
        <v>111.11487088157</v>
      </c>
      <c r="I290" s="9">
        <f t="shared" si="32"/>
        <v>170.4463444893</v>
      </c>
      <c r="J290" s="9">
        <f t="shared" si="33"/>
        <v>619.57183100608995</v>
      </c>
      <c r="K290" s="9">
        <f t="shared" si="31"/>
        <v>170.4463444893</v>
      </c>
      <c r="L290" s="10">
        <f t="shared" si="30"/>
        <v>0.27510344395825936</v>
      </c>
      <c r="M290" s="10">
        <f t="shared" si="34"/>
        <v>0.39593035513610536</v>
      </c>
      <c r="P290" s="8">
        <f t="shared" si="35"/>
        <v>7.7130164636052641</v>
      </c>
    </row>
    <row r="291" spans="1:16" x14ac:dyDescent="0.2">
      <c r="A291" s="8">
        <v>144.5</v>
      </c>
      <c r="B291" s="8">
        <v>289</v>
      </c>
      <c r="D291">
        <v>757.03306523681999</v>
      </c>
      <c r="E291">
        <v>284.64879356568002</v>
      </c>
      <c r="F291">
        <v>127.95369545859</v>
      </c>
      <c r="G291">
        <v>111.17809439003</v>
      </c>
      <c r="I291" s="9">
        <f t="shared" si="32"/>
        <v>173.47069917565003</v>
      </c>
      <c r="J291" s="9">
        <f t="shared" si="33"/>
        <v>629.07936977822999</v>
      </c>
      <c r="K291" s="9">
        <f t="shared" si="31"/>
        <v>173.47069917565003</v>
      </c>
      <c r="L291" s="10">
        <f t="shared" si="30"/>
        <v>0.27575327933072075</v>
      </c>
      <c r="M291" s="10">
        <f t="shared" si="34"/>
        <v>0.39699972839460096</v>
      </c>
      <c r="P291" s="8">
        <f t="shared" si="35"/>
        <v>8.0039398997698878</v>
      </c>
    </row>
    <row r="292" spans="1:16" x14ac:dyDescent="0.2">
      <c r="A292" s="8">
        <v>145</v>
      </c>
      <c r="B292" s="8">
        <v>290</v>
      </c>
      <c r="D292">
        <v>761.13226094726997</v>
      </c>
      <c r="E292">
        <v>283.30741733691002</v>
      </c>
      <c r="F292">
        <v>128.30186999110001</v>
      </c>
      <c r="G292">
        <v>111.22974176312999</v>
      </c>
      <c r="I292" s="9">
        <f>E292-G292</f>
        <v>172.07767557378003</v>
      </c>
      <c r="J292" s="9">
        <f>D292-F292</f>
        <v>632.83039095616994</v>
      </c>
      <c r="K292" s="9">
        <f t="shared" si="31"/>
        <v>172.07767557378003</v>
      </c>
      <c r="L292" s="10">
        <f t="shared" si="30"/>
        <v>0.27191752803429786</v>
      </c>
      <c r="M292" s="10">
        <f>L292+ABS($N$2)*A292</f>
        <v>0.39358351498421223</v>
      </c>
      <c r="O292" s="11"/>
      <c r="P292" s="8">
        <f>(M292-$O$2)/$O$2*100</f>
        <v>7.0745576320478403</v>
      </c>
    </row>
    <row r="293" spans="1:16" x14ac:dyDescent="0.2">
      <c r="A293" s="8">
        <v>145.5</v>
      </c>
      <c r="B293" s="8">
        <v>291</v>
      </c>
      <c r="D293">
        <v>733.12600536192997</v>
      </c>
      <c r="E293">
        <v>273.13762287756998</v>
      </c>
      <c r="F293">
        <v>127.61976847728999</v>
      </c>
      <c r="G293">
        <v>111.61798753338999</v>
      </c>
      <c r="I293" s="9">
        <f t="shared" ref="I293:I301" si="36">E293-G293</f>
        <v>161.51963534417999</v>
      </c>
      <c r="J293" s="9">
        <f t="shared" ref="J293:J301" si="37">D293-F293</f>
        <v>605.50623688463997</v>
      </c>
      <c r="K293" s="9">
        <f t="shared" si="31"/>
        <v>161.51963534417999</v>
      </c>
      <c r="L293" s="10">
        <f t="shared" si="30"/>
        <v>0.26675139826008504</v>
      </c>
      <c r="M293" s="10">
        <f t="shared" ref="M293:M301" si="38">L293+ABS($N$2)*A293</f>
        <v>0.38883692309603357</v>
      </c>
      <c r="P293" s="8">
        <f t="shared" ref="P293:P301" si="39">(M293-$O$2)/$O$2*100</f>
        <v>5.783245350569322</v>
      </c>
    </row>
    <row r="294" spans="1:16" x14ac:dyDescent="0.2">
      <c r="A294" s="8">
        <v>146</v>
      </c>
      <c r="B294" s="8">
        <v>292</v>
      </c>
      <c r="D294">
        <v>708.15798922801002</v>
      </c>
      <c r="E294">
        <v>263.62298025134999</v>
      </c>
      <c r="F294">
        <v>127.17453250222999</v>
      </c>
      <c r="G294">
        <v>110.91718610864</v>
      </c>
      <c r="I294" s="9">
        <f t="shared" si="36"/>
        <v>152.70579414270998</v>
      </c>
      <c r="J294" s="9">
        <f t="shared" si="37"/>
        <v>580.98345672578</v>
      </c>
      <c r="K294" s="9">
        <f t="shared" si="31"/>
        <v>152.70579414270998</v>
      </c>
      <c r="L294" s="10">
        <f t="shared" si="30"/>
        <v>0.26284017621311723</v>
      </c>
      <c r="M294" s="10">
        <f t="shared" si="38"/>
        <v>0.38534523893509998</v>
      </c>
      <c r="N294" s="1"/>
      <c r="P294" s="8">
        <f t="shared" si="39"/>
        <v>4.8333312340246044</v>
      </c>
    </row>
    <row r="295" spans="1:16" x14ac:dyDescent="0.2">
      <c r="A295" s="8">
        <v>146.5</v>
      </c>
      <c r="B295" s="8">
        <v>293</v>
      </c>
      <c r="D295">
        <v>701.17684021544005</v>
      </c>
      <c r="E295">
        <v>262.56642728905001</v>
      </c>
      <c r="F295">
        <v>127.77649154052</v>
      </c>
      <c r="G295">
        <v>111.36064113979999</v>
      </c>
      <c r="I295" s="9">
        <f t="shared" si="36"/>
        <v>151.20578614925</v>
      </c>
      <c r="J295" s="9">
        <f t="shared" si="37"/>
        <v>573.40034867492</v>
      </c>
      <c r="K295" s="9">
        <f t="shared" si="31"/>
        <v>151.20578614925</v>
      </c>
      <c r="L295" s="10">
        <f t="shared" si="30"/>
        <v>0.26370019916917364</v>
      </c>
      <c r="M295" s="10">
        <f t="shared" si="38"/>
        <v>0.38662479977719055</v>
      </c>
      <c r="P295" s="8">
        <f t="shared" si="39"/>
        <v>5.1814362890232486</v>
      </c>
    </row>
    <row r="296" spans="1:16" x14ac:dyDescent="0.2">
      <c r="A296" s="8">
        <v>147</v>
      </c>
      <c r="B296" s="8">
        <v>294</v>
      </c>
      <c r="D296">
        <v>737.31597845601004</v>
      </c>
      <c r="E296">
        <v>272.32405745062999</v>
      </c>
      <c r="F296">
        <v>127.74532502226</v>
      </c>
      <c r="G296">
        <v>111.17542297417999</v>
      </c>
      <c r="I296" s="9">
        <f t="shared" si="36"/>
        <v>161.14863447645001</v>
      </c>
      <c r="J296" s="9">
        <f t="shared" si="37"/>
        <v>609.57065343375007</v>
      </c>
      <c r="K296" s="9">
        <f t="shared" si="31"/>
        <v>161.14863447645001</v>
      </c>
      <c r="L296" s="10">
        <f t="shared" si="30"/>
        <v>0.26436416118244793</v>
      </c>
      <c r="M296" s="10">
        <f t="shared" si="38"/>
        <v>0.38770829967649906</v>
      </c>
      <c r="P296" s="8">
        <f t="shared" si="39"/>
        <v>5.476202883649246</v>
      </c>
    </row>
    <row r="297" spans="1:16" x14ac:dyDescent="0.2">
      <c r="A297" s="8">
        <v>147.5</v>
      </c>
      <c r="B297" s="8">
        <v>295</v>
      </c>
      <c r="D297">
        <v>736.89228007180998</v>
      </c>
      <c r="E297">
        <v>272.02154398563999</v>
      </c>
      <c r="F297">
        <v>127.76669634907</v>
      </c>
      <c r="G297">
        <v>111.44968833482</v>
      </c>
      <c r="I297" s="9">
        <f t="shared" si="36"/>
        <v>160.57185565082</v>
      </c>
      <c r="J297" s="9">
        <f t="shared" si="37"/>
        <v>609.12558372273998</v>
      </c>
      <c r="K297" s="9">
        <f t="shared" si="31"/>
        <v>160.57185565082</v>
      </c>
      <c r="L297" s="10">
        <f t="shared" si="30"/>
        <v>0.26361042770436094</v>
      </c>
      <c r="M297" s="10">
        <f t="shared" si="38"/>
        <v>0.38737410408444622</v>
      </c>
      <c r="P297" s="8">
        <f t="shared" si="39"/>
        <v>5.3852848349523326</v>
      </c>
    </row>
    <row r="298" spans="1:16" x14ac:dyDescent="0.2">
      <c r="A298" s="8">
        <v>148</v>
      </c>
      <c r="B298" s="8">
        <v>296</v>
      </c>
      <c r="D298">
        <v>719.78456014362996</v>
      </c>
      <c r="E298">
        <v>265.66965888688998</v>
      </c>
      <c r="F298">
        <v>127.47016918967</v>
      </c>
      <c r="G298">
        <v>111.55743544078</v>
      </c>
      <c r="I298" s="9">
        <f t="shared" si="36"/>
        <v>154.11222344610997</v>
      </c>
      <c r="J298" s="9">
        <f t="shared" si="37"/>
        <v>592.3143909539599</v>
      </c>
      <c r="K298" s="9">
        <f t="shared" si="31"/>
        <v>154.11222344610997</v>
      </c>
      <c r="L298" s="10">
        <f t="shared" si="30"/>
        <v>0.26018652560155164</v>
      </c>
      <c r="M298" s="10">
        <f t="shared" si="38"/>
        <v>0.38436973986767115</v>
      </c>
      <c r="P298" s="8">
        <f t="shared" si="39"/>
        <v>4.5679463102693312</v>
      </c>
    </row>
    <row r="299" spans="1:16" x14ac:dyDescent="0.2">
      <c r="A299" s="8">
        <v>148.5</v>
      </c>
      <c r="B299" s="8">
        <v>297</v>
      </c>
      <c r="D299">
        <v>713.79443447038</v>
      </c>
      <c r="E299">
        <v>261.74506283662998</v>
      </c>
      <c r="F299">
        <v>127.45235975067</v>
      </c>
      <c r="G299">
        <v>110.69723953696</v>
      </c>
      <c r="I299" s="9">
        <f t="shared" si="36"/>
        <v>151.04782329966997</v>
      </c>
      <c r="J299" s="9">
        <f t="shared" si="37"/>
        <v>586.34207471971001</v>
      </c>
      <c r="K299" s="9">
        <f t="shared" si="31"/>
        <v>151.04782329966997</v>
      </c>
      <c r="L299" s="10">
        <f t="shared" si="30"/>
        <v>0.25761041175814575</v>
      </c>
      <c r="M299" s="10">
        <f t="shared" si="38"/>
        <v>0.38221316391029941</v>
      </c>
      <c r="P299" s="8">
        <f t="shared" si="39"/>
        <v>3.9812489313286745</v>
      </c>
    </row>
    <row r="300" spans="1:16" x14ac:dyDescent="0.2">
      <c r="A300" s="8">
        <v>149</v>
      </c>
      <c r="B300" s="8">
        <v>298</v>
      </c>
      <c r="D300">
        <v>719.48114901256997</v>
      </c>
      <c r="E300">
        <v>262.57719928186998</v>
      </c>
      <c r="F300">
        <v>127.92341941229</v>
      </c>
      <c r="G300">
        <v>111.28851291184</v>
      </c>
      <c r="I300" s="9">
        <f t="shared" si="36"/>
        <v>151.28868637002998</v>
      </c>
      <c r="J300" s="9">
        <f t="shared" si="37"/>
        <v>591.55772960028003</v>
      </c>
      <c r="K300" s="9">
        <f t="shared" si="31"/>
        <v>151.28868637002998</v>
      </c>
      <c r="L300" s="10">
        <f t="shared" si="30"/>
        <v>0.25574627597589988</v>
      </c>
      <c r="M300" s="10">
        <f t="shared" si="38"/>
        <v>0.38076856601408776</v>
      </c>
      <c r="P300" s="8">
        <f t="shared" si="39"/>
        <v>3.5882454776671202</v>
      </c>
    </row>
    <row r="301" spans="1:16" x14ac:dyDescent="0.2">
      <c r="A301" s="8">
        <v>149.5</v>
      </c>
      <c r="B301" s="8">
        <v>299</v>
      </c>
      <c r="D301">
        <v>724.84560143627004</v>
      </c>
      <c r="E301">
        <v>260.15619389586999</v>
      </c>
      <c r="F301">
        <v>127.60908281389</v>
      </c>
      <c r="G301">
        <v>111.26357969724</v>
      </c>
      <c r="I301" s="9">
        <f t="shared" si="36"/>
        <v>148.89261419862999</v>
      </c>
      <c r="J301" s="9">
        <f t="shared" si="37"/>
        <v>597.23651862238</v>
      </c>
      <c r="K301" s="9">
        <f t="shared" si="31"/>
        <v>148.89261419862999</v>
      </c>
      <c r="L301" s="10">
        <f t="shared" si="30"/>
        <v>0.24930259546431324</v>
      </c>
      <c r="M301" s="10">
        <f t="shared" si="38"/>
        <v>0.37474442338853531</v>
      </c>
      <c r="P301" s="8">
        <f t="shared" si="39"/>
        <v>1.9493749910074687</v>
      </c>
    </row>
    <row r="302" spans="1:16" x14ac:dyDescent="0.2">
      <c r="A302" s="8">
        <v>150</v>
      </c>
      <c r="B302" s="8">
        <v>300</v>
      </c>
      <c r="D302">
        <v>716.75673249551005</v>
      </c>
      <c r="E302">
        <v>257.76122082584999</v>
      </c>
      <c r="F302">
        <v>127.33837934105</v>
      </c>
      <c r="G302">
        <v>111.17898486198</v>
      </c>
      <c r="I302" s="9">
        <f>E302-G302</f>
        <v>146.58223596387</v>
      </c>
      <c r="J302" s="9">
        <f>D302-F302</f>
        <v>589.41835315446008</v>
      </c>
      <c r="K302" s="9">
        <f t="shared" si="31"/>
        <v>146.58223596387</v>
      </c>
      <c r="L302" s="10">
        <f t="shared" si="30"/>
        <v>0.24868963645157718</v>
      </c>
      <c r="M302" s="10">
        <f>L302+ABS($N$2)*A302</f>
        <v>0.37455100226183347</v>
      </c>
      <c r="O302" s="11"/>
      <c r="P302" s="8">
        <f>(M302-$O$2)/$O$2*100</f>
        <v>1.8967546936885558</v>
      </c>
    </row>
    <row r="303" spans="1:16" x14ac:dyDescent="0.2">
      <c r="A303" s="8">
        <v>150.5</v>
      </c>
      <c r="B303" s="8">
        <v>301</v>
      </c>
      <c r="D303">
        <v>729.50538599641004</v>
      </c>
      <c r="E303">
        <v>258.38779174146998</v>
      </c>
      <c r="F303">
        <v>127.75957257346001</v>
      </c>
      <c r="G303">
        <v>111.44256455922</v>
      </c>
      <c r="I303" s="9">
        <f t="shared" ref="I303:I309" si="40">E303-G303</f>
        <v>146.94522718224999</v>
      </c>
      <c r="J303" s="9">
        <f t="shared" ref="J303:J309" si="41">D303-F303</f>
        <v>601.74581342295005</v>
      </c>
      <c r="K303" s="9">
        <f t="shared" si="31"/>
        <v>146.94522718224999</v>
      </c>
      <c r="L303" s="10">
        <f t="shared" si="30"/>
        <v>0.24419817122843257</v>
      </c>
      <c r="M303" s="10">
        <f t="shared" ref="M303:M309" si="42">L303+ABS($N$2)*A303</f>
        <v>0.37047907492472298</v>
      </c>
      <c r="P303" s="8">
        <f t="shared" ref="P303:P309" si="43">(M303-$O$2)/$O$2*100</f>
        <v>0.78898518167422105</v>
      </c>
    </row>
    <row r="304" spans="1:16" x14ac:dyDescent="0.2">
      <c r="A304" s="8">
        <v>151</v>
      </c>
      <c r="B304" s="8">
        <v>302</v>
      </c>
      <c r="D304">
        <v>727.63285457810002</v>
      </c>
      <c r="E304">
        <v>258.87791741472</v>
      </c>
      <c r="F304">
        <v>127.46927871772</v>
      </c>
      <c r="G304">
        <v>111.25378450578999</v>
      </c>
      <c r="I304" s="9">
        <f t="shared" si="40"/>
        <v>147.62413290892999</v>
      </c>
      <c r="J304" s="9">
        <f t="shared" si="41"/>
        <v>600.16357586037998</v>
      </c>
      <c r="K304" s="9">
        <f t="shared" si="31"/>
        <v>147.62413290892999</v>
      </c>
      <c r="L304" s="10">
        <f t="shared" si="30"/>
        <v>0.24597316272867711</v>
      </c>
      <c r="M304" s="10">
        <f t="shared" si="42"/>
        <v>0.37267360431100172</v>
      </c>
      <c r="N304" s="1"/>
      <c r="P304" s="8">
        <f t="shared" si="43"/>
        <v>1.3860078066074586</v>
      </c>
    </row>
    <row r="305" spans="1:16" x14ac:dyDescent="0.2">
      <c r="A305" s="8">
        <v>151.5</v>
      </c>
      <c r="B305" s="8">
        <v>303</v>
      </c>
      <c r="D305">
        <v>718.18581687612004</v>
      </c>
      <c r="E305">
        <v>251.92998204668001</v>
      </c>
      <c r="F305">
        <v>127.6304541407</v>
      </c>
      <c r="G305">
        <v>111.26803205698999</v>
      </c>
      <c r="I305" s="9">
        <f t="shared" si="40"/>
        <v>140.66194998969002</v>
      </c>
      <c r="J305" s="9">
        <f t="shared" si="41"/>
        <v>590.55536273542009</v>
      </c>
      <c r="K305" s="9">
        <f t="shared" si="31"/>
        <v>140.66194998969002</v>
      </c>
      <c r="L305" s="10">
        <f t="shared" si="30"/>
        <v>0.23818588207911884</v>
      </c>
      <c r="M305" s="10">
        <f t="shared" si="42"/>
        <v>0.36530586154747763</v>
      </c>
      <c r="P305" s="8">
        <f t="shared" si="43"/>
        <v>-0.61838965191594597</v>
      </c>
    </row>
    <row r="306" spans="1:16" x14ac:dyDescent="0.2">
      <c r="A306" s="8">
        <v>152</v>
      </c>
      <c r="B306" s="8">
        <v>304</v>
      </c>
      <c r="D306">
        <v>742.44793536804002</v>
      </c>
      <c r="E306">
        <v>259.02513464991</v>
      </c>
      <c r="F306">
        <v>127.72840605521</v>
      </c>
      <c r="G306">
        <v>110.89581478183</v>
      </c>
      <c r="I306" s="9">
        <f t="shared" si="40"/>
        <v>148.12931986808002</v>
      </c>
      <c r="J306" s="9">
        <f t="shared" si="41"/>
        <v>614.71952931282999</v>
      </c>
      <c r="K306" s="9">
        <f t="shared" si="31"/>
        <v>148.12931986808002</v>
      </c>
      <c r="L306" s="10">
        <f t="shared" si="30"/>
        <v>0.24097057731949362</v>
      </c>
      <c r="M306" s="10">
        <f t="shared" si="42"/>
        <v>0.36851009467388662</v>
      </c>
      <c r="P306" s="8">
        <f t="shared" si="43"/>
        <v>0.2533232920927968</v>
      </c>
    </row>
    <row r="307" spans="1:16" x14ac:dyDescent="0.2">
      <c r="A307" s="8">
        <v>152.5</v>
      </c>
      <c r="B307" s="8">
        <v>305</v>
      </c>
      <c r="D307">
        <v>723.11849192100999</v>
      </c>
      <c r="E307">
        <v>253.82226211848999</v>
      </c>
      <c r="F307">
        <v>127.56634016029</v>
      </c>
      <c r="G307">
        <v>110.90560997329</v>
      </c>
      <c r="I307" s="9">
        <f t="shared" si="40"/>
        <v>142.91665214519998</v>
      </c>
      <c r="J307" s="9">
        <f t="shared" si="41"/>
        <v>595.55215176071999</v>
      </c>
      <c r="K307" s="9">
        <f t="shared" si="31"/>
        <v>142.91665214519998</v>
      </c>
      <c r="L307" s="10">
        <f t="shared" si="30"/>
        <v>0.23997336206858472</v>
      </c>
      <c r="M307" s="10">
        <f t="shared" si="42"/>
        <v>0.36793241730901188</v>
      </c>
      <c r="P307" s="8">
        <f t="shared" si="43"/>
        <v>9.6165926646505015E-2</v>
      </c>
    </row>
    <row r="308" spans="1:16" x14ac:dyDescent="0.2">
      <c r="A308" s="8">
        <v>153</v>
      </c>
      <c r="B308" s="8">
        <v>306</v>
      </c>
      <c r="D308">
        <v>724.17145421903001</v>
      </c>
      <c r="E308">
        <v>252.62118491921001</v>
      </c>
      <c r="F308">
        <v>128.06322350846</v>
      </c>
      <c r="G308">
        <v>110.92074799644</v>
      </c>
      <c r="I308" s="9">
        <f t="shared" si="40"/>
        <v>141.70043692277</v>
      </c>
      <c r="J308" s="9">
        <f t="shared" si="41"/>
        <v>596.10823071057007</v>
      </c>
      <c r="K308" s="9">
        <f t="shared" si="31"/>
        <v>141.70043692277</v>
      </c>
      <c r="L308" s="10">
        <f t="shared" si="30"/>
        <v>0.23770924409793995</v>
      </c>
      <c r="M308" s="10">
        <f t="shared" si="42"/>
        <v>0.3660878372244013</v>
      </c>
      <c r="P308" s="8">
        <f t="shared" si="43"/>
        <v>-0.40565284638946913</v>
      </c>
    </row>
    <row r="309" spans="1:16" x14ac:dyDescent="0.2">
      <c r="A309" s="8">
        <v>153.5</v>
      </c>
      <c r="B309" s="8">
        <v>307</v>
      </c>
      <c r="D309">
        <v>736.48025134650004</v>
      </c>
      <c r="E309">
        <v>256.27289048474</v>
      </c>
      <c r="F309">
        <v>127.75155832591</v>
      </c>
      <c r="G309">
        <v>111.08370436331001</v>
      </c>
      <c r="I309" s="9">
        <f t="shared" si="40"/>
        <v>145.18918612143</v>
      </c>
      <c r="J309" s="9">
        <f t="shared" si="41"/>
        <v>608.72869302059007</v>
      </c>
      <c r="K309" s="9">
        <f t="shared" si="31"/>
        <v>145.18918612143</v>
      </c>
      <c r="L309" s="10">
        <f t="shared" si="30"/>
        <v>0.23851214471422824</v>
      </c>
      <c r="M309" s="10">
        <f t="shared" si="42"/>
        <v>0.36731027572672381</v>
      </c>
      <c r="P309" s="8">
        <f t="shared" si="43"/>
        <v>-7.3087947491667915E-2</v>
      </c>
    </row>
    <row r="310" spans="1:16" x14ac:dyDescent="0.2">
      <c r="A310" s="8">
        <v>154</v>
      </c>
      <c r="B310" s="8">
        <v>308</v>
      </c>
      <c r="D310">
        <v>741.93716337522005</v>
      </c>
      <c r="E310">
        <v>256.56193895871002</v>
      </c>
      <c r="F310">
        <v>127.59483526269</v>
      </c>
      <c r="G310">
        <v>110.72128227960999</v>
      </c>
      <c r="I310" s="9">
        <f>E310-G310</f>
        <v>145.84065667910002</v>
      </c>
      <c r="J310" s="9">
        <f>D310-F310</f>
        <v>614.34232811253003</v>
      </c>
      <c r="K310" s="9">
        <f t="shared" si="31"/>
        <v>145.84065667910002</v>
      </c>
      <c r="L310" s="10">
        <f t="shared" si="30"/>
        <v>0.23739314386357269</v>
      </c>
      <c r="M310" s="10">
        <f>L310+ABS($N$2)*A310</f>
        <v>0.36661081276210239</v>
      </c>
      <c r="O310" s="11"/>
      <c r="P310" s="8">
        <f>(M310-$O$2)/$O$2*100</f>
        <v>-0.2633771355940806</v>
      </c>
    </row>
    <row r="311" spans="1:16" x14ac:dyDescent="0.2">
      <c r="A311" s="8">
        <v>154.5</v>
      </c>
      <c r="B311" s="8">
        <v>309</v>
      </c>
      <c r="D311">
        <v>765.54308797127999</v>
      </c>
      <c r="E311">
        <v>265.41202872530999</v>
      </c>
      <c r="F311">
        <v>127.43276936777001</v>
      </c>
      <c r="G311">
        <v>110.92430988424</v>
      </c>
      <c r="I311" s="9">
        <f t="shared" ref="I311:I319" si="44">E311-G311</f>
        <v>154.48771884106998</v>
      </c>
      <c r="J311" s="9">
        <f t="shared" ref="J311:J319" si="45">D311-F311</f>
        <v>638.11031860351</v>
      </c>
      <c r="K311" s="9">
        <f t="shared" si="31"/>
        <v>154.48771884106998</v>
      </c>
      <c r="L311" s="10">
        <f t="shared" si="30"/>
        <v>0.24210189733205201</v>
      </c>
      <c r="M311" s="10">
        <f t="shared" ref="M311:M319" si="46">L311+ABS($N$2)*A311</f>
        <v>0.37173910411661593</v>
      </c>
      <c r="P311" s="8">
        <f t="shared" ref="P311:P319" si="47">(M311-$O$2)/$O$2*100</f>
        <v>1.1317766431784342</v>
      </c>
    </row>
    <row r="312" spans="1:16" x14ac:dyDescent="0.2">
      <c r="A312" s="8">
        <v>155</v>
      </c>
      <c r="B312" s="8">
        <v>310</v>
      </c>
      <c r="D312">
        <v>763.87342908437995</v>
      </c>
      <c r="E312">
        <v>265.69748653501</v>
      </c>
      <c r="F312">
        <v>127.02582368655</v>
      </c>
      <c r="G312">
        <v>110.70080142476</v>
      </c>
      <c r="I312" s="9">
        <f t="shared" si="44"/>
        <v>154.99668511024998</v>
      </c>
      <c r="J312" s="9">
        <f t="shared" si="45"/>
        <v>636.84760539782997</v>
      </c>
      <c r="K312" s="9">
        <f t="shared" si="31"/>
        <v>154.99668511024998</v>
      </c>
      <c r="L312" s="10">
        <f t="shared" si="30"/>
        <v>0.24338112257394087</v>
      </c>
      <c r="M312" s="10">
        <f t="shared" si="46"/>
        <v>0.37343786724453898</v>
      </c>
      <c r="N312" s="1"/>
      <c r="P312" s="8">
        <f t="shared" si="47"/>
        <v>1.5939258529879228</v>
      </c>
    </row>
    <row r="313" spans="1:16" x14ac:dyDescent="0.2">
      <c r="A313" s="8">
        <v>155.5</v>
      </c>
      <c r="B313" s="8">
        <v>311</v>
      </c>
      <c r="D313">
        <v>767.54847396768002</v>
      </c>
      <c r="E313">
        <v>263.40664272891001</v>
      </c>
      <c r="F313">
        <v>127.44167408727</v>
      </c>
      <c r="G313">
        <v>111.08014247551</v>
      </c>
      <c r="I313" s="9">
        <f t="shared" si="44"/>
        <v>152.32650025340001</v>
      </c>
      <c r="J313" s="9">
        <f t="shared" si="45"/>
        <v>640.10679988040999</v>
      </c>
      <c r="K313" s="9">
        <f t="shared" si="31"/>
        <v>152.32650025340001</v>
      </c>
      <c r="L313" s="10">
        <f t="shared" si="30"/>
        <v>0.23797044537233303</v>
      </c>
      <c r="M313" s="10">
        <f t="shared" si="46"/>
        <v>0.36844672792896532</v>
      </c>
      <c r="P313" s="8">
        <f t="shared" si="47"/>
        <v>0.23608434299376446</v>
      </c>
    </row>
    <row r="314" spans="1:16" x14ac:dyDescent="0.2">
      <c r="A314" s="8">
        <v>156</v>
      </c>
      <c r="B314" s="8">
        <v>312</v>
      </c>
      <c r="D314">
        <v>763.98025134650004</v>
      </c>
      <c r="E314">
        <v>263.44614003590999</v>
      </c>
      <c r="F314">
        <v>127.77382012467</v>
      </c>
      <c r="G314">
        <v>111.03205699020999</v>
      </c>
      <c r="I314" s="9">
        <f t="shared" si="44"/>
        <v>152.41408304570001</v>
      </c>
      <c r="J314" s="9">
        <f t="shared" si="45"/>
        <v>636.20643122183003</v>
      </c>
      <c r="K314" s="9">
        <f t="shared" si="31"/>
        <v>152.41408304570001</v>
      </c>
      <c r="L314" s="10">
        <f t="shared" si="30"/>
        <v>0.23956702662214499</v>
      </c>
      <c r="M314" s="10">
        <f t="shared" si="46"/>
        <v>0.37046284706481147</v>
      </c>
      <c r="P314" s="8">
        <f t="shared" si="47"/>
        <v>0.7845703856901729</v>
      </c>
    </row>
    <row r="315" spans="1:16" x14ac:dyDescent="0.2">
      <c r="A315" s="8">
        <v>156.5</v>
      </c>
      <c r="B315" s="8">
        <v>313</v>
      </c>
      <c r="D315">
        <v>767.96858168761003</v>
      </c>
      <c r="E315">
        <v>264.58527827647998</v>
      </c>
      <c r="F315">
        <v>127.26803205698999</v>
      </c>
      <c r="G315">
        <v>111.15316117542</v>
      </c>
      <c r="I315" s="9">
        <f t="shared" si="44"/>
        <v>153.43211710105999</v>
      </c>
      <c r="J315" s="9">
        <f t="shared" si="45"/>
        <v>640.70054963062</v>
      </c>
      <c r="K315" s="9">
        <f t="shared" si="31"/>
        <v>153.43211710105999</v>
      </c>
      <c r="L315" s="10">
        <f t="shared" si="30"/>
        <v>0.23947555092549469</v>
      </c>
      <c r="M315" s="10">
        <f t="shared" si="46"/>
        <v>0.37079090925419533</v>
      </c>
      <c r="P315" s="8">
        <f t="shared" si="47"/>
        <v>0.87381983966053778</v>
      </c>
    </row>
    <row r="316" spans="1:16" x14ac:dyDescent="0.2">
      <c r="A316" s="8">
        <v>157</v>
      </c>
      <c r="B316" s="8">
        <v>314</v>
      </c>
      <c r="D316">
        <v>700.17324955116999</v>
      </c>
      <c r="E316">
        <v>242.41561938959001</v>
      </c>
      <c r="F316">
        <v>127.28940338379</v>
      </c>
      <c r="G316">
        <v>111.08548530721001</v>
      </c>
      <c r="I316" s="9">
        <f t="shared" si="44"/>
        <v>131.33013408238</v>
      </c>
      <c r="J316" s="9">
        <f t="shared" si="45"/>
        <v>572.88384616737994</v>
      </c>
      <c r="K316" s="9">
        <f t="shared" si="31"/>
        <v>131.33013408238</v>
      </c>
      <c r="L316" s="10">
        <f t="shared" si="30"/>
        <v>0.22924391211409575</v>
      </c>
      <c r="M316" s="10">
        <f t="shared" si="46"/>
        <v>0.36097880832883061</v>
      </c>
      <c r="P316" s="8">
        <f t="shared" si="47"/>
        <v>-1.795566265259477</v>
      </c>
    </row>
    <row r="317" spans="1:16" x14ac:dyDescent="0.2">
      <c r="A317" s="8">
        <v>157.5</v>
      </c>
      <c r="B317" s="8">
        <v>315</v>
      </c>
      <c r="D317">
        <v>694.61938958707003</v>
      </c>
      <c r="E317">
        <v>240.15080789946001</v>
      </c>
      <c r="F317">
        <v>127.53161175423</v>
      </c>
      <c r="G317">
        <v>111.16918967053</v>
      </c>
      <c r="I317" s="9">
        <f t="shared" si="44"/>
        <v>128.98161822893002</v>
      </c>
      <c r="J317" s="9">
        <f t="shared" si="45"/>
        <v>567.08777783284006</v>
      </c>
      <c r="K317" s="9">
        <f t="shared" si="31"/>
        <v>128.98161822893002</v>
      </c>
      <c r="L317" s="10">
        <f t="shared" si="30"/>
        <v>0.2274455970852361</v>
      </c>
      <c r="M317" s="10">
        <f t="shared" si="46"/>
        <v>0.35960003118600514</v>
      </c>
      <c r="P317" s="8">
        <f t="shared" si="47"/>
        <v>-2.1706631558066789</v>
      </c>
    </row>
    <row r="318" spans="1:16" x14ac:dyDescent="0.2">
      <c r="A318" s="8">
        <v>158</v>
      </c>
      <c r="B318" s="8">
        <v>316</v>
      </c>
      <c r="D318">
        <v>697.00807899460995</v>
      </c>
      <c r="E318">
        <v>241.51885098743</v>
      </c>
      <c r="F318">
        <v>127.34283170080001</v>
      </c>
      <c r="G318">
        <v>111.05966162065999</v>
      </c>
      <c r="I318" s="9">
        <f t="shared" si="44"/>
        <v>130.45918936677</v>
      </c>
      <c r="J318" s="9">
        <f t="shared" si="45"/>
        <v>569.6652472938099</v>
      </c>
      <c r="K318" s="9">
        <f t="shared" si="31"/>
        <v>130.45918936677</v>
      </c>
      <c r="L318" s="10">
        <f t="shared" si="30"/>
        <v>0.22901026521543191</v>
      </c>
      <c r="M318" s="10">
        <f t="shared" si="46"/>
        <v>0.36158423720223515</v>
      </c>
      <c r="P318" s="8">
        <f t="shared" si="47"/>
        <v>-1.6308590904682261</v>
      </c>
    </row>
    <row r="319" spans="1:16" x14ac:dyDescent="0.2">
      <c r="A319" s="8">
        <v>158.5</v>
      </c>
      <c r="B319" s="8">
        <v>317</v>
      </c>
      <c r="D319">
        <v>709.86175942549005</v>
      </c>
      <c r="E319">
        <v>244.7118491921</v>
      </c>
      <c r="F319">
        <v>127.56634016029</v>
      </c>
      <c r="G319">
        <v>110.91718610864</v>
      </c>
      <c r="I319" s="9">
        <f t="shared" si="44"/>
        <v>133.79466308346002</v>
      </c>
      <c r="J319" s="9">
        <f t="shared" si="45"/>
        <v>582.29541926520005</v>
      </c>
      <c r="K319" s="9">
        <f t="shared" si="31"/>
        <v>133.79466308346002</v>
      </c>
      <c r="L319" s="10">
        <f t="shared" si="30"/>
        <v>0.22977110699633499</v>
      </c>
      <c r="M319" s="10">
        <f t="shared" si="46"/>
        <v>0.36276461686917238</v>
      </c>
      <c r="P319" s="8">
        <f t="shared" si="47"/>
        <v>-1.309736315089185</v>
      </c>
    </row>
    <row r="320" spans="1:16" x14ac:dyDescent="0.2">
      <c r="A320" s="8">
        <v>159</v>
      </c>
      <c r="B320" s="8">
        <v>318</v>
      </c>
      <c r="D320">
        <v>704.57630161580005</v>
      </c>
      <c r="E320">
        <v>242.69658886894001</v>
      </c>
      <c r="F320">
        <v>127.31878895814999</v>
      </c>
      <c r="G320">
        <v>111.16829919858</v>
      </c>
      <c r="I320" s="9">
        <f>E320-G320</f>
        <v>131.52828967036001</v>
      </c>
      <c r="J320" s="9">
        <f>D320-F320</f>
        <v>577.25751265765007</v>
      </c>
      <c r="K320" s="9">
        <f t="shared" si="31"/>
        <v>131.52828967036001</v>
      </c>
      <c r="L320" s="10">
        <f t="shared" si="30"/>
        <v>0.22785028654683709</v>
      </c>
      <c r="M320" s="10">
        <f>L320+ABS($N$2)*A320</f>
        <v>0.36126333430570867</v>
      </c>
      <c r="O320" s="11"/>
      <c r="P320" s="8">
        <f>(M320-$O$2)/$O$2*100</f>
        <v>-1.718160855863033</v>
      </c>
    </row>
    <row r="321" spans="1:16" x14ac:dyDescent="0.2">
      <c r="A321" s="8">
        <v>159.5</v>
      </c>
      <c r="B321" s="8">
        <v>319</v>
      </c>
      <c r="D321">
        <v>694.33303411130998</v>
      </c>
      <c r="E321">
        <v>240.15260323160001</v>
      </c>
      <c r="F321">
        <v>127.32056990205</v>
      </c>
      <c r="G321">
        <v>111.19857524488</v>
      </c>
      <c r="I321" s="9">
        <f t="shared" ref="I321" si="48">E321-G321</f>
        <v>128.95402798672001</v>
      </c>
      <c r="J321" s="9">
        <f t="shared" ref="J321" si="49">D321-F321</f>
        <v>567.01246420925997</v>
      </c>
      <c r="K321" s="9">
        <f t="shared" si="31"/>
        <v>128.95402798672001</v>
      </c>
      <c r="L321" s="10">
        <f t="shared" si="30"/>
        <v>0.22742714865458161</v>
      </c>
      <c r="M321" s="10">
        <f t="shared" ref="M321" si="50">L321+ABS($N$2)*A321</f>
        <v>0.36125973429948743</v>
      </c>
      <c r="P321" s="8">
        <f t="shared" ref="P321" si="51">(M321-$O$2)/$O$2*100</f>
        <v>-1.7191402390407742</v>
      </c>
    </row>
    <row r="322" spans="1:16" x14ac:dyDescent="0.2">
      <c r="A322" s="8">
        <v>160</v>
      </c>
      <c r="B322" s="8">
        <v>320</v>
      </c>
      <c r="D322">
        <v>717.17773788150998</v>
      </c>
      <c r="E322">
        <v>243.46140035907001</v>
      </c>
      <c r="F322">
        <v>127.74087266251</v>
      </c>
      <c r="G322">
        <v>110.54942119323</v>
      </c>
      <c r="I322" s="9">
        <f>E322-G322</f>
        <v>132.91197916584002</v>
      </c>
      <c r="J322" s="9">
        <f>D322-F322</f>
        <v>589.43686521899997</v>
      </c>
      <c r="K322" s="9">
        <f t="shared" si="31"/>
        <v>132.91197916584002</v>
      </c>
      <c r="L322" s="10">
        <f t="shared" ref="L322" si="52">K322/J322</f>
        <v>0.2254897632106159</v>
      </c>
      <c r="M322" s="10">
        <f>L322+ABS($N$2)*A322</f>
        <v>0.35974188674155588</v>
      </c>
      <c r="O322" s="11"/>
      <c r="P322" s="8">
        <f>(M322-$O$2)/$O$2*100</f>
        <v>-2.1320712933938104</v>
      </c>
    </row>
    <row r="323" spans="1:16" x14ac:dyDescent="0.2">
      <c r="I323" s="9"/>
      <c r="J323" s="9"/>
      <c r="K323" s="9"/>
      <c r="L323" s="9"/>
    </row>
    <row r="324" spans="1:16" x14ac:dyDescent="0.2">
      <c r="I324" s="9"/>
      <c r="J324" s="9"/>
      <c r="K324" s="9"/>
      <c r="L324" s="9"/>
    </row>
    <row r="325" spans="1:16" x14ac:dyDescent="0.2">
      <c r="I325" s="9"/>
      <c r="J325" s="9"/>
      <c r="K325" s="9"/>
      <c r="L325" s="9"/>
    </row>
    <row r="326" spans="1:16" x14ac:dyDescent="0.2">
      <c r="I326" s="9"/>
      <c r="J326" s="9"/>
      <c r="K326" s="9"/>
      <c r="L326" s="9"/>
    </row>
    <row r="327" spans="1:16" x14ac:dyDescent="0.2">
      <c r="I327" s="9"/>
      <c r="J327" s="9"/>
      <c r="K327" s="9"/>
      <c r="L327" s="9"/>
    </row>
    <row r="328" spans="1:16" x14ac:dyDescent="0.2">
      <c r="I328" s="9"/>
      <c r="J328" s="9"/>
      <c r="K328" s="9"/>
      <c r="L328" s="9"/>
    </row>
    <row r="329" spans="1:16" x14ac:dyDescent="0.2">
      <c r="I329" s="9"/>
      <c r="J329" s="9"/>
      <c r="K329" s="9"/>
      <c r="L329" s="9"/>
    </row>
    <row r="330" spans="1:16" x14ac:dyDescent="0.2">
      <c r="I330" s="9"/>
      <c r="J330" s="9"/>
      <c r="K330" s="9"/>
      <c r="L330" s="9"/>
    </row>
    <row r="331" spans="1:16" x14ac:dyDescent="0.2">
      <c r="I331" s="9"/>
      <c r="J331" s="9"/>
      <c r="K331" s="9"/>
      <c r="L331" s="9"/>
    </row>
    <row r="332" spans="1:16" x14ac:dyDescent="0.2">
      <c r="I332" s="9"/>
      <c r="J332" s="9"/>
      <c r="K332" s="9"/>
      <c r="L332" s="9"/>
    </row>
    <row r="333" spans="1:16" x14ac:dyDescent="0.2">
      <c r="I333" s="9"/>
      <c r="J333" s="9"/>
      <c r="K333" s="9"/>
      <c r="L333" s="9"/>
    </row>
    <row r="334" spans="1:16" x14ac:dyDescent="0.2">
      <c r="I334" s="9"/>
      <c r="J334" s="9"/>
      <c r="K334" s="9"/>
      <c r="L334" s="9"/>
    </row>
    <row r="335" spans="1:16" x14ac:dyDescent="0.2">
      <c r="I335" s="9"/>
      <c r="J335" s="9"/>
      <c r="K335" s="9"/>
      <c r="L335" s="9"/>
    </row>
    <row r="336" spans="1:16" x14ac:dyDescent="0.2">
      <c r="I336" s="9"/>
      <c r="J336" s="9"/>
      <c r="K336" s="9"/>
      <c r="L336" s="9"/>
    </row>
    <row r="337" spans="9:12" x14ac:dyDescent="0.2">
      <c r="I337" s="9"/>
      <c r="J337" s="9"/>
      <c r="K337" s="9"/>
      <c r="L337" s="9"/>
    </row>
    <row r="338" spans="9:12" x14ac:dyDescent="0.2">
      <c r="I338" s="9"/>
      <c r="J338" s="9"/>
      <c r="K338" s="9"/>
      <c r="L338" s="9"/>
    </row>
    <row r="339" spans="9:12" x14ac:dyDescent="0.2">
      <c r="I339" s="9"/>
      <c r="J339" s="9"/>
      <c r="K339" s="9"/>
      <c r="L339" s="9"/>
    </row>
    <row r="340" spans="9:12" x14ac:dyDescent="0.2">
      <c r="I340" s="9"/>
      <c r="J340" s="9"/>
      <c r="K340" s="9"/>
      <c r="L340" s="9"/>
    </row>
    <row r="341" spans="9:12" x14ac:dyDescent="0.2">
      <c r="I341" s="9"/>
      <c r="J341" s="9"/>
      <c r="K341" s="9"/>
      <c r="L341" s="9"/>
    </row>
    <row r="342" spans="9:12" x14ac:dyDescent="0.2">
      <c r="I342" s="9"/>
      <c r="J342" s="9"/>
      <c r="K342" s="9"/>
      <c r="L342" s="9"/>
    </row>
    <row r="343" spans="9:12" x14ac:dyDescent="0.2">
      <c r="I343" s="9"/>
      <c r="J343" s="9"/>
      <c r="K343" s="9"/>
      <c r="L343" s="9"/>
    </row>
    <row r="344" spans="9:12" x14ac:dyDescent="0.2">
      <c r="I344" s="9"/>
      <c r="J344" s="9"/>
      <c r="K344" s="9"/>
      <c r="L344" s="9"/>
    </row>
    <row r="345" spans="9:12" x14ac:dyDescent="0.2">
      <c r="I345" s="9"/>
      <c r="J345" s="9"/>
      <c r="K345" s="9"/>
      <c r="L345" s="9"/>
    </row>
    <row r="346" spans="9:12" x14ac:dyDescent="0.2">
      <c r="I346" s="9"/>
      <c r="J346" s="9"/>
      <c r="K346" s="9"/>
      <c r="L346" s="9"/>
    </row>
    <row r="347" spans="9:12" x14ac:dyDescent="0.2">
      <c r="I347" s="9"/>
      <c r="J347" s="9"/>
      <c r="K347" s="9"/>
      <c r="L347" s="9"/>
    </row>
    <row r="348" spans="9:12" x14ac:dyDescent="0.2">
      <c r="I348" s="9"/>
      <c r="J348" s="9"/>
      <c r="K348" s="9"/>
      <c r="L348" s="9"/>
    </row>
    <row r="349" spans="9:12" x14ac:dyDescent="0.2">
      <c r="I349" s="9"/>
      <c r="J349" s="9"/>
      <c r="K349" s="9"/>
      <c r="L349" s="9"/>
    </row>
    <row r="350" spans="9:12" x14ac:dyDescent="0.2">
      <c r="I350" s="9"/>
      <c r="J350" s="9"/>
      <c r="K350" s="9"/>
      <c r="L350" s="9"/>
    </row>
    <row r="351" spans="9:12" x14ac:dyDescent="0.2">
      <c r="I351" s="9"/>
      <c r="J351" s="9"/>
      <c r="K351" s="9"/>
      <c r="L351" s="9"/>
    </row>
    <row r="352" spans="9:12" x14ac:dyDescent="0.2">
      <c r="I352" s="9"/>
      <c r="J352" s="9"/>
      <c r="K352" s="9"/>
      <c r="L352" s="9"/>
    </row>
    <row r="353" spans="9:12" x14ac:dyDescent="0.2">
      <c r="I353" s="9"/>
      <c r="J353" s="9"/>
      <c r="K353" s="9"/>
      <c r="L353" s="9"/>
    </row>
    <row r="354" spans="9:12" x14ac:dyDescent="0.2">
      <c r="I354" s="9"/>
      <c r="J354" s="9"/>
      <c r="K354" s="9"/>
      <c r="L354" s="9"/>
    </row>
    <row r="355" spans="9:12" x14ac:dyDescent="0.2">
      <c r="I355" s="9"/>
      <c r="J355" s="9"/>
      <c r="K355" s="9"/>
      <c r="L355" s="9"/>
    </row>
    <row r="356" spans="9:12" x14ac:dyDescent="0.2">
      <c r="I356" s="9"/>
      <c r="J356" s="9"/>
      <c r="K356" s="9"/>
      <c r="L356" s="9"/>
    </row>
    <row r="357" spans="9:12" x14ac:dyDescent="0.2">
      <c r="I357" s="9"/>
      <c r="J357" s="9"/>
      <c r="K357" s="9"/>
      <c r="L357" s="9"/>
    </row>
    <row r="358" spans="9:12" x14ac:dyDescent="0.2">
      <c r="I358" s="9"/>
      <c r="J358" s="9"/>
      <c r="K358" s="9"/>
      <c r="L358" s="9"/>
    </row>
    <row r="359" spans="9:12" x14ac:dyDescent="0.2">
      <c r="I359" s="9"/>
      <c r="J359" s="9"/>
      <c r="K359" s="9"/>
      <c r="L359" s="9"/>
    </row>
    <row r="360" spans="9:12" x14ac:dyDescent="0.2">
      <c r="I360" s="9"/>
      <c r="J360" s="9"/>
      <c r="K360" s="9"/>
      <c r="L360" s="9"/>
    </row>
    <row r="361" spans="9:12" x14ac:dyDescent="0.2">
      <c r="I361" s="9"/>
      <c r="J361" s="9"/>
      <c r="K361" s="9"/>
      <c r="L361" s="9"/>
    </row>
    <row r="362" spans="9:12" x14ac:dyDescent="0.2">
      <c r="I362" s="9"/>
      <c r="J362" s="9"/>
      <c r="K362" s="9"/>
      <c r="L362" s="9"/>
    </row>
    <row r="363" spans="9:12" x14ac:dyDescent="0.2">
      <c r="I363" s="9"/>
      <c r="J363" s="9"/>
      <c r="K363" s="9"/>
      <c r="L363" s="9"/>
    </row>
    <row r="364" spans="9:12" x14ac:dyDescent="0.2">
      <c r="I364" s="9"/>
      <c r="J364" s="9"/>
      <c r="K364" s="9"/>
      <c r="L364" s="9"/>
    </row>
    <row r="365" spans="9:12" x14ac:dyDescent="0.2">
      <c r="I365" s="9"/>
      <c r="J365" s="9"/>
      <c r="K365" s="9"/>
      <c r="L365" s="9"/>
    </row>
    <row r="366" spans="9:12" x14ac:dyDescent="0.2">
      <c r="I366" s="9"/>
      <c r="J366" s="9"/>
      <c r="K366" s="9"/>
      <c r="L366" s="9"/>
    </row>
    <row r="367" spans="9:12" x14ac:dyDescent="0.2">
      <c r="I367" s="9"/>
      <c r="J367" s="9"/>
      <c r="K367" s="9"/>
      <c r="L367" s="9"/>
    </row>
    <row r="368" spans="9:12" x14ac:dyDescent="0.2">
      <c r="I368" s="9"/>
      <c r="J368" s="9"/>
      <c r="K368" s="9"/>
      <c r="L368" s="9"/>
    </row>
    <row r="369" spans="9:12" x14ac:dyDescent="0.2">
      <c r="I369" s="9"/>
      <c r="J369" s="9"/>
      <c r="K369" s="9"/>
      <c r="L369" s="9"/>
    </row>
    <row r="370" spans="9:12" x14ac:dyDescent="0.2">
      <c r="I370" s="9"/>
      <c r="J370" s="9"/>
      <c r="K370" s="9"/>
      <c r="L370" s="9"/>
    </row>
    <row r="371" spans="9:12" x14ac:dyDescent="0.2">
      <c r="I371" s="9"/>
      <c r="J371" s="9"/>
      <c r="K371" s="9"/>
      <c r="L371" s="9"/>
    </row>
    <row r="372" spans="9:12" x14ac:dyDescent="0.2">
      <c r="I372" s="9"/>
      <c r="J372" s="9"/>
      <c r="K372" s="9"/>
      <c r="L372" s="9"/>
    </row>
    <row r="373" spans="9:12" x14ac:dyDescent="0.2">
      <c r="I373" s="9"/>
      <c r="J373" s="9"/>
      <c r="K373" s="9"/>
      <c r="L373" s="9"/>
    </row>
    <row r="374" spans="9:12" x14ac:dyDescent="0.2">
      <c r="I374" s="9"/>
      <c r="J374" s="9"/>
      <c r="K374" s="9"/>
      <c r="L374" s="9"/>
    </row>
    <row r="375" spans="9:12" x14ac:dyDescent="0.2">
      <c r="I375" s="9"/>
      <c r="J375" s="9"/>
      <c r="K375" s="9"/>
      <c r="L375" s="9"/>
    </row>
    <row r="376" spans="9:12" x14ac:dyDescent="0.2">
      <c r="I376" s="9"/>
      <c r="J376" s="9"/>
      <c r="K376" s="9"/>
      <c r="L376" s="9"/>
    </row>
    <row r="377" spans="9:12" x14ac:dyDescent="0.2">
      <c r="I377" s="9"/>
      <c r="J377" s="9"/>
      <c r="K377" s="9"/>
      <c r="L377" s="9"/>
    </row>
    <row r="378" spans="9:12" x14ac:dyDescent="0.2">
      <c r="I378" s="9"/>
      <c r="J378" s="9"/>
      <c r="K378" s="9"/>
      <c r="L378" s="9"/>
    </row>
    <row r="379" spans="9:12" x14ac:dyDescent="0.2">
      <c r="I379" s="9"/>
      <c r="J379" s="9"/>
      <c r="K379" s="9"/>
      <c r="L379" s="9"/>
    </row>
    <row r="380" spans="9:12" x14ac:dyDescent="0.2">
      <c r="I380" s="9"/>
      <c r="J380" s="9"/>
      <c r="K380" s="9"/>
      <c r="L380" s="9"/>
    </row>
    <row r="381" spans="9:12" x14ac:dyDescent="0.2">
      <c r="I381" s="9"/>
      <c r="J381" s="9"/>
      <c r="K381" s="9"/>
      <c r="L381" s="9"/>
    </row>
    <row r="382" spans="9:12" x14ac:dyDescent="0.2">
      <c r="I382" s="9"/>
      <c r="J382" s="9"/>
      <c r="K382" s="9"/>
      <c r="L382" s="9"/>
    </row>
    <row r="383" spans="9:12" x14ac:dyDescent="0.2">
      <c r="I383" s="9"/>
      <c r="J383" s="9"/>
      <c r="K383" s="9"/>
      <c r="L383" s="9"/>
    </row>
    <row r="384" spans="9:12" x14ac:dyDescent="0.2">
      <c r="I384" s="9"/>
      <c r="J384" s="9"/>
      <c r="K384" s="9"/>
      <c r="L384" s="9"/>
    </row>
    <row r="385" spans="9:12" x14ac:dyDescent="0.2">
      <c r="I385" s="9"/>
      <c r="J385" s="9"/>
      <c r="K385" s="9"/>
      <c r="L385" s="9"/>
    </row>
    <row r="386" spans="9:12" x14ac:dyDescent="0.2">
      <c r="I386" s="9"/>
      <c r="J386" s="9"/>
      <c r="K386" s="9"/>
      <c r="L386" s="9"/>
    </row>
    <row r="387" spans="9:12" x14ac:dyDescent="0.2">
      <c r="I387" s="9"/>
      <c r="J387" s="9"/>
      <c r="K387" s="9"/>
      <c r="L387" s="9"/>
    </row>
    <row r="388" spans="9:12" x14ac:dyDescent="0.2">
      <c r="I388" s="9"/>
      <c r="J388" s="9"/>
      <c r="K388" s="9"/>
      <c r="L388" s="9"/>
    </row>
    <row r="389" spans="9:12" x14ac:dyDescent="0.2">
      <c r="I389" s="9"/>
      <c r="J389" s="9"/>
      <c r="K389" s="9"/>
      <c r="L389" s="9"/>
    </row>
    <row r="390" spans="9:12" x14ac:dyDescent="0.2">
      <c r="I390" s="9"/>
      <c r="J390" s="9"/>
      <c r="K390" s="9"/>
      <c r="L390" s="9"/>
    </row>
    <row r="391" spans="9:12" x14ac:dyDescent="0.2">
      <c r="I391" s="9"/>
      <c r="J391" s="9"/>
      <c r="K391" s="9"/>
      <c r="L391" s="9"/>
    </row>
    <row r="392" spans="9:12" x14ac:dyDescent="0.2">
      <c r="I392" s="9"/>
      <c r="J392" s="9"/>
      <c r="K392" s="9"/>
      <c r="L392" s="9"/>
    </row>
    <row r="393" spans="9:12" x14ac:dyDescent="0.2">
      <c r="I393" s="9"/>
      <c r="J393" s="9"/>
      <c r="K393" s="9"/>
      <c r="L393" s="9"/>
    </row>
    <row r="394" spans="9:12" x14ac:dyDescent="0.2">
      <c r="I394" s="9"/>
      <c r="J394" s="9"/>
      <c r="K394" s="9"/>
      <c r="L394" s="9"/>
    </row>
    <row r="395" spans="9:12" x14ac:dyDescent="0.2">
      <c r="I395" s="9"/>
      <c r="J395" s="9"/>
      <c r="K395" s="9"/>
      <c r="L395" s="9"/>
    </row>
    <row r="396" spans="9:12" x14ac:dyDescent="0.2">
      <c r="I396" s="9"/>
      <c r="J396" s="9"/>
      <c r="K396" s="9"/>
      <c r="L396" s="9"/>
    </row>
    <row r="397" spans="9:12" x14ac:dyDescent="0.2">
      <c r="I397" s="9"/>
      <c r="J397" s="9"/>
      <c r="K397" s="9"/>
      <c r="L397" s="9"/>
    </row>
    <row r="398" spans="9:12" x14ac:dyDescent="0.2">
      <c r="I398" s="9"/>
      <c r="J398" s="9"/>
      <c r="K398" s="9"/>
      <c r="L398" s="9"/>
    </row>
    <row r="399" spans="9:12" x14ac:dyDescent="0.2">
      <c r="I399" s="9"/>
      <c r="J399" s="9"/>
      <c r="K399" s="9"/>
      <c r="L399" s="9"/>
    </row>
    <row r="400" spans="9:12" x14ac:dyDescent="0.2">
      <c r="I400" s="9"/>
      <c r="J400" s="9"/>
      <c r="K400" s="9"/>
      <c r="L400" s="9"/>
    </row>
    <row r="401" spans="9:12" x14ac:dyDescent="0.2">
      <c r="I401" s="9"/>
      <c r="J401" s="9"/>
      <c r="K401" s="9"/>
      <c r="L401" s="9"/>
    </row>
    <row r="402" spans="9:12" x14ac:dyDescent="0.2">
      <c r="I402" s="9"/>
      <c r="J402" s="9"/>
      <c r="K402" s="9"/>
      <c r="L402" s="9"/>
    </row>
    <row r="403" spans="9:12" x14ac:dyDescent="0.2">
      <c r="I403" s="9"/>
      <c r="J403" s="9"/>
      <c r="K403" s="9"/>
      <c r="L403" s="9"/>
    </row>
    <row r="404" spans="9:12" x14ac:dyDescent="0.2">
      <c r="I404" s="9"/>
      <c r="J404" s="9"/>
      <c r="K404" s="9"/>
      <c r="L404" s="9"/>
    </row>
    <row r="405" spans="9:12" x14ac:dyDescent="0.2">
      <c r="I405" s="9"/>
      <c r="J405" s="9"/>
      <c r="K405" s="9"/>
      <c r="L405" s="9"/>
    </row>
    <row r="406" spans="9:12" x14ac:dyDescent="0.2">
      <c r="I406" s="9"/>
      <c r="J406" s="9"/>
      <c r="K406" s="9"/>
      <c r="L406" s="9"/>
    </row>
    <row r="407" spans="9:12" x14ac:dyDescent="0.2">
      <c r="I407" s="9"/>
      <c r="J407" s="9"/>
      <c r="K407" s="9"/>
      <c r="L407" s="9"/>
    </row>
    <row r="408" spans="9:12" x14ac:dyDescent="0.2">
      <c r="I408" s="9"/>
      <c r="J408" s="9"/>
      <c r="K408" s="9"/>
      <c r="L408" s="9"/>
    </row>
    <row r="409" spans="9:12" x14ac:dyDescent="0.2">
      <c r="I409" s="9"/>
      <c r="J409" s="9"/>
      <c r="K409" s="9"/>
      <c r="L409" s="9"/>
    </row>
    <row r="410" spans="9:12" x14ac:dyDescent="0.2">
      <c r="I410" s="9"/>
      <c r="J410" s="9"/>
      <c r="K410" s="9"/>
      <c r="L410" s="9"/>
    </row>
    <row r="411" spans="9:12" x14ac:dyDescent="0.2">
      <c r="I411" s="9"/>
      <c r="J411" s="9"/>
      <c r="K411" s="9"/>
      <c r="L411" s="9"/>
    </row>
    <row r="412" spans="9:12" x14ac:dyDescent="0.2">
      <c r="I412" s="9"/>
      <c r="J412" s="9"/>
      <c r="K412" s="9"/>
      <c r="L412" s="9"/>
    </row>
    <row r="413" spans="9:12" x14ac:dyDescent="0.2">
      <c r="I413" s="9"/>
      <c r="J413" s="9"/>
      <c r="K413" s="9"/>
      <c r="L413" s="9"/>
    </row>
    <row r="414" spans="9:12" x14ac:dyDescent="0.2">
      <c r="I414" s="9"/>
      <c r="J414" s="9"/>
      <c r="K414" s="9"/>
      <c r="L414" s="9"/>
    </row>
    <row r="415" spans="9:12" x14ac:dyDescent="0.2">
      <c r="I415" s="9"/>
      <c r="J415" s="9"/>
      <c r="K415" s="9"/>
      <c r="L415" s="9"/>
    </row>
    <row r="416" spans="9:12" x14ac:dyDescent="0.2">
      <c r="I416" s="9"/>
      <c r="J416" s="9"/>
      <c r="K416" s="9"/>
      <c r="L416" s="9"/>
    </row>
    <row r="417" spans="9:12" x14ac:dyDescent="0.2">
      <c r="I417" s="9"/>
      <c r="J417" s="9"/>
      <c r="K417" s="9"/>
      <c r="L417" s="9"/>
    </row>
    <row r="418" spans="9:12" x14ac:dyDescent="0.2">
      <c r="I418" s="9"/>
      <c r="J418" s="9"/>
      <c r="K418" s="9"/>
      <c r="L418" s="9"/>
    </row>
    <row r="419" spans="9:12" x14ac:dyDescent="0.2">
      <c r="I419" s="9"/>
      <c r="J419" s="9"/>
      <c r="K419" s="9"/>
      <c r="L419" s="9"/>
    </row>
    <row r="420" spans="9:12" x14ac:dyDescent="0.2">
      <c r="I420" s="9"/>
      <c r="J420" s="9"/>
      <c r="K420" s="9"/>
      <c r="L420" s="9"/>
    </row>
    <row r="421" spans="9:12" x14ac:dyDescent="0.2">
      <c r="I421" s="9"/>
      <c r="J421" s="9"/>
      <c r="K421" s="9"/>
      <c r="L421" s="9"/>
    </row>
    <row r="422" spans="9:12" x14ac:dyDescent="0.2">
      <c r="I422" s="9"/>
      <c r="J422" s="9"/>
      <c r="K422" s="9"/>
      <c r="L422" s="9"/>
    </row>
    <row r="423" spans="9:12" x14ac:dyDescent="0.2">
      <c r="I423" s="9"/>
      <c r="J423" s="9"/>
      <c r="K423" s="9"/>
      <c r="L423" s="9"/>
    </row>
    <row r="424" spans="9:12" x14ac:dyDescent="0.2">
      <c r="I424" s="9"/>
      <c r="J424" s="9"/>
      <c r="K424" s="9"/>
      <c r="L424" s="9"/>
    </row>
    <row r="425" spans="9:12" x14ac:dyDescent="0.2">
      <c r="I425" s="9"/>
      <c r="J425" s="9"/>
      <c r="K425" s="9"/>
      <c r="L425" s="9"/>
    </row>
    <row r="426" spans="9:12" x14ac:dyDescent="0.2">
      <c r="I426" s="9"/>
      <c r="J426" s="9"/>
      <c r="K426" s="9"/>
      <c r="L426" s="9"/>
    </row>
    <row r="427" spans="9:12" x14ac:dyDescent="0.2">
      <c r="I427" s="9"/>
      <c r="J427" s="9"/>
      <c r="K427" s="9"/>
      <c r="L427" s="9"/>
    </row>
    <row r="428" spans="9:12" x14ac:dyDescent="0.2">
      <c r="I428" s="9"/>
      <c r="J428" s="9"/>
      <c r="K428" s="9"/>
      <c r="L428" s="9"/>
    </row>
    <row r="429" spans="9:12" x14ac:dyDescent="0.2">
      <c r="I429" s="9"/>
      <c r="J429" s="9"/>
      <c r="K429" s="9"/>
      <c r="L429" s="9"/>
    </row>
    <row r="430" spans="9:12" x14ac:dyDescent="0.2">
      <c r="I430" s="9"/>
      <c r="J430" s="9"/>
      <c r="K430" s="9"/>
      <c r="L430" s="9"/>
    </row>
    <row r="431" spans="9:12" x14ac:dyDescent="0.2">
      <c r="I431" s="9"/>
      <c r="J431" s="9"/>
      <c r="K431" s="9"/>
      <c r="L431" s="9"/>
    </row>
    <row r="432" spans="9:12" x14ac:dyDescent="0.2">
      <c r="I432" s="9"/>
      <c r="J432" s="9"/>
      <c r="K432" s="9"/>
      <c r="L432" s="9"/>
    </row>
    <row r="433" spans="9:12" x14ac:dyDescent="0.2">
      <c r="I433" s="9"/>
      <c r="J433" s="9"/>
      <c r="K433" s="9"/>
      <c r="L433" s="9"/>
    </row>
    <row r="434" spans="9:12" x14ac:dyDescent="0.2">
      <c r="I434" s="9"/>
      <c r="J434" s="9"/>
      <c r="K434" s="9"/>
      <c r="L434" s="9"/>
    </row>
    <row r="435" spans="9:12" x14ac:dyDescent="0.2">
      <c r="I435" s="9"/>
      <c r="J435" s="9"/>
      <c r="K435" s="9"/>
      <c r="L435" s="9"/>
    </row>
    <row r="436" spans="9:12" x14ac:dyDescent="0.2">
      <c r="I436" s="9"/>
      <c r="J436" s="9"/>
      <c r="K436" s="9"/>
      <c r="L436" s="9"/>
    </row>
    <row r="437" spans="9:12" x14ac:dyDescent="0.2">
      <c r="I437" s="9"/>
      <c r="J437" s="9"/>
      <c r="K437" s="9"/>
      <c r="L437" s="9"/>
    </row>
    <row r="438" spans="9:12" x14ac:dyDescent="0.2">
      <c r="I438" s="9"/>
      <c r="J438" s="9"/>
      <c r="K438" s="9"/>
      <c r="L438" s="9"/>
    </row>
    <row r="439" spans="9:12" x14ac:dyDescent="0.2">
      <c r="I439" s="9"/>
      <c r="J439" s="9"/>
      <c r="K439" s="9"/>
      <c r="L439" s="9"/>
    </row>
    <row r="440" spans="9:12" x14ac:dyDescent="0.2">
      <c r="I440" s="9"/>
      <c r="J440" s="9"/>
      <c r="K440" s="9"/>
      <c r="L440" s="9"/>
    </row>
    <row r="441" spans="9:12" x14ac:dyDescent="0.2">
      <c r="I441" s="9"/>
      <c r="J441" s="9"/>
      <c r="K441" s="9"/>
      <c r="L441" s="9"/>
    </row>
    <row r="442" spans="9:12" x14ac:dyDescent="0.2">
      <c r="I442" s="9"/>
      <c r="J442" s="9"/>
      <c r="K442" s="9"/>
      <c r="L442" s="9"/>
    </row>
    <row r="443" spans="9:12" x14ac:dyDescent="0.2">
      <c r="I443" s="9"/>
      <c r="J443" s="9"/>
      <c r="K443" s="9"/>
      <c r="L443" s="9"/>
    </row>
    <row r="444" spans="9:12" x14ac:dyDescent="0.2">
      <c r="I444" s="9"/>
      <c r="J444" s="9"/>
      <c r="K444" s="9"/>
      <c r="L444" s="9"/>
    </row>
    <row r="445" spans="9:12" x14ac:dyDescent="0.2">
      <c r="I445" s="9"/>
      <c r="J445" s="9"/>
      <c r="K445" s="9"/>
      <c r="L445" s="9"/>
    </row>
    <row r="446" spans="9:12" x14ac:dyDescent="0.2">
      <c r="I446" s="9"/>
      <c r="J446" s="9"/>
      <c r="K446" s="9"/>
      <c r="L446" s="9"/>
    </row>
    <row r="447" spans="9:12" x14ac:dyDescent="0.2">
      <c r="I447" s="9"/>
      <c r="J447" s="9"/>
      <c r="K447" s="9"/>
      <c r="L447" s="9"/>
    </row>
    <row r="448" spans="9:12" x14ac:dyDescent="0.2">
      <c r="I448" s="9"/>
      <c r="J448" s="9"/>
      <c r="K448" s="9"/>
      <c r="L448" s="9"/>
    </row>
    <row r="449" spans="9:12" x14ac:dyDescent="0.2">
      <c r="I449" s="9"/>
      <c r="J449" s="9"/>
      <c r="K449" s="9"/>
      <c r="L449" s="9"/>
    </row>
    <row r="450" spans="9:12" x14ac:dyDescent="0.2">
      <c r="I450" s="9"/>
      <c r="J450" s="9"/>
      <c r="K450" s="9"/>
      <c r="L450" s="9"/>
    </row>
    <row r="451" spans="9:12" x14ac:dyDescent="0.2">
      <c r="I451" s="9"/>
      <c r="J451" s="9"/>
      <c r="K451" s="9"/>
      <c r="L451" s="9"/>
    </row>
    <row r="452" spans="9:12" x14ac:dyDescent="0.2">
      <c r="I452" s="9"/>
      <c r="J452" s="9"/>
      <c r="K452" s="9"/>
      <c r="L452" s="9"/>
    </row>
    <row r="453" spans="9:12" x14ac:dyDescent="0.2">
      <c r="I453" s="9"/>
      <c r="J453" s="9"/>
      <c r="K453" s="9"/>
      <c r="L453" s="9"/>
    </row>
    <row r="454" spans="9:12" x14ac:dyDescent="0.2">
      <c r="I454" s="9"/>
      <c r="J454" s="9"/>
      <c r="K454" s="9"/>
      <c r="L454" s="9"/>
    </row>
    <row r="455" spans="9:12" x14ac:dyDescent="0.2">
      <c r="I455" s="9"/>
      <c r="J455" s="9"/>
      <c r="K455" s="9"/>
      <c r="L455" s="9"/>
    </row>
    <row r="456" spans="9:12" x14ac:dyDescent="0.2">
      <c r="I456" s="9"/>
      <c r="J456" s="9"/>
      <c r="K456" s="9"/>
      <c r="L456" s="9"/>
    </row>
    <row r="457" spans="9:12" x14ac:dyDescent="0.2">
      <c r="I457" s="9"/>
      <c r="J457" s="9"/>
      <c r="K457" s="9"/>
      <c r="L457" s="9"/>
    </row>
    <row r="458" spans="9:12" x14ac:dyDescent="0.2">
      <c r="I458" s="9"/>
      <c r="J458" s="9"/>
      <c r="K458" s="9"/>
      <c r="L458" s="9"/>
    </row>
    <row r="459" spans="9:12" x14ac:dyDescent="0.2">
      <c r="I459" s="9"/>
      <c r="J459" s="9"/>
      <c r="K459" s="9"/>
      <c r="L459" s="9"/>
    </row>
    <row r="460" spans="9:12" x14ac:dyDescent="0.2">
      <c r="I460" s="9"/>
      <c r="J460" s="9"/>
      <c r="K460" s="9"/>
      <c r="L460" s="9"/>
    </row>
    <row r="461" spans="9:12" x14ac:dyDescent="0.2">
      <c r="I461" s="9"/>
      <c r="J461" s="9"/>
      <c r="K461" s="9"/>
      <c r="L461" s="9"/>
    </row>
    <row r="462" spans="9:12" x14ac:dyDescent="0.2">
      <c r="I462" s="9"/>
      <c r="J462" s="9"/>
      <c r="K462" s="9"/>
      <c r="L462" s="9"/>
    </row>
    <row r="463" spans="9:12" x14ac:dyDescent="0.2">
      <c r="I463" s="9"/>
      <c r="J463" s="9"/>
      <c r="K463" s="9"/>
      <c r="L463" s="9"/>
    </row>
    <row r="464" spans="9:12" x14ac:dyDescent="0.2">
      <c r="I464" s="9"/>
      <c r="J464" s="9"/>
      <c r="K464" s="9"/>
      <c r="L464" s="9"/>
    </row>
    <row r="465" spans="9:12" x14ac:dyDescent="0.2">
      <c r="I465" s="9"/>
      <c r="J465" s="9"/>
      <c r="K465" s="9"/>
      <c r="L465" s="9"/>
    </row>
    <row r="466" spans="9:12" x14ac:dyDescent="0.2">
      <c r="I466" s="9"/>
      <c r="J466" s="9"/>
      <c r="K466" s="9"/>
      <c r="L466" s="9"/>
    </row>
    <row r="467" spans="9:12" x14ac:dyDescent="0.2">
      <c r="I467" s="9"/>
      <c r="J467" s="9"/>
      <c r="K467" s="9"/>
      <c r="L467" s="9"/>
    </row>
    <row r="468" spans="9:12" x14ac:dyDescent="0.2">
      <c r="I468" s="9"/>
      <c r="J468" s="9"/>
      <c r="K468" s="9"/>
      <c r="L468" s="9"/>
    </row>
    <row r="469" spans="9:12" x14ac:dyDescent="0.2">
      <c r="I469" s="9"/>
      <c r="J469" s="9"/>
      <c r="K469" s="9"/>
      <c r="L469" s="9"/>
    </row>
    <row r="470" spans="9:12" x14ac:dyDescent="0.2">
      <c r="I470" s="9"/>
      <c r="J470" s="9"/>
      <c r="K470" s="9"/>
      <c r="L470" s="9"/>
    </row>
    <row r="471" spans="9:12" x14ac:dyDescent="0.2">
      <c r="I471" s="9"/>
      <c r="J471" s="9"/>
      <c r="K471" s="9"/>
      <c r="L471" s="9"/>
    </row>
    <row r="472" spans="9:12" x14ac:dyDescent="0.2">
      <c r="I472" s="9"/>
      <c r="J472" s="9"/>
      <c r="K472" s="9"/>
      <c r="L472" s="9"/>
    </row>
    <row r="473" spans="9:12" x14ac:dyDescent="0.2">
      <c r="I473" s="9"/>
      <c r="J473" s="9"/>
      <c r="K473" s="9"/>
      <c r="L473" s="9"/>
    </row>
    <row r="474" spans="9:12" x14ac:dyDescent="0.2">
      <c r="I474" s="9"/>
      <c r="J474" s="9"/>
      <c r="K474" s="9"/>
      <c r="L474" s="9"/>
    </row>
    <row r="475" spans="9:12" x14ac:dyDescent="0.2">
      <c r="I475" s="9"/>
      <c r="J475" s="9"/>
      <c r="K475" s="9"/>
      <c r="L475" s="9"/>
    </row>
    <row r="476" spans="9:12" x14ac:dyDescent="0.2">
      <c r="I476" s="9"/>
      <c r="J476" s="9"/>
      <c r="K476" s="9"/>
      <c r="L476" s="9"/>
    </row>
    <row r="477" spans="9:12" x14ac:dyDescent="0.2">
      <c r="I477" s="9"/>
      <c r="J477" s="9"/>
      <c r="K477" s="9"/>
      <c r="L477" s="9"/>
    </row>
    <row r="478" spans="9:12" x14ac:dyDescent="0.2">
      <c r="I478" s="9"/>
      <c r="J478" s="9"/>
      <c r="K478" s="9"/>
      <c r="L478" s="9"/>
    </row>
    <row r="479" spans="9:12" x14ac:dyDescent="0.2">
      <c r="I479" s="9"/>
      <c r="J479" s="9"/>
      <c r="K479" s="9"/>
      <c r="L479" s="9"/>
    </row>
    <row r="480" spans="9:12" x14ac:dyDescent="0.2">
      <c r="I480" s="9"/>
      <c r="J480" s="9"/>
      <c r="K480" s="9"/>
      <c r="L480" s="9"/>
    </row>
    <row r="481" spans="9:12" x14ac:dyDescent="0.2">
      <c r="I481" s="9"/>
      <c r="J481" s="9"/>
      <c r="K481" s="9"/>
      <c r="L481" s="9"/>
    </row>
    <row r="482" spans="9:12" x14ac:dyDescent="0.2">
      <c r="I482" s="9"/>
      <c r="J482" s="9"/>
      <c r="K482" s="9"/>
      <c r="L482" s="9"/>
    </row>
    <row r="483" spans="9:12" x14ac:dyDescent="0.2">
      <c r="I483" s="9"/>
      <c r="J483" s="9"/>
      <c r="K483" s="9"/>
      <c r="L483" s="9"/>
    </row>
    <row r="484" spans="9:12" x14ac:dyDescent="0.2">
      <c r="I484" s="9"/>
      <c r="J484" s="9"/>
      <c r="K484" s="9"/>
      <c r="L484" s="9"/>
    </row>
    <row r="485" spans="9:12" x14ac:dyDescent="0.2">
      <c r="I485" s="9"/>
      <c r="J485" s="9"/>
      <c r="K485" s="9"/>
      <c r="L485" s="9"/>
    </row>
    <row r="486" spans="9:12" x14ac:dyDescent="0.2">
      <c r="I486" s="9"/>
      <c r="J486" s="9"/>
      <c r="K486" s="9"/>
      <c r="L486" s="9"/>
    </row>
    <row r="487" spans="9:12" x14ac:dyDescent="0.2">
      <c r="I487" s="9"/>
      <c r="J487" s="9"/>
      <c r="K487" s="9"/>
      <c r="L487" s="9"/>
    </row>
    <row r="488" spans="9:12" x14ac:dyDescent="0.2">
      <c r="I488" s="9"/>
      <c r="J488" s="9"/>
      <c r="K488" s="9"/>
      <c r="L488" s="9"/>
    </row>
    <row r="489" spans="9:12" x14ac:dyDescent="0.2">
      <c r="I489" s="9"/>
      <c r="J489" s="9"/>
      <c r="K489" s="9"/>
      <c r="L489" s="9"/>
    </row>
    <row r="490" spans="9:12" x14ac:dyDescent="0.2">
      <c r="I490" s="9"/>
      <c r="J490" s="9"/>
      <c r="K490" s="9"/>
      <c r="L490" s="9"/>
    </row>
    <row r="491" spans="9:12" x14ac:dyDescent="0.2">
      <c r="I491" s="9"/>
      <c r="J491" s="9"/>
      <c r="K491" s="9"/>
      <c r="L491" s="9"/>
    </row>
    <row r="492" spans="9:12" x14ac:dyDescent="0.2">
      <c r="I492" s="9"/>
      <c r="J492" s="9"/>
      <c r="K492" s="9"/>
      <c r="L492" s="9"/>
    </row>
    <row r="493" spans="9:12" x14ac:dyDescent="0.2">
      <c r="I493" s="9"/>
      <c r="J493" s="9"/>
      <c r="K493" s="9"/>
      <c r="L493" s="9"/>
    </row>
    <row r="494" spans="9:12" x14ac:dyDescent="0.2">
      <c r="I494" s="9"/>
      <c r="J494" s="9"/>
      <c r="K494" s="9"/>
      <c r="L494" s="9"/>
    </row>
    <row r="495" spans="9:12" x14ac:dyDescent="0.2">
      <c r="I495" s="9"/>
      <c r="J495" s="9"/>
      <c r="K495" s="9"/>
      <c r="L495" s="9"/>
    </row>
    <row r="496" spans="9:12" x14ac:dyDescent="0.2">
      <c r="I496" s="9"/>
      <c r="J496" s="9"/>
      <c r="K496" s="9"/>
      <c r="L496" s="9"/>
    </row>
    <row r="497" spans="9:12" x14ac:dyDescent="0.2">
      <c r="I497" s="9"/>
      <c r="J497" s="9"/>
      <c r="K497" s="9"/>
      <c r="L497" s="9"/>
    </row>
    <row r="498" spans="9:12" x14ac:dyDescent="0.2">
      <c r="I498" s="9"/>
      <c r="J498" s="9"/>
      <c r="K498" s="9"/>
      <c r="L498" s="9"/>
    </row>
    <row r="499" spans="9:12" x14ac:dyDescent="0.2">
      <c r="I499" s="9"/>
      <c r="J499" s="9"/>
      <c r="K499" s="9"/>
      <c r="L499" s="9"/>
    </row>
    <row r="500" spans="9:12" x14ac:dyDescent="0.2">
      <c r="I500" s="9"/>
      <c r="J500" s="9"/>
      <c r="K500" s="9"/>
      <c r="L500" s="9"/>
    </row>
    <row r="501" spans="9:12" x14ac:dyDescent="0.2">
      <c r="I501" s="9"/>
      <c r="J501" s="9"/>
      <c r="K501" s="9"/>
      <c r="L501" s="9"/>
    </row>
    <row r="502" spans="9:12" x14ac:dyDescent="0.2">
      <c r="I502" s="9"/>
      <c r="J502" s="9"/>
      <c r="K502" s="9"/>
      <c r="L502" s="9"/>
    </row>
    <row r="503" spans="9:12" x14ac:dyDescent="0.2">
      <c r="I503" s="9"/>
      <c r="J503" s="9"/>
      <c r="K503" s="9"/>
      <c r="L503" s="9"/>
    </row>
    <row r="504" spans="9:12" x14ac:dyDescent="0.2">
      <c r="I504" s="9"/>
      <c r="J504" s="9"/>
      <c r="K504" s="9"/>
      <c r="L504" s="9"/>
    </row>
    <row r="505" spans="9:12" x14ac:dyDescent="0.2">
      <c r="I505" s="9"/>
      <c r="J505" s="9"/>
      <c r="K505" s="9"/>
      <c r="L505" s="9"/>
    </row>
    <row r="506" spans="9:12" x14ac:dyDescent="0.2">
      <c r="I506" s="9"/>
      <c r="J506" s="9"/>
      <c r="K506" s="9"/>
      <c r="L506" s="9"/>
    </row>
    <row r="507" spans="9:12" x14ac:dyDescent="0.2">
      <c r="I507" s="9"/>
      <c r="J507" s="9"/>
      <c r="K507" s="9"/>
      <c r="L507" s="9"/>
    </row>
    <row r="508" spans="9:12" x14ac:dyDescent="0.2">
      <c r="I508" s="9"/>
      <c r="J508" s="9"/>
      <c r="K508" s="9"/>
      <c r="L508" s="9"/>
    </row>
    <row r="509" spans="9:12" x14ac:dyDescent="0.2">
      <c r="I509" s="9"/>
      <c r="J509" s="9"/>
      <c r="K509" s="9"/>
      <c r="L509" s="9"/>
    </row>
    <row r="510" spans="9:12" x14ac:dyDescent="0.2">
      <c r="I510" s="9"/>
      <c r="J510" s="9"/>
      <c r="K510" s="9"/>
      <c r="L510" s="9"/>
    </row>
    <row r="511" spans="9:12" x14ac:dyDescent="0.2">
      <c r="I511" s="9"/>
      <c r="J511" s="9"/>
      <c r="K511" s="9"/>
      <c r="L511" s="9"/>
    </row>
    <row r="512" spans="9:12" x14ac:dyDescent="0.2">
      <c r="I512" s="9"/>
      <c r="J512" s="9"/>
      <c r="K512" s="9"/>
      <c r="L512" s="9"/>
    </row>
    <row r="513" spans="9:12" x14ac:dyDescent="0.2">
      <c r="I513" s="9"/>
      <c r="J513" s="9"/>
      <c r="K513" s="9"/>
      <c r="L513" s="9"/>
    </row>
    <row r="514" spans="9:12" x14ac:dyDescent="0.2">
      <c r="I514" s="9"/>
      <c r="J514" s="9"/>
      <c r="K514" s="9"/>
      <c r="L514" s="9"/>
    </row>
    <row r="515" spans="9:12" x14ac:dyDescent="0.2">
      <c r="I515" s="9"/>
      <c r="J515" s="9"/>
      <c r="K515" s="9"/>
      <c r="L515" s="9"/>
    </row>
    <row r="516" spans="9:12" x14ac:dyDescent="0.2">
      <c r="I516" s="9"/>
      <c r="J516" s="9"/>
      <c r="K516" s="9"/>
      <c r="L516" s="9"/>
    </row>
    <row r="517" spans="9:12" x14ac:dyDescent="0.2">
      <c r="I517" s="9"/>
      <c r="J517" s="9"/>
      <c r="K517" s="9"/>
      <c r="L517" s="9"/>
    </row>
    <row r="518" spans="9:12" x14ac:dyDescent="0.2">
      <c r="I518" s="9"/>
      <c r="J518" s="9"/>
      <c r="K518" s="9"/>
      <c r="L518" s="9"/>
    </row>
    <row r="519" spans="9:12" x14ac:dyDescent="0.2">
      <c r="I519" s="9"/>
      <c r="J519" s="9"/>
      <c r="K519" s="9"/>
      <c r="L519" s="9"/>
    </row>
    <row r="520" spans="9:12" x14ac:dyDescent="0.2">
      <c r="I520" s="9"/>
      <c r="J520" s="9"/>
      <c r="K520" s="9"/>
      <c r="L520" s="9"/>
    </row>
    <row r="521" spans="9:12" x14ac:dyDescent="0.2">
      <c r="I521" s="9"/>
      <c r="J521" s="9"/>
      <c r="K521" s="9"/>
      <c r="L521" s="9"/>
    </row>
    <row r="522" spans="9:12" x14ac:dyDescent="0.2">
      <c r="I522" s="9"/>
      <c r="J522" s="9"/>
      <c r="K522" s="9"/>
      <c r="L522" s="9"/>
    </row>
    <row r="523" spans="9:12" x14ac:dyDescent="0.2">
      <c r="I523" s="9"/>
      <c r="J523" s="9"/>
      <c r="K523" s="9"/>
      <c r="L523" s="9"/>
    </row>
    <row r="524" spans="9:12" x14ac:dyDescent="0.2">
      <c r="I524" s="9"/>
      <c r="J524" s="9"/>
      <c r="K524" s="9"/>
      <c r="L524" s="9"/>
    </row>
    <row r="525" spans="9:12" x14ac:dyDescent="0.2">
      <c r="I525" s="9"/>
      <c r="J525" s="9"/>
      <c r="K525" s="9"/>
      <c r="L525" s="9"/>
    </row>
    <row r="526" spans="9:12" x14ac:dyDescent="0.2">
      <c r="I526" s="9"/>
      <c r="J526" s="9"/>
      <c r="K526" s="9"/>
      <c r="L526" s="9"/>
    </row>
    <row r="527" spans="9:12" x14ac:dyDescent="0.2">
      <c r="I527" s="9"/>
      <c r="J527" s="9"/>
      <c r="K527" s="9"/>
      <c r="L527" s="9"/>
    </row>
    <row r="528" spans="9:12" x14ac:dyDescent="0.2">
      <c r="I528" s="9"/>
      <c r="J528" s="9"/>
      <c r="K528" s="9"/>
      <c r="L528" s="9"/>
    </row>
    <row r="529" spans="9:12" x14ac:dyDescent="0.2">
      <c r="I529" s="9"/>
      <c r="J529" s="9"/>
      <c r="K529" s="9"/>
      <c r="L529" s="9"/>
    </row>
    <row r="530" spans="9:12" x14ac:dyDescent="0.2">
      <c r="I530" s="9"/>
      <c r="J530" s="9"/>
      <c r="K530" s="9"/>
      <c r="L530" s="9"/>
    </row>
    <row r="531" spans="9:12" x14ac:dyDescent="0.2">
      <c r="I531" s="9"/>
      <c r="J531" s="9"/>
      <c r="K531" s="9"/>
      <c r="L531" s="9"/>
    </row>
    <row r="532" spans="9:12" x14ac:dyDescent="0.2">
      <c r="I532" s="9"/>
      <c r="J532" s="9"/>
      <c r="K532" s="9"/>
      <c r="L532" s="9"/>
    </row>
    <row r="533" spans="9:12" x14ac:dyDescent="0.2">
      <c r="I533" s="9"/>
      <c r="J533" s="9"/>
      <c r="K533" s="9"/>
      <c r="L533" s="9"/>
    </row>
    <row r="534" spans="9:12" x14ac:dyDescent="0.2">
      <c r="I534" s="9"/>
      <c r="J534" s="9"/>
      <c r="K534" s="9"/>
      <c r="L534" s="9"/>
    </row>
    <row r="535" spans="9:12" x14ac:dyDescent="0.2">
      <c r="I535" s="9"/>
      <c r="J535" s="9"/>
      <c r="K535" s="9"/>
      <c r="L535" s="9"/>
    </row>
    <row r="536" spans="9:12" x14ac:dyDescent="0.2">
      <c r="I536" s="9"/>
      <c r="J536" s="9"/>
      <c r="K536" s="9"/>
      <c r="L536" s="9"/>
    </row>
    <row r="537" spans="9:12" x14ac:dyDescent="0.2">
      <c r="I537" s="9"/>
      <c r="J537" s="9"/>
      <c r="K537" s="9"/>
      <c r="L537" s="9"/>
    </row>
    <row r="538" spans="9:12" x14ac:dyDescent="0.2">
      <c r="I538" s="9"/>
      <c r="J538" s="9"/>
      <c r="K538" s="9"/>
      <c r="L538" s="9"/>
    </row>
    <row r="539" spans="9:12" x14ac:dyDescent="0.2">
      <c r="I539" s="9"/>
      <c r="J539" s="9"/>
      <c r="K539" s="9"/>
      <c r="L539" s="9"/>
    </row>
    <row r="540" spans="9:12" x14ac:dyDescent="0.2">
      <c r="I540" s="9"/>
      <c r="J540" s="9"/>
      <c r="K540" s="9"/>
      <c r="L540" s="9"/>
    </row>
    <row r="541" spans="9:12" x14ac:dyDescent="0.2">
      <c r="I541" s="9"/>
      <c r="J541" s="9"/>
      <c r="K541" s="9"/>
      <c r="L541" s="9"/>
    </row>
    <row r="542" spans="9:12" x14ac:dyDescent="0.2">
      <c r="I542" s="9"/>
      <c r="J542" s="9"/>
      <c r="K542" s="9"/>
      <c r="L542" s="9"/>
    </row>
    <row r="543" spans="9:12" x14ac:dyDescent="0.2">
      <c r="I543" s="9"/>
      <c r="J543" s="9"/>
      <c r="K543" s="9"/>
      <c r="L543" s="9"/>
    </row>
    <row r="544" spans="9:12" x14ac:dyDescent="0.2">
      <c r="I544" s="9"/>
      <c r="J544" s="9"/>
      <c r="K544" s="9"/>
      <c r="L544" s="9"/>
    </row>
    <row r="545" spans="9:12" x14ac:dyDescent="0.2">
      <c r="I545" s="9"/>
      <c r="J545" s="9"/>
      <c r="K545" s="9"/>
      <c r="L545" s="9"/>
    </row>
    <row r="546" spans="9:12" x14ac:dyDescent="0.2">
      <c r="I546" s="9"/>
      <c r="J546" s="9"/>
      <c r="K546" s="9"/>
      <c r="L546" s="9"/>
    </row>
    <row r="547" spans="9:12" x14ac:dyDescent="0.2">
      <c r="I547" s="9"/>
      <c r="J547" s="9"/>
      <c r="K547" s="9"/>
      <c r="L547" s="9"/>
    </row>
    <row r="548" spans="9:12" x14ac:dyDescent="0.2">
      <c r="I548" s="9"/>
      <c r="J548" s="9"/>
      <c r="K548" s="9"/>
      <c r="L548" s="9"/>
    </row>
    <row r="549" spans="9:12" x14ac:dyDescent="0.2">
      <c r="I549" s="9"/>
      <c r="J549" s="9"/>
      <c r="K549" s="9"/>
      <c r="L549" s="9"/>
    </row>
    <row r="550" spans="9:12" x14ac:dyDescent="0.2">
      <c r="I550" s="9"/>
      <c r="J550" s="9"/>
      <c r="K550" s="9"/>
      <c r="L550" s="9"/>
    </row>
    <row r="551" spans="9:12" x14ac:dyDescent="0.2">
      <c r="I551" s="9"/>
      <c r="J551" s="9"/>
      <c r="K551" s="9"/>
      <c r="L551" s="9"/>
    </row>
    <row r="552" spans="9:12" x14ac:dyDescent="0.2">
      <c r="I552" s="9"/>
      <c r="J552" s="9"/>
      <c r="K552" s="9"/>
      <c r="L552" s="9"/>
    </row>
    <row r="553" spans="9:12" x14ac:dyDescent="0.2">
      <c r="I553" s="9"/>
      <c r="J553" s="9"/>
      <c r="K553" s="9"/>
      <c r="L553" s="9"/>
    </row>
    <row r="554" spans="9:12" x14ac:dyDescent="0.2">
      <c r="I554" s="9"/>
      <c r="J554" s="9"/>
      <c r="K554" s="9"/>
      <c r="L554" s="9"/>
    </row>
    <row r="555" spans="9:12" x14ac:dyDescent="0.2">
      <c r="I555" s="9"/>
      <c r="J555" s="9"/>
      <c r="K555" s="9"/>
      <c r="L555" s="9"/>
    </row>
    <row r="556" spans="9:12" x14ac:dyDescent="0.2">
      <c r="I556" s="9"/>
      <c r="J556" s="9"/>
      <c r="K556" s="9"/>
      <c r="L556" s="9"/>
    </row>
    <row r="557" spans="9:12" x14ac:dyDescent="0.2">
      <c r="I557" s="9"/>
      <c r="J557" s="9"/>
      <c r="K557" s="9"/>
      <c r="L557" s="9"/>
    </row>
    <row r="558" spans="9:12" x14ac:dyDescent="0.2">
      <c r="I558" s="9"/>
      <c r="J558" s="9"/>
      <c r="K558" s="9"/>
      <c r="L558" s="9"/>
    </row>
    <row r="559" spans="9:12" x14ac:dyDescent="0.2">
      <c r="I559" s="9"/>
      <c r="J559" s="9"/>
      <c r="K559" s="9"/>
      <c r="L559" s="9"/>
    </row>
    <row r="560" spans="9:12" x14ac:dyDescent="0.2">
      <c r="I560" s="9"/>
      <c r="J560" s="9"/>
      <c r="K560" s="9"/>
      <c r="L560" s="9"/>
    </row>
    <row r="561" spans="9:12" x14ac:dyDescent="0.2">
      <c r="I561" s="9"/>
      <c r="J561" s="9"/>
      <c r="K561" s="9"/>
      <c r="L561" s="9"/>
    </row>
    <row r="562" spans="9:12" x14ac:dyDescent="0.2">
      <c r="I562" s="9"/>
      <c r="J562" s="9"/>
      <c r="K562" s="9"/>
      <c r="L562" s="9"/>
    </row>
    <row r="563" spans="9:12" x14ac:dyDescent="0.2">
      <c r="I563" s="9"/>
      <c r="J563" s="9"/>
      <c r="K563" s="9"/>
      <c r="L563" s="9"/>
    </row>
    <row r="564" spans="9:12" x14ac:dyDescent="0.2">
      <c r="I564" s="9"/>
      <c r="J564" s="9"/>
      <c r="K564" s="9"/>
      <c r="L564" s="9"/>
    </row>
    <row r="565" spans="9:12" x14ac:dyDescent="0.2">
      <c r="I565" s="9"/>
      <c r="J565" s="9"/>
      <c r="K565" s="9"/>
      <c r="L565" s="9"/>
    </row>
    <row r="566" spans="9:12" x14ac:dyDescent="0.2">
      <c r="I566" s="9"/>
      <c r="J566" s="9"/>
      <c r="K566" s="9"/>
      <c r="L566" s="9"/>
    </row>
    <row r="567" spans="9:12" x14ac:dyDescent="0.2">
      <c r="I567" s="9"/>
      <c r="J567" s="9"/>
      <c r="K567" s="9"/>
      <c r="L567" s="9"/>
    </row>
    <row r="568" spans="9:12" x14ac:dyDescent="0.2">
      <c r="I568" s="9"/>
      <c r="J568" s="9"/>
      <c r="K568" s="9"/>
      <c r="L568" s="9"/>
    </row>
    <row r="569" spans="9:12" x14ac:dyDescent="0.2">
      <c r="I569" s="9"/>
      <c r="J569" s="9"/>
      <c r="K569" s="9"/>
      <c r="L569" s="9"/>
    </row>
    <row r="570" spans="9:12" x14ac:dyDescent="0.2">
      <c r="I570" s="9"/>
      <c r="J570" s="9"/>
      <c r="K570" s="9"/>
      <c r="L570" s="9"/>
    </row>
    <row r="571" spans="9:12" x14ac:dyDescent="0.2">
      <c r="I571" s="9"/>
      <c r="J571" s="9"/>
      <c r="K571" s="9"/>
      <c r="L571" s="9"/>
    </row>
    <row r="572" spans="9:12" x14ac:dyDescent="0.2">
      <c r="I572" s="9"/>
      <c r="J572" s="9"/>
      <c r="K572" s="9"/>
      <c r="L572" s="9"/>
    </row>
    <row r="573" spans="9:12" x14ac:dyDescent="0.2">
      <c r="I573" s="9"/>
      <c r="J573" s="9"/>
      <c r="K573" s="9"/>
      <c r="L573" s="9"/>
    </row>
    <row r="574" spans="9:12" x14ac:dyDescent="0.2">
      <c r="I574" s="9"/>
      <c r="J574" s="9"/>
      <c r="K574" s="9"/>
      <c r="L574" s="9"/>
    </row>
    <row r="575" spans="9:12" x14ac:dyDescent="0.2">
      <c r="I575" s="9"/>
      <c r="J575" s="9"/>
      <c r="K575" s="9"/>
      <c r="L575" s="9"/>
    </row>
    <row r="576" spans="9:12" x14ac:dyDescent="0.2">
      <c r="I576" s="9"/>
      <c r="J576" s="9"/>
      <c r="K576" s="9"/>
      <c r="L576" s="9"/>
    </row>
    <row r="577" spans="9:12" x14ac:dyDescent="0.2">
      <c r="I577" s="9"/>
      <c r="J577" s="9"/>
      <c r="K577" s="9"/>
      <c r="L577" s="9"/>
    </row>
    <row r="578" spans="9:12" x14ac:dyDescent="0.2">
      <c r="I578" s="9"/>
      <c r="J578" s="9"/>
      <c r="K578" s="9"/>
      <c r="L578" s="9"/>
    </row>
    <row r="579" spans="9:12" x14ac:dyDescent="0.2">
      <c r="I579" s="9"/>
      <c r="J579" s="9"/>
      <c r="K579" s="9"/>
      <c r="L579" s="9"/>
    </row>
    <row r="580" spans="9:12" x14ac:dyDescent="0.2">
      <c r="I580" s="9"/>
      <c r="J580" s="9"/>
      <c r="K580" s="9"/>
      <c r="L580" s="9"/>
    </row>
    <row r="581" spans="9:12" x14ac:dyDescent="0.2">
      <c r="I581" s="9"/>
      <c r="J581" s="9"/>
      <c r="K581" s="9"/>
      <c r="L581" s="9"/>
    </row>
    <row r="582" spans="9:12" x14ac:dyDescent="0.2">
      <c r="I582" s="9"/>
      <c r="J582" s="9"/>
      <c r="K582" s="9"/>
      <c r="L582" s="9"/>
    </row>
    <row r="583" spans="9:12" x14ac:dyDescent="0.2">
      <c r="I583" s="9"/>
      <c r="J583" s="9"/>
      <c r="K583" s="9"/>
      <c r="L583" s="9"/>
    </row>
    <row r="584" spans="9:12" x14ac:dyDescent="0.2">
      <c r="I584" s="9"/>
      <c r="J584" s="9"/>
      <c r="K584" s="9"/>
      <c r="L584" s="9"/>
    </row>
    <row r="585" spans="9:12" x14ac:dyDescent="0.2">
      <c r="I585" s="9"/>
      <c r="J585" s="9"/>
      <c r="K585" s="9"/>
      <c r="L585" s="9"/>
    </row>
    <row r="586" spans="9:12" x14ac:dyDescent="0.2">
      <c r="I586" s="9"/>
      <c r="J586" s="9"/>
      <c r="K586" s="9"/>
      <c r="L586" s="9"/>
    </row>
    <row r="587" spans="9:12" x14ac:dyDescent="0.2">
      <c r="I587" s="9"/>
      <c r="J587" s="9"/>
      <c r="K587" s="9"/>
      <c r="L587" s="9"/>
    </row>
    <row r="588" spans="9:12" x14ac:dyDescent="0.2">
      <c r="I588" s="9"/>
      <c r="J588" s="9"/>
      <c r="K588" s="9"/>
      <c r="L588" s="9"/>
    </row>
    <row r="589" spans="9:12" x14ac:dyDescent="0.2">
      <c r="I589" s="9"/>
      <c r="J589" s="9"/>
      <c r="K589" s="9"/>
      <c r="L589" s="9"/>
    </row>
    <row r="590" spans="9:12" x14ac:dyDescent="0.2">
      <c r="I590" s="9"/>
      <c r="J590" s="9"/>
      <c r="K590" s="9"/>
      <c r="L590" s="9"/>
    </row>
    <row r="591" spans="9:12" x14ac:dyDescent="0.2">
      <c r="I591" s="9"/>
      <c r="J591" s="9"/>
      <c r="K591" s="9"/>
      <c r="L591" s="9"/>
    </row>
    <row r="592" spans="9:12" x14ac:dyDescent="0.2">
      <c r="I592" s="9"/>
      <c r="J592" s="9"/>
      <c r="K592" s="9"/>
      <c r="L592" s="9"/>
    </row>
    <row r="593" spans="9:12" x14ac:dyDescent="0.2">
      <c r="I593" s="9"/>
      <c r="J593" s="9"/>
      <c r="K593" s="9"/>
      <c r="L593" s="9"/>
    </row>
    <row r="594" spans="9:12" x14ac:dyDescent="0.2">
      <c r="I594" s="9"/>
      <c r="J594" s="9"/>
      <c r="K594" s="9"/>
      <c r="L594" s="9"/>
    </row>
    <row r="595" spans="9:12" x14ac:dyDescent="0.2">
      <c r="I595" s="9"/>
      <c r="J595" s="9"/>
      <c r="K595" s="9"/>
      <c r="L595" s="9"/>
    </row>
    <row r="596" spans="9:12" x14ac:dyDescent="0.2">
      <c r="I596" s="9"/>
      <c r="J596" s="9"/>
      <c r="K596" s="9"/>
      <c r="L596" s="9"/>
    </row>
    <row r="597" spans="9:12" x14ac:dyDescent="0.2">
      <c r="I597" s="9"/>
      <c r="J597" s="9"/>
      <c r="K597" s="9"/>
      <c r="L597" s="9"/>
    </row>
    <row r="598" spans="9:12" x14ac:dyDescent="0.2">
      <c r="I598" s="9"/>
      <c r="J598" s="9"/>
      <c r="K598" s="9"/>
      <c r="L598" s="9"/>
    </row>
    <row r="599" spans="9:12" x14ac:dyDescent="0.2">
      <c r="I599" s="9"/>
      <c r="J599" s="9"/>
      <c r="K599" s="9"/>
      <c r="L599" s="9"/>
    </row>
    <row r="600" spans="9:12" x14ac:dyDescent="0.2">
      <c r="I600" s="9"/>
      <c r="J600" s="9"/>
      <c r="K600" s="9"/>
      <c r="L600" s="9"/>
    </row>
    <row r="601" spans="9:12" x14ac:dyDescent="0.2">
      <c r="I601" s="9"/>
      <c r="J601" s="9"/>
      <c r="K601" s="9"/>
      <c r="L601" s="9"/>
    </row>
    <row r="602" spans="9:12" x14ac:dyDescent="0.2">
      <c r="I602" s="9"/>
      <c r="J602" s="9"/>
      <c r="K602" s="9"/>
      <c r="L602" s="9"/>
    </row>
    <row r="603" spans="9:12" x14ac:dyDescent="0.2">
      <c r="I603" s="9"/>
      <c r="J603" s="9"/>
      <c r="K603" s="9"/>
      <c r="L603" s="9"/>
    </row>
    <row r="604" spans="9:12" x14ac:dyDescent="0.2">
      <c r="I604" s="9"/>
      <c r="J604" s="9"/>
      <c r="K604" s="9"/>
      <c r="L604" s="9"/>
    </row>
    <row r="605" spans="9:12" x14ac:dyDescent="0.2">
      <c r="I605" s="9"/>
      <c r="J605" s="9"/>
      <c r="K605" s="9"/>
      <c r="L605" s="9"/>
    </row>
    <row r="606" spans="9:12" x14ac:dyDescent="0.2">
      <c r="I606" s="9"/>
      <c r="J606" s="9"/>
      <c r="K606" s="9"/>
      <c r="L606" s="9"/>
    </row>
    <row r="607" spans="9:12" x14ac:dyDescent="0.2">
      <c r="I607" s="9"/>
      <c r="J607" s="9"/>
      <c r="K607" s="9"/>
      <c r="L607" s="9"/>
    </row>
    <row r="608" spans="9:12" x14ac:dyDescent="0.2">
      <c r="I608" s="9"/>
      <c r="J608" s="9"/>
      <c r="K608" s="9"/>
      <c r="L608" s="9"/>
    </row>
    <row r="609" spans="9:12" x14ac:dyDescent="0.2">
      <c r="I609" s="9"/>
      <c r="J609" s="9"/>
      <c r="K609" s="9"/>
      <c r="L609" s="9"/>
    </row>
    <row r="610" spans="9:12" x14ac:dyDescent="0.2">
      <c r="I610" s="9"/>
      <c r="J610" s="9"/>
      <c r="K610" s="9"/>
      <c r="L610" s="9"/>
    </row>
    <row r="611" spans="9:12" x14ac:dyDescent="0.2">
      <c r="I611" s="9"/>
      <c r="J611" s="9"/>
      <c r="K611" s="9"/>
      <c r="L611" s="9"/>
    </row>
    <row r="612" spans="9:12" x14ac:dyDescent="0.2">
      <c r="I612" s="9"/>
      <c r="J612" s="9"/>
      <c r="K612" s="9"/>
      <c r="L612" s="9"/>
    </row>
    <row r="613" spans="9:12" x14ac:dyDescent="0.2">
      <c r="I613" s="9"/>
      <c r="J613" s="9"/>
      <c r="K613" s="9"/>
      <c r="L613" s="9"/>
    </row>
    <row r="614" spans="9:12" x14ac:dyDescent="0.2">
      <c r="I614" s="9"/>
      <c r="J614" s="9"/>
      <c r="K614" s="9"/>
      <c r="L614" s="9"/>
    </row>
    <row r="615" spans="9:12" x14ac:dyDescent="0.2">
      <c r="I615" s="9"/>
      <c r="J615" s="9"/>
      <c r="K615" s="9"/>
      <c r="L615" s="9"/>
    </row>
    <row r="616" spans="9:12" x14ac:dyDescent="0.2">
      <c r="I616" s="9"/>
      <c r="J616" s="9"/>
      <c r="K616" s="9"/>
      <c r="L616" s="9"/>
    </row>
    <row r="617" spans="9:12" x14ac:dyDescent="0.2">
      <c r="I617" s="9"/>
      <c r="J617" s="9"/>
      <c r="K617" s="9"/>
      <c r="L617" s="9"/>
    </row>
    <row r="618" spans="9:12" x14ac:dyDescent="0.2">
      <c r="I618" s="9"/>
      <c r="J618" s="9"/>
      <c r="K618" s="9"/>
      <c r="L618" s="9"/>
    </row>
    <row r="619" spans="9:12" x14ac:dyDescent="0.2">
      <c r="I619" s="9"/>
      <c r="J619" s="9"/>
      <c r="K619" s="9"/>
      <c r="L619" s="9"/>
    </row>
    <row r="620" spans="9:12" x14ac:dyDescent="0.2">
      <c r="I620" s="9"/>
      <c r="J620" s="9"/>
      <c r="K620" s="9"/>
      <c r="L620" s="9"/>
    </row>
    <row r="621" spans="9:12" x14ac:dyDescent="0.2">
      <c r="I621" s="9"/>
      <c r="J621" s="9"/>
      <c r="K621" s="9"/>
      <c r="L621" s="9"/>
    </row>
    <row r="622" spans="9:12" x14ac:dyDescent="0.2">
      <c r="I622" s="9"/>
      <c r="J622" s="9"/>
      <c r="K622" s="9"/>
      <c r="L622" s="9"/>
    </row>
    <row r="623" spans="9:12" x14ac:dyDescent="0.2">
      <c r="I623" s="9"/>
      <c r="J623" s="9"/>
      <c r="K623" s="9"/>
      <c r="L623" s="9"/>
    </row>
    <row r="624" spans="9:12" x14ac:dyDescent="0.2">
      <c r="I624" s="9"/>
      <c r="J624" s="9"/>
      <c r="K624" s="9"/>
      <c r="L624" s="9"/>
    </row>
    <row r="625" spans="9:12" x14ac:dyDescent="0.2">
      <c r="I625" s="9"/>
      <c r="J625" s="9"/>
      <c r="K625" s="9"/>
      <c r="L625" s="9"/>
    </row>
    <row r="626" spans="9:12" x14ac:dyDescent="0.2">
      <c r="I626" s="9"/>
      <c r="J626" s="9"/>
      <c r="K626" s="9"/>
      <c r="L626" s="9"/>
    </row>
    <row r="627" spans="9:12" x14ac:dyDescent="0.2">
      <c r="I627" s="9"/>
      <c r="J627" s="9"/>
      <c r="K627" s="9"/>
      <c r="L627" s="9"/>
    </row>
    <row r="628" spans="9:12" x14ac:dyDescent="0.2">
      <c r="I628" s="9"/>
      <c r="J628" s="9"/>
      <c r="K628" s="9"/>
      <c r="L628" s="9"/>
    </row>
    <row r="629" spans="9:12" x14ac:dyDescent="0.2">
      <c r="I629" s="9"/>
      <c r="J629" s="9"/>
      <c r="K629" s="9"/>
      <c r="L629" s="9"/>
    </row>
    <row r="630" spans="9:12" x14ac:dyDescent="0.2">
      <c r="I630" s="9"/>
      <c r="J630" s="9"/>
      <c r="K630" s="9"/>
      <c r="L630" s="9"/>
    </row>
    <row r="631" spans="9:12" x14ac:dyDescent="0.2">
      <c r="I631" s="9"/>
      <c r="J631" s="9"/>
      <c r="K631" s="9"/>
      <c r="L631" s="9"/>
    </row>
    <row r="632" spans="9:12" x14ac:dyDescent="0.2">
      <c r="I632" s="9"/>
      <c r="J632" s="9"/>
      <c r="K632" s="9"/>
      <c r="L632" s="9"/>
    </row>
    <row r="633" spans="9:12" x14ac:dyDescent="0.2">
      <c r="I633" s="9"/>
      <c r="J633" s="9"/>
      <c r="K633" s="9"/>
      <c r="L633" s="9"/>
    </row>
    <row r="634" spans="9:12" x14ac:dyDescent="0.2">
      <c r="I634" s="9"/>
      <c r="J634" s="9"/>
      <c r="K634" s="9"/>
      <c r="L634" s="9"/>
    </row>
    <row r="635" spans="9:12" x14ac:dyDescent="0.2">
      <c r="I635" s="9"/>
      <c r="J635" s="9"/>
      <c r="K635" s="9"/>
      <c r="L635" s="9"/>
    </row>
    <row r="636" spans="9:12" x14ac:dyDescent="0.2">
      <c r="I636" s="9"/>
      <c r="J636" s="9"/>
      <c r="K636" s="9"/>
      <c r="L636" s="9"/>
    </row>
    <row r="637" spans="9:12" x14ac:dyDescent="0.2">
      <c r="I637" s="9"/>
      <c r="J637" s="9"/>
      <c r="K637" s="9"/>
      <c r="L637" s="9"/>
    </row>
    <row r="638" spans="9:12" x14ac:dyDescent="0.2">
      <c r="I638" s="9"/>
      <c r="J638" s="9"/>
      <c r="K638" s="9"/>
      <c r="L638" s="9"/>
    </row>
    <row r="639" spans="9:12" x14ac:dyDescent="0.2">
      <c r="I639" s="9"/>
      <c r="J639" s="9"/>
      <c r="K639" s="9"/>
      <c r="L639" s="9"/>
    </row>
    <row r="640" spans="9:12" x14ac:dyDescent="0.2">
      <c r="I640" s="9"/>
      <c r="J640" s="9"/>
      <c r="K640" s="9"/>
      <c r="L640" s="9"/>
    </row>
    <row r="641" spans="9:12" x14ac:dyDescent="0.2">
      <c r="I641" s="9"/>
      <c r="J641" s="9"/>
      <c r="K641" s="9"/>
      <c r="L641" s="9"/>
    </row>
    <row r="642" spans="9:12" x14ac:dyDescent="0.2">
      <c r="I642" s="9"/>
      <c r="J642" s="9"/>
      <c r="K642" s="9"/>
      <c r="L642" s="9"/>
    </row>
    <row r="643" spans="9:12" x14ac:dyDescent="0.2">
      <c r="I643" s="9"/>
      <c r="J643" s="9"/>
      <c r="K643" s="9"/>
      <c r="L643" s="9"/>
    </row>
    <row r="644" spans="9:12" x14ac:dyDescent="0.2">
      <c r="I644" s="9"/>
      <c r="J644" s="9"/>
      <c r="K644" s="9"/>
      <c r="L644" s="9"/>
    </row>
    <row r="645" spans="9:12" x14ac:dyDescent="0.2">
      <c r="I645" s="9"/>
      <c r="J645" s="9"/>
      <c r="K645" s="9"/>
      <c r="L645" s="9"/>
    </row>
    <row r="646" spans="9:12" x14ac:dyDescent="0.2">
      <c r="I646" s="9"/>
      <c r="J646" s="9"/>
      <c r="K646" s="9"/>
      <c r="L646" s="9"/>
    </row>
    <row r="647" spans="9:12" x14ac:dyDescent="0.2">
      <c r="I647" s="9"/>
      <c r="J647" s="9"/>
      <c r="K647" s="9"/>
      <c r="L647" s="9"/>
    </row>
    <row r="648" spans="9:12" x14ac:dyDescent="0.2">
      <c r="I648" s="9"/>
      <c r="J648" s="9"/>
      <c r="K648" s="9"/>
      <c r="L648" s="9"/>
    </row>
    <row r="649" spans="9:12" x14ac:dyDescent="0.2">
      <c r="I649" s="9"/>
      <c r="J649" s="9"/>
      <c r="K649" s="9"/>
      <c r="L649" s="9"/>
    </row>
    <row r="650" spans="9:12" x14ac:dyDescent="0.2">
      <c r="I650" s="9"/>
      <c r="J650" s="9"/>
      <c r="K650" s="9"/>
      <c r="L650" s="9"/>
    </row>
    <row r="651" spans="9:12" x14ac:dyDescent="0.2">
      <c r="I651" s="9"/>
      <c r="J651" s="9"/>
      <c r="K651" s="9"/>
      <c r="L651" s="9"/>
    </row>
    <row r="652" spans="9:12" x14ac:dyDescent="0.2">
      <c r="I652" s="9"/>
      <c r="J652" s="9"/>
      <c r="K652" s="9"/>
      <c r="L652" s="9"/>
    </row>
    <row r="653" spans="9:12" x14ac:dyDescent="0.2">
      <c r="I653" s="9"/>
      <c r="J653" s="9"/>
      <c r="K653" s="9"/>
      <c r="L653" s="9"/>
    </row>
    <row r="654" spans="9:12" x14ac:dyDescent="0.2">
      <c r="I654" s="9"/>
      <c r="J654" s="9"/>
      <c r="K654" s="9"/>
      <c r="L654" s="9"/>
    </row>
    <row r="655" spans="9:12" x14ac:dyDescent="0.2">
      <c r="I655" s="9"/>
      <c r="J655" s="9"/>
      <c r="K655" s="9"/>
      <c r="L655" s="9"/>
    </row>
    <row r="656" spans="9:12" x14ac:dyDescent="0.2">
      <c r="I656" s="9"/>
      <c r="J656" s="9"/>
      <c r="K656" s="9"/>
      <c r="L656" s="9"/>
    </row>
    <row r="657" spans="9:12" x14ac:dyDescent="0.2">
      <c r="I657" s="9"/>
      <c r="J657" s="9"/>
      <c r="K657" s="9"/>
      <c r="L657" s="9"/>
    </row>
    <row r="658" spans="9:12" x14ac:dyDescent="0.2">
      <c r="I658" s="9"/>
      <c r="J658" s="9"/>
      <c r="K658" s="9"/>
      <c r="L658" s="9"/>
    </row>
    <row r="659" spans="9:12" x14ac:dyDescent="0.2">
      <c r="I659" s="9"/>
      <c r="J659" s="9"/>
      <c r="K659" s="9"/>
      <c r="L659" s="9"/>
    </row>
    <row r="660" spans="9:12" x14ac:dyDescent="0.2">
      <c r="I660" s="9"/>
      <c r="J660" s="9"/>
      <c r="K660" s="9"/>
      <c r="L660" s="9"/>
    </row>
    <row r="661" spans="9:12" x14ac:dyDescent="0.2">
      <c r="I661" s="9"/>
      <c r="J661" s="9"/>
      <c r="K661" s="9"/>
      <c r="L661" s="9"/>
    </row>
    <row r="662" spans="9:12" x14ac:dyDescent="0.2">
      <c r="I662" s="9"/>
      <c r="J662" s="9"/>
      <c r="K662" s="9"/>
      <c r="L662" s="9"/>
    </row>
    <row r="663" spans="9:12" x14ac:dyDescent="0.2">
      <c r="I663" s="9"/>
      <c r="J663" s="9"/>
      <c r="K663" s="9"/>
      <c r="L663" s="9"/>
    </row>
    <row r="664" spans="9:12" x14ac:dyDescent="0.2">
      <c r="I664" s="9"/>
      <c r="J664" s="9"/>
      <c r="K664" s="9"/>
      <c r="L664" s="9"/>
    </row>
    <row r="665" spans="9:12" x14ac:dyDescent="0.2">
      <c r="I665" s="9"/>
      <c r="J665" s="9"/>
      <c r="K665" s="9"/>
      <c r="L665" s="9"/>
    </row>
    <row r="666" spans="9:12" x14ac:dyDescent="0.2">
      <c r="I666" s="9"/>
      <c r="J666" s="9"/>
      <c r="K666" s="9"/>
      <c r="L666" s="9"/>
    </row>
    <row r="667" spans="9:12" x14ac:dyDescent="0.2">
      <c r="I667" s="9"/>
      <c r="J667" s="9"/>
      <c r="K667" s="9"/>
      <c r="L667" s="9"/>
    </row>
    <row r="668" spans="9:12" x14ac:dyDescent="0.2">
      <c r="I668" s="9"/>
      <c r="J668" s="9"/>
      <c r="K668" s="9"/>
      <c r="L668" s="9"/>
    </row>
    <row r="669" spans="9:12" x14ac:dyDescent="0.2">
      <c r="I669" s="9"/>
      <c r="J669" s="9"/>
      <c r="K669" s="9"/>
      <c r="L669" s="9"/>
    </row>
    <row r="670" spans="9:12" x14ac:dyDescent="0.2">
      <c r="I670" s="9"/>
      <c r="J670" s="9"/>
      <c r="K670" s="9"/>
      <c r="L670" s="9"/>
    </row>
    <row r="671" spans="9:12" x14ac:dyDescent="0.2">
      <c r="I671" s="9"/>
      <c r="J671" s="9"/>
      <c r="K671" s="9"/>
      <c r="L671" s="9"/>
    </row>
    <row r="672" spans="9:12" x14ac:dyDescent="0.2">
      <c r="I672" s="9"/>
      <c r="J672" s="9"/>
      <c r="K672" s="9"/>
      <c r="L672" s="9"/>
    </row>
    <row r="673" spans="9:12" x14ac:dyDescent="0.2">
      <c r="I673" s="9"/>
      <c r="J673" s="9"/>
      <c r="K673" s="9"/>
      <c r="L673" s="9"/>
    </row>
    <row r="674" spans="9:12" x14ac:dyDescent="0.2">
      <c r="I674" s="9"/>
      <c r="J674" s="9"/>
      <c r="K674" s="9"/>
      <c r="L674" s="9"/>
    </row>
    <row r="675" spans="9:12" x14ac:dyDescent="0.2">
      <c r="I675" s="9"/>
      <c r="J675" s="9"/>
      <c r="K675" s="9"/>
      <c r="L675" s="9"/>
    </row>
    <row r="676" spans="9:12" x14ac:dyDescent="0.2">
      <c r="I676" s="9"/>
      <c r="J676" s="9"/>
      <c r="K676" s="9"/>
      <c r="L676" s="9"/>
    </row>
    <row r="677" spans="9:12" x14ac:dyDescent="0.2">
      <c r="I677" s="9"/>
      <c r="J677" s="9"/>
      <c r="K677" s="9"/>
      <c r="L677" s="9"/>
    </row>
    <row r="678" spans="9:12" x14ac:dyDescent="0.2">
      <c r="I678" s="9"/>
      <c r="J678" s="9"/>
      <c r="K678" s="9"/>
      <c r="L678" s="9"/>
    </row>
    <row r="679" spans="9:12" x14ac:dyDescent="0.2">
      <c r="I679" s="9"/>
      <c r="J679" s="9"/>
      <c r="K679" s="9"/>
      <c r="L679" s="9"/>
    </row>
    <row r="680" spans="9:12" x14ac:dyDescent="0.2">
      <c r="I680" s="9"/>
      <c r="J680" s="9"/>
      <c r="K680" s="9"/>
      <c r="L680" s="9"/>
    </row>
    <row r="681" spans="9:12" x14ac:dyDescent="0.2">
      <c r="I681" s="9"/>
      <c r="J681" s="9"/>
      <c r="K681" s="9"/>
      <c r="L681" s="9"/>
    </row>
    <row r="682" spans="9:12" x14ac:dyDescent="0.2">
      <c r="I682" s="9"/>
      <c r="J682" s="9"/>
      <c r="K682" s="9"/>
      <c r="L682" s="9"/>
    </row>
    <row r="683" spans="9:12" x14ac:dyDescent="0.2">
      <c r="I683" s="9"/>
      <c r="J683" s="9"/>
      <c r="K683" s="9"/>
      <c r="L683" s="9"/>
    </row>
    <row r="684" spans="9:12" x14ac:dyDescent="0.2">
      <c r="I684" s="9"/>
      <c r="J684" s="9"/>
      <c r="K684" s="9"/>
      <c r="L684" s="9"/>
    </row>
    <row r="685" spans="9:12" x14ac:dyDescent="0.2">
      <c r="I685" s="9"/>
      <c r="J685" s="9"/>
      <c r="K685" s="9"/>
      <c r="L685" s="9"/>
    </row>
    <row r="686" spans="9:12" x14ac:dyDescent="0.2">
      <c r="I686" s="9"/>
      <c r="J686" s="9"/>
      <c r="K686" s="9"/>
      <c r="L686" s="9"/>
    </row>
    <row r="687" spans="9:12" x14ac:dyDescent="0.2">
      <c r="I687" s="9"/>
      <c r="J687" s="9"/>
      <c r="K687" s="9"/>
      <c r="L687" s="9"/>
    </row>
    <row r="688" spans="9:12" x14ac:dyDescent="0.2">
      <c r="I688" s="9"/>
      <c r="J688" s="9"/>
      <c r="K688" s="9"/>
      <c r="L688" s="9"/>
    </row>
    <row r="689" spans="9:12" x14ac:dyDescent="0.2">
      <c r="I689" s="9"/>
      <c r="J689" s="9"/>
      <c r="K689" s="9"/>
      <c r="L689" s="9"/>
    </row>
    <row r="690" spans="9:12" x14ac:dyDescent="0.2">
      <c r="I690" s="9"/>
      <c r="J690" s="9"/>
      <c r="K690" s="9"/>
      <c r="L690" s="9"/>
    </row>
    <row r="691" spans="9:12" x14ac:dyDescent="0.2">
      <c r="I691" s="9"/>
      <c r="J691" s="9"/>
      <c r="K691" s="9"/>
      <c r="L691" s="9"/>
    </row>
    <row r="692" spans="9:12" x14ac:dyDescent="0.2">
      <c r="I692" s="9"/>
      <c r="J692" s="9"/>
      <c r="K692" s="9"/>
      <c r="L692" s="9"/>
    </row>
    <row r="693" spans="9:12" x14ac:dyDescent="0.2">
      <c r="I693" s="9"/>
      <c r="J693" s="9"/>
      <c r="K693" s="9"/>
      <c r="L693" s="9"/>
    </row>
    <row r="694" spans="9:12" x14ac:dyDescent="0.2">
      <c r="I694" s="9"/>
      <c r="J694" s="9"/>
      <c r="K694" s="9"/>
      <c r="L694" s="9"/>
    </row>
    <row r="695" spans="9:12" x14ac:dyDescent="0.2">
      <c r="I695" s="9"/>
      <c r="J695" s="9"/>
      <c r="K695" s="9"/>
      <c r="L695" s="9"/>
    </row>
    <row r="696" spans="9:12" x14ac:dyDescent="0.2">
      <c r="I696" s="9"/>
      <c r="J696" s="9"/>
      <c r="K696" s="9"/>
      <c r="L696" s="9"/>
    </row>
    <row r="697" spans="9:12" x14ac:dyDescent="0.2">
      <c r="I697" s="9"/>
      <c r="J697" s="9"/>
      <c r="K697" s="9"/>
      <c r="L697" s="9"/>
    </row>
    <row r="698" spans="9:12" x14ac:dyDescent="0.2">
      <c r="I698" s="9"/>
      <c r="J698" s="9"/>
      <c r="K698" s="9"/>
      <c r="L698" s="9"/>
    </row>
    <row r="699" spans="9:12" x14ac:dyDescent="0.2">
      <c r="I699" s="9"/>
      <c r="J699" s="9"/>
      <c r="K699" s="9"/>
      <c r="L699" s="9"/>
    </row>
    <row r="700" spans="9:12" x14ac:dyDescent="0.2">
      <c r="I700" s="9"/>
      <c r="J700" s="9"/>
      <c r="K700" s="9"/>
      <c r="L700" s="9"/>
    </row>
    <row r="701" spans="9:12" x14ac:dyDescent="0.2">
      <c r="I701" s="9"/>
      <c r="J701" s="9"/>
      <c r="K701" s="9"/>
      <c r="L701" s="9"/>
    </row>
    <row r="702" spans="9:12" x14ac:dyDescent="0.2">
      <c r="I702" s="9"/>
      <c r="J702" s="9"/>
      <c r="K702" s="9"/>
      <c r="L702" s="9"/>
    </row>
    <row r="703" spans="9:12" x14ac:dyDescent="0.2">
      <c r="I703" s="9"/>
      <c r="J703" s="9"/>
      <c r="K703" s="9"/>
      <c r="L703" s="9"/>
    </row>
    <row r="704" spans="9:12" x14ac:dyDescent="0.2">
      <c r="I704" s="9"/>
      <c r="J704" s="9"/>
      <c r="K704" s="9"/>
      <c r="L704" s="9"/>
    </row>
    <row r="705" spans="9:12" x14ac:dyDescent="0.2">
      <c r="I705" s="9"/>
      <c r="J705" s="9"/>
      <c r="K705" s="9"/>
      <c r="L705" s="9"/>
    </row>
    <row r="706" spans="9:12" x14ac:dyDescent="0.2">
      <c r="I706" s="9"/>
      <c r="J706" s="9"/>
      <c r="K706" s="9"/>
      <c r="L706" s="9"/>
    </row>
    <row r="707" spans="9:12" x14ac:dyDescent="0.2">
      <c r="I707" s="9"/>
      <c r="J707" s="9"/>
      <c r="K707" s="9"/>
      <c r="L707" s="9"/>
    </row>
    <row r="708" spans="9:12" x14ac:dyDescent="0.2">
      <c r="I708" s="9"/>
      <c r="J708" s="9"/>
      <c r="K708" s="9"/>
      <c r="L708" s="9"/>
    </row>
    <row r="709" spans="9:12" x14ac:dyDescent="0.2">
      <c r="I709" s="9"/>
      <c r="J709" s="9"/>
      <c r="K709" s="9"/>
      <c r="L709" s="9"/>
    </row>
    <row r="710" spans="9:12" x14ac:dyDescent="0.2">
      <c r="I710" s="9"/>
      <c r="J710" s="9"/>
      <c r="K710" s="9"/>
      <c r="L710" s="9"/>
    </row>
    <row r="711" spans="9:12" x14ac:dyDescent="0.2">
      <c r="I711" s="9"/>
      <c r="J711" s="9"/>
      <c r="K711" s="9"/>
      <c r="L711" s="9"/>
    </row>
    <row r="712" spans="9:12" x14ac:dyDescent="0.2">
      <c r="I712" s="9"/>
      <c r="J712" s="9"/>
      <c r="K712" s="9"/>
      <c r="L712" s="9"/>
    </row>
    <row r="713" spans="9:12" x14ac:dyDescent="0.2">
      <c r="I713" s="9"/>
      <c r="J713" s="9"/>
      <c r="K713" s="9"/>
      <c r="L713" s="9"/>
    </row>
    <row r="714" spans="9:12" x14ac:dyDescent="0.2">
      <c r="I714" s="9"/>
      <c r="J714" s="9"/>
      <c r="K714" s="9"/>
      <c r="L714" s="9"/>
    </row>
    <row r="715" spans="9:12" x14ac:dyDescent="0.2">
      <c r="I715" s="9"/>
      <c r="J715" s="9"/>
      <c r="K715" s="9"/>
      <c r="L715" s="9"/>
    </row>
    <row r="716" spans="9:12" x14ac:dyDescent="0.2">
      <c r="I716" s="9"/>
      <c r="J716" s="9"/>
      <c r="K716" s="9"/>
      <c r="L716" s="9"/>
    </row>
    <row r="717" spans="9:12" x14ac:dyDescent="0.2">
      <c r="I717" s="9"/>
      <c r="J717" s="9"/>
      <c r="K717" s="9"/>
      <c r="L717" s="9"/>
    </row>
    <row r="718" spans="9:12" x14ac:dyDescent="0.2">
      <c r="I718" s="9"/>
      <c r="J718" s="9"/>
      <c r="K718" s="9"/>
      <c r="L718" s="9"/>
    </row>
    <row r="719" spans="9:12" x14ac:dyDescent="0.2">
      <c r="I719" s="9"/>
      <c r="J719" s="9"/>
      <c r="K719" s="9"/>
      <c r="L719" s="9"/>
    </row>
    <row r="720" spans="9:12" x14ac:dyDescent="0.2">
      <c r="I720" s="9"/>
      <c r="J720" s="9"/>
      <c r="K720" s="9"/>
      <c r="L720" s="9"/>
    </row>
    <row r="721" spans="9:12" x14ac:dyDescent="0.2">
      <c r="I721" s="9"/>
      <c r="J721" s="9"/>
      <c r="K721" s="9"/>
      <c r="L721" s="9"/>
    </row>
    <row r="722" spans="9:12" x14ac:dyDescent="0.2">
      <c r="I722" s="9"/>
      <c r="J722" s="9"/>
      <c r="K722" s="9"/>
      <c r="L722" s="9"/>
    </row>
    <row r="723" spans="9:12" x14ac:dyDescent="0.2">
      <c r="I723" s="9"/>
      <c r="J723" s="9"/>
      <c r="K723" s="9"/>
      <c r="L723" s="9"/>
    </row>
    <row r="724" spans="9:12" x14ac:dyDescent="0.2">
      <c r="I724" s="9"/>
      <c r="J724" s="9"/>
      <c r="K724" s="9"/>
      <c r="L724" s="9"/>
    </row>
    <row r="725" spans="9:12" x14ac:dyDescent="0.2">
      <c r="I725" s="9"/>
      <c r="J725" s="9"/>
      <c r="K725" s="9"/>
      <c r="L725" s="9"/>
    </row>
    <row r="726" spans="9:12" x14ac:dyDescent="0.2">
      <c r="I726" s="9"/>
      <c r="J726" s="9"/>
      <c r="K726" s="9"/>
      <c r="L726" s="9"/>
    </row>
    <row r="727" spans="9:12" x14ac:dyDescent="0.2">
      <c r="I727" s="9"/>
      <c r="J727" s="9"/>
      <c r="K727" s="9"/>
      <c r="L727" s="9"/>
    </row>
    <row r="728" spans="9:12" x14ac:dyDescent="0.2">
      <c r="I728" s="9"/>
      <c r="J728" s="9"/>
      <c r="K728" s="9"/>
      <c r="L728" s="9"/>
    </row>
    <row r="729" spans="9:12" x14ac:dyDescent="0.2">
      <c r="I729" s="9"/>
      <c r="J729" s="9"/>
      <c r="K729" s="9"/>
      <c r="L729" s="9"/>
    </row>
    <row r="730" spans="9:12" x14ac:dyDescent="0.2">
      <c r="I730" s="9"/>
      <c r="J730" s="9"/>
      <c r="K730" s="9"/>
      <c r="L730" s="9"/>
    </row>
    <row r="731" spans="9:12" x14ac:dyDescent="0.2">
      <c r="I731" s="9"/>
      <c r="J731" s="9"/>
      <c r="K731" s="9"/>
      <c r="L731" s="9"/>
    </row>
    <row r="732" spans="9:12" x14ac:dyDescent="0.2">
      <c r="I732" s="9"/>
      <c r="J732" s="9"/>
      <c r="K732" s="9"/>
      <c r="L732" s="9"/>
    </row>
    <row r="733" spans="9:12" x14ac:dyDescent="0.2">
      <c r="I733" s="9"/>
      <c r="J733" s="9"/>
      <c r="K733" s="9"/>
      <c r="L733" s="9"/>
    </row>
    <row r="734" spans="9:12" x14ac:dyDescent="0.2">
      <c r="I734" s="9"/>
      <c r="J734" s="9"/>
      <c r="K734" s="9"/>
      <c r="L734" s="9"/>
    </row>
    <row r="735" spans="9:12" x14ac:dyDescent="0.2">
      <c r="I735" s="9"/>
      <c r="J735" s="9"/>
      <c r="K735" s="9"/>
      <c r="L735" s="9"/>
    </row>
    <row r="736" spans="9:12" x14ac:dyDescent="0.2">
      <c r="I736" s="9"/>
      <c r="J736" s="9"/>
      <c r="K736" s="9"/>
      <c r="L736" s="9"/>
    </row>
    <row r="737" spans="9:12" x14ac:dyDescent="0.2">
      <c r="I737" s="9"/>
      <c r="J737" s="9"/>
      <c r="K737" s="9"/>
      <c r="L737" s="9"/>
    </row>
    <row r="738" spans="9:12" x14ac:dyDescent="0.2">
      <c r="I738" s="9"/>
      <c r="J738" s="9"/>
      <c r="K738" s="9"/>
      <c r="L738" s="9"/>
    </row>
    <row r="739" spans="9:12" x14ac:dyDescent="0.2">
      <c r="I739" s="9"/>
      <c r="J739" s="9"/>
      <c r="K739" s="9"/>
      <c r="L739" s="9"/>
    </row>
    <row r="740" spans="9:12" x14ac:dyDescent="0.2">
      <c r="I740" s="9"/>
      <c r="J740" s="9"/>
      <c r="K740" s="9"/>
      <c r="L740" s="9"/>
    </row>
    <row r="741" spans="9:12" x14ac:dyDescent="0.2">
      <c r="I741" s="9"/>
      <c r="J741" s="9"/>
      <c r="K741" s="9"/>
      <c r="L741" s="9"/>
    </row>
    <row r="742" spans="9:12" x14ac:dyDescent="0.2">
      <c r="I742" s="9"/>
      <c r="J742" s="9"/>
      <c r="K742" s="9"/>
      <c r="L742" s="9"/>
    </row>
    <row r="743" spans="9:12" x14ac:dyDescent="0.2">
      <c r="I743" s="9"/>
      <c r="J743" s="9"/>
      <c r="K743" s="9"/>
      <c r="L743" s="9"/>
    </row>
    <row r="744" spans="9:12" x14ac:dyDescent="0.2">
      <c r="I744" s="9"/>
      <c r="J744" s="9"/>
      <c r="K744" s="9"/>
      <c r="L744" s="9"/>
    </row>
    <row r="745" spans="9:12" x14ac:dyDescent="0.2">
      <c r="I745" s="9"/>
      <c r="J745" s="9"/>
      <c r="K745" s="9"/>
      <c r="L745" s="9"/>
    </row>
    <row r="746" spans="9:12" x14ac:dyDescent="0.2">
      <c r="I746" s="9"/>
      <c r="J746" s="9"/>
      <c r="K746" s="9"/>
      <c r="L746" s="9"/>
    </row>
    <row r="747" spans="9:12" x14ac:dyDescent="0.2">
      <c r="I747" s="9"/>
      <c r="J747" s="9"/>
      <c r="K747" s="9"/>
      <c r="L747" s="9"/>
    </row>
    <row r="748" spans="9:12" x14ac:dyDescent="0.2">
      <c r="I748" s="9"/>
      <c r="J748" s="9"/>
      <c r="K748" s="9"/>
      <c r="L748" s="9"/>
    </row>
    <row r="749" spans="9:12" x14ac:dyDescent="0.2">
      <c r="I749" s="9"/>
      <c r="J749" s="9"/>
      <c r="K749" s="9"/>
      <c r="L749" s="9"/>
    </row>
    <row r="750" spans="9:12" x14ac:dyDescent="0.2">
      <c r="I750" s="9"/>
      <c r="J750" s="9"/>
      <c r="K750" s="9"/>
      <c r="L750" s="9"/>
    </row>
    <row r="751" spans="9:12" x14ac:dyDescent="0.2">
      <c r="I751" s="9"/>
      <c r="J751" s="9"/>
      <c r="K751" s="9"/>
      <c r="L751" s="9"/>
    </row>
    <row r="752" spans="9:12" x14ac:dyDescent="0.2">
      <c r="I752" s="9"/>
      <c r="J752" s="9"/>
      <c r="K752" s="9"/>
      <c r="L752" s="9"/>
    </row>
    <row r="753" spans="9:12" x14ac:dyDescent="0.2">
      <c r="I753" s="9"/>
      <c r="J753" s="9"/>
      <c r="K753" s="9"/>
      <c r="L753" s="9"/>
    </row>
    <row r="754" spans="9:12" x14ac:dyDescent="0.2">
      <c r="I754" s="9"/>
      <c r="J754" s="9"/>
      <c r="K754" s="9"/>
      <c r="L754" s="9"/>
    </row>
    <row r="755" spans="9:12" x14ac:dyDescent="0.2">
      <c r="I755" s="9"/>
      <c r="J755" s="9"/>
      <c r="K755" s="9"/>
      <c r="L755" s="9"/>
    </row>
    <row r="756" spans="9:12" x14ac:dyDescent="0.2">
      <c r="I756" s="9"/>
      <c r="J756" s="9"/>
      <c r="K756" s="9"/>
      <c r="L756" s="9"/>
    </row>
    <row r="757" spans="9:12" x14ac:dyDescent="0.2">
      <c r="I757" s="9"/>
      <c r="J757" s="9"/>
      <c r="K757" s="9"/>
      <c r="L757" s="9"/>
    </row>
    <row r="758" spans="9:12" x14ac:dyDescent="0.2">
      <c r="I758" s="9"/>
      <c r="J758" s="9"/>
      <c r="K758" s="9"/>
      <c r="L758" s="9"/>
    </row>
    <row r="759" spans="9:12" x14ac:dyDescent="0.2">
      <c r="I759" s="9"/>
      <c r="J759" s="9"/>
      <c r="K759" s="9"/>
      <c r="L759" s="9"/>
    </row>
    <row r="760" spans="9:12" x14ac:dyDescent="0.2">
      <c r="I760" s="9"/>
      <c r="J760" s="9"/>
      <c r="K760" s="9"/>
      <c r="L760" s="9"/>
    </row>
    <row r="761" spans="9:12" x14ac:dyDescent="0.2">
      <c r="I761" s="9"/>
      <c r="J761" s="9"/>
      <c r="K761" s="9"/>
      <c r="L761" s="9"/>
    </row>
    <row r="762" spans="9:12" x14ac:dyDescent="0.2">
      <c r="I762" s="9"/>
      <c r="J762" s="9"/>
      <c r="K762" s="9"/>
      <c r="L762" s="9"/>
    </row>
    <row r="763" spans="9:12" x14ac:dyDescent="0.2">
      <c r="I763" s="9"/>
      <c r="J763" s="9"/>
      <c r="K763" s="9"/>
      <c r="L763" s="9"/>
    </row>
    <row r="764" spans="9:12" x14ac:dyDescent="0.2">
      <c r="I764" s="9"/>
      <c r="J764" s="9"/>
      <c r="K764" s="9"/>
      <c r="L764" s="9"/>
    </row>
    <row r="765" spans="9:12" x14ac:dyDescent="0.2">
      <c r="I765" s="9"/>
      <c r="J765" s="9"/>
      <c r="K765" s="9"/>
      <c r="L765" s="9"/>
    </row>
    <row r="766" spans="9:12" x14ac:dyDescent="0.2">
      <c r="I766" s="9"/>
      <c r="J766" s="9"/>
      <c r="K766" s="9"/>
      <c r="L766" s="9"/>
    </row>
    <row r="767" spans="9:12" x14ac:dyDescent="0.2">
      <c r="I767" s="9"/>
      <c r="J767" s="9"/>
      <c r="K767" s="9"/>
      <c r="L767" s="9"/>
    </row>
    <row r="768" spans="9:12" x14ac:dyDescent="0.2">
      <c r="I768" s="9"/>
      <c r="J768" s="9"/>
      <c r="K768" s="9"/>
      <c r="L768" s="9"/>
    </row>
    <row r="769" spans="9:12" x14ac:dyDescent="0.2">
      <c r="I769" s="9"/>
      <c r="J769" s="9"/>
      <c r="K769" s="9"/>
      <c r="L769" s="9"/>
    </row>
    <row r="770" spans="9:12" x14ac:dyDescent="0.2">
      <c r="I770" s="9"/>
      <c r="J770" s="9"/>
      <c r="K770" s="9"/>
      <c r="L770" s="9"/>
    </row>
    <row r="771" spans="9:12" x14ac:dyDescent="0.2">
      <c r="I771" s="9"/>
      <c r="J771" s="9"/>
      <c r="K771" s="9"/>
      <c r="L771" s="9"/>
    </row>
    <row r="772" spans="9:12" x14ac:dyDescent="0.2">
      <c r="I772" s="9"/>
      <c r="J772" s="9"/>
      <c r="K772" s="9"/>
      <c r="L772" s="9"/>
    </row>
    <row r="773" spans="9:12" x14ac:dyDescent="0.2">
      <c r="I773" s="9"/>
      <c r="J773" s="9"/>
      <c r="K773" s="9"/>
      <c r="L773" s="9"/>
    </row>
    <row r="774" spans="9:12" x14ac:dyDescent="0.2">
      <c r="I774" s="9"/>
      <c r="J774" s="9"/>
      <c r="K774" s="9"/>
      <c r="L774" s="9"/>
    </row>
    <row r="775" spans="9:12" x14ac:dyDescent="0.2">
      <c r="I775" s="9"/>
      <c r="J775" s="9"/>
      <c r="K775" s="9"/>
      <c r="L775" s="9"/>
    </row>
    <row r="776" spans="9:12" x14ac:dyDescent="0.2">
      <c r="I776" s="9"/>
      <c r="J776" s="9"/>
      <c r="K776" s="9"/>
      <c r="L776" s="9"/>
    </row>
    <row r="777" spans="9:12" x14ac:dyDescent="0.2">
      <c r="I777" s="9"/>
      <c r="J777" s="9"/>
      <c r="K777" s="9"/>
      <c r="L777" s="9"/>
    </row>
    <row r="778" spans="9:12" x14ac:dyDescent="0.2">
      <c r="I778" s="9"/>
      <c r="J778" s="9"/>
      <c r="K778" s="9"/>
      <c r="L778" s="9"/>
    </row>
    <row r="779" spans="9:12" x14ac:dyDescent="0.2">
      <c r="I779" s="9"/>
      <c r="J779" s="9"/>
      <c r="K779" s="9"/>
      <c r="L779" s="9"/>
    </row>
    <row r="780" spans="9:12" x14ac:dyDescent="0.2">
      <c r="I780" s="9"/>
      <c r="J780" s="9"/>
      <c r="K780" s="9"/>
      <c r="L780" s="9"/>
    </row>
    <row r="781" spans="9:12" x14ac:dyDescent="0.2">
      <c r="I781" s="9"/>
      <c r="J781" s="9"/>
      <c r="K781" s="9"/>
      <c r="L781" s="9"/>
    </row>
    <row r="782" spans="9:12" x14ac:dyDescent="0.2">
      <c r="I782" s="9"/>
      <c r="J782" s="9"/>
      <c r="K782" s="9"/>
      <c r="L782" s="9"/>
    </row>
    <row r="783" spans="9:12" x14ac:dyDescent="0.2">
      <c r="I783" s="9"/>
      <c r="J783" s="9"/>
      <c r="K783" s="9"/>
      <c r="L783" s="9"/>
    </row>
    <row r="784" spans="9:12" x14ac:dyDescent="0.2">
      <c r="I784" s="9"/>
      <c r="J784" s="9"/>
      <c r="K784" s="9"/>
      <c r="L784" s="9"/>
    </row>
    <row r="785" spans="9:12" x14ac:dyDescent="0.2">
      <c r="I785" s="9"/>
      <c r="J785" s="9"/>
      <c r="K785" s="9"/>
      <c r="L785" s="9"/>
    </row>
    <row r="786" spans="9:12" x14ac:dyDescent="0.2">
      <c r="I786" s="9"/>
      <c r="J786" s="9"/>
      <c r="K786" s="9"/>
      <c r="L786" s="9"/>
    </row>
    <row r="787" spans="9:12" x14ac:dyDescent="0.2">
      <c r="I787" s="9"/>
      <c r="J787" s="9"/>
      <c r="K787" s="9"/>
      <c r="L787" s="9"/>
    </row>
    <row r="788" spans="9:12" x14ac:dyDescent="0.2">
      <c r="I788" s="9"/>
      <c r="J788" s="9"/>
      <c r="K788" s="9"/>
      <c r="L788" s="9"/>
    </row>
    <row r="789" spans="9:12" x14ac:dyDescent="0.2">
      <c r="I789" s="9"/>
      <c r="J789" s="9"/>
      <c r="K789" s="9"/>
      <c r="L789" s="9"/>
    </row>
    <row r="790" spans="9:12" x14ac:dyDescent="0.2">
      <c r="I790" s="9"/>
      <c r="J790" s="9"/>
      <c r="K790" s="9"/>
      <c r="L790" s="9"/>
    </row>
    <row r="791" spans="9:12" x14ac:dyDescent="0.2">
      <c r="I791" s="9"/>
      <c r="J791" s="9"/>
      <c r="K791" s="9"/>
      <c r="L791" s="9"/>
    </row>
    <row r="792" spans="9:12" x14ac:dyDescent="0.2">
      <c r="I792" s="9"/>
      <c r="J792" s="9"/>
      <c r="K792" s="9"/>
      <c r="L792" s="9"/>
    </row>
    <row r="793" spans="9:12" x14ac:dyDescent="0.2">
      <c r="I793" s="9"/>
      <c r="J793" s="9"/>
      <c r="K793" s="9"/>
      <c r="L793" s="9"/>
    </row>
    <row r="794" spans="9:12" x14ac:dyDescent="0.2">
      <c r="I794" s="9"/>
      <c r="J794" s="9"/>
      <c r="K794" s="9"/>
      <c r="L794" s="9"/>
    </row>
    <row r="795" spans="9:12" x14ac:dyDescent="0.2">
      <c r="I795" s="9"/>
      <c r="J795" s="9"/>
      <c r="K795" s="9"/>
      <c r="L795" s="9"/>
    </row>
    <row r="796" spans="9:12" x14ac:dyDescent="0.2">
      <c r="I796" s="9"/>
      <c r="J796" s="9"/>
      <c r="K796" s="9"/>
      <c r="L796" s="9"/>
    </row>
    <row r="797" spans="9:12" x14ac:dyDescent="0.2">
      <c r="I797" s="9"/>
      <c r="J797" s="9"/>
      <c r="K797" s="9"/>
      <c r="L797" s="9"/>
    </row>
    <row r="798" spans="9:12" x14ac:dyDescent="0.2">
      <c r="I798" s="9"/>
      <c r="J798" s="9"/>
      <c r="K798" s="9"/>
      <c r="L798" s="9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CC7EA-BFB1-4040-B836-E54892838A42}">
  <dimension ref="A1:Y798"/>
  <sheetViews>
    <sheetView topLeftCell="F1" zoomScale="70" zoomScaleNormal="70" workbookViewId="0">
      <selection activeCell="P2" sqref="P2:P322"/>
    </sheetView>
  </sheetViews>
  <sheetFormatPr baseColWidth="10" defaultColWidth="13.5" defaultRowHeight="15" x14ac:dyDescent="0.2"/>
  <cols>
    <col min="1" max="2" width="13.5" style="8"/>
    <col min="3" max="3" width="15.83203125" style="8" customWidth="1"/>
    <col min="4" max="4" width="36.6640625" customWidth="1"/>
    <col min="5" max="6" width="36.5" customWidth="1"/>
    <col min="7" max="7" width="36" customWidth="1"/>
    <col min="8" max="8" width="5.33203125" style="8" customWidth="1"/>
    <col min="9" max="10" width="10" style="8" customWidth="1"/>
    <col min="11" max="11" width="15.83203125" style="8" customWidth="1"/>
    <col min="12" max="12" width="20.6640625" style="8" customWidth="1"/>
    <col min="13" max="13" width="14.6640625" style="8" customWidth="1"/>
    <col min="14" max="14" width="13.5" style="8"/>
    <col min="15" max="15" width="11" style="8" customWidth="1"/>
    <col min="16" max="16" width="11.1640625" style="8" customWidth="1"/>
    <col min="17" max="16384" width="13.5" style="8"/>
  </cols>
  <sheetData>
    <row r="1" spans="1:16" s="1" customFormat="1" ht="55.5" customHeight="1" x14ac:dyDescent="0.2">
      <c r="A1" s="1" t="s">
        <v>0</v>
      </c>
      <c r="B1" s="1" t="s">
        <v>1</v>
      </c>
      <c r="C1" s="1" t="s">
        <v>2</v>
      </c>
      <c r="D1" s="2" t="s">
        <v>12</v>
      </c>
      <c r="E1" s="2" t="s">
        <v>13</v>
      </c>
      <c r="F1" s="2" t="s">
        <v>14</v>
      </c>
      <c r="G1" s="2" t="s">
        <v>15</v>
      </c>
      <c r="I1" s="1" t="s">
        <v>16</v>
      </c>
      <c r="J1" s="1" t="s">
        <v>17</v>
      </c>
      <c r="K1" s="1" t="s">
        <v>3</v>
      </c>
      <c r="L1" s="1" t="s">
        <v>18</v>
      </c>
      <c r="M1" s="3" t="s">
        <v>19</v>
      </c>
      <c r="N1" s="3" t="s">
        <v>4</v>
      </c>
      <c r="O1" s="1" t="s">
        <v>5</v>
      </c>
      <c r="P1" s="1" t="s">
        <v>6</v>
      </c>
    </row>
    <row r="2" spans="1:16" x14ac:dyDescent="0.2">
      <c r="A2" s="8">
        <v>0</v>
      </c>
      <c r="B2" s="4">
        <v>0</v>
      </c>
      <c r="C2" s="4" t="s">
        <v>7</v>
      </c>
      <c r="D2">
        <v>1215.3508936971</v>
      </c>
      <c r="E2">
        <v>350.39416745060998</v>
      </c>
      <c r="F2">
        <v>149.21596244131999</v>
      </c>
      <c r="G2">
        <v>121.15399061033</v>
      </c>
      <c r="H2" s="4"/>
      <c r="I2" s="5">
        <f>E2-G2</f>
        <v>229.24017684027999</v>
      </c>
      <c r="J2" s="5">
        <f>D2-F2</f>
        <v>1066.13493125578</v>
      </c>
      <c r="K2" s="9">
        <f>I2*1</f>
        <v>229.24017684027999</v>
      </c>
      <c r="L2" s="6">
        <f t="shared" ref="L2:L65" si="0">K2/J2</f>
        <v>0.21501985360357939</v>
      </c>
      <c r="M2" s="6">
        <f>L2+ABS($N$2)*A2</f>
        <v>0.21501985360357939</v>
      </c>
      <c r="N2" s="4">
        <f>LINEST(V64:V103,U64:U103)</f>
        <v>1.353240103455111E-4</v>
      </c>
      <c r="O2" s="7">
        <f>AVERAGE(M62:M81)</f>
        <v>0.26098509504198547</v>
      </c>
      <c r="P2" s="4">
        <f>(M2-$O$2)/$O$2*100</f>
        <v>-17.612209398782529</v>
      </c>
    </row>
    <row r="3" spans="1:16" x14ac:dyDescent="0.2">
      <c r="A3" s="8">
        <v>0.5</v>
      </c>
      <c r="B3" s="8">
        <v>1</v>
      </c>
      <c r="D3">
        <v>1193.8193791157</v>
      </c>
      <c r="E3">
        <v>344.12135465662999</v>
      </c>
      <c r="F3">
        <v>148.63380281689999</v>
      </c>
      <c r="G3">
        <v>121.04694835681001</v>
      </c>
      <c r="I3" s="9">
        <f t="shared" ref="I3:I66" si="1">E3-G3</f>
        <v>223.07440629982</v>
      </c>
      <c r="J3" s="9">
        <f t="shared" ref="J3:J66" si="2">D3-F3</f>
        <v>1045.1855762988</v>
      </c>
      <c r="K3" s="9">
        <f t="shared" ref="K3:K66" si="3">I3*1</f>
        <v>223.07440629982</v>
      </c>
      <c r="L3" s="10">
        <f t="shared" si="0"/>
        <v>0.21343042934994252</v>
      </c>
      <c r="M3" s="10">
        <f t="shared" ref="M3:M66" si="4">L3+ABS($N$2)*A3</f>
        <v>0.21349809135511527</v>
      </c>
      <c r="P3" s="8">
        <f t="shared" ref="P3:P66" si="5">(M3-$O$2)/$O$2*100</f>
        <v>-18.195293366937609</v>
      </c>
    </row>
    <row r="4" spans="1:16" ht="16" x14ac:dyDescent="0.2">
      <c r="A4" s="8">
        <v>1</v>
      </c>
      <c r="B4" s="8">
        <v>2</v>
      </c>
      <c r="D4">
        <v>1210.3791157103001</v>
      </c>
      <c r="E4">
        <v>350.18908748823998</v>
      </c>
      <c r="F4">
        <v>148.49389671361999</v>
      </c>
      <c r="G4">
        <v>120.95399061033</v>
      </c>
      <c r="I4" s="9">
        <f t="shared" si="1"/>
        <v>229.23509687791</v>
      </c>
      <c r="J4" s="9">
        <f t="shared" si="2"/>
        <v>1061.8852189966801</v>
      </c>
      <c r="K4" s="9">
        <f t="shared" si="3"/>
        <v>229.23509687791</v>
      </c>
      <c r="L4" s="10">
        <f t="shared" si="0"/>
        <v>0.21587558878962668</v>
      </c>
      <c r="M4" s="10">
        <f t="shared" si="4"/>
        <v>0.2160109127999722</v>
      </c>
      <c r="N4" s="1" t="s">
        <v>8</v>
      </c>
      <c r="P4" s="8">
        <f t="shared" si="5"/>
        <v>-17.232471545847527</v>
      </c>
    </row>
    <row r="5" spans="1:16" x14ac:dyDescent="0.2">
      <c r="A5" s="8">
        <v>1.5</v>
      </c>
      <c r="B5" s="8">
        <v>3</v>
      </c>
      <c r="D5">
        <v>1180.4214487300001</v>
      </c>
      <c r="E5">
        <v>363.18438381938</v>
      </c>
      <c r="F5">
        <v>148.73990610329</v>
      </c>
      <c r="G5">
        <v>121.00375586855</v>
      </c>
      <c r="I5" s="9">
        <f t="shared" si="1"/>
        <v>242.18062795083</v>
      </c>
      <c r="J5" s="9">
        <f t="shared" si="2"/>
        <v>1031.6815426267101</v>
      </c>
      <c r="K5" s="9">
        <f t="shared" si="3"/>
        <v>242.18062795083</v>
      </c>
      <c r="L5" s="10">
        <f t="shared" si="0"/>
        <v>0.2347435889317421</v>
      </c>
      <c r="M5" s="10">
        <f t="shared" si="4"/>
        <v>0.23494657494726037</v>
      </c>
      <c r="N5" s="8">
        <f>RSQ(V64:V83,U64:U83)</f>
        <v>0.66142347297715975</v>
      </c>
      <c r="P5" s="8">
        <f t="shared" si="5"/>
        <v>-9.9770142392753129</v>
      </c>
    </row>
    <row r="6" spans="1:16" x14ac:dyDescent="0.2">
      <c r="A6" s="8">
        <v>2</v>
      </c>
      <c r="B6" s="8">
        <v>4</v>
      </c>
      <c r="D6">
        <v>1255.2322946176</v>
      </c>
      <c r="E6">
        <v>392.19452313503001</v>
      </c>
      <c r="F6">
        <v>148.96619718310001</v>
      </c>
      <c r="G6">
        <v>121.31079812207</v>
      </c>
      <c r="I6" s="9">
        <f t="shared" si="1"/>
        <v>270.88372501295999</v>
      </c>
      <c r="J6" s="9">
        <f t="shared" si="2"/>
        <v>1106.2660974344999</v>
      </c>
      <c r="K6" s="9">
        <f t="shared" si="3"/>
        <v>270.88372501295999</v>
      </c>
      <c r="L6" s="10">
        <f t="shared" si="0"/>
        <v>0.24486308099032977</v>
      </c>
      <c r="M6" s="10">
        <f t="shared" si="4"/>
        <v>0.24513372901102079</v>
      </c>
      <c r="P6" s="8">
        <f t="shared" si="5"/>
        <v>-6.0736671680099681</v>
      </c>
    </row>
    <row r="7" spans="1:16" x14ac:dyDescent="0.2">
      <c r="A7" s="8">
        <v>2.5</v>
      </c>
      <c r="B7" s="8">
        <v>5</v>
      </c>
      <c r="D7">
        <v>1255.4878504672999</v>
      </c>
      <c r="E7">
        <v>411.00093457944001</v>
      </c>
      <c r="F7">
        <v>148.26103286385001</v>
      </c>
      <c r="G7">
        <v>121.54366197183001</v>
      </c>
      <c r="I7" s="9">
        <f t="shared" si="1"/>
        <v>289.45727260760998</v>
      </c>
      <c r="J7" s="9">
        <f t="shared" si="2"/>
        <v>1107.2268176034499</v>
      </c>
      <c r="K7" s="9">
        <f t="shared" si="3"/>
        <v>289.45727260760998</v>
      </c>
      <c r="L7" s="10">
        <f t="shared" si="0"/>
        <v>0.26142545321845545</v>
      </c>
      <c r="M7" s="10">
        <f t="shared" si="4"/>
        <v>0.26176376324431921</v>
      </c>
      <c r="P7" s="8">
        <f t="shared" si="5"/>
        <v>0.29835734573596107</v>
      </c>
    </row>
    <row r="8" spans="1:16" x14ac:dyDescent="0.2">
      <c r="A8" s="8">
        <v>3</v>
      </c>
      <c r="B8" s="8">
        <v>6</v>
      </c>
      <c r="D8">
        <v>1252.6295603368001</v>
      </c>
      <c r="E8">
        <v>431.15996258184998</v>
      </c>
      <c r="F8">
        <v>148.90610328638999</v>
      </c>
      <c r="G8">
        <v>120.83568075117</v>
      </c>
      <c r="I8" s="9">
        <f t="shared" si="1"/>
        <v>310.32428183067998</v>
      </c>
      <c r="J8" s="9">
        <f t="shared" si="2"/>
        <v>1103.7234570504102</v>
      </c>
      <c r="K8" s="9">
        <f t="shared" si="3"/>
        <v>310.32428183067998</v>
      </c>
      <c r="L8" s="10">
        <f t="shared" si="0"/>
        <v>0.28116126358317178</v>
      </c>
      <c r="M8" s="10">
        <f t="shared" si="4"/>
        <v>0.28156723561420832</v>
      </c>
      <c r="P8" s="8">
        <f t="shared" si="5"/>
        <v>7.8863279793475334</v>
      </c>
    </row>
    <row r="9" spans="1:16" x14ac:dyDescent="0.2">
      <c r="A9" s="8">
        <v>3.5</v>
      </c>
      <c r="B9" s="8">
        <v>7</v>
      </c>
      <c r="D9">
        <v>1081.5154349859999</v>
      </c>
      <c r="E9">
        <v>402.77736202057997</v>
      </c>
      <c r="F9">
        <v>149.83098591549</v>
      </c>
      <c r="G9">
        <v>121.05821596244</v>
      </c>
      <c r="I9" s="9">
        <f t="shared" si="1"/>
        <v>281.71914605813998</v>
      </c>
      <c r="J9" s="9">
        <f t="shared" si="2"/>
        <v>931.68444907050991</v>
      </c>
      <c r="K9" s="9">
        <f t="shared" si="3"/>
        <v>281.71914605813998</v>
      </c>
      <c r="L9" s="10">
        <f t="shared" si="0"/>
        <v>0.30237613855119683</v>
      </c>
      <c r="M9" s="10">
        <f t="shared" si="4"/>
        <v>0.30284977258740614</v>
      </c>
      <c r="P9" s="8">
        <f t="shared" si="5"/>
        <v>16.041022395813741</v>
      </c>
    </row>
    <row r="10" spans="1:16" x14ac:dyDescent="0.2">
      <c r="A10" s="8">
        <v>4</v>
      </c>
      <c r="B10" s="8">
        <v>8</v>
      </c>
      <c r="D10">
        <v>1142.8540692235999</v>
      </c>
      <c r="E10">
        <v>425.01683816651001</v>
      </c>
      <c r="F10">
        <v>148.82535211268001</v>
      </c>
      <c r="G10">
        <v>121.5661971831</v>
      </c>
      <c r="I10" s="9">
        <f t="shared" si="1"/>
        <v>303.45064098341004</v>
      </c>
      <c r="J10" s="9">
        <f t="shared" si="2"/>
        <v>994.02871711091996</v>
      </c>
      <c r="K10" s="9">
        <f t="shared" si="3"/>
        <v>303.45064098341004</v>
      </c>
      <c r="L10" s="10">
        <f t="shared" si="0"/>
        <v>0.30527351550302256</v>
      </c>
      <c r="M10" s="10">
        <f t="shared" si="4"/>
        <v>0.3058148115444046</v>
      </c>
      <c r="P10" s="8">
        <f t="shared" si="5"/>
        <v>17.177117526656925</v>
      </c>
    </row>
    <row r="11" spans="1:16" x14ac:dyDescent="0.2">
      <c r="A11" s="8">
        <v>4.5</v>
      </c>
      <c r="B11" s="8">
        <v>9</v>
      </c>
      <c r="D11">
        <v>1038.7726847521001</v>
      </c>
      <c r="E11">
        <v>397.94667913938002</v>
      </c>
      <c r="F11">
        <v>149.11830985916001</v>
      </c>
      <c r="G11">
        <v>121.39248826291001</v>
      </c>
      <c r="I11" s="9">
        <f t="shared" si="1"/>
        <v>276.55419087646999</v>
      </c>
      <c r="J11" s="9">
        <f t="shared" si="2"/>
        <v>889.65437489294004</v>
      </c>
      <c r="K11" s="9">
        <f t="shared" si="3"/>
        <v>276.55419087646999</v>
      </c>
      <c r="L11" s="10">
        <f t="shared" si="0"/>
        <v>0.31085576453187247</v>
      </c>
      <c r="M11" s="10">
        <f t="shared" si="4"/>
        <v>0.31146472257842728</v>
      </c>
      <c r="P11" s="8">
        <f t="shared" si="5"/>
        <v>19.341958025733614</v>
      </c>
    </row>
    <row r="12" spans="1:16" x14ac:dyDescent="0.2">
      <c r="A12" s="8">
        <v>5</v>
      </c>
      <c r="B12" s="8">
        <v>10</v>
      </c>
      <c r="D12">
        <v>1150.3900841908001</v>
      </c>
      <c r="E12">
        <v>430.18615528531001</v>
      </c>
      <c r="F12">
        <v>149.16901408451</v>
      </c>
      <c r="G12">
        <v>121.29201877934</v>
      </c>
      <c r="I12" s="9">
        <f t="shared" si="1"/>
        <v>308.89413650596998</v>
      </c>
      <c r="J12" s="9">
        <f t="shared" si="2"/>
        <v>1001.2210701062901</v>
      </c>
      <c r="K12" s="9">
        <f t="shared" si="3"/>
        <v>308.89413650596998</v>
      </c>
      <c r="L12" s="10">
        <f t="shared" si="0"/>
        <v>0.30851741511310549</v>
      </c>
      <c r="M12" s="10">
        <f t="shared" si="4"/>
        <v>0.30919403516483301</v>
      </c>
      <c r="P12" s="8">
        <f t="shared" si="5"/>
        <v>18.471913162355889</v>
      </c>
    </row>
    <row r="13" spans="1:16" x14ac:dyDescent="0.2">
      <c r="A13" s="8">
        <v>5.5</v>
      </c>
      <c r="B13" s="8">
        <v>11</v>
      </c>
      <c r="D13">
        <v>1263.4041159963001</v>
      </c>
      <c r="E13">
        <v>462.61085126286002</v>
      </c>
      <c r="F13">
        <v>149.50328638497999</v>
      </c>
      <c r="G13">
        <v>121.70328638498</v>
      </c>
      <c r="I13" s="9">
        <f t="shared" si="1"/>
        <v>340.90756487788002</v>
      </c>
      <c r="J13" s="9">
        <f t="shared" si="2"/>
        <v>1113.9008296113202</v>
      </c>
      <c r="K13" s="9">
        <f t="shared" si="3"/>
        <v>340.90756487788002</v>
      </c>
      <c r="L13" s="10">
        <f t="shared" si="0"/>
        <v>0.30604839839901621</v>
      </c>
      <c r="M13" s="10">
        <f t="shared" si="4"/>
        <v>0.30679268045591651</v>
      </c>
      <c r="P13" s="8">
        <f t="shared" si="5"/>
        <v>17.551801341973892</v>
      </c>
    </row>
    <row r="14" spans="1:16" x14ac:dyDescent="0.2">
      <c r="A14" s="8">
        <v>6</v>
      </c>
      <c r="B14" s="8">
        <v>12</v>
      </c>
      <c r="D14">
        <v>1282.4664778092999</v>
      </c>
      <c r="E14">
        <v>463.27856468366002</v>
      </c>
      <c r="F14">
        <v>149.43943661972</v>
      </c>
      <c r="G14">
        <v>121.1558685446</v>
      </c>
      <c r="I14" s="9">
        <f t="shared" si="1"/>
        <v>342.12269613906005</v>
      </c>
      <c r="J14" s="9">
        <f t="shared" si="2"/>
        <v>1133.0270411895799</v>
      </c>
      <c r="K14" s="9">
        <f t="shared" si="3"/>
        <v>342.12269613906005</v>
      </c>
      <c r="L14" s="10">
        <f t="shared" si="0"/>
        <v>0.30195457275217452</v>
      </c>
      <c r="M14" s="10">
        <f t="shared" si="4"/>
        <v>0.3027665168142476</v>
      </c>
      <c r="P14" s="8">
        <f t="shared" si="5"/>
        <v>16.009121810400945</v>
      </c>
    </row>
    <row r="15" spans="1:16" x14ac:dyDescent="0.2">
      <c r="A15" s="8">
        <v>6.5</v>
      </c>
      <c r="B15" s="8">
        <v>13</v>
      </c>
      <c r="D15">
        <v>1384.4390934844</v>
      </c>
      <c r="E15">
        <v>492.58734655335002</v>
      </c>
      <c r="F15">
        <v>149.86572769953</v>
      </c>
      <c r="G15">
        <v>121.57089201878</v>
      </c>
      <c r="I15" s="9">
        <f t="shared" si="1"/>
        <v>371.01645453457002</v>
      </c>
      <c r="J15" s="9">
        <f t="shared" si="2"/>
        <v>1234.57336578487</v>
      </c>
      <c r="K15" s="9">
        <f t="shared" si="3"/>
        <v>371.01645453457002</v>
      </c>
      <c r="L15" s="10">
        <f t="shared" si="0"/>
        <v>0.3005219979767661</v>
      </c>
      <c r="M15" s="10">
        <f t="shared" si="4"/>
        <v>0.30140160404401189</v>
      </c>
      <c r="P15" s="8">
        <f t="shared" si="5"/>
        <v>15.486136859855732</v>
      </c>
    </row>
    <row r="16" spans="1:16" x14ac:dyDescent="0.2">
      <c r="A16" s="8">
        <v>7</v>
      </c>
      <c r="B16" s="8">
        <v>14</v>
      </c>
      <c r="D16">
        <v>1422.6666666666999</v>
      </c>
      <c r="E16">
        <v>495.95750708215002</v>
      </c>
      <c r="F16">
        <v>150.49107981220999</v>
      </c>
      <c r="G16">
        <v>121.39906103286</v>
      </c>
      <c r="I16" s="9">
        <f t="shared" si="1"/>
        <v>374.55844604929001</v>
      </c>
      <c r="J16" s="9">
        <f t="shared" si="2"/>
        <v>1272.1755868544899</v>
      </c>
      <c r="K16" s="9">
        <f t="shared" si="3"/>
        <v>374.55844604929001</v>
      </c>
      <c r="L16" s="10">
        <f t="shared" si="0"/>
        <v>0.29442354492543144</v>
      </c>
      <c r="M16" s="10">
        <f t="shared" si="4"/>
        <v>0.29537081299785001</v>
      </c>
      <c r="P16" s="8">
        <f t="shared" si="5"/>
        <v>13.175356987468115</v>
      </c>
    </row>
    <row r="17" spans="1:16" x14ac:dyDescent="0.2">
      <c r="A17" s="8">
        <v>7.5</v>
      </c>
      <c r="B17" s="8">
        <v>15</v>
      </c>
      <c r="D17">
        <v>1204.4193849021001</v>
      </c>
      <c r="E17">
        <v>442.04287045666001</v>
      </c>
      <c r="F17">
        <v>149.80281690141001</v>
      </c>
      <c r="G17">
        <v>121.69953051643</v>
      </c>
      <c r="I17" s="9">
        <f t="shared" si="1"/>
        <v>320.34333994023001</v>
      </c>
      <c r="J17" s="9">
        <f t="shared" si="2"/>
        <v>1054.61656800069</v>
      </c>
      <c r="K17" s="9">
        <f t="shared" si="3"/>
        <v>320.34333994023001</v>
      </c>
      <c r="L17" s="10">
        <f t="shared" si="0"/>
        <v>0.30375337317858297</v>
      </c>
      <c r="M17" s="10">
        <f t="shared" si="4"/>
        <v>0.30476830325617432</v>
      </c>
      <c r="P17" s="8">
        <f t="shared" si="5"/>
        <v>16.776133597646758</v>
      </c>
    </row>
    <row r="18" spans="1:16" x14ac:dyDescent="0.2">
      <c r="A18" s="8">
        <v>8</v>
      </c>
      <c r="B18" s="8">
        <v>16</v>
      </c>
      <c r="D18">
        <v>1255.5507921715</v>
      </c>
      <c r="E18">
        <v>457.50698974837002</v>
      </c>
      <c r="F18">
        <v>149.97558685446</v>
      </c>
      <c r="G18">
        <v>121.51079812207</v>
      </c>
      <c r="I18" s="9">
        <f t="shared" si="1"/>
        <v>335.9961916263</v>
      </c>
      <c r="J18" s="9">
        <f t="shared" si="2"/>
        <v>1105.5752053170399</v>
      </c>
      <c r="K18" s="9">
        <f t="shared" si="3"/>
        <v>335.9961916263</v>
      </c>
      <c r="L18" s="10">
        <f t="shared" si="0"/>
        <v>0.30391075162539316</v>
      </c>
      <c r="M18" s="10">
        <f t="shared" si="4"/>
        <v>0.30499334370815723</v>
      </c>
      <c r="P18" s="8">
        <f t="shared" si="5"/>
        <v>16.862360917236295</v>
      </c>
    </row>
    <row r="19" spans="1:16" x14ac:dyDescent="0.2">
      <c r="A19" s="8">
        <v>8.5</v>
      </c>
      <c r="B19" s="8">
        <v>17</v>
      </c>
      <c r="D19">
        <v>1248.9403541473</v>
      </c>
      <c r="E19">
        <v>456.82292637465002</v>
      </c>
      <c r="F19">
        <v>150.34178403755999</v>
      </c>
      <c r="G19">
        <v>121.48732394366</v>
      </c>
      <c r="I19" s="9">
        <f t="shared" si="1"/>
        <v>335.33560243099004</v>
      </c>
      <c r="J19" s="9">
        <f t="shared" si="2"/>
        <v>1098.59857010974</v>
      </c>
      <c r="K19" s="9">
        <f t="shared" si="3"/>
        <v>335.33560243099004</v>
      </c>
      <c r="L19" s="10">
        <f t="shared" si="0"/>
        <v>0.30523943099388257</v>
      </c>
      <c r="M19" s="10">
        <f t="shared" si="4"/>
        <v>0.30638968508181941</v>
      </c>
      <c r="P19" s="8">
        <f t="shared" si="5"/>
        <v>17.397388165990691</v>
      </c>
    </row>
    <row r="20" spans="1:16" x14ac:dyDescent="0.2">
      <c r="A20" s="8">
        <v>9</v>
      </c>
      <c r="B20" s="8">
        <v>18</v>
      </c>
      <c r="D20">
        <v>1307.1301115241999</v>
      </c>
      <c r="E20">
        <v>472.73234200744002</v>
      </c>
      <c r="F20">
        <v>149.48732394365999</v>
      </c>
      <c r="G20">
        <v>121.88169014085</v>
      </c>
      <c r="I20" s="9">
        <f t="shared" si="1"/>
        <v>350.85065186659006</v>
      </c>
      <c r="J20" s="9">
        <f t="shared" si="2"/>
        <v>1157.64278758054</v>
      </c>
      <c r="K20" s="9">
        <f t="shared" si="3"/>
        <v>350.85065186659006</v>
      </c>
      <c r="L20" s="10">
        <f t="shared" si="0"/>
        <v>0.30307332765391631</v>
      </c>
      <c r="M20" s="10">
        <f t="shared" si="4"/>
        <v>0.30429124374702593</v>
      </c>
      <c r="P20" s="8">
        <f t="shared" si="5"/>
        <v>16.593341737800646</v>
      </c>
    </row>
    <row r="21" spans="1:16" x14ac:dyDescent="0.2">
      <c r="A21" s="8">
        <v>9.5</v>
      </c>
      <c r="B21" s="8">
        <v>19</v>
      </c>
      <c r="D21">
        <v>1301.0473977695001</v>
      </c>
      <c r="E21">
        <v>475.36431226766001</v>
      </c>
      <c r="F21">
        <v>149.65352112676001</v>
      </c>
      <c r="G21">
        <v>121.41220657277</v>
      </c>
      <c r="I21" s="9">
        <f t="shared" si="1"/>
        <v>353.95210569489001</v>
      </c>
      <c r="J21" s="9">
        <f t="shared" si="2"/>
        <v>1151.39387664274</v>
      </c>
      <c r="K21" s="9">
        <f t="shared" si="3"/>
        <v>353.95210569489001</v>
      </c>
      <c r="L21" s="10">
        <f t="shared" si="0"/>
        <v>0.30741183610160538</v>
      </c>
      <c r="M21" s="10">
        <f t="shared" si="4"/>
        <v>0.30869741419988772</v>
      </c>
      <c r="P21" s="8">
        <f t="shared" si="5"/>
        <v>18.281626063828135</v>
      </c>
    </row>
    <row r="22" spans="1:16" x14ac:dyDescent="0.2">
      <c r="A22" s="8">
        <v>10</v>
      </c>
      <c r="B22" s="8">
        <v>20</v>
      </c>
      <c r="D22">
        <v>1301.8104089219</v>
      </c>
      <c r="E22">
        <v>475.32992565056003</v>
      </c>
      <c r="F22">
        <v>150.37089201878001</v>
      </c>
      <c r="G22">
        <v>121.31267605634</v>
      </c>
      <c r="I22" s="9">
        <f t="shared" si="1"/>
        <v>354.01724959422006</v>
      </c>
      <c r="J22" s="9">
        <f t="shared" si="2"/>
        <v>1151.43951690312</v>
      </c>
      <c r="K22" s="9">
        <f t="shared" si="3"/>
        <v>354.01724959422006</v>
      </c>
      <c r="L22" s="10">
        <f t="shared" si="0"/>
        <v>0.30745622709421605</v>
      </c>
      <c r="M22" s="10">
        <f t="shared" si="4"/>
        <v>0.30880946719767116</v>
      </c>
      <c r="P22" s="8">
        <f t="shared" si="5"/>
        <v>18.324560698760227</v>
      </c>
    </row>
    <row r="23" spans="1:16" x14ac:dyDescent="0.2">
      <c r="A23" s="8">
        <v>10.5</v>
      </c>
      <c r="B23" s="8">
        <v>21</v>
      </c>
      <c r="D23">
        <v>1266.2527881041001</v>
      </c>
      <c r="E23">
        <v>466.59014869889</v>
      </c>
      <c r="F23">
        <v>150.21877934272001</v>
      </c>
      <c r="G23">
        <v>121.65633802817</v>
      </c>
      <c r="I23" s="9">
        <f t="shared" si="1"/>
        <v>344.93381067071999</v>
      </c>
      <c r="J23" s="9">
        <f t="shared" si="2"/>
        <v>1116.0340087613802</v>
      </c>
      <c r="K23" s="9">
        <f t="shared" si="3"/>
        <v>344.93381067071999</v>
      </c>
      <c r="L23" s="10">
        <f t="shared" si="0"/>
        <v>0.30907105694166215</v>
      </c>
      <c r="M23" s="10">
        <f t="shared" si="4"/>
        <v>0.31049195905029003</v>
      </c>
      <c r="P23" s="8">
        <f t="shared" si="5"/>
        <v>18.969230407713606</v>
      </c>
    </row>
    <row r="24" spans="1:16" x14ac:dyDescent="0.2">
      <c r="A24" s="8">
        <v>11</v>
      </c>
      <c r="B24" s="8">
        <v>22</v>
      </c>
      <c r="D24">
        <v>1251.4479553903</v>
      </c>
      <c r="E24">
        <v>456.61245353160001</v>
      </c>
      <c r="F24">
        <v>150.38497652582001</v>
      </c>
      <c r="G24">
        <v>121.45258215961999</v>
      </c>
      <c r="I24" s="9">
        <f t="shared" si="1"/>
        <v>335.15987137197999</v>
      </c>
      <c r="J24" s="9">
        <f t="shared" si="2"/>
        <v>1101.0629788644799</v>
      </c>
      <c r="K24" s="9">
        <f t="shared" si="3"/>
        <v>335.15987137197999</v>
      </c>
      <c r="L24" s="10">
        <f t="shared" si="0"/>
        <v>0.3043966401609729</v>
      </c>
      <c r="M24" s="10">
        <f t="shared" si="4"/>
        <v>0.3058852042747735</v>
      </c>
      <c r="P24" s="8">
        <f t="shared" si="5"/>
        <v>17.204089461723786</v>
      </c>
    </row>
    <row r="25" spans="1:16" x14ac:dyDescent="0.2">
      <c r="A25" s="8">
        <v>11.5</v>
      </c>
      <c r="B25" s="8">
        <v>23</v>
      </c>
      <c r="D25">
        <v>1274.9795539034001</v>
      </c>
      <c r="E25">
        <v>463.64126394051999</v>
      </c>
      <c r="F25">
        <v>150.25070422535001</v>
      </c>
      <c r="G25">
        <v>121.84131455399</v>
      </c>
      <c r="I25" s="9">
        <f t="shared" si="1"/>
        <v>341.79994938652999</v>
      </c>
      <c r="J25" s="9">
        <f t="shared" si="2"/>
        <v>1124.72884967805</v>
      </c>
      <c r="K25" s="9">
        <f t="shared" si="3"/>
        <v>341.79994938652999</v>
      </c>
      <c r="L25" s="10">
        <f t="shared" si="0"/>
        <v>0.30389542286958243</v>
      </c>
      <c r="M25" s="10">
        <f t="shared" si="4"/>
        <v>0.30545164898855581</v>
      </c>
      <c r="P25" s="8">
        <f t="shared" si="5"/>
        <v>17.037966838457528</v>
      </c>
    </row>
    <row r="26" spans="1:16" x14ac:dyDescent="0.2">
      <c r="A26" s="8">
        <v>12</v>
      </c>
      <c r="B26" s="8">
        <v>24</v>
      </c>
      <c r="D26">
        <v>1371.8531598513</v>
      </c>
      <c r="E26">
        <v>479.21747211896002</v>
      </c>
      <c r="F26">
        <v>150.16901408451</v>
      </c>
      <c r="G26">
        <v>121.58873239437</v>
      </c>
      <c r="I26" s="9">
        <f t="shared" si="1"/>
        <v>357.62873972458999</v>
      </c>
      <c r="J26" s="9">
        <f t="shared" si="2"/>
        <v>1221.6841457667899</v>
      </c>
      <c r="K26" s="9">
        <f t="shared" si="3"/>
        <v>357.62873972458999</v>
      </c>
      <c r="L26" s="10">
        <f t="shared" si="0"/>
        <v>0.2927342070892836</v>
      </c>
      <c r="M26" s="10">
        <f t="shared" si="4"/>
        <v>0.29435809521342976</v>
      </c>
      <c r="P26" s="8">
        <f t="shared" si="5"/>
        <v>12.787320351024443</v>
      </c>
    </row>
    <row r="27" spans="1:16" x14ac:dyDescent="0.2">
      <c r="A27" s="8">
        <v>12.5</v>
      </c>
      <c r="B27" s="8">
        <v>25</v>
      </c>
      <c r="D27">
        <v>1305.6394052045</v>
      </c>
      <c r="E27">
        <v>455.28996282527999</v>
      </c>
      <c r="F27">
        <v>149.34460093896999</v>
      </c>
      <c r="G27">
        <v>121.27605633803</v>
      </c>
      <c r="I27" s="9">
        <f t="shared" si="1"/>
        <v>334.01390648724998</v>
      </c>
      <c r="J27" s="9">
        <f t="shared" si="2"/>
        <v>1156.29480426553</v>
      </c>
      <c r="K27" s="9">
        <f t="shared" si="3"/>
        <v>334.01390648724998</v>
      </c>
      <c r="L27" s="10">
        <f t="shared" si="0"/>
        <v>0.28886569865667877</v>
      </c>
      <c r="M27" s="10">
        <f t="shared" si="4"/>
        <v>0.29055724878599765</v>
      </c>
      <c r="P27" s="8">
        <f t="shared" si="5"/>
        <v>11.330974184274705</v>
      </c>
    </row>
    <row r="28" spans="1:16" x14ac:dyDescent="0.2">
      <c r="A28" s="8">
        <v>13</v>
      </c>
      <c r="B28" s="8">
        <v>26</v>
      </c>
      <c r="D28">
        <v>1140.5917215428001</v>
      </c>
      <c r="E28">
        <v>422.32831608654999</v>
      </c>
      <c r="F28">
        <v>149.11737089202001</v>
      </c>
      <c r="G28">
        <v>121.01502347418</v>
      </c>
      <c r="I28" s="9">
        <f t="shared" si="1"/>
        <v>301.31329261236999</v>
      </c>
      <c r="J28" s="9">
        <f t="shared" si="2"/>
        <v>991.47435065078002</v>
      </c>
      <c r="K28" s="9">
        <f t="shared" si="3"/>
        <v>301.31329261236999</v>
      </c>
      <c r="L28" s="10">
        <f t="shared" si="0"/>
        <v>0.3039042738872621</v>
      </c>
      <c r="M28" s="10">
        <f t="shared" si="4"/>
        <v>0.30566348602175375</v>
      </c>
      <c r="P28" s="8">
        <f t="shared" si="5"/>
        <v>17.119135087994479</v>
      </c>
    </row>
    <row r="29" spans="1:16" x14ac:dyDescent="0.2">
      <c r="A29" s="8">
        <v>13.5</v>
      </c>
      <c r="B29" s="8">
        <v>27</v>
      </c>
      <c r="D29">
        <v>1306.2052238806</v>
      </c>
      <c r="E29">
        <v>463.74347014925002</v>
      </c>
      <c r="F29">
        <v>150.10985915493001</v>
      </c>
      <c r="G29">
        <v>121.8676056338</v>
      </c>
      <c r="I29" s="9">
        <f t="shared" si="1"/>
        <v>341.87586451545002</v>
      </c>
      <c r="J29" s="9">
        <f t="shared" si="2"/>
        <v>1156.0953647256699</v>
      </c>
      <c r="K29" s="9">
        <f t="shared" si="3"/>
        <v>341.87586451545002</v>
      </c>
      <c r="L29" s="10">
        <f t="shared" si="0"/>
        <v>0.29571597200943178</v>
      </c>
      <c r="M29" s="10">
        <f t="shared" si="4"/>
        <v>0.29754284614909621</v>
      </c>
      <c r="P29" s="8">
        <f t="shared" si="5"/>
        <v>14.007601124205801</v>
      </c>
    </row>
    <row r="30" spans="1:16" x14ac:dyDescent="0.2">
      <c r="A30" s="8">
        <v>14</v>
      </c>
      <c r="B30" s="8">
        <v>28</v>
      </c>
      <c r="D30">
        <v>1299.1156716418</v>
      </c>
      <c r="E30">
        <v>462.49813432835998</v>
      </c>
      <c r="F30">
        <v>149.78309859154999</v>
      </c>
      <c r="G30">
        <v>121.36713615024</v>
      </c>
      <c r="I30" s="9">
        <f t="shared" si="1"/>
        <v>341.13099817811997</v>
      </c>
      <c r="J30" s="9">
        <f t="shared" si="2"/>
        <v>1149.3325730502499</v>
      </c>
      <c r="K30" s="9">
        <f t="shared" si="3"/>
        <v>341.13099817811997</v>
      </c>
      <c r="L30" s="10">
        <f t="shared" si="0"/>
        <v>0.29680790937020229</v>
      </c>
      <c r="M30" s="10">
        <f t="shared" si="4"/>
        <v>0.29870244551503944</v>
      </c>
      <c r="P30" s="8">
        <f t="shared" si="5"/>
        <v>14.451917442636431</v>
      </c>
    </row>
    <row r="31" spans="1:16" x14ac:dyDescent="0.2">
      <c r="A31" s="8">
        <v>14.5</v>
      </c>
      <c r="B31" s="8">
        <v>29</v>
      </c>
      <c r="D31">
        <v>1261.1277985075001</v>
      </c>
      <c r="E31">
        <v>446.17723880596998</v>
      </c>
      <c r="F31">
        <v>150.39530516432001</v>
      </c>
      <c r="G31">
        <v>121.14366197183</v>
      </c>
      <c r="I31" s="9">
        <f t="shared" si="1"/>
        <v>325.03357683413998</v>
      </c>
      <c r="J31" s="9">
        <f t="shared" si="2"/>
        <v>1110.7324933431801</v>
      </c>
      <c r="K31" s="9">
        <f t="shared" si="3"/>
        <v>325.03357683413998</v>
      </c>
      <c r="L31" s="10">
        <f t="shared" si="0"/>
        <v>0.29262993455411157</v>
      </c>
      <c r="M31" s="10">
        <f t="shared" si="4"/>
        <v>0.29459213270412149</v>
      </c>
      <c r="P31" s="8">
        <f t="shared" si="5"/>
        <v>12.876995008749276</v>
      </c>
    </row>
    <row r="32" spans="1:16" x14ac:dyDescent="0.2">
      <c r="A32" s="8">
        <v>15</v>
      </c>
      <c r="B32" s="8">
        <v>30</v>
      </c>
      <c r="D32">
        <v>1175.8730009407</v>
      </c>
      <c r="E32">
        <v>420.35747883349001</v>
      </c>
      <c r="F32">
        <v>149.65070422535001</v>
      </c>
      <c r="G32">
        <v>121.16901408451</v>
      </c>
      <c r="I32" s="9">
        <f t="shared" si="1"/>
        <v>299.18846474897998</v>
      </c>
      <c r="J32" s="9">
        <f t="shared" si="2"/>
        <v>1026.22229671535</v>
      </c>
      <c r="K32" s="9">
        <f t="shared" si="3"/>
        <v>299.18846474897998</v>
      </c>
      <c r="L32" s="10">
        <f t="shared" si="0"/>
        <v>0.29154352395830652</v>
      </c>
      <c r="M32" s="10">
        <f t="shared" si="4"/>
        <v>0.29357338411348921</v>
      </c>
      <c r="P32" s="8">
        <f t="shared" si="5"/>
        <v>12.486647586622203</v>
      </c>
    </row>
    <row r="33" spans="1:16" x14ac:dyDescent="0.2">
      <c r="A33" s="8">
        <v>15.5</v>
      </c>
      <c r="B33" s="8">
        <v>31</v>
      </c>
      <c r="D33">
        <v>1266.3295454546001</v>
      </c>
      <c r="E33">
        <v>443.63920454546002</v>
      </c>
      <c r="F33">
        <v>149.67230046948001</v>
      </c>
      <c r="G33">
        <v>121.71267605634</v>
      </c>
      <c r="I33" s="9">
        <f t="shared" si="1"/>
        <v>321.92652848912002</v>
      </c>
      <c r="J33" s="9">
        <f t="shared" si="2"/>
        <v>1116.6572449851201</v>
      </c>
      <c r="K33" s="9">
        <f t="shared" si="3"/>
        <v>321.92652848912002</v>
      </c>
      <c r="L33" s="10">
        <f t="shared" si="0"/>
        <v>0.28829484601016475</v>
      </c>
      <c r="M33" s="10">
        <f t="shared" si="4"/>
        <v>0.29039236817052017</v>
      </c>
      <c r="P33" s="8">
        <f t="shared" si="5"/>
        <v>11.267797926852435</v>
      </c>
    </row>
    <row r="34" spans="1:16" x14ac:dyDescent="0.2">
      <c r="A34" s="8">
        <v>16</v>
      </c>
      <c r="B34" s="8">
        <v>32</v>
      </c>
      <c r="D34">
        <v>1282.2490530303</v>
      </c>
      <c r="E34">
        <v>448.39204545454999</v>
      </c>
      <c r="F34">
        <v>149.83286384977001</v>
      </c>
      <c r="G34">
        <v>121.58779342723</v>
      </c>
      <c r="I34" s="9">
        <f t="shared" si="1"/>
        <v>326.80425202731999</v>
      </c>
      <c r="J34" s="9">
        <f t="shared" si="2"/>
        <v>1132.41618918053</v>
      </c>
      <c r="K34" s="9">
        <f t="shared" si="3"/>
        <v>326.80425202731999</v>
      </c>
      <c r="L34" s="10">
        <f t="shared" si="0"/>
        <v>0.28859023312251569</v>
      </c>
      <c r="M34" s="10">
        <f t="shared" si="4"/>
        <v>0.29075541728804388</v>
      </c>
      <c r="P34" s="8">
        <f t="shared" si="5"/>
        <v>11.406905149609853</v>
      </c>
    </row>
    <row r="35" spans="1:16" x14ac:dyDescent="0.2">
      <c r="A35" s="8">
        <v>16.5</v>
      </c>
      <c r="B35" s="8">
        <v>33</v>
      </c>
      <c r="D35">
        <v>1275.1638257576001</v>
      </c>
      <c r="E35">
        <v>445.47348484848999</v>
      </c>
      <c r="F35">
        <v>149.91455399060999</v>
      </c>
      <c r="G35">
        <v>121.32018779342999</v>
      </c>
      <c r="I35" s="9">
        <f t="shared" si="1"/>
        <v>324.15329705505997</v>
      </c>
      <c r="J35" s="9">
        <f t="shared" si="2"/>
        <v>1125.2492717669902</v>
      </c>
      <c r="K35" s="9">
        <f t="shared" si="3"/>
        <v>324.15329705505997</v>
      </c>
      <c r="L35" s="10">
        <f t="shared" si="0"/>
        <v>0.28807243442694153</v>
      </c>
      <c r="M35" s="10">
        <f t="shared" si="4"/>
        <v>0.29030528059764243</v>
      </c>
      <c r="P35" s="8">
        <f t="shared" si="5"/>
        <v>11.234429135096828</v>
      </c>
    </row>
    <row r="36" spans="1:16" x14ac:dyDescent="0.2">
      <c r="A36" s="8">
        <v>17</v>
      </c>
      <c r="B36" s="8">
        <v>34</v>
      </c>
      <c r="D36">
        <v>1255.2698863636001</v>
      </c>
      <c r="E36">
        <v>432.81912878788</v>
      </c>
      <c r="F36">
        <v>149.54835680751</v>
      </c>
      <c r="G36">
        <v>121.36244131455</v>
      </c>
      <c r="I36" s="9">
        <f t="shared" si="1"/>
        <v>311.45668747333002</v>
      </c>
      <c r="J36" s="9">
        <f t="shared" si="2"/>
        <v>1105.72152955609</v>
      </c>
      <c r="K36" s="9">
        <f t="shared" si="3"/>
        <v>311.45668747333002</v>
      </c>
      <c r="L36" s="10">
        <f t="shared" si="0"/>
        <v>0.2816773293709578</v>
      </c>
      <c r="M36" s="10">
        <f t="shared" si="4"/>
        <v>0.28397783754683148</v>
      </c>
      <c r="P36" s="8">
        <f t="shared" si="5"/>
        <v>8.8099829996602281</v>
      </c>
    </row>
    <row r="37" spans="1:16" x14ac:dyDescent="0.2">
      <c r="A37" s="8">
        <v>17.5</v>
      </c>
      <c r="B37" s="8">
        <v>35</v>
      </c>
      <c r="D37">
        <v>1144.3426183844001</v>
      </c>
      <c r="E37">
        <v>401.55710306407002</v>
      </c>
      <c r="F37">
        <v>149.21220657276999</v>
      </c>
      <c r="G37">
        <v>121.45821596243999</v>
      </c>
      <c r="I37" s="9">
        <f t="shared" si="1"/>
        <v>280.09888710163</v>
      </c>
      <c r="J37" s="9">
        <f t="shared" si="2"/>
        <v>995.1304118116301</v>
      </c>
      <c r="K37" s="9">
        <f t="shared" si="3"/>
        <v>280.09888710163</v>
      </c>
      <c r="L37" s="10">
        <f t="shared" si="0"/>
        <v>0.28146952778953999</v>
      </c>
      <c r="M37" s="10">
        <f t="shared" si="4"/>
        <v>0.28383769797058644</v>
      </c>
      <c r="P37" s="8">
        <f t="shared" si="5"/>
        <v>8.7562866089822506</v>
      </c>
    </row>
    <row r="38" spans="1:16" x14ac:dyDescent="0.2">
      <c r="A38" s="8">
        <v>18</v>
      </c>
      <c r="B38" s="8">
        <v>36</v>
      </c>
      <c r="D38">
        <v>1160.3101207057</v>
      </c>
      <c r="E38">
        <v>405.55617455895998</v>
      </c>
      <c r="F38">
        <v>149.72957746479</v>
      </c>
      <c r="G38">
        <v>121.7014084507</v>
      </c>
      <c r="I38" s="9">
        <f t="shared" si="1"/>
        <v>283.85476610825998</v>
      </c>
      <c r="J38" s="9">
        <f t="shared" si="2"/>
        <v>1010.5805432409099</v>
      </c>
      <c r="K38" s="9">
        <f t="shared" si="3"/>
        <v>283.85476610825998</v>
      </c>
      <c r="L38" s="10">
        <f t="shared" si="0"/>
        <v>0.28088287272773321</v>
      </c>
      <c r="M38" s="10">
        <f t="shared" si="4"/>
        <v>0.28331870491395239</v>
      </c>
      <c r="P38" s="8">
        <f t="shared" si="5"/>
        <v>8.5574273382830697</v>
      </c>
    </row>
    <row r="39" spans="1:16" x14ac:dyDescent="0.2">
      <c r="A39" s="8">
        <v>18.5</v>
      </c>
      <c r="B39" s="8">
        <v>37</v>
      </c>
      <c r="D39">
        <v>1261.8061797753001</v>
      </c>
      <c r="E39">
        <v>433.09925093633001</v>
      </c>
      <c r="F39">
        <v>150.05727699530999</v>
      </c>
      <c r="G39">
        <v>121.65539906103</v>
      </c>
      <c r="I39" s="9">
        <f t="shared" si="1"/>
        <v>311.44385187530003</v>
      </c>
      <c r="J39" s="9">
        <f t="shared" si="2"/>
        <v>1111.74890277999</v>
      </c>
      <c r="K39" s="9">
        <f t="shared" si="3"/>
        <v>311.44385187530003</v>
      </c>
      <c r="L39" s="10">
        <f t="shared" si="0"/>
        <v>0.28013866359257683</v>
      </c>
      <c r="M39" s="10">
        <f t="shared" si="4"/>
        <v>0.28264215778396878</v>
      </c>
      <c r="P39" s="8">
        <f t="shared" si="5"/>
        <v>8.298199074739987</v>
      </c>
    </row>
    <row r="40" spans="1:16" x14ac:dyDescent="0.2">
      <c r="A40" s="8">
        <v>19</v>
      </c>
      <c r="B40" s="8">
        <v>38</v>
      </c>
      <c r="D40">
        <v>1230.0486891385999</v>
      </c>
      <c r="E40">
        <v>425.48595505617999</v>
      </c>
      <c r="F40">
        <v>149.58497652582</v>
      </c>
      <c r="G40">
        <v>121.46854460094001</v>
      </c>
      <c r="I40" s="9">
        <f t="shared" si="1"/>
        <v>304.01741045524</v>
      </c>
      <c r="J40" s="9">
        <f t="shared" si="2"/>
        <v>1080.46371261278</v>
      </c>
      <c r="K40" s="9">
        <f t="shared" si="3"/>
        <v>304.01741045524</v>
      </c>
      <c r="L40" s="10">
        <f t="shared" si="0"/>
        <v>0.28137678934173954</v>
      </c>
      <c r="M40" s="10">
        <f t="shared" si="4"/>
        <v>0.28394794553830427</v>
      </c>
      <c r="P40" s="8">
        <f t="shared" si="5"/>
        <v>8.7985294687517293</v>
      </c>
    </row>
    <row r="41" spans="1:16" x14ac:dyDescent="0.2">
      <c r="A41" s="8">
        <v>19.5</v>
      </c>
      <c r="B41" s="8">
        <v>39</v>
      </c>
      <c r="D41">
        <v>1152.3875823142</v>
      </c>
      <c r="E41">
        <v>400.66603951081999</v>
      </c>
      <c r="F41">
        <v>150.10892018779001</v>
      </c>
      <c r="G41">
        <v>121.49014084507</v>
      </c>
      <c r="I41" s="9">
        <f t="shared" si="1"/>
        <v>279.17589866574997</v>
      </c>
      <c r="J41" s="9">
        <f t="shared" si="2"/>
        <v>1002.27866212641</v>
      </c>
      <c r="K41" s="9">
        <f t="shared" si="3"/>
        <v>279.17589866574997</v>
      </c>
      <c r="L41" s="10">
        <f t="shared" si="0"/>
        <v>0.2785411973886156</v>
      </c>
      <c r="M41" s="10">
        <f t="shared" si="4"/>
        <v>0.28118001559035305</v>
      </c>
      <c r="P41" s="8">
        <f t="shared" si="5"/>
        <v>7.7379593440455903</v>
      </c>
    </row>
    <row r="42" spans="1:16" x14ac:dyDescent="0.2">
      <c r="A42" s="8">
        <v>20</v>
      </c>
      <c r="B42" s="8">
        <v>40</v>
      </c>
      <c r="D42">
        <v>1142.2060206961</v>
      </c>
      <c r="E42">
        <v>395.50893697084001</v>
      </c>
      <c r="F42">
        <v>150.19624413145999</v>
      </c>
      <c r="G42">
        <v>121.56056338028</v>
      </c>
      <c r="I42" s="9">
        <f t="shared" si="1"/>
        <v>273.94837359055998</v>
      </c>
      <c r="J42" s="9">
        <f t="shared" si="2"/>
        <v>992.00977656464011</v>
      </c>
      <c r="K42" s="9">
        <f t="shared" si="3"/>
        <v>273.94837359055998</v>
      </c>
      <c r="L42" s="10">
        <f t="shared" si="0"/>
        <v>0.27615491304859058</v>
      </c>
      <c r="M42" s="10">
        <f t="shared" si="4"/>
        <v>0.2788613932555008</v>
      </c>
      <c r="P42" s="8">
        <f t="shared" si="5"/>
        <v>6.8495475615722476</v>
      </c>
    </row>
    <row r="43" spans="1:16" x14ac:dyDescent="0.2">
      <c r="A43" s="8">
        <v>20.5</v>
      </c>
      <c r="B43" s="8">
        <v>41</v>
      </c>
      <c r="D43">
        <v>1193.6679209783999</v>
      </c>
      <c r="E43">
        <v>408.23236124176998</v>
      </c>
      <c r="F43">
        <v>149.78309859154999</v>
      </c>
      <c r="G43">
        <v>121.77558685446</v>
      </c>
      <c r="I43" s="9">
        <f t="shared" si="1"/>
        <v>286.45677438730996</v>
      </c>
      <c r="J43" s="9">
        <f t="shared" si="2"/>
        <v>1043.8848223868499</v>
      </c>
      <c r="K43" s="9">
        <f t="shared" si="3"/>
        <v>286.45677438730996</v>
      </c>
      <c r="L43" s="10">
        <f t="shared" si="0"/>
        <v>0.27441415781132306</v>
      </c>
      <c r="M43" s="10">
        <f t="shared" si="4"/>
        <v>0.27718830002340605</v>
      </c>
      <c r="P43" s="8">
        <f t="shared" si="5"/>
        <v>6.2084790623058081</v>
      </c>
    </row>
    <row r="44" spans="1:16" x14ac:dyDescent="0.2">
      <c r="A44" s="8">
        <v>21</v>
      </c>
      <c r="B44" s="8">
        <v>42</v>
      </c>
      <c r="D44">
        <v>1169.1138287865001</v>
      </c>
      <c r="E44">
        <v>396.80056444026002</v>
      </c>
      <c r="F44">
        <v>149.63286384976999</v>
      </c>
      <c r="G44">
        <v>121.02910798121999</v>
      </c>
      <c r="I44" s="9">
        <f t="shared" si="1"/>
        <v>275.77145645904</v>
      </c>
      <c r="J44" s="9">
        <f t="shared" si="2"/>
        <v>1019.4809649367301</v>
      </c>
      <c r="K44" s="9">
        <f t="shared" si="3"/>
        <v>275.77145645904</v>
      </c>
      <c r="L44" s="10">
        <f t="shared" si="0"/>
        <v>0.27050181998852191</v>
      </c>
      <c r="M44" s="10">
        <f t="shared" si="4"/>
        <v>0.27334362420577762</v>
      </c>
      <c r="P44" s="8">
        <f t="shared" si="5"/>
        <v>4.735339066701874</v>
      </c>
    </row>
    <row r="45" spans="1:16" x14ac:dyDescent="0.2">
      <c r="A45" s="8">
        <v>21.5</v>
      </c>
      <c r="B45" s="8">
        <v>43</v>
      </c>
      <c r="D45">
        <v>1126.8974600188001</v>
      </c>
      <c r="E45">
        <v>392.85794920038001</v>
      </c>
      <c r="F45">
        <v>149.5455399061</v>
      </c>
      <c r="G45">
        <v>121.19154929578001</v>
      </c>
      <c r="I45" s="9">
        <f t="shared" si="1"/>
        <v>271.66639990459998</v>
      </c>
      <c r="J45" s="9">
        <f t="shared" si="2"/>
        <v>977.3519201127001</v>
      </c>
      <c r="K45" s="9">
        <f t="shared" si="3"/>
        <v>271.66639990459998</v>
      </c>
      <c r="L45" s="10">
        <f t="shared" si="0"/>
        <v>0.27796169866149512</v>
      </c>
      <c r="M45" s="10">
        <f t="shared" si="4"/>
        <v>0.28087116488392361</v>
      </c>
      <c r="P45" s="8">
        <f t="shared" si="5"/>
        <v>7.6196189819725157</v>
      </c>
    </row>
    <row r="46" spans="1:16" x14ac:dyDescent="0.2">
      <c r="A46" s="8">
        <v>22</v>
      </c>
      <c r="B46" s="8">
        <v>44</v>
      </c>
      <c r="D46">
        <v>1149.3468426013001</v>
      </c>
      <c r="E46">
        <v>397.96418473138999</v>
      </c>
      <c r="F46">
        <v>150.21971830986001</v>
      </c>
      <c r="G46">
        <v>121.53239436619999</v>
      </c>
      <c r="I46" s="9">
        <f t="shared" si="1"/>
        <v>276.43179036519001</v>
      </c>
      <c r="J46" s="9">
        <f t="shared" si="2"/>
        <v>999.12712429144005</v>
      </c>
      <c r="K46" s="9">
        <f t="shared" si="3"/>
        <v>276.43179036519001</v>
      </c>
      <c r="L46" s="10">
        <f t="shared" si="0"/>
        <v>0.27667329176077532</v>
      </c>
      <c r="M46" s="10">
        <f t="shared" si="4"/>
        <v>0.27965041998837659</v>
      </c>
      <c r="P46" s="8">
        <f t="shared" si="5"/>
        <v>7.1518739196153591</v>
      </c>
    </row>
    <row r="47" spans="1:16" x14ac:dyDescent="0.2">
      <c r="A47" s="8">
        <v>22.5</v>
      </c>
      <c r="B47" s="8">
        <v>45</v>
      </c>
      <c r="D47">
        <v>1130.8133836003999</v>
      </c>
      <c r="E47">
        <v>393.21583411875997</v>
      </c>
      <c r="F47">
        <v>149.70610328639</v>
      </c>
      <c r="G47">
        <v>121.67323943661999</v>
      </c>
      <c r="I47" s="9">
        <f t="shared" si="1"/>
        <v>271.54259468213996</v>
      </c>
      <c r="J47" s="9">
        <f t="shared" si="2"/>
        <v>981.10728031400993</v>
      </c>
      <c r="K47" s="9">
        <f t="shared" si="3"/>
        <v>271.54259468213996</v>
      </c>
      <c r="L47" s="10">
        <f t="shared" si="0"/>
        <v>0.27677156222429716</v>
      </c>
      <c r="M47" s="10">
        <f t="shared" si="4"/>
        <v>0.27981635245707115</v>
      </c>
      <c r="P47" s="8">
        <f t="shared" si="5"/>
        <v>7.2154532089490537</v>
      </c>
    </row>
    <row r="48" spans="1:16" x14ac:dyDescent="0.2">
      <c r="A48" s="8">
        <v>23</v>
      </c>
      <c r="B48" s="8">
        <v>46</v>
      </c>
      <c r="D48">
        <v>1232.9896324222</v>
      </c>
      <c r="E48">
        <v>413.98303487276002</v>
      </c>
      <c r="F48">
        <v>149.89014084506999</v>
      </c>
      <c r="G48">
        <v>121.4544600939</v>
      </c>
      <c r="I48" s="9">
        <f t="shared" si="1"/>
        <v>292.52857477886005</v>
      </c>
      <c r="J48" s="9">
        <f t="shared" si="2"/>
        <v>1083.09949157713</v>
      </c>
      <c r="K48" s="9">
        <f t="shared" si="3"/>
        <v>292.52857477886005</v>
      </c>
      <c r="L48" s="10">
        <f t="shared" si="0"/>
        <v>0.27008467555727628</v>
      </c>
      <c r="M48" s="10">
        <f t="shared" si="4"/>
        <v>0.27319712779522304</v>
      </c>
      <c r="P48" s="8">
        <f t="shared" si="5"/>
        <v>4.6792069682266648</v>
      </c>
    </row>
    <row r="49" spans="1:25" x14ac:dyDescent="0.2">
      <c r="A49" s="8">
        <v>23.5</v>
      </c>
      <c r="B49" s="8">
        <v>47</v>
      </c>
      <c r="D49">
        <v>1094.7219604147001</v>
      </c>
      <c r="E49">
        <v>380.53911404335997</v>
      </c>
      <c r="F49">
        <v>149.41314553991</v>
      </c>
      <c r="G49">
        <v>121.53708920187999</v>
      </c>
      <c r="I49" s="9">
        <f t="shared" si="1"/>
        <v>259.00202484147997</v>
      </c>
      <c r="J49" s="9">
        <f t="shared" si="2"/>
        <v>945.30881487479007</v>
      </c>
      <c r="K49" s="9">
        <f t="shared" si="3"/>
        <v>259.00202484147997</v>
      </c>
      <c r="L49" s="10">
        <f t="shared" si="0"/>
        <v>0.27398668114163921</v>
      </c>
      <c r="M49" s="10">
        <f t="shared" si="4"/>
        <v>0.27716679538475875</v>
      </c>
      <c r="P49" s="8">
        <f t="shared" si="5"/>
        <v>6.2002392666025914</v>
      </c>
    </row>
    <row r="50" spans="1:25" x14ac:dyDescent="0.2">
      <c r="A50" s="8">
        <v>24</v>
      </c>
      <c r="B50" s="8">
        <v>48</v>
      </c>
      <c r="D50">
        <v>1145.5918944391999</v>
      </c>
      <c r="E50">
        <v>397.22997172479</v>
      </c>
      <c r="F50">
        <v>150.09671361502001</v>
      </c>
      <c r="G50">
        <v>121.24319248825999</v>
      </c>
      <c r="I50" s="9">
        <f t="shared" si="1"/>
        <v>275.98677923653003</v>
      </c>
      <c r="J50" s="9">
        <f t="shared" si="2"/>
        <v>995.4951808241799</v>
      </c>
      <c r="K50" s="9">
        <f t="shared" si="3"/>
        <v>275.98677923653003</v>
      </c>
      <c r="L50" s="10">
        <f t="shared" si="0"/>
        <v>0.27723567582520886</v>
      </c>
      <c r="M50" s="10">
        <f t="shared" si="4"/>
        <v>0.28048345207350112</v>
      </c>
      <c r="P50" s="8">
        <f t="shared" si="5"/>
        <v>7.4710615287738493</v>
      </c>
    </row>
    <row r="51" spans="1:25" x14ac:dyDescent="0.2">
      <c r="A51" s="8">
        <v>24.5</v>
      </c>
      <c r="B51" s="8">
        <v>49</v>
      </c>
      <c r="D51">
        <v>1217.4652455978</v>
      </c>
      <c r="E51">
        <v>413.21594068581999</v>
      </c>
      <c r="F51">
        <v>149.88732394365999</v>
      </c>
      <c r="G51">
        <v>121.47417840376001</v>
      </c>
      <c r="I51" s="9">
        <f t="shared" si="1"/>
        <v>291.74176228205999</v>
      </c>
      <c r="J51" s="9">
        <f t="shared" si="2"/>
        <v>1067.57792165414</v>
      </c>
      <c r="K51" s="9">
        <f t="shared" si="3"/>
        <v>291.74176228205999</v>
      </c>
      <c r="L51" s="10">
        <f t="shared" si="0"/>
        <v>0.27327444335868784</v>
      </c>
      <c r="M51" s="10">
        <f t="shared" si="4"/>
        <v>0.27658988161215287</v>
      </c>
      <c r="P51" s="8">
        <f t="shared" si="5"/>
        <v>5.9791868833187598</v>
      </c>
    </row>
    <row r="52" spans="1:25" x14ac:dyDescent="0.2">
      <c r="A52" s="8">
        <v>25</v>
      </c>
      <c r="B52" s="8">
        <v>50</v>
      </c>
      <c r="D52">
        <v>1198.2048192770999</v>
      </c>
      <c r="E52">
        <v>404.47451343837002</v>
      </c>
      <c r="F52">
        <v>149.93145539906001</v>
      </c>
      <c r="G52">
        <v>121.37464788731999</v>
      </c>
      <c r="I52" s="9">
        <f t="shared" si="1"/>
        <v>283.09986555105002</v>
      </c>
      <c r="J52" s="9">
        <f t="shared" si="2"/>
        <v>1048.2733638780398</v>
      </c>
      <c r="K52" s="9">
        <f t="shared" si="3"/>
        <v>283.09986555105002</v>
      </c>
      <c r="L52" s="10">
        <f t="shared" si="0"/>
        <v>0.27006301534147054</v>
      </c>
      <c r="M52" s="10">
        <f t="shared" si="4"/>
        <v>0.27344611560010829</v>
      </c>
      <c r="P52" s="8">
        <f t="shared" si="5"/>
        <v>4.7746100428141967</v>
      </c>
    </row>
    <row r="53" spans="1:25" x14ac:dyDescent="0.2">
      <c r="A53" s="8">
        <v>25.5</v>
      </c>
      <c r="B53" s="8">
        <v>51</v>
      </c>
      <c r="D53">
        <v>1178.6830398517</v>
      </c>
      <c r="E53">
        <v>399.24467099165997</v>
      </c>
      <c r="F53">
        <v>149.52394366197001</v>
      </c>
      <c r="G53">
        <v>121.32018779342999</v>
      </c>
      <c r="I53" s="9">
        <f t="shared" si="1"/>
        <v>277.92448319822995</v>
      </c>
      <c r="J53" s="9">
        <f t="shared" si="2"/>
        <v>1029.15909618973</v>
      </c>
      <c r="K53" s="9">
        <f t="shared" si="3"/>
        <v>277.92448319822995</v>
      </c>
      <c r="L53" s="10">
        <f t="shared" si="0"/>
        <v>0.27005006730950892</v>
      </c>
      <c r="M53" s="10">
        <f t="shared" si="4"/>
        <v>0.27350082957331945</v>
      </c>
      <c r="P53" s="8">
        <f t="shared" si="5"/>
        <v>4.7955744481578657</v>
      </c>
      <c r="S53" s="11"/>
      <c r="U53" s="12"/>
    </row>
    <row r="54" spans="1:25" x14ac:dyDescent="0.2">
      <c r="A54" s="8">
        <v>26</v>
      </c>
      <c r="B54" s="8">
        <v>52</v>
      </c>
      <c r="D54">
        <v>1119.9128822984001</v>
      </c>
      <c r="E54">
        <v>383.45968489341999</v>
      </c>
      <c r="F54">
        <v>149.74647887323999</v>
      </c>
      <c r="G54">
        <v>121.58779342723</v>
      </c>
      <c r="I54" s="9">
        <f t="shared" si="1"/>
        <v>261.87189146618999</v>
      </c>
      <c r="J54" s="9">
        <f t="shared" si="2"/>
        <v>970.16640342516007</v>
      </c>
      <c r="K54" s="9">
        <f t="shared" si="3"/>
        <v>261.87189146618999</v>
      </c>
      <c r="L54" s="10">
        <f t="shared" si="0"/>
        <v>0.26992471656579187</v>
      </c>
      <c r="M54" s="10">
        <f t="shared" si="4"/>
        <v>0.27344314083477517</v>
      </c>
      <c r="P54" s="8">
        <f t="shared" si="5"/>
        <v>4.7734702208896387</v>
      </c>
      <c r="S54" s="11"/>
    </row>
    <row r="55" spans="1:25" x14ac:dyDescent="0.2">
      <c r="A55" s="8">
        <v>26.5</v>
      </c>
      <c r="B55" s="8">
        <v>53</v>
      </c>
      <c r="D55">
        <v>1161.6431881372</v>
      </c>
      <c r="E55">
        <v>389.63113994438999</v>
      </c>
      <c r="F55">
        <v>149.66291079812001</v>
      </c>
      <c r="G55">
        <v>121.2779342723</v>
      </c>
      <c r="I55" s="9">
        <f t="shared" si="1"/>
        <v>268.35320567208998</v>
      </c>
      <c r="J55" s="9">
        <f t="shared" si="2"/>
        <v>1011.98027733908</v>
      </c>
      <c r="K55" s="9">
        <f t="shared" si="3"/>
        <v>268.35320567208998</v>
      </c>
      <c r="L55" s="10">
        <f t="shared" si="0"/>
        <v>0.26517631981692663</v>
      </c>
      <c r="M55" s="10">
        <f t="shared" si="4"/>
        <v>0.26876240609108265</v>
      </c>
      <c r="P55" s="8">
        <f t="shared" si="5"/>
        <v>2.9799828407235363</v>
      </c>
      <c r="S55" s="11"/>
    </row>
    <row r="56" spans="1:25" x14ac:dyDescent="0.2">
      <c r="A56" s="8">
        <v>27</v>
      </c>
      <c r="B56" s="8">
        <v>54</v>
      </c>
      <c r="D56">
        <v>1183.8804448563999</v>
      </c>
      <c r="E56">
        <v>395.28544949027003</v>
      </c>
      <c r="F56">
        <v>149.42159624413</v>
      </c>
      <c r="G56">
        <v>121.90046948357001</v>
      </c>
      <c r="I56" s="9">
        <f t="shared" si="1"/>
        <v>273.3849800067</v>
      </c>
      <c r="J56" s="9">
        <f t="shared" si="2"/>
        <v>1034.4588486122698</v>
      </c>
      <c r="K56" s="9">
        <f t="shared" si="3"/>
        <v>273.3849800067</v>
      </c>
      <c r="L56" s="10">
        <f t="shared" si="0"/>
        <v>0.26427825560528284</v>
      </c>
      <c r="M56" s="10">
        <f t="shared" si="4"/>
        <v>0.26793200388461164</v>
      </c>
      <c r="P56" s="8">
        <f t="shared" si="5"/>
        <v>2.6618029054527401</v>
      </c>
      <c r="S56" s="11"/>
    </row>
    <row r="57" spans="1:25" x14ac:dyDescent="0.2">
      <c r="A57" s="8">
        <v>27.5</v>
      </c>
      <c r="B57" s="8">
        <v>55</v>
      </c>
      <c r="D57">
        <v>1114.8609823910999</v>
      </c>
      <c r="E57">
        <v>372.53104726599003</v>
      </c>
      <c r="F57">
        <v>150.01408450704</v>
      </c>
      <c r="G57">
        <v>121.9323943662</v>
      </c>
      <c r="I57" s="9">
        <f t="shared" si="1"/>
        <v>250.59865289979001</v>
      </c>
      <c r="J57" s="9">
        <f t="shared" si="2"/>
        <v>964.8468978840599</v>
      </c>
      <c r="K57" s="9">
        <f t="shared" si="3"/>
        <v>250.59865289979001</v>
      </c>
      <c r="L57" s="10">
        <f t="shared" si="0"/>
        <v>0.25972893051670776</v>
      </c>
      <c r="M57" s="10">
        <f t="shared" si="4"/>
        <v>0.26345034080120933</v>
      </c>
      <c r="P57" s="8">
        <f t="shared" si="5"/>
        <v>0.94459254802549686</v>
      </c>
      <c r="S57" s="11"/>
    </row>
    <row r="58" spans="1:25" x14ac:dyDescent="0.2">
      <c r="A58" s="8">
        <v>28</v>
      </c>
      <c r="B58" s="8">
        <v>56</v>
      </c>
      <c r="D58">
        <v>1098.1308411215</v>
      </c>
      <c r="E58">
        <v>372.68317757008998</v>
      </c>
      <c r="F58">
        <v>149.78028169013999</v>
      </c>
      <c r="G58">
        <v>121.40657276995</v>
      </c>
      <c r="I58" s="9">
        <f t="shared" si="1"/>
        <v>251.27660480013998</v>
      </c>
      <c r="J58" s="9">
        <f t="shared" si="2"/>
        <v>948.35055943136001</v>
      </c>
      <c r="K58" s="9">
        <f t="shared" si="3"/>
        <v>251.27660480013998</v>
      </c>
      <c r="L58" s="10">
        <f t="shared" si="0"/>
        <v>0.26496172992274902</v>
      </c>
      <c r="M58" s="10">
        <f t="shared" si="4"/>
        <v>0.26875080221242331</v>
      </c>
      <c r="P58" s="8">
        <f t="shared" si="5"/>
        <v>2.9755366562939343</v>
      </c>
      <c r="S58" s="11"/>
    </row>
    <row r="59" spans="1:25" x14ac:dyDescent="0.2">
      <c r="A59" s="8">
        <v>28.5</v>
      </c>
      <c r="B59" s="8">
        <v>57</v>
      </c>
      <c r="D59">
        <v>1070.3803738317999</v>
      </c>
      <c r="E59">
        <v>368.73831775701001</v>
      </c>
      <c r="F59">
        <v>149.70892018779</v>
      </c>
      <c r="G59">
        <v>121.89577464788999</v>
      </c>
      <c r="I59" s="9">
        <f t="shared" si="1"/>
        <v>246.84254310912002</v>
      </c>
      <c r="J59" s="9">
        <f t="shared" si="2"/>
        <v>920.67145364400994</v>
      </c>
      <c r="K59" s="9">
        <f t="shared" si="3"/>
        <v>246.84254310912002</v>
      </c>
      <c r="L59" s="10">
        <f t="shared" si="0"/>
        <v>0.26811143338062593</v>
      </c>
      <c r="M59" s="10">
        <f t="shared" si="4"/>
        <v>0.27196816767547299</v>
      </c>
      <c r="P59" s="8">
        <f t="shared" si="5"/>
        <v>4.2083141306290468</v>
      </c>
      <c r="R59" s="1"/>
      <c r="S59" s="11"/>
    </row>
    <row r="60" spans="1:25" x14ac:dyDescent="0.2">
      <c r="A60" s="8">
        <v>29</v>
      </c>
      <c r="B60" s="8">
        <v>58</v>
      </c>
      <c r="D60">
        <v>1133.0515947466999</v>
      </c>
      <c r="E60">
        <v>380.37429643527003</v>
      </c>
      <c r="F60">
        <v>150.14929577465</v>
      </c>
      <c r="G60">
        <v>121.34835680751</v>
      </c>
      <c r="I60" s="9">
        <f t="shared" si="1"/>
        <v>259.02593962776001</v>
      </c>
      <c r="J60" s="9">
        <f t="shared" si="2"/>
        <v>982.90229897204995</v>
      </c>
      <c r="K60" s="9">
        <f t="shared" si="3"/>
        <v>259.02593962776001</v>
      </c>
      <c r="L60" s="10">
        <f t="shared" si="0"/>
        <v>0.26353172629533728</v>
      </c>
      <c r="M60" s="10">
        <f t="shared" si="4"/>
        <v>0.26745612259535712</v>
      </c>
      <c r="P60" s="8">
        <f t="shared" si="5"/>
        <v>2.4794624966343886</v>
      </c>
      <c r="S60" s="11"/>
    </row>
    <row r="61" spans="1:25" x14ac:dyDescent="0.2">
      <c r="A61" s="8">
        <v>29.5</v>
      </c>
      <c r="B61" s="8">
        <v>59</v>
      </c>
      <c r="C61" s="2"/>
      <c r="D61">
        <v>1239.6005612721999</v>
      </c>
      <c r="E61">
        <v>410.62488306828999</v>
      </c>
      <c r="F61">
        <v>150.91455399060999</v>
      </c>
      <c r="G61">
        <v>121.46948356807999</v>
      </c>
      <c r="I61" s="9">
        <f t="shared" si="1"/>
        <v>289.15539950021002</v>
      </c>
      <c r="J61" s="9">
        <f t="shared" si="2"/>
        <v>1088.6860072815898</v>
      </c>
      <c r="K61" s="9">
        <f t="shared" si="3"/>
        <v>289.15539950021002</v>
      </c>
      <c r="L61" s="10">
        <f t="shared" si="0"/>
        <v>0.26560036371021317</v>
      </c>
      <c r="M61" s="10">
        <f t="shared" si="4"/>
        <v>0.26959242201540573</v>
      </c>
      <c r="P61" s="8">
        <f t="shared" si="5"/>
        <v>3.2980147667189854</v>
      </c>
      <c r="S61" s="11"/>
    </row>
    <row r="62" spans="1:25" x14ac:dyDescent="0.2">
      <c r="A62" s="8">
        <v>30</v>
      </c>
      <c r="B62" s="8">
        <v>60</v>
      </c>
      <c r="D62">
        <v>1206.3704396631999</v>
      </c>
      <c r="E62">
        <v>399.45463049579001</v>
      </c>
      <c r="F62">
        <v>150.43849765258</v>
      </c>
      <c r="G62">
        <v>121.72112676056</v>
      </c>
      <c r="I62" s="9">
        <f t="shared" si="1"/>
        <v>277.73350373522999</v>
      </c>
      <c r="J62" s="9">
        <f t="shared" si="2"/>
        <v>1055.9319420106199</v>
      </c>
      <c r="K62" s="9">
        <f t="shared" si="3"/>
        <v>277.73350373522999</v>
      </c>
      <c r="L62" s="10">
        <f t="shared" si="0"/>
        <v>0.26302216334737671</v>
      </c>
      <c r="M62" s="10">
        <f t="shared" si="4"/>
        <v>0.26708188365774205</v>
      </c>
      <c r="P62" s="8">
        <f t="shared" si="5"/>
        <v>2.3360677416370339</v>
      </c>
      <c r="U62" s="1" t="s">
        <v>9</v>
      </c>
      <c r="X62" s="1" t="s">
        <v>10</v>
      </c>
    </row>
    <row r="63" spans="1:25" x14ac:dyDescent="0.2">
      <c r="A63" s="8">
        <v>30.5</v>
      </c>
      <c r="B63" s="8">
        <v>61</v>
      </c>
      <c r="D63">
        <v>1229.2572497660999</v>
      </c>
      <c r="E63">
        <v>405.32740879327002</v>
      </c>
      <c r="F63">
        <v>150.77934272300999</v>
      </c>
      <c r="G63">
        <v>121.39342723004999</v>
      </c>
      <c r="I63" s="9">
        <f t="shared" si="1"/>
        <v>283.93398156322002</v>
      </c>
      <c r="J63" s="9">
        <f t="shared" si="2"/>
        <v>1078.47790704309</v>
      </c>
      <c r="K63" s="9">
        <f t="shared" si="3"/>
        <v>283.93398156322002</v>
      </c>
      <c r="L63" s="10">
        <f t="shared" si="0"/>
        <v>0.26327287718085407</v>
      </c>
      <c r="M63" s="10">
        <f t="shared" si="4"/>
        <v>0.26740025949639218</v>
      </c>
      <c r="P63" s="8">
        <f t="shared" si="5"/>
        <v>2.458057788079691</v>
      </c>
    </row>
    <row r="64" spans="1:25" x14ac:dyDescent="0.2">
      <c r="A64" s="8">
        <v>31</v>
      </c>
      <c r="B64" s="8">
        <v>62</v>
      </c>
      <c r="D64">
        <v>1189.7015902712999</v>
      </c>
      <c r="E64">
        <v>393.75771749298002</v>
      </c>
      <c r="F64">
        <v>150.67230046948001</v>
      </c>
      <c r="G64">
        <v>121.46854460094001</v>
      </c>
      <c r="I64" s="9">
        <f t="shared" si="1"/>
        <v>272.28917289204003</v>
      </c>
      <c r="J64" s="9">
        <f t="shared" si="2"/>
        <v>1039.0292898018199</v>
      </c>
      <c r="K64" s="9">
        <f t="shared" si="3"/>
        <v>272.28917289204003</v>
      </c>
      <c r="L64" s="10">
        <f t="shared" si="0"/>
        <v>0.26206111373816549</v>
      </c>
      <c r="M64" s="10">
        <f t="shared" si="4"/>
        <v>0.26625615805887631</v>
      </c>
      <c r="P64" s="8">
        <f t="shared" si="5"/>
        <v>2.0196797123770116</v>
      </c>
      <c r="U64" s="8">
        <v>30.5</v>
      </c>
      <c r="V64" s="10">
        <f>L62</f>
        <v>0.26302216334737671</v>
      </c>
      <c r="X64" s="8">
        <v>-13</v>
      </c>
      <c r="Y64" s="10"/>
    </row>
    <row r="65" spans="1:25" x14ac:dyDescent="0.2">
      <c r="A65" s="8">
        <v>31.5</v>
      </c>
      <c r="B65" s="8">
        <v>63</v>
      </c>
      <c r="D65">
        <v>1209.6832706767</v>
      </c>
      <c r="E65">
        <v>400.00093984962001</v>
      </c>
      <c r="F65">
        <v>150.49577464788999</v>
      </c>
      <c r="G65">
        <v>122.08075117371</v>
      </c>
      <c r="I65" s="9">
        <f t="shared" si="1"/>
        <v>277.92018867591003</v>
      </c>
      <c r="J65" s="9">
        <f t="shared" si="2"/>
        <v>1059.1874960288101</v>
      </c>
      <c r="K65" s="9">
        <f t="shared" si="3"/>
        <v>277.92018867591003</v>
      </c>
      <c r="L65" s="10">
        <f t="shared" si="0"/>
        <v>0.26238998262150043</v>
      </c>
      <c r="M65" s="10">
        <f t="shared" si="4"/>
        <v>0.26665268894738403</v>
      </c>
      <c r="P65" s="8">
        <f t="shared" si="5"/>
        <v>2.1716159325063362</v>
      </c>
      <c r="U65" s="8">
        <v>31</v>
      </c>
      <c r="V65" s="10">
        <f t="shared" ref="V65:V83" si="6">L63</f>
        <v>0.26327287718085407</v>
      </c>
      <c r="X65" s="8">
        <v>-13</v>
      </c>
      <c r="Y65" s="10"/>
    </row>
    <row r="66" spans="1:25" x14ac:dyDescent="0.2">
      <c r="A66" s="8">
        <v>32</v>
      </c>
      <c r="B66" s="8">
        <v>64</v>
      </c>
      <c r="D66">
        <v>1140.4295112781999</v>
      </c>
      <c r="E66">
        <v>378.21522556391</v>
      </c>
      <c r="F66">
        <v>150.37558685446001</v>
      </c>
      <c r="G66">
        <v>121.83192488263001</v>
      </c>
      <c r="I66" s="9">
        <f t="shared" si="1"/>
        <v>256.38330068127999</v>
      </c>
      <c r="J66" s="9">
        <f t="shared" si="2"/>
        <v>990.05392442373989</v>
      </c>
      <c r="K66" s="9">
        <f t="shared" si="3"/>
        <v>256.38330068127999</v>
      </c>
      <c r="L66" s="10">
        <f t="shared" ref="L66:L129" si="7">K66/J66</f>
        <v>0.25895892572771495</v>
      </c>
      <c r="M66" s="10">
        <f t="shared" si="4"/>
        <v>0.26328929405877133</v>
      </c>
      <c r="P66" s="8">
        <f t="shared" si="5"/>
        <v>0.88288529136699312</v>
      </c>
      <c r="U66" s="8">
        <v>31.5</v>
      </c>
      <c r="V66" s="10">
        <f t="shared" si="6"/>
        <v>0.26206111373816549</v>
      </c>
      <c r="X66" s="8">
        <v>-13</v>
      </c>
      <c r="Y66" s="10"/>
    </row>
    <row r="67" spans="1:25" x14ac:dyDescent="0.2">
      <c r="A67" s="8">
        <v>32.5</v>
      </c>
      <c r="B67" s="8">
        <v>65</v>
      </c>
      <c r="D67">
        <v>1129.2556390976999</v>
      </c>
      <c r="E67">
        <v>373.88251879698998</v>
      </c>
      <c r="F67">
        <v>150.33427230046999</v>
      </c>
      <c r="G67">
        <v>121.64788732394</v>
      </c>
      <c r="I67" s="9">
        <f t="shared" ref="I67:I130" si="8">E67-G67</f>
        <v>252.23463147305</v>
      </c>
      <c r="J67" s="9">
        <f t="shared" ref="J67:J130" si="9">D67-F67</f>
        <v>978.92136679722989</v>
      </c>
      <c r="K67" s="9">
        <f t="shared" ref="K67:K130" si="10">I67*1</f>
        <v>252.23463147305</v>
      </c>
      <c r="L67" s="10">
        <f t="shared" si="7"/>
        <v>0.25766587596130891</v>
      </c>
      <c r="M67" s="10">
        <f t="shared" ref="M67:M130" si="11">L67+ABS($N$2)*A67</f>
        <v>0.26206390629753801</v>
      </c>
      <c r="P67" s="8">
        <f t="shared" ref="P67:P130" si="12">(M67-$O$2)/$O$2*100</f>
        <v>0.41336125167568849</v>
      </c>
      <c r="U67" s="8">
        <v>32</v>
      </c>
      <c r="V67" s="10">
        <f t="shared" si="6"/>
        <v>0.26238998262150043</v>
      </c>
      <c r="X67" s="8">
        <v>-13</v>
      </c>
      <c r="Y67" s="10"/>
    </row>
    <row r="68" spans="1:25" x14ac:dyDescent="0.2">
      <c r="A68" s="8">
        <v>33</v>
      </c>
      <c r="B68" s="8">
        <v>66</v>
      </c>
      <c r="D68">
        <v>1036.2744360902</v>
      </c>
      <c r="E68">
        <v>350.34774436089998</v>
      </c>
      <c r="F68">
        <v>151.17746478872999</v>
      </c>
      <c r="G68">
        <v>121.74460093897</v>
      </c>
      <c r="I68" s="9">
        <f t="shared" si="8"/>
        <v>228.60314342192999</v>
      </c>
      <c r="J68" s="9">
        <f t="shared" si="9"/>
        <v>885.09697130146992</v>
      </c>
      <c r="K68" s="9">
        <f t="shared" si="10"/>
        <v>228.60314342192999</v>
      </c>
      <c r="L68" s="10">
        <f t="shared" si="7"/>
        <v>0.25828033631816172</v>
      </c>
      <c r="M68" s="10">
        <f t="shared" si="11"/>
        <v>0.26274602865956359</v>
      </c>
      <c r="P68" s="8">
        <f t="shared" si="12"/>
        <v>0.6747257414431399</v>
      </c>
      <c r="U68" s="8">
        <v>32.5</v>
      </c>
      <c r="V68" s="10">
        <f t="shared" si="6"/>
        <v>0.25895892572771495</v>
      </c>
      <c r="X68" s="8">
        <v>-13</v>
      </c>
      <c r="Y68" s="10"/>
    </row>
    <row r="69" spans="1:25" x14ac:dyDescent="0.2">
      <c r="A69" s="8">
        <v>33.5</v>
      </c>
      <c r="B69" s="8">
        <v>67</v>
      </c>
      <c r="D69">
        <v>1114.1862652868999</v>
      </c>
      <c r="E69">
        <v>374.02257761054</v>
      </c>
      <c r="F69">
        <v>150.30234741784</v>
      </c>
      <c r="G69">
        <v>121.69953051643</v>
      </c>
      <c r="I69" s="9">
        <f t="shared" si="8"/>
        <v>252.32304709411</v>
      </c>
      <c r="J69" s="9">
        <f t="shared" si="9"/>
        <v>963.88391786905993</v>
      </c>
      <c r="K69" s="9">
        <f t="shared" si="10"/>
        <v>252.32304709411</v>
      </c>
      <c r="L69" s="10">
        <f t="shared" si="7"/>
        <v>0.26177742196585457</v>
      </c>
      <c r="M69" s="10">
        <f t="shared" si="11"/>
        <v>0.26631077631242922</v>
      </c>
      <c r="P69" s="8">
        <f t="shared" si="12"/>
        <v>2.0406074414276381</v>
      </c>
      <c r="U69" s="8">
        <v>33</v>
      </c>
      <c r="V69" s="10">
        <f t="shared" si="6"/>
        <v>0.25766587596130891</v>
      </c>
      <c r="X69" s="8">
        <v>-13</v>
      </c>
      <c r="Y69" s="10"/>
    </row>
    <row r="70" spans="1:25" x14ac:dyDescent="0.2">
      <c r="A70" s="8">
        <v>34</v>
      </c>
      <c r="B70" s="8">
        <v>68</v>
      </c>
      <c r="D70">
        <v>1051.4570093458001</v>
      </c>
      <c r="E70">
        <v>355.49345794393003</v>
      </c>
      <c r="F70">
        <v>150.24319248826001</v>
      </c>
      <c r="G70">
        <v>121.98497652582</v>
      </c>
      <c r="I70" s="9">
        <f t="shared" si="8"/>
        <v>233.50848141811002</v>
      </c>
      <c r="J70" s="9">
        <f t="shared" si="9"/>
        <v>901.21381685754011</v>
      </c>
      <c r="K70" s="9">
        <f t="shared" si="10"/>
        <v>233.50848141811002</v>
      </c>
      <c r="L70" s="10">
        <f t="shared" si="7"/>
        <v>0.25910441789755873</v>
      </c>
      <c r="M70" s="10">
        <f t="shared" si="11"/>
        <v>0.26370543424930609</v>
      </c>
      <c r="P70" s="8">
        <f t="shared" si="12"/>
        <v>1.0423350831138429</v>
      </c>
      <c r="U70" s="8">
        <v>33.5</v>
      </c>
      <c r="V70" s="10">
        <f t="shared" si="6"/>
        <v>0.25828033631816172</v>
      </c>
      <c r="X70" s="8">
        <v>-13</v>
      </c>
      <c r="Y70" s="10"/>
    </row>
    <row r="71" spans="1:25" x14ac:dyDescent="0.2">
      <c r="A71" s="8">
        <v>34.5</v>
      </c>
      <c r="B71" s="8">
        <v>69</v>
      </c>
      <c r="D71">
        <v>1048.3308411215</v>
      </c>
      <c r="E71">
        <v>358.42429906541997</v>
      </c>
      <c r="F71">
        <v>150.18967136149999</v>
      </c>
      <c r="G71">
        <v>121.82816901408999</v>
      </c>
      <c r="I71" s="9">
        <f t="shared" si="8"/>
        <v>236.59613005132996</v>
      </c>
      <c r="J71" s="9">
        <f t="shared" si="9"/>
        <v>898.14116976000003</v>
      </c>
      <c r="K71" s="9">
        <f t="shared" si="10"/>
        <v>236.59613005132996</v>
      </c>
      <c r="L71" s="10">
        <f t="shared" si="7"/>
        <v>0.26342866580156082</v>
      </c>
      <c r="M71" s="10">
        <f t="shared" si="11"/>
        <v>0.26809734415848097</v>
      </c>
      <c r="P71" s="8">
        <f t="shared" si="12"/>
        <v>2.7251552872593452</v>
      </c>
      <c r="U71" s="8">
        <v>34</v>
      </c>
      <c r="V71" s="10">
        <f t="shared" si="6"/>
        <v>0.26177742196585457</v>
      </c>
      <c r="X71" s="8">
        <v>-13</v>
      </c>
      <c r="Y71" s="10"/>
    </row>
    <row r="72" spans="1:25" x14ac:dyDescent="0.2">
      <c r="A72" s="8">
        <v>35</v>
      </c>
      <c r="B72" s="8">
        <v>70</v>
      </c>
      <c r="D72">
        <v>1158.2247191010999</v>
      </c>
      <c r="E72">
        <v>384.6797752809</v>
      </c>
      <c r="F72">
        <v>150.37276995305001</v>
      </c>
      <c r="G72">
        <v>121.83004694836001</v>
      </c>
      <c r="I72" s="9">
        <f t="shared" si="8"/>
        <v>262.84972833254</v>
      </c>
      <c r="J72" s="9">
        <f t="shared" si="9"/>
        <v>1007.8519491480499</v>
      </c>
      <c r="K72" s="9">
        <f t="shared" si="10"/>
        <v>262.84972833254</v>
      </c>
      <c r="L72" s="10">
        <f t="shared" si="7"/>
        <v>0.2608019248806635</v>
      </c>
      <c r="M72" s="10">
        <f t="shared" si="11"/>
        <v>0.26553826524275637</v>
      </c>
      <c r="P72" s="8">
        <f t="shared" si="12"/>
        <v>1.7446092850775301</v>
      </c>
      <c r="U72" s="8">
        <v>34.5</v>
      </c>
      <c r="V72" s="10">
        <f t="shared" si="6"/>
        <v>0.25910441789755873</v>
      </c>
      <c r="X72" s="8">
        <v>-13</v>
      </c>
      <c r="Y72" s="10"/>
    </row>
    <row r="73" spans="1:25" x14ac:dyDescent="0.2">
      <c r="A73" s="8">
        <v>35.5</v>
      </c>
      <c r="B73" s="8">
        <v>71</v>
      </c>
      <c r="D73">
        <v>1142.3979400748999</v>
      </c>
      <c r="E73">
        <v>381.03745318351997</v>
      </c>
      <c r="F73">
        <v>149.99436619718</v>
      </c>
      <c r="G73">
        <v>121.9323943662</v>
      </c>
      <c r="I73" s="9">
        <f t="shared" si="8"/>
        <v>259.10505881731996</v>
      </c>
      <c r="J73" s="9">
        <f t="shared" si="9"/>
        <v>992.40357387771996</v>
      </c>
      <c r="K73" s="9">
        <f t="shared" si="10"/>
        <v>259.10505881731996</v>
      </c>
      <c r="L73" s="10">
        <f t="shared" si="7"/>
        <v>0.2610883975406218</v>
      </c>
      <c r="M73" s="10">
        <f t="shared" si="11"/>
        <v>0.26589239990788743</v>
      </c>
      <c r="P73" s="8">
        <f t="shared" si="12"/>
        <v>1.8803008137734876</v>
      </c>
      <c r="U73" s="8">
        <v>35</v>
      </c>
      <c r="V73" s="10">
        <f t="shared" si="6"/>
        <v>0.26342866580156082</v>
      </c>
      <c r="X73" s="8">
        <v>-13</v>
      </c>
      <c r="Y73" s="10"/>
    </row>
    <row r="74" spans="1:25" x14ac:dyDescent="0.2">
      <c r="A74" s="8">
        <v>36</v>
      </c>
      <c r="B74" s="8">
        <v>72</v>
      </c>
      <c r="D74">
        <v>1006.7986891386</v>
      </c>
      <c r="E74">
        <v>341.77153558051998</v>
      </c>
      <c r="F74">
        <v>150.49483568074999</v>
      </c>
      <c r="G74">
        <v>122.13990610329</v>
      </c>
      <c r="I74" s="9">
        <f t="shared" si="8"/>
        <v>219.63162947722998</v>
      </c>
      <c r="J74" s="9">
        <f t="shared" si="9"/>
        <v>856.30385345784998</v>
      </c>
      <c r="K74" s="9">
        <f t="shared" si="10"/>
        <v>219.63162947722998</v>
      </c>
      <c r="L74" s="10">
        <f t="shared" si="7"/>
        <v>0.25648796112540317</v>
      </c>
      <c r="M74" s="10">
        <f t="shared" si="11"/>
        <v>0.26135962549784159</v>
      </c>
      <c r="P74" s="8">
        <f t="shared" si="12"/>
        <v>0.14350645418883512</v>
      </c>
      <c r="U74" s="8">
        <v>35.5</v>
      </c>
      <c r="V74" s="10">
        <f t="shared" si="6"/>
        <v>0.2608019248806635</v>
      </c>
      <c r="X74" s="8">
        <v>-13</v>
      </c>
      <c r="Y74" s="10"/>
    </row>
    <row r="75" spans="1:25" x14ac:dyDescent="0.2">
      <c r="A75" s="8">
        <v>36.5</v>
      </c>
      <c r="B75" s="8">
        <v>73</v>
      </c>
      <c r="D75">
        <v>1179.3873370577001</v>
      </c>
      <c r="E75">
        <v>381.33426443203001</v>
      </c>
      <c r="F75">
        <v>150.82816901408</v>
      </c>
      <c r="G75">
        <v>121.91737089202</v>
      </c>
      <c r="I75" s="9">
        <f t="shared" si="8"/>
        <v>259.41689354000999</v>
      </c>
      <c r="J75" s="9">
        <f t="shared" si="9"/>
        <v>1028.55916804362</v>
      </c>
      <c r="K75" s="9">
        <f t="shared" si="10"/>
        <v>259.41689354000999</v>
      </c>
      <c r="L75" s="10">
        <f t="shared" si="7"/>
        <v>0.25221387509814935</v>
      </c>
      <c r="M75" s="10">
        <f t="shared" si="11"/>
        <v>0.25715320147576048</v>
      </c>
      <c r="P75" s="8">
        <f t="shared" si="12"/>
        <v>-1.4682423015799191</v>
      </c>
      <c r="U75" s="8">
        <v>36</v>
      </c>
      <c r="V75" s="10">
        <f t="shared" si="6"/>
        <v>0.2610883975406218</v>
      </c>
      <c r="X75" s="8">
        <v>-13</v>
      </c>
      <c r="Y75" s="10"/>
    </row>
    <row r="76" spans="1:25" x14ac:dyDescent="0.2">
      <c r="A76" s="8">
        <v>37</v>
      </c>
      <c r="B76" s="8">
        <v>74</v>
      </c>
      <c r="D76">
        <v>1211.0102420856999</v>
      </c>
      <c r="E76">
        <v>381.52886405958998</v>
      </c>
      <c r="F76">
        <v>150.11079812207001</v>
      </c>
      <c r="G76">
        <v>121.90892018779</v>
      </c>
      <c r="I76" s="9">
        <f t="shared" si="8"/>
        <v>259.61994387179999</v>
      </c>
      <c r="J76" s="9">
        <f t="shared" si="9"/>
        <v>1060.8994439636299</v>
      </c>
      <c r="K76" s="9">
        <f t="shared" si="10"/>
        <v>259.61994387179999</v>
      </c>
      <c r="L76" s="10">
        <f t="shared" si="7"/>
        <v>0.24471682528349065</v>
      </c>
      <c r="M76" s="10">
        <f t="shared" si="11"/>
        <v>0.24972381366627455</v>
      </c>
      <c r="P76" s="8">
        <f t="shared" si="12"/>
        <v>-4.314913606043012</v>
      </c>
      <c r="U76" s="8">
        <v>36.5</v>
      </c>
      <c r="V76" s="10">
        <f t="shared" si="6"/>
        <v>0.25648796112540317</v>
      </c>
      <c r="X76" s="8">
        <v>-13</v>
      </c>
      <c r="Y76" s="10"/>
    </row>
    <row r="77" spans="1:25" x14ac:dyDescent="0.2">
      <c r="A77" s="8">
        <v>37.5</v>
      </c>
      <c r="B77" s="8">
        <v>75</v>
      </c>
      <c r="D77">
        <v>1188.3296089385999</v>
      </c>
      <c r="E77">
        <v>374.80726256983002</v>
      </c>
      <c r="F77">
        <v>151.24037558685001</v>
      </c>
      <c r="G77">
        <v>121.77370892019</v>
      </c>
      <c r="I77" s="9">
        <f t="shared" si="8"/>
        <v>253.03355364964</v>
      </c>
      <c r="J77" s="9">
        <f t="shared" si="9"/>
        <v>1037.08923335175</v>
      </c>
      <c r="K77" s="9">
        <f t="shared" si="10"/>
        <v>253.03355364964</v>
      </c>
      <c r="L77" s="10">
        <f t="shared" si="7"/>
        <v>0.24398436075926219</v>
      </c>
      <c r="M77" s="10">
        <f t="shared" si="11"/>
        <v>0.24905901114721885</v>
      </c>
      <c r="P77" s="8">
        <f t="shared" si="12"/>
        <v>-4.5696417616676692</v>
      </c>
      <c r="U77" s="8">
        <v>37</v>
      </c>
      <c r="V77" s="10">
        <f t="shared" si="6"/>
        <v>0.25221387509814935</v>
      </c>
      <c r="X77" s="8">
        <v>-13</v>
      </c>
      <c r="Y77" s="10"/>
    </row>
    <row r="78" spans="1:25" x14ac:dyDescent="0.2">
      <c r="A78" s="8">
        <v>38</v>
      </c>
      <c r="B78" s="8">
        <v>76</v>
      </c>
      <c r="D78">
        <v>1151.2279549719001</v>
      </c>
      <c r="E78">
        <v>368.61819887429999</v>
      </c>
      <c r="F78">
        <v>151.11455399061001</v>
      </c>
      <c r="G78">
        <v>121.6544600939</v>
      </c>
      <c r="I78" s="9">
        <f t="shared" si="8"/>
        <v>246.96373878039998</v>
      </c>
      <c r="J78" s="9">
        <f t="shared" si="9"/>
        <v>1000.1134009812901</v>
      </c>
      <c r="K78" s="9">
        <f t="shared" si="10"/>
        <v>246.96373878039998</v>
      </c>
      <c r="L78" s="10">
        <f t="shared" si="7"/>
        <v>0.24693573602561908</v>
      </c>
      <c r="M78" s="10">
        <f t="shared" si="11"/>
        <v>0.25207804841874848</v>
      </c>
      <c r="P78" s="8">
        <f t="shared" si="12"/>
        <v>-3.4128564398683716</v>
      </c>
      <c r="U78" s="8">
        <v>37.5</v>
      </c>
      <c r="V78" s="10">
        <f t="shared" si="6"/>
        <v>0.24471682528349065</v>
      </c>
      <c r="X78" s="8">
        <v>-13</v>
      </c>
      <c r="Y78" s="10"/>
    </row>
    <row r="79" spans="1:25" x14ac:dyDescent="0.2">
      <c r="A79" s="8">
        <v>38.5</v>
      </c>
      <c r="B79" s="8">
        <v>77</v>
      </c>
      <c r="D79">
        <v>1147.5522388060001</v>
      </c>
      <c r="E79">
        <v>369.28638059702001</v>
      </c>
      <c r="F79">
        <v>151.19906103285999</v>
      </c>
      <c r="G79">
        <v>121.82347417840001</v>
      </c>
      <c r="I79" s="9">
        <f t="shared" si="8"/>
        <v>247.46290641862001</v>
      </c>
      <c r="J79" s="9">
        <f t="shared" si="9"/>
        <v>996.35317777314015</v>
      </c>
      <c r="K79" s="9">
        <f t="shared" si="10"/>
        <v>247.46290641862001</v>
      </c>
      <c r="L79" s="10">
        <f t="shared" si="7"/>
        <v>0.24836866277849609</v>
      </c>
      <c r="M79" s="10">
        <f t="shared" si="11"/>
        <v>0.25357863717679829</v>
      </c>
      <c r="P79" s="8">
        <f t="shared" si="12"/>
        <v>-2.8378853834529045</v>
      </c>
      <c r="U79" s="8">
        <v>38</v>
      </c>
      <c r="V79" s="10">
        <f t="shared" si="6"/>
        <v>0.24398436075926219</v>
      </c>
      <c r="X79" s="8">
        <v>-13</v>
      </c>
      <c r="Y79" s="10"/>
    </row>
    <row r="80" spans="1:25" x14ac:dyDescent="0.2">
      <c r="A80" s="8">
        <v>39</v>
      </c>
      <c r="B80" s="8">
        <v>78</v>
      </c>
      <c r="D80">
        <v>1194.5950804163001</v>
      </c>
      <c r="E80">
        <v>383.99905392621002</v>
      </c>
      <c r="F80">
        <v>150.74178403756</v>
      </c>
      <c r="G80">
        <v>122.03568075117001</v>
      </c>
      <c r="I80" s="9">
        <f t="shared" si="8"/>
        <v>261.96337317504003</v>
      </c>
      <c r="J80" s="9">
        <f t="shared" si="9"/>
        <v>1043.8532963787402</v>
      </c>
      <c r="K80" s="9">
        <f t="shared" si="10"/>
        <v>261.96337317504003</v>
      </c>
      <c r="L80" s="10">
        <f t="shared" si="7"/>
        <v>0.25095803604186939</v>
      </c>
      <c r="M80" s="10">
        <f t="shared" si="11"/>
        <v>0.25623567244534434</v>
      </c>
      <c r="P80" s="8">
        <f t="shared" si="12"/>
        <v>-1.8198060681883288</v>
      </c>
      <c r="U80" s="8">
        <v>38.5</v>
      </c>
      <c r="V80" s="10">
        <f t="shared" si="6"/>
        <v>0.24693573602561908</v>
      </c>
      <c r="X80" s="8">
        <v>-13</v>
      </c>
      <c r="Y80" s="10"/>
    </row>
    <row r="81" spans="1:25" x14ac:dyDescent="0.2">
      <c r="A81" s="8">
        <v>39.5</v>
      </c>
      <c r="B81" s="8">
        <v>79</v>
      </c>
      <c r="D81">
        <v>1098.4181646167999</v>
      </c>
      <c r="E81">
        <v>358.97445600756998</v>
      </c>
      <c r="F81">
        <v>150.31173708919999</v>
      </c>
      <c r="G81">
        <v>121.820657277</v>
      </c>
      <c r="I81" s="9">
        <f t="shared" si="8"/>
        <v>237.15379873056997</v>
      </c>
      <c r="J81" s="9">
        <f t="shared" si="9"/>
        <v>948.10642752759986</v>
      </c>
      <c r="K81" s="9">
        <f t="shared" si="10"/>
        <v>237.15379873056997</v>
      </c>
      <c r="L81" s="10">
        <f t="shared" si="7"/>
        <v>0.25013415355594804</v>
      </c>
      <c r="M81" s="10">
        <f t="shared" si="11"/>
        <v>0.25547945196459571</v>
      </c>
      <c r="P81" s="8">
        <f t="shared" si="12"/>
        <v>-2.1095622631261977</v>
      </c>
      <c r="U81" s="8">
        <v>39</v>
      </c>
      <c r="V81" s="10">
        <f t="shared" si="6"/>
        <v>0.24836866277849609</v>
      </c>
      <c r="X81" s="8">
        <v>-13</v>
      </c>
      <c r="Y81" s="10"/>
    </row>
    <row r="82" spans="1:25" x14ac:dyDescent="0.2">
      <c r="A82" s="8">
        <v>40</v>
      </c>
      <c r="B82" s="13">
        <v>80</v>
      </c>
      <c r="C82" s="13" t="s">
        <v>11</v>
      </c>
      <c r="D82">
        <v>994.98123827391998</v>
      </c>
      <c r="E82">
        <v>337.28142589117999</v>
      </c>
      <c r="F82">
        <v>150.96244131455001</v>
      </c>
      <c r="G82">
        <v>121.39154929578</v>
      </c>
      <c r="H82" s="13"/>
      <c r="I82" s="14">
        <f t="shared" si="8"/>
        <v>215.88987659539998</v>
      </c>
      <c r="J82" s="14">
        <f t="shared" si="9"/>
        <v>844.01879695936998</v>
      </c>
      <c r="K82" s="9">
        <f t="shared" si="10"/>
        <v>215.88987659539998</v>
      </c>
      <c r="L82" s="15">
        <f t="shared" si="7"/>
        <v>0.25578799592278828</v>
      </c>
      <c r="M82" s="15">
        <f t="shared" si="11"/>
        <v>0.26120095633660873</v>
      </c>
      <c r="N82" s="13"/>
      <c r="O82" s="13"/>
      <c r="P82" s="13">
        <f t="shared" si="12"/>
        <v>8.2710200208378895E-2</v>
      </c>
      <c r="U82" s="8">
        <v>39.5</v>
      </c>
      <c r="V82" s="10">
        <f t="shared" si="6"/>
        <v>0.25095803604186939</v>
      </c>
      <c r="X82" s="8">
        <v>-13</v>
      </c>
      <c r="Y82" s="10"/>
    </row>
    <row r="83" spans="1:25" x14ac:dyDescent="0.2">
      <c r="A83" s="8">
        <v>40.5</v>
      </c>
      <c r="B83" s="8">
        <v>81</v>
      </c>
      <c r="D83">
        <v>1165.7042253520999</v>
      </c>
      <c r="E83">
        <v>374.10798122066001</v>
      </c>
      <c r="F83">
        <v>150.70892018779</v>
      </c>
      <c r="G83">
        <v>121.74460093897</v>
      </c>
      <c r="I83" s="9">
        <f t="shared" si="8"/>
        <v>252.36338028169001</v>
      </c>
      <c r="J83" s="9">
        <f t="shared" si="9"/>
        <v>1014.9953051643099</v>
      </c>
      <c r="K83" s="9">
        <f t="shared" si="10"/>
        <v>252.36338028169001</v>
      </c>
      <c r="L83" s="10">
        <f t="shared" si="7"/>
        <v>0.2486350222485382</v>
      </c>
      <c r="M83" s="10">
        <f t="shared" si="11"/>
        <v>0.25411564466753139</v>
      </c>
      <c r="P83" s="8">
        <f t="shared" si="12"/>
        <v>-2.6321236365429099</v>
      </c>
      <c r="U83" s="8">
        <v>40</v>
      </c>
      <c r="V83" s="10">
        <f t="shared" si="6"/>
        <v>0.25013415355594804</v>
      </c>
      <c r="X83" s="8">
        <v>-13</v>
      </c>
      <c r="Y83" s="10"/>
    </row>
    <row r="84" spans="1:25" x14ac:dyDescent="0.2">
      <c r="A84" s="8">
        <v>41</v>
      </c>
      <c r="B84" s="8">
        <v>82</v>
      </c>
      <c r="D84">
        <v>1128.5605633803</v>
      </c>
      <c r="E84">
        <v>367.33521126761002</v>
      </c>
      <c r="F84">
        <v>150.66197183099001</v>
      </c>
      <c r="G84">
        <v>122.09107981221</v>
      </c>
      <c r="I84" s="9">
        <f t="shared" si="8"/>
        <v>245.24413145540001</v>
      </c>
      <c r="J84" s="9">
        <f t="shared" si="9"/>
        <v>977.89859154930991</v>
      </c>
      <c r="K84" s="9">
        <f t="shared" si="10"/>
        <v>245.24413145540001</v>
      </c>
      <c r="L84" s="10">
        <f t="shared" si="7"/>
        <v>0.25078687460511978</v>
      </c>
      <c r="M84" s="10">
        <f t="shared" si="11"/>
        <v>0.25633515902928572</v>
      </c>
      <c r="P84" s="8">
        <f t="shared" si="12"/>
        <v>-1.7816864261737637</v>
      </c>
      <c r="U84" s="8">
        <v>150.5</v>
      </c>
      <c r="V84" s="10">
        <f>L302</f>
        <v>0.28213168736970784</v>
      </c>
      <c r="X84" s="8">
        <v>-13</v>
      </c>
      <c r="Y84" s="10"/>
    </row>
    <row r="85" spans="1:25" x14ac:dyDescent="0.2">
      <c r="A85" s="8">
        <v>41.5</v>
      </c>
      <c r="B85" s="8">
        <v>83</v>
      </c>
      <c r="D85">
        <v>1052.5581835383</v>
      </c>
      <c r="E85">
        <v>350.56385998107999</v>
      </c>
      <c r="F85">
        <v>151.33708920187999</v>
      </c>
      <c r="G85">
        <v>121.66291079812</v>
      </c>
      <c r="I85" s="9">
        <f t="shared" si="8"/>
        <v>228.90094918296001</v>
      </c>
      <c r="J85" s="9">
        <f t="shared" si="9"/>
        <v>901.22109433642004</v>
      </c>
      <c r="K85" s="9">
        <f t="shared" si="10"/>
        <v>228.90094918296001</v>
      </c>
      <c r="L85" s="10">
        <f t="shared" si="7"/>
        <v>0.25398978188754284</v>
      </c>
      <c r="M85" s="10">
        <f t="shared" si="11"/>
        <v>0.25960572831688156</v>
      </c>
      <c r="P85" s="8">
        <f t="shared" si="12"/>
        <v>-0.52852318056018155</v>
      </c>
      <c r="U85" s="8">
        <v>151</v>
      </c>
      <c r="V85" s="10">
        <f t="shared" ref="V85:V103" si="13">L303</f>
        <v>0.2832228889254591</v>
      </c>
      <c r="X85" s="8">
        <v>-13</v>
      </c>
      <c r="Y85" s="10"/>
    </row>
    <row r="86" spans="1:25" x14ac:dyDescent="0.2">
      <c r="A86" s="8">
        <v>42</v>
      </c>
      <c r="B86" s="8">
        <v>84</v>
      </c>
      <c r="D86">
        <v>1025.5676442762999</v>
      </c>
      <c r="E86">
        <v>337.3935666982</v>
      </c>
      <c r="F86">
        <v>151.24413145540001</v>
      </c>
      <c r="G86">
        <v>121.76525821596</v>
      </c>
      <c r="I86" s="9">
        <f t="shared" si="8"/>
        <v>215.62830848224002</v>
      </c>
      <c r="J86" s="9">
        <f t="shared" si="9"/>
        <v>874.32351282089985</v>
      </c>
      <c r="K86" s="9">
        <f t="shared" si="10"/>
        <v>215.62830848224002</v>
      </c>
      <c r="L86" s="10">
        <f t="shared" si="7"/>
        <v>0.24662302376673043</v>
      </c>
      <c r="M86" s="10">
        <f t="shared" si="11"/>
        <v>0.25230663220124189</v>
      </c>
      <c r="P86" s="8">
        <f t="shared" si="12"/>
        <v>-3.32527144484916</v>
      </c>
      <c r="U86" s="8">
        <v>151.5</v>
      </c>
      <c r="V86" s="10">
        <f t="shared" si="13"/>
        <v>0.2811535025761483</v>
      </c>
      <c r="X86" s="8">
        <v>-13</v>
      </c>
      <c r="Y86" s="10"/>
    </row>
    <row r="87" spans="1:25" x14ac:dyDescent="0.2">
      <c r="A87" s="8">
        <v>42.5</v>
      </c>
      <c r="B87" s="8">
        <v>85</v>
      </c>
      <c r="D87">
        <v>1192.3770028275001</v>
      </c>
      <c r="E87">
        <v>361.79641847314002</v>
      </c>
      <c r="F87">
        <v>151.25164319249001</v>
      </c>
      <c r="G87">
        <v>122.17276995304999</v>
      </c>
      <c r="I87" s="9">
        <f t="shared" si="8"/>
        <v>239.62364852009003</v>
      </c>
      <c r="J87" s="9">
        <f t="shared" si="9"/>
        <v>1041.12535963501</v>
      </c>
      <c r="K87" s="9">
        <f t="shared" si="10"/>
        <v>239.62364852009003</v>
      </c>
      <c r="L87" s="10">
        <f t="shared" si="7"/>
        <v>0.23015830543604807</v>
      </c>
      <c r="M87" s="10">
        <f t="shared" si="11"/>
        <v>0.23590957587573227</v>
      </c>
      <c r="P87" s="8">
        <f t="shared" si="12"/>
        <v>-9.6080272945162726</v>
      </c>
      <c r="U87" s="8">
        <v>152</v>
      </c>
      <c r="V87" s="10">
        <f t="shared" si="13"/>
        <v>0.29138152837118164</v>
      </c>
      <c r="X87" s="8">
        <v>-13</v>
      </c>
      <c r="Y87" s="10"/>
    </row>
    <row r="88" spans="1:25" x14ac:dyDescent="0.2">
      <c r="A88" s="8">
        <v>43</v>
      </c>
      <c r="B88" s="8">
        <v>86</v>
      </c>
      <c r="D88">
        <v>1228.3553251649</v>
      </c>
      <c r="E88">
        <v>359.78699340244998</v>
      </c>
      <c r="F88">
        <v>152.29483568075</v>
      </c>
      <c r="G88">
        <v>121.92300469484</v>
      </c>
      <c r="I88" s="9">
        <f t="shared" si="8"/>
        <v>237.86398870760996</v>
      </c>
      <c r="J88" s="9">
        <f t="shared" si="9"/>
        <v>1076.0604894841499</v>
      </c>
      <c r="K88" s="9">
        <f t="shared" si="10"/>
        <v>237.86398870760996</v>
      </c>
      <c r="L88" s="10">
        <f t="shared" si="7"/>
        <v>0.22105075972228941</v>
      </c>
      <c r="M88" s="10">
        <f t="shared" si="11"/>
        <v>0.22686969216714639</v>
      </c>
      <c r="P88" s="8">
        <f t="shared" si="12"/>
        <v>-13.071782076041863</v>
      </c>
      <c r="U88" s="8">
        <v>152.5</v>
      </c>
      <c r="V88" s="10">
        <f t="shared" si="13"/>
        <v>0.27453243218167439</v>
      </c>
      <c r="X88" s="8">
        <v>-13</v>
      </c>
      <c r="Y88" s="10"/>
    </row>
    <row r="89" spans="1:25" x14ac:dyDescent="0.2">
      <c r="A89" s="8">
        <v>43.5</v>
      </c>
      <c r="B89" s="8">
        <v>87</v>
      </c>
      <c r="D89">
        <v>1164.5457115928</v>
      </c>
      <c r="E89">
        <v>340.15551366634998</v>
      </c>
      <c r="F89">
        <v>151.06478873239001</v>
      </c>
      <c r="G89">
        <v>122.32300469483999</v>
      </c>
      <c r="I89" s="9">
        <f t="shared" si="8"/>
        <v>217.83250897150998</v>
      </c>
      <c r="J89" s="9">
        <f t="shared" si="9"/>
        <v>1013.4809228604099</v>
      </c>
      <c r="K89" s="9">
        <f t="shared" si="10"/>
        <v>217.83250897150998</v>
      </c>
      <c r="L89" s="10">
        <f t="shared" si="7"/>
        <v>0.21493498699186939</v>
      </c>
      <c r="M89" s="10">
        <f t="shared" si="11"/>
        <v>0.22082158144189912</v>
      </c>
      <c r="P89" s="8">
        <f t="shared" si="12"/>
        <v>-15.389198219777695</v>
      </c>
      <c r="U89" s="8">
        <v>153</v>
      </c>
      <c r="V89" s="10">
        <f t="shared" si="13"/>
        <v>0.27562183116960354</v>
      </c>
      <c r="X89" s="8">
        <v>-13</v>
      </c>
      <c r="Y89" s="10"/>
    </row>
    <row r="90" spans="1:25" x14ac:dyDescent="0.2">
      <c r="A90" s="8">
        <v>44</v>
      </c>
      <c r="B90" s="8">
        <v>88</v>
      </c>
      <c r="D90">
        <v>1099.5990610329</v>
      </c>
      <c r="E90">
        <v>315.76431924883002</v>
      </c>
      <c r="F90">
        <v>151.80375586855001</v>
      </c>
      <c r="G90">
        <v>122.38779342722999</v>
      </c>
      <c r="I90" s="9">
        <f t="shared" si="8"/>
        <v>193.37652582160001</v>
      </c>
      <c r="J90" s="9">
        <f t="shared" si="9"/>
        <v>947.79530516434988</v>
      </c>
      <c r="K90" s="9">
        <f t="shared" si="10"/>
        <v>193.37652582160001</v>
      </c>
      <c r="L90" s="10">
        <f t="shared" si="7"/>
        <v>0.20402773127059126</v>
      </c>
      <c r="M90" s="10">
        <f t="shared" si="11"/>
        <v>0.20998198772579374</v>
      </c>
      <c r="P90" s="8">
        <f t="shared" si="12"/>
        <v>-19.542536445610697</v>
      </c>
      <c r="U90" s="8">
        <v>153.5</v>
      </c>
      <c r="V90" s="10">
        <f t="shared" si="13"/>
        <v>0.27153574857807805</v>
      </c>
      <c r="X90" s="8">
        <v>-13</v>
      </c>
      <c r="Y90" s="10"/>
    </row>
    <row r="91" spans="1:25" x14ac:dyDescent="0.2">
      <c r="A91" s="8">
        <v>44.5</v>
      </c>
      <c r="B91" s="8">
        <v>89</v>
      </c>
      <c r="D91">
        <v>1110.1389671362001</v>
      </c>
      <c r="E91">
        <v>310.86572769953</v>
      </c>
      <c r="F91">
        <v>152.31737089201999</v>
      </c>
      <c r="G91">
        <v>121.8</v>
      </c>
      <c r="I91" s="9">
        <f t="shared" si="8"/>
        <v>189.06572769952999</v>
      </c>
      <c r="J91" s="9">
        <f t="shared" si="9"/>
        <v>957.82159624418011</v>
      </c>
      <c r="K91" s="9">
        <f t="shared" si="10"/>
        <v>189.06572769952999</v>
      </c>
      <c r="L91" s="10">
        <f t="shared" si="7"/>
        <v>0.19739138106814094</v>
      </c>
      <c r="M91" s="10">
        <f t="shared" si="11"/>
        <v>0.20341329952851619</v>
      </c>
      <c r="P91" s="8">
        <f t="shared" si="12"/>
        <v>-22.059418950422256</v>
      </c>
      <c r="U91" s="8">
        <v>154</v>
      </c>
      <c r="V91" s="10">
        <f t="shared" si="13"/>
        <v>0.27692073741724155</v>
      </c>
      <c r="X91" s="8">
        <v>-13</v>
      </c>
      <c r="Y91" s="10"/>
    </row>
    <row r="92" spans="1:25" x14ac:dyDescent="0.2">
      <c r="A92" s="8">
        <v>45</v>
      </c>
      <c r="B92" s="8">
        <v>90</v>
      </c>
      <c r="D92">
        <v>1154.7840375587</v>
      </c>
      <c r="E92">
        <v>323.96056338028001</v>
      </c>
      <c r="F92">
        <v>151.89107981220999</v>
      </c>
      <c r="G92">
        <v>121.84882629108</v>
      </c>
      <c r="I92" s="9">
        <f t="shared" si="8"/>
        <v>202.11173708920001</v>
      </c>
      <c r="J92" s="9">
        <f t="shared" si="9"/>
        <v>1002.89295774649</v>
      </c>
      <c r="K92" s="9">
        <f t="shared" si="10"/>
        <v>202.11173708920001</v>
      </c>
      <c r="L92" s="10">
        <f t="shared" si="7"/>
        <v>0.20152872300883137</v>
      </c>
      <c r="M92" s="10">
        <f t="shared" si="11"/>
        <v>0.20761830347437937</v>
      </c>
      <c r="P92" s="8">
        <f t="shared" si="12"/>
        <v>-20.448214316231667</v>
      </c>
      <c r="U92" s="8">
        <v>154.5</v>
      </c>
      <c r="V92" s="10">
        <f t="shared" si="13"/>
        <v>0.27714163302713518</v>
      </c>
      <c r="X92" s="8">
        <v>-13</v>
      </c>
      <c r="Y92" s="10"/>
    </row>
    <row r="93" spans="1:25" x14ac:dyDescent="0.2">
      <c r="A93" s="8">
        <v>45.5</v>
      </c>
      <c r="B93" s="8">
        <v>91</v>
      </c>
      <c r="D93">
        <v>1234.8262910798001</v>
      </c>
      <c r="E93">
        <v>334.51361502346998</v>
      </c>
      <c r="F93">
        <v>151.31361502346999</v>
      </c>
      <c r="G93">
        <v>122.08920187792999</v>
      </c>
      <c r="I93" s="9">
        <f t="shared" si="8"/>
        <v>212.42441314553997</v>
      </c>
      <c r="J93" s="9">
        <f t="shared" si="9"/>
        <v>1083.5126760563301</v>
      </c>
      <c r="K93" s="9">
        <f t="shared" si="10"/>
        <v>212.42441314553997</v>
      </c>
      <c r="L93" s="10">
        <f t="shared" si="7"/>
        <v>0.19605161789034425</v>
      </c>
      <c r="M93" s="10">
        <f t="shared" si="11"/>
        <v>0.202208860361065</v>
      </c>
      <c r="P93" s="8">
        <f t="shared" si="12"/>
        <v>-22.520916250587014</v>
      </c>
      <c r="U93" s="8">
        <v>155</v>
      </c>
      <c r="V93" s="10">
        <f t="shared" si="13"/>
        <v>0.27578525158185779</v>
      </c>
      <c r="X93" s="8">
        <v>-13</v>
      </c>
      <c r="Y93" s="10"/>
    </row>
    <row r="94" spans="1:25" x14ac:dyDescent="0.2">
      <c r="A94" s="8">
        <v>46</v>
      </c>
      <c r="B94" s="8">
        <v>92</v>
      </c>
      <c r="D94">
        <v>1369.4882186616001</v>
      </c>
      <c r="E94">
        <v>348.63430725730001</v>
      </c>
      <c r="F94">
        <v>151.91737089201999</v>
      </c>
      <c r="G94">
        <v>122.26009389671</v>
      </c>
      <c r="I94" s="9">
        <f t="shared" si="8"/>
        <v>226.37421336059001</v>
      </c>
      <c r="J94" s="9">
        <f t="shared" si="9"/>
        <v>1217.57084776958</v>
      </c>
      <c r="K94" s="9">
        <f t="shared" si="10"/>
        <v>226.37421336059001</v>
      </c>
      <c r="L94" s="10">
        <f t="shared" si="7"/>
        <v>0.18592282640084229</v>
      </c>
      <c r="M94" s="10">
        <f t="shared" si="11"/>
        <v>0.19214773087673581</v>
      </c>
      <c r="P94" s="8">
        <f t="shared" si="12"/>
        <v>-26.375975284786122</v>
      </c>
      <c r="U94" s="8">
        <v>155.5</v>
      </c>
      <c r="V94" s="10">
        <f t="shared" si="13"/>
        <v>0.27239745446285046</v>
      </c>
      <c r="X94" s="8">
        <v>-13</v>
      </c>
      <c r="Y94" s="10"/>
    </row>
    <row r="95" spans="1:25" x14ac:dyDescent="0.2">
      <c r="A95" s="8">
        <v>46.5</v>
      </c>
      <c r="B95" s="8">
        <v>93</v>
      </c>
      <c r="D95">
        <v>1369.1291234683999</v>
      </c>
      <c r="E95">
        <v>345.55419415646003</v>
      </c>
      <c r="F95">
        <v>151.88826291079999</v>
      </c>
      <c r="G95">
        <v>122.02535211268</v>
      </c>
      <c r="I95" s="9">
        <f t="shared" si="8"/>
        <v>223.52884204378003</v>
      </c>
      <c r="J95" s="9">
        <f t="shared" si="9"/>
        <v>1217.2408605575999</v>
      </c>
      <c r="K95" s="9">
        <f t="shared" si="10"/>
        <v>223.52884204378003</v>
      </c>
      <c r="L95" s="10">
        <f t="shared" si="7"/>
        <v>0.18363567087403293</v>
      </c>
      <c r="M95" s="10">
        <f t="shared" si="11"/>
        <v>0.1899282373550992</v>
      </c>
      <c r="P95" s="8">
        <f t="shared" si="12"/>
        <v>-27.22640450997983</v>
      </c>
      <c r="U95" s="8">
        <v>156</v>
      </c>
      <c r="V95" s="10">
        <f t="shared" si="13"/>
        <v>0.267412187498142</v>
      </c>
      <c r="X95" s="8">
        <v>-13</v>
      </c>
      <c r="Y95" s="10"/>
    </row>
    <row r="96" spans="1:25" x14ac:dyDescent="0.2">
      <c r="A96" s="8">
        <v>47</v>
      </c>
      <c r="B96" s="8">
        <v>94</v>
      </c>
      <c r="D96">
        <v>1363.2337417531</v>
      </c>
      <c r="E96">
        <v>341.99434495758999</v>
      </c>
      <c r="F96">
        <v>152.49201877933999</v>
      </c>
      <c r="G96">
        <v>122.1661971831</v>
      </c>
      <c r="I96" s="9">
        <f t="shared" si="8"/>
        <v>219.82814777448999</v>
      </c>
      <c r="J96" s="9">
        <f t="shared" si="9"/>
        <v>1210.74172297376</v>
      </c>
      <c r="K96" s="9">
        <f t="shared" si="10"/>
        <v>219.82814777448999</v>
      </c>
      <c r="L96" s="10">
        <f t="shared" si="7"/>
        <v>0.18156485698251124</v>
      </c>
      <c r="M96" s="10">
        <f t="shared" si="11"/>
        <v>0.18792508546875025</v>
      </c>
      <c r="P96" s="8">
        <f t="shared" si="12"/>
        <v>-27.9939394858859</v>
      </c>
      <c r="U96" s="8">
        <v>156.5</v>
      </c>
      <c r="V96" s="10">
        <f t="shared" si="13"/>
        <v>0.26397989935901878</v>
      </c>
      <c r="X96" s="8">
        <v>-13</v>
      </c>
      <c r="Y96" s="10"/>
    </row>
    <row r="97" spans="1:25" x14ac:dyDescent="0.2">
      <c r="A97" s="8">
        <v>47.5</v>
      </c>
      <c r="B97" s="8">
        <v>95</v>
      </c>
      <c r="D97">
        <v>1359.6145146089</v>
      </c>
      <c r="E97">
        <v>338.54853911404001</v>
      </c>
      <c r="F97">
        <v>152.31361502346999</v>
      </c>
      <c r="G97">
        <v>121.97276995305</v>
      </c>
      <c r="I97" s="9">
        <f t="shared" si="8"/>
        <v>216.57576916099001</v>
      </c>
      <c r="J97" s="9">
        <f t="shared" si="9"/>
        <v>1207.30089958543</v>
      </c>
      <c r="K97" s="9">
        <f t="shared" si="10"/>
        <v>216.57576916099001</v>
      </c>
      <c r="L97" s="10">
        <f t="shared" si="7"/>
        <v>0.17938839375946714</v>
      </c>
      <c r="M97" s="10">
        <f t="shared" si="11"/>
        <v>0.1858162842508789</v>
      </c>
      <c r="P97" s="8">
        <f t="shared" si="12"/>
        <v>-28.801955444625655</v>
      </c>
      <c r="U97" s="8">
        <v>157</v>
      </c>
      <c r="V97" s="10">
        <f t="shared" si="13"/>
        <v>0.2689117071733288</v>
      </c>
      <c r="X97" s="8">
        <v>-13</v>
      </c>
      <c r="Y97" s="10"/>
    </row>
    <row r="98" spans="1:25" x14ac:dyDescent="0.2">
      <c r="A98" s="8">
        <v>48</v>
      </c>
      <c r="B98" s="8">
        <v>96</v>
      </c>
      <c r="D98">
        <v>1358.1017907634</v>
      </c>
      <c r="E98">
        <v>336.60414703110001</v>
      </c>
      <c r="F98">
        <v>151.60281690140999</v>
      </c>
      <c r="G98">
        <v>122.20093896714</v>
      </c>
      <c r="I98" s="9">
        <f t="shared" si="8"/>
        <v>214.40320806395999</v>
      </c>
      <c r="J98" s="9">
        <f t="shared" si="9"/>
        <v>1206.49897386199</v>
      </c>
      <c r="K98" s="9">
        <f t="shared" si="10"/>
        <v>214.40320806395999</v>
      </c>
      <c r="L98" s="10">
        <f t="shared" si="7"/>
        <v>0.17770691290159799</v>
      </c>
      <c r="M98" s="10">
        <f t="shared" si="11"/>
        <v>0.18420246539818252</v>
      </c>
      <c r="P98" s="8">
        <f t="shared" si="12"/>
        <v>-29.420312156696415</v>
      </c>
      <c r="U98" s="8">
        <v>157.5</v>
      </c>
      <c r="V98" s="10">
        <f t="shared" si="13"/>
        <v>0.26066170464003552</v>
      </c>
      <c r="X98" s="8">
        <v>-13</v>
      </c>
      <c r="Y98" s="10"/>
    </row>
    <row r="99" spans="1:25" x14ac:dyDescent="0.2">
      <c r="A99" s="8">
        <v>48.5</v>
      </c>
      <c r="B99" s="8">
        <v>97</v>
      </c>
      <c r="D99">
        <v>1354.0857681432999</v>
      </c>
      <c r="E99">
        <v>334.67577756832998</v>
      </c>
      <c r="F99">
        <v>152.28075117371</v>
      </c>
      <c r="G99">
        <v>121.83661971831</v>
      </c>
      <c r="I99" s="9">
        <f t="shared" si="8"/>
        <v>212.83915785001997</v>
      </c>
      <c r="J99" s="9">
        <f t="shared" si="9"/>
        <v>1201.8050169695898</v>
      </c>
      <c r="K99" s="9">
        <f t="shared" si="10"/>
        <v>212.83915785001997</v>
      </c>
      <c r="L99" s="10">
        <f t="shared" si="7"/>
        <v>0.17709957509305821</v>
      </c>
      <c r="M99" s="10">
        <f t="shared" si="11"/>
        <v>0.1836627895948155</v>
      </c>
      <c r="P99" s="8">
        <f t="shared" si="12"/>
        <v>-29.627096303998091</v>
      </c>
      <c r="U99" s="8">
        <v>158</v>
      </c>
      <c r="V99" s="10">
        <f t="shared" si="13"/>
        <v>0.26596385241213433</v>
      </c>
      <c r="X99" s="8">
        <v>-13</v>
      </c>
      <c r="Y99" s="10"/>
    </row>
    <row r="100" spans="1:25" x14ac:dyDescent="0.2">
      <c r="A100" s="8">
        <v>49</v>
      </c>
      <c r="B100" s="8">
        <v>98</v>
      </c>
      <c r="D100">
        <v>1336.8445692884</v>
      </c>
      <c r="E100">
        <v>327.80243445692997</v>
      </c>
      <c r="F100">
        <v>152.21784037558999</v>
      </c>
      <c r="G100">
        <v>122.00563380282</v>
      </c>
      <c r="I100" s="9">
        <f t="shared" si="8"/>
        <v>205.79680065410997</v>
      </c>
      <c r="J100" s="9">
        <f t="shared" si="9"/>
        <v>1184.62672891281</v>
      </c>
      <c r="K100" s="9">
        <f t="shared" si="10"/>
        <v>205.79680065410997</v>
      </c>
      <c r="L100" s="10">
        <f t="shared" si="7"/>
        <v>0.17372290834850551</v>
      </c>
      <c r="M100" s="10">
        <f t="shared" si="11"/>
        <v>0.18035378485543554</v>
      </c>
      <c r="P100" s="8">
        <f t="shared" si="12"/>
        <v>-30.894986617369284</v>
      </c>
      <c r="U100" s="8">
        <v>158.5</v>
      </c>
      <c r="V100" s="10">
        <f t="shared" si="13"/>
        <v>0.26612969772714895</v>
      </c>
      <c r="X100" s="8">
        <v>-13</v>
      </c>
      <c r="Y100" s="10"/>
    </row>
    <row r="101" spans="1:25" x14ac:dyDescent="0.2">
      <c r="A101" s="8">
        <v>49.5</v>
      </c>
      <c r="B101" s="8">
        <v>99</v>
      </c>
      <c r="D101">
        <v>1338.2219101124001</v>
      </c>
      <c r="E101">
        <v>329.01498127341</v>
      </c>
      <c r="F101">
        <v>151.71549295775</v>
      </c>
      <c r="G101">
        <v>122.2779342723</v>
      </c>
      <c r="I101" s="9">
        <f t="shared" si="8"/>
        <v>206.73704700111</v>
      </c>
      <c r="J101" s="9">
        <f t="shared" si="9"/>
        <v>1186.5064171546501</v>
      </c>
      <c r="K101" s="9">
        <f t="shared" si="10"/>
        <v>206.73704700111</v>
      </c>
      <c r="L101" s="10">
        <f t="shared" si="7"/>
        <v>0.17424014233052712</v>
      </c>
      <c r="M101" s="10">
        <f t="shared" si="11"/>
        <v>0.18093868084262993</v>
      </c>
      <c r="P101" s="8">
        <f t="shared" si="12"/>
        <v>-30.670875739657944</v>
      </c>
      <c r="U101" s="8">
        <v>159</v>
      </c>
      <c r="V101" s="10">
        <f t="shared" si="13"/>
        <v>0.26615552795617403</v>
      </c>
      <c r="X101" s="8">
        <v>-13</v>
      </c>
      <c r="Y101" s="10"/>
    </row>
    <row r="102" spans="1:25" x14ac:dyDescent="0.2">
      <c r="A102" s="8">
        <v>50</v>
      </c>
      <c r="B102" s="8">
        <v>100</v>
      </c>
      <c r="D102">
        <v>1340.9101123595999</v>
      </c>
      <c r="E102">
        <v>327.03464419476001</v>
      </c>
      <c r="F102">
        <v>152.08450704225001</v>
      </c>
      <c r="G102">
        <v>122.61126760563</v>
      </c>
      <c r="I102" s="9">
        <f t="shared" si="8"/>
        <v>204.42337658912999</v>
      </c>
      <c r="J102" s="9">
        <f t="shared" si="9"/>
        <v>1188.82560531735</v>
      </c>
      <c r="K102" s="9">
        <f t="shared" si="10"/>
        <v>204.42337658912999</v>
      </c>
      <c r="L102" s="10">
        <f t="shared" si="7"/>
        <v>0.17195404916817919</v>
      </c>
      <c r="M102" s="10">
        <f t="shared" si="11"/>
        <v>0.17872024968545475</v>
      </c>
      <c r="P102" s="8">
        <f t="shared" si="12"/>
        <v>-31.520897905413538</v>
      </c>
      <c r="U102" s="8">
        <v>159.5</v>
      </c>
      <c r="V102" s="10">
        <f t="shared" si="13"/>
        <v>0.26841651102785263</v>
      </c>
      <c r="X102" s="8">
        <v>-13</v>
      </c>
      <c r="Y102" s="10"/>
    </row>
    <row r="103" spans="1:25" x14ac:dyDescent="0.2">
      <c r="A103" s="8">
        <v>50.5</v>
      </c>
      <c r="B103" s="8">
        <v>101</v>
      </c>
      <c r="D103">
        <v>1340.7397003745</v>
      </c>
      <c r="E103">
        <v>326.66760299625997</v>
      </c>
      <c r="F103">
        <v>152.24319248826001</v>
      </c>
      <c r="G103">
        <v>122.13145539906</v>
      </c>
      <c r="I103" s="9">
        <f t="shared" si="8"/>
        <v>204.53614759719997</v>
      </c>
      <c r="J103" s="9">
        <f t="shared" si="9"/>
        <v>1188.4965078862399</v>
      </c>
      <c r="K103" s="9">
        <f t="shared" si="10"/>
        <v>204.53614759719997</v>
      </c>
      <c r="L103" s="10">
        <f t="shared" si="7"/>
        <v>0.17209654907692643</v>
      </c>
      <c r="M103" s="10">
        <f t="shared" si="11"/>
        <v>0.17893041159937473</v>
      </c>
      <c r="P103" s="8">
        <f t="shared" si="12"/>
        <v>-31.440371500682961</v>
      </c>
      <c r="U103" s="8">
        <v>160</v>
      </c>
      <c r="V103" s="10">
        <f t="shared" si="13"/>
        <v>0.27232045417982059</v>
      </c>
      <c r="X103" s="8">
        <v>-13</v>
      </c>
      <c r="Y103" s="10"/>
    </row>
    <row r="104" spans="1:25" x14ac:dyDescent="0.2">
      <c r="A104" s="8">
        <v>51</v>
      </c>
      <c r="B104" s="8">
        <v>102</v>
      </c>
      <c r="D104">
        <v>1342.9119850187001</v>
      </c>
      <c r="E104">
        <v>324.91573033707999</v>
      </c>
      <c r="F104">
        <v>151.99906103286</v>
      </c>
      <c r="G104">
        <v>122.11455399061001</v>
      </c>
      <c r="I104" s="9">
        <f t="shared" si="8"/>
        <v>202.80117634646999</v>
      </c>
      <c r="J104" s="9">
        <f t="shared" si="9"/>
        <v>1190.9129239858401</v>
      </c>
      <c r="K104" s="9">
        <f t="shared" si="10"/>
        <v>202.80117634646999</v>
      </c>
      <c r="L104" s="10">
        <f t="shared" si="7"/>
        <v>0.17029051600827308</v>
      </c>
      <c r="M104" s="10">
        <f t="shared" si="11"/>
        <v>0.17719204053589416</v>
      </c>
      <c r="P104" s="8">
        <f t="shared" si="12"/>
        <v>-32.106452091684112</v>
      </c>
      <c r="X104" s="8">
        <v>-13</v>
      </c>
      <c r="Y104" s="10"/>
    </row>
    <row r="105" spans="1:25" x14ac:dyDescent="0.2">
      <c r="A105" s="8">
        <v>51.5</v>
      </c>
      <c r="B105" s="8">
        <v>103</v>
      </c>
      <c r="D105">
        <v>1338.7846441948</v>
      </c>
      <c r="E105">
        <v>323.60299625468002</v>
      </c>
      <c r="F105">
        <v>152.78967136150001</v>
      </c>
      <c r="G105">
        <v>122.08732394366</v>
      </c>
      <c r="I105" s="9">
        <f t="shared" si="8"/>
        <v>201.51567231102001</v>
      </c>
      <c r="J105" s="9">
        <f t="shared" si="9"/>
        <v>1185.9949728332999</v>
      </c>
      <c r="K105" s="9">
        <f t="shared" si="10"/>
        <v>201.51567231102001</v>
      </c>
      <c r="L105" s="10">
        <f t="shared" si="7"/>
        <v>0.16991275420806062</v>
      </c>
      <c r="M105" s="10">
        <f t="shared" si="11"/>
        <v>0.17688194074085445</v>
      </c>
      <c r="P105" s="8">
        <f t="shared" si="12"/>
        <v>-32.225271059100557</v>
      </c>
      <c r="V105" s="10"/>
      <c r="X105" s="8">
        <v>-13</v>
      </c>
    </row>
    <row r="106" spans="1:25" x14ac:dyDescent="0.2">
      <c r="A106" s="8">
        <v>52</v>
      </c>
      <c r="B106" s="8">
        <v>104</v>
      </c>
      <c r="D106">
        <v>1336.7752808989001</v>
      </c>
      <c r="E106">
        <v>321.96535580523999</v>
      </c>
      <c r="F106">
        <v>152.20657276994999</v>
      </c>
      <c r="G106">
        <v>122.07511737089</v>
      </c>
      <c r="I106" s="9">
        <f t="shared" si="8"/>
        <v>199.89023843435001</v>
      </c>
      <c r="J106" s="9">
        <f t="shared" si="9"/>
        <v>1184.56870812895</v>
      </c>
      <c r="K106" s="9">
        <f t="shared" si="10"/>
        <v>199.89023843435001</v>
      </c>
      <c r="L106" s="10">
        <f t="shared" si="7"/>
        <v>0.16874516189954117</v>
      </c>
      <c r="M106" s="10">
        <f t="shared" si="11"/>
        <v>0.17578201043750774</v>
      </c>
      <c r="P106" s="8">
        <f t="shared" si="12"/>
        <v>-32.646724362083148</v>
      </c>
      <c r="X106" s="8">
        <v>-13</v>
      </c>
    </row>
    <row r="107" spans="1:25" x14ac:dyDescent="0.2">
      <c r="A107" s="8">
        <v>52.5</v>
      </c>
      <c r="B107" s="8">
        <v>105</v>
      </c>
      <c r="D107">
        <v>1334.3333333333001</v>
      </c>
      <c r="E107">
        <v>323.60955056180001</v>
      </c>
      <c r="F107">
        <v>152.66666666667001</v>
      </c>
      <c r="G107">
        <v>121.95586854459999</v>
      </c>
      <c r="I107" s="9">
        <f t="shared" si="8"/>
        <v>201.65368201720003</v>
      </c>
      <c r="J107" s="9">
        <f t="shared" si="9"/>
        <v>1181.6666666666301</v>
      </c>
      <c r="K107" s="9">
        <f t="shared" si="10"/>
        <v>201.65368201720003</v>
      </c>
      <c r="L107" s="10">
        <f t="shared" si="7"/>
        <v>0.17065191708085156</v>
      </c>
      <c r="M107" s="10">
        <f t="shared" si="11"/>
        <v>0.17775642762399088</v>
      </c>
      <c r="P107" s="8">
        <f t="shared" si="12"/>
        <v>-31.89019947848184</v>
      </c>
      <c r="X107" s="8">
        <v>-13</v>
      </c>
    </row>
    <row r="108" spans="1:25" x14ac:dyDescent="0.2">
      <c r="A108" s="8">
        <v>53</v>
      </c>
      <c r="B108" s="8">
        <v>106</v>
      </c>
      <c r="D108">
        <v>1331.0318352060001</v>
      </c>
      <c r="E108">
        <v>321.74438202247001</v>
      </c>
      <c r="F108">
        <v>152.11267605634001</v>
      </c>
      <c r="G108">
        <v>122.06103286385</v>
      </c>
      <c r="I108" s="9">
        <f t="shared" si="8"/>
        <v>199.68334915861999</v>
      </c>
      <c r="J108" s="9">
        <f t="shared" si="9"/>
        <v>1178.9191591496601</v>
      </c>
      <c r="K108" s="9">
        <f t="shared" si="10"/>
        <v>199.68334915861999</v>
      </c>
      <c r="L108" s="10">
        <f t="shared" si="7"/>
        <v>0.16937832217660212</v>
      </c>
      <c r="M108" s="10">
        <f t="shared" si="11"/>
        <v>0.17655049472491421</v>
      </c>
      <c r="P108" s="8">
        <f t="shared" si="12"/>
        <v>-32.352269122299113</v>
      </c>
      <c r="X108" s="8">
        <v>-13</v>
      </c>
    </row>
    <row r="109" spans="1:25" x14ac:dyDescent="0.2">
      <c r="A109" s="8">
        <v>53.5</v>
      </c>
      <c r="B109" s="8">
        <v>107</v>
      </c>
      <c r="D109">
        <v>1332.2443820225001</v>
      </c>
      <c r="E109">
        <v>322.03932584270001</v>
      </c>
      <c r="F109">
        <v>152.55868544601</v>
      </c>
      <c r="G109">
        <v>121.93427230047</v>
      </c>
      <c r="I109" s="9">
        <f t="shared" si="8"/>
        <v>200.10505354223</v>
      </c>
      <c r="J109" s="9">
        <f t="shared" si="9"/>
        <v>1179.68569657649</v>
      </c>
      <c r="K109" s="9">
        <f t="shared" si="10"/>
        <v>200.10505354223</v>
      </c>
      <c r="L109" s="10">
        <f t="shared" si="7"/>
        <v>0.16962573516229398</v>
      </c>
      <c r="M109" s="10">
        <f t="shared" si="11"/>
        <v>0.17686556971577883</v>
      </c>
      <c r="P109" s="8">
        <f t="shared" si="12"/>
        <v>-32.231543840721663</v>
      </c>
      <c r="X109" s="8">
        <v>-13</v>
      </c>
    </row>
    <row r="110" spans="1:25" x14ac:dyDescent="0.2">
      <c r="A110" s="8">
        <v>54</v>
      </c>
      <c r="B110" s="8">
        <v>108</v>
      </c>
      <c r="D110">
        <v>1326.7846441948</v>
      </c>
      <c r="E110">
        <v>322.17790262172002</v>
      </c>
      <c r="F110">
        <v>152.46291079811999</v>
      </c>
      <c r="G110">
        <v>121.77370892019</v>
      </c>
      <c r="I110" s="9">
        <f t="shared" si="8"/>
        <v>200.40419370153001</v>
      </c>
      <c r="J110" s="9">
        <f t="shared" si="9"/>
        <v>1174.32173339668</v>
      </c>
      <c r="K110" s="9">
        <f t="shared" si="10"/>
        <v>200.40419370153001</v>
      </c>
      <c r="L110" s="10">
        <f t="shared" si="7"/>
        <v>0.17065527104047429</v>
      </c>
      <c r="M110" s="10">
        <f t="shared" si="11"/>
        <v>0.17796276759913188</v>
      </c>
      <c r="P110" s="8">
        <f t="shared" si="12"/>
        <v>-31.811137501740294</v>
      </c>
      <c r="X110" s="8">
        <v>-13</v>
      </c>
    </row>
    <row r="111" spans="1:25" x14ac:dyDescent="0.2">
      <c r="A111" s="8">
        <v>54.5</v>
      </c>
      <c r="B111" s="8">
        <v>109</v>
      </c>
      <c r="D111">
        <v>1327.8913857678001</v>
      </c>
      <c r="E111">
        <v>322.67041198502</v>
      </c>
      <c r="F111">
        <v>152.31267605634</v>
      </c>
      <c r="G111">
        <v>122.44788732393999</v>
      </c>
      <c r="I111" s="9">
        <f t="shared" si="8"/>
        <v>200.22252466108</v>
      </c>
      <c r="J111" s="9">
        <f t="shared" si="9"/>
        <v>1175.5787097114601</v>
      </c>
      <c r="K111" s="9">
        <f t="shared" si="10"/>
        <v>200.22252466108</v>
      </c>
      <c r="L111" s="10">
        <f t="shared" si="7"/>
        <v>0.17031826368327443</v>
      </c>
      <c r="M111" s="10">
        <f t="shared" si="11"/>
        <v>0.1776934222471048</v>
      </c>
      <c r="P111" s="8">
        <f t="shared" si="12"/>
        <v>-31.914340848270008</v>
      </c>
      <c r="X111" s="8">
        <v>-13</v>
      </c>
    </row>
    <row r="112" spans="1:25" x14ac:dyDescent="0.2">
      <c r="A112" s="8">
        <v>55</v>
      </c>
      <c r="B112" s="8">
        <v>110</v>
      </c>
      <c r="D112">
        <v>1326.9400749064</v>
      </c>
      <c r="E112">
        <v>320.26591760299999</v>
      </c>
      <c r="F112">
        <v>152.34553990609999</v>
      </c>
      <c r="G112">
        <v>122.32676056338001</v>
      </c>
      <c r="I112" s="9">
        <f t="shared" si="8"/>
        <v>197.93915703962</v>
      </c>
      <c r="J112" s="9">
        <f t="shared" si="9"/>
        <v>1174.5945350003001</v>
      </c>
      <c r="K112" s="9">
        <f t="shared" si="10"/>
        <v>197.93915703962</v>
      </c>
      <c r="L112" s="10">
        <f t="shared" si="7"/>
        <v>0.16851700833051247</v>
      </c>
      <c r="M112" s="10">
        <f t="shared" si="11"/>
        <v>0.17595982889951559</v>
      </c>
      <c r="P112" s="8">
        <f t="shared" si="12"/>
        <v>-32.578590792241066</v>
      </c>
      <c r="X112" s="8">
        <v>-13</v>
      </c>
    </row>
    <row r="113" spans="1:24" x14ac:dyDescent="0.2">
      <c r="A113" s="8">
        <v>55.5</v>
      </c>
      <c r="B113" s="8">
        <v>111</v>
      </c>
      <c r="D113">
        <v>1331.9129213483</v>
      </c>
      <c r="E113">
        <v>323.06554307115999</v>
      </c>
      <c r="F113">
        <v>152.43943661972</v>
      </c>
      <c r="G113">
        <v>122.05352112676</v>
      </c>
      <c r="I113" s="9">
        <f t="shared" si="8"/>
        <v>201.01202194439998</v>
      </c>
      <c r="J113" s="9">
        <f t="shared" si="9"/>
        <v>1179.4734847285799</v>
      </c>
      <c r="K113" s="9">
        <f t="shared" si="10"/>
        <v>201.01202194439998</v>
      </c>
      <c r="L113" s="10">
        <f t="shared" si="7"/>
        <v>0.17042521476492267</v>
      </c>
      <c r="M113" s="10">
        <f t="shared" si="11"/>
        <v>0.17793569733909853</v>
      </c>
      <c r="P113" s="8">
        <f t="shared" si="12"/>
        <v>-31.821509841213931</v>
      </c>
      <c r="X113" s="8">
        <v>-13</v>
      </c>
    </row>
    <row r="114" spans="1:24" x14ac:dyDescent="0.2">
      <c r="A114" s="8">
        <v>56</v>
      </c>
      <c r="B114" s="8">
        <v>112</v>
      </c>
      <c r="D114">
        <v>1330.1563670411999</v>
      </c>
      <c r="E114">
        <v>321.71067415729999</v>
      </c>
      <c r="F114">
        <v>152.67417840376001</v>
      </c>
      <c r="G114">
        <v>122.29201877934</v>
      </c>
      <c r="I114" s="9">
        <f t="shared" si="8"/>
        <v>199.41865537795999</v>
      </c>
      <c r="J114" s="9">
        <f t="shared" si="9"/>
        <v>1177.48218863744</v>
      </c>
      <c r="K114" s="9">
        <f t="shared" si="10"/>
        <v>199.41865537795999</v>
      </c>
      <c r="L114" s="10">
        <f t="shared" si="7"/>
        <v>0.16936023092521124</v>
      </c>
      <c r="M114" s="10">
        <f t="shared" si="11"/>
        <v>0.17693837550455987</v>
      </c>
      <c r="P114" s="8">
        <f t="shared" si="12"/>
        <v>-32.203647309400843</v>
      </c>
      <c r="X114" s="8">
        <v>-13</v>
      </c>
    </row>
    <row r="115" spans="1:24" x14ac:dyDescent="0.2">
      <c r="A115" s="8">
        <v>56.5</v>
      </c>
      <c r="B115" s="8">
        <v>113</v>
      </c>
      <c r="D115">
        <v>1329.2247191010999</v>
      </c>
      <c r="E115">
        <v>322.67696629213998</v>
      </c>
      <c r="F115">
        <v>152.92488262910999</v>
      </c>
      <c r="G115">
        <v>122.31830985916</v>
      </c>
      <c r="I115" s="9">
        <f t="shared" si="8"/>
        <v>200.35865643297998</v>
      </c>
      <c r="J115" s="9">
        <f t="shared" si="9"/>
        <v>1176.2998364719899</v>
      </c>
      <c r="K115" s="9">
        <f t="shared" si="10"/>
        <v>200.35865643297998</v>
      </c>
      <c r="L115" s="10">
        <f t="shared" si="7"/>
        <v>0.17032957943265933</v>
      </c>
      <c r="M115" s="10">
        <f t="shared" si="11"/>
        <v>0.17797538601718071</v>
      </c>
      <c r="P115" s="8">
        <f t="shared" si="12"/>
        <v>-31.806302582701413</v>
      </c>
      <c r="X115" s="8">
        <v>-13</v>
      </c>
    </row>
    <row r="116" spans="1:24" x14ac:dyDescent="0.2">
      <c r="A116" s="8">
        <v>57</v>
      </c>
      <c r="B116" s="8">
        <v>114</v>
      </c>
      <c r="D116">
        <v>1322.1376404493999</v>
      </c>
      <c r="E116">
        <v>320.6797752809</v>
      </c>
      <c r="F116">
        <v>153.17276995304999</v>
      </c>
      <c r="G116">
        <v>122.1896713615</v>
      </c>
      <c r="I116" s="9">
        <f t="shared" si="8"/>
        <v>198.49010391939998</v>
      </c>
      <c r="J116" s="9">
        <f t="shared" si="9"/>
        <v>1168.9648704963499</v>
      </c>
      <c r="K116" s="9">
        <f t="shared" si="10"/>
        <v>198.49010391939998</v>
      </c>
      <c r="L116" s="10">
        <f t="shared" si="7"/>
        <v>0.16979988785729705</v>
      </c>
      <c r="M116" s="10">
        <f t="shared" si="11"/>
        <v>0.17751335644699118</v>
      </c>
      <c r="P116" s="8">
        <f t="shared" si="12"/>
        <v>-31.9833355163696</v>
      </c>
      <c r="X116" s="8">
        <v>-13</v>
      </c>
    </row>
    <row r="117" spans="1:24" x14ac:dyDescent="0.2">
      <c r="A117" s="8">
        <v>57.5</v>
      </c>
      <c r="B117" s="8">
        <v>115</v>
      </c>
      <c r="D117">
        <v>1318.3764044944</v>
      </c>
      <c r="E117">
        <v>320.35580524344999</v>
      </c>
      <c r="F117">
        <v>152.71361502347</v>
      </c>
      <c r="G117">
        <v>122.35680751174</v>
      </c>
      <c r="I117" s="9">
        <f t="shared" si="8"/>
        <v>197.99899773171001</v>
      </c>
      <c r="J117" s="9">
        <f t="shared" si="9"/>
        <v>1165.66278947093</v>
      </c>
      <c r="K117" s="9">
        <f t="shared" si="10"/>
        <v>197.99899773171001</v>
      </c>
      <c r="L117" s="10">
        <f t="shared" si="7"/>
        <v>0.16985958505339063</v>
      </c>
      <c r="M117" s="10">
        <f t="shared" si="11"/>
        <v>0.17764071564825751</v>
      </c>
      <c r="P117" s="8">
        <f t="shared" si="12"/>
        <v>-31.934536100737898</v>
      </c>
      <c r="X117" s="8">
        <v>-13</v>
      </c>
    </row>
    <row r="118" spans="1:24" x14ac:dyDescent="0.2">
      <c r="A118" s="8">
        <v>58</v>
      </c>
      <c r="B118" s="8">
        <v>116</v>
      </c>
      <c r="D118">
        <v>1319.2659176029999</v>
      </c>
      <c r="E118">
        <v>322.74344569288002</v>
      </c>
      <c r="F118">
        <v>152.92676056337999</v>
      </c>
      <c r="G118">
        <v>122.25915492958001</v>
      </c>
      <c r="I118" s="9">
        <f t="shared" si="8"/>
        <v>200.48429076330001</v>
      </c>
      <c r="J118" s="9">
        <f t="shared" si="9"/>
        <v>1166.33915703962</v>
      </c>
      <c r="K118" s="9">
        <f t="shared" si="10"/>
        <v>200.48429076330001</v>
      </c>
      <c r="L118" s="10">
        <f t="shared" si="7"/>
        <v>0.17189193173636169</v>
      </c>
      <c r="M118" s="10">
        <f t="shared" si="11"/>
        <v>0.17974072433640134</v>
      </c>
      <c r="P118" s="8">
        <f t="shared" si="12"/>
        <v>-31.129889119726972</v>
      </c>
      <c r="X118" s="8">
        <v>-13</v>
      </c>
    </row>
    <row r="119" spans="1:24" x14ac:dyDescent="0.2">
      <c r="A119" s="8">
        <v>58.5</v>
      </c>
      <c r="B119" s="8">
        <v>117</v>
      </c>
      <c r="D119">
        <v>1323.4588014981</v>
      </c>
      <c r="E119">
        <v>321.76029962547</v>
      </c>
      <c r="F119">
        <v>153.33802816900999</v>
      </c>
      <c r="G119">
        <v>122.05821596244</v>
      </c>
      <c r="I119" s="9">
        <f t="shared" si="8"/>
        <v>199.70208366303001</v>
      </c>
      <c r="J119" s="9">
        <f t="shared" si="9"/>
        <v>1170.1207733290901</v>
      </c>
      <c r="K119" s="9">
        <f t="shared" si="10"/>
        <v>199.70208366303001</v>
      </c>
      <c r="L119" s="10">
        <f t="shared" si="7"/>
        <v>0.17066792438430189</v>
      </c>
      <c r="M119" s="10">
        <f t="shared" si="11"/>
        <v>0.17858437898951429</v>
      </c>
      <c r="P119" s="8">
        <f t="shared" si="12"/>
        <v>-31.572958616358964</v>
      </c>
      <c r="X119" s="8">
        <v>-13</v>
      </c>
    </row>
    <row r="120" spans="1:24" x14ac:dyDescent="0.2">
      <c r="A120" s="8">
        <v>59</v>
      </c>
      <c r="B120" s="8">
        <v>118</v>
      </c>
      <c r="D120">
        <v>1329.1020599251001</v>
      </c>
      <c r="E120">
        <v>322.41666666666998</v>
      </c>
      <c r="F120">
        <v>152.34647887323999</v>
      </c>
      <c r="G120">
        <v>122.48544600939</v>
      </c>
      <c r="I120" s="9">
        <f t="shared" si="8"/>
        <v>199.93122065727999</v>
      </c>
      <c r="J120" s="9">
        <f t="shared" si="9"/>
        <v>1176.7555810518602</v>
      </c>
      <c r="K120" s="9">
        <f t="shared" si="10"/>
        <v>199.93122065727999</v>
      </c>
      <c r="L120" s="10">
        <f t="shared" si="7"/>
        <v>0.16990038022897547</v>
      </c>
      <c r="M120" s="10">
        <f t="shared" si="11"/>
        <v>0.17788449683936061</v>
      </c>
      <c r="P120" s="8">
        <f t="shared" si="12"/>
        <v>-31.841128011259112</v>
      </c>
      <c r="X120" s="8">
        <v>-13</v>
      </c>
    </row>
    <row r="121" spans="1:24" x14ac:dyDescent="0.2">
      <c r="A121" s="8">
        <v>59.5</v>
      </c>
      <c r="B121" s="8">
        <v>119</v>
      </c>
      <c r="D121">
        <v>1327.4662921347999</v>
      </c>
      <c r="E121">
        <v>321.55149812733998</v>
      </c>
      <c r="F121">
        <v>153.16713615024</v>
      </c>
      <c r="G121">
        <v>122.13990610329</v>
      </c>
      <c r="I121" s="9">
        <f t="shared" si="8"/>
        <v>199.41159202404998</v>
      </c>
      <c r="J121" s="9">
        <f t="shared" si="9"/>
        <v>1174.29915598456</v>
      </c>
      <c r="K121" s="9">
        <f t="shared" si="10"/>
        <v>199.41159202404998</v>
      </c>
      <c r="L121" s="10">
        <f t="shared" si="7"/>
        <v>0.16981328054933209</v>
      </c>
      <c r="M121" s="10">
        <f t="shared" si="11"/>
        <v>0.17786505916489001</v>
      </c>
      <c r="P121" s="8">
        <f t="shared" si="12"/>
        <v>-31.848575821436732</v>
      </c>
      <c r="X121" s="8">
        <v>-13</v>
      </c>
    </row>
    <row r="122" spans="1:24" x14ac:dyDescent="0.2">
      <c r="A122" s="8">
        <v>60</v>
      </c>
      <c r="B122" s="8">
        <v>120</v>
      </c>
      <c r="D122">
        <v>1314.0514981273</v>
      </c>
      <c r="E122">
        <v>318.57771535581003</v>
      </c>
      <c r="F122">
        <v>152.90704225351999</v>
      </c>
      <c r="G122">
        <v>122.6985915493</v>
      </c>
      <c r="I122" s="9">
        <f t="shared" si="8"/>
        <v>195.87912380651002</v>
      </c>
      <c r="J122" s="9">
        <f t="shared" si="9"/>
        <v>1161.1444558737799</v>
      </c>
      <c r="K122" s="9">
        <f t="shared" si="10"/>
        <v>195.87912380651002</v>
      </c>
      <c r="L122" s="10">
        <f t="shared" si="7"/>
        <v>0.16869487927676305</v>
      </c>
      <c r="M122" s="10">
        <f t="shared" si="11"/>
        <v>0.17681431989749372</v>
      </c>
      <c r="P122" s="8">
        <f t="shared" si="12"/>
        <v>-32.251180907841089</v>
      </c>
      <c r="X122" s="8">
        <v>-13</v>
      </c>
    </row>
    <row r="123" spans="1:24" x14ac:dyDescent="0.2">
      <c r="A123" s="8">
        <v>60.5</v>
      </c>
      <c r="B123" s="8">
        <v>121</v>
      </c>
      <c r="D123">
        <v>1314.5552434456999</v>
      </c>
      <c r="E123">
        <v>318.20224719100997</v>
      </c>
      <c r="F123">
        <v>153.49295774647999</v>
      </c>
      <c r="G123">
        <v>122.35868544601</v>
      </c>
      <c r="I123" s="9">
        <f t="shared" si="8"/>
        <v>195.84356174499999</v>
      </c>
      <c r="J123" s="9">
        <f t="shared" si="9"/>
        <v>1161.06228569922</v>
      </c>
      <c r="K123" s="9">
        <f t="shared" si="10"/>
        <v>195.84356174499999</v>
      </c>
      <c r="L123" s="10">
        <f t="shared" si="7"/>
        <v>0.16867618917365682</v>
      </c>
      <c r="M123" s="10">
        <f t="shared" si="11"/>
        <v>0.17686329179956023</v>
      </c>
      <c r="P123" s="8">
        <f t="shared" si="12"/>
        <v>-32.2324166554003</v>
      </c>
      <c r="X123" s="8">
        <v>-13</v>
      </c>
    </row>
    <row r="124" spans="1:24" x14ac:dyDescent="0.2">
      <c r="A124" s="8">
        <v>61</v>
      </c>
      <c r="B124" s="8">
        <v>122</v>
      </c>
      <c r="D124">
        <v>1300.6694756554</v>
      </c>
      <c r="E124">
        <v>315.45973782772001</v>
      </c>
      <c r="F124">
        <v>153.37370892019001</v>
      </c>
      <c r="G124">
        <v>122.38685446009001</v>
      </c>
      <c r="I124" s="9">
        <f t="shared" si="8"/>
        <v>193.07288336763</v>
      </c>
      <c r="J124" s="9">
        <f t="shared" si="9"/>
        <v>1147.29576673521</v>
      </c>
      <c r="K124" s="9">
        <f t="shared" si="10"/>
        <v>193.07288336763</v>
      </c>
      <c r="L124" s="10">
        <f t="shared" si="7"/>
        <v>0.16828518762606942</v>
      </c>
      <c r="M124" s="10">
        <f t="shared" si="11"/>
        <v>0.17653995225714561</v>
      </c>
      <c r="P124" s="8">
        <f t="shared" si="12"/>
        <v>-32.356308612664222</v>
      </c>
      <c r="X124" s="8">
        <v>-13</v>
      </c>
    </row>
    <row r="125" spans="1:24" x14ac:dyDescent="0.2">
      <c r="A125" s="8">
        <v>61.5</v>
      </c>
      <c r="B125" s="8">
        <v>123</v>
      </c>
      <c r="D125">
        <v>1183.6333333333</v>
      </c>
      <c r="E125">
        <v>300.75</v>
      </c>
      <c r="F125">
        <v>152.85915492958</v>
      </c>
      <c r="G125">
        <v>122.52957746478999</v>
      </c>
      <c r="I125" s="9">
        <f t="shared" si="8"/>
        <v>178.22042253520999</v>
      </c>
      <c r="J125" s="9">
        <f t="shared" si="9"/>
        <v>1030.77417840372</v>
      </c>
      <c r="K125" s="9">
        <f t="shared" si="10"/>
        <v>178.22042253520999</v>
      </c>
      <c r="L125" s="10">
        <f t="shared" si="7"/>
        <v>0.17289958001393296</v>
      </c>
      <c r="M125" s="10">
        <f t="shared" si="11"/>
        <v>0.1812220066501819</v>
      </c>
      <c r="P125" s="8">
        <f t="shared" si="12"/>
        <v>-30.562315590846996</v>
      </c>
      <c r="X125" s="8">
        <v>-13</v>
      </c>
    </row>
    <row r="126" spans="1:24" x14ac:dyDescent="0.2">
      <c r="A126" s="8">
        <v>62</v>
      </c>
      <c r="B126" s="8">
        <v>124</v>
      </c>
      <c r="D126">
        <v>1179.6083333332999</v>
      </c>
      <c r="E126">
        <v>299.55092592593002</v>
      </c>
      <c r="F126">
        <v>152.76713615023999</v>
      </c>
      <c r="G126">
        <v>122.4234741784</v>
      </c>
      <c r="I126" s="9">
        <f t="shared" si="8"/>
        <v>177.12745174753002</v>
      </c>
      <c r="J126" s="9">
        <f t="shared" si="9"/>
        <v>1026.8411971830599</v>
      </c>
      <c r="K126" s="9">
        <f t="shared" si="10"/>
        <v>177.12745174753002</v>
      </c>
      <c r="L126" s="10">
        <f t="shared" si="7"/>
        <v>0.17249741462793361</v>
      </c>
      <c r="M126" s="10">
        <f t="shared" si="11"/>
        <v>0.18088750326935529</v>
      </c>
      <c r="P126" s="8">
        <f t="shared" si="12"/>
        <v>-30.690485125115913</v>
      </c>
      <c r="X126" s="8">
        <v>-13</v>
      </c>
    </row>
    <row r="127" spans="1:24" x14ac:dyDescent="0.2">
      <c r="A127" s="8">
        <v>62.5</v>
      </c>
      <c r="B127" s="8">
        <v>125</v>
      </c>
      <c r="D127">
        <v>1185.0324074073999</v>
      </c>
      <c r="E127">
        <v>303.88888888888999</v>
      </c>
      <c r="F127">
        <v>152.94835680751001</v>
      </c>
      <c r="G127">
        <v>122.4338028169</v>
      </c>
      <c r="I127" s="9">
        <f t="shared" si="8"/>
        <v>181.45508607199</v>
      </c>
      <c r="J127" s="9">
        <f t="shared" si="9"/>
        <v>1032.0840505998899</v>
      </c>
      <c r="K127" s="9">
        <f t="shared" si="10"/>
        <v>181.45508607199</v>
      </c>
      <c r="L127" s="10">
        <f t="shared" si="7"/>
        <v>0.17581425269242443</v>
      </c>
      <c r="M127" s="10">
        <f t="shared" si="11"/>
        <v>0.18427200333901889</v>
      </c>
      <c r="P127" s="8">
        <f t="shared" si="12"/>
        <v>-29.393667745901546</v>
      </c>
      <c r="X127" s="8">
        <v>-13</v>
      </c>
    </row>
    <row r="128" spans="1:24" x14ac:dyDescent="0.2">
      <c r="A128" s="8">
        <v>63</v>
      </c>
      <c r="B128" s="8">
        <v>126</v>
      </c>
      <c r="D128">
        <v>1261.7291471415001</v>
      </c>
      <c r="E128">
        <v>314.67572633551998</v>
      </c>
      <c r="F128">
        <v>153.21690140845001</v>
      </c>
      <c r="G128">
        <v>122.05915492958</v>
      </c>
      <c r="I128" s="9">
        <f t="shared" si="8"/>
        <v>192.61657140593996</v>
      </c>
      <c r="J128" s="9">
        <f t="shared" si="9"/>
        <v>1108.5122457330501</v>
      </c>
      <c r="K128" s="9">
        <f t="shared" si="10"/>
        <v>192.61657140593996</v>
      </c>
      <c r="L128" s="10">
        <f t="shared" si="7"/>
        <v>0.17376133835902211</v>
      </c>
      <c r="M128" s="10">
        <f t="shared" si="11"/>
        <v>0.18228675101078931</v>
      </c>
      <c r="P128" s="8">
        <f t="shared" si="12"/>
        <v>-30.154344261895766</v>
      </c>
      <c r="X128" s="8">
        <v>-13</v>
      </c>
    </row>
    <row r="129" spans="1:24" x14ac:dyDescent="0.2">
      <c r="A129" s="8">
        <v>63.5</v>
      </c>
      <c r="B129" s="8">
        <v>127</v>
      </c>
      <c r="D129">
        <v>1265.2043111528001</v>
      </c>
      <c r="E129">
        <v>317.30271790066001</v>
      </c>
      <c r="F129">
        <v>152.83098591549</v>
      </c>
      <c r="G129">
        <v>121.89577464788999</v>
      </c>
      <c r="I129" s="9">
        <f t="shared" si="8"/>
        <v>195.40694325277002</v>
      </c>
      <c r="J129" s="9">
        <f t="shared" si="9"/>
        <v>1112.3733252373102</v>
      </c>
      <c r="K129" s="9">
        <f t="shared" si="10"/>
        <v>195.40694325277002</v>
      </c>
      <c r="L129" s="10">
        <f t="shared" si="7"/>
        <v>0.17566669284440323</v>
      </c>
      <c r="M129" s="10">
        <f t="shared" si="11"/>
        <v>0.18425976750134318</v>
      </c>
      <c r="P129" s="8">
        <f t="shared" si="12"/>
        <v>-29.398356074050607</v>
      </c>
      <c r="X129" s="8">
        <v>-13</v>
      </c>
    </row>
    <row r="130" spans="1:24" x14ac:dyDescent="0.2">
      <c r="A130" s="8">
        <v>64</v>
      </c>
      <c r="B130" s="8">
        <v>128</v>
      </c>
      <c r="D130">
        <v>1260.5342080600001</v>
      </c>
      <c r="E130">
        <v>317.34301780694</v>
      </c>
      <c r="F130">
        <v>153.04694835680999</v>
      </c>
      <c r="G130">
        <v>122.03849765258001</v>
      </c>
      <c r="I130" s="9">
        <f t="shared" si="8"/>
        <v>195.30452015435998</v>
      </c>
      <c r="J130" s="9">
        <f t="shared" si="9"/>
        <v>1107.4872597031901</v>
      </c>
      <c r="K130" s="9">
        <f t="shared" si="10"/>
        <v>195.30452015435998</v>
      </c>
      <c r="L130" s="10">
        <f t="shared" ref="L130:L193" si="14">K130/J130</f>
        <v>0.1763492251881093</v>
      </c>
      <c r="M130" s="10">
        <f t="shared" si="11"/>
        <v>0.185009961850222</v>
      </c>
      <c r="P130" s="8">
        <f t="shared" si="12"/>
        <v>-29.110908873758142</v>
      </c>
      <c r="X130" s="8">
        <v>-13</v>
      </c>
    </row>
    <row r="131" spans="1:24" x14ac:dyDescent="0.2">
      <c r="A131" s="8">
        <v>64.5</v>
      </c>
      <c r="B131" s="8">
        <v>129</v>
      </c>
      <c r="D131">
        <v>1269.0984067479001</v>
      </c>
      <c r="E131">
        <v>319.42736644798998</v>
      </c>
      <c r="F131">
        <v>153.49201877933999</v>
      </c>
      <c r="G131">
        <v>122.36431924883</v>
      </c>
      <c r="I131" s="9">
        <f t="shared" ref="I131:I194" si="15">E131-G131</f>
        <v>197.06304719916</v>
      </c>
      <c r="J131" s="9">
        <f t="shared" ref="J131:J194" si="16">D131-F131</f>
        <v>1115.6063879685601</v>
      </c>
      <c r="K131" s="9">
        <f t="shared" ref="K131:K194" si="17">I131*1</f>
        <v>197.06304719916</v>
      </c>
      <c r="L131" s="10">
        <f t="shared" si="14"/>
        <v>0.17664209287829358</v>
      </c>
      <c r="M131" s="10">
        <f t="shared" ref="M131:M181" si="18">L131+ABS($N$2)*A131</f>
        <v>0.18537049154557905</v>
      </c>
      <c r="P131" s="8">
        <f t="shared" ref="P131:P194" si="19">(M131-$O$2)/$O$2*100</f>
        <v>-28.972767001978433</v>
      </c>
      <c r="X131" s="8">
        <v>-13</v>
      </c>
    </row>
    <row r="132" spans="1:24" x14ac:dyDescent="0.2">
      <c r="A132" s="8">
        <v>65</v>
      </c>
      <c r="B132" s="8">
        <v>130</v>
      </c>
      <c r="D132">
        <v>1271.701968135</v>
      </c>
      <c r="E132">
        <v>320.83036551077998</v>
      </c>
      <c r="F132">
        <v>153.11830985916001</v>
      </c>
      <c r="G132">
        <v>122.47605633803001</v>
      </c>
      <c r="I132" s="9">
        <f t="shared" si="15"/>
        <v>198.35430917274999</v>
      </c>
      <c r="J132" s="9">
        <f t="shared" si="16"/>
        <v>1118.58365827584</v>
      </c>
      <c r="K132" s="9">
        <f t="shared" si="17"/>
        <v>198.35430917274999</v>
      </c>
      <c r="L132" s="10">
        <f t="shared" si="14"/>
        <v>0.17732630698225013</v>
      </c>
      <c r="M132" s="10">
        <f t="shared" si="18"/>
        <v>0.18612236765470835</v>
      </c>
      <c r="P132" s="8">
        <f t="shared" si="19"/>
        <v>-28.684675412300354</v>
      </c>
      <c r="X132" s="8">
        <v>-13</v>
      </c>
    </row>
    <row r="133" spans="1:24" x14ac:dyDescent="0.2">
      <c r="A133" s="8">
        <v>65.5</v>
      </c>
      <c r="B133" s="8">
        <v>131</v>
      </c>
      <c r="D133">
        <v>1269.4667291471001</v>
      </c>
      <c r="E133">
        <v>319.28772258668999</v>
      </c>
      <c r="F133">
        <v>153.79436619718001</v>
      </c>
      <c r="G133">
        <v>122.44788732393999</v>
      </c>
      <c r="I133" s="9">
        <f t="shared" si="15"/>
        <v>196.83983526275</v>
      </c>
      <c r="J133" s="9">
        <f t="shared" si="16"/>
        <v>1115.6723629499202</v>
      </c>
      <c r="K133" s="9">
        <f t="shared" si="17"/>
        <v>196.83983526275</v>
      </c>
      <c r="L133" s="10">
        <f t="shared" si="14"/>
        <v>0.1764315777638257</v>
      </c>
      <c r="M133" s="10">
        <f t="shared" si="18"/>
        <v>0.18529530044145667</v>
      </c>
      <c r="P133" s="8">
        <f t="shared" si="19"/>
        <v>-29.001577499417103</v>
      </c>
      <c r="X133" s="8">
        <v>-13</v>
      </c>
    </row>
    <row r="134" spans="1:24" x14ac:dyDescent="0.2">
      <c r="A134" s="8">
        <v>66</v>
      </c>
      <c r="B134" s="8">
        <v>132</v>
      </c>
      <c r="D134">
        <v>1279.2014995314</v>
      </c>
      <c r="E134">
        <v>320.02061855670001</v>
      </c>
      <c r="F134">
        <v>153.55774647887</v>
      </c>
      <c r="G134">
        <v>122.38122065728</v>
      </c>
      <c r="I134" s="9">
        <f t="shared" si="15"/>
        <v>197.63939789942003</v>
      </c>
      <c r="J134" s="9">
        <f t="shared" si="16"/>
        <v>1125.64375305253</v>
      </c>
      <c r="K134" s="9">
        <f t="shared" si="17"/>
        <v>197.63939789942003</v>
      </c>
      <c r="L134" s="10">
        <f t="shared" si="14"/>
        <v>0.17557899412088407</v>
      </c>
      <c r="M134" s="10">
        <f t="shared" si="18"/>
        <v>0.18451037880368781</v>
      </c>
      <c r="P134" s="8">
        <f t="shared" si="19"/>
        <v>-29.302330934260802</v>
      </c>
      <c r="X134" s="8">
        <v>-13</v>
      </c>
    </row>
    <row r="135" spans="1:24" x14ac:dyDescent="0.2">
      <c r="A135" s="8">
        <v>66.5</v>
      </c>
      <c r="B135" s="8">
        <v>133</v>
      </c>
      <c r="D135">
        <v>1271.2717900656</v>
      </c>
      <c r="E135">
        <v>318.72820993440001</v>
      </c>
      <c r="F135">
        <v>153.08638497653001</v>
      </c>
      <c r="G135">
        <v>122.50985915493</v>
      </c>
      <c r="I135" s="9">
        <f t="shared" si="15"/>
        <v>196.21835077947003</v>
      </c>
      <c r="J135" s="9">
        <f t="shared" si="16"/>
        <v>1118.1854050890699</v>
      </c>
      <c r="K135" s="9">
        <f t="shared" si="17"/>
        <v>196.21835077947003</v>
      </c>
      <c r="L135" s="10">
        <f t="shared" si="14"/>
        <v>0.17547926299739183</v>
      </c>
      <c r="M135" s="10">
        <f t="shared" si="18"/>
        <v>0.18447830968536832</v>
      </c>
      <c r="P135" s="8">
        <f t="shared" si="19"/>
        <v>-29.314618654490314</v>
      </c>
      <c r="X135" s="8">
        <v>-13</v>
      </c>
    </row>
    <row r="136" spans="1:24" x14ac:dyDescent="0.2">
      <c r="A136" s="8">
        <v>67</v>
      </c>
      <c r="B136" s="8">
        <v>134</v>
      </c>
      <c r="D136">
        <v>1248.7656982193</v>
      </c>
      <c r="E136">
        <v>315.97656982193001</v>
      </c>
      <c r="F136">
        <v>153.67136150235001</v>
      </c>
      <c r="G136">
        <v>122.60281690140999</v>
      </c>
      <c r="I136" s="9">
        <f t="shared" si="15"/>
        <v>193.37375292052002</v>
      </c>
      <c r="J136" s="9">
        <f t="shared" si="16"/>
        <v>1095.09433671695</v>
      </c>
      <c r="K136" s="9">
        <f t="shared" si="17"/>
        <v>193.37375292052002</v>
      </c>
      <c r="L136" s="10">
        <f t="shared" si="14"/>
        <v>0.17658182170884654</v>
      </c>
      <c r="M136" s="10">
        <f t="shared" si="18"/>
        <v>0.18564853040199578</v>
      </c>
      <c r="P136" s="8">
        <f t="shared" si="19"/>
        <v>-28.866232620629184</v>
      </c>
      <c r="X136" s="8">
        <v>-13</v>
      </c>
    </row>
    <row r="137" spans="1:24" x14ac:dyDescent="0.2">
      <c r="A137" s="8">
        <v>67.5</v>
      </c>
      <c r="B137" s="8">
        <v>135</v>
      </c>
      <c r="D137">
        <v>1251.3664479849999</v>
      </c>
      <c r="E137">
        <v>318.33458294283002</v>
      </c>
      <c r="F137">
        <v>153.09014084507001</v>
      </c>
      <c r="G137">
        <v>122.11737089202001</v>
      </c>
      <c r="I137" s="9">
        <f t="shared" si="15"/>
        <v>196.21721205081002</v>
      </c>
      <c r="J137" s="9">
        <f t="shared" si="16"/>
        <v>1098.2763071399299</v>
      </c>
      <c r="K137" s="9">
        <f t="shared" si="17"/>
        <v>196.21721205081002</v>
      </c>
      <c r="L137" s="10">
        <f t="shared" si="14"/>
        <v>0.17865924155442081</v>
      </c>
      <c r="M137" s="10">
        <f t="shared" si="18"/>
        <v>0.18779361225274283</v>
      </c>
      <c r="P137" s="8">
        <f t="shared" si="19"/>
        <v>-28.044315242396543</v>
      </c>
      <c r="X137" s="8">
        <v>-13</v>
      </c>
    </row>
    <row r="138" spans="1:24" x14ac:dyDescent="0.2">
      <c r="A138" s="8">
        <v>68</v>
      </c>
      <c r="B138" s="8">
        <v>136</v>
      </c>
      <c r="D138">
        <v>1169.4200187091001</v>
      </c>
      <c r="E138">
        <v>305.05144995323002</v>
      </c>
      <c r="F138">
        <v>153.37089201878001</v>
      </c>
      <c r="G138">
        <v>122.21220657277</v>
      </c>
      <c r="I138" s="9">
        <f t="shared" si="15"/>
        <v>182.83924338046</v>
      </c>
      <c r="J138" s="9">
        <f t="shared" si="16"/>
        <v>1016.04912669032</v>
      </c>
      <c r="K138" s="9">
        <f t="shared" si="17"/>
        <v>182.83924338046</v>
      </c>
      <c r="L138" s="10">
        <f t="shared" si="14"/>
        <v>0.17995118402989119</v>
      </c>
      <c r="M138" s="10">
        <f t="shared" si="18"/>
        <v>0.18915321673338595</v>
      </c>
      <c r="P138" s="8">
        <f t="shared" si="19"/>
        <v>-27.523364235434101</v>
      </c>
      <c r="X138" s="8">
        <v>-13</v>
      </c>
    </row>
    <row r="139" spans="1:24" x14ac:dyDescent="0.2">
      <c r="A139" s="8">
        <v>68.5</v>
      </c>
      <c r="B139" s="8">
        <v>137</v>
      </c>
      <c r="D139">
        <v>1172.9859681946</v>
      </c>
      <c r="E139">
        <v>306.62488306828999</v>
      </c>
      <c r="F139">
        <v>153.2779342723</v>
      </c>
      <c r="G139">
        <v>122.12769953052</v>
      </c>
      <c r="I139" s="9">
        <f t="shared" si="15"/>
        <v>184.49718353776998</v>
      </c>
      <c r="J139" s="9">
        <f t="shared" si="16"/>
        <v>1019.7080339223</v>
      </c>
      <c r="K139" s="9">
        <f t="shared" si="17"/>
        <v>184.49718353776998</v>
      </c>
      <c r="L139" s="10">
        <f t="shared" si="14"/>
        <v>0.18093138172904535</v>
      </c>
      <c r="M139" s="10">
        <f t="shared" si="18"/>
        <v>0.19020107643771286</v>
      </c>
      <c r="P139" s="8">
        <f t="shared" si="19"/>
        <v>-27.121862492908022</v>
      </c>
      <c r="X139" s="8">
        <v>-13</v>
      </c>
    </row>
    <row r="140" spans="1:24" x14ac:dyDescent="0.2">
      <c r="A140" s="8">
        <v>69</v>
      </c>
      <c r="B140" s="8">
        <v>138</v>
      </c>
      <c r="D140">
        <v>1179.5781103835</v>
      </c>
      <c r="E140">
        <v>307.21328344247001</v>
      </c>
      <c r="F140">
        <v>153.44882629108</v>
      </c>
      <c r="G140">
        <v>122.40469483568</v>
      </c>
      <c r="I140" s="9">
        <f t="shared" si="15"/>
        <v>184.80858860679001</v>
      </c>
      <c r="J140" s="9">
        <f t="shared" si="16"/>
        <v>1026.12928409242</v>
      </c>
      <c r="K140" s="9">
        <f t="shared" si="17"/>
        <v>184.80858860679001</v>
      </c>
      <c r="L140" s="10">
        <f t="shared" si="14"/>
        <v>0.18010263567348395</v>
      </c>
      <c r="M140" s="10">
        <f t="shared" si="18"/>
        <v>0.1894399923873242</v>
      </c>
      <c r="P140" s="8">
        <f t="shared" si="19"/>
        <v>-27.41348223091115</v>
      </c>
      <c r="X140" s="8">
        <v>-13</v>
      </c>
    </row>
    <row r="141" spans="1:24" x14ac:dyDescent="0.2">
      <c r="A141" s="8">
        <v>69.5</v>
      </c>
      <c r="B141" s="8">
        <v>139</v>
      </c>
      <c r="D141">
        <v>1177.6735266604001</v>
      </c>
      <c r="E141">
        <v>307.79139382600999</v>
      </c>
      <c r="F141">
        <v>153.21784037558999</v>
      </c>
      <c r="G141">
        <v>122.19061032864001</v>
      </c>
      <c r="I141" s="9">
        <f t="shared" si="15"/>
        <v>185.60078349737</v>
      </c>
      <c r="J141" s="9">
        <f t="shared" si="16"/>
        <v>1024.4556862848101</v>
      </c>
      <c r="K141" s="9">
        <f t="shared" si="17"/>
        <v>185.60078349737</v>
      </c>
      <c r="L141" s="10">
        <f t="shared" si="14"/>
        <v>0.18117014330844458</v>
      </c>
      <c r="M141" s="10">
        <f t="shared" si="18"/>
        <v>0.19057516202745761</v>
      </c>
      <c r="P141" s="8">
        <f t="shared" si="19"/>
        <v>-26.978526495239429</v>
      </c>
      <c r="X141" s="8">
        <v>-13</v>
      </c>
    </row>
    <row r="142" spans="1:24" x14ac:dyDescent="0.2">
      <c r="A142" s="8">
        <v>70</v>
      </c>
      <c r="B142" s="8">
        <v>140</v>
      </c>
      <c r="D142">
        <v>1186.3863423760999</v>
      </c>
      <c r="E142">
        <v>315.61365762395002</v>
      </c>
      <c r="F142">
        <v>153.38779342723001</v>
      </c>
      <c r="G142">
        <v>122.50704225352</v>
      </c>
      <c r="I142" s="9">
        <f t="shared" si="15"/>
        <v>193.10661537043001</v>
      </c>
      <c r="J142" s="9">
        <f t="shared" si="16"/>
        <v>1032.9985489488699</v>
      </c>
      <c r="K142" s="9">
        <f t="shared" si="17"/>
        <v>193.10661537043001</v>
      </c>
      <c r="L142" s="10">
        <f t="shared" si="14"/>
        <v>0.18693793477921736</v>
      </c>
      <c r="M142" s="10">
        <f t="shared" si="18"/>
        <v>0.19641061550340314</v>
      </c>
      <c r="P142" s="8">
        <f t="shared" si="19"/>
        <v>-24.742592878031612</v>
      </c>
      <c r="X142" s="8">
        <v>-13</v>
      </c>
    </row>
    <row r="143" spans="1:24" x14ac:dyDescent="0.2">
      <c r="A143" s="8">
        <v>70.5</v>
      </c>
      <c r="B143" s="8">
        <v>141</v>
      </c>
      <c r="D143">
        <v>1179.7081384472001</v>
      </c>
      <c r="E143">
        <v>316.69504209541998</v>
      </c>
      <c r="F143">
        <v>153.35962441314999</v>
      </c>
      <c r="G143">
        <v>122.43568075117</v>
      </c>
      <c r="I143" s="9">
        <f t="shared" si="15"/>
        <v>194.25936134424998</v>
      </c>
      <c r="J143" s="9">
        <f t="shared" si="16"/>
        <v>1026.3485140340501</v>
      </c>
      <c r="K143" s="9">
        <f t="shared" si="17"/>
        <v>194.25936134424998</v>
      </c>
      <c r="L143" s="10">
        <f t="shared" si="14"/>
        <v>0.18927231704240108</v>
      </c>
      <c r="M143" s="10">
        <f t="shared" si="18"/>
        <v>0.1988126597717596</v>
      </c>
      <c r="P143" s="8">
        <f t="shared" si="19"/>
        <v>-23.822216843541966</v>
      </c>
      <c r="X143" s="8">
        <v>-13</v>
      </c>
    </row>
    <row r="144" spans="1:24" x14ac:dyDescent="0.2">
      <c r="A144" s="8">
        <v>71</v>
      </c>
      <c r="B144" s="8">
        <v>142</v>
      </c>
      <c r="D144">
        <v>1180.5463049579</v>
      </c>
      <c r="E144">
        <v>316.15434985968</v>
      </c>
      <c r="F144">
        <v>152.92676056337999</v>
      </c>
      <c r="G144">
        <v>122.05352112676</v>
      </c>
      <c r="I144" s="9">
        <f t="shared" si="15"/>
        <v>194.10082873291998</v>
      </c>
      <c r="J144" s="9">
        <f t="shared" si="16"/>
        <v>1027.6195443945201</v>
      </c>
      <c r="K144" s="9">
        <f t="shared" si="17"/>
        <v>194.10082873291998</v>
      </c>
      <c r="L144" s="10">
        <f t="shared" si="14"/>
        <v>0.18888394035682282</v>
      </c>
      <c r="M144" s="10">
        <f t="shared" si="18"/>
        <v>0.19849194509135412</v>
      </c>
      <c r="P144" s="8">
        <f t="shared" si="19"/>
        <v>-23.945103049113932</v>
      </c>
    </row>
    <row r="145" spans="1:16" x14ac:dyDescent="0.2">
      <c r="A145" s="8">
        <v>71.5</v>
      </c>
      <c r="B145" s="8">
        <v>143</v>
      </c>
      <c r="D145">
        <v>1191.1534144059999</v>
      </c>
      <c r="E145">
        <v>319.15622076707001</v>
      </c>
      <c r="F145">
        <v>154.02441314554</v>
      </c>
      <c r="G145">
        <v>122.52300469484</v>
      </c>
      <c r="I145" s="9">
        <f t="shared" si="15"/>
        <v>196.63321607223003</v>
      </c>
      <c r="J145" s="9">
        <f t="shared" si="16"/>
        <v>1037.12900126046</v>
      </c>
      <c r="K145" s="9">
        <f t="shared" si="17"/>
        <v>196.63321607223003</v>
      </c>
      <c r="L145" s="10">
        <f t="shared" si="14"/>
        <v>0.18959378807578869</v>
      </c>
      <c r="M145" s="10">
        <f t="shared" si="18"/>
        <v>0.19926945481549274</v>
      </c>
      <c r="P145" s="8">
        <f t="shared" si="19"/>
        <v>-23.647189590104503</v>
      </c>
    </row>
    <row r="146" spans="1:16" x14ac:dyDescent="0.2">
      <c r="A146" s="8">
        <v>72</v>
      </c>
      <c r="B146" s="8">
        <v>144</v>
      </c>
      <c r="D146">
        <v>1186.5425631431001</v>
      </c>
      <c r="E146">
        <v>318.69597754911001</v>
      </c>
      <c r="F146">
        <v>154.03380281689999</v>
      </c>
      <c r="G146">
        <v>122.24507042254</v>
      </c>
      <c r="I146" s="9">
        <f t="shared" si="15"/>
        <v>196.45090712657003</v>
      </c>
      <c r="J146" s="9">
        <f t="shared" si="16"/>
        <v>1032.5087603262</v>
      </c>
      <c r="K146" s="9">
        <f t="shared" si="17"/>
        <v>196.45090712657003</v>
      </c>
      <c r="L146" s="10">
        <f t="shared" si="14"/>
        <v>0.19026560807533041</v>
      </c>
      <c r="M146" s="10">
        <f t="shared" si="18"/>
        <v>0.20000893682020721</v>
      </c>
      <c r="P146" s="8">
        <f t="shared" si="19"/>
        <v>-23.363846970635947</v>
      </c>
    </row>
    <row r="147" spans="1:16" x14ac:dyDescent="0.2">
      <c r="A147" s="8">
        <v>72.5</v>
      </c>
      <c r="B147" s="8">
        <v>145</v>
      </c>
      <c r="D147">
        <v>1237.030956848</v>
      </c>
      <c r="E147">
        <v>323.73452157599002</v>
      </c>
      <c r="F147">
        <v>153.80563380282001</v>
      </c>
      <c r="G147">
        <v>122.01220657277</v>
      </c>
      <c r="I147" s="9">
        <f t="shared" si="15"/>
        <v>201.72231500322002</v>
      </c>
      <c r="J147" s="9">
        <f t="shared" si="16"/>
        <v>1083.2253230451799</v>
      </c>
      <c r="K147" s="9">
        <f t="shared" si="17"/>
        <v>201.72231500322002</v>
      </c>
      <c r="L147" s="10">
        <f t="shared" si="14"/>
        <v>0.18622378069609294</v>
      </c>
      <c r="M147" s="10">
        <f t="shared" si="18"/>
        <v>0.19603477144614251</v>
      </c>
      <c r="P147" s="8">
        <f t="shared" si="19"/>
        <v>-24.886602656521134</v>
      </c>
    </row>
    <row r="148" spans="1:16" x14ac:dyDescent="0.2">
      <c r="A148" s="8">
        <v>73</v>
      </c>
      <c r="B148" s="8">
        <v>146</v>
      </c>
      <c r="D148">
        <v>1229.7842401501</v>
      </c>
      <c r="E148">
        <v>322.40900562851999</v>
      </c>
      <c r="F148">
        <v>153.22159624413001</v>
      </c>
      <c r="G148">
        <v>122.38779342722999</v>
      </c>
      <c r="I148" s="9">
        <f t="shared" si="15"/>
        <v>200.02121220128998</v>
      </c>
      <c r="J148" s="9">
        <f t="shared" si="16"/>
        <v>1076.5626439059699</v>
      </c>
      <c r="K148" s="9">
        <f t="shared" si="17"/>
        <v>200.02121220128998</v>
      </c>
      <c r="L148" s="10">
        <f t="shared" si="14"/>
        <v>0.18579616646884176</v>
      </c>
      <c r="M148" s="10">
        <f t="shared" si="18"/>
        <v>0.19567481922406407</v>
      </c>
      <c r="P148" s="8">
        <f t="shared" si="19"/>
        <v>-25.024523261535197</v>
      </c>
    </row>
    <row r="149" spans="1:16" x14ac:dyDescent="0.2">
      <c r="A149" s="8">
        <v>73.5</v>
      </c>
      <c r="B149" s="8">
        <v>147</v>
      </c>
      <c r="D149">
        <v>1200.5666041275999</v>
      </c>
      <c r="E149">
        <v>314</v>
      </c>
      <c r="F149">
        <v>153.47136150234999</v>
      </c>
      <c r="G149">
        <v>122.30798122066</v>
      </c>
      <c r="I149" s="9">
        <f t="shared" si="15"/>
        <v>191.69201877934</v>
      </c>
      <c r="J149" s="9">
        <f t="shared" si="16"/>
        <v>1047.09524262525</v>
      </c>
      <c r="K149" s="9">
        <f t="shared" si="17"/>
        <v>191.69201877934</v>
      </c>
      <c r="L149" s="10">
        <f t="shared" si="14"/>
        <v>0.18307027954661961</v>
      </c>
      <c r="M149" s="10">
        <f t="shared" si="18"/>
        <v>0.19301659430701468</v>
      </c>
      <c r="P149" s="8">
        <f t="shared" si="19"/>
        <v>-26.043058406855184</v>
      </c>
    </row>
    <row r="150" spans="1:16" x14ac:dyDescent="0.2">
      <c r="A150" s="8">
        <v>74</v>
      </c>
      <c r="B150" s="8">
        <v>148</v>
      </c>
      <c r="D150">
        <v>1129.8264540338</v>
      </c>
      <c r="E150">
        <v>301.65759849905999</v>
      </c>
      <c r="F150">
        <v>154.03286384977</v>
      </c>
      <c r="G150">
        <v>121.74835680751001</v>
      </c>
      <c r="I150" s="9">
        <f t="shared" si="15"/>
        <v>179.90924169154999</v>
      </c>
      <c r="J150" s="9">
        <f t="shared" si="16"/>
        <v>975.79359018402999</v>
      </c>
      <c r="K150" s="9">
        <f t="shared" si="17"/>
        <v>179.90924169154999</v>
      </c>
      <c r="L150" s="10">
        <f t="shared" si="14"/>
        <v>0.18437223148557472</v>
      </c>
      <c r="M150" s="10">
        <f t="shared" si="18"/>
        <v>0.19438620825114253</v>
      </c>
      <c r="P150" s="8">
        <f t="shared" si="19"/>
        <v>-25.518272137391207</v>
      </c>
    </row>
    <row r="151" spans="1:16" x14ac:dyDescent="0.2">
      <c r="A151" s="8">
        <v>74.5</v>
      </c>
      <c r="B151" s="8">
        <v>149</v>
      </c>
      <c r="D151">
        <v>1169.2973733583999</v>
      </c>
      <c r="E151">
        <v>310.27016885554002</v>
      </c>
      <c r="F151">
        <v>153.71830985916</v>
      </c>
      <c r="G151">
        <v>122.49671361502</v>
      </c>
      <c r="I151" s="9">
        <f t="shared" si="15"/>
        <v>187.77345524052004</v>
      </c>
      <c r="J151" s="9">
        <f t="shared" si="16"/>
        <v>1015.57906349924</v>
      </c>
      <c r="K151" s="9">
        <f t="shared" si="17"/>
        <v>187.77345524052004</v>
      </c>
      <c r="L151" s="10">
        <f t="shared" si="14"/>
        <v>0.1848929955227071</v>
      </c>
      <c r="M151" s="10">
        <f t="shared" si="18"/>
        <v>0.19497463429344769</v>
      </c>
      <c r="P151" s="8">
        <f t="shared" si="19"/>
        <v>-25.292808670900719</v>
      </c>
    </row>
    <row r="152" spans="1:16" x14ac:dyDescent="0.2">
      <c r="A152" s="8">
        <v>75</v>
      </c>
      <c r="B152" s="8">
        <v>150</v>
      </c>
      <c r="D152">
        <v>1146.4343339587001</v>
      </c>
      <c r="E152">
        <v>312.60787992495</v>
      </c>
      <c r="F152">
        <v>153.29483568075</v>
      </c>
      <c r="G152">
        <v>122.65633802817</v>
      </c>
      <c r="I152" s="9">
        <f t="shared" si="15"/>
        <v>189.95154189677999</v>
      </c>
      <c r="J152" s="9">
        <f t="shared" si="16"/>
        <v>993.13949827795011</v>
      </c>
      <c r="K152" s="9">
        <f t="shared" si="17"/>
        <v>189.95154189677999</v>
      </c>
      <c r="L152" s="10">
        <f t="shared" si="14"/>
        <v>0.19126370688724559</v>
      </c>
      <c r="M152" s="10">
        <f t="shared" si="18"/>
        <v>0.20141300766315892</v>
      </c>
      <c r="P152" s="8">
        <f t="shared" si="19"/>
        <v>-22.825858070263745</v>
      </c>
    </row>
    <row r="153" spans="1:16" x14ac:dyDescent="0.2">
      <c r="A153" s="8">
        <v>75.5</v>
      </c>
      <c r="B153" s="8">
        <v>151</v>
      </c>
      <c r="D153">
        <v>1130.9587242026</v>
      </c>
      <c r="E153">
        <v>311.05816135084001</v>
      </c>
      <c r="F153">
        <v>154.45258215961999</v>
      </c>
      <c r="G153">
        <v>122.54178403756001</v>
      </c>
      <c r="I153" s="9">
        <f t="shared" si="15"/>
        <v>188.51637731328</v>
      </c>
      <c r="J153" s="9">
        <f t="shared" si="16"/>
        <v>976.50614204298006</v>
      </c>
      <c r="K153" s="9">
        <f t="shared" si="17"/>
        <v>188.51637731328</v>
      </c>
      <c r="L153" s="10">
        <f t="shared" si="14"/>
        <v>0.19305191150040163</v>
      </c>
      <c r="M153" s="10">
        <f t="shared" si="18"/>
        <v>0.20326887428148771</v>
      </c>
      <c r="P153" s="8">
        <f t="shared" si="19"/>
        <v>-22.114757454333848</v>
      </c>
    </row>
    <row r="154" spans="1:16" x14ac:dyDescent="0.2">
      <c r="A154" s="8">
        <v>76</v>
      </c>
      <c r="B154" s="8">
        <v>152</v>
      </c>
      <c r="D154">
        <v>1133.9390243902001</v>
      </c>
      <c r="E154">
        <v>310.55628517823999</v>
      </c>
      <c r="F154">
        <v>153.59624413146</v>
      </c>
      <c r="G154">
        <v>122.79436619718</v>
      </c>
      <c r="I154" s="9">
        <f t="shared" si="15"/>
        <v>187.76191898105998</v>
      </c>
      <c r="J154" s="9">
        <f t="shared" si="16"/>
        <v>980.34278025874005</v>
      </c>
      <c r="K154" s="9">
        <f t="shared" si="17"/>
        <v>187.76191898105998</v>
      </c>
      <c r="L154" s="10">
        <f t="shared" si="14"/>
        <v>0.19152680344267373</v>
      </c>
      <c r="M154" s="10">
        <f t="shared" si="18"/>
        <v>0.20181142822893258</v>
      </c>
      <c r="P154" s="8">
        <f t="shared" si="19"/>
        <v>-22.673197794507551</v>
      </c>
    </row>
    <row r="155" spans="1:16" x14ac:dyDescent="0.2">
      <c r="A155" s="8">
        <v>76.5</v>
      </c>
      <c r="B155" s="8">
        <v>153</v>
      </c>
      <c r="D155">
        <v>1132.126641651</v>
      </c>
      <c r="E155">
        <v>312.20168855535002</v>
      </c>
      <c r="F155">
        <v>153.84600938967</v>
      </c>
      <c r="G155">
        <v>122.38591549296</v>
      </c>
      <c r="I155" s="9">
        <f t="shared" si="15"/>
        <v>189.81577306239001</v>
      </c>
      <c r="J155" s="9">
        <f t="shared" si="16"/>
        <v>978.28063226132997</v>
      </c>
      <c r="K155" s="9">
        <f t="shared" si="17"/>
        <v>189.81577306239001</v>
      </c>
      <c r="L155" s="10">
        <f t="shared" si="14"/>
        <v>0.19402998158475671</v>
      </c>
      <c r="M155" s="10">
        <f t="shared" si="18"/>
        <v>0.20438226837618831</v>
      </c>
      <c r="P155" s="8">
        <f t="shared" si="19"/>
        <v>-21.688145315996415</v>
      </c>
    </row>
    <row r="156" spans="1:16" x14ac:dyDescent="0.2">
      <c r="A156" s="8">
        <v>77</v>
      </c>
      <c r="B156" s="8">
        <v>154</v>
      </c>
      <c r="D156">
        <v>1121.5562851781999</v>
      </c>
      <c r="E156">
        <v>309.85553470919001</v>
      </c>
      <c r="F156">
        <v>153.04131455398999</v>
      </c>
      <c r="G156">
        <v>122.36056338028</v>
      </c>
      <c r="I156" s="9">
        <f t="shared" si="15"/>
        <v>187.49497132891003</v>
      </c>
      <c r="J156" s="9">
        <f t="shared" si="16"/>
        <v>968.51497062420992</v>
      </c>
      <c r="K156" s="9">
        <f t="shared" si="17"/>
        <v>187.49497132891003</v>
      </c>
      <c r="L156" s="10">
        <f t="shared" si="14"/>
        <v>0.193590163307511</v>
      </c>
      <c r="M156" s="10">
        <f t="shared" si="18"/>
        <v>0.20401011210411535</v>
      </c>
      <c r="P156" s="8">
        <f t="shared" si="19"/>
        <v>-21.830742069275789</v>
      </c>
    </row>
    <row r="157" spans="1:16" x14ac:dyDescent="0.2">
      <c r="A157" s="8">
        <v>77.5</v>
      </c>
      <c r="B157" s="8">
        <v>155</v>
      </c>
      <c r="D157">
        <v>1109.9737335835</v>
      </c>
      <c r="E157">
        <v>309.86772983114002</v>
      </c>
      <c r="F157">
        <v>153.63755868544999</v>
      </c>
      <c r="G157">
        <v>122.07887323944</v>
      </c>
      <c r="I157" s="9">
        <f t="shared" si="15"/>
        <v>187.78885659170004</v>
      </c>
      <c r="J157" s="9">
        <f t="shared" si="16"/>
        <v>956.33617489804999</v>
      </c>
      <c r="K157" s="9">
        <f t="shared" si="17"/>
        <v>187.78885659170004</v>
      </c>
      <c r="L157" s="10">
        <f t="shared" si="14"/>
        <v>0.19636280789202523</v>
      </c>
      <c r="M157" s="10">
        <f t="shared" si="18"/>
        <v>0.20685041869380233</v>
      </c>
      <c r="P157" s="8">
        <f t="shared" si="19"/>
        <v>-20.74243984679444</v>
      </c>
    </row>
    <row r="158" spans="1:16" x14ac:dyDescent="0.2">
      <c r="A158" s="8">
        <v>78</v>
      </c>
      <c r="B158" s="8">
        <v>156</v>
      </c>
      <c r="D158">
        <v>1136.8470919325</v>
      </c>
      <c r="E158">
        <v>311.07786116323001</v>
      </c>
      <c r="F158">
        <v>152.86478873239</v>
      </c>
      <c r="G158">
        <v>121.85821596244</v>
      </c>
      <c r="I158" s="9">
        <f t="shared" si="15"/>
        <v>189.21964520079001</v>
      </c>
      <c r="J158" s="9">
        <f t="shared" si="16"/>
        <v>983.98230320010998</v>
      </c>
      <c r="K158" s="9">
        <f t="shared" si="17"/>
        <v>189.21964520079001</v>
      </c>
      <c r="L158" s="10">
        <f t="shared" si="14"/>
        <v>0.19229984582589479</v>
      </c>
      <c r="M158" s="10">
        <f t="shared" si="18"/>
        <v>0.20285511863284467</v>
      </c>
      <c r="P158" s="8">
        <f t="shared" si="19"/>
        <v>-22.273293576320615</v>
      </c>
    </row>
    <row r="159" spans="1:16" x14ac:dyDescent="0.2">
      <c r="A159" s="8">
        <v>78.5</v>
      </c>
      <c r="B159" s="8">
        <v>157</v>
      </c>
      <c r="D159">
        <v>1164.2673545965999</v>
      </c>
      <c r="E159">
        <v>314.81425891181999</v>
      </c>
      <c r="F159">
        <v>154.08262910798001</v>
      </c>
      <c r="G159">
        <v>121.88169014085</v>
      </c>
      <c r="I159" s="9">
        <f t="shared" si="15"/>
        <v>192.93256877096999</v>
      </c>
      <c r="J159" s="9">
        <f t="shared" si="16"/>
        <v>1010.18472548862</v>
      </c>
      <c r="K159" s="9">
        <f t="shared" si="17"/>
        <v>192.93256877096999</v>
      </c>
      <c r="L159" s="10">
        <f t="shared" si="14"/>
        <v>0.1909874143836908</v>
      </c>
      <c r="M159" s="10">
        <f t="shared" si="18"/>
        <v>0.20161034919581342</v>
      </c>
      <c r="P159" s="8">
        <f t="shared" si="19"/>
        <v>-22.750243969534068</v>
      </c>
    </row>
    <row r="160" spans="1:16" x14ac:dyDescent="0.2">
      <c r="A160" s="8">
        <v>79</v>
      </c>
      <c r="B160" s="8">
        <v>158</v>
      </c>
      <c r="D160">
        <v>1023.7213883677</v>
      </c>
      <c r="E160">
        <v>301.39774859287002</v>
      </c>
      <c r="F160">
        <v>153.76713615023999</v>
      </c>
      <c r="G160">
        <v>122.47042253521001</v>
      </c>
      <c r="I160" s="9">
        <f t="shared" si="15"/>
        <v>178.92732605766003</v>
      </c>
      <c r="J160" s="9">
        <f t="shared" si="16"/>
        <v>869.95425221745995</v>
      </c>
      <c r="K160" s="9">
        <f t="shared" si="17"/>
        <v>178.92732605766003</v>
      </c>
      <c r="L160" s="10">
        <f t="shared" si="14"/>
        <v>0.20567440828248756</v>
      </c>
      <c r="M160" s="10">
        <f t="shared" si="18"/>
        <v>0.21636500509978293</v>
      </c>
      <c r="P160" s="8">
        <f t="shared" si="19"/>
        <v>-17.096796250002079</v>
      </c>
    </row>
    <row r="161" spans="1:16" x14ac:dyDescent="0.2">
      <c r="A161" s="8">
        <v>79.5</v>
      </c>
      <c r="B161" s="8">
        <v>159</v>
      </c>
      <c r="D161">
        <v>1144.8977485928999</v>
      </c>
      <c r="E161">
        <v>315.62195121950998</v>
      </c>
      <c r="F161">
        <v>153.30046948357</v>
      </c>
      <c r="G161">
        <v>122.29107981221</v>
      </c>
      <c r="I161" s="9">
        <f t="shared" si="15"/>
        <v>193.33087140729998</v>
      </c>
      <c r="J161" s="9">
        <f t="shared" si="16"/>
        <v>991.59727910932997</v>
      </c>
      <c r="K161" s="9">
        <f t="shared" si="17"/>
        <v>193.33087140729998</v>
      </c>
      <c r="L161" s="10">
        <f t="shared" si="14"/>
        <v>0.19496914269566487</v>
      </c>
      <c r="M161" s="10">
        <f t="shared" si="18"/>
        <v>0.20572740151813301</v>
      </c>
      <c r="P161" s="8">
        <f t="shared" si="19"/>
        <v>-21.172739199900661</v>
      </c>
    </row>
    <row r="162" spans="1:16" x14ac:dyDescent="0.2">
      <c r="A162" s="8">
        <v>80</v>
      </c>
      <c r="B162" s="4">
        <v>160</v>
      </c>
      <c r="C162" s="4" t="s">
        <v>7</v>
      </c>
      <c r="D162">
        <v>1180.5910364146</v>
      </c>
      <c r="E162">
        <v>315.16339869281001</v>
      </c>
      <c r="F162">
        <v>153.71924882629</v>
      </c>
      <c r="G162">
        <v>122.20751173709</v>
      </c>
      <c r="H162" s="4"/>
      <c r="I162" s="5">
        <f t="shared" si="15"/>
        <v>192.95588695572002</v>
      </c>
      <c r="J162" s="5">
        <f t="shared" si="16"/>
        <v>1026.8717875883101</v>
      </c>
      <c r="K162" s="9">
        <f t="shared" si="17"/>
        <v>192.95588695572002</v>
      </c>
      <c r="L162" s="6">
        <f t="shared" si="14"/>
        <v>0.18790650331225112</v>
      </c>
      <c r="M162" s="6">
        <f t="shared" si="18"/>
        <v>0.19873242413989201</v>
      </c>
      <c r="N162" s="4"/>
      <c r="O162" s="4"/>
      <c r="P162" s="4">
        <f t="shared" si="19"/>
        <v>-23.852960220612861</v>
      </c>
    </row>
    <row r="163" spans="1:16" x14ac:dyDescent="0.2">
      <c r="A163" s="8">
        <v>80.5</v>
      </c>
      <c r="B163" s="8">
        <v>161</v>
      </c>
      <c r="D163">
        <v>1184.0207351555</v>
      </c>
      <c r="E163">
        <v>321.09802073515999</v>
      </c>
      <c r="F163">
        <v>153.66572769953001</v>
      </c>
      <c r="G163">
        <v>122.47511737089</v>
      </c>
      <c r="I163" s="9">
        <f t="shared" si="15"/>
        <v>198.62290336426997</v>
      </c>
      <c r="J163" s="9">
        <f t="shared" si="16"/>
        <v>1030.3550074559701</v>
      </c>
      <c r="K163" s="9">
        <f t="shared" si="17"/>
        <v>198.62290336426997</v>
      </c>
      <c r="L163" s="10">
        <f t="shared" si="14"/>
        <v>0.19277132825770993</v>
      </c>
      <c r="M163" s="10">
        <f t="shared" si="18"/>
        <v>0.20366491109052356</v>
      </c>
      <c r="P163" s="8">
        <f t="shared" si="19"/>
        <v>-21.963010547495301</v>
      </c>
    </row>
    <row r="164" spans="1:16" x14ac:dyDescent="0.2">
      <c r="A164" s="8">
        <v>81</v>
      </c>
      <c r="B164" s="8">
        <v>162</v>
      </c>
      <c r="D164">
        <v>1163.2507068803</v>
      </c>
      <c r="E164">
        <v>352.60226201696997</v>
      </c>
      <c r="F164">
        <v>153.95492957747001</v>
      </c>
      <c r="G164">
        <v>122.75023474178001</v>
      </c>
      <c r="I164" s="9">
        <f t="shared" si="15"/>
        <v>229.85202727518998</v>
      </c>
      <c r="J164" s="9">
        <f t="shared" si="16"/>
        <v>1009.2957773028299</v>
      </c>
      <c r="K164" s="9">
        <f t="shared" si="17"/>
        <v>229.85202727518998</v>
      </c>
      <c r="L164" s="10">
        <f t="shared" si="14"/>
        <v>0.22773505293902066</v>
      </c>
      <c r="M164" s="10">
        <f t="shared" si="18"/>
        <v>0.23869629777700707</v>
      </c>
      <c r="P164" s="8">
        <f t="shared" si="19"/>
        <v>-8.5402567765001027</v>
      </c>
    </row>
    <row r="165" spans="1:16" x14ac:dyDescent="0.2">
      <c r="A165" s="8">
        <v>81.5</v>
      </c>
      <c r="B165" s="8">
        <v>163</v>
      </c>
      <c r="D165">
        <v>1165.4571159284001</v>
      </c>
      <c r="E165">
        <v>419.72950047124999</v>
      </c>
      <c r="F165">
        <v>154.4103286385</v>
      </c>
      <c r="G165">
        <v>122.95680751174</v>
      </c>
      <c r="I165" s="9">
        <f t="shared" si="15"/>
        <v>296.77269295950998</v>
      </c>
      <c r="J165" s="9">
        <f t="shared" si="16"/>
        <v>1011.0467872899001</v>
      </c>
      <c r="K165" s="9">
        <f t="shared" si="17"/>
        <v>296.77269295950998</v>
      </c>
      <c r="L165" s="10">
        <f t="shared" si="14"/>
        <v>0.29353012807152667</v>
      </c>
      <c r="M165" s="10">
        <f t="shared" si="18"/>
        <v>0.30455903491468583</v>
      </c>
      <c r="P165" s="8">
        <f t="shared" si="19"/>
        <v>16.695949577385058</v>
      </c>
    </row>
    <row r="166" spans="1:16" x14ac:dyDescent="0.2">
      <c r="A166" s="8">
        <v>82</v>
      </c>
      <c r="B166" s="8">
        <v>164</v>
      </c>
      <c r="D166">
        <v>1177.1696512724</v>
      </c>
      <c r="E166">
        <v>474.88595664467999</v>
      </c>
      <c r="F166">
        <v>153.70892018779</v>
      </c>
      <c r="G166">
        <v>122.91549295775</v>
      </c>
      <c r="I166" s="9">
        <f t="shared" si="15"/>
        <v>351.97046368692997</v>
      </c>
      <c r="J166" s="9">
        <f t="shared" si="16"/>
        <v>1023.46073108461</v>
      </c>
      <c r="K166" s="9">
        <f t="shared" si="17"/>
        <v>351.97046368692997</v>
      </c>
      <c r="L166" s="10">
        <f t="shared" si="14"/>
        <v>0.34390226512543393</v>
      </c>
      <c r="M166" s="10">
        <f t="shared" si="18"/>
        <v>0.35499883397376586</v>
      </c>
      <c r="P166" s="8">
        <f t="shared" si="19"/>
        <v>36.022646778604773</v>
      </c>
    </row>
    <row r="167" spans="1:16" x14ac:dyDescent="0.2">
      <c r="A167" s="8">
        <v>82.5</v>
      </c>
      <c r="B167" s="8">
        <v>165</v>
      </c>
      <c r="D167">
        <v>1190.1121583412</v>
      </c>
      <c r="E167">
        <v>520.51083883129002</v>
      </c>
      <c r="F167">
        <v>154.00375586855</v>
      </c>
      <c r="G167">
        <v>123.09107981221</v>
      </c>
      <c r="I167" s="9">
        <f t="shared" si="15"/>
        <v>397.41975901908</v>
      </c>
      <c r="J167" s="9">
        <f t="shared" si="16"/>
        <v>1036.1084024726501</v>
      </c>
      <c r="K167" s="9">
        <f t="shared" si="17"/>
        <v>397.41975901908</v>
      </c>
      <c r="L167" s="10">
        <f t="shared" si="14"/>
        <v>0.38356967096362349</v>
      </c>
      <c r="M167" s="10">
        <f t="shared" si="18"/>
        <v>0.39473390181712814</v>
      </c>
      <c r="P167" s="8">
        <f t="shared" si="19"/>
        <v>51.247680161055207</v>
      </c>
    </row>
    <row r="168" spans="1:16" x14ac:dyDescent="0.2">
      <c r="A168" s="8">
        <v>83</v>
      </c>
      <c r="B168" s="8">
        <v>166</v>
      </c>
      <c r="D168">
        <v>1204.4420358153</v>
      </c>
      <c r="E168">
        <v>559.48256361922995</v>
      </c>
      <c r="F168">
        <v>153.46854460093999</v>
      </c>
      <c r="G168">
        <v>122.63192488263</v>
      </c>
      <c r="I168" s="9">
        <f t="shared" si="15"/>
        <v>436.85063873659993</v>
      </c>
      <c r="J168" s="9">
        <f t="shared" si="16"/>
        <v>1050.9734912143599</v>
      </c>
      <c r="K168" s="9">
        <f t="shared" si="17"/>
        <v>436.85063873659993</v>
      </c>
      <c r="L168" s="10">
        <f t="shared" si="14"/>
        <v>0.41566285200194308</v>
      </c>
      <c r="M168" s="10">
        <f t="shared" si="18"/>
        <v>0.42689474486062051</v>
      </c>
      <c r="P168" s="8">
        <f t="shared" si="19"/>
        <v>63.570545970046545</v>
      </c>
    </row>
    <row r="169" spans="1:16" x14ac:dyDescent="0.2">
      <c r="A169" s="8">
        <v>83.5</v>
      </c>
      <c r="B169" s="8">
        <v>167</v>
      </c>
      <c r="D169">
        <v>1250.9519321395001</v>
      </c>
      <c r="E169">
        <v>595.97832233741997</v>
      </c>
      <c r="F169">
        <v>153.64037558685001</v>
      </c>
      <c r="G169">
        <v>122.81314553991</v>
      </c>
      <c r="I169" s="9">
        <f t="shared" si="15"/>
        <v>473.16517679750996</v>
      </c>
      <c r="J169" s="9">
        <f t="shared" si="16"/>
        <v>1097.31155655265</v>
      </c>
      <c r="K169" s="9">
        <f t="shared" si="17"/>
        <v>473.16517679750996</v>
      </c>
      <c r="L169" s="10">
        <f t="shared" si="14"/>
        <v>0.43120404043134403</v>
      </c>
      <c r="M169" s="10">
        <f t="shared" si="18"/>
        <v>0.44250359529519423</v>
      </c>
      <c r="P169" s="8">
        <f t="shared" si="19"/>
        <v>69.551289978459238</v>
      </c>
    </row>
    <row r="170" spans="1:16" x14ac:dyDescent="0.2">
      <c r="A170" s="8">
        <v>84</v>
      </c>
      <c r="B170" s="8">
        <v>168</v>
      </c>
      <c r="D170">
        <v>1250.2448598131</v>
      </c>
      <c r="E170">
        <v>616.60841121495002</v>
      </c>
      <c r="F170">
        <v>153.78403755868999</v>
      </c>
      <c r="G170">
        <v>122.87699530515999</v>
      </c>
      <c r="I170" s="9">
        <f t="shared" si="15"/>
        <v>493.73141590979003</v>
      </c>
      <c r="J170" s="9">
        <f t="shared" si="16"/>
        <v>1096.46082225441</v>
      </c>
      <c r="K170" s="9">
        <f t="shared" si="17"/>
        <v>493.73141590979003</v>
      </c>
      <c r="L170" s="10">
        <f t="shared" si="14"/>
        <v>0.45029553805181954</v>
      </c>
      <c r="M170" s="10">
        <f t="shared" si="18"/>
        <v>0.46166275492084247</v>
      </c>
      <c r="P170" s="8">
        <f t="shared" si="19"/>
        <v>76.892383393225344</v>
      </c>
    </row>
    <row r="171" spans="1:16" x14ac:dyDescent="0.2">
      <c r="A171" s="8">
        <v>84.5</v>
      </c>
      <c r="B171" s="8">
        <v>169</v>
      </c>
      <c r="D171">
        <v>1250.4158878505</v>
      </c>
      <c r="E171">
        <v>631.21028037382996</v>
      </c>
      <c r="F171">
        <v>153.04225352112999</v>
      </c>
      <c r="G171">
        <v>123.06572769953</v>
      </c>
      <c r="I171" s="9">
        <f t="shared" si="15"/>
        <v>508.14455267429997</v>
      </c>
      <c r="J171" s="9">
        <f t="shared" si="16"/>
        <v>1097.3736343293699</v>
      </c>
      <c r="K171" s="9">
        <f t="shared" si="17"/>
        <v>508.14455267429997</v>
      </c>
      <c r="L171" s="10">
        <f t="shared" si="14"/>
        <v>0.46305518629016335</v>
      </c>
      <c r="M171" s="10">
        <f t="shared" si="18"/>
        <v>0.47449006516435904</v>
      </c>
      <c r="P171" s="8">
        <f t="shared" si="19"/>
        <v>81.807342326590089</v>
      </c>
    </row>
    <row r="172" spans="1:16" x14ac:dyDescent="0.2">
      <c r="A172" s="8">
        <v>85</v>
      </c>
      <c r="B172" s="8">
        <v>170</v>
      </c>
      <c r="D172">
        <v>1298.7009345793999</v>
      </c>
      <c r="E172">
        <v>655.64205607477004</v>
      </c>
      <c r="F172">
        <v>153.09859154930001</v>
      </c>
      <c r="G172">
        <v>122.48169014085001</v>
      </c>
      <c r="I172" s="9">
        <f t="shared" si="15"/>
        <v>533.16036593392005</v>
      </c>
      <c r="J172" s="9">
        <f t="shared" si="16"/>
        <v>1145.6023430301</v>
      </c>
      <c r="K172" s="9">
        <f t="shared" si="17"/>
        <v>533.16036593392005</v>
      </c>
      <c r="L172" s="10">
        <f t="shared" si="14"/>
        <v>0.46539741226761056</v>
      </c>
      <c r="M172" s="10">
        <f t="shared" si="18"/>
        <v>0.47689995314697897</v>
      </c>
      <c r="P172" s="8">
        <f t="shared" si="19"/>
        <v>82.730723787218039</v>
      </c>
    </row>
    <row r="173" spans="1:16" x14ac:dyDescent="0.2">
      <c r="A173" s="8">
        <v>85.5</v>
      </c>
      <c r="B173" s="8">
        <v>171</v>
      </c>
      <c r="D173">
        <v>1255.6610328638999</v>
      </c>
      <c r="E173">
        <v>641.47981220657005</v>
      </c>
      <c r="F173">
        <v>154.12863849765</v>
      </c>
      <c r="G173">
        <v>123.21126760563</v>
      </c>
      <c r="I173" s="9">
        <f t="shared" si="15"/>
        <v>518.26854460094</v>
      </c>
      <c r="J173" s="9">
        <f t="shared" si="16"/>
        <v>1101.5323943662499</v>
      </c>
      <c r="K173" s="9">
        <f t="shared" si="17"/>
        <v>518.26854460094</v>
      </c>
      <c r="L173" s="10">
        <f t="shared" si="14"/>
        <v>0.47049777859607844</v>
      </c>
      <c r="M173" s="10">
        <f t="shared" si="18"/>
        <v>0.48206798148061963</v>
      </c>
      <c r="P173" s="8">
        <f t="shared" si="19"/>
        <v>84.710924354920678</v>
      </c>
    </row>
    <row r="174" spans="1:16" x14ac:dyDescent="0.2">
      <c r="A174" s="8">
        <v>86</v>
      </c>
      <c r="B174" s="8">
        <v>172</v>
      </c>
      <c r="D174">
        <v>1087.0484171322</v>
      </c>
      <c r="E174">
        <v>565.79236499068998</v>
      </c>
      <c r="F174">
        <v>154.43474178404</v>
      </c>
      <c r="G174">
        <v>122.75399061033001</v>
      </c>
      <c r="I174" s="9">
        <f t="shared" si="15"/>
        <v>443.03837438035998</v>
      </c>
      <c r="J174" s="9">
        <f t="shared" si="16"/>
        <v>932.61367534816009</v>
      </c>
      <c r="K174" s="9">
        <f t="shared" si="17"/>
        <v>443.03837438035998</v>
      </c>
      <c r="L174" s="10">
        <f t="shared" si="14"/>
        <v>0.47505026581876619</v>
      </c>
      <c r="M174" s="10">
        <f t="shared" si="18"/>
        <v>0.48668813070848016</v>
      </c>
      <c r="P174" s="8">
        <f t="shared" si="19"/>
        <v>86.481197568077647</v>
      </c>
    </row>
    <row r="175" spans="1:16" x14ac:dyDescent="0.2">
      <c r="A175" s="8">
        <v>86.5</v>
      </c>
      <c r="B175" s="8">
        <v>173</v>
      </c>
      <c r="D175">
        <v>1031.1803738317999</v>
      </c>
      <c r="E175">
        <v>543.98130841121997</v>
      </c>
      <c r="F175">
        <v>153.40281690141001</v>
      </c>
      <c r="G175">
        <v>122.57370892019</v>
      </c>
      <c r="I175" s="9">
        <f t="shared" si="15"/>
        <v>421.40759949102994</v>
      </c>
      <c r="J175" s="9">
        <f t="shared" si="16"/>
        <v>877.77755693038989</v>
      </c>
      <c r="K175" s="9">
        <f t="shared" si="17"/>
        <v>421.40759949102994</v>
      </c>
      <c r="L175" s="10">
        <f t="shared" si="14"/>
        <v>0.48008472780359396</v>
      </c>
      <c r="M175" s="10">
        <f t="shared" si="18"/>
        <v>0.49179025469848064</v>
      </c>
      <c r="P175" s="8">
        <f t="shared" si="19"/>
        <v>88.436145987327293</v>
      </c>
    </row>
    <row r="176" spans="1:16" x14ac:dyDescent="0.2">
      <c r="A176" s="8">
        <v>87</v>
      </c>
      <c r="B176" s="8">
        <v>174</v>
      </c>
      <c r="D176">
        <v>1024.3477038425999</v>
      </c>
      <c r="E176">
        <v>526.74882849109997</v>
      </c>
      <c r="F176">
        <v>153.23192488263001</v>
      </c>
      <c r="G176">
        <v>123.05633802817</v>
      </c>
      <c r="I176" s="9">
        <f t="shared" si="15"/>
        <v>403.69249046292998</v>
      </c>
      <c r="J176" s="9">
        <f t="shared" si="16"/>
        <v>871.11577895996993</v>
      </c>
      <c r="K176" s="9">
        <f t="shared" si="17"/>
        <v>403.69249046292998</v>
      </c>
      <c r="L176" s="10">
        <f t="shared" si="14"/>
        <v>0.46342001857078141</v>
      </c>
      <c r="M176" s="10">
        <f t="shared" si="18"/>
        <v>0.47519320747084087</v>
      </c>
      <c r="P176" s="8">
        <f t="shared" si="19"/>
        <v>82.076760894868386</v>
      </c>
    </row>
    <row r="177" spans="1:16" x14ac:dyDescent="0.2">
      <c r="A177" s="8">
        <v>87.5</v>
      </c>
      <c r="B177" s="8">
        <v>175</v>
      </c>
      <c r="D177">
        <v>1076.6710402998999</v>
      </c>
      <c r="E177">
        <v>552.49953139644003</v>
      </c>
      <c r="F177">
        <v>153.20657276994999</v>
      </c>
      <c r="G177">
        <v>122.89953051643</v>
      </c>
      <c r="I177" s="9">
        <f t="shared" si="15"/>
        <v>429.60000088001004</v>
      </c>
      <c r="J177" s="9">
        <f t="shared" si="16"/>
        <v>923.46446752994996</v>
      </c>
      <c r="K177" s="9">
        <f t="shared" si="17"/>
        <v>429.60000088001004</v>
      </c>
      <c r="L177" s="10">
        <f t="shared" si="14"/>
        <v>0.46520468949832894</v>
      </c>
      <c r="M177" s="10">
        <f t="shared" si="18"/>
        <v>0.47704554040356117</v>
      </c>
      <c r="P177" s="8">
        <f t="shared" si="19"/>
        <v>82.786507530944391</v>
      </c>
    </row>
    <row r="178" spans="1:16" x14ac:dyDescent="0.2">
      <c r="A178" s="8">
        <v>88</v>
      </c>
      <c r="B178" s="8">
        <v>176</v>
      </c>
      <c r="D178">
        <v>1052.0618556700999</v>
      </c>
      <c r="E178">
        <v>536.07216494844999</v>
      </c>
      <c r="F178">
        <v>154.05821596243999</v>
      </c>
      <c r="G178">
        <v>122.33333333333</v>
      </c>
      <c r="I178" s="9">
        <f t="shared" si="15"/>
        <v>413.73883161511998</v>
      </c>
      <c r="J178" s="9">
        <f t="shared" si="16"/>
        <v>898.00363970765989</v>
      </c>
      <c r="K178" s="9">
        <f t="shared" si="17"/>
        <v>413.73883161511998</v>
      </c>
      <c r="L178" s="10">
        <f t="shared" si="14"/>
        <v>0.46073179809138676</v>
      </c>
      <c r="M178" s="10">
        <f t="shared" si="18"/>
        <v>0.47264031100179171</v>
      </c>
      <c r="P178" s="8">
        <f t="shared" si="19"/>
        <v>81.098583781482475</v>
      </c>
    </row>
    <row r="179" spans="1:16" x14ac:dyDescent="0.2">
      <c r="A179" s="8">
        <v>88.5</v>
      </c>
      <c r="B179" s="8">
        <v>177</v>
      </c>
      <c r="D179">
        <v>1110.0720299345001</v>
      </c>
      <c r="E179">
        <v>553.35173058934004</v>
      </c>
      <c r="F179">
        <v>153.56525821596</v>
      </c>
      <c r="G179">
        <v>122.73990610329</v>
      </c>
      <c r="I179" s="9">
        <f t="shared" si="15"/>
        <v>430.61182448605007</v>
      </c>
      <c r="J179" s="9">
        <f t="shared" si="16"/>
        <v>956.50677171853999</v>
      </c>
      <c r="K179" s="9">
        <f t="shared" si="17"/>
        <v>430.61182448605007</v>
      </c>
      <c r="L179" s="10">
        <f t="shared" si="14"/>
        <v>0.45019213372883587</v>
      </c>
      <c r="M179" s="10">
        <f t="shared" si="18"/>
        <v>0.46216830864441361</v>
      </c>
      <c r="P179" s="8">
        <f t="shared" si="19"/>
        <v>77.086093200097565</v>
      </c>
    </row>
    <row r="180" spans="1:16" x14ac:dyDescent="0.2">
      <c r="A180" s="8">
        <v>89</v>
      </c>
      <c r="B180" s="8">
        <v>178</v>
      </c>
      <c r="D180">
        <v>1243.3900841908001</v>
      </c>
      <c r="E180">
        <v>596.60430308699995</v>
      </c>
      <c r="F180">
        <v>153.2985915493</v>
      </c>
      <c r="G180">
        <v>122.61314553990999</v>
      </c>
      <c r="I180" s="9">
        <f t="shared" si="15"/>
        <v>473.99115754708998</v>
      </c>
      <c r="J180" s="9">
        <f t="shared" si="16"/>
        <v>1090.0914926415001</v>
      </c>
      <c r="K180" s="9">
        <f t="shared" si="17"/>
        <v>473.99115754708998</v>
      </c>
      <c r="L180" s="10">
        <f t="shared" si="14"/>
        <v>0.43481777515621078</v>
      </c>
      <c r="M180" s="10">
        <f t="shared" si="18"/>
        <v>0.44686161207696129</v>
      </c>
      <c r="P180" s="8">
        <f t="shared" si="19"/>
        <v>71.221123568406568</v>
      </c>
    </row>
    <row r="181" spans="1:16" x14ac:dyDescent="0.2">
      <c r="A181" s="8">
        <v>89.5</v>
      </c>
      <c r="B181" s="8">
        <v>179</v>
      </c>
      <c r="D181">
        <v>1283.6431261770001</v>
      </c>
      <c r="E181">
        <v>614.35875706214995</v>
      </c>
      <c r="F181">
        <v>153.64131455398999</v>
      </c>
      <c r="G181">
        <v>123.00469483568</v>
      </c>
      <c r="I181" s="9">
        <f t="shared" si="15"/>
        <v>491.35406222646998</v>
      </c>
      <c r="J181" s="9">
        <f t="shared" si="16"/>
        <v>1130.0018116230101</v>
      </c>
      <c r="K181" s="9">
        <f t="shared" si="17"/>
        <v>491.35406222646998</v>
      </c>
      <c r="L181" s="10">
        <f t="shared" si="14"/>
        <v>0.43482590662464793</v>
      </c>
      <c r="M181" s="10">
        <f t="shared" si="18"/>
        <v>0.44693740555057115</v>
      </c>
      <c r="P181" s="8">
        <f t="shared" si="19"/>
        <v>71.250164871932995</v>
      </c>
    </row>
    <row r="182" spans="1:16" x14ac:dyDescent="0.2">
      <c r="A182" s="8">
        <v>90</v>
      </c>
      <c r="B182" s="8">
        <v>180</v>
      </c>
      <c r="D182">
        <v>1202.3248587570999</v>
      </c>
      <c r="E182">
        <v>580.34086629002002</v>
      </c>
      <c r="F182">
        <v>153.03004694836</v>
      </c>
      <c r="G182">
        <v>122.66666666667</v>
      </c>
      <c r="I182" s="9">
        <f t="shared" si="15"/>
        <v>457.67419962335003</v>
      </c>
      <c r="J182" s="9">
        <f t="shared" si="16"/>
        <v>1049.29481180874</v>
      </c>
      <c r="K182" s="9">
        <f t="shared" si="17"/>
        <v>457.67419962335003</v>
      </c>
      <c r="L182" s="10">
        <f t="shared" si="14"/>
        <v>0.43617312739250685</v>
      </c>
      <c r="M182" s="10">
        <f>L182+ABS($N$2)*A182</f>
        <v>0.44835228832360285</v>
      </c>
      <c r="P182" s="8">
        <f t="shared" si="19"/>
        <v>71.792296510831406</v>
      </c>
    </row>
    <row r="183" spans="1:16" x14ac:dyDescent="0.2">
      <c r="A183" s="8">
        <v>90.5</v>
      </c>
      <c r="B183" s="8">
        <v>181</v>
      </c>
      <c r="D183">
        <v>1286.9971751411999</v>
      </c>
      <c r="E183">
        <v>621.36158192089999</v>
      </c>
      <c r="F183">
        <v>153.28732394366</v>
      </c>
      <c r="G183">
        <v>122.57370892019</v>
      </c>
      <c r="I183" s="9">
        <f t="shared" si="15"/>
        <v>498.78787300070996</v>
      </c>
      <c r="J183" s="9">
        <f t="shared" si="16"/>
        <v>1133.70985119754</v>
      </c>
      <c r="K183" s="9">
        <f t="shared" si="17"/>
        <v>498.78787300070996</v>
      </c>
      <c r="L183" s="10">
        <f t="shared" si="14"/>
        <v>0.43996078227056007</v>
      </c>
      <c r="M183" s="10">
        <f t="shared" ref="M183:M241" si="20">L183+ABS($N$2)*A183</f>
        <v>0.45220760520682884</v>
      </c>
      <c r="P183" s="8">
        <f t="shared" si="19"/>
        <v>73.269513775903889</v>
      </c>
    </row>
    <row r="184" spans="1:16" x14ac:dyDescent="0.2">
      <c r="A184" s="8">
        <v>91</v>
      </c>
      <c r="B184" s="8">
        <v>182</v>
      </c>
      <c r="D184">
        <v>1305.3248587570999</v>
      </c>
      <c r="E184">
        <v>629.84086629002002</v>
      </c>
      <c r="F184">
        <v>153.8779342723</v>
      </c>
      <c r="G184">
        <v>122.76431924883001</v>
      </c>
      <c r="I184" s="9">
        <f t="shared" si="15"/>
        <v>507.07654704119</v>
      </c>
      <c r="J184" s="9">
        <f t="shared" si="16"/>
        <v>1151.4469244847999</v>
      </c>
      <c r="K184" s="9">
        <f t="shared" si="17"/>
        <v>507.07654704119</v>
      </c>
      <c r="L184" s="10">
        <f t="shared" si="14"/>
        <v>0.44038204128954955</v>
      </c>
      <c r="M184" s="10">
        <f t="shared" si="20"/>
        <v>0.45269652623099105</v>
      </c>
      <c r="P184" s="8">
        <f t="shared" si="19"/>
        <v>73.456850537063957</v>
      </c>
    </row>
    <row r="185" spans="1:16" x14ac:dyDescent="0.2">
      <c r="A185" s="8">
        <v>91.5</v>
      </c>
      <c r="B185" s="8">
        <v>183</v>
      </c>
      <c r="D185">
        <v>1309.5621468927</v>
      </c>
      <c r="E185">
        <v>636.38606403013</v>
      </c>
      <c r="F185">
        <v>153.58122065728</v>
      </c>
      <c r="G185">
        <v>122.94647887324</v>
      </c>
      <c r="I185" s="9">
        <f t="shared" si="15"/>
        <v>513.43958515688996</v>
      </c>
      <c r="J185" s="9">
        <f t="shared" si="16"/>
        <v>1155.9809262354199</v>
      </c>
      <c r="K185" s="9">
        <f t="shared" si="17"/>
        <v>513.43958515688996</v>
      </c>
      <c r="L185" s="10">
        <f t="shared" si="14"/>
        <v>0.44415921881078341</v>
      </c>
      <c r="M185" s="10">
        <f t="shared" si="20"/>
        <v>0.45654136575739768</v>
      </c>
      <c r="P185" s="8">
        <f t="shared" si="19"/>
        <v>74.930053259919873</v>
      </c>
    </row>
    <row r="186" spans="1:16" x14ac:dyDescent="0.2">
      <c r="A186" s="8">
        <v>92</v>
      </c>
      <c r="B186" s="8">
        <v>184</v>
      </c>
      <c r="D186">
        <v>1299.7080979284001</v>
      </c>
      <c r="E186">
        <v>638.98681732579996</v>
      </c>
      <c r="F186">
        <v>153.69577464789</v>
      </c>
      <c r="G186">
        <v>122.71737089202</v>
      </c>
      <c r="I186" s="9">
        <f t="shared" si="15"/>
        <v>516.26944643377999</v>
      </c>
      <c r="J186" s="9">
        <f t="shared" si="16"/>
        <v>1146.0123232805101</v>
      </c>
      <c r="K186" s="9">
        <f t="shared" si="17"/>
        <v>516.26944643377999</v>
      </c>
      <c r="L186" s="10">
        <f t="shared" si="14"/>
        <v>0.45049205488116939</v>
      </c>
      <c r="M186" s="10">
        <f t="shared" si="20"/>
        <v>0.46294186383295644</v>
      </c>
      <c r="P186" s="8">
        <f t="shared" si="19"/>
        <v>77.382491424838491</v>
      </c>
    </row>
    <row r="187" spans="1:16" x14ac:dyDescent="0.2">
      <c r="A187" s="8">
        <v>92.5</v>
      </c>
      <c r="B187" s="8">
        <v>185</v>
      </c>
      <c r="D187">
        <v>1304.6337099811999</v>
      </c>
      <c r="E187">
        <v>653.59133709980995</v>
      </c>
      <c r="F187">
        <v>154.01596244132</v>
      </c>
      <c r="G187">
        <v>122.82253521126999</v>
      </c>
      <c r="I187" s="9">
        <f t="shared" si="15"/>
        <v>530.76880188854</v>
      </c>
      <c r="J187" s="9">
        <f t="shared" si="16"/>
        <v>1150.6177475398799</v>
      </c>
      <c r="K187" s="9">
        <f t="shared" si="17"/>
        <v>530.76880188854</v>
      </c>
      <c r="L187" s="10">
        <f t="shared" si="14"/>
        <v>0.46129029647193387</v>
      </c>
      <c r="M187" s="10">
        <f t="shared" si="20"/>
        <v>0.47380776742889363</v>
      </c>
      <c r="P187" s="8">
        <f t="shared" si="19"/>
        <v>81.545910640096409</v>
      </c>
    </row>
    <row r="188" spans="1:16" x14ac:dyDescent="0.2">
      <c r="A188" s="8">
        <v>93</v>
      </c>
      <c r="B188" s="8">
        <v>186</v>
      </c>
      <c r="D188">
        <v>1252.6823308271</v>
      </c>
      <c r="E188">
        <v>632.87781954886998</v>
      </c>
      <c r="F188">
        <v>154.85539906103</v>
      </c>
      <c r="G188">
        <v>122.80845070423</v>
      </c>
      <c r="I188" s="9">
        <f t="shared" si="15"/>
        <v>510.06936884464</v>
      </c>
      <c r="J188" s="9">
        <f t="shared" si="16"/>
        <v>1097.8269317660699</v>
      </c>
      <c r="K188" s="9">
        <f t="shared" si="17"/>
        <v>510.06936884464</v>
      </c>
      <c r="L188" s="10">
        <f t="shared" si="14"/>
        <v>0.46461728537128649</v>
      </c>
      <c r="M188" s="10">
        <f t="shared" si="20"/>
        <v>0.47720241833341903</v>
      </c>
      <c r="P188" s="8">
        <f t="shared" si="19"/>
        <v>82.846617450184283</v>
      </c>
    </row>
    <row r="189" spans="1:16" x14ac:dyDescent="0.2">
      <c r="A189" s="8">
        <v>93.5</v>
      </c>
      <c r="B189" s="8">
        <v>187</v>
      </c>
      <c r="D189">
        <v>1207.4990601504001</v>
      </c>
      <c r="E189">
        <v>612.37875939850005</v>
      </c>
      <c r="F189">
        <v>154.11830985916001</v>
      </c>
      <c r="G189">
        <v>123.09577464789</v>
      </c>
      <c r="I189" s="9">
        <f t="shared" si="15"/>
        <v>489.28298475061007</v>
      </c>
      <c r="J189" s="9">
        <f t="shared" si="16"/>
        <v>1053.38075029124</v>
      </c>
      <c r="K189" s="9">
        <f t="shared" si="17"/>
        <v>489.28298475061007</v>
      </c>
      <c r="L189" s="10">
        <f t="shared" si="14"/>
        <v>0.46448825328859722</v>
      </c>
      <c r="M189" s="10">
        <f t="shared" si="20"/>
        <v>0.47714104825590253</v>
      </c>
      <c r="P189" s="8">
        <f t="shared" si="19"/>
        <v>82.823102667661303</v>
      </c>
    </row>
    <row r="190" spans="1:16" x14ac:dyDescent="0.2">
      <c r="A190" s="8">
        <v>94</v>
      </c>
      <c r="B190" s="8">
        <v>188</v>
      </c>
      <c r="D190">
        <v>1187.0122180451001</v>
      </c>
      <c r="E190">
        <v>583.09868421053</v>
      </c>
      <c r="F190">
        <v>153.47511737088999</v>
      </c>
      <c r="G190">
        <v>122.75305164319001</v>
      </c>
      <c r="I190" s="9">
        <f t="shared" si="15"/>
        <v>460.34563256733998</v>
      </c>
      <c r="J190" s="9">
        <f t="shared" si="16"/>
        <v>1033.53710067421</v>
      </c>
      <c r="K190" s="9">
        <f t="shared" si="17"/>
        <v>460.34563256733998</v>
      </c>
      <c r="L190" s="10">
        <f t="shared" si="14"/>
        <v>0.4454079415891713</v>
      </c>
      <c r="M190" s="10">
        <f t="shared" si="20"/>
        <v>0.45812839856164933</v>
      </c>
      <c r="P190" s="8">
        <f t="shared" si="19"/>
        <v>75.538146532064914</v>
      </c>
    </row>
    <row r="191" spans="1:16" x14ac:dyDescent="0.2">
      <c r="A191" s="8">
        <v>94.5</v>
      </c>
      <c r="B191" s="8">
        <v>189</v>
      </c>
      <c r="D191">
        <v>1217.9830827067999</v>
      </c>
      <c r="E191">
        <v>592.09116541353001</v>
      </c>
      <c r="F191">
        <v>154.01220657277</v>
      </c>
      <c r="G191">
        <v>122.50985915493</v>
      </c>
      <c r="I191" s="9">
        <f t="shared" si="15"/>
        <v>469.58130625860002</v>
      </c>
      <c r="J191" s="9">
        <f t="shared" si="16"/>
        <v>1063.9708761340298</v>
      </c>
      <c r="K191" s="9">
        <f t="shared" si="17"/>
        <v>469.58130625860002</v>
      </c>
      <c r="L191" s="10">
        <f t="shared" si="14"/>
        <v>0.44134789475144076</v>
      </c>
      <c r="M191" s="10">
        <f t="shared" si="20"/>
        <v>0.45413601372909157</v>
      </c>
      <c r="P191" s="8">
        <f t="shared" si="19"/>
        <v>74.00840981207503</v>
      </c>
    </row>
    <row r="192" spans="1:16" x14ac:dyDescent="0.2">
      <c r="A192" s="8">
        <v>95</v>
      </c>
      <c r="B192" s="8">
        <v>190</v>
      </c>
      <c r="D192">
        <v>1189.3327067668999</v>
      </c>
      <c r="E192">
        <v>594.51221804510999</v>
      </c>
      <c r="F192">
        <v>154.40938967136</v>
      </c>
      <c r="G192">
        <v>123.27417840376</v>
      </c>
      <c r="I192" s="9">
        <f t="shared" si="15"/>
        <v>471.23803964134999</v>
      </c>
      <c r="J192" s="9">
        <f t="shared" si="16"/>
        <v>1034.9233170955399</v>
      </c>
      <c r="K192" s="9">
        <f t="shared" si="17"/>
        <v>471.23803964134999</v>
      </c>
      <c r="L192" s="10">
        <f t="shared" si="14"/>
        <v>0.45533618951001681</v>
      </c>
      <c r="M192" s="10">
        <f t="shared" si="20"/>
        <v>0.46819197049284034</v>
      </c>
      <c r="P192" s="8">
        <f t="shared" si="19"/>
        <v>79.394141423103434</v>
      </c>
    </row>
    <row r="193" spans="1:16" x14ac:dyDescent="0.2">
      <c r="A193" s="8">
        <v>95.5</v>
      </c>
      <c r="B193" s="8">
        <v>191</v>
      </c>
      <c r="D193">
        <v>1198.1005639098</v>
      </c>
      <c r="E193">
        <v>584.95394736842002</v>
      </c>
      <c r="F193">
        <v>154.13427230047</v>
      </c>
      <c r="G193">
        <v>123.10610328639</v>
      </c>
      <c r="I193" s="9">
        <f t="shared" si="15"/>
        <v>461.84784408203001</v>
      </c>
      <c r="J193" s="9">
        <f t="shared" si="16"/>
        <v>1043.96629160933</v>
      </c>
      <c r="K193" s="9">
        <f t="shared" si="17"/>
        <v>461.84784408203001</v>
      </c>
      <c r="L193" s="10">
        <f t="shared" si="14"/>
        <v>0.44239727641978438</v>
      </c>
      <c r="M193" s="10">
        <f t="shared" si="20"/>
        <v>0.45532071940778068</v>
      </c>
      <c r="P193" s="8">
        <f t="shared" si="19"/>
        <v>74.462345956780354</v>
      </c>
    </row>
    <row r="194" spans="1:16" x14ac:dyDescent="0.2">
      <c r="A194" s="8">
        <v>96</v>
      </c>
      <c r="B194" s="8">
        <v>192</v>
      </c>
      <c r="D194">
        <v>1151.910292729</v>
      </c>
      <c r="E194">
        <v>545.39660056656999</v>
      </c>
      <c r="F194">
        <v>154.17183098592</v>
      </c>
      <c r="G194">
        <v>122.64976525822</v>
      </c>
      <c r="I194" s="9">
        <f t="shared" si="15"/>
        <v>422.74683530835</v>
      </c>
      <c r="J194" s="9">
        <f t="shared" si="16"/>
        <v>997.73846174308005</v>
      </c>
      <c r="K194" s="9">
        <f t="shared" si="17"/>
        <v>422.74683530835</v>
      </c>
      <c r="L194" s="10">
        <f t="shared" ref="L194:L257" si="21">K194/J194</f>
        <v>0.42370506051234924</v>
      </c>
      <c r="M194" s="10">
        <f t="shared" si="20"/>
        <v>0.43669616550551832</v>
      </c>
      <c r="P194" s="8">
        <f t="shared" si="19"/>
        <v>67.32609401899586</v>
      </c>
    </row>
    <row r="195" spans="1:16" x14ac:dyDescent="0.2">
      <c r="A195" s="8">
        <v>96.5</v>
      </c>
      <c r="B195" s="8">
        <v>193</v>
      </c>
      <c r="D195">
        <v>1115.5826251179999</v>
      </c>
      <c r="E195">
        <v>522.53824362605997</v>
      </c>
      <c r="F195">
        <v>153.92582159624001</v>
      </c>
      <c r="G195">
        <v>122.76150234742001</v>
      </c>
      <c r="I195" s="9">
        <f t="shared" ref="I195:I241" si="22">E195-G195</f>
        <v>399.77674127863997</v>
      </c>
      <c r="J195" s="9">
        <f t="shared" ref="J195:J241" si="23">D195-F195</f>
        <v>961.65680352175991</v>
      </c>
      <c r="K195" s="9">
        <f t="shared" ref="K195:K258" si="24">I195*1</f>
        <v>399.77674127863997</v>
      </c>
      <c r="L195" s="10">
        <f t="shared" si="21"/>
        <v>0.41571664632807231</v>
      </c>
      <c r="M195" s="10">
        <f t="shared" si="20"/>
        <v>0.42877541332641411</v>
      </c>
      <c r="P195" s="8">
        <f t="shared" ref="P195:P241" si="25">(M195-$O$2)/$O$2*100</f>
        <v>64.291149752224612</v>
      </c>
    </row>
    <row r="196" spans="1:16" x14ac:dyDescent="0.2">
      <c r="A196" s="8">
        <v>97</v>
      </c>
      <c r="B196" s="8">
        <v>194</v>
      </c>
      <c r="D196">
        <v>1192.0084985835999</v>
      </c>
      <c r="E196">
        <v>559.31350330501004</v>
      </c>
      <c r="F196">
        <v>153.93427230047001</v>
      </c>
      <c r="G196">
        <v>122.93145539906</v>
      </c>
      <c r="I196" s="9">
        <f t="shared" si="22"/>
        <v>436.38204790595006</v>
      </c>
      <c r="J196" s="9">
        <f t="shared" si="23"/>
        <v>1038.07422628313</v>
      </c>
      <c r="K196" s="9">
        <f t="shared" si="24"/>
        <v>436.38204790595006</v>
      </c>
      <c r="L196" s="10">
        <f t="shared" si="21"/>
        <v>0.4203765365299888</v>
      </c>
      <c r="M196" s="10">
        <f t="shared" si="20"/>
        <v>0.43350296553350337</v>
      </c>
      <c r="P196" s="8">
        <f t="shared" si="25"/>
        <v>66.10257588226041</v>
      </c>
    </row>
    <row r="197" spans="1:16" x14ac:dyDescent="0.2">
      <c r="A197" s="8">
        <v>97.5</v>
      </c>
      <c r="B197" s="8">
        <v>195</v>
      </c>
      <c r="D197">
        <v>1274.8333333333001</v>
      </c>
      <c r="E197">
        <v>580.38983050848003</v>
      </c>
      <c r="F197">
        <v>154.66384976526001</v>
      </c>
      <c r="G197">
        <v>122.62629107981</v>
      </c>
      <c r="I197" s="9">
        <f t="shared" si="22"/>
        <v>457.76353942867001</v>
      </c>
      <c r="J197" s="9">
        <f t="shared" si="23"/>
        <v>1120.1694835680401</v>
      </c>
      <c r="K197" s="9">
        <f t="shared" si="24"/>
        <v>457.76353942867001</v>
      </c>
      <c r="L197" s="10">
        <f t="shared" si="21"/>
        <v>0.40865560626644681</v>
      </c>
      <c r="M197" s="10">
        <f t="shared" si="20"/>
        <v>0.42184969727513416</v>
      </c>
      <c r="P197" s="8">
        <f t="shared" si="25"/>
        <v>61.637467153926892</v>
      </c>
    </row>
    <row r="198" spans="1:16" x14ac:dyDescent="0.2">
      <c r="A198" s="8">
        <v>98</v>
      </c>
      <c r="B198" s="8">
        <v>196</v>
      </c>
      <c r="D198">
        <v>1261.274952919</v>
      </c>
      <c r="E198">
        <v>570.36911487759005</v>
      </c>
      <c r="F198">
        <v>154.09859154930001</v>
      </c>
      <c r="G198">
        <v>122.8779342723</v>
      </c>
      <c r="I198" s="9">
        <f t="shared" si="22"/>
        <v>447.49118060529008</v>
      </c>
      <c r="J198" s="9">
        <f t="shared" si="23"/>
        <v>1107.1763613697001</v>
      </c>
      <c r="K198" s="9">
        <f t="shared" si="24"/>
        <v>447.49118060529008</v>
      </c>
      <c r="L198" s="10">
        <f t="shared" si="21"/>
        <v>0.40417335143580363</v>
      </c>
      <c r="M198" s="10">
        <f t="shared" si="20"/>
        <v>0.4174351044496637</v>
      </c>
      <c r="P198" s="8">
        <f t="shared" si="25"/>
        <v>59.945955680921024</v>
      </c>
    </row>
    <row r="199" spans="1:16" x14ac:dyDescent="0.2">
      <c r="A199" s="8">
        <v>98.5</v>
      </c>
      <c r="B199" s="8">
        <v>197</v>
      </c>
      <c r="D199">
        <v>1172.9086629001999</v>
      </c>
      <c r="E199">
        <v>518.40207156308998</v>
      </c>
      <c r="F199">
        <v>153.59436619717999</v>
      </c>
      <c r="G199">
        <v>122.80563380282</v>
      </c>
      <c r="I199" s="9">
        <f t="shared" si="22"/>
        <v>395.59643776026996</v>
      </c>
      <c r="J199" s="9">
        <f t="shared" si="23"/>
        <v>1019.31429670302</v>
      </c>
      <c r="K199" s="9">
        <f t="shared" si="24"/>
        <v>395.59643776026996</v>
      </c>
      <c r="L199" s="10">
        <f t="shared" si="21"/>
        <v>0.38810054861373938</v>
      </c>
      <c r="M199" s="10">
        <f t="shared" si="20"/>
        <v>0.40142996363277222</v>
      </c>
      <c r="P199" s="8">
        <f t="shared" si="25"/>
        <v>53.81336760560712</v>
      </c>
    </row>
    <row r="200" spans="1:16" x14ac:dyDescent="0.2">
      <c r="A200" s="8">
        <v>99</v>
      </c>
      <c r="B200" s="8">
        <v>198</v>
      </c>
      <c r="D200">
        <v>1172.0941619585999</v>
      </c>
      <c r="E200">
        <v>514.5</v>
      </c>
      <c r="F200">
        <v>154.53145539906001</v>
      </c>
      <c r="G200">
        <v>122.88169014085</v>
      </c>
      <c r="I200" s="9">
        <f t="shared" si="22"/>
        <v>391.61830985915003</v>
      </c>
      <c r="J200" s="9">
        <f t="shared" si="23"/>
        <v>1017.5627065595399</v>
      </c>
      <c r="K200" s="9">
        <f t="shared" si="24"/>
        <v>391.61830985915003</v>
      </c>
      <c r="L200" s="10">
        <f t="shared" si="21"/>
        <v>0.38485914168694579</v>
      </c>
      <c r="M200" s="10">
        <f t="shared" si="20"/>
        <v>0.39825621871115141</v>
      </c>
      <c r="P200" s="8">
        <f t="shared" si="25"/>
        <v>52.597303936871455</v>
      </c>
    </row>
    <row r="201" spans="1:16" x14ac:dyDescent="0.2">
      <c r="A201" s="8">
        <v>99.5</v>
      </c>
      <c r="B201" s="8">
        <v>199</v>
      </c>
      <c r="D201">
        <v>1145.5838041431</v>
      </c>
      <c r="E201">
        <v>506.79378531073002</v>
      </c>
      <c r="F201">
        <v>154.40187793427</v>
      </c>
      <c r="G201">
        <v>122.94929577465</v>
      </c>
      <c r="I201" s="9">
        <f t="shared" si="22"/>
        <v>383.84448953608</v>
      </c>
      <c r="J201" s="9">
        <f t="shared" si="23"/>
        <v>991.18192620882996</v>
      </c>
      <c r="K201" s="9">
        <f t="shared" si="24"/>
        <v>383.84448953608</v>
      </c>
      <c r="L201" s="10">
        <f t="shared" si="21"/>
        <v>0.38725937124806759</v>
      </c>
      <c r="M201" s="10">
        <f t="shared" si="20"/>
        <v>0.40072411027744592</v>
      </c>
      <c r="P201" s="8">
        <f t="shared" si="25"/>
        <v>53.54291026197501</v>
      </c>
    </row>
    <row r="202" spans="1:16" x14ac:dyDescent="0.2">
      <c r="A202" s="8">
        <v>100</v>
      </c>
      <c r="B202" s="8">
        <v>200</v>
      </c>
      <c r="D202">
        <v>1130.6590909091001</v>
      </c>
      <c r="E202">
        <v>505.58712121212</v>
      </c>
      <c r="F202">
        <v>153.77464788731999</v>
      </c>
      <c r="G202">
        <v>122.46384976525999</v>
      </c>
      <c r="I202" s="9">
        <f t="shared" si="22"/>
        <v>383.12327144686003</v>
      </c>
      <c r="J202" s="9">
        <f t="shared" si="23"/>
        <v>976.88444302178004</v>
      </c>
      <c r="K202" s="9">
        <f t="shared" si="24"/>
        <v>383.12327144686003</v>
      </c>
      <c r="L202" s="10">
        <f t="shared" si="21"/>
        <v>0.39218893717024639</v>
      </c>
      <c r="M202" s="10">
        <f t="shared" si="20"/>
        <v>0.4057213382047975</v>
      </c>
      <c r="P202" s="8">
        <f t="shared" si="25"/>
        <v>55.457666323637319</v>
      </c>
    </row>
    <row r="203" spans="1:16" x14ac:dyDescent="0.2">
      <c r="A203" s="8">
        <v>100.5</v>
      </c>
      <c r="B203" s="8">
        <v>201</v>
      </c>
      <c r="D203">
        <v>1223.321969697</v>
      </c>
      <c r="E203">
        <v>542.33333333332996</v>
      </c>
      <c r="F203">
        <v>153.08450704225001</v>
      </c>
      <c r="G203">
        <v>123.06854460094</v>
      </c>
      <c r="I203" s="9">
        <f t="shared" si="22"/>
        <v>419.26478873238995</v>
      </c>
      <c r="J203" s="9">
        <f t="shared" si="23"/>
        <v>1070.2374626547501</v>
      </c>
      <c r="K203" s="9">
        <f t="shared" si="24"/>
        <v>419.26478873238995</v>
      </c>
      <c r="L203" s="10">
        <f t="shared" si="21"/>
        <v>0.39174931112240591</v>
      </c>
      <c r="M203" s="10">
        <f t="shared" si="20"/>
        <v>0.40534937416212979</v>
      </c>
      <c r="P203" s="8">
        <f t="shared" si="25"/>
        <v>55.315143225677311</v>
      </c>
    </row>
    <row r="204" spans="1:16" x14ac:dyDescent="0.2">
      <c r="A204" s="8">
        <v>101</v>
      </c>
      <c r="B204" s="8">
        <v>202</v>
      </c>
      <c r="D204">
        <v>1226.8854166666999</v>
      </c>
      <c r="E204">
        <v>544.30018939393995</v>
      </c>
      <c r="F204">
        <v>153.81502347418001</v>
      </c>
      <c r="G204">
        <v>122.98028169014</v>
      </c>
      <c r="I204" s="9">
        <f t="shared" si="22"/>
        <v>421.31990770379991</v>
      </c>
      <c r="J204" s="9">
        <f t="shared" si="23"/>
        <v>1073.07039319252</v>
      </c>
      <c r="K204" s="9">
        <f t="shared" si="24"/>
        <v>421.31990770379991</v>
      </c>
      <c r="L204" s="10">
        <f t="shared" si="21"/>
        <v>0.39263026021090747</v>
      </c>
      <c r="M204" s="10">
        <f t="shared" si="20"/>
        <v>0.40629798525580407</v>
      </c>
      <c r="P204" s="8">
        <f t="shared" si="25"/>
        <v>55.678616508901271</v>
      </c>
    </row>
    <row r="205" spans="1:16" x14ac:dyDescent="0.2">
      <c r="A205" s="8">
        <v>101.5</v>
      </c>
      <c r="B205" s="8">
        <v>203</v>
      </c>
      <c r="D205">
        <v>1158.5028089888001</v>
      </c>
      <c r="E205">
        <v>527.82958801498</v>
      </c>
      <c r="F205">
        <v>154.49201877933999</v>
      </c>
      <c r="G205">
        <v>123.31173708919999</v>
      </c>
      <c r="I205" s="9">
        <f t="shared" si="22"/>
        <v>404.51785092578001</v>
      </c>
      <c r="J205" s="9">
        <f t="shared" si="23"/>
        <v>1004.0107902094601</v>
      </c>
      <c r="K205" s="9">
        <f t="shared" si="24"/>
        <v>404.51785092578001</v>
      </c>
      <c r="L205" s="10">
        <f t="shared" si="21"/>
        <v>0.40290189594614628</v>
      </c>
      <c r="M205" s="10">
        <f t="shared" si="20"/>
        <v>0.41663728299621566</v>
      </c>
      <c r="P205" s="8">
        <f t="shared" si="25"/>
        <v>59.640259505697038</v>
      </c>
    </row>
    <row r="206" spans="1:16" x14ac:dyDescent="0.2">
      <c r="A206" s="8">
        <v>102</v>
      </c>
      <c r="B206" s="8">
        <v>204</v>
      </c>
      <c r="D206">
        <v>1161.8717228464</v>
      </c>
      <c r="E206">
        <v>526.36235955055997</v>
      </c>
      <c r="F206">
        <v>154.4234741784</v>
      </c>
      <c r="G206">
        <v>122.76056338028</v>
      </c>
      <c r="I206" s="9">
        <f t="shared" si="22"/>
        <v>403.60179617027995</v>
      </c>
      <c r="J206" s="9">
        <f t="shared" si="23"/>
        <v>1007.4482486679999</v>
      </c>
      <c r="K206" s="9">
        <f t="shared" si="24"/>
        <v>403.60179617027995</v>
      </c>
      <c r="L206" s="10">
        <f t="shared" si="21"/>
        <v>0.40061789447140639</v>
      </c>
      <c r="M206" s="10">
        <f t="shared" si="20"/>
        <v>0.41442094352664854</v>
      </c>
      <c r="P206" s="8">
        <f t="shared" si="25"/>
        <v>58.791038798587095</v>
      </c>
    </row>
    <row r="207" spans="1:16" x14ac:dyDescent="0.2">
      <c r="A207" s="8">
        <v>102.5</v>
      </c>
      <c r="B207" s="8">
        <v>205</v>
      </c>
      <c r="D207">
        <v>1165.1601123595999</v>
      </c>
      <c r="E207">
        <v>523.11516853933006</v>
      </c>
      <c r="F207">
        <v>154.63755868544999</v>
      </c>
      <c r="G207">
        <v>123.40375586854999</v>
      </c>
      <c r="I207" s="9">
        <f t="shared" si="22"/>
        <v>399.71141267078008</v>
      </c>
      <c r="J207" s="9">
        <f t="shared" si="23"/>
        <v>1010.5225536741499</v>
      </c>
      <c r="K207" s="9">
        <f t="shared" si="24"/>
        <v>399.71141267078008</v>
      </c>
      <c r="L207" s="10">
        <f t="shared" si="21"/>
        <v>0.39554922472286536</v>
      </c>
      <c r="M207" s="10">
        <f t="shared" si="20"/>
        <v>0.40941993578328023</v>
      </c>
      <c r="P207" s="8">
        <f t="shared" si="25"/>
        <v>56.874834448846826</v>
      </c>
    </row>
    <row r="208" spans="1:16" x14ac:dyDescent="0.2">
      <c r="A208" s="8">
        <v>103</v>
      </c>
      <c r="B208" s="8">
        <v>206</v>
      </c>
      <c r="D208">
        <v>1154.861423221</v>
      </c>
      <c r="E208">
        <v>513.80524344569005</v>
      </c>
      <c r="F208">
        <v>154.28920187793</v>
      </c>
      <c r="G208">
        <v>123.10610328639</v>
      </c>
      <c r="I208" s="9">
        <f t="shared" si="22"/>
        <v>390.69914015930004</v>
      </c>
      <c r="J208" s="9">
        <f t="shared" si="23"/>
        <v>1000.5722213430699</v>
      </c>
      <c r="K208" s="9">
        <f t="shared" si="24"/>
        <v>390.69914015930004</v>
      </c>
      <c r="L208" s="10">
        <f t="shared" si="21"/>
        <v>0.39047570162887779</v>
      </c>
      <c r="M208" s="10">
        <f t="shared" si="20"/>
        <v>0.40441407469446544</v>
      </c>
      <c r="P208" s="8">
        <f t="shared" si="25"/>
        <v>54.956770473580541</v>
      </c>
    </row>
    <row r="209" spans="1:16" x14ac:dyDescent="0.2">
      <c r="A209" s="8">
        <v>103.5</v>
      </c>
      <c r="B209" s="8">
        <v>207</v>
      </c>
      <c r="D209">
        <v>1174.3286516854</v>
      </c>
      <c r="E209">
        <v>513.60018726592</v>
      </c>
      <c r="F209">
        <v>153.97276995305</v>
      </c>
      <c r="G209">
        <v>122.89295774647999</v>
      </c>
      <c r="I209" s="9">
        <f t="shared" si="22"/>
        <v>390.70722951944003</v>
      </c>
      <c r="J209" s="9">
        <f t="shared" si="23"/>
        <v>1020.35588173235</v>
      </c>
      <c r="K209" s="9">
        <f t="shared" si="24"/>
        <v>390.70722951944003</v>
      </c>
      <c r="L209" s="10">
        <f t="shared" si="21"/>
        <v>0.38291270380693176</v>
      </c>
      <c r="M209" s="10">
        <f t="shared" si="20"/>
        <v>0.39691873887769219</v>
      </c>
      <c r="P209" s="8">
        <f t="shared" si="25"/>
        <v>52.08483029034231</v>
      </c>
    </row>
    <row r="210" spans="1:16" x14ac:dyDescent="0.2">
      <c r="A210" s="8">
        <v>104</v>
      </c>
      <c r="B210" s="8">
        <v>208</v>
      </c>
      <c r="D210">
        <v>1213.2497643731999</v>
      </c>
      <c r="E210">
        <v>530.26672950046998</v>
      </c>
      <c r="F210">
        <v>153.84225352113</v>
      </c>
      <c r="G210">
        <v>122.88544600938999</v>
      </c>
      <c r="I210" s="9">
        <f t="shared" si="22"/>
        <v>407.38128349108001</v>
      </c>
      <c r="J210" s="9">
        <f t="shared" si="23"/>
        <v>1059.4075108520699</v>
      </c>
      <c r="K210" s="9">
        <f t="shared" si="24"/>
        <v>407.38128349108001</v>
      </c>
      <c r="L210" s="10">
        <f t="shared" si="21"/>
        <v>0.38453690323889406</v>
      </c>
      <c r="M210" s="10">
        <f t="shared" si="20"/>
        <v>0.3986106003148272</v>
      </c>
      <c r="P210" s="8">
        <f t="shared" si="25"/>
        <v>52.733090083440018</v>
      </c>
    </row>
    <row r="211" spans="1:16" x14ac:dyDescent="0.2">
      <c r="A211" s="8">
        <v>104.5</v>
      </c>
      <c r="B211" s="8">
        <v>209</v>
      </c>
      <c r="D211">
        <v>1221.8303487276</v>
      </c>
      <c r="E211">
        <v>534.70405278040005</v>
      </c>
      <c r="F211">
        <v>153.97934272301001</v>
      </c>
      <c r="G211">
        <v>122.41596244132</v>
      </c>
      <c r="I211" s="9">
        <f t="shared" si="22"/>
        <v>412.28809033908004</v>
      </c>
      <c r="J211" s="9">
        <f t="shared" si="23"/>
        <v>1067.8510060045901</v>
      </c>
      <c r="K211" s="9">
        <f t="shared" si="24"/>
        <v>412.28809033908004</v>
      </c>
      <c r="L211" s="10">
        <f t="shared" si="21"/>
        <v>0.38609140041144263</v>
      </c>
      <c r="M211" s="10">
        <f t="shared" si="20"/>
        <v>0.40023275949254855</v>
      </c>
      <c r="P211" s="8">
        <f t="shared" si="25"/>
        <v>53.354642504838026</v>
      </c>
    </row>
    <row r="212" spans="1:16" x14ac:dyDescent="0.2">
      <c r="A212" s="8">
        <v>105</v>
      </c>
      <c r="B212" s="8">
        <v>210</v>
      </c>
      <c r="D212">
        <v>1254.3477851084001</v>
      </c>
      <c r="E212">
        <v>553.00188501414004</v>
      </c>
      <c r="F212">
        <v>154.16525821595999</v>
      </c>
      <c r="G212">
        <v>122.23474178404</v>
      </c>
      <c r="I212" s="9">
        <f t="shared" si="22"/>
        <v>430.76714323010003</v>
      </c>
      <c r="J212" s="9">
        <f t="shared" si="23"/>
        <v>1100.1825268924401</v>
      </c>
      <c r="K212" s="9">
        <f t="shared" si="24"/>
        <v>430.76714323010003</v>
      </c>
      <c r="L212" s="10">
        <f t="shared" si="21"/>
        <v>0.39154152397497055</v>
      </c>
      <c r="M212" s="10">
        <f t="shared" si="20"/>
        <v>0.40575054506124919</v>
      </c>
      <c r="P212" s="8">
        <f t="shared" si="25"/>
        <v>55.46885732917999</v>
      </c>
    </row>
    <row r="213" spans="1:16" x14ac:dyDescent="0.2">
      <c r="A213" s="8">
        <v>105.5</v>
      </c>
      <c r="B213" s="8">
        <v>211</v>
      </c>
      <c r="D213">
        <v>1265.7964184730999</v>
      </c>
      <c r="E213">
        <v>552.88218661639996</v>
      </c>
      <c r="F213">
        <v>152.94647887324001</v>
      </c>
      <c r="G213">
        <v>122.93708920188</v>
      </c>
      <c r="I213" s="9">
        <f t="shared" si="22"/>
        <v>429.94509741451998</v>
      </c>
      <c r="J213" s="9">
        <f t="shared" si="23"/>
        <v>1112.8499395998599</v>
      </c>
      <c r="K213" s="9">
        <f t="shared" si="24"/>
        <v>429.94509741451998</v>
      </c>
      <c r="L213" s="10">
        <f t="shared" si="21"/>
        <v>0.38634597722053388</v>
      </c>
      <c r="M213" s="10">
        <f t="shared" si="20"/>
        <v>0.40062266031198529</v>
      </c>
      <c r="P213" s="8">
        <f t="shared" si="25"/>
        <v>53.504038323543298</v>
      </c>
    </row>
    <row r="214" spans="1:16" x14ac:dyDescent="0.2">
      <c r="A214" s="8">
        <v>106</v>
      </c>
      <c r="B214" s="8">
        <v>212</v>
      </c>
      <c r="D214">
        <v>1255.4062205467001</v>
      </c>
      <c r="E214">
        <v>541.98303487275996</v>
      </c>
      <c r="F214">
        <v>154.19154929577999</v>
      </c>
      <c r="G214">
        <v>123.1427230047</v>
      </c>
      <c r="I214" s="9">
        <f t="shared" si="22"/>
        <v>418.84031186805998</v>
      </c>
      <c r="J214" s="9">
        <f t="shared" si="23"/>
        <v>1101.21467125092</v>
      </c>
      <c r="K214" s="9">
        <f t="shared" si="24"/>
        <v>418.84031186805998</v>
      </c>
      <c r="L214" s="10">
        <f t="shared" si="21"/>
        <v>0.38034392639564107</v>
      </c>
      <c r="M214" s="10">
        <f t="shared" si="20"/>
        <v>0.39468827149226526</v>
      </c>
      <c r="P214" s="8">
        <f t="shared" si="25"/>
        <v>51.230196279511887</v>
      </c>
    </row>
    <row r="215" spans="1:16" x14ac:dyDescent="0.2">
      <c r="A215" s="8">
        <v>106.5</v>
      </c>
      <c r="B215" s="8">
        <v>213</v>
      </c>
      <c r="D215">
        <v>1241.5626767200999</v>
      </c>
      <c r="E215">
        <v>539.68614514608998</v>
      </c>
      <c r="F215">
        <v>153.65727699531001</v>
      </c>
      <c r="G215">
        <v>122.84600938967</v>
      </c>
      <c r="I215" s="9">
        <f t="shared" si="22"/>
        <v>416.84013575641995</v>
      </c>
      <c r="J215" s="9">
        <f t="shared" si="23"/>
        <v>1087.90539972479</v>
      </c>
      <c r="K215" s="9">
        <f t="shared" si="24"/>
        <v>416.84013575641995</v>
      </c>
      <c r="L215" s="10">
        <f t="shared" si="21"/>
        <v>0.38315843993592552</v>
      </c>
      <c r="M215" s="10">
        <f t="shared" si="20"/>
        <v>0.39757044703772243</v>
      </c>
      <c r="P215" s="8">
        <f t="shared" si="25"/>
        <v>52.334541163649227</v>
      </c>
    </row>
    <row r="216" spans="1:16" x14ac:dyDescent="0.2">
      <c r="A216" s="8">
        <v>107</v>
      </c>
      <c r="B216" s="8">
        <v>214</v>
      </c>
      <c r="D216">
        <v>1246.5523091422999</v>
      </c>
      <c r="E216">
        <v>530.83694627709997</v>
      </c>
      <c r="F216">
        <v>153.64882629108001</v>
      </c>
      <c r="G216">
        <v>122.89953051643</v>
      </c>
      <c r="I216" s="9">
        <f t="shared" si="22"/>
        <v>407.93741576066998</v>
      </c>
      <c r="J216" s="9">
        <f t="shared" si="23"/>
        <v>1092.9034828512199</v>
      </c>
      <c r="K216" s="9">
        <f t="shared" si="24"/>
        <v>407.93741576066998</v>
      </c>
      <c r="L216" s="10">
        <f t="shared" si="21"/>
        <v>0.37326023950113413</v>
      </c>
      <c r="M216" s="10">
        <f t="shared" si="20"/>
        <v>0.38773990860810381</v>
      </c>
      <c r="P216" s="8">
        <f t="shared" si="25"/>
        <v>48.567836238206212</v>
      </c>
    </row>
    <row r="217" spans="1:16" x14ac:dyDescent="0.2">
      <c r="A217" s="8">
        <v>107.5</v>
      </c>
      <c r="B217" s="8">
        <v>215</v>
      </c>
      <c r="D217">
        <v>1159.1131008483001</v>
      </c>
      <c r="E217">
        <v>491.70499528747001</v>
      </c>
      <c r="F217">
        <v>153.94178403756001</v>
      </c>
      <c r="G217">
        <v>122.32394366197001</v>
      </c>
      <c r="I217" s="9">
        <f t="shared" si="22"/>
        <v>369.38105162549999</v>
      </c>
      <c r="J217" s="9">
        <f t="shared" si="23"/>
        <v>1005.1713168107401</v>
      </c>
      <c r="K217" s="9">
        <f t="shared" si="24"/>
        <v>369.38105162549999</v>
      </c>
      <c r="L217" s="10">
        <f t="shared" si="21"/>
        <v>0.36748069254253235</v>
      </c>
      <c r="M217" s="10">
        <f t="shared" si="20"/>
        <v>0.38202802365467481</v>
      </c>
      <c r="P217" s="8">
        <f t="shared" si="25"/>
        <v>46.379249586347754</v>
      </c>
    </row>
    <row r="218" spans="1:16" x14ac:dyDescent="0.2">
      <c r="A218" s="8">
        <v>108</v>
      </c>
      <c r="B218" s="8">
        <v>216</v>
      </c>
      <c r="D218">
        <v>1140.7544684853999</v>
      </c>
      <c r="E218">
        <v>488.09501411101002</v>
      </c>
      <c r="F218">
        <v>154.53427230047001</v>
      </c>
      <c r="G218">
        <v>122.67417840376</v>
      </c>
      <c r="I218" s="9">
        <f t="shared" si="22"/>
        <v>365.42083570725003</v>
      </c>
      <c r="J218" s="9">
        <f t="shared" si="23"/>
        <v>986.22019618492993</v>
      </c>
      <c r="K218" s="9">
        <f t="shared" si="24"/>
        <v>365.42083570725003</v>
      </c>
      <c r="L218" s="10">
        <f t="shared" si="21"/>
        <v>0.37052661983686308</v>
      </c>
      <c r="M218" s="10">
        <f t="shared" si="20"/>
        <v>0.38514161295417826</v>
      </c>
      <c r="P218" s="8">
        <f t="shared" si="25"/>
        <v>47.572263807716432</v>
      </c>
    </row>
    <row r="219" spans="1:16" x14ac:dyDescent="0.2">
      <c r="A219" s="8">
        <v>108.5</v>
      </c>
      <c r="B219" s="8">
        <v>217</v>
      </c>
      <c r="D219">
        <v>1217.2657992565</v>
      </c>
      <c r="E219">
        <v>515.34851301114998</v>
      </c>
      <c r="F219">
        <v>154.14835680751</v>
      </c>
      <c r="G219">
        <v>122.33051643192999</v>
      </c>
      <c r="I219" s="9">
        <f t="shared" si="22"/>
        <v>393.01799657921998</v>
      </c>
      <c r="J219" s="9">
        <f t="shared" si="23"/>
        <v>1063.11744244899</v>
      </c>
      <c r="K219" s="9">
        <f t="shared" si="24"/>
        <v>393.01799657921998</v>
      </c>
      <c r="L219" s="10">
        <f t="shared" si="21"/>
        <v>0.36968445901317021</v>
      </c>
      <c r="M219" s="10">
        <f t="shared" si="20"/>
        <v>0.38436711413565816</v>
      </c>
      <c r="P219" s="8">
        <f t="shared" si="25"/>
        <v>47.275504018275008</v>
      </c>
    </row>
    <row r="220" spans="1:16" x14ac:dyDescent="0.2">
      <c r="A220" s="8">
        <v>109</v>
      </c>
      <c r="B220" s="8">
        <v>218</v>
      </c>
      <c r="D220">
        <v>1215.8336431227001</v>
      </c>
      <c r="E220">
        <v>511.38940520445999</v>
      </c>
      <c r="F220">
        <v>153.56150234742</v>
      </c>
      <c r="G220">
        <v>123.20093896714</v>
      </c>
      <c r="I220" s="9">
        <f t="shared" si="22"/>
        <v>388.18846623731997</v>
      </c>
      <c r="J220" s="9">
        <f t="shared" si="23"/>
        <v>1062.2721407752801</v>
      </c>
      <c r="K220" s="9">
        <f t="shared" si="24"/>
        <v>388.18846623731997</v>
      </c>
      <c r="L220" s="10">
        <f t="shared" si="21"/>
        <v>0.36543221961371181</v>
      </c>
      <c r="M220" s="10">
        <f t="shared" si="20"/>
        <v>0.38018253674137253</v>
      </c>
      <c r="P220" s="8">
        <f t="shared" si="25"/>
        <v>45.672126096017628</v>
      </c>
    </row>
    <row r="221" spans="1:16" x14ac:dyDescent="0.2">
      <c r="A221" s="8">
        <v>109.5</v>
      </c>
      <c r="B221" s="8">
        <v>219</v>
      </c>
      <c r="D221">
        <v>1230.9293680297001</v>
      </c>
      <c r="E221">
        <v>518.72862453532002</v>
      </c>
      <c r="F221">
        <v>153.62159624412999</v>
      </c>
      <c r="G221">
        <v>122.67699530516001</v>
      </c>
      <c r="I221" s="9">
        <f t="shared" si="22"/>
        <v>396.05162923016002</v>
      </c>
      <c r="J221" s="9">
        <f t="shared" si="23"/>
        <v>1077.3077717855701</v>
      </c>
      <c r="K221" s="9">
        <f t="shared" si="24"/>
        <v>396.05162923016002</v>
      </c>
      <c r="L221" s="10">
        <f t="shared" si="21"/>
        <v>0.36763090325964071</v>
      </c>
      <c r="M221" s="10">
        <f t="shared" si="20"/>
        <v>0.38244888239247415</v>
      </c>
      <c r="P221" s="8">
        <f t="shared" si="25"/>
        <v>46.540507353858054</v>
      </c>
    </row>
    <row r="222" spans="1:16" x14ac:dyDescent="0.2">
      <c r="A222" s="8">
        <v>110</v>
      </c>
      <c r="B222" s="8">
        <v>220</v>
      </c>
      <c r="D222">
        <v>1192.1635687732</v>
      </c>
      <c r="E222">
        <v>507.25092936802997</v>
      </c>
      <c r="F222">
        <v>154.11924882629</v>
      </c>
      <c r="G222">
        <v>122.38309859155</v>
      </c>
      <c r="I222" s="9">
        <f t="shared" si="22"/>
        <v>384.86783077647999</v>
      </c>
      <c r="J222" s="9">
        <f t="shared" si="23"/>
        <v>1038.04431994691</v>
      </c>
      <c r="K222" s="9">
        <f t="shared" si="24"/>
        <v>384.86783077647999</v>
      </c>
      <c r="L222" s="10">
        <f t="shared" si="21"/>
        <v>0.37076242640214413</v>
      </c>
      <c r="M222" s="10">
        <f t="shared" si="20"/>
        <v>0.38564806754015035</v>
      </c>
      <c r="P222" s="8">
        <f t="shared" si="25"/>
        <v>47.766318792308802</v>
      </c>
    </row>
    <row r="223" spans="1:16" x14ac:dyDescent="0.2">
      <c r="A223" s="8">
        <v>110.5</v>
      </c>
      <c r="B223" s="8">
        <v>221</v>
      </c>
      <c r="D223">
        <v>1288.6949152541999</v>
      </c>
      <c r="E223">
        <v>528.81544256121003</v>
      </c>
      <c r="F223">
        <v>154.65446009390001</v>
      </c>
      <c r="G223">
        <v>122.94366197183</v>
      </c>
      <c r="I223" s="9">
        <f t="shared" si="22"/>
        <v>405.87178058938002</v>
      </c>
      <c r="J223" s="9">
        <f t="shared" si="23"/>
        <v>1134.0404551602999</v>
      </c>
      <c r="K223" s="9">
        <f t="shared" si="24"/>
        <v>405.87178058938002</v>
      </c>
      <c r="L223" s="10">
        <f t="shared" si="21"/>
        <v>0.35789885514446562</v>
      </c>
      <c r="M223" s="10">
        <f t="shared" si="20"/>
        <v>0.37285215828764462</v>
      </c>
      <c r="P223" s="8">
        <f t="shared" si="25"/>
        <v>42.863391577079426</v>
      </c>
    </row>
    <row r="224" spans="1:16" x14ac:dyDescent="0.2">
      <c r="A224" s="8">
        <v>111</v>
      </c>
      <c r="B224" s="8">
        <v>222</v>
      </c>
      <c r="D224">
        <v>1300.6516007533</v>
      </c>
      <c r="E224">
        <v>525.05084745762997</v>
      </c>
      <c r="F224">
        <v>154.62723004694999</v>
      </c>
      <c r="G224">
        <v>122.81502347417999</v>
      </c>
      <c r="I224" s="9">
        <f t="shared" si="22"/>
        <v>402.23582398344996</v>
      </c>
      <c r="J224" s="9">
        <f t="shared" si="23"/>
        <v>1146.0243707063501</v>
      </c>
      <c r="K224" s="9">
        <f t="shared" si="24"/>
        <v>402.23582398344996</v>
      </c>
      <c r="L224" s="10">
        <f t="shared" si="21"/>
        <v>0.35098365642567675</v>
      </c>
      <c r="M224" s="10">
        <f t="shared" si="20"/>
        <v>0.36600462157402847</v>
      </c>
      <c r="P224" s="8">
        <f t="shared" si="25"/>
        <v>40.239664458672699</v>
      </c>
    </row>
    <row r="225" spans="1:16" x14ac:dyDescent="0.2">
      <c r="A225" s="8">
        <v>111.5</v>
      </c>
      <c r="B225" s="8">
        <v>223</v>
      </c>
      <c r="D225">
        <v>1250.3386491557001</v>
      </c>
      <c r="E225">
        <v>491.99812382738997</v>
      </c>
      <c r="F225">
        <v>154.44319248826</v>
      </c>
      <c r="G225">
        <v>122.56244131455</v>
      </c>
      <c r="I225" s="9">
        <f t="shared" si="22"/>
        <v>369.43568251284</v>
      </c>
      <c r="J225" s="9">
        <f t="shared" si="23"/>
        <v>1095.8954566674402</v>
      </c>
      <c r="K225" s="9">
        <f t="shared" si="24"/>
        <v>369.43568251284</v>
      </c>
      <c r="L225" s="10">
        <f t="shared" si="21"/>
        <v>0.33710850817492599</v>
      </c>
      <c r="M225" s="10">
        <f t="shared" si="20"/>
        <v>0.35219713532845048</v>
      </c>
      <c r="P225" s="8">
        <f t="shared" si="25"/>
        <v>34.9491377167694</v>
      </c>
    </row>
    <row r="226" spans="1:16" x14ac:dyDescent="0.2">
      <c r="A226" s="8">
        <v>112</v>
      </c>
      <c r="B226" s="8">
        <v>224</v>
      </c>
      <c r="D226">
        <v>1164.4686346864</v>
      </c>
      <c r="E226">
        <v>472.99723247232998</v>
      </c>
      <c r="F226">
        <v>153.65258215962001</v>
      </c>
      <c r="G226">
        <v>122.27136150235</v>
      </c>
      <c r="I226" s="9">
        <f t="shared" si="22"/>
        <v>350.72587096997995</v>
      </c>
      <c r="J226" s="9">
        <f t="shared" si="23"/>
        <v>1010.81605252678</v>
      </c>
      <c r="K226" s="9">
        <f t="shared" si="24"/>
        <v>350.72587096997995</v>
      </c>
      <c r="L226" s="10">
        <f t="shared" si="21"/>
        <v>0.3469729928538981</v>
      </c>
      <c r="M226" s="10">
        <f t="shared" si="20"/>
        <v>0.36212928201259537</v>
      </c>
      <c r="P226" s="8">
        <f t="shared" si="25"/>
        <v>38.754775231259288</v>
      </c>
    </row>
    <row r="227" spans="1:16" x14ac:dyDescent="0.2">
      <c r="A227" s="8">
        <v>112.5</v>
      </c>
      <c r="B227" s="8">
        <v>225</v>
      </c>
      <c r="D227">
        <v>1218.1220657276999</v>
      </c>
      <c r="E227">
        <v>493.47699530516002</v>
      </c>
      <c r="F227">
        <v>154.50798122066001</v>
      </c>
      <c r="G227">
        <v>122.75962441314999</v>
      </c>
      <c r="I227" s="9">
        <f t="shared" si="22"/>
        <v>370.71737089201002</v>
      </c>
      <c r="J227" s="9">
        <f t="shared" si="23"/>
        <v>1063.6140845070399</v>
      </c>
      <c r="K227" s="9">
        <f t="shared" si="24"/>
        <v>370.71737089201002</v>
      </c>
      <c r="L227" s="10">
        <f t="shared" si="21"/>
        <v>0.34854499981901688</v>
      </c>
      <c r="M227" s="10">
        <f t="shared" si="20"/>
        <v>0.36376895098288686</v>
      </c>
      <c r="P227" s="8">
        <f t="shared" si="25"/>
        <v>39.383036768581071</v>
      </c>
    </row>
    <row r="228" spans="1:16" x14ac:dyDescent="0.2">
      <c r="A228" s="8">
        <v>113</v>
      </c>
      <c r="B228" s="8">
        <v>226</v>
      </c>
      <c r="D228">
        <v>1199.5680751174</v>
      </c>
      <c r="E228">
        <v>493.25352112676001</v>
      </c>
      <c r="F228">
        <v>154.27417840376</v>
      </c>
      <c r="G228">
        <v>122.32957746479001</v>
      </c>
      <c r="I228" s="9">
        <f t="shared" si="22"/>
        <v>370.92394366196999</v>
      </c>
      <c r="J228" s="9">
        <f t="shared" si="23"/>
        <v>1045.2938967136399</v>
      </c>
      <c r="K228" s="9">
        <f t="shared" si="24"/>
        <v>370.92394366196999</v>
      </c>
      <c r="L228" s="10">
        <f t="shared" si="21"/>
        <v>0.35485134355815073</v>
      </c>
      <c r="M228" s="10">
        <f t="shared" si="20"/>
        <v>0.3701429567271935</v>
      </c>
      <c r="P228" s="8">
        <f t="shared" si="25"/>
        <v>41.825324035323732</v>
      </c>
    </row>
    <row r="229" spans="1:16" x14ac:dyDescent="0.2">
      <c r="A229" s="8">
        <v>113.5</v>
      </c>
      <c r="B229" s="8">
        <v>227</v>
      </c>
      <c r="D229">
        <v>1187.2009389671</v>
      </c>
      <c r="E229">
        <v>489.65633802817001</v>
      </c>
      <c r="F229">
        <v>154.44225352113</v>
      </c>
      <c r="G229">
        <v>122.78122065728</v>
      </c>
      <c r="I229" s="9">
        <f t="shared" si="22"/>
        <v>366.87511737089</v>
      </c>
      <c r="J229" s="9">
        <f t="shared" si="23"/>
        <v>1032.7586854459701</v>
      </c>
      <c r="K229" s="9">
        <f t="shared" si="24"/>
        <v>366.87511737089</v>
      </c>
      <c r="L229" s="10">
        <f t="shared" si="21"/>
        <v>0.3552379878678672</v>
      </c>
      <c r="M229" s="10">
        <f t="shared" si="20"/>
        <v>0.37059726304208274</v>
      </c>
      <c r="P229" s="8">
        <f t="shared" si="25"/>
        <v>41.999397698348872</v>
      </c>
    </row>
    <row r="230" spans="1:16" x14ac:dyDescent="0.2">
      <c r="A230" s="8">
        <v>114</v>
      </c>
      <c r="B230" s="8">
        <v>228</v>
      </c>
      <c r="D230">
        <v>1230.3220657277</v>
      </c>
      <c r="E230">
        <v>490.79718309858998</v>
      </c>
      <c r="F230">
        <v>154.23380281690001</v>
      </c>
      <c r="G230">
        <v>123.10140845070001</v>
      </c>
      <c r="I230" s="9">
        <f t="shared" si="22"/>
        <v>367.69577464788995</v>
      </c>
      <c r="J230" s="9">
        <f t="shared" si="23"/>
        <v>1076.0882629108</v>
      </c>
      <c r="K230" s="9">
        <f t="shared" si="24"/>
        <v>367.69577464788995</v>
      </c>
      <c r="L230" s="10">
        <f t="shared" si="21"/>
        <v>0.34169666868522408</v>
      </c>
      <c r="M230" s="10">
        <f t="shared" si="20"/>
        <v>0.35712360586461234</v>
      </c>
      <c r="P230" s="8">
        <f t="shared" si="25"/>
        <v>36.836782118595998</v>
      </c>
    </row>
    <row r="231" spans="1:16" x14ac:dyDescent="0.2">
      <c r="A231" s="8">
        <v>114.5</v>
      </c>
      <c r="B231" s="8">
        <v>229</v>
      </c>
      <c r="D231">
        <v>1235.4431924882999</v>
      </c>
      <c r="E231">
        <v>483.35962441315002</v>
      </c>
      <c r="F231">
        <v>155.16244131454999</v>
      </c>
      <c r="G231">
        <v>122.85164319249</v>
      </c>
      <c r="I231" s="9">
        <f t="shared" si="22"/>
        <v>360.50798122065999</v>
      </c>
      <c r="J231" s="9">
        <f t="shared" si="23"/>
        <v>1080.2807511737499</v>
      </c>
      <c r="K231" s="9">
        <f t="shared" si="24"/>
        <v>360.50798122065999</v>
      </c>
      <c r="L231" s="10">
        <f t="shared" si="21"/>
        <v>0.33371693499949878</v>
      </c>
      <c r="M231" s="10">
        <f t="shared" si="20"/>
        <v>0.34921153418405981</v>
      </c>
      <c r="P231" s="8">
        <f t="shared" si="25"/>
        <v>33.805163903280025</v>
      </c>
    </row>
    <row r="232" spans="1:16" x14ac:dyDescent="0.2">
      <c r="A232" s="8">
        <v>115</v>
      </c>
      <c r="B232" s="8">
        <v>230</v>
      </c>
      <c r="D232">
        <v>1214.5708920187999</v>
      </c>
      <c r="E232">
        <v>463.95868544601001</v>
      </c>
      <c r="F232">
        <v>154.08450704225001</v>
      </c>
      <c r="G232">
        <v>123.02253521127</v>
      </c>
      <c r="I232" s="9">
        <f t="shared" si="22"/>
        <v>340.93615023474001</v>
      </c>
      <c r="J232" s="9">
        <f t="shared" si="23"/>
        <v>1060.48638497655</v>
      </c>
      <c r="K232" s="9">
        <f t="shared" si="24"/>
        <v>340.93615023474001</v>
      </c>
      <c r="L232" s="10">
        <f t="shared" si="21"/>
        <v>0.32149036052195895</v>
      </c>
      <c r="M232" s="10">
        <f t="shared" si="20"/>
        <v>0.3370526217116927</v>
      </c>
      <c r="P232" s="8">
        <f t="shared" si="25"/>
        <v>29.146310695432632</v>
      </c>
    </row>
    <row r="233" spans="1:16" x14ac:dyDescent="0.2">
      <c r="A233" s="8">
        <v>115.5</v>
      </c>
      <c r="B233" s="8">
        <v>231</v>
      </c>
      <c r="D233">
        <v>1225.2828947368</v>
      </c>
      <c r="E233">
        <v>472.76503759398997</v>
      </c>
      <c r="F233">
        <v>154.63286384976999</v>
      </c>
      <c r="G233">
        <v>122.86291079812</v>
      </c>
      <c r="I233" s="9">
        <f t="shared" si="22"/>
        <v>349.90212679587</v>
      </c>
      <c r="J233" s="9">
        <f t="shared" si="23"/>
        <v>1070.65003088703</v>
      </c>
      <c r="K233" s="9">
        <f t="shared" si="24"/>
        <v>349.90212679587</v>
      </c>
      <c r="L233" s="10">
        <f t="shared" si="21"/>
        <v>0.32681279288431653</v>
      </c>
      <c r="M233" s="10">
        <f t="shared" si="20"/>
        <v>0.34244271607922305</v>
      </c>
      <c r="P233" s="8">
        <f t="shared" si="25"/>
        <v>31.211598893849953</v>
      </c>
    </row>
    <row r="234" spans="1:16" x14ac:dyDescent="0.2">
      <c r="A234" s="8">
        <v>116</v>
      </c>
      <c r="B234" s="8">
        <v>232</v>
      </c>
      <c r="D234">
        <v>1183.6397748592999</v>
      </c>
      <c r="E234">
        <v>464.42964352720998</v>
      </c>
      <c r="F234">
        <v>154.04788732393999</v>
      </c>
      <c r="G234">
        <v>122.63943661972</v>
      </c>
      <c r="I234" s="9">
        <f t="shared" si="22"/>
        <v>341.79020690748996</v>
      </c>
      <c r="J234" s="9">
        <f t="shared" si="23"/>
        <v>1029.59188753536</v>
      </c>
      <c r="K234" s="9">
        <f t="shared" si="24"/>
        <v>341.79020690748996</v>
      </c>
      <c r="L234" s="10">
        <f t="shared" si="21"/>
        <v>0.33196668606788299</v>
      </c>
      <c r="M234" s="10">
        <f t="shared" si="20"/>
        <v>0.34766427126796229</v>
      </c>
      <c r="P234" s="8">
        <f t="shared" si="25"/>
        <v>33.212309006394584</v>
      </c>
    </row>
    <row r="235" spans="1:16" x14ac:dyDescent="0.2">
      <c r="A235" s="8">
        <v>116.5</v>
      </c>
      <c r="B235" s="8">
        <v>233</v>
      </c>
      <c r="D235">
        <v>1213.9896810507</v>
      </c>
      <c r="E235">
        <v>469.38367729830998</v>
      </c>
      <c r="F235">
        <v>154.21877934272001</v>
      </c>
      <c r="G235">
        <v>122.59061032864</v>
      </c>
      <c r="I235" s="9">
        <f t="shared" si="22"/>
        <v>346.79306696967001</v>
      </c>
      <c r="J235" s="9">
        <f t="shared" si="23"/>
        <v>1059.7709017079801</v>
      </c>
      <c r="K235" s="9">
        <f t="shared" si="24"/>
        <v>346.79306696967001</v>
      </c>
      <c r="L235" s="10">
        <f t="shared" si="21"/>
        <v>0.32723399596154307</v>
      </c>
      <c r="M235" s="10">
        <f t="shared" si="20"/>
        <v>0.34299924316679509</v>
      </c>
      <c r="P235" s="8">
        <f t="shared" si="25"/>
        <v>31.424839840610723</v>
      </c>
    </row>
    <row r="236" spans="1:16" x14ac:dyDescent="0.2">
      <c r="A236" s="8">
        <v>117</v>
      </c>
      <c r="B236" s="8">
        <v>234</v>
      </c>
      <c r="D236">
        <v>1186.709280303</v>
      </c>
      <c r="E236">
        <v>454.83143939394</v>
      </c>
      <c r="F236">
        <v>153.60469483567999</v>
      </c>
      <c r="G236">
        <v>122.44037558685</v>
      </c>
      <c r="I236" s="9">
        <f t="shared" si="22"/>
        <v>332.39106380709001</v>
      </c>
      <c r="J236" s="9">
        <f t="shared" si="23"/>
        <v>1033.10458546732</v>
      </c>
      <c r="K236" s="9">
        <f t="shared" si="24"/>
        <v>332.39106380709001</v>
      </c>
      <c r="L236" s="10">
        <f t="shared" si="21"/>
        <v>0.32173999465575354</v>
      </c>
      <c r="M236" s="10">
        <f t="shared" si="20"/>
        <v>0.33757290386617833</v>
      </c>
      <c r="P236" s="8">
        <f t="shared" si="25"/>
        <v>29.345663901561871</v>
      </c>
    </row>
    <row r="237" spans="1:16" x14ac:dyDescent="0.2">
      <c r="A237" s="8">
        <v>117.5</v>
      </c>
      <c r="B237" s="8">
        <v>235</v>
      </c>
      <c r="D237">
        <v>977.09260991581004</v>
      </c>
      <c r="E237">
        <v>390.86248830683002</v>
      </c>
      <c r="F237">
        <v>153.60187793426999</v>
      </c>
      <c r="G237">
        <v>122.72112676056</v>
      </c>
      <c r="I237" s="9">
        <f t="shared" si="22"/>
        <v>268.14136154626999</v>
      </c>
      <c r="J237" s="9">
        <f t="shared" si="23"/>
        <v>823.49073198154008</v>
      </c>
      <c r="K237" s="9">
        <f t="shared" si="24"/>
        <v>268.14136154626999</v>
      </c>
      <c r="L237" s="10">
        <f t="shared" si="21"/>
        <v>0.32561551834475388</v>
      </c>
      <c r="M237" s="10">
        <f t="shared" si="20"/>
        <v>0.34151608956035145</v>
      </c>
      <c r="P237" s="8">
        <f t="shared" si="25"/>
        <v>30.856549300415303</v>
      </c>
    </row>
    <row r="238" spans="1:16" x14ac:dyDescent="0.2">
      <c r="A238" s="8">
        <v>118</v>
      </c>
      <c r="B238" s="8">
        <v>236</v>
      </c>
      <c r="D238">
        <v>994.28437792328998</v>
      </c>
      <c r="E238">
        <v>394.17492984096998</v>
      </c>
      <c r="F238">
        <v>153.88544600938999</v>
      </c>
      <c r="G238">
        <v>122.03849765258001</v>
      </c>
      <c r="I238" s="9">
        <f t="shared" si="22"/>
        <v>272.13643218838996</v>
      </c>
      <c r="J238" s="9">
        <f t="shared" si="23"/>
        <v>840.39893191390001</v>
      </c>
      <c r="K238" s="9">
        <f t="shared" si="24"/>
        <v>272.13643218838996</v>
      </c>
      <c r="L238" s="10">
        <f t="shared" si="21"/>
        <v>0.32381815570449901</v>
      </c>
      <c r="M238" s="10">
        <f t="shared" si="20"/>
        <v>0.3397863889252693</v>
      </c>
      <c r="P238" s="8">
        <f t="shared" si="25"/>
        <v>30.193790902352806</v>
      </c>
    </row>
    <row r="239" spans="1:16" x14ac:dyDescent="0.2">
      <c r="A239" s="8">
        <v>118.5</v>
      </c>
      <c r="B239" s="8">
        <v>237</v>
      </c>
      <c r="D239">
        <v>972.61646398503001</v>
      </c>
      <c r="E239">
        <v>386.47521047708</v>
      </c>
      <c r="F239">
        <v>153.60751173708999</v>
      </c>
      <c r="G239">
        <v>122.48075117371</v>
      </c>
      <c r="I239" s="9">
        <f t="shared" si="22"/>
        <v>263.99445930336998</v>
      </c>
      <c r="J239" s="9">
        <f t="shared" si="23"/>
        <v>819.00895224793999</v>
      </c>
      <c r="K239" s="9">
        <f t="shared" si="24"/>
        <v>263.99445930336998</v>
      </c>
      <c r="L239" s="10">
        <f t="shared" si="21"/>
        <v>0.32233403380852238</v>
      </c>
      <c r="M239" s="10">
        <f t="shared" si="20"/>
        <v>0.33836992903446544</v>
      </c>
      <c r="P239" s="8">
        <f t="shared" si="25"/>
        <v>29.65105496926207</v>
      </c>
    </row>
    <row r="240" spans="1:16" x14ac:dyDescent="0.2">
      <c r="A240" s="8">
        <v>119</v>
      </c>
      <c r="B240" s="8">
        <v>238</v>
      </c>
      <c r="D240">
        <v>1196.4323062558001</v>
      </c>
      <c r="E240">
        <v>441.86928104574997</v>
      </c>
      <c r="F240">
        <v>154.72957746479</v>
      </c>
      <c r="G240">
        <v>122.50422535211</v>
      </c>
      <c r="I240" s="9">
        <f t="shared" si="22"/>
        <v>319.36505569363999</v>
      </c>
      <c r="J240" s="9">
        <f t="shared" si="23"/>
        <v>1041.70272879101</v>
      </c>
      <c r="K240" s="9">
        <f t="shared" si="24"/>
        <v>319.36505569363999</v>
      </c>
      <c r="L240" s="10">
        <f t="shared" si="21"/>
        <v>0.30657983978240311</v>
      </c>
      <c r="M240" s="10">
        <f t="shared" si="20"/>
        <v>0.32268339701351895</v>
      </c>
      <c r="P240" s="8">
        <f t="shared" si="25"/>
        <v>23.640546201156766</v>
      </c>
    </row>
    <row r="241" spans="1:16" x14ac:dyDescent="0.2">
      <c r="A241" s="8">
        <v>119.5</v>
      </c>
      <c r="B241" s="8">
        <v>239</v>
      </c>
      <c r="D241">
        <v>1196.5658263304999</v>
      </c>
      <c r="E241">
        <v>439.91036414566003</v>
      </c>
      <c r="F241">
        <v>154.52300469484001</v>
      </c>
      <c r="G241">
        <v>122.51737089202</v>
      </c>
      <c r="I241" s="9">
        <f t="shared" si="22"/>
        <v>317.39299325364004</v>
      </c>
      <c r="J241" s="9">
        <f t="shared" si="23"/>
        <v>1042.0428216356599</v>
      </c>
      <c r="K241" s="9">
        <f t="shared" si="24"/>
        <v>317.39299325364004</v>
      </c>
      <c r="L241" s="10">
        <f t="shared" si="21"/>
        <v>0.30458728438380184</v>
      </c>
      <c r="M241" s="10">
        <f t="shared" si="20"/>
        <v>0.3207585036200904</v>
      </c>
      <c r="P241" s="8">
        <f t="shared" si="25"/>
        <v>22.902997034558236</v>
      </c>
    </row>
    <row r="242" spans="1:16" x14ac:dyDescent="0.2">
      <c r="A242" s="8">
        <v>120</v>
      </c>
      <c r="B242" s="8">
        <v>240</v>
      </c>
      <c r="D242">
        <v>1200.2105263158001</v>
      </c>
      <c r="E242">
        <v>435.00187969925003</v>
      </c>
      <c r="F242">
        <v>154.24694835681001</v>
      </c>
      <c r="G242">
        <v>122.79061032864</v>
      </c>
      <c r="I242" s="9">
        <f>E242-G242</f>
        <v>312.21126937061001</v>
      </c>
      <c r="J242" s="9">
        <f>D242-F242</f>
        <v>1045.9635779589901</v>
      </c>
      <c r="K242" s="9">
        <f t="shared" si="24"/>
        <v>312.21126937061001</v>
      </c>
      <c r="L242" s="10">
        <f t="shared" si="21"/>
        <v>0.29849153063229428</v>
      </c>
      <c r="M242" s="10">
        <f>L242+ABS($N$2)*A242</f>
        <v>0.31473041187375561</v>
      </c>
      <c r="O242" s="11"/>
      <c r="P242" s="8">
        <f>(M242-$O$2)/$O$2*100</f>
        <v>20.593251435728146</v>
      </c>
    </row>
    <row r="243" spans="1:16" x14ac:dyDescent="0.2">
      <c r="A243" s="8">
        <v>120.5</v>
      </c>
      <c r="B243" s="8">
        <v>241</v>
      </c>
      <c r="D243">
        <v>1204.9868421053</v>
      </c>
      <c r="E243">
        <v>441.34304511277998</v>
      </c>
      <c r="F243">
        <v>155.35962441314999</v>
      </c>
      <c r="G243">
        <v>121.95586854459999</v>
      </c>
      <c r="I243" s="9">
        <f t="shared" ref="I243:I274" si="26">E243-G243</f>
        <v>319.38717656818</v>
      </c>
      <c r="J243" s="9">
        <f t="shared" ref="J243:J274" si="27">D243-F243</f>
        <v>1049.62721769215</v>
      </c>
      <c r="K243" s="9">
        <f t="shared" si="24"/>
        <v>319.38717656818</v>
      </c>
      <c r="L243" s="10">
        <f t="shared" si="21"/>
        <v>0.304286294395478</v>
      </c>
      <c r="M243" s="10">
        <f t="shared" ref="M243:M274" si="28">L243+ABS($N$2)*A243</f>
        <v>0.32059283764211211</v>
      </c>
      <c r="P243" s="8">
        <f t="shared" ref="P243:P274" si="29">(M243-$O$2)/$O$2*100</f>
        <v>22.83951985477843</v>
      </c>
    </row>
    <row r="244" spans="1:16" x14ac:dyDescent="0.2">
      <c r="A244" s="8">
        <v>121</v>
      </c>
      <c r="B244" s="8">
        <v>242</v>
      </c>
      <c r="D244">
        <v>1172.8552631579</v>
      </c>
      <c r="E244">
        <v>423.63815789474</v>
      </c>
      <c r="F244">
        <v>153.69765258216</v>
      </c>
      <c r="G244">
        <v>122.11643192488</v>
      </c>
      <c r="I244" s="9">
        <f t="shared" si="26"/>
        <v>301.52172596985997</v>
      </c>
      <c r="J244" s="9">
        <f t="shared" si="27"/>
        <v>1019.15761057574</v>
      </c>
      <c r="K244" s="9">
        <f t="shared" si="24"/>
        <v>301.52172596985997</v>
      </c>
      <c r="L244" s="10">
        <f t="shared" si="21"/>
        <v>0.29585387268954905</v>
      </c>
      <c r="M244" s="10">
        <f t="shared" si="28"/>
        <v>0.31222807794135587</v>
      </c>
      <c r="N244" s="1"/>
      <c r="P244" s="8">
        <f t="shared" si="29"/>
        <v>19.634448048125808</v>
      </c>
    </row>
    <row r="245" spans="1:16" x14ac:dyDescent="0.2">
      <c r="A245" s="8">
        <v>121.5</v>
      </c>
      <c r="B245" s="8">
        <v>243</v>
      </c>
      <c r="D245">
        <v>1160.2208646617</v>
      </c>
      <c r="E245">
        <v>417.68984962406</v>
      </c>
      <c r="F245">
        <v>153.80187793427001</v>
      </c>
      <c r="G245">
        <v>122.45352112675999</v>
      </c>
      <c r="I245" s="9">
        <f t="shared" si="26"/>
        <v>295.23632849730001</v>
      </c>
      <c r="J245" s="9">
        <f t="shared" si="27"/>
        <v>1006.41898672743</v>
      </c>
      <c r="K245" s="9">
        <f t="shared" si="24"/>
        <v>295.23632849730001</v>
      </c>
      <c r="L245" s="10">
        <f t="shared" si="21"/>
        <v>0.29335329757372641</v>
      </c>
      <c r="M245" s="10">
        <f t="shared" si="28"/>
        <v>0.30979516483070602</v>
      </c>
      <c r="P245" s="8">
        <f t="shared" si="29"/>
        <v>18.702244195542399</v>
      </c>
    </row>
    <row r="246" spans="1:16" x14ac:dyDescent="0.2">
      <c r="A246" s="8">
        <v>122</v>
      </c>
      <c r="B246" s="8">
        <v>244</v>
      </c>
      <c r="D246">
        <v>1124.1865671641999</v>
      </c>
      <c r="E246">
        <v>415.50186567164002</v>
      </c>
      <c r="F246">
        <v>154.33145539905999</v>
      </c>
      <c r="G246">
        <v>122.47417840376001</v>
      </c>
      <c r="I246" s="9">
        <f t="shared" si="26"/>
        <v>293.02768726788003</v>
      </c>
      <c r="J246" s="9">
        <f t="shared" si="27"/>
        <v>969.8551117651399</v>
      </c>
      <c r="K246" s="9">
        <f t="shared" si="24"/>
        <v>293.02768726788003</v>
      </c>
      <c r="L246" s="10">
        <f t="shared" si="21"/>
        <v>0.30213552902202945</v>
      </c>
      <c r="M246" s="10">
        <f t="shared" si="28"/>
        <v>0.31864505828418183</v>
      </c>
      <c r="P246" s="8">
        <f t="shared" si="29"/>
        <v>22.093201618628992</v>
      </c>
    </row>
    <row r="247" spans="1:16" x14ac:dyDescent="0.2">
      <c r="A247" s="8">
        <v>122.5</v>
      </c>
      <c r="B247" s="8">
        <v>245</v>
      </c>
      <c r="D247">
        <v>1116.7555970149001</v>
      </c>
      <c r="E247">
        <v>406.88339552239</v>
      </c>
      <c r="F247">
        <v>154.27511737089</v>
      </c>
      <c r="G247">
        <v>122.28732394366</v>
      </c>
      <c r="I247" s="9">
        <f t="shared" si="26"/>
        <v>284.59607157873</v>
      </c>
      <c r="J247" s="9">
        <f t="shared" si="27"/>
        <v>962.48047964401007</v>
      </c>
      <c r="K247" s="9">
        <f t="shared" si="24"/>
        <v>284.59607157873</v>
      </c>
      <c r="L247" s="10">
        <f t="shared" si="21"/>
        <v>0.29569022707244175</v>
      </c>
      <c r="M247" s="10">
        <f t="shared" si="28"/>
        <v>0.31226741833976684</v>
      </c>
      <c r="P247" s="8">
        <f t="shared" si="29"/>
        <v>19.649521858530438</v>
      </c>
    </row>
    <row r="248" spans="1:16" x14ac:dyDescent="0.2">
      <c r="A248" s="8">
        <v>123</v>
      </c>
      <c r="B248" s="8">
        <v>246</v>
      </c>
      <c r="D248">
        <v>1050.1688432835999</v>
      </c>
      <c r="E248">
        <v>386.25559701493</v>
      </c>
      <c r="F248">
        <v>153.59530516432</v>
      </c>
      <c r="G248">
        <v>122.10140845070001</v>
      </c>
      <c r="I248" s="9">
        <f t="shared" si="26"/>
        <v>264.15418856423003</v>
      </c>
      <c r="J248" s="9">
        <f t="shared" si="27"/>
        <v>896.57353811927987</v>
      </c>
      <c r="K248" s="9">
        <f t="shared" si="24"/>
        <v>264.15418856423003</v>
      </c>
      <c r="L248" s="10">
        <f t="shared" si="21"/>
        <v>0.29462634946636918</v>
      </c>
      <c r="M248" s="10">
        <f t="shared" si="28"/>
        <v>0.31127120273886705</v>
      </c>
      <c r="P248" s="8">
        <f t="shared" si="29"/>
        <v>19.26780825885551</v>
      </c>
    </row>
    <row r="249" spans="1:16" x14ac:dyDescent="0.2">
      <c r="A249" s="8">
        <v>123.5</v>
      </c>
      <c r="B249" s="8">
        <v>247</v>
      </c>
      <c r="D249">
        <v>1108.3619402985</v>
      </c>
      <c r="E249">
        <v>401.47108208955001</v>
      </c>
      <c r="F249">
        <v>153.82629107981001</v>
      </c>
      <c r="G249">
        <v>122.19061032864001</v>
      </c>
      <c r="I249" s="9">
        <f t="shared" si="26"/>
        <v>279.28047176091002</v>
      </c>
      <c r="J249" s="9">
        <f t="shared" si="27"/>
        <v>954.53564921868997</v>
      </c>
      <c r="K249" s="9">
        <f t="shared" si="24"/>
        <v>279.28047176091002</v>
      </c>
      <c r="L249" s="10">
        <f t="shared" si="21"/>
        <v>0.29258254732498223</v>
      </c>
      <c r="M249" s="10">
        <f t="shared" si="28"/>
        <v>0.30929506260265283</v>
      </c>
      <c r="P249" s="8">
        <f t="shared" si="29"/>
        <v>18.510623203557117</v>
      </c>
    </row>
    <row r="250" spans="1:16" x14ac:dyDescent="0.2">
      <c r="A250" s="8">
        <v>124</v>
      </c>
      <c r="B250" s="8">
        <v>248</v>
      </c>
      <c r="D250">
        <v>1195.7823639774999</v>
      </c>
      <c r="E250">
        <v>417.93058161351001</v>
      </c>
      <c r="F250">
        <v>154.04037558684999</v>
      </c>
      <c r="G250">
        <v>122.09295774648</v>
      </c>
      <c r="I250" s="9">
        <f t="shared" si="26"/>
        <v>295.83762386703</v>
      </c>
      <c r="J250" s="9">
        <f t="shared" si="27"/>
        <v>1041.74198839065</v>
      </c>
      <c r="K250" s="9">
        <f t="shared" si="24"/>
        <v>295.83762386703</v>
      </c>
      <c r="L250" s="10">
        <f t="shared" si="21"/>
        <v>0.28398358438451632</v>
      </c>
      <c r="M250" s="10">
        <f t="shared" si="28"/>
        <v>0.30076376166735969</v>
      </c>
      <c r="P250" s="8">
        <f t="shared" si="29"/>
        <v>15.241738850632409</v>
      </c>
    </row>
    <row r="251" spans="1:16" x14ac:dyDescent="0.2">
      <c r="A251" s="8">
        <v>124.5</v>
      </c>
      <c r="B251" s="8">
        <v>249</v>
      </c>
      <c r="D251">
        <v>1219.0553470919001</v>
      </c>
      <c r="E251">
        <v>424.42026266417002</v>
      </c>
      <c r="F251">
        <v>154.01971830986</v>
      </c>
      <c r="G251">
        <v>122.74835680751001</v>
      </c>
      <c r="I251" s="9">
        <f t="shared" si="26"/>
        <v>301.67190585666003</v>
      </c>
      <c r="J251" s="9">
        <f t="shared" si="27"/>
        <v>1065.03562878204</v>
      </c>
      <c r="K251" s="9">
        <f t="shared" si="24"/>
        <v>301.67190585666003</v>
      </c>
      <c r="L251" s="10">
        <f t="shared" si="21"/>
        <v>0.28325052956364272</v>
      </c>
      <c r="M251" s="10">
        <f t="shared" si="28"/>
        <v>0.30009836885165886</v>
      </c>
      <c r="P251" s="8">
        <f t="shared" si="29"/>
        <v>14.986784514794271</v>
      </c>
    </row>
    <row r="252" spans="1:16" x14ac:dyDescent="0.2">
      <c r="A252" s="8">
        <v>125</v>
      </c>
      <c r="B252" s="8">
        <v>250</v>
      </c>
      <c r="D252">
        <v>1184.2767354596999</v>
      </c>
      <c r="E252">
        <v>416.69699812382999</v>
      </c>
      <c r="F252">
        <v>153.85633802817</v>
      </c>
      <c r="G252">
        <v>122.10985915493001</v>
      </c>
      <c r="I252" s="9">
        <f t="shared" si="26"/>
        <v>294.58713896889998</v>
      </c>
      <c r="J252" s="9">
        <f t="shared" si="27"/>
        <v>1030.4203974315299</v>
      </c>
      <c r="K252" s="9">
        <f t="shared" si="24"/>
        <v>294.58713896889998</v>
      </c>
      <c r="L252" s="10">
        <f t="shared" si="21"/>
        <v>0.28589024412094377</v>
      </c>
      <c r="M252" s="10">
        <f t="shared" si="28"/>
        <v>0.30280574541413263</v>
      </c>
      <c r="P252" s="8">
        <f t="shared" si="29"/>
        <v>16.024152783675</v>
      </c>
    </row>
    <row r="253" spans="1:16" x14ac:dyDescent="0.2">
      <c r="A253" s="8">
        <v>125.5</v>
      </c>
      <c r="B253" s="8">
        <v>251</v>
      </c>
      <c r="D253">
        <v>1121.2340823970001</v>
      </c>
      <c r="E253">
        <v>402.19288389513002</v>
      </c>
      <c r="F253">
        <v>153.54741784038001</v>
      </c>
      <c r="G253">
        <v>122.47699530516</v>
      </c>
      <c r="I253" s="9">
        <f t="shared" si="26"/>
        <v>279.71588858997001</v>
      </c>
      <c r="J253" s="9">
        <f t="shared" si="27"/>
        <v>967.68666455662003</v>
      </c>
      <c r="K253" s="9">
        <f t="shared" si="24"/>
        <v>279.71588858997001</v>
      </c>
      <c r="L253" s="10">
        <f t="shared" si="21"/>
        <v>0.28905626049743255</v>
      </c>
      <c r="M253" s="10">
        <f t="shared" si="28"/>
        <v>0.30603942379579419</v>
      </c>
      <c r="P253" s="8">
        <f t="shared" si="29"/>
        <v>17.263180775346839</v>
      </c>
    </row>
    <row r="254" spans="1:16" x14ac:dyDescent="0.2">
      <c r="A254" s="8">
        <v>126</v>
      </c>
      <c r="B254" s="8">
        <v>252</v>
      </c>
      <c r="D254">
        <v>1122.9859550562001</v>
      </c>
      <c r="E254">
        <v>405.64419475655001</v>
      </c>
      <c r="F254">
        <v>154.56244131455</v>
      </c>
      <c r="G254">
        <v>122.63943661972</v>
      </c>
      <c r="I254" s="9">
        <f t="shared" si="26"/>
        <v>283.00475813682999</v>
      </c>
      <c r="J254" s="9">
        <f t="shared" si="27"/>
        <v>968.42351374165003</v>
      </c>
      <c r="K254" s="9">
        <f t="shared" si="24"/>
        <v>283.00475813682999</v>
      </c>
      <c r="L254" s="10">
        <f t="shared" si="21"/>
        <v>0.29223243149414918</v>
      </c>
      <c r="M254" s="10">
        <f t="shared" si="28"/>
        <v>0.30928325679768359</v>
      </c>
      <c r="P254" s="8">
        <f t="shared" si="29"/>
        <v>18.506099648306833</v>
      </c>
    </row>
    <row r="255" spans="1:16" x14ac:dyDescent="0.2">
      <c r="A255" s="8">
        <v>126.5</v>
      </c>
      <c r="B255" s="8">
        <v>253</v>
      </c>
      <c r="D255">
        <v>1105.7593632958999</v>
      </c>
      <c r="E255">
        <v>406.61142322096998</v>
      </c>
      <c r="F255">
        <v>153.89671361501999</v>
      </c>
      <c r="G255">
        <v>121.7896713615</v>
      </c>
      <c r="I255" s="9">
        <f t="shared" si="26"/>
        <v>284.82175185947</v>
      </c>
      <c r="J255" s="9">
        <f t="shared" si="27"/>
        <v>951.86264968087994</v>
      </c>
      <c r="K255" s="9">
        <f t="shared" si="24"/>
        <v>284.82175185947</v>
      </c>
      <c r="L255" s="10">
        <f t="shared" si="21"/>
        <v>0.29922568340606592</v>
      </c>
      <c r="M255" s="10">
        <f t="shared" si="28"/>
        <v>0.31634417071477305</v>
      </c>
      <c r="P255" s="8">
        <f t="shared" si="29"/>
        <v>21.211585153505336</v>
      </c>
    </row>
    <row r="256" spans="1:16" x14ac:dyDescent="0.2">
      <c r="A256" s="8">
        <v>127</v>
      </c>
      <c r="B256" s="8">
        <v>254</v>
      </c>
      <c r="D256">
        <v>1232.1718309859</v>
      </c>
      <c r="E256">
        <v>431.05633802816999</v>
      </c>
      <c r="F256">
        <v>154.63286384976999</v>
      </c>
      <c r="G256">
        <v>122.32206572769999</v>
      </c>
      <c r="I256" s="9">
        <f t="shared" si="26"/>
        <v>308.73427230047002</v>
      </c>
      <c r="J256" s="9">
        <f t="shared" si="27"/>
        <v>1077.5389671361299</v>
      </c>
      <c r="K256" s="9">
        <f t="shared" si="24"/>
        <v>308.73427230047002</v>
      </c>
      <c r="L256" s="10">
        <f t="shared" si="21"/>
        <v>0.28651796521198697</v>
      </c>
      <c r="M256" s="10">
        <f t="shared" si="28"/>
        <v>0.30370411452586688</v>
      </c>
      <c r="P256" s="8">
        <f t="shared" si="29"/>
        <v>16.368375166025885</v>
      </c>
    </row>
    <row r="257" spans="1:16" x14ac:dyDescent="0.2">
      <c r="A257" s="8">
        <v>127.5</v>
      </c>
      <c r="B257" s="8">
        <v>255</v>
      </c>
      <c r="D257">
        <v>1217.0431924883001</v>
      </c>
      <c r="E257">
        <v>430.70234741783997</v>
      </c>
      <c r="F257">
        <v>154.11079812207001</v>
      </c>
      <c r="G257">
        <v>122.43568075117</v>
      </c>
      <c r="I257" s="9">
        <f t="shared" si="26"/>
        <v>308.26666666666995</v>
      </c>
      <c r="J257" s="9">
        <f t="shared" si="27"/>
        <v>1062.93239436623</v>
      </c>
      <c r="K257" s="9">
        <f t="shared" si="24"/>
        <v>308.26666666666995</v>
      </c>
      <c r="L257" s="10">
        <f t="shared" si="21"/>
        <v>0.29001530887622723</v>
      </c>
      <c r="M257" s="10">
        <f t="shared" si="28"/>
        <v>0.30726912019527991</v>
      </c>
      <c r="P257" s="8">
        <f t="shared" si="29"/>
        <v>17.734355728570854</v>
      </c>
    </row>
    <row r="258" spans="1:16" x14ac:dyDescent="0.2">
      <c r="A258" s="8">
        <v>128</v>
      </c>
      <c r="B258" s="8">
        <v>256</v>
      </c>
      <c r="D258">
        <v>1243.5737089202</v>
      </c>
      <c r="E258">
        <v>440.38215962441001</v>
      </c>
      <c r="F258">
        <v>153.84788732394</v>
      </c>
      <c r="G258">
        <v>122.84507042254</v>
      </c>
      <c r="I258" s="9">
        <f t="shared" si="26"/>
        <v>317.53708920187</v>
      </c>
      <c r="J258" s="9">
        <f t="shared" si="27"/>
        <v>1089.7258215962599</v>
      </c>
      <c r="K258" s="9">
        <f t="shared" si="24"/>
        <v>317.53708920187</v>
      </c>
      <c r="L258" s="10">
        <f t="shared" ref="L258:L321" si="30">K258/J258</f>
        <v>0.2913917270829951</v>
      </c>
      <c r="M258" s="10">
        <f t="shared" si="28"/>
        <v>0.3087132004072205</v>
      </c>
      <c r="P258" s="8">
        <f t="shared" si="29"/>
        <v>18.287674764551923</v>
      </c>
    </row>
    <row r="259" spans="1:16" x14ac:dyDescent="0.2">
      <c r="A259" s="8">
        <v>128.5</v>
      </c>
      <c r="B259" s="8">
        <v>257</v>
      </c>
      <c r="D259">
        <v>1143.9795918366999</v>
      </c>
      <c r="E259">
        <v>408.34137291280001</v>
      </c>
      <c r="F259">
        <v>154.49765258215999</v>
      </c>
      <c r="G259">
        <v>122.52394366196999</v>
      </c>
      <c r="I259" s="9">
        <f t="shared" si="26"/>
        <v>285.81742925083</v>
      </c>
      <c r="J259" s="9">
        <f t="shared" si="27"/>
        <v>989.48193925453995</v>
      </c>
      <c r="K259" s="9">
        <f t="shared" ref="K259:K322" si="31">I259*1</f>
        <v>285.81742925083</v>
      </c>
      <c r="L259" s="10">
        <f t="shared" si="30"/>
        <v>0.28885563031717421</v>
      </c>
      <c r="M259" s="10">
        <f t="shared" si="28"/>
        <v>0.30624476564657238</v>
      </c>
      <c r="P259" s="8">
        <f t="shared" si="29"/>
        <v>17.341860307120545</v>
      </c>
    </row>
    <row r="260" spans="1:16" x14ac:dyDescent="0.2">
      <c r="A260" s="8">
        <v>129</v>
      </c>
      <c r="B260" s="8">
        <v>258</v>
      </c>
      <c r="D260">
        <v>1046.4215962441001</v>
      </c>
      <c r="E260">
        <v>386.38779342723001</v>
      </c>
      <c r="F260">
        <v>153.91830985915999</v>
      </c>
      <c r="G260">
        <v>122.75962441314999</v>
      </c>
      <c r="I260" s="9">
        <f t="shared" si="26"/>
        <v>263.62816901408002</v>
      </c>
      <c r="J260" s="9">
        <f t="shared" si="27"/>
        <v>892.50328638494011</v>
      </c>
      <c r="K260" s="9">
        <f t="shared" si="31"/>
        <v>263.62816901408002</v>
      </c>
      <c r="L260" s="10">
        <f t="shared" si="30"/>
        <v>0.29538061431896639</v>
      </c>
      <c r="M260" s="10">
        <f t="shared" si="28"/>
        <v>0.31283741165353735</v>
      </c>
      <c r="P260" s="8">
        <f t="shared" si="29"/>
        <v>19.867922573589972</v>
      </c>
    </row>
    <row r="261" spans="1:16" x14ac:dyDescent="0.2">
      <c r="A261" s="8">
        <v>129.5</v>
      </c>
      <c r="B261" s="8">
        <v>259</v>
      </c>
      <c r="D261">
        <v>1210.2457786115999</v>
      </c>
      <c r="E261">
        <v>430.37335834896999</v>
      </c>
      <c r="F261">
        <v>154.25821596244</v>
      </c>
      <c r="G261">
        <v>122.4544600939</v>
      </c>
      <c r="I261" s="9">
        <f t="shared" si="26"/>
        <v>307.91889825506996</v>
      </c>
      <c r="J261" s="9">
        <f t="shared" si="27"/>
        <v>1055.9875626491598</v>
      </c>
      <c r="K261" s="9">
        <f t="shared" si="31"/>
        <v>307.91889825506996</v>
      </c>
      <c r="L261" s="10">
        <f t="shared" si="30"/>
        <v>0.29159330009777074</v>
      </c>
      <c r="M261" s="10">
        <f t="shared" si="28"/>
        <v>0.30911775943751441</v>
      </c>
      <c r="P261" s="8">
        <f t="shared" si="29"/>
        <v>18.442687076741176</v>
      </c>
    </row>
    <row r="262" spans="1:16" x14ac:dyDescent="0.2">
      <c r="A262" s="8">
        <v>130</v>
      </c>
      <c r="B262" s="8">
        <v>260</v>
      </c>
      <c r="D262">
        <v>1174.8799249531</v>
      </c>
      <c r="E262">
        <v>419.22420262664002</v>
      </c>
      <c r="F262">
        <v>154.21126760563001</v>
      </c>
      <c r="G262">
        <v>122.76807511737</v>
      </c>
      <c r="I262" s="9">
        <f t="shared" si="26"/>
        <v>296.45612750927</v>
      </c>
      <c r="J262" s="9">
        <f t="shared" si="27"/>
        <v>1020.66865734747</v>
      </c>
      <c r="K262" s="9">
        <f t="shared" si="31"/>
        <v>296.45612750927</v>
      </c>
      <c r="L262" s="10">
        <f t="shared" si="30"/>
        <v>0.29045285693371337</v>
      </c>
      <c r="M262" s="10">
        <f t="shared" si="28"/>
        <v>0.30804497827862981</v>
      </c>
      <c r="P262" s="8">
        <f t="shared" si="29"/>
        <v>18.031636338877387</v>
      </c>
    </row>
    <row r="263" spans="1:16" x14ac:dyDescent="0.2">
      <c r="A263" s="8">
        <v>130.5</v>
      </c>
      <c r="B263" s="8">
        <v>261</v>
      </c>
      <c r="D263">
        <v>1172.5328330206</v>
      </c>
      <c r="E263">
        <v>418.54878048781001</v>
      </c>
      <c r="F263">
        <v>153.48450704224999</v>
      </c>
      <c r="G263">
        <v>122.12957746479</v>
      </c>
      <c r="I263" s="9">
        <f t="shared" si="26"/>
        <v>296.41920302302003</v>
      </c>
      <c r="J263" s="9">
        <f t="shared" si="27"/>
        <v>1019.04832597835</v>
      </c>
      <c r="K263" s="9">
        <f t="shared" si="31"/>
        <v>296.41920302302003</v>
      </c>
      <c r="L263" s="10">
        <f t="shared" si="30"/>
        <v>0.29087845538477197</v>
      </c>
      <c r="M263" s="10">
        <f t="shared" si="28"/>
        <v>0.30853823873486119</v>
      </c>
      <c r="P263" s="8">
        <f t="shared" si="29"/>
        <v>18.220635812641216</v>
      </c>
    </row>
    <row r="264" spans="1:16" x14ac:dyDescent="0.2">
      <c r="A264" s="8">
        <v>131</v>
      </c>
      <c r="B264" s="8">
        <v>262</v>
      </c>
      <c r="D264">
        <v>1221.6454033770999</v>
      </c>
      <c r="E264">
        <v>434.28611632270002</v>
      </c>
      <c r="F264">
        <v>154.31549295775</v>
      </c>
      <c r="G264">
        <v>122.21971830986</v>
      </c>
      <c r="I264" s="9">
        <f t="shared" si="26"/>
        <v>312.06639801284001</v>
      </c>
      <c r="J264" s="9">
        <f t="shared" si="27"/>
        <v>1067.32991041935</v>
      </c>
      <c r="K264" s="9">
        <f t="shared" si="31"/>
        <v>312.06639801284001</v>
      </c>
      <c r="L264" s="10">
        <f t="shared" si="30"/>
        <v>0.292380448600218</v>
      </c>
      <c r="M264" s="10">
        <f t="shared" si="28"/>
        <v>0.31010789395547994</v>
      </c>
      <c r="P264" s="8">
        <f t="shared" si="29"/>
        <v>18.82207062652062</v>
      </c>
    </row>
    <row r="265" spans="1:16" x14ac:dyDescent="0.2">
      <c r="A265" s="8">
        <v>131.5</v>
      </c>
      <c r="B265" s="8">
        <v>263</v>
      </c>
      <c r="D265">
        <v>1204.9624413146</v>
      </c>
      <c r="E265">
        <v>424.32769953052002</v>
      </c>
      <c r="F265">
        <v>154.49671361502001</v>
      </c>
      <c r="G265">
        <v>122.11830985915999</v>
      </c>
      <c r="I265" s="9">
        <f t="shared" si="26"/>
        <v>302.20938967136004</v>
      </c>
      <c r="J265" s="9">
        <f t="shared" si="27"/>
        <v>1050.4657276995799</v>
      </c>
      <c r="K265" s="9">
        <f t="shared" si="31"/>
        <v>302.20938967136004</v>
      </c>
      <c r="L265" s="10">
        <f t="shared" si="30"/>
        <v>0.28769086101758873</v>
      </c>
      <c r="M265" s="10">
        <f t="shared" si="28"/>
        <v>0.30548596837802344</v>
      </c>
      <c r="P265" s="8">
        <f t="shared" si="29"/>
        <v>17.051116780779754</v>
      </c>
    </row>
    <row r="266" spans="1:16" x14ac:dyDescent="0.2">
      <c r="A266" s="8">
        <v>132</v>
      </c>
      <c r="B266" s="8">
        <v>264</v>
      </c>
      <c r="D266">
        <v>1117.4460093897001</v>
      </c>
      <c r="E266">
        <v>392.16150234742003</v>
      </c>
      <c r="F266">
        <v>154.39624413146001</v>
      </c>
      <c r="G266">
        <v>122.12394366197</v>
      </c>
      <c r="I266" s="9">
        <f t="shared" si="26"/>
        <v>270.03755868544999</v>
      </c>
      <c r="J266" s="9">
        <f t="shared" si="27"/>
        <v>963.04976525824009</v>
      </c>
      <c r="K266" s="9">
        <f t="shared" si="31"/>
        <v>270.03755868544999</v>
      </c>
      <c r="L266" s="10">
        <f t="shared" si="30"/>
        <v>0.28039834329126273</v>
      </c>
      <c r="M266" s="10">
        <f t="shared" si="28"/>
        <v>0.29826111265687022</v>
      </c>
      <c r="P266" s="8">
        <f t="shared" si="29"/>
        <v>14.282814736561122</v>
      </c>
    </row>
    <row r="267" spans="1:16" x14ac:dyDescent="0.2">
      <c r="A267" s="8">
        <v>132.5</v>
      </c>
      <c r="B267" s="8">
        <v>265</v>
      </c>
      <c r="D267">
        <v>964.63661971831004</v>
      </c>
      <c r="E267">
        <v>354.38403755869001</v>
      </c>
      <c r="F267">
        <v>153.94084507042001</v>
      </c>
      <c r="G267">
        <v>122.35117370892</v>
      </c>
      <c r="I267" s="9">
        <f t="shared" si="26"/>
        <v>232.03286384977002</v>
      </c>
      <c r="J267" s="9">
        <f t="shared" si="27"/>
        <v>810.69577464789006</v>
      </c>
      <c r="K267" s="9">
        <f t="shared" si="31"/>
        <v>232.03286384977002</v>
      </c>
      <c r="L267" s="10">
        <f t="shared" si="30"/>
        <v>0.28621447293289393</v>
      </c>
      <c r="M267" s="10">
        <f t="shared" si="28"/>
        <v>0.30414490430367414</v>
      </c>
      <c r="P267" s="8">
        <f t="shared" si="29"/>
        <v>16.537269783450821</v>
      </c>
    </row>
    <row r="268" spans="1:16" x14ac:dyDescent="0.2">
      <c r="A268" s="8">
        <v>133</v>
      </c>
      <c r="B268" s="8">
        <v>266</v>
      </c>
      <c r="D268">
        <v>1092.6142322097</v>
      </c>
      <c r="E268">
        <v>395.91292134832003</v>
      </c>
      <c r="F268">
        <v>153.20093896713999</v>
      </c>
      <c r="G268">
        <v>122.47323943662001</v>
      </c>
      <c r="I268" s="9">
        <f t="shared" si="26"/>
        <v>273.43968191170001</v>
      </c>
      <c r="J268" s="9">
        <f t="shared" si="27"/>
        <v>939.41329324256003</v>
      </c>
      <c r="K268" s="9">
        <f t="shared" si="31"/>
        <v>273.43968191170001</v>
      </c>
      <c r="L268" s="10">
        <f t="shared" si="30"/>
        <v>0.29107495484535034</v>
      </c>
      <c r="M268" s="10">
        <f t="shared" si="28"/>
        <v>0.30907304822130333</v>
      </c>
      <c r="P268" s="8">
        <f t="shared" si="29"/>
        <v>18.425555364217942</v>
      </c>
    </row>
    <row r="269" spans="1:16" x14ac:dyDescent="0.2">
      <c r="A269" s="8">
        <v>133.5</v>
      </c>
      <c r="B269" s="8">
        <v>267</v>
      </c>
      <c r="D269">
        <v>1121.8528584817</v>
      </c>
      <c r="E269">
        <v>405.78819119025002</v>
      </c>
      <c r="F269">
        <v>154.05915492957999</v>
      </c>
      <c r="G269">
        <v>122.71737089202</v>
      </c>
      <c r="I269" s="9">
        <f t="shared" si="26"/>
        <v>283.07082029823005</v>
      </c>
      <c r="J269" s="9">
        <f t="shared" si="27"/>
        <v>967.79370355211995</v>
      </c>
      <c r="K269" s="9">
        <f t="shared" si="31"/>
        <v>283.07082029823005</v>
      </c>
      <c r="L269" s="10">
        <f t="shared" si="30"/>
        <v>0.29249086789805245</v>
      </c>
      <c r="M269" s="10">
        <f t="shared" si="28"/>
        <v>0.31055662327917821</v>
      </c>
      <c r="P269" s="8">
        <f t="shared" si="29"/>
        <v>18.99400738927946</v>
      </c>
    </row>
    <row r="270" spans="1:16" x14ac:dyDescent="0.2">
      <c r="A270" s="8">
        <v>134</v>
      </c>
      <c r="B270" s="8">
        <v>268</v>
      </c>
      <c r="D270">
        <v>1131.7966260543999</v>
      </c>
      <c r="E270">
        <v>411.95688847234999</v>
      </c>
      <c r="F270">
        <v>153.63661971830999</v>
      </c>
      <c r="G270">
        <v>122.21877934272</v>
      </c>
      <c r="I270" s="9">
        <f t="shared" si="26"/>
        <v>289.73810912963</v>
      </c>
      <c r="J270" s="9">
        <f t="shared" si="27"/>
        <v>978.16000633608996</v>
      </c>
      <c r="K270" s="9">
        <f t="shared" si="31"/>
        <v>289.73810912963</v>
      </c>
      <c r="L270" s="10">
        <f t="shared" si="30"/>
        <v>0.29620727411960629</v>
      </c>
      <c r="M270" s="10">
        <f t="shared" si="28"/>
        <v>0.31434069150590477</v>
      </c>
      <c r="P270" s="8">
        <f t="shared" si="29"/>
        <v>20.44392475951005</v>
      </c>
    </row>
    <row r="271" spans="1:16" x14ac:dyDescent="0.2">
      <c r="A271" s="8">
        <v>134.5</v>
      </c>
      <c r="B271" s="8">
        <v>269</v>
      </c>
      <c r="D271">
        <v>1116.6176194939001</v>
      </c>
      <c r="E271">
        <v>409.95032802249</v>
      </c>
      <c r="F271">
        <v>154.18685446008999</v>
      </c>
      <c r="G271">
        <v>121.97746478873</v>
      </c>
      <c r="I271" s="9">
        <f t="shared" si="26"/>
        <v>287.97286323375999</v>
      </c>
      <c r="J271" s="9">
        <f t="shared" si="27"/>
        <v>962.43076503381008</v>
      </c>
      <c r="K271" s="9">
        <f t="shared" si="31"/>
        <v>287.97286323375999</v>
      </c>
      <c r="L271" s="10">
        <f t="shared" si="30"/>
        <v>0.29921410837655793</v>
      </c>
      <c r="M271" s="10">
        <f t="shared" si="28"/>
        <v>0.31741518776802918</v>
      </c>
      <c r="P271" s="8">
        <f t="shared" si="29"/>
        <v>21.621959950228433</v>
      </c>
    </row>
    <row r="272" spans="1:16" x14ac:dyDescent="0.2">
      <c r="A272" s="8">
        <v>135</v>
      </c>
      <c r="B272" s="8">
        <v>270</v>
      </c>
      <c r="D272">
        <v>1118.3195876289001</v>
      </c>
      <c r="E272">
        <v>407.28584817245002</v>
      </c>
      <c r="F272">
        <v>153.73051643193</v>
      </c>
      <c r="G272">
        <v>122.60657276995001</v>
      </c>
      <c r="I272" s="9">
        <f t="shared" si="26"/>
        <v>284.67927540250002</v>
      </c>
      <c r="J272" s="9">
        <f t="shared" si="27"/>
        <v>964.58907119697005</v>
      </c>
      <c r="K272" s="9">
        <f t="shared" si="31"/>
        <v>284.67927540250002</v>
      </c>
      <c r="L272" s="10">
        <f t="shared" si="30"/>
        <v>0.29513010659475764</v>
      </c>
      <c r="M272" s="10">
        <f t="shared" si="28"/>
        <v>0.31339884799140161</v>
      </c>
      <c r="P272" s="8">
        <f t="shared" si="29"/>
        <v>20.083044566581158</v>
      </c>
    </row>
    <row r="273" spans="1:16" x14ac:dyDescent="0.2">
      <c r="A273" s="8">
        <v>135.5</v>
      </c>
      <c r="B273" s="8">
        <v>271</v>
      </c>
      <c r="D273">
        <v>1053.7747663550999</v>
      </c>
      <c r="E273">
        <v>389.55327102804</v>
      </c>
      <c r="F273">
        <v>154.02816901409</v>
      </c>
      <c r="G273">
        <v>122.37464788731999</v>
      </c>
      <c r="I273" s="9">
        <f t="shared" si="26"/>
        <v>267.17862314071999</v>
      </c>
      <c r="J273" s="9">
        <f t="shared" si="27"/>
        <v>899.74659734100987</v>
      </c>
      <c r="K273" s="9">
        <f t="shared" si="31"/>
        <v>267.17862314071999</v>
      </c>
      <c r="L273" s="10">
        <f t="shared" si="30"/>
        <v>0.29694874526928333</v>
      </c>
      <c r="M273" s="10">
        <f t="shared" si="28"/>
        <v>0.31528514867110008</v>
      </c>
      <c r="P273" s="8">
        <f t="shared" si="29"/>
        <v>20.805806408361825</v>
      </c>
    </row>
    <row r="274" spans="1:16" x14ac:dyDescent="0.2">
      <c r="A274" s="8">
        <v>136</v>
      </c>
      <c r="B274" s="8">
        <v>272</v>
      </c>
      <c r="D274">
        <v>1134.6046728972001</v>
      </c>
      <c r="E274">
        <v>415.93551401869001</v>
      </c>
      <c r="F274">
        <v>153.61220657276999</v>
      </c>
      <c r="G274">
        <v>122.20938967136</v>
      </c>
      <c r="I274" s="9">
        <f t="shared" si="26"/>
        <v>293.72612434733003</v>
      </c>
      <c r="J274" s="9">
        <f t="shared" si="27"/>
        <v>980.9924663244301</v>
      </c>
      <c r="K274" s="9">
        <f t="shared" si="31"/>
        <v>293.72612434733003</v>
      </c>
      <c r="L274" s="10">
        <f t="shared" si="30"/>
        <v>0.2994173089298629</v>
      </c>
      <c r="M274" s="10">
        <f t="shared" si="28"/>
        <v>0.31782137433685242</v>
      </c>
      <c r="P274" s="8">
        <f t="shared" si="29"/>
        <v>21.777595876011052</v>
      </c>
    </row>
    <row r="275" spans="1:16" x14ac:dyDescent="0.2">
      <c r="A275" s="8">
        <v>136.5</v>
      </c>
      <c r="B275" s="8">
        <v>273</v>
      </c>
      <c r="D275">
        <v>1122.8041237113</v>
      </c>
      <c r="E275">
        <v>408.07872539830998</v>
      </c>
      <c r="F275">
        <v>153.77746478872999</v>
      </c>
      <c r="G275">
        <v>122.52300469484</v>
      </c>
      <c r="I275" s="9">
        <f>E275-G275</f>
        <v>285.55572070347</v>
      </c>
      <c r="J275" s="9">
        <f>D275-F275</f>
        <v>969.02665892257005</v>
      </c>
      <c r="K275" s="9">
        <f t="shared" si="31"/>
        <v>285.55572070347</v>
      </c>
      <c r="L275" s="10">
        <f t="shared" si="30"/>
        <v>0.29468303897951614</v>
      </c>
      <c r="M275" s="10">
        <f>L275+ABS($N$2)*A275</f>
        <v>0.31315476639167839</v>
      </c>
      <c r="O275" s="11"/>
      <c r="P275" s="8">
        <f>(M275-$O$2)/$O$2*100</f>
        <v>19.989521371440855</v>
      </c>
    </row>
    <row r="276" spans="1:16" x14ac:dyDescent="0.2">
      <c r="A276" s="8">
        <v>137</v>
      </c>
      <c r="B276" s="8">
        <v>274</v>
      </c>
      <c r="D276">
        <v>1115.8744142456001</v>
      </c>
      <c r="E276">
        <v>402.93158388004002</v>
      </c>
      <c r="F276">
        <v>153.20845070422999</v>
      </c>
      <c r="G276">
        <v>121.95774647887001</v>
      </c>
      <c r="I276" s="9">
        <f t="shared" ref="I276:I291" si="32">E276-G276</f>
        <v>280.97383740117004</v>
      </c>
      <c r="J276" s="9">
        <f t="shared" ref="J276:J291" si="33">D276-F276</f>
        <v>962.66596354137005</v>
      </c>
      <c r="K276" s="9">
        <f t="shared" si="31"/>
        <v>280.97383740117004</v>
      </c>
      <c r="L276" s="10">
        <f t="shared" si="30"/>
        <v>0.29187054289064968</v>
      </c>
      <c r="M276" s="10">
        <f t="shared" ref="M276:M291" si="34">L276+ABS($N$2)*A276</f>
        <v>0.31040993230798469</v>
      </c>
      <c r="P276" s="8">
        <f t="shared" ref="P276:P291" si="35">(M276-$O$2)/$O$2*100</f>
        <v>18.937800742240892</v>
      </c>
    </row>
    <row r="277" spans="1:16" x14ac:dyDescent="0.2">
      <c r="A277" s="8">
        <v>137.5</v>
      </c>
      <c r="B277" s="8">
        <v>275</v>
      </c>
      <c r="D277">
        <v>1078.7979420019001</v>
      </c>
      <c r="E277">
        <v>396.53882132834002</v>
      </c>
      <c r="F277">
        <v>153.79624413146001</v>
      </c>
      <c r="G277">
        <v>122.03474178403999</v>
      </c>
      <c r="I277" s="9">
        <f t="shared" si="32"/>
        <v>274.5040795443</v>
      </c>
      <c r="J277" s="9">
        <f t="shared" si="33"/>
        <v>925.00169787044001</v>
      </c>
      <c r="K277" s="9">
        <f t="shared" si="31"/>
        <v>274.5040795443</v>
      </c>
      <c r="L277" s="10">
        <f t="shared" si="30"/>
        <v>0.29676062236022871</v>
      </c>
      <c r="M277" s="10">
        <f t="shared" si="34"/>
        <v>0.3153676737827365</v>
      </c>
      <c r="N277" s="1"/>
      <c r="P277" s="8">
        <f t="shared" si="35"/>
        <v>20.837427030843404</v>
      </c>
    </row>
    <row r="278" spans="1:16" x14ac:dyDescent="0.2">
      <c r="A278" s="8">
        <v>138</v>
      </c>
      <c r="B278" s="8">
        <v>276</v>
      </c>
      <c r="D278">
        <v>1059.6614246069</v>
      </c>
      <c r="E278">
        <v>397.91211840888002</v>
      </c>
      <c r="F278">
        <v>153.63098591548999</v>
      </c>
      <c r="G278">
        <v>121.59342723005</v>
      </c>
      <c r="I278" s="9">
        <f t="shared" si="32"/>
        <v>276.31869117883002</v>
      </c>
      <c r="J278" s="9">
        <f t="shared" si="33"/>
        <v>906.03043869141004</v>
      </c>
      <c r="K278" s="9">
        <f t="shared" si="31"/>
        <v>276.31869117883002</v>
      </c>
      <c r="L278" s="10">
        <f t="shared" si="30"/>
        <v>0.30497727160019061</v>
      </c>
      <c r="M278" s="10">
        <f t="shared" si="34"/>
        <v>0.32365198502787113</v>
      </c>
      <c r="P278" s="8">
        <f t="shared" si="35"/>
        <v>24.011673914100051</v>
      </c>
    </row>
    <row r="279" spans="1:16" x14ac:dyDescent="0.2">
      <c r="A279" s="8">
        <v>138.5</v>
      </c>
      <c r="B279" s="8">
        <v>277</v>
      </c>
      <c r="D279">
        <v>1139.0424528302001</v>
      </c>
      <c r="E279">
        <v>410.98867924528003</v>
      </c>
      <c r="F279">
        <v>153.40187793427</v>
      </c>
      <c r="G279">
        <v>122.20845070423</v>
      </c>
      <c r="I279" s="9">
        <f t="shared" si="32"/>
        <v>288.78022854105001</v>
      </c>
      <c r="J279" s="9">
        <f t="shared" si="33"/>
        <v>985.64057489593006</v>
      </c>
      <c r="K279" s="9">
        <f t="shared" si="31"/>
        <v>288.78022854105001</v>
      </c>
      <c r="L279" s="10">
        <f t="shared" si="30"/>
        <v>0.29298735857291708</v>
      </c>
      <c r="M279" s="10">
        <f t="shared" si="34"/>
        <v>0.31172973400577036</v>
      </c>
      <c r="P279" s="8">
        <f t="shared" si="35"/>
        <v>19.443500769889351</v>
      </c>
    </row>
    <row r="280" spans="1:16" x14ac:dyDescent="0.2">
      <c r="A280" s="8">
        <v>139</v>
      </c>
      <c r="B280" s="8">
        <v>278</v>
      </c>
      <c r="D280">
        <v>1165.8264150943</v>
      </c>
      <c r="E280">
        <v>421.44245283019001</v>
      </c>
      <c r="F280">
        <v>153.63661971830999</v>
      </c>
      <c r="G280">
        <v>121.9014084507</v>
      </c>
      <c r="I280" s="9">
        <f t="shared" si="32"/>
        <v>299.54104437949002</v>
      </c>
      <c r="J280" s="9">
        <f t="shared" si="33"/>
        <v>1012.1897953759901</v>
      </c>
      <c r="K280" s="9">
        <f t="shared" si="31"/>
        <v>299.54104437949002</v>
      </c>
      <c r="L280" s="10">
        <f t="shared" si="30"/>
        <v>0.29593367345520599</v>
      </c>
      <c r="M280" s="10">
        <f t="shared" si="34"/>
        <v>0.31474371089323205</v>
      </c>
      <c r="P280" s="8">
        <f t="shared" si="35"/>
        <v>20.598347136490027</v>
      </c>
    </row>
    <row r="281" spans="1:16" x14ac:dyDescent="0.2">
      <c r="A281" s="8">
        <v>139.5</v>
      </c>
      <c r="B281" s="8">
        <v>279</v>
      </c>
      <c r="D281">
        <v>1125.1245283019</v>
      </c>
      <c r="E281">
        <v>408.23301886793001</v>
      </c>
      <c r="F281">
        <v>152.56525821596</v>
      </c>
      <c r="G281">
        <v>121.85258215962</v>
      </c>
      <c r="I281" s="9">
        <f t="shared" si="32"/>
        <v>286.38043670831001</v>
      </c>
      <c r="J281" s="9">
        <f t="shared" si="33"/>
        <v>972.55927008593994</v>
      </c>
      <c r="K281" s="9">
        <f t="shared" si="31"/>
        <v>286.38043670831001</v>
      </c>
      <c r="L281" s="10">
        <f t="shared" si="30"/>
        <v>0.29446065192818949</v>
      </c>
      <c r="M281" s="10">
        <f t="shared" si="34"/>
        <v>0.31333835137138827</v>
      </c>
      <c r="P281" s="8">
        <f t="shared" si="35"/>
        <v>20.059864461217821</v>
      </c>
    </row>
    <row r="282" spans="1:16" x14ac:dyDescent="0.2">
      <c r="A282" s="8">
        <v>140</v>
      </c>
      <c r="B282" s="8">
        <v>280</v>
      </c>
      <c r="D282">
        <v>1104.4915094339999</v>
      </c>
      <c r="E282">
        <v>403.73679245283</v>
      </c>
      <c r="F282">
        <v>153.87511737089</v>
      </c>
      <c r="G282">
        <v>122.14366197183</v>
      </c>
      <c r="I282" s="9">
        <f t="shared" si="32"/>
        <v>281.593130481</v>
      </c>
      <c r="J282" s="9">
        <f t="shared" si="33"/>
        <v>950.61639206310997</v>
      </c>
      <c r="K282" s="9">
        <f t="shared" si="31"/>
        <v>281.593130481</v>
      </c>
      <c r="L282" s="10">
        <f t="shared" si="30"/>
        <v>0.29622162297229299</v>
      </c>
      <c r="M282" s="10">
        <f t="shared" si="34"/>
        <v>0.31516698442066454</v>
      </c>
      <c r="P282" s="8">
        <f t="shared" si="35"/>
        <v>20.760530163595227</v>
      </c>
    </row>
    <row r="283" spans="1:16" x14ac:dyDescent="0.2">
      <c r="A283" s="8">
        <v>140.5</v>
      </c>
      <c r="B283" s="8">
        <v>281</v>
      </c>
      <c r="D283">
        <v>1099.91272052</v>
      </c>
      <c r="E283">
        <v>412.25069637883001</v>
      </c>
      <c r="F283">
        <v>153.12018779343001</v>
      </c>
      <c r="G283">
        <v>121.78873239437</v>
      </c>
      <c r="I283" s="9">
        <f t="shared" si="32"/>
        <v>290.46196398446</v>
      </c>
      <c r="J283" s="9">
        <f t="shared" si="33"/>
        <v>946.79253272657002</v>
      </c>
      <c r="K283" s="9">
        <f t="shared" si="31"/>
        <v>290.46196398446</v>
      </c>
      <c r="L283" s="10">
        <f t="shared" si="30"/>
        <v>0.30678522901737365</v>
      </c>
      <c r="M283" s="10">
        <f t="shared" si="34"/>
        <v>0.32579825247091798</v>
      </c>
      <c r="P283" s="8">
        <f t="shared" si="35"/>
        <v>24.834045568198377</v>
      </c>
    </row>
    <row r="284" spans="1:16" x14ac:dyDescent="0.2">
      <c r="A284" s="8">
        <v>141</v>
      </c>
      <c r="B284" s="8">
        <v>282</v>
      </c>
      <c r="D284">
        <v>1073.1644859813</v>
      </c>
      <c r="E284">
        <v>411.66822429907</v>
      </c>
      <c r="F284">
        <v>152.91267605633999</v>
      </c>
      <c r="G284">
        <v>122.19906103286</v>
      </c>
      <c r="I284" s="9">
        <f t="shared" si="32"/>
        <v>289.46916326620999</v>
      </c>
      <c r="J284" s="9">
        <f t="shared" si="33"/>
        <v>920.25180992496007</v>
      </c>
      <c r="K284" s="9">
        <f t="shared" si="31"/>
        <v>289.46916326620999</v>
      </c>
      <c r="L284" s="10">
        <f t="shared" si="30"/>
        <v>0.31455429931706858</v>
      </c>
      <c r="M284" s="10">
        <f t="shared" si="34"/>
        <v>0.33363498477578563</v>
      </c>
      <c r="P284" s="8">
        <f t="shared" si="35"/>
        <v>27.83679647380351</v>
      </c>
    </row>
    <row r="285" spans="1:16" x14ac:dyDescent="0.2">
      <c r="A285" s="8">
        <v>141.5</v>
      </c>
      <c r="B285" s="8">
        <v>283</v>
      </c>
      <c r="D285">
        <v>1116.4668534079999</v>
      </c>
      <c r="E285">
        <v>413.55648926237001</v>
      </c>
      <c r="F285">
        <v>153.56431924883</v>
      </c>
      <c r="G285">
        <v>121.99624413146</v>
      </c>
      <c r="I285" s="9">
        <f t="shared" si="32"/>
        <v>291.56024513091</v>
      </c>
      <c r="J285" s="9">
        <f t="shared" si="33"/>
        <v>962.90253415916993</v>
      </c>
      <c r="K285" s="9">
        <f t="shared" si="31"/>
        <v>291.56024513091</v>
      </c>
      <c r="L285" s="10">
        <f t="shared" si="30"/>
        <v>0.30279310188492498</v>
      </c>
      <c r="M285" s="10">
        <f t="shared" si="34"/>
        <v>0.3219414493488148</v>
      </c>
      <c r="P285" s="8">
        <f t="shared" si="35"/>
        <v>23.356258830422131</v>
      </c>
    </row>
    <row r="286" spans="1:16" x14ac:dyDescent="0.2">
      <c r="A286" s="8">
        <v>142</v>
      </c>
      <c r="B286" s="8">
        <v>284</v>
      </c>
      <c r="D286">
        <v>1149.4463118581</v>
      </c>
      <c r="E286">
        <v>415.16900093370998</v>
      </c>
      <c r="F286">
        <v>153.21877934272001</v>
      </c>
      <c r="G286">
        <v>121.92769953052</v>
      </c>
      <c r="I286" s="9">
        <f t="shared" si="32"/>
        <v>293.24130140318999</v>
      </c>
      <c r="J286" s="9">
        <f t="shared" si="33"/>
        <v>996.22753251537995</v>
      </c>
      <c r="K286" s="9">
        <f t="shared" si="31"/>
        <v>293.24130140318999</v>
      </c>
      <c r="L286" s="10">
        <f t="shared" si="30"/>
        <v>0.29435173374779511</v>
      </c>
      <c r="M286" s="10">
        <f t="shared" si="34"/>
        <v>0.31356774321685771</v>
      </c>
      <c r="P286" s="8">
        <f t="shared" si="35"/>
        <v>20.147759076591367</v>
      </c>
    </row>
    <row r="287" spans="1:16" x14ac:dyDescent="0.2">
      <c r="A287" s="8">
        <v>142.5</v>
      </c>
      <c r="B287" s="8">
        <v>285</v>
      </c>
      <c r="D287">
        <v>1176.0989729225</v>
      </c>
      <c r="E287">
        <v>415.84126984126999</v>
      </c>
      <c r="F287">
        <v>153.14460093897</v>
      </c>
      <c r="G287">
        <v>122.30328638498</v>
      </c>
      <c r="I287" s="9">
        <f t="shared" si="32"/>
        <v>293.53798345629002</v>
      </c>
      <c r="J287" s="9">
        <f t="shared" si="33"/>
        <v>1022.95437198353</v>
      </c>
      <c r="K287" s="9">
        <f t="shared" si="31"/>
        <v>293.53798345629002</v>
      </c>
      <c r="L287" s="10">
        <f t="shared" si="30"/>
        <v>0.2869511988957178</v>
      </c>
      <c r="M287" s="10">
        <f t="shared" si="34"/>
        <v>0.30623487036995312</v>
      </c>
      <c r="P287" s="8">
        <f t="shared" si="35"/>
        <v>17.338068796874463</v>
      </c>
    </row>
    <row r="288" spans="1:16" x14ac:dyDescent="0.2">
      <c r="A288" s="8">
        <v>143</v>
      </c>
      <c r="B288" s="8">
        <v>286</v>
      </c>
      <c r="D288">
        <v>1138.9775491113</v>
      </c>
      <c r="E288">
        <v>403.36669784845998</v>
      </c>
      <c r="F288">
        <v>153.98122065728001</v>
      </c>
      <c r="G288">
        <v>121.90610328639001</v>
      </c>
      <c r="I288" s="9">
        <f t="shared" si="32"/>
        <v>281.46059456206996</v>
      </c>
      <c r="J288" s="9">
        <f t="shared" si="33"/>
        <v>984.99632845402004</v>
      </c>
      <c r="K288" s="9">
        <f t="shared" si="31"/>
        <v>281.46059456206996</v>
      </c>
      <c r="L288" s="10">
        <f t="shared" si="30"/>
        <v>0.28574786162282495</v>
      </c>
      <c r="M288" s="10">
        <f t="shared" si="34"/>
        <v>0.30509919510223305</v>
      </c>
      <c r="P288" s="8">
        <f t="shared" si="35"/>
        <v>16.902919323094217</v>
      </c>
    </row>
    <row r="289" spans="1:16" x14ac:dyDescent="0.2">
      <c r="A289" s="8">
        <v>143.5</v>
      </c>
      <c r="B289" s="8">
        <v>287</v>
      </c>
      <c r="D289">
        <v>1137.1496725912</v>
      </c>
      <c r="E289">
        <v>397.79981290926003</v>
      </c>
      <c r="F289">
        <v>153.26384976526001</v>
      </c>
      <c r="G289">
        <v>121.78403755869</v>
      </c>
      <c r="I289" s="9">
        <f t="shared" si="32"/>
        <v>276.01577535057004</v>
      </c>
      <c r="J289" s="9">
        <f t="shared" si="33"/>
        <v>983.88582282593995</v>
      </c>
      <c r="K289" s="9">
        <f t="shared" si="31"/>
        <v>276.01577535057004</v>
      </c>
      <c r="L289" s="10">
        <f t="shared" si="30"/>
        <v>0.28053638841729728</v>
      </c>
      <c r="M289" s="10">
        <f t="shared" si="34"/>
        <v>0.29995538390187815</v>
      </c>
      <c r="P289" s="8">
        <f t="shared" si="35"/>
        <v>14.931997880424325</v>
      </c>
    </row>
    <row r="290" spans="1:16" x14ac:dyDescent="0.2">
      <c r="A290" s="8">
        <v>144</v>
      </c>
      <c r="B290" s="8">
        <v>288</v>
      </c>
      <c r="D290">
        <v>1129.7511693171</v>
      </c>
      <c r="E290">
        <v>390.74649204863999</v>
      </c>
      <c r="F290">
        <v>152.78591549295999</v>
      </c>
      <c r="G290">
        <v>121.60375586855</v>
      </c>
      <c r="I290" s="9">
        <f t="shared" si="32"/>
        <v>269.14273618008997</v>
      </c>
      <c r="J290" s="9">
        <f t="shared" si="33"/>
        <v>976.96525382414006</v>
      </c>
      <c r="K290" s="9">
        <f t="shared" si="31"/>
        <v>269.14273618008997</v>
      </c>
      <c r="L290" s="10">
        <f t="shared" si="30"/>
        <v>0.27548854488589353</v>
      </c>
      <c r="M290" s="10">
        <f t="shared" si="34"/>
        <v>0.29497520237564712</v>
      </c>
      <c r="P290" s="8">
        <f t="shared" si="35"/>
        <v>13.023773379929438</v>
      </c>
    </row>
    <row r="291" spans="1:16" x14ac:dyDescent="0.2">
      <c r="A291" s="8">
        <v>144.5</v>
      </c>
      <c r="B291" s="8">
        <v>289</v>
      </c>
      <c r="D291">
        <v>1129.1167608286</v>
      </c>
      <c r="E291">
        <v>390.20903954801997</v>
      </c>
      <c r="F291">
        <v>153.19624413145999</v>
      </c>
      <c r="G291">
        <v>121.7323943662</v>
      </c>
      <c r="I291" s="9">
        <f t="shared" si="32"/>
        <v>268.47664518182</v>
      </c>
      <c r="J291" s="9">
        <f t="shared" si="33"/>
        <v>975.9205166971401</v>
      </c>
      <c r="K291" s="9">
        <f t="shared" si="31"/>
        <v>268.47664518182</v>
      </c>
      <c r="L291" s="10">
        <f t="shared" si="30"/>
        <v>0.27510093351704484</v>
      </c>
      <c r="M291" s="10">
        <f t="shared" si="34"/>
        <v>0.29465525301197121</v>
      </c>
      <c r="P291" s="8">
        <f t="shared" si="35"/>
        <v>12.901180415904257</v>
      </c>
    </row>
    <row r="292" spans="1:16" x14ac:dyDescent="0.2">
      <c r="A292" s="8">
        <v>145</v>
      </c>
      <c r="B292" s="8">
        <v>290</v>
      </c>
      <c r="D292">
        <v>1043.9433085502001</v>
      </c>
      <c r="E292">
        <v>372.96375464684002</v>
      </c>
      <c r="F292">
        <v>152.93802816901001</v>
      </c>
      <c r="G292">
        <v>122.03661971831001</v>
      </c>
      <c r="I292" s="9">
        <f>E292-G292</f>
        <v>250.92713492852999</v>
      </c>
      <c r="J292" s="9">
        <f>D292-F292</f>
        <v>891.00528038119</v>
      </c>
      <c r="K292" s="9">
        <f t="shared" si="31"/>
        <v>250.92713492852999</v>
      </c>
      <c r="L292" s="10">
        <f t="shared" si="30"/>
        <v>0.28162250039772863</v>
      </c>
      <c r="M292" s="10">
        <f>L292+ABS($N$2)*A292</f>
        <v>0.30124448189782771</v>
      </c>
      <c r="O292" s="11"/>
      <c r="P292" s="8">
        <f>(M292-$O$2)/$O$2*100</f>
        <v>15.425933365798375</v>
      </c>
    </row>
    <row r="293" spans="1:16" x14ac:dyDescent="0.2">
      <c r="A293" s="8">
        <v>145.5</v>
      </c>
      <c r="B293" s="8">
        <v>291</v>
      </c>
      <c r="D293">
        <v>991.42149532710005</v>
      </c>
      <c r="E293">
        <v>361.49158878505</v>
      </c>
      <c r="F293">
        <v>153.19624413145999</v>
      </c>
      <c r="G293">
        <v>121.64319248826</v>
      </c>
      <c r="I293" s="9">
        <f t="shared" ref="I293:I301" si="36">E293-G293</f>
        <v>239.84839629678999</v>
      </c>
      <c r="J293" s="9">
        <f t="shared" ref="J293:J301" si="37">D293-F293</f>
        <v>838.22525119564011</v>
      </c>
      <c r="K293" s="9">
        <f t="shared" si="31"/>
        <v>239.84839629678999</v>
      </c>
      <c r="L293" s="10">
        <f t="shared" si="30"/>
        <v>0.28613835714764196</v>
      </c>
      <c r="M293" s="10">
        <f t="shared" ref="M293:M301" si="38">L293+ABS($N$2)*A293</f>
        <v>0.30582800065291382</v>
      </c>
      <c r="P293" s="8">
        <f t="shared" ref="P293:P301" si="39">(M293-$O$2)/$O$2*100</f>
        <v>17.18217111353211</v>
      </c>
    </row>
    <row r="294" spans="1:16" x14ac:dyDescent="0.2">
      <c r="A294" s="8">
        <v>146</v>
      </c>
      <c r="B294" s="8">
        <v>292</v>
      </c>
      <c r="D294">
        <v>982.32267168391002</v>
      </c>
      <c r="E294">
        <v>355.43461900282</v>
      </c>
      <c r="F294">
        <v>153.35023474178001</v>
      </c>
      <c r="G294">
        <v>121.2882629108</v>
      </c>
      <c r="I294" s="9">
        <f t="shared" si="36"/>
        <v>234.14635609202</v>
      </c>
      <c r="J294" s="9">
        <f t="shared" si="37"/>
        <v>828.97243694213</v>
      </c>
      <c r="K294" s="9">
        <f t="shared" si="31"/>
        <v>234.14635609202</v>
      </c>
      <c r="L294" s="10">
        <f t="shared" si="30"/>
        <v>0.28245372904764698</v>
      </c>
      <c r="M294" s="10">
        <f t="shared" si="38"/>
        <v>0.30221103455809162</v>
      </c>
      <c r="N294" s="1"/>
      <c r="P294" s="8">
        <f t="shared" si="39"/>
        <v>15.796281205052725</v>
      </c>
    </row>
    <row r="295" spans="1:16" x14ac:dyDescent="0.2">
      <c r="A295" s="8">
        <v>146.5</v>
      </c>
      <c r="B295" s="8">
        <v>293</v>
      </c>
      <c r="D295">
        <v>987.28504233301999</v>
      </c>
      <c r="E295">
        <v>357.40075258702001</v>
      </c>
      <c r="F295">
        <v>152.69577464789</v>
      </c>
      <c r="G295">
        <v>121.57558685446</v>
      </c>
      <c r="I295" s="9">
        <f t="shared" si="36"/>
        <v>235.82516573256001</v>
      </c>
      <c r="J295" s="9">
        <f t="shared" si="37"/>
        <v>834.58926768512993</v>
      </c>
      <c r="K295" s="9">
        <f t="shared" si="31"/>
        <v>235.82516573256001</v>
      </c>
      <c r="L295" s="10">
        <f t="shared" si="30"/>
        <v>0.28256434016538429</v>
      </c>
      <c r="M295" s="10">
        <f t="shared" si="38"/>
        <v>0.30238930768100164</v>
      </c>
      <c r="P295" s="8">
        <f t="shared" si="39"/>
        <v>15.864588984422786</v>
      </c>
    </row>
    <row r="296" spans="1:16" x14ac:dyDescent="0.2">
      <c r="A296" s="8">
        <v>147</v>
      </c>
      <c r="B296" s="8">
        <v>294</v>
      </c>
      <c r="D296">
        <v>982.59736594543995</v>
      </c>
      <c r="E296">
        <v>354.20696142992</v>
      </c>
      <c r="F296">
        <v>153.27042253521</v>
      </c>
      <c r="G296">
        <v>121.45352112675999</v>
      </c>
      <c r="I296" s="9">
        <f t="shared" si="36"/>
        <v>232.75344030316</v>
      </c>
      <c r="J296" s="9">
        <f t="shared" si="37"/>
        <v>829.32694341022989</v>
      </c>
      <c r="K296" s="9">
        <f t="shared" si="31"/>
        <v>232.75344030316</v>
      </c>
      <c r="L296" s="10">
        <f t="shared" si="30"/>
        <v>0.28065341678888106</v>
      </c>
      <c r="M296" s="10">
        <f t="shared" si="38"/>
        <v>0.30054604630967119</v>
      </c>
      <c r="P296" s="8">
        <f t="shared" si="39"/>
        <v>15.158318240864071</v>
      </c>
    </row>
    <row r="297" spans="1:16" x14ac:dyDescent="0.2">
      <c r="A297" s="8">
        <v>147.5</v>
      </c>
      <c r="B297" s="8">
        <v>295</v>
      </c>
      <c r="D297">
        <v>982.88617121355003</v>
      </c>
      <c r="E297">
        <v>352.68015051740002</v>
      </c>
      <c r="F297">
        <v>152.98403755869001</v>
      </c>
      <c r="G297">
        <v>121.56901408451</v>
      </c>
      <c r="I297" s="9">
        <f t="shared" si="36"/>
        <v>231.11113643289002</v>
      </c>
      <c r="J297" s="9">
        <f t="shared" si="37"/>
        <v>829.90213365485999</v>
      </c>
      <c r="K297" s="9">
        <f t="shared" si="31"/>
        <v>231.11113643289002</v>
      </c>
      <c r="L297" s="10">
        <f t="shared" si="30"/>
        <v>0.27847998825486164</v>
      </c>
      <c r="M297" s="10">
        <f t="shared" si="38"/>
        <v>0.29844027978082455</v>
      </c>
      <c r="P297" s="8">
        <f t="shared" si="39"/>
        <v>14.351465064628899</v>
      </c>
    </row>
    <row r="298" spans="1:16" x14ac:dyDescent="0.2">
      <c r="A298" s="8">
        <v>148</v>
      </c>
      <c r="B298" s="8">
        <v>296</v>
      </c>
      <c r="D298">
        <v>967.91439322671999</v>
      </c>
      <c r="E298">
        <v>352.81091251176002</v>
      </c>
      <c r="F298">
        <v>152.88732394365999</v>
      </c>
      <c r="G298">
        <v>121.81971830985999</v>
      </c>
      <c r="I298" s="9">
        <f t="shared" si="36"/>
        <v>230.99119420190004</v>
      </c>
      <c r="J298" s="9">
        <f t="shared" si="37"/>
        <v>815.02706928305997</v>
      </c>
      <c r="K298" s="9">
        <f t="shared" si="31"/>
        <v>230.99119420190004</v>
      </c>
      <c r="L298" s="10">
        <f t="shared" si="30"/>
        <v>0.28341536484805574</v>
      </c>
      <c r="M298" s="10">
        <f t="shared" si="38"/>
        <v>0.30344331837919136</v>
      </c>
      <c r="P298" s="8">
        <f t="shared" si="39"/>
        <v>16.268447564170476</v>
      </c>
    </row>
    <row r="299" spans="1:16" x14ac:dyDescent="0.2">
      <c r="A299" s="8">
        <v>148.5</v>
      </c>
      <c r="B299" s="8">
        <v>297</v>
      </c>
      <c r="D299">
        <v>974.60489181562002</v>
      </c>
      <c r="E299">
        <v>352.61523988711002</v>
      </c>
      <c r="F299">
        <v>152.43286384977</v>
      </c>
      <c r="G299">
        <v>121.70328638498</v>
      </c>
      <c r="I299" s="9">
        <f t="shared" si="36"/>
        <v>230.91195350213002</v>
      </c>
      <c r="J299" s="9">
        <f t="shared" si="37"/>
        <v>822.17202796585002</v>
      </c>
      <c r="K299" s="9">
        <f t="shared" si="31"/>
        <v>230.91195350213002</v>
      </c>
      <c r="L299" s="10">
        <f t="shared" si="30"/>
        <v>0.28085600780341952</v>
      </c>
      <c r="M299" s="10">
        <f t="shared" si="38"/>
        <v>0.30095162333972791</v>
      </c>
      <c r="P299" s="8">
        <f t="shared" si="39"/>
        <v>15.31372061355186</v>
      </c>
    </row>
    <row r="300" spans="1:16" x14ac:dyDescent="0.2">
      <c r="A300" s="8">
        <v>149</v>
      </c>
      <c r="B300" s="8">
        <v>298</v>
      </c>
      <c r="D300">
        <v>975.40827845720003</v>
      </c>
      <c r="E300">
        <v>352.52963311383002</v>
      </c>
      <c r="F300">
        <v>152.52206572770001</v>
      </c>
      <c r="G300">
        <v>121.46478873239001</v>
      </c>
      <c r="I300" s="9">
        <f t="shared" si="36"/>
        <v>231.06484438144003</v>
      </c>
      <c r="J300" s="9">
        <f t="shared" si="37"/>
        <v>822.88621272950002</v>
      </c>
      <c r="K300" s="9">
        <f t="shared" si="31"/>
        <v>231.06484438144003</v>
      </c>
      <c r="L300" s="10">
        <f t="shared" si="30"/>
        <v>0.28079805057737173</v>
      </c>
      <c r="M300" s="10">
        <f t="shared" si="38"/>
        <v>0.3009613281188529</v>
      </c>
      <c r="P300" s="8">
        <f t="shared" si="39"/>
        <v>15.317439132083896</v>
      </c>
    </row>
    <row r="301" spans="1:16" x14ac:dyDescent="0.2">
      <c r="A301" s="8">
        <v>149.5</v>
      </c>
      <c r="B301" s="8">
        <v>299</v>
      </c>
      <c r="D301">
        <v>972.26528692379998</v>
      </c>
      <c r="E301">
        <v>352.76952022578001</v>
      </c>
      <c r="F301">
        <v>152.81408450704001</v>
      </c>
      <c r="G301">
        <v>121.74647887323999</v>
      </c>
      <c r="I301" s="9">
        <f t="shared" si="36"/>
        <v>231.02304135254002</v>
      </c>
      <c r="J301" s="9">
        <f t="shared" si="37"/>
        <v>819.45120241676</v>
      </c>
      <c r="K301" s="9">
        <f t="shared" si="31"/>
        <v>231.02304135254002</v>
      </c>
      <c r="L301" s="10">
        <f t="shared" si="30"/>
        <v>0.28192409831262327</v>
      </c>
      <c r="M301" s="10">
        <f t="shared" si="38"/>
        <v>0.30215503785927716</v>
      </c>
      <c r="P301" s="8">
        <f t="shared" si="39"/>
        <v>15.774825305892875</v>
      </c>
    </row>
    <row r="302" spans="1:16" x14ac:dyDescent="0.2">
      <c r="A302" s="8">
        <v>150</v>
      </c>
      <c r="B302" s="8">
        <v>300</v>
      </c>
      <c r="D302">
        <v>1016.5783475784</v>
      </c>
      <c r="E302">
        <v>365.71035137702</v>
      </c>
      <c r="F302">
        <v>152.68075117371001</v>
      </c>
      <c r="G302">
        <v>121.97746478873</v>
      </c>
      <c r="I302" s="9">
        <f>E302-G302</f>
        <v>243.73288658829</v>
      </c>
      <c r="J302" s="9">
        <f>D302-F302</f>
        <v>863.89759640468992</v>
      </c>
      <c r="K302" s="9">
        <f t="shared" si="31"/>
        <v>243.73288658829</v>
      </c>
      <c r="L302" s="10">
        <f t="shared" si="30"/>
        <v>0.28213168736970784</v>
      </c>
      <c r="M302" s="10">
        <f>L302+ABS($N$2)*A302</f>
        <v>0.30243028892153451</v>
      </c>
      <c r="O302" s="11"/>
      <c r="P302" s="8">
        <f>(M302-$O$2)/$O$2*100</f>
        <v>15.880291505873782</v>
      </c>
    </row>
    <row r="303" spans="1:16" x14ac:dyDescent="0.2">
      <c r="A303" s="8">
        <v>150.5</v>
      </c>
      <c r="B303" s="8">
        <v>301</v>
      </c>
      <c r="D303">
        <v>987.19394512771999</v>
      </c>
      <c r="E303">
        <v>357.98770104068001</v>
      </c>
      <c r="F303">
        <v>152.56901408451</v>
      </c>
      <c r="G303">
        <v>121.60281690140999</v>
      </c>
      <c r="I303" s="9">
        <f t="shared" ref="I303:I309" si="40">E303-G303</f>
        <v>236.38488413927001</v>
      </c>
      <c r="J303" s="9">
        <f t="shared" ref="J303:J309" si="41">D303-F303</f>
        <v>834.62493104320993</v>
      </c>
      <c r="K303" s="9">
        <f t="shared" si="31"/>
        <v>236.38488413927001</v>
      </c>
      <c r="L303" s="10">
        <f t="shared" si="30"/>
        <v>0.2832228889254591</v>
      </c>
      <c r="M303" s="10">
        <f t="shared" ref="M303:M309" si="42">L303+ABS($N$2)*A303</f>
        <v>0.30358915248245855</v>
      </c>
      <c r="P303" s="8">
        <f t="shared" ref="P303:P309" si="43">(M303-$O$2)/$O$2*100</f>
        <v>16.324325890572116</v>
      </c>
    </row>
    <row r="304" spans="1:16" x14ac:dyDescent="0.2">
      <c r="A304" s="8">
        <v>151</v>
      </c>
      <c r="B304" s="8">
        <v>302</v>
      </c>
      <c r="D304">
        <v>1000.9120151372</v>
      </c>
      <c r="E304">
        <v>360.27625354778002</v>
      </c>
      <c r="F304">
        <v>152.24788732394001</v>
      </c>
      <c r="G304">
        <v>121.67136150235</v>
      </c>
      <c r="I304" s="9">
        <f t="shared" si="40"/>
        <v>238.60489204543001</v>
      </c>
      <c r="J304" s="9">
        <f t="shared" si="41"/>
        <v>848.66412781325994</v>
      </c>
      <c r="K304" s="9">
        <f t="shared" si="31"/>
        <v>238.60489204543001</v>
      </c>
      <c r="L304" s="10">
        <f t="shared" si="30"/>
        <v>0.2811535025761483</v>
      </c>
      <c r="M304" s="10">
        <f t="shared" si="42"/>
        <v>0.30158742813832046</v>
      </c>
      <c r="N304" s="1"/>
      <c r="P304" s="8">
        <f t="shared" si="43"/>
        <v>15.557337896941265</v>
      </c>
    </row>
    <row r="305" spans="1:16" x14ac:dyDescent="0.2">
      <c r="A305" s="8">
        <v>151.5</v>
      </c>
      <c r="B305" s="8">
        <v>303</v>
      </c>
      <c r="D305">
        <v>944.61305581834995</v>
      </c>
      <c r="E305">
        <v>352.34815515610001</v>
      </c>
      <c r="F305">
        <v>152.98591549296</v>
      </c>
      <c r="G305">
        <v>121.68262910798001</v>
      </c>
      <c r="I305" s="9">
        <f t="shared" si="40"/>
        <v>230.66552604812</v>
      </c>
      <c r="J305" s="9">
        <f t="shared" si="41"/>
        <v>791.62714032538997</v>
      </c>
      <c r="K305" s="9">
        <f t="shared" si="31"/>
        <v>230.66552604812</v>
      </c>
      <c r="L305" s="10">
        <f t="shared" si="30"/>
        <v>0.29138152837118164</v>
      </c>
      <c r="M305" s="10">
        <f t="shared" si="42"/>
        <v>0.31188311593852658</v>
      </c>
      <c r="P305" s="8">
        <f t="shared" si="43"/>
        <v>19.502271150140967</v>
      </c>
    </row>
    <row r="306" spans="1:16" x14ac:dyDescent="0.2">
      <c r="A306" s="8">
        <v>152</v>
      </c>
      <c r="B306" s="8">
        <v>304</v>
      </c>
      <c r="D306">
        <v>1031.4737827715001</v>
      </c>
      <c r="E306">
        <v>362.93726591759997</v>
      </c>
      <c r="F306">
        <v>152.34460093896999</v>
      </c>
      <c r="G306">
        <v>121.58779342723</v>
      </c>
      <c r="I306" s="9">
        <f t="shared" si="40"/>
        <v>241.34947249036998</v>
      </c>
      <c r="J306" s="9">
        <f t="shared" si="41"/>
        <v>879.12918183253009</v>
      </c>
      <c r="K306" s="9">
        <f t="shared" si="31"/>
        <v>241.34947249036998</v>
      </c>
      <c r="L306" s="10">
        <f t="shared" si="30"/>
        <v>0.27453243218167439</v>
      </c>
      <c r="M306" s="10">
        <f t="shared" si="42"/>
        <v>0.2951016817541921</v>
      </c>
      <c r="P306" s="8">
        <f t="shared" si="43"/>
        <v>13.072235679481309</v>
      </c>
    </row>
    <row r="307" spans="1:16" x14ac:dyDescent="0.2">
      <c r="A307" s="8">
        <v>152.5</v>
      </c>
      <c r="B307" s="8">
        <v>305</v>
      </c>
      <c r="D307">
        <v>1032.6563670411999</v>
      </c>
      <c r="E307">
        <v>364.16198501872998</v>
      </c>
      <c r="F307">
        <v>152.39154929578001</v>
      </c>
      <c r="G307">
        <v>121.54178403756001</v>
      </c>
      <c r="I307" s="9">
        <f t="shared" si="40"/>
        <v>242.62020098116997</v>
      </c>
      <c r="J307" s="9">
        <f t="shared" si="41"/>
        <v>880.26481774541992</v>
      </c>
      <c r="K307" s="9">
        <f t="shared" si="31"/>
        <v>242.62020098116997</v>
      </c>
      <c r="L307" s="10">
        <f t="shared" si="30"/>
        <v>0.27562183116960354</v>
      </c>
      <c r="M307" s="10">
        <f t="shared" si="42"/>
        <v>0.29625874274729397</v>
      </c>
      <c r="P307" s="8">
        <f t="shared" si="43"/>
        <v>13.51557938572466</v>
      </c>
    </row>
    <row r="308" spans="1:16" x14ac:dyDescent="0.2">
      <c r="A308" s="8">
        <v>153</v>
      </c>
      <c r="B308" s="8">
        <v>306</v>
      </c>
      <c r="D308">
        <v>1026.3988764045</v>
      </c>
      <c r="E308">
        <v>358.41011235955</v>
      </c>
      <c r="F308">
        <v>152.61126760562999</v>
      </c>
      <c r="G308">
        <v>121.1455399061</v>
      </c>
      <c r="I308" s="9">
        <f t="shared" si="40"/>
        <v>237.26457245345</v>
      </c>
      <c r="J308" s="9">
        <f t="shared" si="41"/>
        <v>873.78760879887</v>
      </c>
      <c r="K308" s="9">
        <f t="shared" si="31"/>
        <v>237.26457245345</v>
      </c>
      <c r="L308" s="10">
        <f t="shared" si="30"/>
        <v>0.27153574857807805</v>
      </c>
      <c r="M308" s="10">
        <f t="shared" si="42"/>
        <v>0.29224032216094126</v>
      </c>
      <c r="P308" s="8">
        <f t="shared" si="43"/>
        <v>11.975866711440997</v>
      </c>
    </row>
    <row r="309" spans="1:16" x14ac:dyDescent="0.2">
      <c r="A309" s="8">
        <v>153.5</v>
      </c>
      <c r="B309" s="8">
        <v>307</v>
      </c>
      <c r="D309">
        <v>1017.2193064667</v>
      </c>
      <c r="E309">
        <v>361.49203373946</v>
      </c>
      <c r="F309">
        <v>152.33896713614999</v>
      </c>
      <c r="G309">
        <v>121.98873239437</v>
      </c>
      <c r="I309" s="9">
        <f t="shared" si="40"/>
        <v>239.50330134508999</v>
      </c>
      <c r="J309" s="9">
        <f t="shared" si="41"/>
        <v>864.88033933054999</v>
      </c>
      <c r="K309" s="9">
        <f t="shared" si="31"/>
        <v>239.50330134508999</v>
      </c>
      <c r="L309" s="10">
        <f t="shared" si="30"/>
        <v>0.27692073741724155</v>
      </c>
      <c r="M309" s="10">
        <f t="shared" si="42"/>
        <v>0.29769297300527753</v>
      </c>
      <c r="P309" s="8">
        <f t="shared" si="43"/>
        <v>14.065124277456054</v>
      </c>
    </row>
    <row r="310" spans="1:16" x14ac:dyDescent="0.2">
      <c r="A310" s="8">
        <v>154</v>
      </c>
      <c r="B310" s="8">
        <v>308</v>
      </c>
      <c r="D310">
        <v>1014.8987816307</v>
      </c>
      <c r="E310">
        <v>360.38425492034003</v>
      </c>
      <c r="F310">
        <v>152.25539906103</v>
      </c>
      <c r="G310">
        <v>121.30985915493</v>
      </c>
      <c r="I310" s="9">
        <f>E310-G310</f>
        <v>239.07439576541003</v>
      </c>
      <c r="J310" s="9">
        <f>D310-F310</f>
        <v>862.64338256966994</v>
      </c>
      <c r="K310" s="9">
        <f t="shared" si="31"/>
        <v>239.07439576541003</v>
      </c>
      <c r="L310" s="10">
        <f t="shared" si="30"/>
        <v>0.27714163302713518</v>
      </c>
      <c r="M310" s="10">
        <f>L310+ABS($N$2)*A310</f>
        <v>0.29798153062034388</v>
      </c>
      <c r="O310" s="11"/>
      <c r="P310" s="8">
        <f>(M310-$O$2)/$O$2*100</f>
        <v>14.175689064697996</v>
      </c>
    </row>
    <row r="311" spans="1:16" x14ac:dyDescent="0.2">
      <c r="A311" s="8">
        <v>154.5</v>
      </c>
      <c r="B311" s="8">
        <v>309</v>
      </c>
      <c r="D311">
        <v>1017.5332708529</v>
      </c>
      <c r="E311">
        <v>360.64386129335003</v>
      </c>
      <c r="F311">
        <v>151.86103286385</v>
      </c>
      <c r="G311">
        <v>121.90422535211</v>
      </c>
      <c r="I311" s="9">
        <f t="shared" ref="I311:I319" si="44">E311-G311</f>
        <v>238.73963594124001</v>
      </c>
      <c r="J311" s="9">
        <f t="shared" ref="J311:J319" si="45">D311-F311</f>
        <v>865.67223798905002</v>
      </c>
      <c r="K311" s="9">
        <f t="shared" si="31"/>
        <v>238.73963594124001</v>
      </c>
      <c r="L311" s="10">
        <f t="shared" si="30"/>
        <v>0.27578525158185779</v>
      </c>
      <c r="M311" s="10">
        <f t="shared" ref="M311:M319" si="46">L311+ABS($N$2)*A311</f>
        <v>0.29669281118023927</v>
      </c>
      <c r="P311" s="8">
        <f t="shared" ref="P311:P319" si="47">(M311-$O$2)/$O$2*100</f>
        <v>13.681898628160887</v>
      </c>
    </row>
    <row r="312" spans="1:16" x14ac:dyDescent="0.2">
      <c r="A312" s="8">
        <v>155</v>
      </c>
      <c r="B312" s="8">
        <v>310</v>
      </c>
      <c r="D312">
        <v>1038.9291705498999</v>
      </c>
      <c r="E312">
        <v>362.58620689654998</v>
      </c>
      <c r="F312">
        <v>152.16807511736999</v>
      </c>
      <c r="G312">
        <v>121.03474178403999</v>
      </c>
      <c r="I312" s="9">
        <f t="shared" si="44"/>
        <v>241.55146511250999</v>
      </c>
      <c r="J312" s="9">
        <f t="shared" si="45"/>
        <v>886.76109543252994</v>
      </c>
      <c r="K312" s="9">
        <f t="shared" si="31"/>
        <v>241.55146511250999</v>
      </c>
      <c r="L312" s="10">
        <f t="shared" si="30"/>
        <v>0.27239745446285046</v>
      </c>
      <c r="M312" s="10">
        <f t="shared" si="46"/>
        <v>0.29337267606640471</v>
      </c>
      <c r="N312" s="1"/>
      <c r="P312" s="8">
        <f t="shared" si="47"/>
        <v>12.409743559956539</v>
      </c>
    </row>
    <row r="313" spans="1:16" x14ac:dyDescent="0.2">
      <c r="A313" s="8">
        <v>155.5</v>
      </c>
      <c r="B313" s="8">
        <v>311</v>
      </c>
      <c r="D313">
        <v>1028.4790307548999</v>
      </c>
      <c r="E313">
        <v>356.15657036347</v>
      </c>
      <c r="F313">
        <v>152.17276995304999</v>
      </c>
      <c r="G313">
        <v>121.82159624413001</v>
      </c>
      <c r="I313" s="9">
        <f t="shared" si="44"/>
        <v>234.33497411933999</v>
      </c>
      <c r="J313" s="9">
        <f t="shared" si="45"/>
        <v>876.30626080184993</v>
      </c>
      <c r="K313" s="9">
        <f t="shared" si="31"/>
        <v>234.33497411933999</v>
      </c>
      <c r="L313" s="10">
        <f t="shared" si="30"/>
        <v>0.267412187498142</v>
      </c>
      <c r="M313" s="10">
        <f t="shared" si="46"/>
        <v>0.28845507110686897</v>
      </c>
      <c r="P313" s="8">
        <f t="shared" si="47"/>
        <v>10.525496124774602</v>
      </c>
    </row>
    <row r="314" spans="1:16" x14ac:dyDescent="0.2">
      <c r="A314" s="8">
        <v>156</v>
      </c>
      <c r="B314" s="8">
        <v>312</v>
      </c>
      <c r="D314">
        <v>1045.9711090400999</v>
      </c>
      <c r="E314">
        <v>357.32339235787998</v>
      </c>
      <c r="F314">
        <v>152.05821596243999</v>
      </c>
      <c r="G314">
        <v>121.34835680751</v>
      </c>
      <c r="I314" s="9">
        <f t="shared" si="44"/>
        <v>235.97503555036997</v>
      </c>
      <c r="J314" s="9">
        <f t="shared" si="45"/>
        <v>893.91289307765987</v>
      </c>
      <c r="K314" s="9">
        <f t="shared" si="31"/>
        <v>235.97503555036997</v>
      </c>
      <c r="L314" s="10">
        <f t="shared" si="30"/>
        <v>0.26397989935901878</v>
      </c>
      <c r="M314" s="10">
        <f t="shared" si="46"/>
        <v>0.28509044497291852</v>
      </c>
      <c r="P314" s="8">
        <f t="shared" si="47"/>
        <v>9.2362937151852087</v>
      </c>
    </row>
    <row r="315" spans="1:16" x14ac:dyDescent="0.2">
      <c r="A315" s="8">
        <v>156.5</v>
      </c>
      <c r="B315" s="8">
        <v>313</v>
      </c>
      <c r="D315">
        <v>1011.5824790308</v>
      </c>
      <c r="E315">
        <v>352.32339235787998</v>
      </c>
      <c r="F315">
        <v>152.40938967136</v>
      </c>
      <c r="G315">
        <v>121.28169014085</v>
      </c>
      <c r="I315" s="9">
        <f t="shared" si="44"/>
        <v>231.04170221702998</v>
      </c>
      <c r="J315" s="9">
        <f t="shared" si="45"/>
        <v>859.17308935943993</v>
      </c>
      <c r="K315" s="9">
        <f t="shared" si="31"/>
        <v>231.04170221702998</v>
      </c>
      <c r="L315" s="10">
        <f t="shared" si="30"/>
        <v>0.2689117071733288</v>
      </c>
      <c r="M315" s="10">
        <f t="shared" si="46"/>
        <v>0.29008991479240126</v>
      </c>
      <c r="P315" s="8">
        <f t="shared" si="47"/>
        <v>11.151908788405564</v>
      </c>
    </row>
    <row r="316" spans="1:16" x14ac:dyDescent="0.2">
      <c r="A316" s="8">
        <v>157</v>
      </c>
      <c r="B316" s="8">
        <v>314</v>
      </c>
      <c r="D316">
        <v>1031.3849056603999</v>
      </c>
      <c r="E316">
        <v>350.63584905660002</v>
      </c>
      <c r="F316">
        <v>152.39342723005001</v>
      </c>
      <c r="G316">
        <v>121.51643192488</v>
      </c>
      <c r="I316" s="9">
        <f t="shared" si="44"/>
        <v>229.11941713172001</v>
      </c>
      <c r="J316" s="9">
        <f t="shared" si="45"/>
        <v>878.99147843034984</v>
      </c>
      <c r="K316" s="9">
        <f t="shared" si="31"/>
        <v>229.11941713172001</v>
      </c>
      <c r="L316" s="10">
        <f t="shared" si="30"/>
        <v>0.26066170464003552</v>
      </c>
      <c r="M316" s="10">
        <f t="shared" si="46"/>
        <v>0.28190757426428076</v>
      </c>
      <c r="P316" s="8">
        <f t="shared" si="47"/>
        <v>8.0167333766433764</v>
      </c>
    </row>
    <row r="317" spans="1:16" x14ac:dyDescent="0.2">
      <c r="A317" s="8">
        <v>157.5</v>
      </c>
      <c r="B317" s="8">
        <v>315</v>
      </c>
      <c r="D317">
        <v>1034</v>
      </c>
      <c r="E317">
        <v>355.90660377359001</v>
      </c>
      <c r="F317">
        <v>152.76713615023999</v>
      </c>
      <c r="G317">
        <v>121.53051643193</v>
      </c>
      <c r="I317" s="9">
        <f t="shared" si="44"/>
        <v>234.37608734166002</v>
      </c>
      <c r="J317" s="9">
        <f t="shared" si="45"/>
        <v>881.23286384975995</v>
      </c>
      <c r="K317" s="9">
        <f t="shared" si="31"/>
        <v>234.37608734166002</v>
      </c>
      <c r="L317" s="10">
        <f t="shared" si="30"/>
        <v>0.26596385241213433</v>
      </c>
      <c r="M317" s="10">
        <f t="shared" si="46"/>
        <v>0.28727738404155234</v>
      </c>
      <c r="P317" s="8">
        <f t="shared" si="47"/>
        <v>10.074249257543674</v>
      </c>
    </row>
    <row r="318" spans="1:16" x14ac:dyDescent="0.2">
      <c r="A318" s="8">
        <v>158</v>
      </c>
      <c r="B318" s="8">
        <v>316</v>
      </c>
      <c r="D318">
        <v>1007.3767705382</v>
      </c>
      <c r="E318">
        <v>349.21340887629998</v>
      </c>
      <c r="F318">
        <v>151.95962441315001</v>
      </c>
      <c r="G318">
        <v>121.56150234742</v>
      </c>
      <c r="I318" s="9">
        <f t="shared" si="44"/>
        <v>227.65190652887998</v>
      </c>
      <c r="J318" s="9">
        <f t="shared" si="45"/>
        <v>855.41714612505007</v>
      </c>
      <c r="K318" s="9">
        <f t="shared" si="31"/>
        <v>227.65190652887998</v>
      </c>
      <c r="L318" s="10">
        <f t="shared" si="30"/>
        <v>0.26612969772714895</v>
      </c>
      <c r="M318" s="10">
        <f t="shared" si="46"/>
        <v>0.28751089136173968</v>
      </c>
      <c r="P318" s="8">
        <f t="shared" si="47"/>
        <v>10.163720773206197</v>
      </c>
    </row>
    <row r="319" spans="1:16" x14ac:dyDescent="0.2">
      <c r="A319" s="8">
        <v>158.5</v>
      </c>
      <c r="B319" s="8">
        <v>317</v>
      </c>
      <c r="D319">
        <v>1026.5864022663</v>
      </c>
      <c r="E319">
        <v>354.82625118035998</v>
      </c>
      <c r="F319">
        <v>152.44976525822</v>
      </c>
      <c r="G319">
        <v>122.16995305163999</v>
      </c>
      <c r="I319" s="9">
        <f t="shared" si="44"/>
        <v>232.65629812871998</v>
      </c>
      <c r="J319" s="9">
        <f t="shared" si="45"/>
        <v>874.13663700808002</v>
      </c>
      <c r="K319" s="9">
        <f t="shared" si="31"/>
        <v>232.65629812871998</v>
      </c>
      <c r="L319" s="10">
        <f t="shared" si="30"/>
        <v>0.26615552795617403</v>
      </c>
      <c r="M319" s="10">
        <f t="shared" si="46"/>
        <v>0.28760438359593754</v>
      </c>
      <c r="P319" s="8">
        <f t="shared" si="47"/>
        <v>10.199543598330679</v>
      </c>
    </row>
    <row r="320" spans="1:16" x14ac:dyDescent="0.2">
      <c r="A320" s="8">
        <v>159</v>
      </c>
      <c r="B320" s="8">
        <v>318</v>
      </c>
      <c r="D320">
        <v>1025.9216241738</v>
      </c>
      <c r="E320">
        <v>356.14258734654999</v>
      </c>
      <c r="F320">
        <v>151.63098591548999</v>
      </c>
      <c r="G320">
        <v>121.46854460094001</v>
      </c>
      <c r="I320" s="9">
        <f>E320-G320</f>
        <v>234.67404274561</v>
      </c>
      <c r="J320" s="9">
        <f>D320-F320</f>
        <v>874.29063825830997</v>
      </c>
      <c r="K320" s="9">
        <f t="shared" si="31"/>
        <v>234.67404274561</v>
      </c>
      <c r="L320" s="10">
        <f t="shared" si="30"/>
        <v>0.26841651102785263</v>
      </c>
      <c r="M320" s="10">
        <f>L320+ABS($N$2)*A320</f>
        <v>0.28993302867278892</v>
      </c>
      <c r="O320" s="11"/>
      <c r="P320" s="8">
        <f>(M320-$O$2)/$O$2*100</f>
        <v>11.091795731149514</v>
      </c>
    </row>
    <row r="321" spans="1:16" x14ac:dyDescent="0.2">
      <c r="A321" s="8">
        <v>159.5</v>
      </c>
      <c r="B321" s="8">
        <v>319</v>
      </c>
      <c r="D321">
        <v>1041.6688555347</v>
      </c>
      <c r="E321">
        <v>362.91744840525001</v>
      </c>
      <c r="F321">
        <v>152.41314553991</v>
      </c>
      <c r="G321">
        <v>120.75492957746999</v>
      </c>
      <c r="I321" s="9">
        <f t="shared" ref="I321" si="48">E321-G321</f>
        <v>242.16251882778002</v>
      </c>
      <c r="J321" s="9">
        <f t="shared" ref="J321" si="49">D321-F321</f>
        <v>889.25570999478998</v>
      </c>
      <c r="K321" s="9">
        <f t="shared" si="31"/>
        <v>242.16251882778002</v>
      </c>
      <c r="L321" s="10">
        <f t="shared" si="30"/>
        <v>0.27232045417982059</v>
      </c>
      <c r="M321" s="10">
        <f t="shared" ref="M321" si="50">L321+ABS($N$2)*A321</f>
        <v>0.2939046338299296</v>
      </c>
      <c r="P321" s="8">
        <f t="shared" ref="P321" si="51">(M321-$O$2)/$O$2*100</f>
        <v>12.613570434989116</v>
      </c>
    </row>
    <row r="322" spans="1:16" x14ac:dyDescent="0.2">
      <c r="A322" s="8">
        <v>160</v>
      </c>
      <c r="B322" s="8">
        <v>320</v>
      </c>
      <c r="D322">
        <v>1046.5750469043001</v>
      </c>
      <c r="E322">
        <v>368.36303939963</v>
      </c>
      <c r="F322">
        <v>151.83568075117</v>
      </c>
      <c r="G322">
        <v>121.59154929578</v>
      </c>
      <c r="I322" s="9">
        <f>E322-G322</f>
        <v>246.77149010385</v>
      </c>
      <c r="J322" s="9">
        <f>D322-F322</f>
        <v>894.73936615313005</v>
      </c>
      <c r="K322" s="9">
        <f t="shared" si="31"/>
        <v>246.77149010385</v>
      </c>
      <c r="L322" s="10">
        <f t="shared" ref="L322" si="52">K322/J322</f>
        <v>0.27580265207825483</v>
      </c>
      <c r="M322" s="10">
        <f>L322+ABS($N$2)*A322</f>
        <v>0.29745449373353661</v>
      </c>
      <c r="O322" s="11"/>
      <c r="P322" s="8">
        <f>(M322-$O$2)/$O$2*100</f>
        <v>13.973747690719346</v>
      </c>
    </row>
    <row r="323" spans="1:16" x14ac:dyDescent="0.2">
      <c r="I323" s="9"/>
      <c r="J323" s="9"/>
      <c r="K323" s="9"/>
      <c r="L323" s="9"/>
    </row>
    <row r="324" spans="1:16" x14ac:dyDescent="0.2">
      <c r="I324" s="9"/>
      <c r="J324" s="9"/>
      <c r="K324" s="9"/>
      <c r="L324" s="9"/>
    </row>
    <row r="325" spans="1:16" x14ac:dyDescent="0.2">
      <c r="I325" s="9"/>
      <c r="J325" s="9"/>
      <c r="K325" s="9"/>
      <c r="L325" s="9"/>
    </row>
    <row r="326" spans="1:16" x14ac:dyDescent="0.2">
      <c r="I326" s="9"/>
      <c r="J326" s="9"/>
      <c r="K326" s="9"/>
      <c r="L326" s="9"/>
    </row>
    <row r="327" spans="1:16" x14ac:dyDescent="0.2">
      <c r="I327" s="9"/>
      <c r="J327" s="9"/>
      <c r="K327" s="9"/>
      <c r="L327" s="9"/>
    </row>
    <row r="328" spans="1:16" x14ac:dyDescent="0.2">
      <c r="I328" s="9"/>
      <c r="J328" s="9"/>
      <c r="K328" s="9"/>
      <c r="L328" s="9"/>
    </row>
    <row r="329" spans="1:16" x14ac:dyDescent="0.2">
      <c r="I329" s="9"/>
      <c r="J329" s="9"/>
      <c r="K329" s="9"/>
      <c r="L329" s="9"/>
    </row>
    <row r="330" spans="1:16" x14ac:dyDescent="0.2">
      <c r="I330" s="9"/>
      <c r="J330" s="9"/>
      <c r="K330" s="9"/>
      <c r="L330" s="9"/>
    </row>
    <row r="331" spans="1:16" x14ac:dyDescent="0.2">
      <c r="I331" s="9"/>
      <c r="J331" s="9"/>
      <c r="K331" s="9"/>
      <c r="L331" s="9"/>
    </row>
    <row r="332" spans="1:16" x14ac:dyDescent="0.2">
      <c r="I332" s="9"/>
      <c r="J332" s="9"/>
      <c r="K332" s="9"/>
      <c r="L332" s="9"/>
    </row>
    <row r="333" spans="1:16" x14ac:dyDescent="0.2">
      <c r="I333" s="9"/>
      <c r="J333" s="9"/>
      <c r="K333" s="9"/>
      <c r="L333" s="9"/>
    </row>
    <row r="334" spans="1:16" x14ac:dyDescent="0.2">
      <c r="I334" s="9"/>
      <c r="J334" s="9"/>
      <c r="K334" s="9"/>
      <c r="L334" s="9"/>
    </row>
    <row r="335" spans="1:16" x14ac:dyDescent="0.2">
      <c r="I335" s="9"/>
      <c r="J335" s="9"/>
      <c r="K335" s="9"/>
      <c r="L335" s="9"/>
    </row>
    <row r="336" spans="1:16" x14ac:dyDescent="0.2">
      <c r="I336" s="9"/>
      <c r="J336" s="9"/>
      <c r="K336" s="9"/>
      <c r="L336" s="9"/>
    </row>
    <row r="337" spans="9:12" x14ac:dyDescent="0.2">
      <c r="I337" s="9"/>
      <c r="J337" s="9"/>
      <c r="K337" s="9"/>
      <c r="L337" s="9"/>
    </row>
    <row r="338" spans="9:12" x14ac:dyDescent="0.2">
      <c r="I338" s="9"/>
      <c r="J338" s="9"/>
      <c r="K338" s="9"/>
      <c r="L338" s="9"/>
    </row>
    <row r="339" spans="9:12" x14ac:dyDescent="0.2">
      <c r="I339" s="9"/>
      <c r="J339" s="9"/>
      <c r="K339" s="9"/>
      <c r="L339" s="9"/>
    </row>
    <row r="340" spans="9:12" x14ac:dyDescent="0.2">
      <c r="I340" s="9"/>
      <c r="J340" s="9"/>
      <c r="K340" s="9"/>
      <c r="L340" s="9"/>
    </row>
    <row r="341" spans="9:12" x14ac:dyDescent="0.2">
      <c r="I341" s="9"/>
      <c r="J341" s="9"/>
      <c r="K341" s="9"/>
      <c r="L341" s="9"/>
    </row>
    <row r="342" spans="9:12" x14ac:dyDescent="0.2">
      <c r="I342" s="9"/>
      <c r="J342" s="9"/>
      <c r="K342" s="9"/>
      <c r="L342" s="9"/>
    </row>
    <row r="343" spans="9:12" x14ac:dyDescent="0.2">
      <c r="I343" s="9"/>
      <c r="J343" s="9"/>
      <c r="K343" s="9"/>
      <c r="L343" s="9"/>
    </row>
    <row r="344" spans="9:12" x14ac:dyDescent="0.2">
      <c r="I344" s="9"/>
      <c r="J344" s="9"/>
      <c r="K344" s="9"/>
      <c r="L344" s="9"/>
    </row>
    <row r="345" spans="9:12" x14ac:dyDescent="0.2">
      <c r="I345" s="9"/>
      <c r="J345" s="9"/>
      <c r="K345" s="9"/>
      <c r="L345" s="9"/>
    </row>
    <row r="346" spans="9:12" x14ac:dyDescent="0.2">
      <c r="I346" s="9"/>
      <c r="J346" s="9"/>
      <c r="K346" s="9"/>
      <c r="L346" s="9"/>
    </row>
    <row r="347" spans="9:12" x14ac:dyDescent="0.2">
      <c r="I347" s="9"/>
      <c r="J347" s="9"/>
      <c r="K347" s="9"/>
      <c r="L347" s="9"/>
    </row>
    <row r="348" spans="9:12" x14ac:dyDescent="0.2">
      <c r="I348" s="9"/>
      <c r="J348" s="9"/>
      <c r="K348" s="9"/>
      <c r="L348" s="9"/>
    </row>
    <row r="349" spans="9:12" x14ac:dyDescent="0.2">
      <c r="I349" s="9"/>
      <c r="J349" s="9"/>
      <c r="K349" s="9"/>
      <c r="L349" s="9"/>
    </row>
    <row r="350" spans="9:12" x14ac:dyDescent="0.2">
      <c r="I350" s="9"/>
      <c r="J350" s="9"/>
      <c r="K350" s="9"/>
      <c r="L350" s="9"/>
    </row>
    <row r="351" spans="9:12" x14ac:dyDescent="0.2">
      <c r="I351" s="9"/>
      <c r="J351" s="9"/>
      <c r="K351" s="9"/>
      <c r="L351" s="9"/>
    </row>
    <row r="352" spans="9:12" x14ac:dyDescent="0.2">
      <c r="I352" s="9"/>
      <c r="J352" s="9"/>
      <c r="K352" s="9"/>
      <c r="L352" s="9"/>
    </row>
    <row r="353" spans="9:12" x14ac:dyDescent="0.2">
      <c r="I353" s="9"/>
      <c r="J353" s="9"/>
      <c r="K353" s="9"/>
      <c r="L353" s="9"/>
    </row>
    <row r="354" spans="9:12" x14ac:dyDescent="0.2">
      <c r="I354" s="9"/>
      <c r="J354" s="9"/>
      <c r="K354" s="9"/>
      <c r="L354" s="9"/>
    </row>
    <row r="355" spans="9:12" x14ac:dyDescent="0.2">
      <c r="I355" s="9"/>
      <c r="J355" s="9"/>
      <c r="K355" s="9"/>
      <c r="L355" s="9"/>
    </row>
    <row r="356" spans="9:12" x14ac:dyDescent="0.2">
      <c r="I356" s="9"/>
      <c r="J356" s="9"/>
      <c r="K356" s="9"/>
      <c r="L356" s="9"/>
    </row>
    <row r="357" spans="9:12" x14ac:dyDescent="0.2">
      <c r="I357" s="9"/>
      <c r="J357" s="9"/>
      <c r="K357" s="9"/>
      <c r="L357" s="9"/>
    </row>
    <row r="358" spans="9:12" x14ac:dyDescent="0.2">
      <c r="I358" s="9"/>
      <c r="J358" s="9"/>
      <c r="K358" s="9"/>
      <c r="L358" s="9"/>
    </row>
    <row r="359" spans="9:12" x14ac:dyDescent="0.2">
      <c r="I359" s="9"/>
      <c r="J359" s="9"/>
      <c r="K359" s="9"/>
      <c r="L359" s="9"/>
    </row>
    <row r="360" spans="9:12" x14ac:dyDescent="0.2">
      <c r="I360" s="9"/>
      <c r="J360" s="9"/>
      <c r="K360" s="9"/>
      <c r="L360" s="9"/>
    </row>
    <row r="361" spans="9:12" x14ac:dyDescent="0.2">
      <c r="I361" s="9"/>
      <c r="J361" s="9"/>
      <c r="K361" s="9"/>
      <c r="L361" s="9"/>
    </row>
    <row r="362" spans="9:12" x14ac:dyDescent="0.2">
      <c r="I362" s="9"/>
      <c r="J362" s="9"/>
      <c r="K362" s="9"/>
      <c r="L362" s="9"/>
    </row>
    <row r="363" spans="9:12" x14ac:dyDescent="0.2">
      <c r="I363" s="9"/>
      <c r="J363" s="9"/>
      <c r="K363" s="9"/>
      <c r="L363" s="9"/>
    </row>
    <row r="364" spans="9:12" x14ac:dyDescent="0.2">
      <c r="I364" s="9"/>
      <c r="J364" s="9"/>
      <c r="K364" s="9"/>
      <c r="L364" s="9"/>
    </row>
    <row r="365" spans="9:12" x14ac:dyDescent="0.2">
      <c r="I365" s="9"/>
      <c r="J365" s="9"/>
      <c r="K365" s="9"/>
      <c r="L365" s="9"/>
    </row>
    <row r="366" spans="9:12" x14ac:dyDescent="0.2">
      <c r="I366" s="9"/>
      <c r="J366" s="9"/>
      <c r="K366" s="9"/>
      <c r="L366" s="9"/>
    </row>
    <row r="367" spans="9:12" x14ac:dyDescent="0.2">
      <c r="I367" s="9"/>
      <c r="J367" s="9"/>
      <c r="K367" s="9"/>
      <c r="L367" s="9"/>
    </row>
    <row r="368" spans="9:12" x14ac:dyDescent="0.2">
      <c r="I368" s="9"/>
      <c r="J368" s="9"/>
      <c r="K368" s="9"/>
      <c r="L368" s="9"/>
    </row>
    <row r="369" spans="9:12" x14ac:dyDescent="0.2">
      <c r="I369" s="9"/>
      <c r="J369" s="9"/>
      <c r="K369" s="9"/>
      <c r="L369" s="9"/>
    </row>
    <row r="370" spans="9:12" x14ac:dyDescent="0.2">
      <c r="I370" s="9"/>
      <c r="J370" s="9"/>
      <c r="K370" s="9"/>
      <c r="L370" s="9"/>
    </row>
    <row r="371" spans="9:12" x14ac:dyDescent="0.2">
      <c r="I371" s="9"/>
      <c r="J371" s="9"/>
      <c r="K371" s="9"/>
      <c r="L371" s="9"/>
    </row>
    <row r="372" spans="9:12" x14ac:dyDescent="0.2">
      <c r="I372" s="9"/>
      <c r="J372" s="9"/>
      <c r="K372" s="9"/>
      <c r="L372" s="9"/>
    </row>
    <row r="373" spans="9:12" x14ac:dyDescent="0.2">
      <c r="I373" s="9"/>
      <c r="J373" s="9"/>
      <c r="K373" s="9"/>
      <c r="L373" s="9"/>
    </row>
    <row r="374" spans="9:12" x14ac:dyDescent="0.2">
      <c r="I374" s="9"/>
      <c r="J374" s="9"/>
      <c r="K374" s="9"/>
      <c r="L374" s="9"/>
    </row>
    <row r="375" spans="9:12" x14ac:dyDescent="0.2">
      <c r="I375" s="9"/>
      <c r="J375" s="9"/>
      <c r="K375" s="9"/>
      <c r="L375" s="9"/>
    </row>
    <row r="376" spans="9:12" x14ac:dyDescent="0.2">
      <c r="I376" s="9"/>
      <c r="J376" s="9"/>
      <c r="K376" s="9"/>
      <c r="L376" s="9"/>
    </row>
    <row r="377" spans="9:12" x14ac:dyDescent="0.2">
      <c r="I377" s="9"/>
      <c r="J377" s="9"/>
      <c r="K377" s="9"/>
      <c r="L377" s="9"/>
    </row>
    <row r="378" spans="9:12" x14ac:dyDescent="0.2">
      <c r="I378" s="9"/>
      <c r="J378" s="9"/>
      <c r="K378" s="9"/>
      <c r="L378" s="9"/>
    </row>
    <row r="379" spans="9:12" x14ac:dyDescent="0.2">
      <c r="I379" s="9"/>
      <c r="J379" s="9"/>
      <c r="K379" s="9"/>
      <c r="L379" s="9"/>
    </row>
    <row r="380" spans="9:12" x14ac:dyDescent="0.2">
      <c r="I380" s="9"/>
      <c r="J380" s="9"/>
      <c r="K380" s="9"/>
      <c r="L380" s="9"/>
    </row>
    <row r="381" spans="9:12" x14ac:dyDescent="0.2">
      <c r="I381" s="9"/>
      <c r="J381" s="9"/>
      <c r="K381" s="9"/>
      <c r="L381" s="9"/>
    </row>
    <row r="382" spans="9:12" x14ac:dyDescent="0.2">
      <c r="I382" s="9"/>
      <c r="J382" s="9"/>
      <c r="K382" s="9"/>
      <c r="L382" s="9"/>
    </row>
    <row r="383" spans="9:12" x14ac:dyDescent="0.2">
      <c r="I383" s="9"/>
      <c r="J383" s="9"/>
      <c r="K383" s="9"/>
      <c r="L383" s="9"/>
    </row>
    <row r="384" spans="9:12" x14ac:dyDescent="0.2">
      <c r="I384" s="9"/>
      <c r="J384" s="9"/>
      <c r="K384" s="9"/>
      <c r="L384" s="9"/>
    </row>
    <row r="385" spans="9:12" x14ac:dyDescent="0.2">
      <c r="I385" s="9"/>
      <c r="J385" s="9"/>
      <c r="K385" s="9"/>
      <c r="L385" s="9"/>
    </row>
    <row r="386" spans="9:12" x14ac:dyDescent="0.2">
      <c r="I386" s="9"/>
      <c r="J386" s="9"/>
      <c r="K386" s="9"/>
      <c r="L386" s="9"/>
    </row>
    <row r="387" spans="9:12" x14ac:dyDescent="0.2">
      <c r="I387" s="9"/>
      <c r="J387" s="9"/>
      <c r="K387" s="9"/>
      <c r="L387" s="9"/>
    </row>
    <row r="388" spans="9:12" x14ac:dyDescent="0.2">
      <c r="I388" s="9"/>
      <c r="J388" s="9"/>
      <c r="K388" s="9"/>
      <c r="L388" s="9"/>
    </row>
    <row r="389" spans="9:12" x14ac:dyDescent="0.2">
      <c r="I389" s="9"/>
      <c r="J389" s="9"/>
      <c r="K389" s="9"/>
      <c r="L389" s="9"/>
    </row>
    <row r="390" spans="9:12" x14ac:dyDescent="0.2">
      <c r="I390" s="9"/>
      <c r="J390" s="9"/>
      <c r="K390" s="9"/>
      <c r="L390" s="9"/>
    </row>
    <row r="391" spans="9:12" x14ac:dyDescent="0.2">
      <c r="I391" s="9"/>
      <c r="J391" s="9"/>
      <c r="K391" s="9"/>
      <c r="L391" s="9"/>
    </row>
    <row r="392" spans="9:12" x14ac:dyDescent="0.2">
      <c r="I392" s="9"/>
      <c r="J392" s="9"/>
      <c r="K392" s="9"/>
      <c r="L392" s="9"/>
    </row>
    <row r="393" spans="9:12" x14ac:dyDescent="0.2">
      <c r="I393" s="9"/>
      <c r="J393" s="9"/>
      <c r="K393" s="9"/>
      <c r="L393" s="9"/>
    </row>
    <row r="394" spans="9:12" x14ac:dyDescent="0.2">
      <c r="I394" s="9"/>
      <c r="J394" s="9"/>
      <c r="K394" s="9"/>
      <c r="L394" s="9"/>
    </row>
    <row r="395" spans="9:12" x14ac:dyDescent="0.2">
      <c r="I395" s="9"/>
      <c r="J395" s="9"/>
      <c r="K395" s="9"/>
      <c r="L395" s="9"/>
    </row>
    <row r="396" spans="9:12" x14ac:dyDescent="0.2">
      <c r="I396" s="9"/>
      <c r="J396" s="9"/>
      <c r="K396" s="9"/>
      <c r="L396" s="9"/>
    </row>
    <row r="397" spans="9:12" x14ac:dyDescent="0.2">
      <c r="I397" s="9"/>
      <c r="J397" s="9"/>
      <c r="K397" s="9"/>
      <c r="L397" s="9"/>
    </row>
    <row r="398" spans="9:12" x14ac:dyDescent="0.2">
      <c r="I398" s="9"/>
      <c r="J398" s="9"/>
      <c r="K398" s="9"/>
      <c r="L398" s="9"/>
    </row>
    <row r="399" spans="9:12" x14ac:dyDescent="0.2">
      <c r="I399" s="9"/>
      <c r="J399" s="9"/>
      <c r="K399" s="9"/>
      <c r="L399" s="9"/>
    </row>
    <row r="400" spans="9:12" x14ac:dyDescent="0.2">
      <c r="I400" s="9"/>
      <c r="J400" s="9"/>
      <c r="K400" s="9"/>
      <c r="L400" s="9"/>
    </row>
    <row r="401" spans="9:12" x14ac:dyDescent="0.2">
      <c r="I401" s="9"/>
      <c r="J401" s="9"/>
      <c r="K401" s="9"/>
      <c r="L401" s="9"/>
    </row>
    <row r="402" spans="9:12" x14ac:dyDescent="0.2">
      <c r="I402" s="9"/>
      <c r="J402" s="9"/>
      <c r="K402" s="9"/>
      <c r="L402" s="9"/>
    </row>
    <row r="403" spans="9:12" x14ac:dyDescent="0.2">
      <c r="I403" s="9"/>
      <c r="J403" s="9"/>
      <c r="K403" s="9"/>
      <c r="L403" s="9"/>
    </row>
    <row r="404" spans="9:12" x14ac:dyDescent="0.2">
      <c r="I404" s="9"/>
      <c r="J404" s="9"/>
      <c r="K404" s="9"/>
      <c r="L404" s="9"/>
    </row>
    <row r="405" spans="9:12" x14ac:dyDescent="0.2">
      <c r="I405" s="9"/>
      <c r="J405" s="9"/>
      <c r="K405" s="9"/>
      <c r="L405" s="9"/>
    </row>
    <row r="406" spans="9:12" x14ac:dyDescent="0.2">
      <c r="I406" s="9"/>
      <c r="J406" s="9"/>
      <c r="K406" s="9"/>
      <c r="L406" s="9"/>
    </row>
    <row r="407" spans="9:12" x14ac:dyDescent="0.2">
      <c r="I407" s="9"/>
      <c r="J407" s="9"/>
      <c r="K407" s="9"/>
      <c r="L407" s="9"/>
    </row>
    <row r="408" spans="9:12" x14ac:dyDescent="0.2">
      <c r="I408" s="9"/>
      <c r="J408" s="9"/>
      <c r="K408" s="9"/>
      <c r="L408" s="9"/>
    </row>
    <row r="409" spans="9:12" x14ac:dyDescent="0.2">
      <c r="I409" s="9"/>
      <c r="J409" s="9"/>
      <c r="K409" s="9"/>
      <c r="L409" s="9"/>
    </row>
    <row r="410" spans="9:12" x14ac:dyDescent="0.2">
      <c r="I410" s="9"/>
      <c r="J410" s="9"/>
      <c r="K410" s="9"/>
      <c r="L410" s="9"/>
    </row>
    <row r="411" spans="9:12" x14ac:dyDescent="0.2">
      <c r="I411" s="9"/>
      <c r="J411" s="9"/>
      <c r="K411" s="9"/>
      <c r="L411" s="9"/>
    </row>
    <row r="412" spans="9:12" x14ac:dyDescent="0.2">
      <c r="I412" s="9"/>
      <c r="J412" s="9"/>
      <c r="K412" s="9"/>
      <c r="L412" s="9"/>
    </row>
    <row r="413" spans="9:12" x14ac:dyDescent="0.2">
      <c r="I413" s="9"/>
      <c r="J413" s="9"/>
      <c r="K413" s="9"/>
      <c r="L413" s="9"/>
    </row>
    <row r="414" spans="9:12" x14ac:dyDescent="0.2">
      <c r="I414" s="9"/>
      <c r="J414" s="9"/>
      <c r="K414" s="9"/>
      <c r="L414" s="9"/>
    </row>
    <row r="415" spans="9:12" x14ac:dyDescent="0.2">
      <c r="I415" s="9"/>
      <c r="J415" s="9"/>
      <c r="K415" s="9"/>
      <c r="L415" s="9"/>
    </row>
    <row r="416" spans="9:12" x14ac:dyDescent="0.2">
      <c r="I416" s="9"/>
      <c r="J416" s="9"/>
      <c r="K416" s="9"/>
      <c r="L416" s="9"/>
    </row>
    <row r="417" spans="9:12" x14ac:dyDescent="0.2">
      <c r="I417" s="9"/>
      <c r="J417" s="9"/>
      <c r="K417" s="9"/>
      <c r="L417" s="9"/>
    </row>
    <row r="418" spans="9:12" x14ac:dyDescent="0.2">
      <c r="I418" s="9"/>
      <c r="J418" s="9"/>
      <c r="K418" s="9"/>
      <c r="L418" s="9"/>
    </row>
    <row r="419" spans="9:12" x14ac:dyDescent="0.2">
      <c r="I419" s="9"/>
      <c r="J419" s="9"/>
      <c r="K419" s="9"/>
      <c r="L419" s="9"/>
    </row>
    <row r="420" spans="9:12" x14ac:dyDescent="0.2">
      <c r="I420" s="9"/>
      <c r="J420" s="9"/>
      <c r="K420" s="9"/>
      <c r="L420" s="9"/>
    </row>
    <row r="421" spans="9:12" x14ac:dyDescent="0.2">
      <c r="I421" s="9"/>
      <c r="J421" s="9"/>
      <c r="K421" s="9"/>
      <c r="L421" s="9"/>
    </row>
    <row r="422" spans="9:12" x14ac:dyDescent="0.2">
      <c r="I422" s="9"/>
      <c r="J422" s="9"/>
      <c r="K422" s="9"/>
      <c r="L422" s="9"/>
    </row>
    <row r="423" spans="9:12" x14ac:dyDescent="0.2">
      <c r="I423" s="9"/>
      <c r="J423" s="9"/>
      <c r="K423" s="9"/>
      <c r="L423" s="9"/>
    </row>
    <row r="424" spans="9:12" x14ac:dyDescent="0.2">
      <c r="I424" s="9"/>
      <c r="J424" s="9"/>
      <c r="K424" s="9"/>
      <c r="L424" s="9"/>
    </row>
    <row r="425" spans="9:12" x14ac:dyDescent="0.2">
      <c r="I425" s="9"/>
      <c r="J425" s="9"/>
      <c r="K425" s="9"/>
      <c r="L425" s="9"/>
    </row>
    <row r="426" spans="9:12" x14ac:dyDescent="0.2">
      <c r="I426" s="9"/>
      <c r="J426" s="9"/>
      <c r="K426" s="9"/>
      <c r="L426" s="9"/>
    </row>
    <row r="427" spans="9:12" x14ac:dyDescent="0.2">
      <c r="I427" s="9"/>
      <c r="J427" s="9"/>
      <c r="K427" s="9"/>
      <c r="L427" s="9"/>
    </row>
    <row r="428" spans="9:12" x14ac:dyDescent="0.2">
      <c r="I428" s="9"/>
      <c r="J428" s="9"/>
      <c r="K428" s="9"/>
      <c r="L428" s="9"/>
    </row>
    <row r="429" spans="9:12" x14ac:dyDescent="0.2">
      <c r="I429" s="9"/>
      <c r="J429" s="9"/>
      <c r="K429" s="9"/>
      <c r="L429" s="9"/>
    </row>
    <row r="430" spans="9:12" x14ac:dyDescent="0.2">
      <c r="I430" s="9"/>
      <c r="J430" s="9"/>
      <c r="K430" s="9"/>
      <c r="L430" s="9"/>
    </row>
    <row r="431" spans="9:12" x14ac:dyDescent="0.2">
      <c r="I431" s="9"/>
      <c r="J431" s="9"/>
      <c r="K431" s="9"/>
      <c r="L431" s="9"/>
    </row>
    <row r="432" spans="9:12" x14ac:dyDescent="0.2">
      <c r="I432" s="9"/>
      <c r="J432" s="9"/>
      <c r="K432" s="9"/>
      <c r="L432" s="9"/>
    </row>
    <row r="433" spans="9:12" x14ac:dyDescent="0.2">
      <c r="I433" s="9"/>
      <c r="J433" s="9"/>
      <c r="K433" s="9"/>
      <c r="L433" s="9"/>
    </row>
    <row r="434" spans="9:12" x14ac:dyDescent="0.2">
      <c r="I434" s="9"/>
      <c r="J434" s="9"/>
      <c r="K434" s="9"/>
      <c r="L434" s="9"/>
    </row>
    <row r="435" spans="9:12" x14ac:dyDescent="0.2">
      <c r="I435" s="9"/>
      <c r="J435" s="9"/>
      <c r="K435" s="9"/>
      <c r="L435" s="9"/>
    </row>
    <row r="436" spans="9:12" x14ac:dyDescent="0.2">
      <c r="I436" s="9"/>
      <c r="J436" s="9"/>
      <c r="K436" s="9"/>
      <c r="L436" s="9"/>
    </row>
    <row r="437" spans="9:12" x14ac:dyDescent="0.2">
      <c r="I437" s="9"/>
      <c r="J437" s="9"/>
      <c r="K437" s="9"/>
      <c r="L437" s="9"/>
    </row>
    <row r="438" spans="9:12" x14ac:dyDescent="0.2">
      <c r="I438" s="9"/>
      <c r="J438" s="9"/>
      <c r="K438" s="9"/>
      <c r="L438" s="9"/>
    </row>
    <row r="439" spans="9:12" x14ac:dyDescent="0.2">
      <c r="I439" s="9"/>
      <c r="J439" s="9"/>
      <c r="K439" s="9"/>
      <c r="L439" s="9"/>
    </row>
    <row r="440" spans="9:12" x14ac:dyDescent="0.2">
      <c r="I440" s="9"/>
      <c r="J440" s="9"/>
      <c r="K440" s="9"/>
      <c r="L440" s="9"/>
    </row>
    <row r="441" spans="9:12" x14ac:dyDescent="0.2">
      <c r="I441" s="9"/>
      <c r="J441" s="9"/>
      <c r="K441" s="9"/>
      <c r="L441" s="9"/>
    </row>
    <row r="442" spans="9:12" x14ac:dyDescent="0.2">
      <c r="I442" s="9"/>
      <c r="J442" s="9"/>
      <c r="K442" s="9"/>
      <c r="L442" s="9"/>
    </row>
    <row r="443" spans="9:12" x14ac:dyDescent="0.2">
      <c r="I443" s="9"/>
      <c r="J443" s="9"/>
      <c r="K443" s="9"/>
      <c r="L443" s="9"/>
    </row>
    <row r="444" spans="9:12" x14ac:dyDescent="0.2">
      <c r="I444" s="9"/>
      <c r="J444" s="9"/>
      <c r="K444" s="9"/>
      <c r="L444" s="9"/>
    </row>
    <row r="445" spans="9:12" x14ac:dyDescent="0.2">
      <c r="I445" s="9"/>
      <c r="J445" s="9"/>
      <c r="K445" s="9"/>
      <c r="L445" s="9"/>
    </row>
    <row r="446" spans="9:12" x14ac:dyDescent="0.2">
      <c r="I446" s="9"/>
      <c r="J446" s="9"/>
      <c r="K446" s="9"/>
      <c r="L446" s="9"/>
    </row>
    <row r="447" spans="9:12" x14ac:dyDescent="0.2">
      <c r="I447" s="9"/>
      <c r="J447" s="9"/>
      <c r="K447" s="9"/>
      <c r="L447" s="9"/>
    </row>
    <row r="448" spans="9:12" x14ac:dyDescent="0.2">
      <c r="I448" s="9"/>
      <c r="J448" s="9"/>
      <c r="K448" s="9"/>
      <c r="L448" s="9"/>
    </row>
    <row r="449" spans="9:12" x14ac:dyDescent="0.2">
      <c r="I449" s="9"/>
      <c r="J449" s="9"/>
      <c r="K449" s="9"/>
      <c r="L449" s="9"/>
    </row>
    <row r="450" spans="9:12" x14ac:dyDescent="0.2">
      <c r="I450" s="9"/>
      <c r="J450" s="9"/>
      <c r="K450" s="9"/>
      <c r="L450" s="9"/>
    </row>
    <row r="451" spans="9:12" x14ac:dyDescent="0.2">
      <c r="I451" s="9"/>
      <c r="J451" s="9"/>
      <c r="K451" s="9"/>
      <c r="L451" s="9"/>
    </row>
    <row r="452" spans="9:12" x14ac:dyDescent="0.2">
      <c r="I452" s="9"/>
      <c r="J452" s="9"/>
      <c r="K452" s="9"/>
      <c r="L452" s="9"/>
    </row>
    <row r="453" spans="9:12" x14ac:dyDescent="0.2">
      <c r="I453" s="9"/>
      <c r="J453" s="9"/>
      <c r="K453" s="9"/>
      <c r="L453" s="9"/>
    </row>
    <row r="454" spans="9:12" x14ac:dyDescent="0.2">
      <c r="I454" s="9"/>
      <c r="J454" s="9"/>
      <c r="K454" s="9"/>
      <c r="L454" s="9"/>
    </row>
    <row r="455" spans="9:12" x14ac:dyDescent="0.2">
      <c r="I455" s="9"/>
      <c r="J455" s="9"/>
      <c r="K455" s="9"/>
      <c r="L455" s="9"/>
    </row>
    <row r="456" spans="9:12" x14ac:dyDescent="0.2">
      <c r="I456" s="9"/>
      <c r="J456" s="9"/>
      <c r="K456" s="9"/>
      <c r="L456" s="9"/>
    </row>
    <row r="457" spans="9:12" x14ac:dyDescent="0.2">
      <c r="I457" s="9"/>
      <c r="J457" s="9"/>
      <c r="K457" s="9"/>
      <c r="L457" s="9"/>
    </row>
    <row r="458" spans="9:12" x14ac:dyDescent="0.2">
      <c r="I458" s="9"/>
      <c r="J458" s="9"/>
      <c r="K458" s="9"/>
      <c r="L458" s="9"/>
    </row>
    <row r="459" spans="9:12" x14ac:dyDescent="0.2">
      <c r="I459" s="9"/>
      <c r="J459" s="9"/>
      <c r="K459" s="9"/>
      <c r="L459" s="9"/>
    </row>
    <row r="460" spans="9:12" x14ac:dyDescent="0.2">
      <c r="I460" s="9"/>
      <c r="J460" s="9"/>
      <c r="K460" s="9"/>
      <c r="L460" s="9"/>
    </row>
    <row r="461" spans="9:12" x14ac:dyDescent="0.2">
      <c r="I461" s="9"/>
      <c r="J461" s="9"/>
      <c r="K461" s="9"/>
      <c r="L461" s="9"/>
    </row>
    <row r="462" spans="9:12" x14ac:dyDescent="0.2">
      <c r="I462" s="9"/>
      <c r="J462" s="9"/>
      <c r="K462" s="9"/>
      <c r="L462" s="9"/>
    </row>
    <row r="463" spans="9:12" x14ac:dyDescent="0.2">
      <c r="I463" s="9"/>
      <c r="J463" s="9"/>
      <c r="K463" s="9"/>
      <c r="L463" s="9"/>
    </row>
    <row r="464" spans="9:12" x14ac:dyDescent="0.2">
      <c r="I464" s="9"/>
      <c r="J464" s="9"/>
      <c r="K464" s="9"/>
      <c r="L464" s="9"/>
    </row>
    <row r="465" spans="9:12" x14ac:dyDescent="0.2">
      <c r="I465" s="9"/>
      <c r="J465" s="9"/>
      <c r="K465" s="9"/>
      <c r="L465" s="9"/>
    </row>
    <row r="466" spans="9:12" x14ac:dyDescent="0.2">
      <c r="I466" s="9"/>
      <c r="J466" s="9"/>
      <c r="K466" s="9"/>
      <c r="L466" s="9"/>
    </row>
    <row r="467" spans="9:12" x14ac:dyDescent="0.2">
      <c r="I467" s="9"/>
      <c r="J467" s="9"/>
      <c r="K467" s="9"/>
      <c r="L467" s="9"/>
    </row>
    <row r="468" spans="9:12" x14ac:dyDescent="0.2">
      <c r="I468" s="9"/>
      <c r="J468" s="9"/>
      <c r="K468" s="9"/>
      <c r="L468" s="9"/>
    </row>
    <row r="469" spans="9:12" x14ac:dyDescent="0.2">
      <c r="I469" s="9"/>
      <c r="J469" s="9"/>
      <c r="K469" s="9"/>
      <c r="L469" s="9"/>
    </row>
    <row r="470" spans="9:12" x14ac:dyDescent="0.2">
      <c r="I470" s="9"/>
      <c r="J470" s="9"/>
      <c r="K470" s="9"/>
      <c r="L470" s="9"/>
    </row>
    <row r="471" spans="9:12" x14ac:dyDescent="0.2">
      <c r="I471" s="9"/>
      <c r="J471" s="9"/>
      <c r="K471" s="9"/>
      <c r="L471" s="9"/>
    </row>
    <row r="472" spans="9:12" x14ac:dyDescent="0.2">
      <c r="I472" s="9"/>
      <c r="J472" s="9"/>
      <c r="K472" s="9"/>
      <c r="L472" s="9"/>
    </row>
    <row r="473" spans="9:12" x14ac:dyDescent="0.2">
      <c r="I473" s="9"/>
      <c r="J473" s="9"/>
      <c r="K473" s="9"/>
      <c r="L473" s="9"/>
    </row>
    <row r="474" spans="9:12" x14ac:dyDescent="0.2">
      <c r="I474" s="9"/>
      <c r="J474" s="9"/>
      <c r="K474" s="9"/>
      <c r="L474" s="9"/>
    </row>
    <row r="475" spans="9:12" x14ac:dyDescent="0.2">
      <c r="I475" s="9"/>
      <c r="J475" s="9"/>
      <c r="K475" s="9"/>
      <c r="L475" s="9"/>
    </row>
    <row r="476" spans="9:12" x14ac:dyDescent="0.2">
      <c r="I476" s="9"/>
      <c r="J476" s="9"/>
      <c r="K476" s="9"/>
      <c r="L476" s="9"/>
    </row>
    <row r="477" spans="9:12" x14ac:dyDescent="0.2">
      <c r="I477" s="9"/>
      <c r="J477" s="9"/>
      <c r="K477" s="9"/>
      <c r="L477" s="9"/>
    </row>
    <row r="478" spans="9:12" x14ac:dyDescent="0.2">
      <c r="I478" s="9"/>
      <c r="J478" s="9"/>
      <c r="K478" s="9"/>
      <c r="L478" s="9"/>
    </row>
    <row r="479" spans="9:12" x14ac:dyDescent="0.2">
      <c r="I479" s="9"/>
      <c r="J479" s="9"/>
      <c r="K479" s="9"/>
      <c r="L479" s="9"/>
    </row>
    <row r="480" spans="9:12" x14ac:dyDescent="0.2">
      <c r="I480" s="9"/>
      <c r="J480" s="9"/>
      <c r="K480" s="9"/>
      <c r="L480" s="9"/>
    </row>
    <row r="481" spans="9:12" x14ac:dyDescent="0.2">
      <c r="I481" s="9"/>
      <c r="J481" s="9"/>
      <c r="K481" s="9"/>
      <c r="L481" s="9"/>
    </row>
    <row r="482" spans="9:12" x14ac:dyDescent="0.2">
      <c r="I482" s="9"/>
      <c r="J482" s="9"/>
      <c r="K482" s="9"/>
      <c r="L482" s="9"/>
    </row>
    <row r="483" spans="9:12" x14ac:dyDescent="0.2">
      <c r="I483" s="9"/>
      <c r="J483" s="9"/>
      <c r="K483" s="9"/>
      <c r="L483" s="9"/>
    </row>
    <row r="484" spans="9:12" x14ac:dyDescent="0.2">
      <c r="I484" s="9"/>
      <c r="J484" s="9"/>
      <c r="K484" s="9"/>
      <c r="L484" s="9"/>
    </row>
    <row r="485" spans="9:12" x14ac:dyDescent="0.2">
      <c r="I485" s="9"/>
      <c r="J485" s="9"/>
      <c r="K485" s="9"/>
      <c r="L485" s="9"/>
    </row>
    <row r="486" spans="9:12" x14ac:dyDescent="0.2">
      <c r="I486" s="9"/>
      <c r="J486" s="9"/>
      <c r="K486" s="9"/>
      <c r="L486" s="9"/>
    </row>
    <row r="487" spans="9:12" x14ac:dyDescent="0.2">
      <c r="I487" s="9"/>
      <c r="J487" s="9"/>
      <c r="K487" s="9"/>
      <c r="L487" s="9"/>
    </row>
    <row r="488" spans="9:12" x14ac:dyDescent="0.2">
      <c r="I488" s="9"/>
      <c r="J488" s="9"/>
      <c r="K488" s="9"/>
      <c r="L488" s="9"/>
    </row>
    <row r="489" spans="9:12" x14ac:dyDescent="0.2">
      <c r="I489" s="9"/>
      <c r="J489" s="9"/>
      <c r="K489" s="9"/>
      <c r="L489" s="9"/>
    </row>
    <row r="490" spans="9:12" x14ac:dyDescent="0.2">
      <c r="I490" s="9"/>
      <c r="J490" s="9"/>
      <c r="K490" s="9"/>
      <c r="L490" s="9"/>
    </row>
    <row r="491" spans="9:12" x14ac:dyDescent="0.2">
      <c r="I491" s="9"/>
      <c r="J491" s="9"/>
      <c r="K491" s="9"/>
      <c r="L491" s="9"/>
    </row>
    <row r="492" spans="9:12" x14ac:dyDescent="0.2">
      <c r="I492" s="9"/>
      <c r="J492" s="9"/>
      <c r="K492" s="9"/>
      <c r="L492" s="9"/>
    </row>
    <row r="493" spans="9:12" x14ac:dyDescent="0.2">
      <c r="I493" s="9"/>
      <c r="J493" s="9"/>
      <c r="K493" s="9"/>
      <c r="L493" s="9"/>
    </row>
    <row r="494" spans="9:12" x14ac:dyDescent="0.2">
      <c r="I494" s="9"/>
      <c r="J494" s="9"/>
      <c r="K494" s="9"/>
      <c r="L494" s="9"/>
    </row>
    <row r="495" spans="9:12" x14ac:dyDescent="0.2">
      <c r="I495" s="9"/>
      <c r="J495" s="9"/>
      <c r="K495" s="9"/>
      <c r="L495" s="9"/>
    </row>
    <row r="496" spans="9:12" x14ac:dyDescent="0.2">
      <c r="I496" s="9"/>
      <c r="J496" s="9"/>
      <c r="K496" s="9"/>
      <c r="L496" s="9"/>
    </row>
    <row r="497" spans="9:12" x14ac:dyDescent="0.2">
      <c r="I497" s="9"/>
      <c r="J497" s="9"/>
      <c r="K497" s="9"/>
      <c r="L497" s="9"/>
    </row>
    <row r="498" spans="9:12" x14ac:dyDescent="0.2">
      <c r="I498" s="9"/>
      <c r="J498" s="9"/>
      <c r="K498" s="9"/>
      <c r="L498" s="9"/>
    </row>
    <row r="499" spans="9:12" x14ac:dyDescent="0.2">
      <c r="I499" s="9"/>
      <c r="J499" s="9"/>
      <c r="K499" s="9"/>
      <c r="L499" s="9"/>
    </row>
    <row r="500" spans="9:12" x14ac:dyDescent="0.2">
      <c r="I500" s="9"/>
      <c r="J500" s="9"/>
      <c r="K500" s="9"/>
      <c r="L500" s="9"/>
    </row>
    <row r="501" spans="9:12" x14ac:dyDescent="0.2">
      <c r="I501" s="9"/>
      <c r="J501" s="9"/>
      <c r="K501" s="9"/>
      <c r="L501" s="9"/>
    </row>
    <row r="502" spans="9:12" x14ac:dyDescent="0.2">
      <c r="I502" s="9"/>
      <c r="J502" s="9"/>
      <c r="K502" s="9"/>
      <c r="L502" s="9"/>
    </row>
    <row r="503" spans="9:12" x14ac:dyDescent="0.2">
      <c r="I503" s="9"/>
      <c r="J503" s="9"/>
      <c r="K503" s="9"/>
      <c r="L503" s="9"/>
    </row>
    <row r="504" spans="9:12" x14ac:dyDescent="0.2">
      <c r="I504" s="9"/>
      <c r="J504" s="9"/>
      <c r="K504" s="9"/>
      <c r="L504" s="9"/>
    </row>
    <row r="505" spans="9:12" x14ac:dyDescent="0.2">
      <c r="I505" s="9"/>
      <c r="J505" s="9"/>
      <c r="K505" s="9"/>
      <c r="L505" s="9"/>
    </row>
    <row r="506" spans="9:12" x14ac:dyDescent="0.2">
      <c r="I506" s="9"/>
      <c r="J506" s="9"/>
      <c r="K506" s="9"/>
      <c r="L506" s="9"/>
    </row>
    <row r="507" spans="9:12" x14ac:dyDescent="0.2">
      <c r="I507" s="9"/>
      <c r="J507" s="9"/>
      <c r="K507" s="9"/>
      <c r="L507" s="9"/>
    </row>
    <row r="508" spans="9:12" x14ac:dyDescent="0.2">
      <c r="I508" s="9"/>
      <c r="J508" s="9"/>
      <c r="K508" s="9"/>
      <c r="L508" s="9"/>
    </row>
    <row r="509" spans="9:12" x14ac:dyDescent="0.2">
      <c r="I509" s="9"/>
      <c r="J509" s="9"/>
      <c r="K509" s="9"/>
      <c r="L509" s="9"/>
    </row>
    <row r="510" spans="9:12" x14ac:dyDescent="0.2">
      <c r="I510" s="9"/>
      <c r="J510" s="9"/>
      <c r="K510" s="9"/>
      <c r="L510" s="9"/>
    </row>
    <row r="511" spans="9:12" x14ac:dyDescent="0.2">
      <c r="I511" s="9"/>
      <c r="J511" s="9"/>
      <c r="K511" s="9"/>
      <c r="L511" s="9"/>
    </row>
    <row r="512" spans="9:12" x14ac:dyDescent="0.2">
      <c r="I512" s="9"/>
      <c r="J512" s="9"/>
      <c r="K512" s="9"/>
      <c r="L512" s="9"/>
    </row>
    <row r="513" spans="9:12" x14ac:dyDescent="0.2">
      <c r="I513" s="9"/>
      <c r="J513" s="9"/>
      <c r="K513" s="9"/>
      <c r="L513" s="9"/>
    </row>
    <row r="514" spans="9:12" x14ac:dyDescent="0.2">
      <c r="I514" s="9"/>
      <c r="J514" s="9"/>
      <c r="K514" s="9"/>
      <c r="L514" s="9"/>
    </row>
    <row r="515" spans="9:12" x14ac:dyDescent="0.2">
      <c r="I515" s="9"/>
      <c r="J515" s="9"/>
      <c r="K515" s="9"/>
      <c r="L515" s="9"/>
    </row>
    <row r="516" spans="9:12" x14ac:dyDescent="0.2">
      <c r="I516" s="9"/>
      <c r="J516" s="9"/>
      <c r="K516" s="9"/>
      <c r="L516" s="9"/>
    </row>
    <row r="517" spans="9:12" x14ac:dyDescent="0.2">
      <c r="I517" s="9"/>
      <c r="J517" s="9"/>
      <c r="K517" s="9"/>
      <c r="L517" s="9"/>
    </row>
    <row r="518" spans="9:12" x14ac:dyDescent="0.2">
      <c r="I518" s="9"/>
      <c r="J518" s="9"/>
      <c r="K518" s="9"/>
      <c r="L518" s="9"/>
    </row>
    <row r="519" spans="9:12" x14ac:dyDescent="0.2">
      <c r="I519" s="9"/>
      <c r="J519" s="9"/>
      <c r="K519" s="9"/>
      <c r="L519" s="9"/>
    </row>
    <row r="520" spans="9:12" x14ac:dyDescent="0.2">
      <c r="I520" s="9"/>
      <c r="J520" s="9"/>
      <c r="K520" s="9"/>
      <c r="L520" s="9"/>
    </row>
    <row r="521" spans="9:12" x14ac:dyDescent="0.2">
      <c r="I521" s="9"/>
      <c r="J521" s="9"/>
      <c r="K521" s="9"/>
      <c r="L521" s="9"/>
    </row>
    <row r="522" spans="9:12" x14ac:dyDescent="0.2">
      <c r="I522" s="9"/>
      <c r="J522" s="9"/>
      <c r="K522" s="9"/>
      <c r="L522" s="9"/>
    </row>
    <row r="523" spans="9:12" x14ac:dyDescent="0.2">
      <c r="I523" s="9"/>
      <c r="J523" s="9"/>
      <c r="K523" s="9"/>
      <c r="L523" s="9"/>
    </row>
    <row r="524" spans="9:12" x14ac:dyDescent="0.2">
      <c r="I524" s="9"/>
      <c r="J524" s="9"/>
      <c r="K524" s="9"/>
      <c r="L524" s="9"/>
    </row>
    <row r="525" spans="9:12" x14ac:dyDescent="0.2">
      <c r="I525" s="9"/>
      <c r="J525" s="9"/>
      <c r="K525" s="9"/>
      <c r="L525" s="9"/>
    </row>
    <row r="526" spans="9:12" x14ac:dyDescent="0.2">
      <c r="I526" s="9"/>
      <c r="J526" s="9"/>
      <c r="K526" s="9"/>
      <c r="L526" s="9"/>
    </row>
    <row r="527" spans="9:12" x14ac:dyDescent="0.2">
      <c r="I527" s="9"/>
      <c r="J527" s="9"/>
      <c r="K527" s="9"/>
      <c r="L527" s="9"/>
    </row>
    <row r="528" spans="9:12" x14ac:dyDescent="0.2">
      <c r="I528" s="9"/>
      <c r="J528" s="9"/>
      <c r="K528" s="9"/>
      <c r="L528" s="9"/>
    </row>
    <row r="529" spans="9:12" x14ac:dyDescent="0.2">
      <c r="I529" s="9"/>
      <c r="J529" s="9"/>
      <c r="K529" s="9"/>
      <c r="L529" s="9"/>
    </row>
    <row r="530" spans="9:12" x14ac:dyDescent="0.2">
      <c r="I530" s="9"/>
      <c r="J530" s="9"/>
      <c r="K530" s="9"/>
      <c r="L530" s="9"/>
    </row>
    <row r="531" spans="9:12" x14ac:dyDescent="0.2">
      <c r="I531" s="9"/>
      <c r="J531" s="9"/>
      <c r="K531" s="9"/>
      <c r="L531" s="9"/>
    </row>
    <row r="532" spans="9:12" x14ac:dyDescent="0.2">
      <c r="I532" s="9"/>
      <c r="J532" s="9"/>
      <c r="K532" s="9"/>
      <c r="L532" s="9"/>
    </row>
    <row r="533" spans="9:12" x14ac:dyDescent="0.2">
      <c r="I533" s="9"/>
      <c r="J533" s="9"/>
      <c r="K533" s="9"/>
      <c r="L533" s="9"/>
    </row>
    <row r="534" spans="9:12" x14ac:dyDescent="0.2">
      <c r="I534" s="9"/>
      <c r="J534" s="9"/>
      <c r="K534" s="9"/>
      <c r="L534" s="9"/>
    </row>
    <row r="535" spans="9:12" x14ac:dyDescent="0.2">
      <c r="I535" s="9"/>
      <c r="J535" s="9"/>
      <c r="K535" s="9"/>
      <c r="L535" s="9"/>
    </row>
    <row r="536" spans="9:12" x14ac:dyDescent="0.2">
      <c r="I536" s="9"/>
      <c r="J536" s="9"/>
      <c r="K536" s="9"/>
      <c r="L536" s="9"/>
    </row>
    <row r="537" spans="9:12" x14ac:dyDescent="0.2">
      <c r="I537" s="9"/>
      <c r="J537" s="9"/>
      <c r="K537" s="9"/>
      <c r="L537" s="9"/>
    </row>
    <row r="538" spans="9:12" x14ac:dyDescent="0.2">
      <c r="I538" s="9"/>
      <c r="J538" s="9"/>
      <c r="K538" s="9"/>
      <c r="L538" s="9"/>
    </row>
    <row r="539" spans="9:12" x14ac:dyDescent="0.2">
      <c r="I539" s="9"/>
      <c r="J539" s="9"/>
      <c r="K539" s="9"/>
      <c r="L539" s="9"/>
    </row>
    <row r="540" spans="9:12" x14ac:dyDescent="0.2">
      <c r="I540" s="9"/>
      <c r="J540" s="9"/>
      <c r="K540" s="9"/>
      <c r="L540" s="9"/>
    </row>
    <row r="541" spans="9:12" x14ac:dyDescent="0.2">
      <c r="I541" s="9"/>
      <c r="J541" s="9"/>
      <c r="K541" s="9"/>
      <c r="L541" s="9"/>
    </row>
    <row r="542" spans="9:12" x14ac:dyDescent="0.2">
      <c r="I542" s="9"/>
      <c r="J542" s="9"/>
      <c r="K542" s="9"/>
      <c r="L542" s="9"/>
    </row>
    <row r="543" spans="9:12" x14ac:dyDescent="0.2">
      <c r="I543" s="9"/>
      <c r="J543" s="9"/>
      <c r="K543" s="9"/>
      <c r="L543" s="9"/>
    </row>
    <row r="544" spans="9:12" x14ac:dyDescent="0.2">
      <c r="I544" s="9"/>
      <c r="J544" s="9"/>
      <c r="K544" s="9"/>
      <c r="L544" s="9"/>
    </row>
    <row r="545" spans="9:12" x14ac:dyDescent="0.2">
      <c r="I545" s="9"/>
      <c r="J545" s="9"/>
      <c r="K545" s="9"/>
      <c r="L545" s="9"/>
    </row>
    <row r="546" spans="9:12" x14ac:dyDescent="0.2">
      <c r="I546" s="9"/>
      <c r="J546" s="9"/>
      <c r="K546" s="9"/>
      <c r="L546" s="9"/>
    </row>
    <row r="547" spans="9:12" x14ac:dyDescent="0.2">
      <c r="I547" s="9"/>
      <c r="J547" s="9"/>
      <c r="K547" s="9"/>
      <c r="L547" s="9"/>
    </row>
    <row r="548" spans="9:12" x14ac:dyDescent="0.2">
      <c r="I548" s="9"/>
      <c r="J548" s="9"/>
      <c r="K548" s="9"/>
      <c r="L548" s="9"/>
    </row>
    <row r="549" spans="9:12" x14ac:dyDescent="0.2">
      <c r="I549" s="9"/>
      <c r="J549" s="9"/>
      <c r="K549" s="9"/>
      <c r="L549" s="9"/>
    </row>
    <row r="550" spans="9:12" x14ac:dyDescent="0.2">
      <c r="I550" s="9"/>
      <c r="J550" s="9"/>
      <c r="K550" s="9"/>
      <c r="L550" s="9"/>
    </row>
    <row r="551" spans="9:12" x14ac:dyDescent="0.2">
      <c r="I551" s="9"/>
      <c r="J551" s="9"/>
      <c r="K551" s="9"/>
      <c r="L551" s="9"/>
    </row>
    <row r="552" spans="9:12" x14ac:dyDescent="0.2">
      <c r="I552" s="9"/>
      <c r="J552" s="9"/>
      <c r="K552" s="9"/>
      <c r="L552" s="9"/>
    </row>
    <row r="553" spans="9:12" x14ac:dyDescent="0.2">
      <c r="I553" s="9"/>
      <c r="J553" s="9"/>
      <c r="K553" s="9"/>
      <c r="L553" s="9"/>
    </row>
    <row r="554" spans="9:12" x14ac:dyDescent="0.2">
      <c r="I554" s="9"/>
      <c r="J554" s="9"/>
      <c r="K554" s="9"/>
      <c r="L554" s="9"/>
    </row>
    <row r="555" spans="9:12" x14ac:dyDescent="0.2">
      <c r="I555" s="9"/>
      <c r="J555" s="9"/>
      <c r="K555" s="9"/>
      <c r="L555" s="9"/>
    </row>
    <row r="556" spans="9:12" x14ac:dyDescent="0.2">
      <c r="I556" s="9"/>
      <c r="J556" s="9"/>
      <c r="K556" s="9"/>
      <c r="L556" s="9"/>
    </row>
    <row r="557" spans="9:12" x14ac:dyDescent="0.2">
      <c r="I557" s="9"/>
      <c r="J557" s="9"/>
      <c r="K557" s="9"/>
      <c r="L557" s="9"/>
    </row>
    <row r="558" spans="9:12" x14ac:dyDescent="0.2">
      <c r="I558" s="9"/>
      <c r="J558" s="9"/>
      <c r="K558" s="9"/>
      <c r="L558" s="9"/>
    </row>
    <row r="559" spans="9:12" x14ac:dyDescent="0.2">
      <c r="I559" s="9"/>
      <c r="J559" s="9"/>
      <c r="K559" s="9"/>
      <c r="L559" s="9"/>
    </row>
    <row r="560" spans="9:12" x14ac:dyDescent="0.2">
      <c r="I560" s="9"/>
      <c r="J560" s="9"/>
      <c r="K560" s="9"/>
      <c r="L560" s="9"/>
    </row>
    <row r="561" spans="9:12" x14ac:dyDescent="0.2">
      <c r="I561" s="9"/>
      <c r="J561" s="9"/>
      <c r="K561" s="9"/>
      <c r="L561" s="9"/>
    </row>
    <row r="562" spans="9:12" x14ac:dyDescent="0.2">
      <c r="I562" s="9"/>
      <c r="J562" s="9"/>
      <c r="K562" s="9"/>
      <c r="L562" s="9"/>
    </row>
    <row r="563" spans="9:12" x14ac:dyDescent="0.2">
      <c r="I563" s="9"/>
      <c r="J563" s="9"/>
      <c r="K563" s="9"/>
      <c r="L563" s="9"/>
    </row>
    <row r="564" spans="9:12" x14ac:dyDescent="0.2">
      <c r="I564" s="9"/>
      <c r="J564" s="9"/>
      <c r="K564" s="9"/>
      <c r="L564" s="9"/>
    </row>
    <row r="565" spans="9:12" x14ac:dyDescent="0.2">
      <c r="I565" s="9"/>
      <c r="J565" s="9"/>
      <c r="K565" s="9"/>
      <c r="L565" s="9"/>
    </row>
    <row r="566" spans="9:12" x14ac:dyDescent="0.2">
      <c r="I566" s="9"/>
      <c r="J566" s="9"/>
      <c r="K566" s="9"/>
      <c r="L566" s="9"/>
    </row>
    <row r="567" spans="9:12" x14ac:dyDescent="0.2">
      <c r="I567" s="9"/>
      <c r="J567" s="9"/>
      <c r="K567" s="9"/>
      <c r="L567" s="9"/>
    </row>
    <row r="568" spans="9:12" x14ac:dyDescent="0.2">
      <c r="I568" s="9"/>
      <c r="J568" s="9"/>
      <c r="K568" s="9"/>
      <c r="L568" s="9"/>
    </row>
    <row r="569" spans="9:12" x14ac:dyDescent="0.2">
      <c r="I569" s="9"/>
      <c r="J569" s="9"/>
      <c r="K569" s="9"/>
      <c r="L569" s="9"/>
    </row>
    <row r="570" spans="9:12" x14ac:dyDescent="0.2">
      <c r="I570" s="9"/>
      <c r="J570" s="9"/>
      <c r="K570" s="9"/>
      <c r="L570" s="9"/>
    </row>
    <row r="571" spans="9:12" x14ac:dyDescent="0.2">
      <c r="I571" s="9"/>
      <c r="J571" s="9"/>
      <c r="K571" s="9"/>
      <c r="L571" s="9"/>
    </row>
    <row r="572" spans="9:12" x14ac:dyDescent="0.2">
      <c r="I572" s="9"/>
      <c r="J572" s="9"/>
      <c r="K572" s="9"/>
      <c r="L572" s="9"/>
    </row>
    <row r="573" spans="9:12" x14ac:dyDescent="0.2">
      <c r="I573" s="9"/>
      <c r="J573" s="9"/>
      <c r="K573" s="9"/>
      <c r="L573" s="9"/>
    </row>
    <row r="574" spans="9:12" x14ac:dyDescent="0.2">
      <c r="I574" s="9"/>
      <c r="J574" s="9"/>
      <c r="K574" s="9"/>
      <c r="L574" s="9"/>
    </row>
    <row r="575" spans="9:12" x14ac:dyDescent="0.2">
      <c r="I575" s="9"/>
      <c r="J575" s="9"/>
      <c r="K575" s="9"/>
      <c r="L575" s="9"/>
    </row>
    <row r="576" spans="9:12" x14ac:dyDescent="0.2">
      <c r="I576" s="9"/>
      <c r="J576" s="9"/>
      <c r="K576" s="9"/>
      <c r="L576" s="9"/>
    </row>
    <row r="577" spans="9:12" x14ac:dyDescent="0.2">
      <c r="I577" s="9"/>
      <c r="J577" s="9"/>
      <c r="K577" s="9"/>
      <c r="L577" s="9"/>
    </row>
    <row r="578" spans="9:12" x14ac:dyDescent="0.2">
      <c r="I578" s="9"/>
      <c r="J578" s="9"/>
      <c r="K578" s="9"/>
      <c r="L578" s="9"/>
    </row>
    <row r="579" spans="9:12" x14ac:dyDescent="0.2">
      <c r="I579" s="9"/>
      <c r="J579" s="9"/>
      <c r="K579" s="9"/>
      <c r="L579" s="9"/>
    </row>
    <row r="580" spans="9:12" x14ac:dyDescent="0.2">
      <c r="I580" s="9"/>
      <c r="J580" s="9"/>
      <c r="K580" s="9"/>
      <c r="L580" s="9"/>
    </row>
    <row r="581" spans="9:12" x14ac:dyDescent="0.2">
      <c r="I581" s="9"/>
      <c r="J581" s="9"/>
      <c r="K581" s="9"/>
      <c r="L581" s="9"/>
    </row>
    <row r="582" spans="9:12" x14ac:dyDescent="0.2">
      <c r="I582" s="9"/>
      <c r="J582" s="9"/>
      <c r="K582" s="9"/>
      <c r="L582" s="9"/>
    </row>
    <row r="583" spans="9:12" x14ac:dyDescent="0.2">
      <c r="I583" s="9"/>
      <c r="J583" s="9"/>
      <c r="K583" s="9"/>
      <c r="L583" s="9"/>
    </row>
    <row r="584" spans="9:12" x14ac:dyDescent="0.2">
      <c r="I584" s="9"/>
      <c r="J584" s="9"/>
      <c r="K584" s="9"/>
      <c r="L584" s="9"/>
    </row>
    <row r="585" spans="9:12" x14ac:dyDescent="0.2">
      <c r="I585" s="9"/>
      <c r="J585" s="9"/>
      <c r="K585" s="9"/>
      <c r="L585" s="9"/>
    </row>
    <row r="586" spans="9:12" x14ac:dyDescent="0.2">
      <c r="I586" s="9"/>
      <c r="J586" s="9"/>
      <c r="K586" s="9"/>
      <c r="L586" s="9"/>
    </row>
    <row r="587" spans="9:12" x14ac:dyDescent="0.2">
      <c r="I587" s="9"/>
      <c r="J587" s="9"/>
      <c r="K587" s="9"/>
      <c r="L587" s="9"/>
    </row>
    <row r="588" spans="9:12" x14ac:dyDescent="0.2">
      <c r="I588" s="9"/>
      <c r="J588" s="9"/>
      <c r="K588" s="9"/>
      <c r="L588" s="9"/>
    </row>
    <row r="589" spans="9:12" x14ac:dyDescent="0.2">
      <c r="I589" s="9"/>
      <c r="J589" s="9"/>
      <c r="K589" s="9"/>
      <c r="L589" s="9"/>
    </row>
    <row r="590" spans="9:12" x14ac:dyDescent="0.2">
      <c r="I590" s="9"/>
      <c r="J590" s="9"/>
      <c r="K590" s="9"/>
      <c r="L590" s="9"/>
    </row>
    <row r="591" spans="9:12" x14ac:dyDescent="0.2">
      <c r="I591" s="9"/>
      <c r="J591" s="9"/>
      <c r="K591" s="9"/>
      <c r="L591" s="9"/>
    </row>
    <row r="592" spans="9:12" x14ac:dyDescent="0.2">
      <c r="I592" s="9"/>
      <c r="J592" s="9"/>
      <c r="K592" s="9"/>
      <c r="L592" s="9"/>
    </row>
    <row r="593" spans="9:12" x14ac:dyDescent="0.2">
      <c r="I593" s="9"/>
      <c r="J593" s="9"/>
      <c r="K593" s="9"/>
      <c r="L593" s="9"/>
    </row>
    <row r="594" spans="9:12" x14ac:dyDescent="0.2">
      <c r="I594" s="9"/>
      <c r="J594" s="9"/>
      <c r="K594" s="9"/>
      <c r="L594" s="9"/>
    </row>
    <row r="595" spans="9:12" x14ac:dyDescent="0.2">
      <c r="I595" s="9"/>
      <c r="J595" s="9"/>
      <c r="K595" s="9"/>
      <c r="L595" s="9"/>
    </row>
    <row r="596" spans="9:12" x14ac:dyDescent="0.2">
      <c r="I596" s="9"/>
      <c r="J596" s="9"/>
      <c r="K596" s="9"/>
      <c r="L596" s="9"/>
    </row>
    <row r="597" spans="9:12" x14ac:dyDescent="0.2">
      <c r="I597" s="9"/>
      <c r="J597" s="9"/>
      <c r="K597" s="9"/>
      <c r="L597" s="9"/>
    </row>
    <row r="598" spans="9:12" x14ac:dyDescent="0.2">
      <c r="I598" s="9"/>
      <c r="J598" s="9"/>
      <c r="K598" s="9"/>
      <c r="L598" s="9"/>
    </row>
    <row r="599" spans="9:12" x14ac:dyDescent="0.2">
      <c r="I599" s="9"/>
      <c r="J599" s="9"/>
      <c r="K599" s="9"/>
      <c r="L599" s="9"/>
    </row>
    <row r="600" spans="9:12" x14ac:dyDescent="0.2">
      <c r="I600" s="9"/>
      <c r="J600" s="9"/>
      <c r="K600" s="9"/>
      <c r="L600" s="9"/>
    </row>
    <row r="601" spans="9:12" x14ac:dyDescent="0.2">
      <c r="I601" s="9"/>
      <c r="J601" s="9"/>
      <c r="K601" s="9"/>
      <c r="L601" s="9"/>
    </row>
    <row r="602" spans="9:12" x14ac:dyDescent="0.2">
      <c r="I602" s="9"/>
      <c r="J602" s="9"/>
      <c r="K602" s="9"/>
      <c r="L602" s="9"/>
    </row>
    <row r="603" spans="9:12" x14ac:dyDescent="0.2">
      <c r="I603" s="9"/>
      <c r="J603" s="9"/>
      <c r="K603" s="9"/>
      <c r="L603" s="9"/>
    </row>
    <row r="604" spans="9:12" x14ac:dyDescent="0.2">
      <c r="I604" s="9"/>
      <c r="J604" s="9"/>
      <c r="K604" s="9"/>
      <c r="L604" s="9"/>
    </row>
    <row r="605" spans="9:12" x14ac:dyDescent="0.2">
      <c r="I605" s="9"/>
      <c r="J605" s="9"/>
      <c r="K605" s="9"/>
      <c r="L605" s="9"/>
    </row>
    <row r="606" spans="9:12" x14ac:dyDescent="0.2">
      <c r="I606" s="9"/>
      <c r="J606" s="9"/>
      <c r="K606" s="9"/>
      <c r="L606" s="9"/>
    </row>
    <row r="607" spans="9:12" x14ac:dyDescent="0.2">
      <c r="I607" s="9"/>
      <c r="J607" s="9"/>
      <c r="K607" s="9"/>
      <c r="L607" s="9"/>
    </row>
    <row r="608" spans="9:12" x14ac:dyDescent="0.2">
      <c r="I608" s="9"/>
      <c r="J608" s="9"/>
      <c r="K608" s="9"/>
      <c r="L608" s="9"/>
    </row>
    <row r="609" spans="9:12" x14ac:dyDescent="0.2">
      <c r="I609" s="9"/>
      <c r="J609" s="9"/>
      <c r="K609" s="9"/>
      <c r="L609" s="9"/>
    </row>
    <row r="610" spans="9:12" x14ac:dyDescent="0.2">
      <c r="I610" s="9"/>
      <c r="J610" s="9"/>
      <c r="K610" s="9"/>
      <c r="L610" s="9"/>
    </row>
    <row r="611" spans="9:12" x14ac:dyDescent="0.2">
      <c r="I611" s="9"/>
      <c r="J611" s="9"/>
      <c r="K611" s="9"/>
      <c r="L611" s="9"/>
    </row>
    <row r="612" spans="9:12" x14ac:dyDescent="0.2">
      <c r="I612" s="9"/>
      <c r="J612" s="9"/>
      <c r="K612" s="9"/>
      <c r="L612" s="9"/>
    </row>
    <row r="613" spans="9:12" x14ac:dyDescent="0.2">
      <c r="I613" s="9"/>
      <c r="J613" s="9"/>
      <c r="K613" s="9"/>
      <c r="L613" s="9"/>
    </row>
    <row r="614" spans="9:12" x14ac:dyDescent="0.2">
      <c r="I614" s="9"/>
      <c r="J614" s="9"/>
      <c r="K614" s="9"/>
      <c r="L614" s="9"/>
    </row>
    <row r="615" spans="9:12" x14ac:dyDescent="0.2">
      <c r="I615" s="9"/>
      <c r="J615" s="9"/>
      <c r="K615" s="9"/>
      <c r="L615" s="9"/>
    </row>
    <row r="616" spans="9:12" x14ac:dyDescent="0.2">
      <c r="I616" s="9"/>
      <c r="J616" s="9"/>
      <c r="K616" s="9"/>
      <c r="L616" s="9"/>
    </row>
    <row r="617" spans="9:12" x14ac:dyDescent="0.2">
      <c r="I617" s="9"/>
      <c r="J617" s="9"/>
      <c r="K617" s="9"/>
      <c r="L617" s="9"/>
    </row>
    <row r="618" spans="9:12" x14ac:dyDescent="0.2">
      <c r="I618" s="9"/>
      <c r="J618" s="9"/>
      <c r="K618" s="9"/>
      <c r="L618" s="9"/>
    </row>
    <row r="619" spans="9:12" x14ac:dyDescent="0.2">
      <c r="I619" s="9"/>
      <c r="J619" s="9"/>
      <c r="K619" s="9"/>
      <c r="L619" s="9"/>
    </row>
    <row r="620" spans="9:12" x14ac:dyDescent="0.2">
      <c r="I620" s="9"/>
      <c r="J620" s="9"/>
      <c r="K620" s="9"/>
      <c r="L620" s="9"/>
    </row>
    <row r="621" spans="9:12" x14ac:dyDescent="0.2">
      <c r="I621" s="9"/>
      <c r="J621" s="9"/>
      <c r="K621" s="9"/>
      <c r="L621" s="9"/>
    </row>
    <row r="622" spans="9:12" x14ac:dyDescent="0.2">
      <c r="I622" s="9"/>
      <c r="J622" s="9"/>
      <c r="K622" s="9"/>
      <c r="L622" s="9"/>
    </row>
    <row r="623" spans="9:12" x14ac:dyDescent="0.2">
      <c r="I623" s="9"/>
      <c r="J623" s="9"/>
      <c r="K623" s="9"/>
      <c r="L623" s="9"/>
    </row>
    <row r="624" spans="9:12" x14ac:dyDescent="0.2">
      <c r="I624" s="9"/>
      <c r="J624" s="9"/>
      <c r="K624" s="9"/>
      <c r="L624" s="9"/>
    </row>
    <row r="625" spans="9:12" x14ac:dyDescent="0.2">
      <c r="I625" s="9"/>
      <c r="J625" s="9"/>
      <c r="K625" s="9"/>
      <c r="L625" s="9"/>
    </row>
    <row r="626" spans="9:12" x14ac:dyDescent="0.2">
      <c r="I626" s="9"/>
      <c r="J626" s="9"/>
      <c r="K626" s="9"/>
      <c r="L626" s="9"/>
    </row>
    <row r="627" spans="9:12" x14ac:dyDescent="0.2">
      <c r="I627" s="9"/>
      <c r="J627" s="9"/>
      <c r="K627" s="9"/>
      <c r="L627" s="9"/>
    </row>
    <row r="628" spans="9:12" x14ac:dyDescent="0.2">
      <c r="I628" s="9"/>
      <c r="J628" s="9"/>
      <c r="K628" s="9"/>
      <c r="L628" s="9"/>
    </row>
    <row r="629" spans="9:12" x14ac:dyDescent="0.2">
      <c r="I629" s="9"/>
      <c r="J629" s="9"/>
      <c r="K629" s="9"/>
      <c r="L629" s="9"/>
    </row>
    <row r="630" spans="9:12" x14ac:dyDescent="0.2">
      <c r="I630" s="9"/>
      <c r="J630" s="9"/>
      <c r="K630" s="9"/>
      <c r="L630" s="9"/>
    </row>
    <row r="631" spans="9:12" x14ac:dyDescent="0.2">
      <c r="I631" s="9"/>
      <c r="J631" s="9"/>
      <c r="K631" s="9"/>
      <c r="L631" s="9"/>
    </row>
    <row r="632" spans="9:12" x14ac:dyDescent="0.2">
      <c r="I632" s="9"/>
      <c r="J632" s="9"/>
      <c r="K632" s="9"/>
      <c r="L632" s="9"/>
    </row>
    <row r="633" spans="9:12" x14ac:dyDescent="0.2">
      <c r="I633" s="9"/>
      <c r="J633" s="9"/>
      <c r="K633" s="9"/>
      <c r="L633" s="9"/>
    </row>
    <row r="634" spans="9:12" x14ac:dyDescent="0.2">
      <c r="I634" s="9"/>
      <c r="J634" s="9"/>
      <c r="K634" s="9"/>
      <c r="L634" s="9"/>
    </row>
    <row r="635" spans="9:12" x14ac:dyDescent="0.2">
      <c r="I635" s="9"/>
      <c r="J635" s="9"/>
      <c r="K635" s="9"/>
      <c r="L635" s="9"/>
    </row>
    <row r="636" spans="9:12" x14ac:dyDescent="0.2">
      <c r="I636" s="9"/>
      <c r="J636" s="9"/>
      <c r="K636" s="9"/>
      <c r="L636" s="9"/>
    </row>
    <row r="637" spans="9:12" x14ac:dyDescent="0.2">
      <c r="I637" s="9"/>
      <c r="J637" s="9"/>
      <c r="K637" s="9"/>
      <c r="L637" s="9"/>
    </row>
    <row r="638" spans="9:12" x14ac:dyDescent="0.2">
      <c r="I638" s="9"/>
      <c r="J638" s="9"/>
      <c r="K638" s="9"/>
      <c r="L638" s="9"/>
    </row>
    <row r="639" spans="9:12" x14ac:dyDescent="0.2">
      <c r="I639" s="9"/>
      <c r="J639" s="9"/>
      <c r="K639" s="9"/>
      <c r="L639" s="9"/>
    </row>
    <row r="640" spans="9:12" x14ac:dyDescent="0.2">
      <c r="I640" s="9"/>
      <c r="J640" s="9"/>
      <c r="K640" s="9"/>
      <c r="L640" s="9"/>
    </row>
    <row r="641" spans="9:12" x14ac:dyDescent="0.2">
      <c r="I641" s="9"/>
      <c r="J641" s="9"/>
      <c r="K641" s="9"/>
      <c r="L641" s="9"/>
    </row>
    <row r="642" spans="9:12" x14ac:dyDescent="0.2">
      <c r="I642" s="9"/>
      <c r="J642" s="9"/>
      <c r="K642" s="9"/>
      <c r="L642" s="9"/>
    </row>
    <row r="643" spans="9:12" x14ac:dyDescent="0.2">
      <c r="I643" s="9"/>
      <c r="J643" s="9"/>
      <c r="K643" s="9"/>
      <c r="L643" s="9"/>
    </row>
    <row r="644" spans="9:12" x14ac:dyDescent="0.2">
      <c r="I644" s="9"/>
      <c r="J644" s="9"/>
      <c r="K644" s="9"/>
      <c r="L644" s="9"/>
    </row>
    <row r="645" spans="9:12" x14ac:dyDescent="0.2">
      <c r="I645" s="9"/>
      <c r="J645" s="9"/>
      <c r="K645" s="9"/>
      <c r="L645" s="9"/>
    </row>
    <row r="646" spans="9:12" x14ac:dyDescent="0.2">
      <c r="I646" s="9"/>
      <c r="J646" s="9"/>
      <c r="K646" s="9"/>
      <c r="L646" s="9"/>
    </row>
    <row r="647" spans="9:12" x14ac:dyDescent="0.2">
      <c r="I647" s="9"/>
      <c r="J647" s="9"/>
      <c r="K647" s="9"/>
      <c r="L647" s="9"/>
    </row>
    <row r="648" spans="9:12" x14ac:dyDescent="0.2">
      <c r="I648" s="9"/>
      <c r="J648" s="9"/>
      <c r="K648" s="9"/>
      <c r="L648" s="9"/>
    </row>
    <row r="649" spans="9:12" x14ac:dyDescent="0.2">
      <c r="I649" s="9"/>
      <c r="J649" s="9"/>
      <c r="K649" s="9"/>
      <c r="L649" s="9"/>
    </row>
    <row r="650" spans="9:12" x14ac:dyDescent="0.2">
      <c r="I650" s="9"/>
      <c r="J650" s="9"/>
      <c r="K650" s="9"/>
      <c r="L650" s="9"/>
    </row>
    <row r="651" spans="9:12" x14ac:dyDescent="0.2">
      <c r="I651" s="9"/>
      <c r="J651" s="9"/>
      <c r="K651" s="9"/>
      <c r="L651" s="9"/>
    </row>
    <row r="652" spans="9:12" x14ac:dyDescent="0.2">
      <c r="I652" s="9"/>
      <c r="J652" s="9"/>
      <c r="K652" s="9"/>
      <c r="L652" s="9"/>
    </row>
    <row r="653" spans="9:12" x14ac:dyDescent="0.2">
      <c r="I653" s="9"/>
      <c r="J653" s="9"/>
      <c r="K653" s="9"/>
      <c r="L653" s="9"/>
    </row>
    <row r="654" spans="9:12" x14ac:dyDescent="0.2">
      <c r="I654" s="9"/>
      <c r="J654" s="9"/>
      <c r="K654" s="9"/>
      <c r="L654" s="9"/>
    </row>
    <row r="655" spans="9:12" x14ac:dyDescent="0.2">
      <c r="I655" s="9"/>
      <c r="J655" s="9"/>
      <c r="K655" s="9"/>
      <c r="L655" s="9"/>
    </row>
    <row r="656" spans="9:12" x14ac:dyDescent="0.2">
      <c r="I656" s="9"/>
      <c r="J656" s="9"/>
      <c r="K656" s="9"/>
      <c r="L656" s="9"/>
    </row>
    <row r="657" spans="9:12" x14ac:dyDescent="0.2">
      <c r="I657" s="9"/>
      <c r="J657" s="9"/>
      <c r="K657" s="9"/>
      <c r="L657" s="9"/>
    </row>
    <row r="658" spans="9:12" x14ac:dyDescent="0.2">
      <c r="I658" s="9"/>
      <c r="J658" s="9"/>
      <c r="K658" s="9"/>
      <c r="L658" s="9"/>
    </row>
    <row r="659" spans="9:12" x14ac:dyDescent="0.2">
      <c r="I659" s="9"/>
      <c r="J659" s="9"/>
      <c r="K659" s="9"/>
      <c r="L659" s="9"/>
    </row>
    <row r="660" spans="9:12" x14ac:dyDescent="0.2">
      <c r="I660" s="9"/>
      <c r="J660" s="9"/>
      <c r="K660" s="9"/>
      <c r="L660" s="9"/>
    </row>
    <row r="661" spans="9:12" x14ac:dyDescent="0.2">
      <c r="I661" s="9"/>
      <c r="J661" s="9"/>
      <c r="K661" s="9"/>
      <c r="L661" s="9"/>
    </row>
    <row r="662" spans="9:12" x14ac:dyDescent="0.2">
      <c r="I662" s="9"/>
      <c r="J662" s="9"/>
      <c r="K662" s="9"/>
      <c r="L662" s="9"/>
    </row>
    <row r="663" spans="9:12" x14ac:dyDescent="0.2">
      <c r="I663" s="9"/>
      <c r="J663" s="9"/>
      <c r="K663" s="9"/>
      <c r="L663" s="9"/>
    </row>
    <row r="664" spans="9:12" x14ac:dyDescent="0.2">
      <c r="I664" s="9"/>
      <c r="J664" s="9"/>
      <c r="K664" s="9"/>
      <c r="L664" s="9"/>
    </row>
    <row r="665" spans="9:12" x14ac:dyDescent="0.2">
      <c r="I665" s="9"/>
      <c r="J665" s="9"/>
      <c r="K665" s="9"/>
      <c r="L665" s="9"/>
    </row>
    <row r="666" spans="9:12" x14ac:dyDescent="0.2">
      <c r="I666" s="9"/>
      <c r="J666" s="9"/>
      <c r="K666" s="9"/>
      <c r="L666" s="9"/>
    </row>
    <row r="667" spans="9:12" x14ac:dyDescent="0.2">
      <c r="I667" s="9"/>
      <c r="J667" s="9"/>
      <c r="K667" s="9"/>
      <c r="L667" s="9"/>
    </row>
    <row r="668" spans="9:12" x14ac:dyDescent="0.2">
      <c r="I668" s="9"/>
      <c r="J668" s="9"/>
      <c r="K668" s="9"/>
      <c r="L668" s="9"/>
    </row>
    <row r="669" spans="9:12" x14ac:dyDescent="0.2">
      <c r="I669" s="9"/>
      <c r="J669" s="9"/>
      <c r="K669" s="9"/>
      <c r="L669" s="9"/>
    </row>
    <row r="670" spans="9:12" x14ac:dyDescent="0.2">
      <c r="I670" s="9"/>
      <c r="J670" s="9"/>
      <c r="K670" s="9"/>
      <c r="L670" s="9"/>
    </row>
    <row r="671" spans="9:12" x14ac:dyDescent="0.2">
      <c r="I671" s="9"/>
      <c r="J671" s="9"/>
      <c r="K671" s="9"/>
      <c r="L671" s="9"/>
    </row>
    <row r="672" spans="9:12" x14ac:dyDescent="0.2">
      <c r="I672" s="9"/>
      <c r="J672" s="9"/>
      <c r="K672" s="9"/>
      <c r="L672" s="9"/>
    </row>
    <row r="673" spans="9:12" x14ac:dyDescent="0.2">
      <c r="I673" s="9"/>
      <c r="J673" s="9"/>
      <c r="K673" s="9"/>
      <c r="L673" s="9"/>
    </row>
    <row r="674" spans="9:12" x14ac:dyDescent="0.2">
      <c r="I674" s="9"/>
      <c r="J674" s="9"/>
      <c r="K674" s="9"/>
      <c r="L674" s="9"/>
    </row>
    <row r="675" spans="9:12" x14ac:dyDescent="0.2">
      <c r="I675" s="9"/>
      <c r="J675" s="9"/>
      <c r="K675" s="9"/>
      <c r="L675" s="9"/>
    </row>
    <row r="676" spans="9:12" x14ac:dyDescent="0.2">
      <c r="I676" s="9"/>
      <c r="J676" s="9"/>
      <c r="K676" s="9"/>
      <c r="L676" s="9"/>
    </row>
    <row r="677" spans="9:12" x14ac:dyDescent="0.2">
      <c r="I677" s="9"/>
      <c r="J677" s="9"/>
      <c r="K677" s="9"/>
      <c r="L677" s="9"/>
    </row>
    <row r="678" spans="9:12" x14ac:dyDescent="0.2">
      <c r="I678" s="9"/>
      <c r="J678" s="9"/>
      <c r="K678" s="9"/>
      <c r="L678" s="9"/>
    </row>
    <row r="679" spans="9:12" x14ac:dyDescent="0.2">
      <c r="I679" s="9"/>
      <c r="J679" s="9"/>
      <c r="K679" s="9"/>
      <c r="L679" s="9"/>
    </row>
    <row r="680" spans="9:12" x14ac:dyDescent="0.2">
      <c r="I680" s="9"/>
      <c r="J680" s="9"/>
      <c r="K680" s="9"/>
      <c r="L680" s="9"/>
    </row>
    <row r="681" spans="9:12" x14ac:dyDescent="0.2">
      <c r="I681" s="9"/>
      <c r="J681" s="9"/>
      <c r="K681" s="9"/>
      <c r="L681" s="9"/>
    </row>
    <row r="682" spans="9:12" x14ac:dyDescent="0.2">
      <c r="I682" s="9"/>
      <c r="J682" s="9"/>
      <c r="K682" s="9"/>
      <c r="L682" s="9"/>
    </row>
    <row r="683" spans="9:12" x14ac:dyDescent="0.2">
      <c r="I683" s="9"/>
      <c r="J683" s="9"/>
      <c r="K683" s="9"/>
      <c r="L683" s="9"/>
    </row>
    <row r="684" spans="9:12" x14ac:dyDescent="0.2">
      <c r="I684" s="9"/>
      <c r="J684" s="9"/>
      <c r="K684" s="9"/>
      <c r="L684" s="9"/>
    </row>
    <row r="685" spans="9:12" x14ac:dyDescent="0.2">
      <c r="I685" s="9"/>
      <c r="J685" s="9"/>
      <c r="K685" s="9"/>
      <c r="L685" s="9"/>
    </row>
    <row r="686" spans="9:12" x14ac:dyDescent="0.2">
      <c r="I686" s="9"/>
      <c r="J686" s="9"/>
      <c r="K686" s="9"/>
      <c r="L686" s="9"/>
    </row>
    <row r="687" spans="9:12" x14ac:dyDescent="0.2">
      <c r="I687" s="9"/>
      <c r="J687" s="9"/>
      <c r="K687" s="9"/>
      <c r="L687" s="9"/>
    </row>
    <row r="688" spans="9:12" x14ac:dyDescent="0.2">
      <c r="I688" s="9"/>
      <c r="J688" s="9"/>
      <c r="K688" s="9"/>
      <c r="L688" s="9"/>
    </row>
    <row r="689" spans="9:12" x14ac:dyDescent="0.2">
      <c r="I689" s="9"/>
      <c r="J689" s="9"/>
      <c r="K689" s="9"/>
      <c r="L689" s="9"/>
    </row>
    <row r="690" spans="9:12" x14ac:dyDescent="0.2">
      <c r="I690" s="9"/>
      <c r="J690" s="9"/>
      <c r="K690" s="9"/>
      <c r="L690" s="9"/>
    </row>
    <row r="691" spans="9:12" x14ac:dyDescent="0.2">
      <c r="I691" s="9"/>
      <c r="J691" s="9"/>
      <c r="K691" s="9"/>
      <c r="L691" s="9"/>
    </row>
    <row r="692" spans="9:12" x14ac:dyDescent="0.2">
      <c r="I692" s="9"/>
      <c r="J692" s="9"/>
      <c r="K692" s="9"/>
      <c r="L692" s="9"/>
    </row>
    <row r="693" spans="9:12" x14ac:dyDescent="0.2">
      <c r="I693" s="9"/>
      <c r="J693" s="9"/>
      <c r="K693" s="9"/>
      <c r="L693" s="9"/>
    </row>
    <row r="694" spans="9:12" x14ac:dyDescent="0.2">
      <c r="I694" s="9"/>
      <c r="J694" s="9"/>
      <c r="K694" s="9"/>
      <c r="L694" s="9"/>
    </row>
    <row r="695" spans="9:12" x14ac:dyDescent="0.2">
      <c r="I695" s="9"/>
      <c r="J695" s="9"/>
      <c r="K695" s="9"/>
      <c r="L695" s="9"/>
    </row>
    <row r="696" spans="9:12" x14ac:dyDescent="0.2">
      <c r="I696" s="9"/>
      <c r="J696" s="9"/>
      <c r="K696" s="9"/>
      <c r="L696" s="9"/>
    </row>
    <row r="697" spans="9:12" x14ac:dyDescent="0.2">
      <c r="I697" s="9"/>
      <c r="J697" s="9"/>
      <c r="K697" s="9"/>
      <c r="L697" s="9"/>
    </row>
    <row r="698" spans="9:12" x14ac:dyDescent="0.2">
      <c r="I698" s="9"/>
      <c r="J698" s="9"/>
      <c r="K698" s="9"/>
      <c r="L698" s="9"/>
    </row>
    <row r="699" spans="9:12" x14ac:dyDescent="0.2">
      <c r="I699" s="9"/>
      <c r="J699" s="9"/>
      <c r="K699" s="9"/>
      <c r="L699" s="9"/>
    </row>
    <row r="700" spans="9:12" x14ac:dyDescent="0.2">
      <c r="I700" s="9"/>
      <c r="J700" s="9"/>
      <c r="K700" s="9"/>
      <c r="L700" s="9"/>
    </row>
    <row r="701" spans="9:12" x14ac:dyDescent="0.2">
      <c r="I701" s="9"/>
      <c r="J701" s="9"/>
      <c r="K701" s="9"/>
      <c r="L701" s="9"/>
    </row>
    <row r="702" spans="9:12" x14ac:dyDescent="0.2">
      <c r="I702" s="9"/>
      <c r="J702" s="9"/>
      <c r="K702" s="9"/>
      <c r="L702" s="9"/>
    </row>
    <row r="703" spans="9:12" x14ac:dyDescent="0.2">
      <c r="I703" s="9"/>
      <c r="J703" s="9"/>
      <c r="K703" s="9"/>
      <c r="L703" s="9"/>
    </row>
    <row r="704" spans="9:12" x14ac:dyDescent="0.2">
      <c r="I704" s="9"/>
      <c r="J704" s="9"/>
      <c r="K704" s="9"/>
      <c r="L704" s="9"/>
    </row>
    <row r="705" spans="9:12" x14ac:dyDescent="0.2">
      <c r="I705" s="9"/>
      <c r="J705" s="9"/>
      <c r="K705" s="9"/>
      <c r="L705" s="9"/>
    </row>
    <row r="706" spans="9:12" x14ac:dyDescent="0.2">
      <c r="I706" s="9"/>
      <c r="J706" s="9"/>
      <c r="K706" s="9"/>
      <c r="L706" s="9"/>
    </row>
    <row r="707" spans="9:12" x14ac:dyDescent="0.2">
      <c r="I707" s="9"/>
      <c r="J707" s="9"/>
      <c r="K707" s="9"/>
      <c r="L707" s="9"/>
    </row>
    <row r="708" spans="9:12" x14ac:dyDescent="0.2">
      <c r="I708" s="9"/>
      <c r="J708" s="9"/>
      <c r="K708" s="9"/>
      <c r="L708" s="9"/>
    </row>
    <row r="709" spans="9:12" x14ac:dyDescent="0.2">
      <c r="I709" s="9"/>
      <c r="J709" s="9"/>
      <c r="K709" s="9"/>
      <c r="L709" s="9"/>
    </row>
    <row r="710" spans="9:12" x14ac:dyDescent="0.2">
      <c r="I710" s="9"/>
      <c r="J710" s="9"/>
      <c r="K710" s="9"/>
      <c r="L710" s="9"/>
    </row>
    <row r="711" spans="9:12" x14ac:dyDescent="0.2">
      <c r="I711" s="9"/>
      <c r="J711" s="9"/>
      <c r="K711" s="9"/>
      <c r="L711" s="9"/>
    </row>
    <row r="712" spans="9:12" x14ac:dyDescent="0.2">
      <c r="I712" s="9"/>
      <c r="J712" s="9"/>
      <c r="K712" s="9"/>
      <c r="L712" s="9"/>
    </row>
    <row r="713" spans="9:12" x14ac:dyDescent="0.2">
      <c r="I713" s="9"/>
      <c r="J713" s="9"/>
      <c r="K713" s="9"/>
      <c r="L713" s="9"/>
    </row>
    <row r="714" spans="9:12" x14ac:dyDescent="0.2">
      <c r="I714" s="9"/>
      <c r="J714" s="9"/>
      <c r="K714" s="9"/>
      <c r="L714" s="9"/>
    </row>
    <row r="715" spans="9:12" x14ac:dyDescent="0.2">
      <c r="I715" s="9"/>
      <c r="J715" s="9"/>
      <c r="K715" s="9"/>
      <c r="L715" s="9"/>
    </row>
    <row r="716" spans="9:12" x14ac:dyDescent="0.2">
      <c r="I716" s="9"/>
      <c r="J716" s="9"/>
      <c r="K716" s="9"/>
      <c r="L716" s="9"/>
    </row>
    <row r="717" spans="9:12" x14ac:dyDescent="0.2">
      <c r="I717" s="9"/>
      <c r="J717" s="9"/>
      <c r="K717" s="9"/>
      <c r="L717" s="9"/>
    </row>
    <row r="718" spans="9:12" x14ac:dyDescent="0.2">
      <c r="I718" s="9"/>
      <c r="J718" s="9"/>
      <c r="K718" s="9"/>
      <c r="L718" s="9"/>
    </row>
    <row r="719" spans="9:12" x14ac:dyDescent="0.2">
      <c r="I719" s="9"/>
      <c r="J719" s="9"/>
      <c r="K719" s="9"/>
      <c r="L719" s="9"/>
    </row>
    <row r="720" spans="9:12" x14ac:dyDescent="0.2">
      <c r="I720" s="9"/>
      <c r="J720" s="9"/>
      <c r="K720" s="9"/>
      <c r="L720" s="9"/>
    </row>
    <row r="721" spans="9:12" x14ac:dyDescent="0.2">
      <c r="I721" s="9"/>
      <c r="J721" s="9"/>
      <c r="K721" s="9"/>
      <c r="L721" s="9"/>
    </row>
    <row r="722" spans="9:12" x14ac:dyDescent="0.2">
      <c r="I722" s="9"/>
      <c r="J722" s="9"/>
      <c r="K722" s="9"/>
      <c r="L722" s="9"/>
    </row>
    <row r="723" spans="9:12" x14ac:dyDescent="0.2">
      <c r="I723" s="9"/>
      <c r="J723" s="9"/>
      <c r="K723" s="9"/>
      <c r="L723" s="9"/>
    </row>
    <row r="724" spans="9:12" x14ac:dyDescent="0.2">
      <c r="I724" s="9"/>
      <c r="J724" s="9"/>
      <c r="K724" s="9"/>
      <c r="L724" s="9"/>
    </row>
    <row r="725" spans="9:12" x14ac:dyDescent="0.2">
      <c r="I725" s="9"/>
      <c r="J725" s="9"/>
      <c r="K725" s="9"/>
      <c r="L725" s="9"/>
    </row>
    <row r="726" spans="9:12" x14ac:dyDescent="0.2">
      <c r="I726" s="9"/>
      <c r="J726" s="9"/>
      <c r="K726" s="9"/>
      <c r="L726" s="9"/>
    </row>
    <row r="727" spans="9:12" x14ac:dyDescent="0.2">
      <c r="I727" s="9"/>
      <c r="J727" s="9"/>
      <c r="K727" s="9"/>
      <c r="L727" s="9"/>
    </row>
    <row r="728" spans="9:12" x14ac:dyDescent="0.2">
      <c r="I728" s="9"/>
      <c r="J728" s="9"/>
      <c r="K728" s="9"/>
      <c r="L728" s="9"/>
    </row>
    <row r="729" spans="9:12" x14ac:dyDescent="0.2">
      <c r="I729" s="9"/>
      <c r="J729" s="9"/>
      <c r="K729" s="9"/>
      <c r="L729" s="9"/>
    </row>
    <row r="730" spans="9:12" x14ac:dyDescent="0.2">
      <c r="I730" s="9"/>
      <c r="J730" s="9"/>
      <c r="K730" s="9"/>
      <c r="L730" s="9"/>
    </row>
    <row r="731" spans="9:12" x14ac:dyDescent="0.2">
      <c r="I731" s="9"/>
      <c r="J731" s="9"/>
      <c r="K731" s="9"/>
      <c r="L731" s="9"/>
    </row>
    <row r="732" spans="9:12" x14ac:dyDescent="0.2">
      <c r="I732" s="9"/>
      <c r="J732" s="9"/>
      <c r="K732" s="9"/>
      <c r="L732" s="9"/>
    </row>
    <row r="733" spans="9:12" x14ac:dyDescent="0.2">
      <c r="I733" s="9"/>
      <c r="J733" s="9"/>
      <c r="K733" s="9"/>
      <c r="L733" s="9"/>
    </row>
    <row r="734" spans="9:12" x14ac:dyDescent="0.2">
      <c r="I734" s="9"/>
      <c r="J734" s="9"/>
      <c r="K734" s="9"/>
      <c r="L734" s="9"/>
    </row>
    <row r="735" spans="9:12" x14ac:dyDescent="0.2">
      <c r="I735" s="9"/>
      <c r="J735" s="9"/>
      <c r="K735" s="9"/>
      <c r="L735" s="9"/>
    </row>
    <row r="736" spans="9:12" x14ac:dyDescent="0.2">
      <c r="I736" s="9"/>
      <c r="J736" s="9"/>
      <c r="K736" s="9"/>
      <c r="L736" s="9"/>
    </row>
    <row r="737" spans="9:12" x14ac:dyDescent="0.2">
      <c r="I737" s="9"/>
      <c r="J737" s="9"/>
      <c r="K737" s="9"/>
      <c r="L737" s="9"/>
    </row>
    <row r="738" spans="9:12" x14ac:dyDescent="0.2">
      <c r="I738" s="9"/>
      <c r="J738" s="9"/>
      <c r="K738" s="9"/>
      <c r="L738" s="9"/>
    </row>
    <row r="739" spans="9:12" x14ac:dyDescent="0.2">
      <c r="I739" s="9"/>
      <c r="J739" s="9"/>
      <c r="K739" s="9"/>
      <c r="L739" s="9"/>
    </row>
    <row r="740" spans="9:12" x14ac:dyDescent="0.2">
      <c r="I740" s="9"/>
      <c r="J740" s="9"/>
      <c r="K740" s="9"/>
      <c r="L740" s="9"/>
    </row>
    <row r="741" spans="9:12" x14ac:dyDescent="0.2">
      <c r="I741" s="9"/>
      <c r="J741" s="9"/>
      <c r="K741" s="9"/>
      <c r="L741" s="9"/>
    </row>
    <row r="742" spans="9:12" x14ac:dyDescent="0.2">
      <c r="I742" s="9"/>
      <c r="J742" s="9"/>
      <c r="K742" s="9"/>
      <c r="L742" s="9"/>
    </row>
    <row r="743" spans="9:12" x14ac:dyDescent="0.2">
      <c r="I743" s="9"/>
      <c r="J743" s="9"/>
      <c r="K743" s="9"/>
      <c r="L743" s="9"/>
    </row>
    <row r="744" spans="9:12" x14ac:dyDescent="0.2">
      <c r="I744" s="9"/>
      <c r="J744" s="9"/>
      <c r="K744" s="9"/>
      <c r="L744" s="9"/>
    </row>
    <row r="745" spans="9:12" x14ac:dyDescent="0.2">
      <c r="I745" s="9"/>
      <c r="J745" s="9"/>
      <c r="K745" s="9"/>
      <c r="L745" s="9"/>
    </row>
    <row r="746" spans="9:12" x14ac:dyDescent="0.2">
      <c r="I746" s="9"/>
      <c r="J746" s="9"/>
      <c r="K746" s="9"/>
      <c r="L746" s="9"/>
    </row>
    <row r="747" spans="9:12" x14ac:dyDescent="0.2">
      <c r="I747" s="9"/>
      <c r="J747" s="9"/>
      <c r="K747" s="9"/>
      <c r="L747" s="9"/>
    </row>
    <row r="748" spans="9:12" x14ac:dyDescent="0.2">
      <c r="I748" s="9"/>
      <c r="J748" s="9"/>
      <c r="K748" s="9"/>
      <c r="L748" s="9"/>
    </row>
    <row r="749" spans="9:12" x14ac:dyDescent="0.2">
      <c r="I749" s="9"/>
      <c r="J749" s="9"/>
      <c r="K749" s="9"/>
      <c r="L749" s="9"/>
    </row>
    <row r="750" spans="9:12" x14ac:dyDescent="0.2">
      <c r="I750" s="9"/>
      <c r="J750" s="9"/>
      <c r="K750" s="9"/>
      <c r="L750" s="9"/>
    </row>
    <row r="751" spans="9:12" x14ac:dyDescent="0.2">
      <c r="I751" s="9"/>
      <c r="J751" s="9"/>
      <c r="K751" s="9"/>
      <c r="L751" s="9"/>
    </row>
    <row r="752" spans="9:12" x14ac:dyDescent="0.2">
      <c r="I752" s="9"/>
      <c r="J752" s="9"/>
      <c r="K752" s="9"/>
      <c r="L752" s="9"/>
    </row>
    <row r="753" spans="9:12" x14ac:dyDescent="0.2">
      <c r="I753" s="9"/>
      <c r="J753" s="9"/>
      <c r="K753" s="9"/>
      <c r="L753" s="9"/>
    </row>
    <row r="754" spans="9:12" x14ac:dyDescent="0.2">
      <c r="I754" s="9"/>
      <c r="J754" s="9"/>
      <c r="K754" s="9"/>
      <c r="L754" s="9"/>
    </row>
    <row r="755" spans="9:12" x14ac:dyDescent="0.2">
      <c r="I755" s="9"/>
      <c r="J755" s="9"/>
      <c r="K755" s="9"/>
      <c r="L755" s="9"/>
    </row>
    <row r="756" spans="9:12" x14ac:dyDescent="0.2">
      <c r="I756" s="9"/>
      <c r="J756" s="9"/>
      <c r="K756" s="9"/>
      <c r="L756" s="9"/>
    </row>
    <row r="757" spans="9:12" x14ac:dyDescent="0.2">
      <c r="I757" s="9"/>
      <c r="J757" s="9"/>
      <c r="K757" s="9"/>
      <c r="L757" s="9"/>
    </row>
    <row r="758" spans="9:12" x14ac:dyDescent="0.2">
      <c r="I758" s="9"/>
      <c r="J758" s="9"/>
      <c r="K758" s="9"/>
      <c r="L758" s="9"/>
    </row>
    <row r="759" spans="9:12" x14ac:dyDescent="0.2">
      <c r="I759" s="9"/>
      <c r="J759" s="9"/>
      <c r="K759" s="9"/>
      <c r="L759" s="9"/>
    </row>
    <row r="760" spans="9:12" x14ac:dyDescent="0.2">
      <c r="I760" s="9"/>
      <c r="J760" s="9"/>
      <c r="K760" s="9"/>
      <c r="L760" s="9"/>
    </row>
    <row r="761" spans="9:12" x14ac:dyDescent="0.2">
      <c r="I761" s="9"/>
      <c r="J761" s="9"/>
      <c r="K761" s="9"/>
      <c r="L761" s="9"/>
    </row>
    <row r="762" spans="9:12" x14ac:dyDescent="0.2">
      <c r="I762" s="9"/>
      <c r="J762" s="9"/>
      <c r="K762" s="9"/>
      <c r="L762" s="9"/>
    </row>
    <row r="763" spans="9:12" x14ac:dyDescent="0.2">
      <c r="I763" s="9"/>
      <c r="J763" s="9"/>
      <c r="K763" s="9"/>
      <c r="L763" s="9"/>
    </row>
    <row r="764" spans="9:12" x14ac:dyDescent="0.2">
      <c r="I764" s="9"/>
      <c r="J764" s="9"/>
      <c r="K764" s="9"/>
      <c r="L764" s="9"/>
    </row>
    <row r="765" spans="9:12" x14ac:dyDescent="0.2">
      <c r="I765" s="9"/>
      <c r="J765" s="9"/>
      <c r="K765" s="9"/>
      <c r="L765" s="9"/>
    </row>
    <row r="766" spans="9:12" x14ac:dyDescent="0.2">
      <c r="I766" s="9"/>
      <c r="J766" s="9"/>
      <c r="K766" s="9"/>
      <c r="L766" s="9"/>
    </row>
    <row r="767" spans="9:12" x14ac:dyDescent="0.2">
      <c r="I767" s="9"/>
      <c r="J767" s="9"/>
      <c r="K767" s="9"/>
      <c r="L767" s="9"/>
    </row>
    <row r="768" spans="9:12" x14ac:dyDescent="0.2">
      <c r="I768" s="9"/>
      <c r="J768" s="9"/>
      <c r="K768" s="9"/>
      <c r="L768" s="9"/>
    </row>
    <row r="769" spans="9:12" x14ac:dyDescent="0.2">
      <c r="I769" s="9"/>
      <c r="J769" s="9"/>
      <c r="K769" s="9"/>
      <c r="L769" s="9"/>
    </row>
    <row r="770" spans="9:12" x14ac:dyDescent="0.2">
      <c r="I770" s="9"/>
      <c r="J770" s="9"/>
      <c r="K770" s="9"/>
      <c r="L770" s="9"/>
    </row>
    <row r="771" spans="9:12" x14ac:dyDescent="0.2">
      <c r="I771" s="9"/>
      <c r="J771" s="9"/>
      <c r="K771" s="9"/>
      <c r="L771" s="9"/>
    </row>
    <row r="772" spans="9:12" x14ac:dyDescent="0.2">
      <c r="I772" s="9"/>
      <c r="J772" s="9"/>
      <c r="K772" s="9"/>
      <c r="L772" s="9"/>
    </row>
    <row r="773" spans="9:12" x14ac:dyDescent="0.2">
      <c r="I773" s="9"/>
      <c r="J773" s="9"/>
      <c r="K773" s="9"/>
      <c r="L773" s="9"/>
    </row>
    <row r="774" spans="9:12" x14ac:dyDescent="0.2">
      <c r="I774" s="9"/>
      <c r="J774" s="9"/>
      <c r="K774" s="9"/>
      <c r="L774" s="9"/>
    </row>
    <row r="775" spans="9:12" x14ac:dyDescent="0.2">
      <c r="I775" s="9"/>
      <c r="J775" s="9"/>
      <c r="K775" s="9"/>
      <c r="L775" s="9"/>
    </row>
    <row r="776" spans="9:12" x14ac:dyDescent="0.2">
      <c r="I776" s="9"/>
      <c r="J776" s="9"/>
      <c r="K776" s="9"/>
      <c r="L776" s="9"/>
    </row>
    <row r="777" spans="9:12" x14ac:dyDescent="0.2">
      <c r="I777" s="9"/>
      <c r="J777" s="9"/>
      <c r="K777" s="9"/>
      <c r="L777" s="9"/>
    </row>
    <row r="778" spans="9:12" x14ac:dyDescent="0.2">
      <c r="I778" s="9"/>
      <c r="J778" s="9"/>
      <c r="K778" s="9"/>
      <c r="L778" s="9"/>
    </row>
    <row r="779" spans="9:12" x14ac:dyDescent="0.2">
      <c r="I779" s="9"/>
      <c r="J779" s="9"/>
      <c r="K779" s="9"/>
      <c r="L779" s="9"/>
    </row>
    <row r="780" spans="9:12" x14ac:dyDescent="0.2">
      <c r="I780" s="9"/>
      <c r="J780" s="9"/>
      <c r="K780" s="9"/>
      <c r="L780" s="9"/>
    </row>
    <row r="781" spans="9:12" x14ac:dyDescent="0.2">
      <c r="I781" s="9"/>
      <c r="J781" s="9"/>
      <c r="K781" s="9"/>
      <c r="L781" s="9"/>
    </row>
    <row r="782" spans="9:12" x14ac:dyDescent="0.2">
      <c r="I782" s="9"/>
      <c r="J782" s="9"/>
      <c r="K782" s="9"/>
      <c r="L782" s="9"/>
    </row>
    <row r="783" spans="9:12" x14ac:dyDescent="0.2">
      <c r="I783" s="9"/>
      <c r="J783" s="9"/>
      <c r="K783" s="9"/>
      <c r="L783" s="9"/>
    </row>
    <row r="784" spans="9:12" x14ac:dyDescent="0.2">
      <c r="I784" s="9"/>
      <c r="J784" s="9"/>
      <c r="K784" s="9"/>
      <c r="L784" s="9"/>
    </row>
    <row r="785" spans="9:12" x14ac:dyDescent="0.2">
      <c r="I785" s="9"/>
      <c r="J785" s="9"/>
      <c r="K785" s="9"/>
      <c r="L785" s="9"/>
    </row>
    <row r="786" spans="9:12" x14ac:dyDescent="0.2">
      <c r="I786" s="9"/>
      <c r="J786" s="9"/>
      <c r="K786" s="9"/>
      <c r="L786" s="9"/>
    </row>
    <row r="787" spans="9:12" x14ac:dyDescent="0.2">
      <c r="I787" s="9"/>
      <c r="J787" s="9"/>
      <c r="K787" s="9"/>
      <c r="L787" s="9"/>
    </row>
    <row r="788" spans="9:12" x14ac:dyDescent="0.2">
      <c r="I788" s="9"/>
      <c r="J788" s="9"/>
      <c r="K788" s="9"/>
      <c r="L788" s="9"/>
    </row>
    <row r="789" spans="9:12" x14ac:dyDescent="0.2">
      <c r="I789" s="9"/>
      <c r="J789" s="9"/>
      <c r="K789" s="9"/>
      <c r="L789" s="9"/>
    </row>
    <row r="790" spans="9:12" x14ac:dyDescent="0.2">
      <c r="I790" s="9"/>
      <c r="J790" s="9"/>
      <c r="K790" s="9"/>
      <c r="L790" s="9"/>
    </row>
    <row r="791" spans="9:12" x14ac:dyDescent="0.2">
      <c r="I791" s="9"/>
      <c r="J791" s="9"/>
      <c r="K791" s="9"/>
      <c r="L791" s="9"/>
    </row>
    <row r="792" spans="9:12" x14ac:dyDescent="0.2">
      <c r="I792" s="9"/>
      <c r="J792" s="9"/>
      <c r="K792" s="9"/>
      <c r="L792" s="9"/>
    </row>
    <row r="793" spans="9:12" x14ac:dyDescent="0.2">
      <c r="I793" s="9"/>
      <c r="J793" s="9"/>
      <c r="K793" s="9"/>
      <c r="L793" s="9"/>
    </row>
    <row r="794" spans="9:12" x14ac:dyDescent="0.2">
      <c r="I794" s="9"/>
      <c r="J794" s="9"/>
      <c r="K794" s="9"/>
      <c r="L794" s="9"/>
    </row>
    <row r="795" spans="9:12" x14ac:dyDescent="0.2">
      <c r="I795" s="9"/>
      <c r="J795" s="9"/>
      <c r="K795" s="9"/>
      <c r="L795" s="9"/>
    </row>
    <row r="796" spans="9:12" x14ac:dyDescent="0.2">
      <c r="I796" s="9"/>
      <c r="J796" s="9"/>
      <c r="K796" s="9"/>
      <c r="L796" s="9"/>
    </row>
    <row r="797" spans="9:12" x14ac:dyDescent="0.2">
      <c r="I797" s="9"/>
      <c r="J797" s="9"/>
      <c r="K797" s="9"/>
      <c r="L797" s="9"/>
    </row>
    <row r="798" spans="9:12" x14ac:dyDescent="0.2">
      <c r="I798" s="9"/>
      <c r="J798" s="9"/>
      <c r="K798" s="9"/>
      <c r="L798" s="9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27F8C-D161-8C4C-A39F-D9D0A5CCBC71}">
  <dimension ref="A1:Y798"/>
  <sheetViews>
    <sheetView topLeftCell="E1" zoomScale="70" zoomScaleNormal="70" workbookViewId="0">
      <selection activeCell="P2" sqref="P2:P322"/>
    </sheetView>
  </sheetViews>
  <sheetFormatPr baseColWidth="10" defaultColWidth="13.5" defaultRowHeight="15" x14ac:dyDescent="0.2"/>
  <cols>
    <col min="1" max="2" width="13.5" style="8"/>
    <col min="3" max="3" width="15.83203125" style="8" customWidth="1"/>
    <col min="4" max="4" width="36.6640625" customWidth="1"/>
    <col min="5" max="6" width="36.5" customWidth="1"/>
    <col min="7" max="7" width="36" customWidth="1"/>
    <col min="8" max="8" width="5.33203125" style="8" customWidth="1"/>
    <col min="9" max="10" width="10" style="8" customWidth="1"/>
    <col min="11" max="11" width="15.83203125" style="8" customWidth="1"/>
    <col min="12" max="12" width="20.6640625" style="8" customWidth="1"/>
    <col min="13" max="13" width="14.6640625" style="8" customWidth="1"/>
    <col min="14" max="14" width="13.5" style="8"/>
    <col min="15" max="15" width="11" style="8" customWidth="1"/>
    <col min="16" max="16" width="11.1640625" style="8" customWidth="1"/>
    <col min="17" max="16384" width="13.5" style="8"/>
  </cols>
  <sheetData>
    <row r="1" spans="1:16" s="1" customFormat="1" ht="55.5" customHeight="1" x14ac:dyDescent="0.2">
      <c r="A1" s="1" t="s">
        <v>0</v>
      </c>
      <c r="B1" s="1" t="s">
        <v>1</v>
      </c>
      <c r="C1" s="1" t="s">
        <v>2</v>
      </c>
      <c r="D1" s="2" t="s">
        <v>12</v>
      </c>
      <c r="E1" s="2" t="s">
        <v>13</v>
      </c>
      <c r="F1" s="2" t="s">
        <v>14</v>
      </c>
      <c r="G1" s="2" t="s">
        <v>15</v>
      </c>
      <c r="I1" s="1" t="s">
        <v>16</v>
      </c>
      <c r="J1" s="1" t="s">
        <v>17</v>
      </c>
      <c r="K1" s="1" t="s">
        <v>3</v>
      </c>
      <c r="L1" s="1" t="s">
        <v>18</v>
      </c>
      <c r="M1" s="3" t="s">
        <v>19</v>
      </c>
      <c r="N1" s="3" t="s">
        <v>4</v>
      </c>
      <c r="O1" s="1" t="s">
        <v>5</v>
      </c>
      <c r="P1" s="1" t="s">
        <v>6</v>
      </c>
    </row>
    <row r="2" spans="1:16" x14ac:dyDescent="0.2">
      <c r="A2" s="8">
        <v>0</v>
      </c>
      <c r="B2" s="4">
        <v>0</v>
      </c>
      <c r="C2" s="4" t="s">
        <v>7</v>
      </c>
      <c r="D2">
        <v>450.93896976484001</v>
      </c>
      <c r="E2">
        <v>229.94736842104999</v>
      </c>
      <c r="F2">
        <v>124.05346088914</v>
      </c>
      <c r="G2">
        <v>109.44456949916</v>
      </c>
      <c r="H2" s="4"/>
      <c r="I2" s="5">
        <f>E2-G2</f>
        <v>120.50279892188999</v>
      </c>
      <c r="J2" s="5">
        <f>D2-F2</f>
        <v>326.8855088757</v>
      </c>
      <c r="K2" s="9">
        <f>I2*1</f>
        <v>120.50279892188999</v>
      </c>
      <c r="L2" s="6">
        <f t="shared" ref="L2:L65" si="0">K2/J2</f>
        <v>0.36863915851256607</v>
      </c>
      <c r="M2" s="6">
        <f>L2+ABS($N$2)*A2</f>
        <v>0.36863915851256607</v>
      </c>
      <c r="N2" s="4">
        <f>LINEST(V64:V103,U64:U103)</f>
        <v>-4.6472647882188958E-4</v>
      </c>
      <c r="O2" s="7">
        <f>AVERAGE(M62:M81)</f>
        <v>0.39240111930615951</v>
      </c>
      <c r="P2" s="4">
        <f>(M2-$O$2)/$O$2*100</f>
        <v>-6.0555282909511439</v>
      </c>
    </row>
    <row r="3" spans="1:16" x14ac:dyDescent="0.2">
      <c r="A3" s="8">
        <v>0.5</v>
      </c>
      <c r="B3" s="8">
        <v>1</v>
      </c>
      <c r="D3">
        <v>451.88353863382002</v>
      </c>
      <c r="E3">
        <v>228.62765957446999</v>
      </c>
      <c r="F3">
        <v>123.89814293754</v>
      </c>
      <c r="G3">
        <v>109.30163196398</v>
      </c>
      <c r="I3" s="9">
        <f t="shared" ref="I3:I66" si="1">E3-G3</f>
        <v>119.32602761048999</v>
      </c>
      <c r="J3" s="9">
        <f t="shared" ref="J3:J66" si="2">D3-F3</f>
        <v>327.98539569628002</v>
      </c>
      <c r="K3" s="9">
        <f t="shared" ref="K3:K66" si="3">I3*1</f>
        <v>119.32602761048999</v>
      </c>
      <c r="L3" s="10">
        <f t="shared" si="0"/>
        <v>0.36381506364688226</v>
      </c>
      <c r="M3" s="10">
        <f t="shared" ref="M3:M66" si="4">L3+ABS($N$2)*A3</f>
        <v>0.36404742688629321</v>
      </c>
      <c r="P3" s="8">
        <f t="shared" ref="P3:P66" si="5">(M3-$O$2)/$O$2*100</f>
        <v>-7.225691014847528</v>
      </c>
    </row>
    <row r="4" spans="1:16" ht="16" x14ac:dyDescent="0.2">
      <c r="A4" s="8">
        <v>1</v>
      </c>
      <c r="B4" s="8">
        <v>2</v>
      </c>
      <c r="D4">
        <v>454.86338185890003</v>
      </c>
      <c r="E4">
        <v>228.9843225084</v>
      </c>
      <c r="F4">
        <v>123.94034890265</v>
      </c>
      <c r="G4">
        <v>109.14856499718999</v>
      </c>
      <c r="I4" s="9">
        <f t="shared" si="1"/>
        <v>119.83575751121001</v>
      </c>
      <c r="J4" s="9">
        <f t="shared" si="2"/>
        <v>330.92303295625004</v>
      </c>
      <c r="K4" s="9">
        <f t="shared" si="3"/>
        <v>119.83575751121001</v>
      </c>
      <c r="L4" s="10">
        <f t="shared" si="0"/>
        <v>0.36212576816027486</v>
      </c>
      <c r="M4" s="10">
        <f t="shared" si="4"/>
        <v>0.36259049463909676</v>
      </c>
      <c r="N4" s="1" t="s">
        <v>8</v>
      </c>
      <c r="P4" s="8">
        <f t="shared" si="5"/>
        <v>-7.5969774805366637</v>
      </c>
    </row>
    <row r="5" spans="1:16" x14ac:dyDescent="0.2">
      <c r="A5" s="8">
        <v>1.5</v>
      </c>
      <c r="B5" s="8">
        <v>3</v>
      </c>
      <c r="D5">
        <v>447.03527435609999</v>
      </c>
      <c r="E5">
        <v>230.79451287794001</v>
      </c>
      <c r="F5">
        <v>123.76252110298</v>
      </c>
      <c r="G5">
        <v>109.14969048959</v>
      </c>
      <c r="I5" s="9">
        <f t="shared" si="1"/>
        <v>121.64482238835001</v>
      </c>
      <c r="J5" s="9">
        <f t="shared" si="2"/>
        <v>323.27275325311996</v>
      </c>
      <c r="K5" s="9">
        <f t="shared" si="3"/>
        <v>121.64482238835001</v>
      </c>
      <c r="L5" s="10">
        <f t="shared" si="0"/>
        <v>0.37629160256850691</v>
      </c>
      <c r="M5" s="10">
        <f t="shared" si="4"/>
        <v>0.37698869228673976</v>
      </c>
      <c r="N5" s="8">
        <f>RSQ(V64:V83,U64:U83)</f>
        <v>0.5217750843254686</v>
      </c>
      <c r="P5" s="8">
        <f t="shared" si="5"/>
        <v>-3.9277224913812372</v>
      </c>
    </row>
    <row r="6" spans="1:16" x14ac:dyDescent="0.2">
      <c r="A6" s="8">
        <v>2</v>
      </c>
      <c r="B6" s="8">
        <v>4</v>
      </c>
      <c r="D6">
        <v>442.43673012317998</v>
      </c>
      <c r="E6">
        <v>229.97760358343001</v>
      </c>
      <c r="F6">
        <v>123.92684299381</v>
      </c>
      <c r="G6">
        <v>109.2678671919</v>
      </c>
      <c r="I6" s="9">
        <f t="shared" si="1"/>
        <v>120.70973639153001</v>
      </c>
      <c r="J6" s="9">
        <f t="shared" si="2"/>
        <v>318.50988712936999</v>
      </c>
      <c r="K6" s="9">
        <f t="shared" si="3"/>
        <v>120.70973639153001</v>
      </c>
      <c r="L6" s="10">
        <f t="shared" si="0"/>
        <v>0.37898269808654644</v>
      </c>
      <c r="M6" s="10">
        <f t="shared" si="4"/>
        <v>0.37991215104419024</v>
      </c>
      <c r="P6" s="8">
        <f t="shared" si="5"/>
        <v>-3.1827045458107155</v>
      </c>
    </row>
    <row r="7" spans="1:16" x14ac:dyDescent="0.2">
      <c r="A7" s="8">
        <v>2.5</v>
      </c>
      <c r="B7" s="8">
        <v>5</v>
      </c>
      <c r="D7">
        <v>453.26539753639003</v>
      </c>
      <c r="E7">
        <v>232.39361702127999</v>
      </c>
      <c r="F7">
        <v>124.5008441193</v>
      </c>
      <c r="G7">
        <v>109.3832301632</v>
      </c>
      <c r="I7" s="9">
        <f t="shared" si="1"/>
        <v>123.01038685808</v>
      </c>
      <c r="J7" s="9">
        <f t="shared" si="2"/>
        <v>328.76455341709004</v>
      </c>
      <c r="K7" s="9">
        <f t="shared" si="3"/>
        <v>123.01038685808</v>
      </c>
      <c r="L7" s="10">
        <f t="shared" si="0"/>
        <v>0.3741595180488384</v>
      </c>
      <c r="M7" s="10">
        <f t="shared" si="4"/>
        <v>0.37532133424589315</v>
      </c>
      <c r="P7" s="8">
        <f t="shared" si="5"/>
        <v>-4.3526341337829768</v>
      </c>
    </row>
    <row r="8" spans="1:16" x14ac:dyDescent="0.2">
      <c r="A8" s="8">
        <v>3</v>
      </c>
      <c r="B8" s="8">
        <v>6</v>
      </c>
      <c r="D8">
        <v>443.34042553192</v>
      </c>
      <c r="E8">
        <v>229.26987681970999</v>
      </c>
      <c r="F8">
        <v>124.51997749015</v>
      </c>
      <c r="G8">
        <v>109.37197523917</v>
      </c>
      <c r="I8" s="9">
        <f t="shared" si="1"/>
        <v>119.89790158053999</v>
      </c>
      <c r="J8" s="9">
        <f t="shared" si="2"/>
        <v>318.82044804177002</v>
      </c>
      <c r="K8" s="9">
        <f t="shared" si="3"/>
        <v>119.89790158053999</v>
      </c>
      <c r="L8" s="10">
        <f t="shared" si="0"/>
        <v>0.37606716356170372</v>
      </c>
      <c r="M8" s="10">
        <f t="shared" si="4"/>
        <v>0.37746134299816941</v>
      </c>
      <c r="P8" s="8">
        <f t="shared" si="5"/>
        <v>-3.8072715833243507</v>
      </c>
    </row>
    <row r="9" spans="1:16" x14ac:dyDescent="0.2">
      <c r="A9" s="8">
        <v>3.5</v>
      </c>
      <c r="B9" s="8">
        <v>7</v>
      </c>
      <c r="D9">
        <v>414.05711086226</v>
      </c>
      <c r="E9">
        <v>219.51847704367</v>
      </c>
      <c r="F9">
        <v>124.23635340462</v>
      </c>
      <c r="G9">
        <v>109.61958356781</v>
      </c>
      <c r="I9" s="9">
        <f t="shared" si="1"/>
        <v>109.89889347586001</v>
      </c>
      <c r="J9" s="9">
        <f t="shared" si="2"/>
        <v>289.82075745764001</v>
      </c>
      <c r="K9" s="9">
        <f t="shared" si="3"/>
        <v>109.89889347586001</v>
      </c>
      <c r="L9" s="10">
        <f t="shared" si="0"/>
        <v>0.379196074290582</v>
      </c>
      <c r="M9" s="10">
        <f t="shared" si="4"/>
        <v>0.38082261696645864</v>
      </c>
      <c r="P9" s="8">
        <f t="shared" si="5"/>
        <v>-2.950680252944712</v>
      </c>
    </row>
    <row r="10" spans="1:16" x14ac:dyDescent="0.2">
      <c r="A10" s="8">
        <v>4</v>
      </c>
      <c r="B10" s="8">
        <v>8</v>
      </c>
      <c r="D10">
        <v>359.6601343785</v>
      </c>
      <c r="E10">
        <v>202.70100783875</v>
      </c>
      <c r="F10">
        <v>124.31570061902001</v>
      </c>
      <c r="G10">
        <v>109.14406302758</v>
      </c>
      <c r="I10" s="9">
        <f t="shared" si="1"/>
        <v>93.556944811169998</v>
      </c>
      <c r="J10" s="9">
        <f t="shared" si="2"/>
        <v>235.34443375948001</v>
      </c>
      <c r="K10" s="9">
        <f t="shared" si="3"/>
        <v>93.556944811169998</v>
      </c>
      <c r="L10" s="10">
        <f t="shared" si="0"/>
        <v>0.39753200582081494</v>
      </c>
      <c r="M10" s="10">
        <f t="shared" si="4"/>
        <v>0.39939091173610247</v>
      </c>
      <c r="P10" s="8">
        <f t="shared" si="5"/>
        <v>1.7812875871257092</v>
      </c>
    </row>
    <row r="11" spans="1:16" x14ac:dyDescent="0.2">
      <c r="A11" s="8">
        <v>4.5</v>
      </c>
      <c r="B11" s="8">
        <v>9</v>
      </c>
      <c r="D11">
        <v>316.72284434491002</v>
      </c>
      <c r="E11">
        <v>187.96024636057999</v>
      </c>
      <c r="F11">
        <v>124.59144625774</v>
      </c>
      <c r="G11">
        <v>109.43894203714</v>
      </c>
      <c r="I11" s="9">
        <f t="shared" si="1"/>
        <v>78.521304323439992</v>
      </c>
      <c r="J11" s="9">
        <f t="shared" si="2"/>
        <v>192.13139808717</v>
      </c>
      <c r="K11" s="9">
        <f t="shared" si="3"/>
        <v>78.521304323439992</v>
      </c>
      <c r="L11" s="10">
        <f t="shared" si="0"/>
        <v>0.40868543666046131</v>
      </c>
      <c r="M11" s="10">
        <f t="shared" si="4"/>
        <v>0.41077670581515979</v>
      </c>
      <c r="P11" s="8">
        <f t="shared" si="5"/>
        <v>4.6828578219888488</v>
      </c>
    </row>
    <row r="12" spans="1:16" x14ac:dyDescent="0.2">
      <c r="A12" s="8">
        <v>5</v>
      </c>
      <c r="B12" s="8">
        <v>10</v>
      </c>
      <c r="D12">
        <v>319.11030235162002</v>
      </c>
      <c r="E12">
        <v>188.72620380738999</v>
      </c>
      <c r="F12">
        <v>124.12830613393</v>
      </c>
      <c r="G12">
        <v>109.45863815419</v>
      </c>
      <c r="I12" s="9">
        <f t="shared" si="1"/>
        <v>79.267565653199995</v>
      </c>
      <c r="J12" s="9">
        <f t="shared" si="2"/>
        <v>194.98199621769004</v>
      </c>
      <c r="K12" s="9">
        <f t="shared" si="3"/>
        <v>79.267565653199995</v>
      </c>
      <c r="L12" s="10">
        <f t="shared" si="0"/>
        <v>0.40653787114119372</v>
      </c>
      <c r="M12" s="10">
        <f t="shared" si="4"/>
        <v>0.40886150353530315</v>
      </c>
      <c r="P12" s="8">
        <f t="shared" si="5"/>
        <v>4.1947852386987989</v>
      </c>
    </row>
    <row r="13" spans="1:16" x14ac:dyDescent="0.2">
      <c r="A13" s="8">
        <v>5.5</v>
      </c>
      <c r="B13" s="8">
        <v>11</v>
      </c>
      <c r="D13">
        <v>417.71388577827997</v>
      </c>
      <c r="E13">
        <v>220.11142217245001</v>
      </c>
      <c r="F13">
        <v>124.3832301632</v>
      </c>
      <c r="G13">
        <v>109.48227349465</v>
      </c>
      <c r="I13" s="9">
        <f t="shared" si="1"/>
        <v>110.6291486778</v>
      </c>
      <c r="J13" s="9">
        <f t="shared" si="2"/>
        <v>293.33065561507999</v>
      </c>
      <c r="K13" s="9">
        <f t="shared" si="3"/>
        <v>110.6291486778</v>
      </c>
      <c r="L13" s="10">
        <f t="shared" si="0"/>
        <v>0.37714826786795824</v>
      </c>
      <c r="M13" s="10">
        <f t="shared" si="4"/>
        <v>0.37970426350147862</v>
      </c>
      <c r="P13" s="8">
        <f t="shared" si="5"/>
        <v>-3.2356828714279313</v>
      </c>
    </row>
    <row r="14" spans="1:16" x14ac:dyDescent="0.2">
      <c r="A14" s="8">
        <v>6</v>
      </c>
      <c r="B14" s="8">
        <v>12</v>
      </c>
      <c r="D14">
        <v>427.87402015677998</v>
      </c>
      <c r="E14">
        <v>223.00559910414</v>
      </c>
      <c r="F14">
        <v>124.35678109173</v>
      </c>
      <c r="G14">
        <v>109.53460889138999</v>
      </c>
      <c r="I14" s="9">
        <f t="shared" si="1"/>
        <v>113.47099021275001</v>
      </c>
      <c r="J14" s="9">
        <f t="shared" si="2"/>
        <v>303.51723906504998</v>
      </c>
      <c r="K14" s="9">
        <f t="shared" si="3"/>
        <v>113.47099021275001</v>
      </c>
      <c r="L14" s="10">
        <f t="shared" si="0"/>
        <v>0.37385352661444987</v>
      </c>
      <c r="M14" s="10">
        <f t="shared" si="4"/>
        <v>0.3766418854873812</v>
      </c>
      <c r="P14" s="8">
        <f t="shared" si="5"/>
        <v>-4.0161031769337603</v>
      </c>
    </row>
    <row r="15" spans="1:16" x14ac:dyDescent="0.2">
      <c r="A15" s="8">
        <v>6.5</v>
      </c>
      <c r="B15" s="8">
        <v>13</v>
      </c>
      <c r="D15">
        <v>501.96810296587</v>
      </c>
      <c r="E15">
        <v>240.79015109120999</v>
      </c>
      <c r="F15">
        <v>124.59651097355</v>
      </c>
      <c r="G15">
        <v>109.27630838492</v>
      </c>
      <c r="I15" s="9">
        <f t="shared" si="1"/>
        <v>131.51384270629001</v>
      </c>
      <c r="J15" s="9">
        <f t="shared" si="2"/>
        <v>377.37159199232002</v>
      </c>
      <c r="K15" s="9">
        <f t="shared" si="3"/>
        <v>131.51384270629001</v>
      </c>
      <c r="L15" s="10">
        <f t="shared" si="0"/>
        <v>0.34849958369141487</v>
      </c>
      <c r="M15" s="10">
        <f t="shared" si="4"/>
        <v>0.35152030580375715</v>
      </c>
      <c r="P15" s="8">
        <f t="shared" si="5"/>
        <v>-10.418118473945102</v>
      </c>
    </row>
    <row r="16" spans="1:16" x14ac:dyDescent="0.2">
      <c r="A16" s="8">
        <v>7</v>
      </c>
      <c r="B16" s="8">
        <v>14</v>
      </c>
      <c r="D16">
        <v>501.69222160045001</v>
      </c>
      <c r="E16">
        <v>239.31897034135</v>
      </c>
      <c r="F16">
        <v>124.83455261677</v>
      </c>
      <c r="G16">
        <v>109.50984805853</v>
      </c>
      <c r="I16" s="9">
        <f t="shared" si="1"/>
        <v>129.80912228282</v>
      </c>
      <c r="J16" s="9">
        <f t="shared" si="2"/>
        <v>376.85766898368001</v>
      </c>
      <c r="K16" s="9">
        <f t="shared" si="3"/>
        <v>129.80912228282</v>
      </c>
      <c r="L16" s="10">
        <f t="shared" si="0"/>
        <v>0.34445132198819983</v>
      </c>
      <c r="M16" s="10">
        <f t="shared" si="4"/>
        <v>0.34770440733995306</v>
      </c>
      <c r="P16" s="8">
        <f t="shared" si="5"/>
        <v>-11.390566888605928</v>
      </c>
    </row>
    <row r="17" spans="1:16" x14ac:dyDescent="0.2">
      <c r="A17" s="8">
        <v>7.5</v>
      </c>
      <c r="B17" s="8">
        <v>15</v>
      </c>
      <c r="D17">
        <v>497.19753777279999</v>
      </c>
      <c r="E17">
        <v>234.75153889200001</v>
      </c>
      <c r="F17">
        <v>124.76364659539</v>
      </c>
      <c r="G17">
        <v>109.77377602701</v>
      </c>
      <c r="I17" s="9">
        <f t="shared" si="1"/>
        <v>124.97776286499001</v>
      </c>
      <c r="J17" s="9">
        <f t="shared" si="2"/>
        <v>372.43389117740998</v>
      </c>
      <c r="K17" s="9">
        <f t="shared" si="3"/>
        <v>124.97776286499001</v>
      </c>
      <c r="L17" s="10">
        <f t="shared" si="0"/>
        <v>0.33557032758185934</v>
      </c>
      <c r="M17" s="10">
        <f t="shared" si="4"/>
        <v>0.33905577617302352</v>
      </c>
      <c r="P17" s="8">
        <f t="shared" si="5"/>
        <v>-13.59459504790934</v>
      </c>
    </row>
    <row r="18" spans="1:16" x14ac:dyDescent="0.2">
      <c r="A18" s="8">
        <v>8</v>
      </c>
      <c r="B18" s="8">
        <v>16</v>
      </c>
      <c r="D18">
        <v>499.6608841634</v>
      </c>
      <c r="E18">
        <v>235.74034695020001</v>
      </c>
      <c r="F18">
        <v>124.72369161508</v>
      </c>
      <c r="G18">
        <v>109.67023072594</v>
      </c>
      <c r="I18" s="9">
        <f t="shared" si="1"/>
        <v>126.07011622426</v>
      </c>
      <c r="J18" s="9">
        <f t="shared" si="2"/>
        <v>374.93719254832001</v>
      </c>
      <c r="K18" s="9">
        <f t="shared" si="3"/>
        <v>126.07011622426</v>
      </c>
      <c r="L18" s="10">
        <f t="shared" si="0"/>
        <v>0.33624329282300452</v>
      </c>
      <c r="M18" s="10">
        <f t="shared" si="4"/>
        <v>0.33996110465357965</v>
      </c>
      <c r="P18" s="8">
        <f t="shared" si="5"/>
        <v>-13.363879987219168</v>
      </c>
    </row>
    <row r="19" spans="1:16" x14ac:dyDescent="0.2">
      <c r="A19" s="8">
        <v>8.5</v>
      </c>
      <c r="B19" s="8">
        <v>17</v>
      </c>
      <c r="D19">
        <v>492.09233351987001</v>
      </c>
      <c r="E19">
        <v>234.41018466704</v>
      </c>
      <c r="F19">
        <v>124.75970737198</v>
      </c>
      <c r="G19">
        <v>109.56612267867</v>
      </c>
      <c r="I19" s="9">
        <f t="shared" si="1"/>
        <v>124.84406198837</v>
      </c>
      <c r="J19" s="9">
        <f t="shared" si="2"/>
        <v>367.33262614788998</v>
      </c>
      <c r="K19" s="9">
        <f t="shared" si="3"/>
        <v>124.84406198837</v>
      </c>
      <c r="L19" s="10">
        <f t="shared" si="0"/>
        <v>0.33986652178863946</v>
      </c>
      <c r="M19" s="10">
        <f t="shared" si="4"/>
        <v>0.34381669685862554</v>
      </c>
      <c r="P19" s="8">
        <f t="shared" si="5"/>
        <v>-12.381315969088098</v>
      </c>
    </row>
    <row r="20" spans="1:16" x14ac:dyDescent="0.2">
      <c r="A20" s="8">
        <v>9</v>
      </c>
      <c r="B20" s="8">
        <v>18</v>
      </c>
      <c r="D20">
        <v>497.64548494983001</v>
      </c>
      <c r="E20">
        <v>234.78260869565</v>
      </c>
      <c r="F20">
        <v>125.08553742262001</v>
      </c>
      <c r="G20">
        <v>109.60213843557</v>
      </c>
      <c r="I20" s="9">
        <f t="shared" si="1"/>
        <v>125.18047026008</v>
      </c>
      <c r="J20" s="9">
        <f t="shared" si="2"/>
        <v>372.55994752721</v>
      </c>
      <c r="K20" s="9">
        <f t="shared" si="3"/>
        <v>125.18047026008</v>
      </c>
      <c r="L20" s="10">
        <f t="shared" si="0"/>
        <v>0.33600088010248985</v>
      </c>
      <c r="M20" s="10">
        <f t="shared" si="4"/>
        <v>0.34018341841188687</v>
      </c>
      <c r="P20" s="8">
        <f t="shared" si="5"/>
        <v>-13.307225266483325</v>
      </c>
    </row>
    <row r="21" spans="1:16" x14ac:dyDescent="0.2">
      <c r="A21" s="8">
        <v>9.5</v>
      </c>
      <c r="B21" s="8">
        <v>19</v>
      </c>
      <c r="D21">
        <v>493.26086956521999</v>
      </c>
      <c r="E21">
        <v>233.55518394648999</v>
      </c>
      <c r="F21">
        <v>125.39673607203</v>
      </c>
      <c r="G21">
        <v>110.01294316262999</v>
      </c>
      <c r="I21" s="9">
        <f t="shared" si="1"/>
        <v>123.54224078386</v>
      </c>
      <c r="J21" s="9">
        <f t="shared" si="2"/>
        <v>367.86413349319002</v>
      </c>
      <c r="K21" s="9">
        <f t="shared" si="3"/>
        <v>123.54224078386</v>
      </c>
      <c r="L21" s="10">
        <f t="shared" si="0"/>
        <v>0.33583660252691372</v>
      </c>
      <c r="M21" s="10">
        <f t="shared" si="4"/>
        <v>0.34025150407572169</v>
      </c>
      <c r="P21" s="8">
        <f t="shared" si="5"/>
        <v>-13.28987422937232</v>
      </c>
    </row>
    <row r="22" spans="1:16" x14ac:dyDescent="0.2">
      <c r="A22" s="8">
        <v>10</v>
      </c>
      <c r="B22" s="8">
        <v>20</v>
      </c>
      <c r="D22">
        <v>492.61984392418998</v>
      </c>
      <c r="E22">
        <v>232.33110367892999</v>
      </c>
      <c r="F22">
        <v>125.32695554305</v>
      </c>
      <c r="G22">
        <v>109.59313449634</v>
      </c>
      <c r="I22" s="9">
        <f t="shared" si="1"/>
        <v>122.73796918258999</v>
      </c>
      <c r="J22" s="9">
        <f t="shared" si="2"/>
        <v>367.29288838113996</v>
      </c>
      <c r="K22" s="9">
        <f t="shared" si="3"/>
        <v>122.73796918258999</v>
      </c>
      <c r="L22" s="10">
        <f t="shared" si="0"/>
        <v>0.33416919593396743</v>
      </c>
      <c r="M22" s="10">
        <f t="shared" si="4"/>
        <v>0.33881646072218635</v>
      </c>
      <c r="P22" s="8">
        <f t="shared" si="5"/>
        <v>-13.65558250157928</v>
      </c>
    </row>
    <row r="23" spans="1:16" x14ac:dyDescent="0.2">
      <c r="A23" s="8">
        <v>10.5</v>
      </c>
      <c r="B23" s="8">
        <v>21</v>
      </c>
      <c r="D23">
        <v>488.60479375697003</v>
      </c>
      <c r="E23">
        <v>231.38573021182</v>
      </c>
      <c r="F23">
        <v>125.26392796848999</v>
      </c>
      <c r="G23">
        <v>109.77996623523001</v>
      </c>
      <c r="I23" s="9">
        <f t="shared" si="1"/>
        <v>121.60576397659</v>
      </c>
      <c r="J23" s="9">
        <f t="shared" si="2"/>
        <v>363.34086578848002</v>
      </c>
      <c r="K23" s="9">
        <f t="shared" si="3"/>
        <v>121.60576397659</v>
      </c>
      <c r="L23" s="10">
        <f t="shared" si="0"/>
        <v>0.33468782464833768</v>
      </c>
      <c r="M23" s="10">
        <f t="shared" si="4"/>
        <v>0.33956745267596755</v>
      </c>
      <c r="P23" s="8">
        <f t="shared" si="5"/>
        <v>-13.464198757539739</v>
      </c>
    </row>
    <row r="24" spans="1:16" x14ac:dyDescent="0.2">
      <c r="A24" s="8">
        <v>11</v>
      </c>
      <c r="B24" s="8">
        <v>22</v>
      </c>
      <c r="D24">
        <v>489.81690929451003</v>
      </c>
      <c r="E24">
        <v>231.86394176932001</v>
      </c>
      <c r="F24">
        <v>125.51378728194</v>
      </c>
      <c r="G24">
        <v>109.70005627462</v>
      </c>
      <c r="I24" s="9">
        <f t="shared" si="1"/>
        <v>122.16388549470001</v>
      </c>
      <c r="J24" s="9">
        <f t="shared" si="2"/>
        <v>364.30312201257004</v>
      </c>
      <c r="K24" s="9">
        <f t="shared" si="3"/>
        <v>122.16388549470001</v>
      </c>
      <c r="L24" s="10">
        <f t="shared" si="0"/>
        <v>0.33533581820494207</v>
      </c>
      <c r="M24" s="10">
        <f t="shared" si="4"/>
        <v>0.34044780947198283</v>
      </c>
      <c r="P24" s="8">
        <f t="shared" si="5"/>
        <v>-13.239847512677869</v>
      </c>
    </row>
    <row r="25" spans="1:16" x14ac:dyDescent="0.2">
      <c r="A25" s="8">
        <v>11.5</v>
      </c>
      <c r="B25" s="8">
        <v>23</v>
      </c>
      <c r="D25">
        <v>488.55935050391997</v>
      </c>
      <c r="E25">
        <v>231.69708846584999</v>
      </c>
      <c r="F25">
        <v>125.70230725943</v>
      </c>
      <c r="G25">
        <v>109.77546426562</v>
      </c>
      <c r="I25" s="9">
        <f t="shared" si="1"/>
        <v>121.92162420022999</v>
      </c>
      <c r="J25" s="9">
        <f t="shared" si="2"/>
        <v>362.85704324449</v>
      </c>
      <c r="K25" s="9">
        <f t="shared" si="3"/>
        <v>121.92162420022999</v>
      </c>
      <c r="L25" s="10">
        <f t="shared" si="0"/>
        <v>0.33600456838336806</v>
      </c>
      <c r="M25" s="10">
        <f t="shared" si="4"/>
        <v>0.34134892288981977</v>
      </c>
      <c r="P25" s="8">
        <f t="shared" si="5"/>
        <v>-13.01020662392855</v>
      </c>
    </row>
    <row r="26" spans="1:16" x14ac:dyDescent="0.2">
      <c r="A26" s="8">
        <v>12</v>
      </c>
      <c r="B26" s="8">
        <v>24</v>
      </c>
      <c r="D26">
        <v>489.77267637177999</v>
      </c>
      <c r="E26">
        <v>231.58678611421999</v>
      </c>
      <c r="F26">
        <v>125.47270680923</v>
      </c>
      <c r="G26">
        <v>109.8446820484</v>
      </c>
      <c r="I26" s="9">
        <f t="shared" si="1"/>
        <v>121.74210406581999</v>
      </c>
      <c r="J26" s="9">
        <f t="shared" si="2"/>
        <v>364.29996956255002</v>
      </c>
      <c r="K26" s="9">
        <f t="shared" si="3"/>
        <v>121.74210406581999</v>
      </c>
      <c r="L26" s="10">
        <f t="shared" si="0"/>
        <v>0.33418093394849147</v>
      </c>
      <c r="M26" s="10">
        <f t="shared" si="4"/>
        <v>0.33975765169435412</v>
      </c>
      <c r="P26" s="8">
        <f t="shared" si="5"/>
        <v>-13.41572819794427</v>
      </c>
    </row>
    <row r="27" spans="1:16" x14ac:dyDescent="0.2">
      <c r="A27" s="8">
        <v>12.5</v>
      </c>
      <c r="B27" s="8">
        <v>25</v>
      </c>
      <c r="D27">
        <v>487.23460246360997</v>
      </c>
      <c r="E27">
        <v>230.58566629339001</v>
      </c>
      <c r="F27">
        <v>125.50253235791</v>
      </c>
      <c r="G27">
        <v>109.78953292065</v>
      </c>
      <c r="I27" s="9">
        <f t="shared" si="1"/>
        <v>120.79613337274</v>
      </c>
      <c r="J27" s="9">
        <f t="shared" si="2"/>
        <v>361.73207010569996</v>
      </c>
      <c r="K27" s="9">
        <f t="shared" si="3"/>
        <v>120.79613337274</v>
      </c>
      <c r="L27" s="10">
        <f t="shared" si="0"/>
        <v>0.33393813641528314</v>
      </c>
      <c r="M27" s="10">
        <f t="shared" si="4"/>
        <v>0.33974721740055674</v>
      </c>
      <c r="P27" s="8">
        <f t="shared" si="5"/>
        <v>-13.418387286637962</v>
      </c>
    </row>
    <row r="28" spans="1:16" x14ac:dyDescent="0.2">
      <c r="A28" s="8">
        <v>13</v>
      </c>
      <c r="B28" s="8">
        <v>26</v>
      </c>
      <c r="D28">
        <v>493.89364096792002</v>
      </c>
      <c r="E28">
        <v>232.88463702870001</v>
      </c>
      <c r="F28">
        <v>125.71243669105</v>
      </c>
      <c r="G28">
        <v>110.08497467642</v>
      </c>
      <c r="I28" s="9">
        <f t="shared" si="1"/>
        <v>122.79966235228001</v>
      </c>
      <c r="J28" s="9">
        <f t="shared" si="2"/>
        <v>368.18120427687001</v>
      </c>
      <c r="K28" s="9">
        <f t="shared" si="3"/>
        <v>122.79966235228001</v>
      </c>
      <c r="L28" s="10">
        <f t="shared" si="0"/>
        <v>0.3335305032571283</v>
      </c>
      <c r="M28" s="10">
        <f t="shared" si="4"/>
        <v>0.33957194748181285</v>
      </c>
      <c r="P28" s="8">
        <f t="shared" si="5"/>
        <v>-13.463053295505063</v>
      </c>
    </row>
    <row r="29" spans="1:16" x14ac:dyDescent="0.2">
      <c r="A29" s="8">
        <v>13.5</v>
      </c>
      <c r="B29" s="8">
        <v>27</v>
      </c>
      <c r="D29">
        <v>488.66442199775997</v>
      </c>
      <c r="E29">
        <v>232.31144781144999</v>
      </c>
      <c r="F29">
        <v>125.78221722003001</v>
      </c>
      <c r="G29">
        <v>110.00393922341</v>
      </c>
      <c r="I29" s="9">
        <f t="shared" si="1"/>
        <v>122.30750858803999</v>
      </c>
      <c r="J29" s="9">
        <f t="shared" si="2"/>
        <v>362.88220477772995</v>
      </c>
      <c r="K29" s="9">
        <f t="shared" si="3"/>
        <v>122.30750858803999</v>
      </c>
      <c r="L29" s="10">
        <f t="shared" si="0"/>
        <v>0.33704465795713218</v>
      </c>
      <c r="M29" s="10">
        <f t="shared" si="4"/>
        <v>0.34331846542122768</v>
      </c>
      <c r="P29" s="8">
        <f t="shared" si="5"/>
        <v>-12.508285901864749</v>
      </c>
    </row>
    <row r="30" spans="1:16" x14ac:dyDescent="0.2">
      <c r="A30" s="8">
        <v>14</v>
      </c>
      <c r="B30" s="8">
        <v>28</v>
      </c>
      <c r="D30">
        <v>484.30527497193998</v>
      </c>
      <c r="E30">
        <v>231.47025813693</v>
      </c>
      <c r="F30">
        <v>125.5785030951</v>
      </c>
      <c r="G30">
        <v>110.14406302758</v>
      </c>
      <c r="I30" s="9">
        <f t="shared" si="1"/>
        <v>121.32619510935</v>
      </c>
      <c r="J30" s="9">
        <f t="shared" si="2"/>
        <v>358.72677187683996</v>
      </c>
      <c r="K30" s="9">
        <f t="shared" si="3"/>
        <v>121.32619510935</v>
      </c>
      <c r="L30" s="10">
        <f t="shared" si="0"/>
        <v>0.33821338305635124</v>
      </c>
      <c r="M30" s="10">
        <f t="shared" si="4"/>
        <v>0.34471955375985769</v>
      </c>
      <c r="P30" s="8">
        <f t="shared" si="5"/>
        <v>-12.151230768814314</v>
      </c>
    </row>
    <row r="31" spans="1:16" x14ac:dyDescent="0.2">
      <c r="A31" s="8">
        <v>14.5</v>
      </c>
      <c r="B31" s="8">
        <v>29</v>
      </c>
      <c r="D31">
        <v>480.93322109988998</v>
      </c>
      <c r="E31">
        <v>230.06228956229</v>
      </c>
      <c r="F31">
        <v>126.05289814293999</v>
      </c>
      <c r="G31">
        <v>109.97467642093</v>
      </c>
      <c r="I31" s="9">
        <f t="shared" si="1"/>
        <v>120.08761314136001</v>
      </c>
      <c r="J31" s="9">
        <f t="shared" si="2"/>
        <v>354.88032295694995</v>
      </c>
      <c r="K31" s="9">
        <f t="shared" si="3"/>
        <v>120.08761314136001</v>
      </c>
      <c r="L31" s="10">
        <f t="shared" si="0"/>
        <v>0.33838904377892959</v>
      </c>
      <c r="M31" s="10">
        <f t="shared" si="4"/>
        <v>0.34512757772184699</v>
      </c>
      <c r="P31" s="8">
        <f t="shared" si="5"/>
        <v>-12.047249423727743</v>
      </c>
    </row>
    <row r="32" spans="1:16" x14ac:dyDescent="0.2">
      <c r="A32" s="8">
        <v>15</v>
      </c>
      <c r="B32" s="8">
        <v>30</v>
      </c>
      <c r="D32">
        <v>489.74551569507003</v>
      </c>
      <c r="E32">
        <v>232.53139013453</v>
      </c>
      <c r="F32">
        <v>125.97467642093</v>
      </c>
      <c r="G32">
        <v>110.55936972425</v>
      </c>
      <c r="I32" s="9">
        <f t="shared" si="1"/>
        <v>121.97202041028</v>
      </c>
      <c r="J32" s="9">
        <f t="shared" si="2"/>
        <v>363.77083927414003</v>
      </c>
      <c r="K32" s="9">
        <f t="shared" si="3"/>
        <v>121.97202041028</v>
      </c>
      <c r="L32" s="10">
        <f t="shared" si="0"/>
        <v>0.33529905985224151</v>
      </c>
      <c r="M32" s="10">
        <f t="shared" si="4"/>
        <v>0.34226995703456986</v>
      </c>
      <c r="P32" s="8">
        <f t="shared" si="5"/>
        <v>-12.775489111812718</v>
      </c>
    </row>
    <row r="33" spans="1:16" x14ac:dyDescent="0.2">
      <c r="A33" s="8">
        <v>15.5</v>
      </c>
      <c r="B33" s="8">
        <v>31</v>
      </c>
      <c r="D33">
        <v>491.93778026906</v>
      </c>
      <c r="E33">
        <v>233.20908071749</v>
      </c>
      <c r="F33">
        <v>126.29825548677999</v>
      </c>
      <c r="G33">
        <v>110.39335959482</v>
      </c>
      <c r="I33" s="9">
        <f t="shared" si="1"/>
        <v>122.81572112267</v>
      </c>
      <c r="J33" s="9">
        <f t="shared" si="2"/>
        <v>365.63952478227998</v>
      </c>
      <c r="K33" s="9">
        <f t="shared" si="3"/>
        <v>122.81572112267</v>
      </c>
      <c r="L33" s="10">
        <f t="shared" si="0"/>
        <v>0.33589290215766637</v>
      </c>
      <c r="M33" s="10">
        <f t="shared" si="4"/>
        <v>0.34309616257940567</v>
      </c>
      <c r="P33" s="8">
        <f t="shared" si="5"/>
        <v>-12.564937840629625</v>
      </c>
    </row>
    <row r="34" spans="1:16" x14ac:dyDescent="0.2">
      <c r="A34" s="8">
        <v>16</v>
      </c>
      <c r="B34" s="8">
        <v>32</v>
      </c>
      <c r="D34">
        <v>493.15414798206001</v>
      </c>
      <c r="E34">
        <v>235.22645739910001</v>
      </c>
      <c r="F34">
        <v>125.85593697243</v>
      </c>
      <c r="G34">
        <v>110.15700619021</v>
      </c>
      <c r="I34" s="9">
        <f t="shared" si="1"/>
        <v>125.06945120889002</v>
      </c>
      <c r="J34" s="9">
        <f t="shared" si="2"/>
        <v>367.29821100962999</v>
      </c>
      <c r="K34" s="9">
        <f t="shared" si="3"/>
        <v>125.06945120889002</v>
      </c>
      <c r="L34" s="10">
        <f t="shared" si="0"/>
        <v>0.34051200757308042</v>
      </c>
      <c r="M34" s="10">
        <f t="shared" si="4"/>
        <v>0.34794763123423067</v>
      </c>
      <c r="P34" s="8">
        <f t="shared" si="5"/>
        <v>-11.328583402241852</v>
      </c>
    </row>
    <row r="35" spans="1:16" x14ac:dyDescent="0.2">
      <c r="A35" s="8">
        <v>16.5</v>
      </c>
      <c r="B35" s="8">
        <v>33</v>
      </c>
      <c r="D35">
        <v>495.12107623318002</v>
      </c>
      <c r="E35">
        <v>235.74551569507</v>
      </c>
      <c r="F35">
        <v>126.66685424873</v>
      </c>
      <c r="G35">
        <v>110.54023635340999</v>
      </c>
      <c r="I35" s="9">
        <f t="shared" si="1"/>
        <v>125.20527934166</v>
      </c>
      <c r="J35" s="9">
        <f t="shared" si="2"/>
        <v>368.45422198444999</v>
      </c>
      <c r="K35" s="9">
        <f t="shared" si="3"/>
        <v>125.20527934166</v>
      </c>
      <c r="L35" s="10">
        <f t="shared" si="0"/>
        <v>0.3398123073941709</v>
      </c>
      <c r="M35" s="10">
        <f t="shared" si="4"/>
        <v>0.34748029429473209</v>
      </c>
      <c r="P35" s="8">
        <f t="shared" si="5"/>
        <v>-11.447680141905826</v>
      </c>
    </row>
    <row r="36" spans="1:16" x14ac:dyDescent="0.2">
      <c r="A36" s="8">
        <v>17</v>
      </c>
      <c r="B36" s="8">
        <v>34</v>
      </c>
      <c r="D36">
        <v>499.07174887892</v>
      </c>
      <c r="E36">
        <v>237.87892376682001</v>
      </c>
      <c r="F36">
        <v>126.33483398987001</v>
      </c>
      <c r="G36">
        <v>110.19977490152</v>
      </c>
      <c r="I36" s="9">
        <f t="shared" si="1"/>
        <v>127.67914886530001</v>
      </c>
      <c r="J36" s="9">
        <f t="shared" si="2"/>
        <v>372.73691488905001</v>
      </c>
      <c r="K36" s="9">
        <f t="shared" si="3"/>
        <v>127.67914886530001</v>
      </c>
      <c r="L36" s="10">
        <f t="shared" si="0"/>
        <v>0.34254495265998908</v>
      </c>
      <c r="M36" s="10">
        <f t="shared" si="4"/>
        <v>0.35044530279996122</v>
      </c>
      <c r="P36" s="8">
        <f t="shared" si="5"/>
        <v>-10.692073605800163</v>
      </c>
    </row>
    <row r="37" spans="1:16" x14ac:dyDescent="0.2">
      <c r="A37" s="8">
        <v>17.5</v>
      </c>
      <c r="B37" s="8">
        <v>35</v>
      </c>
      <c r="D37">
        <v>493.99663677130002</v>
      </c>
      <c r="E37">
        <v>238.01961883408001</v>
      </c>
      <c r="F37">
        <v>126.80078784468</v>
      </c>
      <c r="G37">
        <v>110.49015194147</v>
      </c>
      <c r="I37" s="9">
        <f t="shared" si="1"/>
        <v>127.52946689261</v>
      </c>
      <c r="J37" s="9">
        <f t="shared" si="2"/>
        <v>367.19584892661999</v>
      </c>
      <c r="K37" s="9">
        <f t="shared" si="3"/>
        <v>127.52946689261</v>
      </c>
      <c r="L37" s="10">
        <f t="shared" si="0"/>
        <v>0.34730639593394574</v>
      </c>
      <c r="M37" s="10">
        <f t="shared" si="4"/>
        <v>0.35543910931332884</v>
      </c>
      <c r="P37" s="8">
        <f t="shared" si="5"/>
        <v>-9.4194456066248229</v>
      </c>
    </row>
    <row r="38" spans="1:16" x14ac:dyDescent="0.2">
      <c r="A38" s="8">
        <v>18</v>
      </c>
      <c r="B38" s="8">
        <v>36</v>
      </c>
      <c r="D38">
        <v>493.46524663677002</v>
      </c>
      <c r="E38">
        <v>236.78419282511001</v>
      </c>
      <c r="F38">
        <v>126.85875070343</v>
      </c>
      <c r="G38">
        <v>110.50478334271</v>
      </c>
      <c r="I38" s="9">
        <f t="shared" si="1"/>
        <v>126.27940948240001</v>
      </c>
      <c r="J38" s="9">
        <f t="shared" si="2"/>
        <v>366.60649593334</v>
      </c>
      <c r="K38" s="9">
        <f t="shared" si="3"/>
        <v>126.27940948240001</v>
      </c>
      <c r="L38" s="10">
        <f t="shared" si="0"/>
        <v>0.34445491523794869</v>
      </c>
      <c r="M38" s="10">
        <f t="shared" si="4"/>
        <v>0.35281999185674268</v>
      </c>
      <c r="P38" s="8">
        <f t="shared" si="5"/>
        <v>-10.086904828254276</v>
      </c>
    </row>
    <row r="39" spans="1:16" x14ac:dyDescent="0.2">
      <c r="A39" s="8">
        <v>18.5</v>
      </c>
      <c r="B39" s="8">
        <v>37</v>
      </c>
      <c r="D39">
        <v>493.60762331838998</v>
      </c>
      <c r="E39">
        <v>235.85313901345</v>
      </c>
      <c r="F39">
        <v>126.65559932471</v>
      </c>
      <c r="G39">
        <v>110.77602701182001</v>
      </c>
      <c r="I39" s="9">
        <f t="shared" si="1"/>
        <v>125.07711200163</v>
      </c>
      <c r="J39" s="9">
        <f t="shared" si="2"/>
        <v>366.95202399367997</v>
      </c>
      <c r="K39" s="9">
        <f t="shared" si="3"/>
        <v>125.07711200163</v>
      </c>
      <c r="L39" s="10">
        <f t="shared" si="0"/>
        <v>0.34085412757877093</v>
      </c>
      <c r="M39" s="10">
        <f t="shared" si="4"/>
        <v>0.34945156743697586</v>
      </c>
      <c r="P39" s="8">
        <f t="shared" si="5"/>
        <v>-10.945318388776947</v>
      </c>
    </row>
    <row r="40" spans="1:16" x14ac:dyDescent="0.2">
      <c r="A40" s="8">
        <v>19</v>
      </c>
      <c r="B40" s="8">
        <v>38</v>
      </c>
      <c r="D40">
        <v>497.52802690583002</v>
      </c>
      <c r="E40">
        <v>236.90639013453</v>
      </c>
      <c r="F40">
        <v>126.85706246482999</v>
      </c>
      <c r="G40">
        <v>110.41868317389</v>
      </c>
      <c r="I40" s="9">
        <f t="shared" si="1"/>
        <v>126.48770696064</v>
      </c>
      <c r="J40" s="9">
        <f t="shared" si="2"/>
        <v>370.67096444100002</v>
      </c>
      <c r="K40" s="9">
        <f t="shared" si="3"/>
        <v>126.48770696064</v>
      </c>
      <c r="L40" s="10">
        <f t="shared" si="0"/>
        <v>0.3412398571638679</v>
      </c>
      <c r="M40" s="10">
        <f t="shared" si="4"/>
        <v>0.35006966026148378</v>
      </c>
      <c r="P40" s="8">
        <f t="shared" si="5"/>
        <v>-10.787802827761009</v>
      </c>
    </row>
    <row r="41" spans="1:16" x14ac:dyDescent="0.2">
      <c r="A41" s="8">
        <v>19.5</v>
      </c>
      <c r="B41" s="8">
        <v>39</v>
      </c>
      <c r="D41">
        <v>496.55269058296</v>
      </c>
      <c r="E41">
        <v>236.49495515695</v>
      </c>
      <c r="F41">
        <v>127.18401800788</v>
      </c>
      <c r="G41">
        <v>110.78446820484</v>
      </c>
      <c r="I41" s="9">
        <f t="shared" si="1"/>
        <v>125.71048695211</v>
      </c>
      <c r="J41" s="9">
        <f t="shared" si="2"/>
        <v>369.36867257507998</v>
      </c>
      <c r="K41" s="9">
        <f t="shared" si="3"/>
        <v>125.71048695211</v>
      </c>
      <c r="L41" s="10">
        <f t="shared" si="0"/>
        <v>0.34033878963180714</v>
      </c>
      <c r="M41" s="10">
        <f t="shared" si="4"/>
        <v>0.34940095596883397</v>
      </c>
      <c r="P41" s="8">
        <f t="shared" si="5"/>
        <v>-10.958216279647234</v>
      </c>
    </row>
    <row r="42" spans="1:16" x14ac:dyDescent="0.2">
      <c r="A42" s="8">
        <v>20</v>
      </c>
      <c r="B42" s="8">
        <v>40</v>
      </c>
      <c r="D42">
        <v>492.09024663677002</v>
      </c>
      <c r="E42">
        <v>232.91367713004999</v>
      </c>
      <c r="F42">
        <v>126.8469330332</v>
      </c>
      <c r="G42">
        <v>110.59988745075999</v>
      </c>
      <c r="I42" s="9">
        <f t="shared" si="1"/>
        <v>122.31378967929</v>
      </c>
      <c r="J42" s="9">
        <f t="shared" si="2"/>
        <v>365.24331360357002</v>
      </c>
      <c r="K42" s="9">
        <f t="shared" si="3"/>
        <v>122.31378967929</v>
      </c>
      <c r="L42" s="10">
        <f t="shared" si="0"/>
        <v>0.33488303583853607</v>
      </c>
      <c r="M42" s="10">
        <f t="shared" si="4"/>
        <v>0.34417756541497385</v>
      </c>
      <c r="P42" s="8">
        <f t="shared" si="5"/>
        <v>-12.289351767511304</v>
      </c>
    </row>
    <row r="43" spans="1:16" x14ac:dyDescent="0.2">
      <c r="A43" s="8">
        <v>20.5</v>
      </c>
      <c r="B43" s="8">
        <v>41</v>
      </c>
      <c r="D43">
        <v>489.43890134528999</v>
      </c>
      <c r="E43">
        <v>229.87275784753001</v>
      </c>
      <c r="F43">
        <v>127.25998874507999</v>
      </c>
      <c r="G43">
        <v>110.53235790658</v>
      </c>
      <c r="I43" s="9">
        <f t="shared" si="1"/>
        <v>119.34039994095001</v>
      </c>
      <c r="J43" s="9">
        <f t="shared" si="2"/>
        <v>362.17891260020997</v>
      </c>
      <c r="K43" s="9">
        <f t="shared" si="3"/>
        <v>119.34039994095001</v>
      </c>
      <c r="L43" s="10">
        <f t="shared" si="0"/>
        <v>0.3295067597507631</v>
      </c>
      <c r="M43" s="10">
        <f t="shared" si="4"/>
        <v>0.33903365256661183</v>
      </c>
      <c r="P43" s="8">
        <f t="shared" si="5"/>
        <v>-13.600233055887202</v>
      </c>
    </row>
    <row r="44" spans="1:16" x14ac:dyDescent="0.2">
      <c r="A44" s="8">
        <v>21</v>
      </c>
      <c r="B44" s="8">
        <v>42</v>
      </c>
      <c r="D44">
        <v>490.99327354259998</v>
      </c>
      <c r="E44">
        <v>230.39013452915</v>
      </c>
      <c r="F44">
        <v>126.89758019132999</v>
      </c>
      <c r="G44">
        <v>110.86550365785</v>
      </c>
      <c r="I44" s="9">
        <f t="shared" si="1"/>
        <v>119.5246308713</v>
      </c>
      <c r="J44" s="9">
        <f t="shared" si="2"/>
        <v>364.09569335126997</v>
      </c>
      <c r="K44" s="9">
        <f t="shared" si="3"/>
        <v>119.5246308713</v>
      </c>
      <c r="L44" s="10">
        <f t="shared" si="0"/>
        <v>0.32827806824945271</v>
      </c>
      <c r="M44" s="10">
        <f t="shared" si="4"/>
        <v>0.33803732430471239</v>
      </c>
      <c r="P44" s="8">
        <f t="shared" si="5"/>
        <v>-13.854138616518918</v>
      </c>
    </row>
    <row r="45" spans="1:16" x14ac:dyDescent="0.2">
      <c r="A45" s="8">
        <v>21.5</v>
      </c>
      <c r="B45" s="8">
        <v>43</v>
      </c>
      <c r="D45">
        <v>488.38733183856999</v>
      </c>
      <c r="E45">
        <v>228.37443946188</v>
      </c>
      <c r="F45">
        <v>127.76533483399</v>
      </c>
      <c r="G45">
        <v>111.09397861564</v>
      </c>
      <c r="I45" s="9">
        <f t="shared" si="1"/>
        <v>117.28046084624</v>
      </c>
      <c r="J45" s="9">
        <f t="shared" si="2"/>
        <v>360.62199700458001</v>
      </c>
      <c r="K45" s="9">
        <f t="shared" si="3"/>
        <v>117.28046084624</v>
      </c>
      <c r="L45" s="10">
        <f t="shared" si="0"/>
        <v>0.32521715763431508</v>
      </c>
      <c r="M45" s="10">
        <f t="shared" si="4"/>
        <v>0.33520877692898571</v>
      </c>
      <c r="P45" s="8">
        <f t="shared" si="5"/>
        <v>-14.574969224935147</v>
      </c>
    </row>
    <row r="46" spans="1:16" x14ac:dyDescent="0.2">
      <c r="A46" s="8">
        <v>22</v>
      </c>
      <c r="B46" s="8">
        <v>44</v>
      </c>
      <c r="D46">
        <v>476.48206278026998</v>
      </c>
      <c r="E46">
        <v>224.90246636770999</v>
      </c>
      <c r="F46">
        <v>127.56443444007</v>
      </c>
      <c r="G46">
        <v>110.4603263928</v>
      </c>
      <c r="I46" s="9">
        <f t="shared" si="1"/>
        <v>114.44213997490999</v>
      </c>
      <c r="J46" s="9">
        <f t="shared" si="2"/>
        <v>348.9176283402</v>
      </c>
      <c r="K46" s="9">
        <f t="shared" si="3"/>
        <v>114.44213997490999</v>
      </c>
      <c r="L46" s="10">
        <f t="shared" si="0"/>
        <v>0.327991854465224</v>
      </c>
      <c r="M46" s="10">
        <f t="shared" si="4"/>
        <v>0.33821583699930557</v>
      </c>
      <c r="P46" s="8">
        <f t="shared" si="5"/>
        <v>-13.808646214532699</v>
      </c>
    </row>
    <row r="47" spans="1:16" x14ac:dyDescent="0.2">
      <c r="A47" s="8">
        <v>22.5</v>
      </c>
      <c r="B47" s="8">
        <v>45</v>
      </c>
      <c r="D47">
        <v>484.66480134302998</v>
      </c>
      <c r="E47">
        <v>228.00111919418001</v>
      </c>
      <c r="F47">
        <v>126.86043894204001</v>
      </c>
      <c r="G47">
        <v>111.02588632526999</v>
      </c>
      <c r="I47" s="9">
        <f t="shared" si="1"/>
        <v>116.97523286891001</v>
      </c>
      <c r="J47" s="9">
        <f t="shared" si="2"/>
        <v>357.80436240098999</v>
      </c>
      <c r="K47" s="9">
        <f t="shared" si="3"/>
        <v>116.97523286891001</v>
      </c>
      <c r="L47" s="10">
        <f t="shared" si="0"/>
        <v>0.32692511651888784</v>
      </c>
      <c r="M47" s="10">
        <f t="shared" si="4"/>
        <v>0.33738146229238036</v>
      </c>
      <c r="P47" s="8">
        <f t="shared" si="5"/>
        <v>-14.021279325365956</v>
      </c>
    </row>
    <row r="48" spans="1:16" x14ac:dyDescent="0.2">
      <c r="A48" s="8">
        <v>23</v>
      </c>
      <c r="B48" s="8">
        <v>46</v>
      </c>
      <c r="D48">
        <v>484.96194739787001</v>
      </c>
      <c r="E48">
        <v>227.01007274762</v>
      </c>
      <c r="F48">
        <v>127.41474395048</v>
      </c>
      <c r="G48">
        <v>111.05796285875</v>
      </c>
      <c r="I48" s="9">
        <f t="shared" si="1"/>
        <v>115.95210988887</v>
      </c>
      <c r="J48" s="9">
        <f t="shared" si="2"/>
        <v>357.54720344739002</v>
      </c>
      <c r="K48" s="9">
        <f t="shared" si="3"/>
        <v>115.95210988887</v>
      </c>
      <c r="L48" s="10">
        <f t="shared" si="0"/>
        <v>0.32429874648965434</v>
      </c>
      <c r="M48" s="10">
        <f t="shared" si="4"/>
        <v>0.33498745550255782</v>
      </c>
      <c r="P48" s="8">
        <f t="shared" si="5"/>
        <v>-14.631371058553572</v>
      </c>
    </row>
    <row r="49" spans="1:25" x14ac:dyDescent="0.2">
      <c r="A49" s="8">
        <v>23.5</v>
      </c>
      <c r="B49" s="8">
        <v>47</v>
      </c>
      <c r="D49">
        <v>491.41634023503002</v>
      </c>
      <c r="E49">
        <v>230.41969781757001</v>
      </c>
      <c r="F49">
        <v>127.29656724817001</v>
      </c>
      <c r="G49">
        <v>110.82104670794</v>
      </c>
      <c r="I49" s="9">
        <f t="shared" si="1"/>
        <v>119.59865110963001</v>
      </c>
      <c r="J49" s="9">
        <f t="shared" si="2"/>
        <v>364.11977298686003</v>
      </c>
      <c r="K49" s="9">
        <f t="shared" si="3"/>
        <v>119.59865110963001</v>
      </c>
      <c r="L49" s="10">
        <f t="shared" si="0"/>
        <v>0.32845964427739538</v>
      </c>
      <c r="M49" s="10">
        <f t="shared" si="4"/>
        <v>0.3393807165297098</v>
      </c>
      <c r="P49" s="8">
        <f t="shared" si="5"/>
        <v>-13.511786834400461</v>
      </c>
    </row>
    <row r="50" spans="1:25" x14ac:dyDescent="0.2">
      <c r="A50" s="8">
        <v>24</v>
      </c>
      <c r="B50" s="8">
        <v>48</v>
      </c>
      <c r="D50">
        <v>494.10800223838999</v>
      </c>
      <c r="E50">
        <v>232.77672076105</v>
      </c>
      <c r="F50">
        <v>127.57062464828</v>
      </c>
      <c r="G50">
        <v>110.75351716375999</v>
      </c>
      <c r="I50" s="9">
        <f t="shared" si="1"/>
        <v>122.02320359729001</v>
      </c>
      <c r="J50" s="9">
        <f t="shared" si="2"/>
        <v>366.53737759011</v>
      </c>
      <c r="K50" s="9">
        <f t="shared" si="3"/>
        <v>122.02320359729001</v>
      </c>
      <c r="L50" s="10">
        <f t="shared" si="0"/>
        <v>0.33290794079327329</v>
      </c>
      <c r="M50" s="10">
        <f t="shared" si="4"/>
        <v>0.34406137628499867</v>
      </c>
      <c r="P50" s="8">
        <f t="shared" si="5"/>
        <v>-12.318961553074768</v>
      </c>
    </row>
    <row r="51" spans="1:25" x14ac:dyDescent="0.2">
      <c r="A51" s="8">
        <v>24.5</v>
      </c>
      <c r="B51" s="8">
        <v>49</v>
      </c>
      <c r="D51">
        <v>493.89927252377998</v>
      </c>
      <c r="E51">
        <v>234.51986569670001</v>
      </c>
      <c r="F51">
        <v>127.72763083849</v>
      </c>
      <c r="G51">
        <v>111.12774338773001</v>
      </c>
      <c r="I51" s="9">
        <f t="shared" si="1"/>
        <v>123.39212230897</v>
      </c>
      <c r="J51" s="9">
        <f t="shared" si="2"/>
        <v>366.17164168528996</v>
      </c>
      <c r="K51" s="9">
        <f t="shared" si="3"/>
        <v>123.39212230897</v>
      </c>
      <c r="L51" s="10">
        <f t="shared" si="0"/>
        <v>0.33697891442675032</v>
      </c>
      <c r="M51" s="10">
        <f t="shared" si="4"/>
        <v>0.34836471315788664</v>
      </c>
      <c r="P51" s="8">
        <f t="shared" si="5"/>
        <v>-11.222293714691151</v>
      </c>
    </row>
    <row r="52" spans="1:25" x14ac:dyDescent="0.2">
      <c r="A52" s="8">
        <v>25</v>
      </c>
      <c r="B52" s="8">
        <v>50</v>
      </c>
      <c r="D52">
        <v>497.29546726357</v>
      </c>
      <c r="E52">
        <v>236.12031337437</v>
      </c>
      <c r="F52">
        <v>127.25154755205</v>
      </c>
      <c r="G52">
        <v>110.81316826110999</v>
      </c>
      <c r="I52" s="9">
        <f t="shared" si="1"/>
        <v>125.30714511326001</v>
      </c>
      <c r="J52" s="9">
        <f t="shared" si="2"/>
        <v>370.04391971152</v>
      </c>
      <c r="K52" s="9">
        <f t="shared" si="3"/>
        <v>125.30714511326001</v>
      </c>
      <c r="L52" s="10">
        <f t="shared" si="0"/>
        <v>0.33862776399879058</v>
      </c>
      <c r="M52" s="10">
        <f t="shared" si="4"/>
        <v>0.35024592596933779</v>
      </c>
      <c r="P52" s="8">
        <f t="shared" si="5"/>
        <v>-10.742883050731402</v>
      </c>
    </row>
    <row r="53" spans="1:25" x14ac:dyDescent="0.2">
      <c r="A53" s="8">
        <v>25.5</v>
      </c>
      <c r="B53" s="8">
        <v>51</v>
      </c>
      <c r="D53">
        <v>499.73195299384003</v>
      </c>
      <c r="E53">
        <v>238.65360940123</v>
      </c>
      <c r="F53">
        <v>127.66291502532</v>
      </c>
      <c r="G53">
        <v>110.97749015194</v>
      </c>
      <c r="I53" s="9">
        <f t="shared" si="1"/>
        <v>127.67611924929</v>
      </c>
      <c r="J53" s="9">
        <f t="shared" si="2"/>
        <v>372.06903796852004</v>
      </c>
      <c r="K53" s="9">
        <f t="shared" si="3"/>
        <v>127.67611924929</v>
      </c>
      <c r="L53" s="10">
        <f t="shared" si="0"/>
        <v>0.34315169019813035</v>
      </c>
      <c r="M53" s="10">
        <f t="shared" si="4"/>
        <v>0.35500221540808852</v>
      </c>
      <c r="P53" s="8">
        <f t="shared" si="5"/>
        <v>-9.5307842047442257</v>
      </c>
      <c r="S53" s="11"/>
      <c r="U53" s="12"/>
    </row>
    <row r="54" spans="1:25" x14ac:dyDescent="0.2">
      <c r="A54" s="8">
        <v>26</v>
      </c>
      <c r="B54" s="8">
        <v>52</v>
      </c>
      <c r="D54">
        <v>501.00111919417998</v>
      </c>
      <c r="E54">
        <v>239.13318410744</v>
      </c>
      <c r="F54">
        <v>127.41361845807999</v>
      </c>
      <c r="G54">
        <v>111.13393359595</v>
      </c>
      <c r="I54" s="9">
        <f t="shared" si="1"/>
        <v>127.99925051149</v>
      </c>
      <c r="J54" s="9">
        <f t="shared" si="2"/>
        <v>373.58750073609997</v>
      </c>
      <c r="K54" s="9">
        <f t="shared" si="3"/>
        <v>127.99925051149</v>
      </c>
      <c r="L54" s="10">
        <f t="shared" si="0"/>
        <v>0.34262187642596725</v>
      </c>
      <c r="M54" s="10">
        <f t="shared" si="4"/>
        <v>0.35470476487533636</v>
      </c>
      <c r="P54" s="8">
        <f t="shared" si="5"/>
        <v>-9.6065868765811704</v>
      </c>
      <c r="S54" s="11"/>
    </row>
    <row r="55" spans="1:25" x14ac:dyDescent="0.2">
      <c r="A55" s="8">
        <v>26.5</v>
      </c>
      <c r="B55" s="8">
        <v>53</v>
      </c>
      <c r="D55">
        <v>504.28147733631999</v>
      </c>
      <c r="E55">
        <v>243.50699496363001</v>
      </c>
      <c r="F55">
        <v>127.73325830051</v>
      </c>
      <c r="G55">
        <v>111.08384918402</v>
      </c>
      <c r="I55" s="9">
        <f t="shared" si="1"/>
        <v>132.42314577961002</v>
      </c>
      <c r="J55" s="9">
        <f t="shared" si="2"/>
        <v>376.54821903581001</v>
      </c>
      <c r="K55" s="9">
        <f t="shared" si="3"/>
        <v>132.42314577961002</v>
      </c>
      <c r="L55" s="10">
        <f t="shared" si="0"/>
        <v>0.35167646289416254</v>
      </c>
      <c r="M55" s="10">
        <f t="shared" si="4"/>
        <v>0.3639917145829426</v>
      </c>
      <c r="P55" s="8">
        <f t="shared" si="5"/>
        <v>-7.2398888090457501</v>
      </c>
      <c r="S55" s="11"/>
    </row>
    <row r="56" spans="1:25" x14ac:dyDescent="0.2">
      <c r="A56" s="8">
        <v>27</v>
      </c>
      <c r="B56" s="8">
        <v>54</v>
      </c>
      <c r="D56">
        <v>503.11751538892003</v>
      </c>
      <c r="E56">
        <v>244.32120872972001</v>
      </c>
      <c r="F56">
        <v>127.86494091165</v>
      </c>
      <c r="G56">
        <v>111.14124929657</v>
      </c>
      <c r="I56" s="9">
        <f t="shared" si="1"/>
        <v>133.17995943315003</v>
      </c>
      <c r="J56" s="9">
        <f t="shared" si="2"/>
        <v>375.25257447727006</v>
      </c>
      <c r="K56" s="9">
        <f t="shared" si="3"/>
        <v>133.17995943315003</v>
      </c>
      <c r="L56" s="10">
        <f t="shared" si="0"/>
        <v>0.35490751694021239</v>
      </c>
      <c r="M56" s="10">
        <f t="shared" si="4"/>
        <v>0.3674551318684034</v>
      </c>
      <c r="P56" s="8">
        <f t="shared" si="5"/>
        <v>-6.3572671458902583</v>
      </c>
      <c r="S56" s="11"/>
    </row>
    <row r="57" spans="1:25" x14ac:dyDescent="0.2">
      <c r="A57" s="8">
        <v>27.5</v>
      </c>
      <c r="B57" s="8">
        <v>55</v>
      </c>
      <c r="D57">
        <v>505.99608282037002</v>
      </c>
      <c r="E57">
        <v>247.97369893677001</v>
      </c>
      <c r="F57">
        <v>127.83173888576</v>
      </c>
      <c r="G57">
        <v>111.17163759144999</v>
      </c>
      <c r="I57" s="9">
        <f t="shared" si="1"/>
        <v>136.80206134532</v>
      </c>
      <c r="J57" s="9">
        <f t="shared" si="2"/>
        <v>378.16434393461003</v>
      </c>
      <c r="K57" s="9">
        <f t="shared" si="3"/>
        <v>136.80206134532</v>
      </c>
      <c r="L57" s="10">
        <f t="shared" si="0"/>
        <v>0.36175293503867467</v>
      </c>
      <c r="M57" s="10">
        <f t="shared" si="4"/>
        <v>0.37453291320627663</v>
      </c>
      <c r="P57" s="8">
        <f t="shared" si="5"/>
        <v>-4.5535563536305137</v>
      </c>
      <c r="S57" s="11"/>
    </row>
    <row r="58" spans="1:25" x14ac:dyDescent="0.2">
      <c r="A58" s="8">
        <v>28</v>
      </c>
      <c r="B58" s="8">
        <v>56</v>
      </c>
      <c r="D58">
        <v>510.06375838925999</v>
      </c>
      <c r="E58">
        <v>251.84955257271</v>
      </c>
      <c r="F58">
        <v>127.53179516038</v>
      </c>
      <c r="G58">
        <v>110.81710748451999</v>
      </c>
      <c r="I58" s="9">
        <f t="shared" si="1"/>
        <v>141.03244508819</v>
      </c>
      <c r="J58" s="9">
        <f t="shared" si="2"/>
        <v>382.53196322887999</v>
      </c>
      <c r="K58" s="9">
        <f t="shared" si="3"/>
        <v>141.03244508819</v>
      </c>
      <c r="L58" s="10">
        <f t="shared" si="0"/>
        <v>0.36868146624340042</v>
      </c>
      <c r="M58" s="10">
        <f t="shared" si="4"/>
        <v>0.38169380765041333</v>
      </c>
      <c r="P58" s="8">
        <f t="shared" si="5"/>
        <v>-2.7286649117308226</v>
      </c>
      <c r="S58" s="11"/>
    </row>
    <row r="59" spans="1:25" x14ac:dyDescent="0.2">
      <c r="A59" s="8">
        <v>28.5</v>
      </c>
      <c r="B59" s="8">
        <v>57</v>
      </c>
      <c r="D59">
        <v>512.83501118567995</v>
      </c>
      <c r="E59">
        <v>253.91946308724999</v>
      </c>
      <c r="F59">
        <v>127.60664040518</v>
      </c>
      <c r="G59">
        <v>110.87450759706999</v>
      </c>
      <c r="I59" s="9">
        <f t="shared" si="1"/>
        <v>143.04495549018</v>
      </c>
      <c r="J59" s="9">
        <f t="shared" si="2"/>
        <v>385.22837078049997</v>
      </c>
      <c r="K59" s="9">
        <f t="shared" si="3"/>
        <v>143.04495549018</v>
      </c>
      <c r="L59" s="10">
        <f t="shared" si="0"/>
        <v>0.37132507971923456</v>
      </c>
      <c r="M59" s="10">
        <f t="shared" si="4"/>
        <v>0.38456978436565842</v>
      </c>
      <c r="P59" s="8">
        <f t="shared" si="5"/>
        <v>-1.9957473501473169</v>
      </c>
      <c r="R59" s="1"/>
      <c r="S59" s="11"/>
    </row>
    <row r="60" spans="1:25" x14ac:dyDescent="0.2">
      <c r="A60" s="8">
        <v>29</v>
      </c>
      <c r="B60" s="8">
        <v>58</v>
      </c>
      <c r="D60">
        <v>509.92953020134001</v>
      </c>
      <c r="E60">
        <v>252.26677852348999</v>
      </c>
      <c r="F60">
        <v>127.70680922904</v>
      </c>
      <c r="G60">
        <v>111.0382667417</v>
      </c>
      <c r="I60" s="9">
        <f t="shared" si="1"/>
        <v>141.22851178178999</v>
      </c>
      <c r="J60" s="9">
        <f t="shared" si="2"/>
        <v>382.22272097230001</v>
      </c>
      <c r="K60" s="9">
        <f t="shared" si="3"/>
        <v>141.22851178178999</v>
      </c>
      <c r="L60" s="10">
        <f t="shared" si="0"/>
        <v>0.36949271728936528</v>
      </c>
      <c r="M60" s="10">
        <f t="shared" si="4"/>
        <v>0.38296978517520008</v>
      </c>
      <c r="P60" s="8">
        <f t="shared" si="5"/>
        <v>-2.4034931775005717</v>
      </c>
      <c r="S60" s="11"/>
    </row>
    <row r="61" spans="1:25" x14ac:dyDescent="0.2">
      <c r="A61" s="8">
        <v>29.5</v>
      </c>
      <c r="B61" s="8">
        <v>59</v>
      </c>
      <c r="C61" s="2"/>
      <c r="D61">
        <v>508.98489932886002</v>
      </c>
      <c r="E61">
        <v>254.07662192394</v>
      </c>
      <c r="F61">
        <v>128.05627462014999</v>
      </c>
      <c r="G61">
        <v>111.22397298817999</v>
      </c>
      <c r="I61" s="9">
        <f t="shared" si="1"/>
        <v>142.85264893575999</v>
      </c>
      <c r="J61" s="9">
        <f t="shared" si="2"/>
        <v>380.92862470871</v>
      </c>
      <c r="K61" s="9">
        <f t="shared" si="3"/>
        <v>142.85264893575999</v>
      </c>
      <c r="L61" s="10">
        <f t="shared" si="0"/>
        <v>0.37501158923143962</v>
      </c>
      <c r="M61" s="10">
        <f t="shared" si="4"/>
        <v>0.38872102035668538</v>
      </c>
      <c r="P61" s="8">
        <f t="shared" si="5"/>
        <v>-0.93784109382288527</v>
      </c>
      <c r="S61" s="11"/>
    </row>
    <row r="62" spans="1:25" x14ac:dyDescent="0.2">
      <c r="A62" s="8">
        <v>30</v>
      </c>
      <c r="B62" s="8">
        <v>60</v>
      </c>
      <c r="D62">
        <v>511.25782997763002</v>
      </c>
      <c r="E62">
        <v>253.73713646531999</v>
      </c>
      <c r="F62">
        <v>128.05177265053999</v>
      </c>
      <c r="G62">
        <v>111.05458638154001</v>
      </c>
      <c r="I62" s="9">
        <f t="shared" si="1"/>
        <v>142.68255008377997</v>
      </c>
      <c r="J62" s="9">
        <f t="shared" si="2"/>
        <v>383.20605732709004</v>
      </c>
      <c r="K62" s="9">
        <f t="shared" si="3"/>
        <v>142.68255008377997</v>
      </c>
      <c r="L62" s="10">
        <f t="shared" si="0"/>
        <v>0.37233897365560586</v>
      </c>
      <c r="M62" s="10">
        <f t="shared" si="4"/>
        <v>0.38628076802026257</v>
      </c>
      <c r="P62" s="8">
        <f t="shared" si="5"/>
        <v>-1.5597181008858734</v>
      </c>
      <c r="U62" s="1" t="s">
        <v>9</v>
      </c>
      <c r="X62" s="1" t="s">
        <v>10</v>
      </c>
    </row>
    <row r="63" spans="1:25" x14ac:dyDescent="0.2">
      <c r="A63" s="8">
        <v>30.5</v>
      </c>
      <c r="B63" s="8">
        <v>61</v>
      </c>
      <c r="D63">
        <v>512.21588366890001</v>
      </c>
      <c r="E63">
        <v>256.30145413870002</v>
      </c>
      <c r="F63">
        <v>127.81260551491</v>
      </c>
      <c r="G63">
        <v>111.15250422059999</v>
      </c>
      <c r="I63" s="9">
        <f t="shared" si="1"/>
        <v>145.14894991810002</v>
      </c>
      <c r="J63" s="9">
        <f t="shared" si="2"/>
        <v>384.40327815399002</v>
      </c>
      <c r="K63" s="9">
        <f t="shared" si="3"/>
        <v>145.14894991810002</v>
      </c>
      <c r="L63" s="10">
        <f t="shared" si="0"/>
        <v>0.37759550494768174</v>
      </c>
      <c r="M63" s="10">
        <f t="shared" si="4"/>
        <v>0.39176966255174939</v>
      </c>
      <c r="P63" s="8">
        <f t="shared" si="5"/>
        <v>-0.16092124189825374</v>
      </c>
    </row>
    <row r="64" spans="1:25" x14ac:dyDescent="0.2">
      <c r="A64" s="8">
        <v>31</v>
      </c>
      <c r="B64" s="8">
        <v>62</v>
      </c>
      <c r="D64">
        <v>510.66051454139</v>
      </c>
      <c r="E64">
        <v>256.81096196867998</v>
      </c>
      <c r="F64">
        <v>127.92740574001</v>
      </c>
      <c r="G64">
        <v>111.24029262803001</v>
      </c>
      <c r="I64" s="9">
        <f t="shared" si="1"/>
        <v>145.57066934064997</v>
      </c>
      <c r="J64" s="9">
        <f t="shared" si="2"/>
        <v>382.73310880138001</v>
      </c>
      <c r="K64" s="9">
        <f t="shared" si="3"/>
        <v>145.57066934064997</v>
      </c>
      <c r="L64" s="10">
        <f t="shared" si="0"/>
        <v>0.38034511776767688</v>
      </c>
      <c r="M64" s="10">
        <f t="shared" si="4"/>
        <v>0.39475163861115548</v>
      </c>
      <c r="P64" s="8">
        <f t="shared" si="5"/>
        <v>0.59900932728024259</v>
      </c>
      <c r="U64" s="8">
        <v>30.5</v>
      </c>
      <c r="V64" s="10">
        <f>L62</f>
        <v>0.37233897365560586</v>
      </c>
      <c r="X64" s="8">
        <v>-13</v>
      </c>
      <c r="Y64" s="10"/>
    </row>
    <row r="65" spans="1:25" x14ac:dyDescent="0.2">
      <c r="A65" s="8">
        <v>31.5</v>
      </c>
      <c r="B65" s="8">
        <v>63</v>
      </c>
      <c r="D65">
        <v>511.63310961969</v>
      </c>
      <c r="E65">
        <v>257.60626398210002</v>
      </c>
      <c r="F65">
        <v>128.10467079347001</v>
      </c>
      <c r="G65">
        <v>111.12380416432001</v>
      </c>
      <c r="I65" s="9">
        <f t="shared" si="1"/>
        <v>146.48245981778001</v>
      </c>
      <c r="J65" s="9">
        <f t="shared" si="2"/>
        <v>383.52843882622</v>
      </c>
      <c r="K65" s="9">
        <f t="shared" si="3"/>
        <v>146.48245981778001</v>
      </c>
      <c r="L65" s="10">
        <f t="shared" si="0"/>
        <v>0.38193376289405351</v>
      </c>
      <c r="M65" s="10">
        <f t="shared" si="4"/>
        <v>0.39657264697694306</v>
      </c>
      <c r="P65" s="8">
        <f t="shared" si="5"/>
        <v>1.06307741378506</v>
      </c>
      <c r="U65" s="8">
        <v>31</v>
      </c>
      <c r="V65" s="10">
        <f t="shared" ref="V65:V83" si="6">L63</f>
        <v>0.37759550494768174</v>
      </c>
      <c r="X65" s="8">
        <v>-13</v>
      </c>
      <c r="Y65" s="10"/>
    </row>
    <row r="66" spans="1:25" x14ac:dyDescent="0.2">
      <c r="A66" s="8">
        <v>32</v>
      </c>
      <c r="B66" s="8">
        <v>64</v>
      </c>
      <c r="D66">
        <v>510.50447427293</v>
      </c>
      <c r="E66">
        <v>258.69966442953</v>
      </c>
      <c r="F66">
        <v>127.73832301632</v>
      </c>
      <c r="G66">
        <v>110.89645469893</v>
      </c>
      <c r="I66" s="9">
        <f t="shared" si="1"/>
        <v>147.8032097306</v>
      </c>
      <c r="J66" s="9">
        <f t="shared" si="2"/>
        <v>382.76615125660999</v>
      </c>
      <c r="K66" s="9">
        <f t="shared" si="3"/>
        <v>147.8032097306</v>
      </c>
      <c r="L66" s="10">
        <f t="shared" ref="L66:L129" si="7">K66/J66</f>
        <v>0.3861449327359967</v>
      </c>
      <c r="M66" s="10">
        <f t="shared" si="4"/>
        <v>0.40101618005829714</v>
      </c>
      <c r="P66" s="8">
        <f t="shared" si="5"/>
        <v>2.1954730321286338</v>
      </c>
      <c r="U66" s="8">
        <v>31.5</v>
      </c>
      <c r="V66" s="10">
        <f t="shared" si="6"/>
        <v>0.38034511776767688</v>
      </c>
      <c r="X66" s="8">
        <v>-13</v>
      </c>
      <c r="Y66" s="10"/>
    </row>
    <row r="67" spans="1:25" x14ac:dyDescent="0.2">
      <c r="A67" s="8">
        <v>32.5</v>
      </c>
      <c r="B67" s="8">
        <v>65</v>
      </c>
      <c r="D67">
        <v>508.70455824422999</v>
      </c>
      <c r="E67">
        <v>258.41699493528</v>
      </c>
      <c r="F67">
        <v>127.85143500281001</v>
      </c>
      <c r="G67">
        <v>110.94372537984999</v>
      </c>
      <c r="I67" s="9">
        <f t="shared" ref="I67:I130" si="8">E67-G67</f>
        <v>147.47326955543002</v>
      </c>
      <c r="J67" s="9">
        <f t="shared" ref="J67:J130" si="9">D67-F67</f>
        <v>380.85312324142001</v>
      </c>
      <c r="K67" s="9">
        <f t="shared" ref="K67:K130" si="10">I67*1</f>
        <v>147.47326955543002</v>
      </c>
      <c r="L67" s="10">
        <f t="shared" si="7"/>
        <v>0.38721822286842006</v>
      </c>
      <c r="M67" s="10">
        <f t="shared" ref="M67:M130" si="11">L67+ABS($N$2)*A67</f>
        <v>0.40232183343013145</v>
      </c>
      <c r="P67" s="8">
        <f t="shared" ref="P67:P130" si="12">(M67-$O$2)/$O$2*100</f>
        <v>2.5282073969395569</v>
      </c>
      <c r="U67" s="8">
        <v>32</v>
      </c>
      <c r="V67" s="10">
        <f t="shared" si="6"/>
        <v>0.38193376289405351</v>
      </c>
      <c r="X67" s="8">
        <v>-13</v>
      </c>
      <c r="Y67" s="10"/>
    </row>
    <row r="68" spans="1:25" x14ac:dyDescent="0.2">
      <c r="A68" s="8">
        <v>33</v>
      </c>
      <c r="B68" s="8">
        <v>66</v>
      </c>
      <c r="D68">
        <v>508.79459763646997</v>
      </c>
      <c r="E68">
        <v>259.91896454699003</v>
      </c>
      <c r="F68">
        <v>127.89589195273</v>
      </c>
      <c r="G68">
        <v>110.79572312886999</v>
      </c>
      <c r="I68" s="9">
        <f t="shared" si="8"/>
        <v>149.12324141812002</v>
      </c>
      <c r="J68" s="9">
        <f t="shared" si="9"/>
        <v>380.89870568373999</v>
      </c>
      <c r="K68" s="9">
        <f t="shared" si="10"/>
        <v>149.12324141812002</v>
      </c>
      <c r="L68" s="10">
        <f t="shared" si="7"/>
        <v>0.39150367064239111</v>
      </c>
      <c r="M68" s="10">
        <f t="shared" si="11"/>
        <v>0.40683964444351345</v>
      </c>
      <c r="P68" s="8">
        <f t="shared" si="12"/>
        <v>3.6795320978910624</v>
      </c>
      <c r="U68" s="8">
        <v>32.5</v>
      </c>
      <c r="V68" s="10">
        <f t="shared" si="6"/>
        <v>0.3861449327359967</v>
      </c>
      <c r="X68" s="8">
        <v>-13</v>
      </c>
      <c r="Y68" s="10"/>
    </row>
    <row r="69" spans="1:25" x14ac:dyDescent="0.2">
      <c r="A69" s="8">
        <v>33.5</v>
      </c>
      <c r="B69" s="8">
        <v>67</v>
      </c>
      <c r="D69">
        <v>499.05064715813</v>
      </c>
      <c r="E69">
        <v>253.90489589194999</v>
      </c>
      <c r="F69">
        <v>127.80416432189</v>
      </c>
      <c r="G69">
        <v>111.33595948227</v>
      </c>
      <c r="I69" s="9">
        <f t="shared" si="8"/>
        <v>142.56893640967999</v>
      </c>
      <c r="J69" s="9">
        <f t="shared" si="9"/>
        <v>371.24648283624003</v>
      </c>
      <c r="K69" s="9">
        <f t="shared" si="10"/>
        <v>142.56893640967999</v>
      </c>
      <c r="L69" s="10">
        <f t="shared" si="7"/>
        <v>0.38402770935494185</v>
      </c>
      <c r="M69" s="10">
        <f t="shared" si="11"/>
        <v>0.39959604639547514</v>
      </c>
      <c r="P69" s="8">
        <f t="shared" si="12"/>
        <v>1.833564364453812</v>
      </c>
      <c r="U69" s="8">
        <v>33</v>
      </c>
      <c r="V69" s="10">
        <f t="shared" si="6"/>
        <v>0.38721822286842006</v>
      </c>
      <c r="X69" s="8">
        <v>-13</v>
      </c>
      <c r="Y69" s="10"/>
    </row>
    <row r="70" spans="1:25" x14ac:dyDescent="0.2">
      <c r="A70" s="8">
        <v>34</v>
      </c>
      <c r="B70" s="8">
        <v>68</v>
      </c>
      <c r="D70">
        <v>507.53142536476003</v>
      </c>
      <c r="E70">
        <v>256.83221099887999</v>
      </c>
      <c r="F70">
        <v>127.93978615643999</v>
      </c>
      <c r="G70">
        <v>111.20427687113001</v>
      </c>
      <c r="I70" s="9">
        <f t="shared" si="8"/>
        <v>145.62793412775</v>
      </c>
      <c r="J70" s="9">
        <f t="shared" si="9"/>
        <v>379.59163920832003</v>
      </c>
      <c r="K70" s="9">
        <f t="shared" si="10"/>
        <v>145.62793412775</v>
      </c>
      <c r="L70" s="10">
        <f t="shared" si="7"/>
        <v>0.38364368201436949</v>
      </c>
      <c r="M70" s="10">
        <f t="shared" si="11"/>
        <v>0.39944438229431373</v>
      </c>
      <c r="P70" s="8">
        <f t="shared" si="12"/>
        <v>1.7949140921432793</v>
      </c>
      <c r="U70" s="8">
        <v>33.5</v>
      </c>
      <c r="V70" s="10">
        <f t="shared" si="6"/>
        <v>0.39150367064239111</v>
      </c>
      <c r="X70" s="8">
        <v>-13</v>
      </c>
      <c r="Y70" s="10"/>
    </row>
    <row r="71" spans="1:25" x14ac:dyDescent="0.2">
      <c r="A71" s="8">
        <v>34.5</v>
      </c>
      <c r="B71" s="8">
        <v>69</v>
      </c>
      <c r="D71">
        <v>506.19360269359998</v>
      </c>
      <c r="E71">
        <v>256.97923681256998</v>
      </c>
      <c r="F71">
        <v>127.89701744513</v>
      </c>
      <c r="G71">
        <v>111.09285312324</v>
      </c>
      <c r="I71" s="9">
        <f t="shared" si="8"/>
        <v>145.88638368932999</v>
      </c>
      <c r="J71" s="9">
        <f t="shared" si="9"/>
        <v>378.29658524846997</v>
      </c>
      <c r="K71" s="9">
        <f t="shared" si="10"/>
        <v>145.88638368932999</v>
      </c>
      <c r="L71" s="10">
        <f t="shared" si="7"/>
        <v>0.38564023408646414</v>
      </c>
      <c r="M71" s="10">
        <f t="shared" si="11"/>
        <v>0.40167329760581932</v>
      </c>
      <c r="P71" s="8">
        <f t="shared" si="12"/>
        <v>2.3629337031593609</v>
      </c>
      <c r="U71" s="8">
        <v>34</v>
      </c>
      <c r="V71" s="10">
        <f t="shared" si="6"/>
        <v>0.38402770935494185</v>
      </c>
      <c r="X71" s="8">
        <v>-13</v>
      </c>
      <c r="Y71" s="10"/>
    </row>
    <row r="72" spans="1:25" x14ac:dyDescent="0.2">
      <c r="A72" s="8">
        <v>35</v>
      </c>
      <c r="B72" s="8">
        <v>70</v>
      </c>
      <c r="D72">
        <v>506.06116722783003</v>
      </c>
      <c r="E72">
        <v>255.66498316497999</v>
      </c>
      <c r="F72">
        <v>127.64096792347</v>
      </c>
      <c r="G72">
        <v>111.13899831176001</v>
      </c>
      <c r="I72" s="9">
        <f t="shared" si="8"/>
        <v>144.52598485322</v>
      </c>
      <c r="J72" s="9">
        <f t="shared" si="9"/>
        <v>378.42019930436004</v>
      </c>
      <c r="K72" s="9">
        <f t="shared" si="10"/>
        <v>144.52598485322</v>
      </c>
      <c r="L72" s="10">
        <f t="shared" si="7"/>
        <v>0.38191931910320415</v>
      </c>
      <c r="M72" s="10">
        <f t="shared" si="11"/>
        <v>0.39818474586197028</v>
      </c>
      <c r="P72" s="8">
        <f t="shared" si="12"/>
        <v>1.4739067426814008</v>
      </c>
      <c r="U72" s="8">
        <v>34.5</v>
      </c>
      <c r="V72" s="10">
        <f t="shared" si="6"/>
        <v>0.38364368201436949</v>
      </c>
      <c r="X72" s="8">
        <v>-13</v>
      </c>
      <c r="Y72" s="10"/>
    </row>
    <row r="73" spans="1:25" x14ac:dyDescent="0.2">
      <c r="A73" s="8">
        <v>35.5</v>
      </c>
      <c r="B73" s="8">
        <v>71</v>
      </c>
      <c r="D73">
        <v>506.81639528354998</v>
      </c>
      <c r="E73">
        <v>254.95058955643</v>
      </c>
      <c r="F73">
        <v>127.79403489025999</v>
      </c>
      <c r="G73">
        <v>110.94935284187</v>
      </c>
      <c r="I73" s="9">
        <f t="shared" si="8"/>
        <v>144.00123671456001</v>
      </c>
      <c r="J73" s="9">
        <f t="shared" si="9"/>
        <v>379.02236039329</v>
      </c>
      <c r="K73" s="9">
        <f t="shared" si="10"/>
        <v>144.00123671456001</v>
      </c>
      <c r="L73" s="10">
        <f t="shared" si="7"/>
        <v>0.37992807750217716</v>
      </c>
      <c r="M73" s="10">
        <f t="shared" si="11"/>
        <v>0.39642586750035425</v>
      </c>
      <c r="P73" s="8">
        <f t="shared" si="12"/>
        <v>1.025671945409143</v>
      </c>
      <c r="U73" s="8">
        <v>35</v>
      </c>
      <c r="V73" s="10">
        <f t="shared" si="6"/>
        <v>0.38564023408646414</v>
      </c>
      <c r="X73" s="8">
        <v>-13</v>
      </c>
      <c r="Y73" s="10"/>
    </row>
    <row r="74" spans="1:25" x14ac:dyDescent="0.2">
      <c r="A74" s="8">
        <v>36</v>
      </c>
      <c r="B74" s="8">
        <v>72</v>
      </c>
      <c r="D74">
        <v>491.72487366647999</v>
      </c>
      <c r="E74">
        <v>248.66704098821</v>
      </c>
      <c r="F74">
        <v>127.94879009567001</v>
      </c>
      <c r="G74">
        <v>111.25942599888</v>
      </c>
      <c r="I74" s="9">
        <f t="shared" si="8"/>
        <v>137.40761498933</v>
      </c>
      <c r="J74" s="9">
        <f t="shared" si="9"/>
        <v>363.77608357080999</v>
      </c>
      <c r="K74" s="9">
        <f t="shared" si="10"/>
        <v>137.40761498933</v>
      </c>
      <c r="L74" s="10">
        <f t="shared" si="7"/>
        <v>0.37772580770165787</v>
      </c>
      <c r="M74" s="10">
        <f t="shared" si="11"/>
        <v>0.3944559609392459</v>
      </c>
      <c r="P74" s="8">
        <f t="shared" si="12"/>
        <v>0.52365845355378826</v>
      </c>
      <c r="U74" s="8">
        <v>35.5</v>
      </c>
      <c r="V74" s="10">
        <f t="shared" si="6"/>
        <v>0.38191931910320415</v>
      </c>
      <c r="X74" s="8">
        <v>-13</v>
      </c>
      <c r="Y74" s="10"/>
    </row>
    <row r="75" spans="1:25" x14ac:dyDescent="0.2">
      <c r="A75" s="8">
        <v>36.5</v>
      </c>
      <c r="B75" s="8">
        <v>73</v>
      </c>
      <c r="D75">
        <v>503.57295173962001</v>
      </c>
      <c r="E75">
        <v>250.68518518518999</v>
      </c>
      <c r="F75">
        <v>127.98818232977</v>
      </c>
      <c r="G75">
        <v>111.20652785594</v>
      </c>
      <c r="I75" s="9">
        <f t="shared" si="8"/>
        <v>139.47865732924998</v>
      </c>
      <c r="J75" s="9">
        <f t="shared" si="9"/>
        <v>375.58476940985003</v>
      </c>
      <c r="K75" s="9">
        <f t="shared" si="10"/>
        <v>139.47865732924998</v>
      </c>
      <c r="L75" s="10">
        <f t="shared" si="7"/>
        <v>0.37136398674634874</v>
      </c>
      <c r="M75" s="10">
        <f t="shared" si="11"/>
        <v>0.38832650322334772</v>
      </c>
      <c r="P75" s="8">
        <f t="shared" si="12"/>
        <v>-1.0383803415282025</v>
      </c>
      <c r="U75" s="8">
        <v>36</v>
      </c>
      <c r="V75" s="10">
        <f t="shared" si="6"/>
        <v>0.37992807750217716</v>
      </c>
      <c r="X75" s="8">
        <v>-13</v>
      </c>
      <c r="Y75" s="10"/>
    </row>
    <row r="76" spans="1:25" x14ac:dyDescent="0.2">
      <c r="A76" s="8">
        <v>37</v>
      </c>
      <c r="B76" s="8">
        <v>74</v>
      </c>
      <c r="D76">
        <v>507.12233445567</v>
      </c>
      <c r="E76">
        <v>251.08361391694999</v>
      </c>
      <c r="F76">
        <v>127.90770962296</v>
      </c>
      <c r="G76">
        <v>111.00393922341</v>
      </c>
      <c r="I76" s="9">
        <f t="shared" si="8"/>
        <v>140.07967469353997</v>
      </c>
      <c r="J76" s="9">
        <f t="shared" si="9"/>
        <v>379.21462483271</v>
      </c>
      <c r="K76" s="9">
        <f t="shared" si="10"/>
        <v>140.07967469353997</v>
      </c>
      <c r="L76" s="10">
        <f t="shared" si="7"/>
        <v>0.3693941781790086</v>
      </c>
      <c r="M76" s="10">
        <f t="shared" si="11"/>
        <v>0.38658905789541853</v>
      </c>
      <c r="P76" s="8">
        <f t="shared" si="12"/>
        <v>-1.481153117253543</v>
      </c>
      <c r="U76" s="8">
        <v>36.5</v>
      </c>
      <c r="V76" s="10">
        <f t="shared" si="6"/>
        <v>0.37772580770165787</v>
      </c>
      <c r="X76" s="8">
        <v>-13</v>
      </c>
      <c r="Y76" s="10"/>
    </row>
    <row r="77" spans="1:25" x14ac:dyDescent="0.2">
      <c r="A77" s="8">
        <v>37.5</v>
      </c>
      <c r="B77" s="8">
        <v>75</v>
      </c>
      <c r="D77">
        <v>507.5</v>
      </c>
      <c r="E77">
        <v>249.81537598204</v>
      </c>
      <c r="F77">
        <v>127.96454698930999</v>
      </c>
      <c r="G77">
        <v>111.25267304446</v>
      </c>
      <c r="I77" s="9">
        <f t="shared" si="8"/>
        <v>138.56270293758001</v>
      </c>
      <c r="J77" s="9">
        <f t="shared" si="9"/>
        <v>379.53545301068999</v>
      </c>
      <c r="K77" s="9">
        <f t="shared" si="10"/>
        <v>138.56270293758001</v>
      </c>
      <c r="L77" s="10">
        <f t="shared" si="7"/>
        <v>0.36508500546766381</v>
      </c>
      <c r="M77" s="10">
        <f t="shared" si="11"/>
        <v>0.38251224842348469</v>
      </c>
      <c r="P77" s="8">
        <f t="shared" si="12"/>
        <v>-2.5200924248534862</v>
      </c>
      <c r="U77" s="8">
        <v>37</v>
      </c>
      <c r="V77" s="10">
        <f t="shared" si="6"/>
        <v>0.37136398674634874</v>
      </c>
      <c r="X77" s="8">
        <v>-13</v>
      </c>
      <c r="Y77" s="10"/>
    </row>
    <row r="78" spans="1:25" x14ac:dyDescent="0.2">
      <c r="A78" s="8">
        <v>38</v>
      </c>
      <c r="B78" s="8">
        <v>76</v>
      </c>
      <c r="D78">
        <v>505.06004489338</v>
      </c>
      <c r="E78">
        <v>250.62514029181</v>
      </c>
      <c r="F78">
        <v>127.79516038267001</v>
      </c>
      <c r="G78">
        <v>110.94991558807</v>
      </c>
      <c r="I78" s="9">
        <f t="shared" si="8"/>
        <v>139.67522470374001</v>
      </c>
      <c r="J78" s="9">
        <f t="shared" si="9"/>
        <v>377.26488451070998</v>
      </c>
      <c r="K78" s="9">
        <f t="shared" si="10"/>
        <v>139.67522470374001</v>
      </c>
      <c r="L78" s="10">
        <f t="shared" si="7"/>
        <v>0.37023118354863704</v>
      </c>
      <c r="M78" s="10">
        <f t="shared" si="11"/>
        <v>0.38789078974386887</v>
      </c>
      <c r="P78" s="8">
        <f t="shared" si="12"/>
        <v>-1.1494181184461876</v>
      </c>
      <c r="U78" s="8">
        <v>37.5</v>
      </c>
      <c r="V78" s="10">
        <f t="shared" si="6"/>
        <v>0.3693941781790086</v>
      </c>
      <c r="X78" s="8">
        <v>-13</v>
      </c>
      <c r="Y78" s="10"/>
    </row>
    <row r="79" spans="1:25" x14ac:dyDescent="0.2">
      <c r="A79" s="8">
        <v>38.5</v>
      </c>
      <c r="B79" s="8">
        <v>77</v>
      </c>
      <c r="D79">
        <v>505.32603815937</v>
      </c>
      <c r="E79">
        <v>247.93209876543</v>
      </c>
      <c r="F79">
        <v>128.28868880134999</v>
      </c>
      <c r="G79">
        <v>111.20090039391999</v>
      </c>
      <c r="I79" s="9">
        <f t="shared" si="8"/>
        <v>136.73119837151</v>
      </c>
      <c r="J79" s="9">
        <f t="shared" si="9"/>
        <v>377.03734935802004</v>
      </c>
      <c r="K79" s="9">
        <f t="shared" si="10"/>
        <v>136.73119837151</v>
      </c>
      <c r="L79" s="10">
        <f t="shared" si="7"/>
        <v>0.36264629645928093</v>
      </c>
      <c r="M79" s="10">
        <f t="shared" si="11"/>
        <v>0.3805382658939237</v>
      </c>
      <c r="P79" s="8">
        <f t="shared" si="12"/>
        <v>-3.0231446416900161</v>
      </c>
      <c r="U79" s="8">
        <v>38</v>
      </c>
      <c r="V79" s="10">
        <f t="shared" si="6"/>
        <v>0.36508500546766381</v>
      </c>
      <c r="X79" s="8">
        <v>-13</v>
      </c>
      <c r="Y79" s="10"/>
    </row>
    <row r="80" spans="1:25" x14ac:dyDescent="0.2">
      <c r="A80" s="8">
        <v>39</v>
      </c>
      <c r="B80" s="8">
        <v>78</v>
      </c>
      <c r="D80">
        <v>507.89842873176002</v>
      </c>
      <c r="E80">
        <v>247.82323232323</v>
      </c>
      <c r="F80">
        <v>127.97411367473001</v>
      </c>
      <c r="G80">
        <v>111.20315137873</v>
      </c>
      <c r="I80" s="9">
        <f t="shared" si="8"/>
        <v>136.62008094449999</v>
      </c>
      <c r="J80" s="9">
        <f t="shared" si="9"/>
        <v>379.92431505703001</v>
      </c>
      <c r="K80" s="9">
        <f t="shared" si="10"/>
        <v>136.62008094449999</v>
      </c>
      <c r="L80" s="10">
        <f t="shared" si="7"/>
        <v>0.35959815028946518</v>
      </c>
      <c r="M80" s="10">
        <f t="shared" si="11"/>
        <v>0.37772248296351885</v>
      </c>
      <c r="P80" s="8">
        <f t="shared" si="12"/>
        <v>-3.7407223426363578</v>
      </c>
      <c r="U80" s="8">
        <v>38.5</v>
      </c>
      <c r="V80" s="10">
        <f t="shared" si="6"/>
        <v>0.37023118354863704</v>
      </c>
      <c r="X80" s="8">
        <v>-13</v>
      </c>
      <c r="Y80" s="10"/>
    </row>
    <row r="81" spans="1:25" x14ac:dyDescent="0.2">
      <c r="A81" s="8">
        <v>39.5</v>
      </c>
      <c r="B81" s="8">
        <v>79</v>
      </c>
      <c r="D81">
        <v>501.1492704826</v>
      </c>
      <c r="E81">
        <v>244.28787878788</v>
      </c>
      <c r="F81">
        <v>127.94935284187</v>
      </c>
      <c r="G81">
        <v>111.14743950478</v>
      </c>
      <c r="I81" s="9">
        <f t="shared" si="8"/>
        <v>133.14043928310002</v>
      </c>
      <c r="J81" s="9">
        <f t="shared" si="9"/>
        <v>373.19991764073001</v>
      </c>
      <c r="K81" s="9">
        <f t="shared" si="10"/>
        <v>133.14043928310002</v>
      </c>
      <c r="L81" s="10">
        <f t="shared" si="7"/>
        <v>0.35675366737693365</v>
      </c>
      <c r="M81" s="10">
        <f t="shared" si="11"/>
        <v>0.37511036329039826</v>
      </c>
      <c r="P81" s="8">
        <f t="shared" si="12"/>
        <v>-4.4063982402330097</v>
      </c>
      <c r="U81" s="8">
        <v>39</v>
      </c>
      <c r="V81" s="10">
        <f t="shared" si="6"/>
        <v>0.36264629645928093</v>
      </c>
      <c r="X81" s="8">
        <v>-13</v>
      </c>
      <c r="Y81" s="10"/>
    </row>
    <row r="82" spans="1:25" x14ac:dyDescent="0.2">
      <c r="A82" s="8">
        <v>40</v>
      </c>
      <c r="B82" s="13">
        <v>80</v>
      </c>
      <c r="C82" s="13" t="s">
        <v>11</v>
      </c>
      <c r="D82">
        <v>499.43297812675002</v>
      </c>
      <c r="E82">
        <v>245.23107122827</v>
      </c>
      <c r="F82">
        <v>127.50590883512</v>
      </c>
      <c r="G82">
        <v>110.85875070343</v>
      </c>
      <c r="H82" s="13"/>
      <c r="I82" s="14">
        <f t="shared" si="8"/>
        <v>134.37232052484001</v>
      </c>
      <c r="J82" s="14">
        <f t="shared" si="9"/>
        <v>371.92706929163</v>
      </c>
      <c r="K82" s="9">
        <f t="shared" si="10"/>
        <v>134.37232052484001</v>
      </c>
      <c r="L82" s="15">
        <f t="shared" si="7"/>
        <v>0.36128674576111036</v>
      </c>
      <c r="M82" s="15">
        <f t="shared" si="11"/>
        <v>0.37987580491398593</v>
      </c>
      <c r="N82" s="13"/>
      <c r="O82" s="13"/>
      <c r="P82" s="13">
        <f t="shared" si="12"/>
        <v>-3.1919670398292292</v>
      </c>
      <c r="U82" s="8">
        <v>39.5</v>
      </c>
      <c r="V82" s="10">
        <f t="shared" si="6"/>
        <v>0.35959815028946518</v>
      </c>
      <c r="X82" s="8">
        <v>-13</v>
      </c>
      <c r="Y82" s="10"/>
    </row>
    <row r="83" spans="1:25" x14ac:dyDescent="0.2">
      <c r="A83" s="8">
        <v>40.5</v>
      </c>
      <c r="B83" s="8">
        <v>81</v>
      </c>
      <c r="D83">
        <v>500.34380257992001</v>
      </c>
      <c r="E83">
        <v>249.71845204710999</v>
      </c>
      <c r="F83">
        <v>127.36015756894</v>
      </c>
      <c r="G83">
        <v>110.89983117614</v>
      </c>
      <c r="I83" s="9">
        <f t="shared" si="8"/>
        <v>138.81862087096999</v>
      </c>
      <c r="J83" s="9">
        <f t="shared" si="9"/>
        <v>372.98364501098001</v>
      </c>
      <c r="K83" s="9">
        <f t="shared" si="10"/>
        <v>138.81862087096999</v>
      </c>
      <c r="L83" s="10">
        <f t="shared" si="7"/>
        <v>0.37218420359124166</v>
      </c>
      <c r="M83" s="10">
        <f t="shared" si="11"/>
        <v>0.39100562598352817</v>
      </c>
      <c r="P83" s="8">
        <f t="shared" si="12"/>
        <v>-0.35562929206186666</v>
      </c>
      <c r="U83" s="8">
        <v>40</v>
      </c>
      <c r="V83" s="10">
        <f t="shared" si="6"/>
        <v>0.35675366737693365</v>
      </c>
      <c r="X83" s="8">
        <v>-13</v>
      </c>
      <c r="Y83" s="10"/>
    </row>
    <row r="84" spans="1:25" x14ac:dyDescent="0.2">
      <c r="A84" s="8">
        <v>41</v>
      </c>
      <c r="B84" s="8">
        <v>82</v>
      </c>
      <c r="D84">
        <v>497.66068424004999</v>
      </c>
      <c r="E84">
        <v>246.46045989904999</v>
      </c>
      <c r="F84">
        <v>127.3837929094</v>
      </c>
      <c r="G84">
        <v>110.83173888576</v>
      </c>
      <c r="I84" s="9">
        <f t="shared" si="8"/>
        <v>135.62872101328998</v>
      </c>
      <c r="J84" s="9">
        <f t="shared" si="9"/>
        <v>370.27689133064996</v>
      </c>
      <c r="K84" s="9">
        <f t="shared" si="10"/>
        <v>135.62872101328998</v>
      </c>
      <c r="L84" s="10">
        <f t="shared" si="7"/>
        <v>0.36628999591599198</v>
      </c>
      <c r="M84" s="10">
        <f t="shared" si="11"/>
        <v>0.38534378154768945</v>
      </c>
      <c r="P84" s="8">
        <f t="shared" si="12"/>
        <v>-1.7985009245001109</v>
      </c>
      <c r="U84" s="8">
        <v>150.5</v>
      </c>
      <c r="V84" s="10">
        <f>L302</f>
        <v>0.30429204425421152</v>
      </c>
      <c r="X84" s="8">
        <v>-13</v>
      </c>
      <c r="Y84" s="10"/>
    </row>
    <row r="85" spans="1:25" x14ac:dyDescent="0.2">
      <c r="A85" s="8">
        <v>41.5</v>
      </c>
      <c r="B85" s="8">
        <v>83</v>
      </c>
      <c r="D85">
        <v>492.37240605721001</v>
      </c>
      <c r="E85">
        <v>246.45036455412</v>
      </c>
      <c r="F85">
        <v>127.22397298817999</v>
      </c>
      <c r="G85">
        <v>110.97974113674999</v>
      </c>
      <c r="I85" s="9">
        <f t="shared" si="8"/>
        <v>135.47062341737001</v>
      </c>
      <c r="J85" s="9">
        <f t="shared" si="9"/>
        <v>365.14843306903003</v>
      </c>
      <c r="K85" s="9">
        <f t="shared" si="10"/>
        <v>135.47062341737001</v>
      </c>
      <c r="L85" s="10">
        <f t="shared" si="7"/>
        <v>0.37100151924179214</v>
      </c>
      <c r="M85" s="10">
        <f t="shared" si="11"/>
        <v>0.39028766811290055</v>
      </c>
      <c r="P85" s="8">
        <f t="shared" si="12"/>
        <v>-0.5385945883630352</v>
      </c>
      <c r="U85" s="8">
        <v>151</v>
      </c>
      <c r="V85" s="10">
        <f t="shared" ref="V85:V103" si="13">L303</f>
        <v>0.30408398759055905</v>
      </c>
      <c r="X85" s="8">
        <v>-13</v>
      </c>
      <c r="Y85" s="10"/>
    </row>
    <row r="86" spans="1:25" x14ac:dyDescent="0.2">
      <c r="A86" s="8">
        <v>42</v>
      </c>
      <c r="B86" s="8">
        <v>84</v>
      </c>
      <c r="D86">
        <v>499.87324733595</v>
      </c>
      <c r="E86">
        <v>248.48401570387</v>
      </c>
      <c r="F86">
        <v>127.38210467079</v>
      </c>
      <c r="G86">
        <v>110.69836803602</v>
      </c>
      <c r="I86" s="9">
        <f t="shared" si="8"/>
        <v>137.78564766785001</v>
      </c>
      <c r="J86" s="9">
        <f t="shared" si="9"/>
        <v>372.49114266516</v>
      </c>
      <c r="K86" s="9">
        <f t="shared" si="10"/>
        <v>137.78564766785001</v>
      </c>
      <c r="L86" s="10">
        <f t="shared" si="7"/>
        <v>0.36990315174207616</v>
      </c>
      <c r="M86" s="10">
        <f t="shared" si="11"/>
        <v>0.38942166385259552</v>
      </c>
      <c r="P86" s="8">
        <f t="shared" si="12"/>
        <v>-0.75928821478191322</v>
      </c>
      <c r="U86" s="8">
        <v>151.5</v>
      </c>
      <c r="V86" s="10">
        <f t="shared" si="13"/>
        <v>0.30489743984696394</v>
      </c>
      <c r="X86" s="8">
        <v>-13</v>
      </c>
      <c r="Y86" s="10"/>
    </row>
    <row r="87" spans="1:25" x14ac:dyDescent="0.2">
      <c r="A87" s="8">
        <v>42.5</v>
      </c>
      <c r="B87" s="8">
        <v>85</v>
      </c>
      <c r="D87">
        <v>500.58553000561</v>
      </c>
      <c r="E87">
        <v>248.95625350533001</v>
      </c>
      <c r="F87">
        <v>127.49577940349</v>
      </c>
      <c r="G87">
        <v>111.00619020822</v>
      </c>
      <c r="I87" s="9">
        <f t="shared" si="8"/>
        <v>137.95006329711001</v>
      </c>
      <c r="J87" s="9">
        <f t="shared" si="9"/>
        <v>373.08975060211998</v>
      </c>
      <c r="K87" s="9">
        <f t="shared" si="10"/>
        <v>137.95006329711001</v>
      </c>
      <c r="L87" s="10">
        <f t="shared" si="7"/>
        <v>0.36975034311308724</v>
      </c>
      <c r="M87" s="10">
        <f t="shared" si="11"/>
        <v>0.38950121846301755</v>
      </c>
      <c r="P87" s="8">
        <f t="shared" si="12"/>
        <v>-0.73901441674517576</v>
      </c>
      <c r="U87" s="8">
        <v>152</v>
      </c>
      <c r="V87" s="10">
        <f t="shared" si="13"/>
        <v>0.30517644704368335</v>
      </c>
      <c r="X87" s="8">
        <v>-13</v>
      </c>
      <c r="Y87" s="10"/>
    </row>
    <row r="88" spans="1:25" x14ac:dyDescent="0.2">
      <c r="A88" s="8">
        <v>43</v>
      </c>
      <c r="B88" s="8">
        <v>86</v>
      </c>
      <c r="D88">
        <v>489.92204150308999</v>
      </c>
      <c r="E88">
        <v>241.07347167694999</v>
      </c>
      <c r="F88">
        <v>127.10298255487</v>
      </c>
      <c r="G88">
        <v>110.8829487901</v>
      </c>
      <c r="I88" s="9">
        <f t="shared" si="8"/>
        <v>130.19052288684998</v>
      </c>
      <c r="J88" s="9">
        <f t="shared" si="9"/>
        <v>362.81905894822</v>
      </c>
      <c r="K88" s="9">
        <f t="shared" si="10"/>
        <v>130.19052288684998</v>
      </c>
      <c r="L88" s="10">
        <f t="shared" si="7"/>
        <v>0.35883044089321176</v>
      </c>
      <c r="M88" s="10">
        <f t="shared" si="11"/>
        <v>0.37881367948255301</v>
      </c>
      <c r="P88" s="8">
        <f t="shared" si="12"/>
        <v>-3.46264043477544</v>
      </c>
      <c r="U88" s="8">
        <v>152.5</v>
      </c>
      <c r="V88" s="10">
        <f t="shared" si="13"/>
        <v>0.30383235587645852</v>
      </c>
      <c r="X88" s="8">
        <v>-13</v>
      </c>
      <c r="Y88" s="10"/>
    </row>
    <row r="89" spans="1:25" x14ac:dyDescent="0.2">
      <c r="A89" s="8">
        <v>43.5</v>
      </c>
      <c r="B89" s="8">
        <v>87</v>
      </c>
      <c r="D89">
        <v>487.37521031968998</v>
      </c>
      <c r="E89">
        <v>233.18788558609</v>
      </c>
      <c r="F89">
        <v>127.68767585819</v>
      </c>
      <c r="G89">
        <v>111.09285312324</v>
      </c>
      <c r="I89" s="9">
        <f t="shared" si="8"/>
        <v>122.09503246285</v>
      </c>
      <c r="J89" s="9">
        <f t="shared" si="9"/>
        <v>359.68753446149998</v>
      </c>
      <c r="K89" s="9">
        <f t="shared" si="10"/>
        <v>122.09503246285</v>
      </c>
      <c r="L89" s="10">
        <f t="shared" si="7"/>
        <v>0.33944749474190838</v>
      </c>
      <c r="M89" s="10">
        <f t="shared" si="11"/>
        <v>0.35966309657066059</v>
      </c>
      <c r="P89" s="8">
        <f t="shared" si="12"/>
        <v>-8.3429993251257848</v>
      </c>
      <c r="U89" s="8">
        <v>153</v>
      </c>
      <c r="V89" s="10">
        <f t="shared" si="13"/>
        <v>0.30109765428643931</v>
      </c>
      <c r="X89" s="8">
        <v>-13</v>
      </c>
      <c r="Y89" s="10"/>
    </row>
    <row r="90" spans="1:25" x14ac:dyDescent="0.2">
      <c r="A90" s="8">
        <v>44</v>
      </c>
      <c r="B90" s="8">
        <v>88</v>
      </c>
      <c r="D90">
        <v>488.32697700505003</v>
      </c>
      <c r="E90">
        <v>228.59730790802001</v>
      </c>
      <c r="F90">
        <v>127.83736634778001</v>
      </c>
      <c r="G90">
        <v>110.93809791784</v>
      </c>
      <c r="I90" s="9">
        <f t="shared" si="8"/>
        <v>117.65920999018002</v>
      </c>
      <c r="J90" s="9">
        <f t="shared" si="9"/>
        <v>360.48961065727002</v>
      </c>
      <c r="K90" s="9">
        <f t="shared" si="10"/>
        <v>117.65920999018002</v>
      </c>
      <c r="L90" s="10">
        <f t="shared" si="7"/>
        <v>0.32638724254953</v>
      </c>
      <c r="M90" s="10">
        <f t="shared" si="11"/>
        <v>0.34683520761769315</v>
      </c>
      <c r="P90" s="8">
        <f t="shared" si="12"/>
        <v>-11.612074850610934</v>
      </c>
      <c r="U90" s="8">
        <v>153.5</v>
      </c>
      <c r="V90" s="10">
        <f t="shared" si="13"/>
        <v>0.30295791139396616</v>
      </c>
      <c r="X90" s="8">
        <v>-13</v>
      </c>
      <c r="Y90" s="10"/>
    </row>
    <row r="91" spans="1:25" x14ac:dyDescent="0.2">
      <c r="A91" s="8">
        <v>44.5</v>
      </c>
      <c r="B91" s="8">
        <v>89</v>
      </c>
      <c r="D91">
        <v>500.85056179775</v>
      </c>
      <c r="E91">
        <v>229.31179775281001</v>
      </c>
      <c r="F91">
        <v>128.14518851998</v>
      </c>
      <c r="G91">
        <v>111.20934158694</v>
      </c>
      <c r="I91" s="9">
        <f t="shared" si="8"/>
        <v>118.10245616587001</v>
      </c>
      <c r="J91" s="9">
        <f t="shared" si="9"/>
        <v>372.70537327777004</v>
      </c>
      <c r="K91" s="9">
        <f t="shared" si="10"/>
        <v>118.10245616587001</v>
      </c>
      <c r="L91" s="10">
        <f t="shared" si="7"/>
        <v>0.31687886634746892</v>
      </c>
      <c r="M91" s="10">
        <f t="shared" si="11"/>
        <v>0.33755919465504303</v>
      </c>
      <c r="P91" s="8">
        <f t="shared" si="12"/>
        <v>-13.975985784160741</v>
      </c>
      <c r="U91" s="8">
        <v>154</v>
      </c>
      <c r="V91" s="10">
        <f t="shared" si="13"/>
        <v>0.30293530204634378</v>
      </c>
      <c r="X91" s="8">
        <v>-13</v>
      </c>
      <c r="Y91" s="10"/>
    </row>
    <row r="92" spans="1:25" x14ac:dyDescent="0.2">
      <c r="A92" s="8">
        <v>45</v>
      </c>
      <c r="B92" s="8">
        <v>90</v>
      </c>
      <c r="D92">
        <v>497.64213483146</v>
      </c>
      <c r="E92">
        <v>224.96853932584</v>
      </c>
      <c r="F92">
        <v>128.07371975238999</v>
      </c>
      <c r="G92">
        <v>110.97242543613</v>
      </c>
      <c r="I92" s="9">
        <f t="shared" si="8"/>
        <v>113.99611388971</v>
      </c>
      <c r="J92" s="9">
        <f t="shared" si="9"/>
        <v>369.56841507907001</v>
      </c>
      <c r="K92" s="9">
        <f t="shared" si="10"/>
        <v>113.99611388971</v>
      </c>
      <c r="L92" s="10">
        <f t="shared" si="7"/>
        <v>0.30845740392971699</v>
      </c>
      <c r="M92" s="10">
        <f t="shared" si="11"/>
        <v>0.32937009547670204</v>
      </c>
      <c r="P92" s="8">
        <f t="shared" si="12"/>
        <v>-16.062906227410465</v>
      </c>
      <c r="U92" s="8">
        <v>154.5</v>
      </c>
      <c r="V92" s="10">
        <f t="shared" si="13"/>
        <v>0.31120126015736516</v>
      </c>
      <c r="X92" s="8">
        <v>-13</v>
      </c>
      <c r="Y92" s="10"/>
    </row>
    <row r="93" spans="1:25" x14ac:dyDescent="0.2">
      <c r="A93" s="8">
        <v>45.5</v>
      </c>
      <c r="B93" s="8">
        <v>91</v>
      </c>
      <c r="D93">
        <v>488.90280898876</v>
      </c>
      <c r="E93">
        <v>217.86348314607</v>
      </c>
      <c r="F93">
        <v>127.62577377603</v>
      </c>
      <c r="G93">
        <v>111.11367473270001</v>
      </c>
      <c r="I93" s="9">
        <f t="shared" si="8"/>
        <v>106.74980841336999</v>
      </c>
      <c r="J93" s="9">
        <f t="shared" si="9"/>
        <v>361.27703521272997</v>
      </c>
      <c r="K93" s="9">
        <f t="shared" si="10"/>
        <v>106.74980841336999</v>
      </c>
      <c r="L93" s="10">
        <f t="shared" si="7"/>
        <v>0.29547908670838358</v>
      </c>
      <c r="M93" s="10">
        <f t="shared" si="11"/>
        <v>0.31662414149477958</v>
      </c>
      <c r="P93" s="8">
        <f t="shared" si="12"/>
        <v>-19.311101340732201</v>
      </c>
      <c r="U93" s="8">
        <v>155</v>
      </c>
      <c r="V93" s="10">
        <f t="shared" si="13"/>
        <v>0.32010849174461131</v>
      </c>
      <c r="X93" s="8">
        <v>-13</v>
      </c>
      <c r="Y93" s="10"/>
    </row>
    <row r="94" spans="1:25" x14ac:dyDescent="0.2">
      <c r="A94" s="8">
        <v>46</v>
      </c>
      <c r="B94" s="8">
        <v>92</v>
      </c>
      <c r="D94">
        <v>487.3308988764</v>
      </c>
      <c r="E94">
        <v>215.54887640448999</v>
      </c>
      <c r="F94">
        <v>127.48058525605001</v>
      </c>
      <c r="G94">
        <v>111.09454136185001</v>
      </c>
      <c r="I94" s="9">
        <f t="shared" si="8"/>
        <v>104.45433504263998</v>
      </c>
      <c r="J94" s="9">
        <f t="shared" si="9"/>
        <v>359.85031362034999</v>
      </c>
      <c r="K94" s="9">
        <f t="shared" si="10"/>
        <v>104.45433504263998</v>
      </c>
      <c r="L94" s="10">
        <f t="shared" si="7"/>
        <v>0.29027162430888309</v>
      </c>
      <c r="M94" s="10">
        <f t="shared" si="11"/>
        <v>0.31164904233469004</v>
      </c>
      <c r="P94" s="8">
        <f t="shared" si="12"/>
        <v>-20.578961934220434</v>
      </c>
      <c r="U94" s="8">
        <v>155.5</v>
      </c>
      <c r="V94" s="10">
        <f t="shared" si="13"/>
        <v>0.31941264543376241</v>
      </c>
      <c r="X94" s="8">
        <v>-13</v>
      </c>
      <c r="Y94" s="10"/>
    </row>
    <row r="95" spans="1:25" x14ac:dyDescent="0.2">
      <c r="A95" s="8">
        <v>46.5</v>
      </c>
      <c r="B95" s="8">
        <v>93</v>
      </c>
      <c r="D95">
        <v>486.96573033708</v>
      </c>
      <c r="E95">
        <v>213.42808988764</v>
      </c>
      <c r="F95">
        <v>127.96567248171</v>
      </c>
      <c r="G95">
        <v>110.81992121553</v>
      </c>
      <c r="I95" s="9">
        <f t="shared" si="8"/>
        <v>102.60816867211</v>
      </c>
      <c r="J95" s="9">
        <f t="shared" si="9"/>
        <v>359.00005785537002</v>
      </c>
      <c r="K95" s="9">
        <f t="shared" si="10"/>
        <v>102.60816867211</v>
      </c>
      <c r="L95" s="10">
        <f t="shared" si="7"/>
        <v>0.2858165797662563</v>
      </c>
      <c r="M95" s="10">
        <f t="shared" si="11"/>
        <v>0.30742636103147414</v>
      </c>
      <c r="P95" s="8">
        <f t="shared" si="12"/>
        <v>-21.655075404712669</v>
      </c>
      <c r="U95" s="8">
        <v>156</v>
      </c>
      <c r="V95" s="10">
        <f t="shared" si="13"/>
        <v>0.32016581305617275</v>
      </c>
      <c r="X95" s="8">
        <v>-13</v>
      </c>
      <c r="Y95" s="10"/>
    </row>
    <row r="96" spans="1:25" x14ac:dyDescent="0.2">
      <c r="A96" s="8">
        <v>47</v>
      </c>
      <c r="B96" s="8">
        <v>94</v>
      </c>
      <c r="D96">
        <v>486.24157303370998</v>
      </c>
      <c r="E96">
        <v>210.20112359551001</v>
      </c>
      <c r="F96">
        <v>127.74113674733</v>
      </c>
      <c r="G96">
        <v>111.00675295441999</v>
      </c>
      <c r="I96" s="9">
        <f t="shared" si="8"/>
        <v>99.194370641090018</v>
      </c>
      <c r="J96" s="9">
        <f t="shared" si="9"/>
        <v>358.50043628637997</v>
      </c>
      <c r="K96" s="9">
        <f t="shared" si="10"/>
        <v>99.194370641090018</v>
      </c>
      <c r="L96" s="10">
        <f t="shared" si="7"/>
        <v>0.27669246840707007</v>
      </c>
      <c r="M96" s="10">
        <f t="shared" si="11"/>
        <v>0.29853461291169886</v>
      </c>
      <c r="P96" s="8">
        <f t="shared" si="12"/>
        <v>-23.921059797289736</v>
      </c>
      <c r="U96" s="8">
        <v>156.5</v>
      </c>
      <c r="V96" s="10">
        <f t="shared" si="13"/>
        <v>0.32738173858717817</v>
      </c>
      <c r="X96" s="8">
        <v>-13</v>
      </c>
      <c r="Y96" s="10"/>
    </row>
    <row r="97" spans="1:25" x14ac:dyDescent="0.2">
      <c r="A97" s="8">
        <v>47.5</v>
      </c>
      <c r="B97" s="8">
        <v>95</v>
      </c>
      <c r="D97">
        <v>486.10842696628998</v>
      </c>
      <c r="E97">
        <v>208.57415730336999</v>
      </c>
      <c r="F97">
        <v>127.73719752392</v>
      </c>
      <c r="G97">
        <v>110.82836240855001</v>
      </c>
      <c r="I97" s="9">
        <f t="shared" si="8"/>
        <v>97.74579489481998</v>
      </c>
      <c r="J97" s="9">
        <f t="shared" si="9"/>
        <v>358.37122944237001</v>
      </c>
      <c r="K97" s="9">
        <f t="shared" si="10"/>
        <v>97.74579489481998</v>
      </c>
      <c r="L97" s="10">
        <f t="shared" si="7"/>
        <v>0.27275011737664773</v>
      </c>
      <c r="M97" s="10">
        <f t="shared" si="11"/>
        <v>0.29482462512068747</v>
      </c>
      <c r="P97" s="8">
        <f t="shared" si="12"/>
        <v>-24.866517801479773</v>
      </c>
      <c r="U97" s="8">
        <v>157</v>
      </c>
      <c r="V97" s="10">
        <f t="shared" si="13"/>
        <v>0.3305138354415072</v>
      </c>
      <c r="X97" s="8">
        <v>-13</v>
      </c>
      <c r="Y97" s="10"/>
    </row>
    <row r="98" spans="1:25" x14ac:dyDescent="0.2">
      <c r="A98" s="8">
        <v>48</v>
      </c>
      <c r="B98" s="8">
        <v>96</v>
      </c>
      <c r="D98">
        <v>485.97303370787</v>
      </c>
      <c r="E98">
        <v>207.47415730336999</v>
      </c>
      <c r="F98">
        <v>127.45863815419</v>
      </c>
      <c r="G98">
        <v>110.71975239167</v>
      </c>
      <c r="I98" s="9">
        <f t="shared" si="8"/>
        <v>96.754404911699993</v>
      </c>
      <c r="J98" s="9">
        <f t="shared" si="9"/>
        <v>358.51439555368</v>
      </c>
      <c r="K98" s="9">
        <f t="shared" si="10"/>
        <v>96.754404911699993</v>
      </c>
      <c r="L98" s="10">
        <f t="shared" si="7"/>
        <v>0.26987592719191955</v>
      </c>
      <c r="M98" s="10">
        <f t="shared" si="11"/>
        <v>0.29218279817537024</v>
      </c>
      <c r="P98" s="8">
        <f t="shared" si="12"/>
        <v>-25.539764338082037</v>
      </c>
      <c r="U98" s="8">
        <v>157.5</v>
      </c>
      <c r="V98" s="10">
        <f t="shared" si="13"/>
        <v>0.33433844295866028</v>
      </c>
      <c r="X98" s="8">
        <v>-13</v>
      </c>
      <c r="Y98" s="10"/>
    </row>
    <row r="99" spans="1:25" x14ac:dyDescent="0.2">
      <c r="A99" s="8">
        <v>48.5</v>
      </c>
      <c r="B99" s="8">
        <v>97</v>
      </c>
      <c r="D99">
        <v>481.92424242423999</v>
      </c>
      <c r="E99">
        <v>206.15881032548</v>
      </c>
      <c r="F99">
        <v>127.50590883512</v>
      </c>
      <c r="G99">
        <v>110.52054023635</v>
      </c>
      <c r="I99" s="9">
        <f t="shared" si="8"/>
        <v>95.638270089130003</v>
      </c>
      <c r="J99" s="9">
        <f t="shared" si="9"/>
        <v>354.41833358911998</v>
      </c>
      <c r="K99" s="9">
        <f t="shared" si="10"/>
        <v>95.638270089130003</v>
      </c>
      <c r="L99" s="10">
        <f t="shared" si="7"/>
        <v>0.26984571909873101</v>
      </c>
      <c r="M99" s="10">
        <f t="shared" si="11"/>
        <v>0.29238495332159264</v>
      </c>
      <c r="P99" s="8">
        <f t="shared" si="12"/>
        <v>-25.488246863672217</v>
      </c>
      <c r="U99" s="8">
        <v>158</v>
      </c>
      <c r="V99" s="10">
        <f t="shared" si="13"/>
        <v>0.33657559223309264</v>
      </c>
      <c r="X99" s="8">
        <v>-13</v>
      </c>
      <c r="Y99" s="10"/>
    </row>
    <row r="100" spans="1:25" x14ac:dyDescent="0.2">
      <c r="A100" s="8">
        <v>49</v>
      </c>
      <c r="B100" s="8">
        <v>98</v>
      </c>
      <c r="D100">
        <v>480.35802469136001</v>
      </c>
      <c r="E100">
        <v>204.22278338945</v>
      </c>
      <c r="F100">
        <v>127.58525604952</v>
      </c>
      <c r="G100">
        <v>110.84186831739</v>
      </c>
      <c r="I100" s="9">
        <f t="shared" si="8"/>
        <v>93.380915072060006</v>
      </c>
      <c r="J100" s="9">
        <f t="shared" si="9"/>
        <v>352.77276864184</v>
      </c>
      <c r="K100" s="9">
        <f t="shared" si="10"/>
        <v>93.380915072060006</v>
      </c>
      <c r="L100" s="10">
        <f t="shared" si="7"/>
        <v>0.26470556509101456</v>
      </c>
      <c r="M100" s="10">
        <f t="shared" si="11"/>
        <v>0.28747716255328715</v>
      </c>
      <c r="P100" s="8">
        <f t="shared" si="12"/>
        <v>-26.738954501046802</v>
      </c>
      <c r="U100" s="8">
        <v>158.5</v>
      </c>
      <c r="V100" s="10">
        <f t="shared" si="13"/>
        <v>0.33681981005028216</v>
      </c>
      <c r="X100" s="8">
        <v>-13</v>
      </c>
      <c r="Y100" s="10"/>
    </row>
    <row r="101" spans="1:25" x14ac:dyDescent="0.2">
      <c r="A101" s="8">
        <v>49.5</v>
      </c>
      <c r="B101" s="8">
        <v>99</v>
      </c>
      <c r="D101">
        <v>476.33072625697997</v>
      </c>
      <c r="E101">
        <v>202.43072625697999</v>
      </c>
      <c r="F101">
        <v>127.60607765898</v>
      </c>
      <c r="G101">
        <v>110.98199212154999</v>
      </c>
      <c r="I101" s="9">
        <f t="shared" si="8"/>
        <v>91.448734135430001</v>
      </c>
      <c r="J101" s="9">
        <f t="shared" si="9"/>
        <v>348.72464859799999</v>
      </c>
      <c r="K101" s="9">
        <f t="shared" si="10"/>
        <v>91.448734135430001</v>
      </c>
      <c r="L101" s="10">
        <f t="shared" si="7"/>
        <v>0.26223765513303177</v>
      </c>
      <c r="M101" s="10">
        <f t="shared" si="11"/>
        <v>0.2852416158347153</v>
      </c>
      <c r="P101" s="8">
        <f t="shared" si="12"/>
        <v>-27.308664068268403</v>
      </c>
      <c r="U101" s="8">
        <v>159</v>
      </c>
      <c r="V101" s="10">
        <f t="shared" si="13"/>
        <v>0.34296936615706114</v>
      </c>
      <c r="X101" s="8">
        <v>-13</v>
      </c>
      <c r="Y101" s="10"/>
    </row>
    <row r="102" spans="1:25" x14ac:dyDescent="0.2">
      <c r="A102" s="8">
        <v>50</v>
      </c>
      <c r="B102" s="8">
        <v>100</v>
      </c>
      <c r="D102">
        <v>477.98715083798999</v>
      </c>
      <c r="E102">
        <v>201.78100558659</v>
      </c>
      <c r="F102">
        <v>127.59932470456</v>
      </c>
      <c r="G102">
        <v>110.69499155881</v>
      </c>
      <c r="I102" s="9">
        <f t="shared" si="8"/>
        <v>91.086014027779996</v>
      </c>
      <c r="J102" s="9">
        <f t="shared" si="9"/>
        <v>350.38782613343</v>
      </c>
      <c r="K102" s="9">
        <f t="shared" si="10"/>
        <v>91.086014027779996</v>
      </c>
      <c r="L102" s="10">
        <f t="shared" si="7"/>
        <v>0.25995770182122091</v>
      </c>
      <c r="M102" s="10">
        <f t="shared" si="11"/>
        <v>0.28319402576231539</v>
      </c>
      <c r="P102" s="8">
        <f t="shared" si="12"/>
        <v>-27.83047452487985</v>
      </c>
      <c r="U102" s="8">
        <v>159.5</v>
      </c>
      <c r="V102" s="10">
        <f t="shared" si="13"/>
        <v>0.34446181186402181</v>
      </c>
      <c r="X102" s="8">
        <v>-13</v>
      </c>
      <c r="Y102" s="10"/>
    </row>
    <row r="103" spans="1:25" x14ac:dyDescent="0.2">
      <c r="A103" s="8">
        <v>50.5</v>
      </c>
      <c r="B103" s="8">
        <v>101</v>
      </c>
      <c r="D103">
        <v>485.24662162162002</v>
      </c>
      <c r="E103">
        <v>203.49774774775</v>
      </c>
      <c r="F103">
        <v>127.81767023073</v>
      </c>
      <c r="G103">
        <v>110.53348339899</v>
      </c>
      <c r="I103" s="9">
        <f t="shared" si="8"/>
        <v>92.964264348759997</v>
      </c>
      <c r="J103" s="9">
        <f t="shared" si="9"/>
        <v>357.42895139089001</v>
      </c>
      <c r="K103" s="9">
        <f t="shared" si="10"/>
        <v>92.964264348759997</v>
      </c>
      <c r="L103" s="10">
        <f t="shared" si="7"/>
        <v>0.26009159019436229</v>
      </c>
      <c r="M103" s="10">
        <f t="shared" si="11"/>
        <v>0.28356027737486772</v>
      </c>
      <c r="P103" s="8">
        <f t="shared" si="12"/>
        <v>-27.73713849841797</v>
      </c>
      <c r="U103" s="8">
        <v>160</v>
      </c>
      <c r="V103" s="10">
        <f t="shared" si="13"/>
        <v>0.34612483149550399</v>
      </c>
      <c r="X103" s="8">
        <v>-13</v>
      </c>
      <c r="Y103" s="10"/>
    </row>
    <row r="104" spans="1:25" x14ac:dyDescent="0.2">
      <c r="A104" s="8">
        <v>51</v>
      </c>
      <c r="B104" s="8">
        <v>102</v>
      </c>
      <c r="D104">
        <v>478.46846846847001</v>
      </c>
      <c r="E104">
        <v>201.74268018018</v>
      </c>
      <c r="F104">
        <v>127.70906021384</v>
      </c>
      <c r="G104">
        <v>110.65841305571</v>
      </c>
      <c r="I104" s="9">
        <f t="shared" si="8"/>
        <v>91.084267124470003</v>
      </c>
      <c r="J104" s="9">
        <f t="shared" si="9"/>
        <v>350.75940825462999</v>
      </c>
      <c r="K104" s="9">
        <f t="shared" si="10"/>
        <v>91.084267124470003</v>
      </c>
      <c r="L104" s="10">
        <f t="shared" si="7"/>
        <v>0.25967733147259836</v>
      </c>
      <c r="M104" s="10">
        <f t="shared" si="11"/>
        <v>0.28337838189251474</v>
      </c>
      <c r="P104" s="8">
        <f t="shared" si="12"/>
        <v>-27.783492974336539</v>
      </c>
      <c r="X104" s="8">
        <v>-13</v>
      </c>
      <c r="Y104" s="10"/>
    </row>
    <row r="105" spans="1:25" x14ac:dyDescent="0.2">
      <c r="A105" s="8">
        <v>51.5</v>
      </c>
      <c r="B105" s="8">
        <v>103</v>
      </c>
      <c r="D105">
        <v>478.46929577464999</v>
      </c>
      <c r="E105">
        <v>201.45014084507</v>
      </c>
      <c r="F105">
        <v>127.89251547552</v>
      </c>
      <c r="G105">
        <v>110.9600450197</v>
      </c>
      <c r="I105" s="9">
        <f t="shared" si="8"/>
        <v>90.490095825369991</v>
      </c>
      <c r="J105" s="9">
        <f t="shared" si="9"/>
        <v>350.57678029913001</v>
      </c>
      <c r="K105" s="9">
        <f t="shared" si="10"/>
        <v>90.490095825369991</v>
      </c>
      <c r="L105" s="10">
        <f t="shared" si="7"/>
        <v>0.25811776737797415</v>
      </c>
      <c r="M105" s="10">
        <f t="shared" si="11"/>
        <v>0.28205118103730148</v>
      </c>
      <c r="P105" s="8">
        <f t="shared" si="12"/>
        <v>-28.121718527199384</v>
      </c>
      <c r="V105" s="10"/>
      <c r="X105" s="8">
        <v>-13</v>
      </c>
    </row>
    <row r="106" spans="1:25" x14ac:dyDescent="0.2">
      <c r="A106" s="8">
        <v>52</v>
      </c>
      <c r="B106" s="8">
        <v>104</v>
      </c>
      <c r="D106">
        <v>468.88225352113</v>
      </c>
      <c r="E106">
        <v>197.84507042254</v>
      </c>
      <c r="F106">
        <v>127.86212718064</v>
      </c>
      <c r="G106">
        <v>110.91052335397001</v>
      </c>
      <c r="I106" s="9">
        <f t="shared" si="8"/>
        <v>86.934547068569998</v>
      </c>
      <c r="J106" s="9">
        <f t="shared" si="9"/>
        <v>341.02012634048998</v>
      </c>
      <c r="K106" s="9">
        <f t="shared" si="10"/>
        <v>86.934547068569998</v>
      </c>
      <c r="L106" s="10">
        <f t="shared" si="7"/>
        <v>0.25492497466783121</v>
      </c>
      <c r="M106" s="10">
        <f t="shared" si="11"/>
        <v>0.27909075156656948</v>
      </c>
      <c r="P106" s="8">
        <f t="shared" si="12"/>
        <v>-28.876158136333686</v>
      </c>
      <c r="X106" s="8">
        <v>-13</v>
      </c>
    </row>
    <row r="107" spans="1:25" x14ac:dyDescent="0.2">
      <c r="A107" s="8">
        <v>52.5</v>
      </c>
      <c r="B107" s="8">
        <v>105</v>
      </c>
      <c r="D107">
        <v>472.05971830985999</v>
      </c>
      <c r="E107">
        <v>199.56901408451</v>
      </c>
      <c r="F107">
        <v>127.61283061339</v>
      </c>
      <c r="G107">
        <v>110.6933033202</v>
      </c>
      <c r="I107" s="9">
        <f t="shared" si="8"/>
        <v>88.87571076431</v>
      </c>
      <c r="J107" s="9">
        <f t="shared" si="9"/>
        <v>344.44688769646996</v>
      </c>
      <c r="K107" s="9">
        <f t="shared" si="10"/>
        <v>88.87571076431</v>
      </c>
      <c r="L107" s="10">
        <f t="shared" si="7"/>
        <v>0.25802442680982551</v>
      </c>
      <c r="M107" s="10">
        <f t="shared" si="11"/>
        <v>0.28242256694797474</v>
      </c>
      <c r="P107" s="8">
        <f t="shared" si="12"/>
        <v>-28.027074069678488</v>
      </c>
      <c r="X107" s="8">
        <v>-13</v>
      </c>
    </row>
    <row r="108" spans="1:25" x14ac:dyDescent="0.2">
      <c r="A108" s="8">
        <v>53</v>
      </c>
      <c r="B108" s="8">
        <v>106</v>
      </c>
      <c r="D108">
        <v>476.50929577465001</v>
      </c>
      <c r="E108">
        <v>199.65690140845001</v>
      </c>
      <c r="F108">
        <v>127.65953854812</v>
      </c>
      <c r="G108">
        <v>110.67529544176</v>
      </c>
      <c r="I108" s="9">
        <f t="shared" si="8"/>
        <v>88.981605966690012</v>
      </c>
      <c r="J108" s="9">
        <f t="shared" si="9"/>
        <v>348.84975722653002</v>
      </c>
      <c r="K108" s="9">
        <f t="shared" si="10"/>
        <v>88.981605966690012</v>
      </c>
      <c r="L108" s="10">
        <f t="shared" si="7"/>
        <v>0.2550714286692442</v>
      </c>
      <c r="M108" s="10">
        <f t="shared" si="11"/>
        <v>0.27970193204680438</v>
      </c>
      <c r="P108" s="8">
        <f t="shared" si="12"/>
        <v>-28.720404125918119</v>
      </c>
      <c r="X108" s="8">
        <v>-13</v>
      </c>
    </row>
    <row r="109" spans="1:25" x14ac:dyDescent="0.2">
      <c r="A109" s="8">
        <v>53.5</v>
      </c>
      <c r="B109" s="8">
        <v>107</v>
      </c>
      <c r="D109">
        <v>477.33126760562999</v>
      </c>
      <c r="E109">
        <v>198.61577464788999</v>
      </c>
      <c r="F109">
        <v>127.45469893078</v>
      </c>
      <c r="G109">
        <v>110.63702870006</v>
      </c>
      <c r="I109" s="9">
        <f t="shared" si="8"/>
        <v>87.978745947829992</v>
      </c>
      <c r="J109" s="9">
        <f t="shared" si="9"/>
        <v>349.87656867484998</v>
      </c>
      <c r="K109" s="9">
        <f t="shared" si="10"/>
        <v>87.978745947829992</v>
      </c>
      <c r="L109" s="10">
        <f t="shared" si="7"/>
        <v>0.2514565244567466</v>
      </c>
      <c r="M109" s="10">
        <f t="shared" si="11"/>
        <v>0.27631939107371767</v>
      </c>
      <c r="P109" s="8">
        <f t="shared" si="12"/>
        <v>-29.582415166831481</v>
      </c>
      <c r="X109" s="8">
        <v>-13</v>
      </c>
    </row>
    <row r="110" spans="1:25" x14ac:dyDescent="0.2">
      <c r="A110" s="8">
        <v>54</v>
      </c>
      <c r="B110" s="8">
        <v>108</v>
      </c>
      <c r="D110">
        <v>475.52957746479001</v>
      </c>
      <c r="E110">
        <v>198.62985915492999</v>
      </c>
      <c r="F110">
        <v>127.5785030951</v>
      </c>
      <c r="G110">
        <v>110.65841305571</v>
      </c>
      <c r="I110" s="9">
        <f t="shared" si="8"/>
        <v>87.971446099219989</v>
      </c>
      <c r="J110" s="9">
        <f t="shared" si="9"/>
        <v>347.95107436968999</v>
      </c>
      <c r="K110" s="9">
        <f t="shared" si="10"/>
        <v>87.971446099219989</v>
      </c>
      <c r="L110" s="10">
        <f t="shared" si="7"/>
        <v>0.25282705696075064</v>
      </c>
      <c r="M110" s="10">
        <f t="shared" si="11"/>
        <v>0.27792228681713266</v>
      </c>
      <c r="P110" s="8">
        <f t="shared" si="12"/>
        <v>-29.17393117824113</v>
      </c>
      <c r="X110" s="8">
        <v>-13</v>
      </c>
    </row>
    <row r="111" spans="1:25" x14ac:dyDescent="0.2">
      <c r="A111" s="8">
        <v>54.5</v>
      </c>
      <c r="B111" s="8">
        <v>109</v>
      </c>
      <c r="D111">
        <v>478.83379966424002</v>
      </c>
      <c r="E111">
        <v>198.73531057638999</v>
      </c>
      <c r="F111">
        <v>127.40292628025</v>
      </c>
      <c r="G111">
        <v>110.69555430501001</v>
      </c>
      <c r="I111" s="9">
        <f t="shared" si="8"/>
        <v>88.039756271379986</v>
      </c>
      <c r="J111" s="9">
        <f t="shared" si="9"/>
        <v>351.43087338399005</v>
      </c>
      <c r="K111" s="9">
        <f t="shared" si="10"/>
        <v>88.039756271379986</v>
      </c>
      <c r="L111" s="10">
        <f t="shared" si="7"/>
        <v>0.25051799070363284</v>
      </c>
      <c r="M111" s="10">
        <f t="shared" si="11"/>
        <v>0.27584558379942581</v>
      </c>
      <c r="P111" s="8">
        <f t="shared" si="12"/>
        <v>-29.70316081483821</v>
      </c>
      <c r="X111" s="8">
        <v>-13</v>
      </c>
    </row>
    <row r="112" spans="1:25" x14ac:dyDescent="0.2">
      <c r="A112" s="8">
        <v>55</v>
      </c>
      <c r="B112" s="8">
        <v>110</v>
      </c>
      <c r="D112">
        <v>467.72504182934</v>
      </c>
      <c r="E112">
        <v>195.91857222531999</v>
      </c>
      <c r="F112">
        <v>127.23691615081999</v>
      </c>
      <c r="G112">
        <v>110.65616207091</v>
      </c>
      <c r="I112" s="9">
        <f t="shared" si="8"/>
        <v>85.262410154409991</v>
      </c>
      <c r="J112" s="9">
        <f t="shared" si="9"/>
        <v>340.48812567852002</v>
      </c>
      <c r="K112" s="9">
        <f t="shared" si="10"/>
        <v>85.262410154409991</v>
      </c>
      <c r="L112" s="10">
        <f t="shared" si="7"/>
        <v>0.2504122867265936</v>
      </c>
      <c r="M112" s="10">
        <f t="shared" si="11"/>
        <v>0.27597224306179752</v>
      </c>
      <c r="P112" s="8">
        <f t="shared" si="12"/>
        <v>-29.670882807426896</v>
      </c>
      <c r="X112" s="8">
        <v>-13</v>
      </c>
    </row>
    <row r="113" spans="1:24" x14ac:dyDescent="0.2">
      <c r="A113" s="8">
        <v>55.5</v>
      </c>
      <c r="B113" s="8">
        <v>111</v>
      </c>
      <c r="D113">
        <v>470.71492453885003</v>
      </c>
      <c r="E113">
        <v>197.70374510900001</v>
      </c>
      <c r="F113">
        <v>126.78840742825</v>
      </c>
      <c r="G113">
        <v>110.65334833990001</v>
      </c>
      <c r="I113" s="9">
        <f t="shared" si="8"/>
        <v>87.050396769100004</v>
      </c>
      <c r="J113" s="9">
        <f t="shared" si="9"/>
        <v>343.9265171106</v>
      </c>
      <c r="K113" s="9">
        <f t="shared" si="10"/>
        <v>87.050396769100004</v>
      </c>
      <c r="L113" s="10">
        <f t="shared" si="7"/>
        <v>0.25310754605497987</v>
      </c>
      <c r="M113" s="10">
        <f t="shared" si="11"/>
        <v>0.27889986562959473</v>
      </c>
      <c r="P113" s="8">
        <f t="shared" si="12"/>
        <v>-28.924803751135258</v>
      </c>
      <c r="X113" s="8">
        <v>-13</v>
      </c>
    </row>
    <row r="114" spans="1:24" x14ac:dyDescent="0.2">
      <c r="A114" s="8">
        <v>56</v>
      </c>
      <c r="B114" s="8">
        <v>112</v>
      </c>
      <c r="D114">
        <v>465.50840807175001</v>
      </c>
      <c r="E114">
        <v>195.12387892377001</v>
      </c>
      <c r="F114">
        <v>127.40123804164</v>
      </c>
      <c r="G114">
        <v>110.78334271244</v>
      </c>
      <c r="I114" s="9">
        <f t="shared" si="8"/>
        <v>84.340536211330004</v>
      </c>
      <c r="J114" s="9">
        <f t="shared" si="9"/>
        <v>338.10717003011001</v>
      </c>
      <c r="K114" s="9">
        <f t="shared" si="10"/>
        <v>84.340536211330004</v>
      </c>
      <c r="L114" s="10">
        <f t="shared" si="7"/>
        <v>0.24944912053719265</v>
      </c>
      <c r="M114" s="10">
        <f t="shared" si="11"/>
        <v>0.27547380335121846</v>
      </c>
      <c r="P114" s="8">
        <f t="shared" si="12"/>
        <v>-29.79790581680577</v>
      </c>
      <c r="X114" s="8">
        <v>-13</v>
      </c>
    </row>
    <row r="115" spans="1:24" x14ac:dyDescent="0.2">
      <c r="A115" s="8">
        <v>56.5</v>
      </c>
      <c r="B115" s="8">
        <v>113</v>
      </c>
      <c r="D115">
        <v>469.15919282510998</v>
      </c>
      <c r="E115">
        <v>196.40863228699999</v>
      </c>
      <c r="F115">
        <v>127.1924592009</v>
      </c>
      <c r="G115">
        <v>110.55317951604</v>
      </c>
      <c r="I115" s="9">
        <f t="shared" si="8"/>
        <v>85.855452770959985</v>
      </c>
      <c r="J115" s="9">
        <f t="shared" si="9"/>
        <v>341.96673362420995</v>
      </c>
      <c r="K115" s="9">
        <f t="shared" si="10"/>
        <v>85.855452770959985</v>
      </c>
      <c r="L115" s="10">
        <f t="shared" si="7"/>
        <v>0.25106375658547903</v>
      </c>
      <c r="M115" s="10">
        <f t="shared" si="11"/>
        <v>0.27732080263891579</v>
      </c>
      <c r="P115" s="8">
        <f t="shared" si="12"/>
        <v>-29.327214170726069</v>
      </c>
      <c r="X115" s="8">
        <v>-13</v>
      </c>
    </row>
    <row r="116" spans="1:24" x14ac:dyDescent="0.2">
      <c r="A116" s="8">
        <v>57</v>
      </c>
      <c r="B116" s="8">
        <v>114</v>
      </c>
      <c r="D116">
        <v>464.53755605381002</v>
      </c>
      <c r="E116">
        <v>194.73598654708999</v>
      </c>
      <c r="F116">
        <v>127.52054023635</v>
      </c>
      <c r="G116">
        <v>110.54023635340999</v>
      </c>
      <c r="I116" s="9">
        <f t="shared" si="8"/>
        <v>84.195750193679999</v>
      </c>
      <c r="J116" s="9">
        <f t="shared" si="9"/>
        <v>337.01701581745999</v>
      </c>
      <c r="K116" s="9">
        <f t="shared" si="10"/>
        <v>84.195750193679999</v>
      </c>
      <c r="L116" s="10">
        <f t="shared" si="7"/>
        <v>0.24982640710130588</v>
      </c>
      <c r="M116" s="10">
        <f t="shared" si="11"/>
        <v>0.27631581639415359</v>
      </c>
      <c r="P116" s="8">
        <f t="shared" si="12"/>
        <v>-29.583326142715144</v>
      </c>
      <c r="X116" s="8">
        <v>-13</v>
      </c>
    </row>
    <row r="117" spans="1:24" x14ac:dyDescent="0.2">
      <c r="A117" s="8">
        <v>57.5</v>
      </c>
      <c r="B117" s="8">
        <v>115</v>
      </c>
      <c r="D117">
        <v>473.84062850729998</v>
      </c>
      <c r="E117">
        <v>197.47867564533999</v>
      </c>
      <c r="F117">
        <v>127.45413618457999</v>
      </c>
      <c r="G117">
        <v>110.92459200899999</v>
      </c>
      <c r="I117" s="9">
        <f t="shared" si="8"/>
        <v>86.554083636339996</v>
      </c>
      <c r="J117" s="9">
        <f t="shared" si="9"/>
        <v>346.38649232271996</v>
      </c>
      <c r="K117" s="9">
        <f t="shared" si="10"/>
        <v>86.554083636339996</v>
      </c>
      <c r="L117" s="10">
        <f t="shared" si="7"/>
        <v>0.24987719081060367</v>
      </c>
      <c r="M117" s="10">
        <f t="shared" si="11"/>
        <v>0.27659896334286233</v>
      </c>
      <c r="P117" s="8">
        <f t="shared" si="12"/>
        <v>-29.511168614416196</v>
      </c>
      <c r="X117" s="8">
        <v>-13</v>
      </c>
    </row>
    <row r="118" spans="1:24" x14ac:dyDescent="0.2">
      <c r="A118" s="8">
        <v>58</v>
      </c>
      <c r="B118" s="8">
        <v>116</v>
      </c>
      <c r="D118">
        <v>476.79876335019998</v>
      </c>
      <c r="E118">
        <v>197.03822372119001</v>
      </c>
      <c r="F118">
        <v>127.28024760833</v>
      </c>
      <c r="G118">
        <v>110.62183455262</v>
      </c>
      <c r="I118" s="9">
        <f t="shared" si="8"/>
        <v>86.416389168570007</v>
      </c>
      <c r="J118" s="9">
        <f t="shared" si="9"/>
        <v>349.51851574186998</v>
      </c>
      <c r="K118" s="9">
        <f t="shared" si="10"/>
        <v>86.416389168570007</v>
      </c>
      <c r="L118" s="10">
        <f t="shared" si="7"/>
        <v>0.24724409516659521</v>
      </c>
      <c r="M118" s="10">
        <f t="shared" si="11"/>
        <v>0.27419823093826479</v>
      </c>
      <c r="P118" s="8">
        <f t="shared" si="12"/>
        <v>-30.122974311821565</v>
      </c>
      <c r="X118" s="8">
        <v>-13</v>
      </c>
    </row>
    <row r="119" spans="1:24" x14ac:dyDescent="0.2">
      <c r="A119" s="8">
        <v>58.5</v>
      </c>
      <c r="B119" s="8">
        <v>117</v>
      </c>
      <c r="D119">
        <v>473.81061452514001</v>
      </c>
      <c r="E119">
        <v>197.60726256983</v>
      </c>
      <c r="F119">
        <v>127.22228474958</v>
      </c>
      <c r="G119">
        <v>110.51209904333</v>
      </c>
      <c r="I119" s="9">
        <f t="shared" si="8"/>
        <v>87.095163526500002</v>
      </c>
      <c r="J119" s="9">
        <f t="shared" si="9"/>
        <v>346.58832977556</v>
      </c>
      <c r="K119" s="9">
        <f t="shared" si="10"/>
        <v>87.095163526500002</v>
      </c>
      <c r="L119" s="10">
        <f t="shared" si="7"/>
        <v>0.25129283372841826</v>
      </c>
      <c r="M119" s="10">
        <f t="shared" si="11"/>
        <v>0.27847933273949882</v>
      </c>
      <c r="P119" s="8">
        <f t="shared" si="12"/>
        <v>-29.031972887359821</v>
      </c>
      <c r="X119" s="8">
        <v>-13</v>
      </c>
    </row>
    <row r="120" spans="1:24" x14ac:dyDescent="0.2">
      <c r="A120" s="8">
        <v>59</v>
      </c>
      <c r="B120" s="8">
        <v>118</v>
      </c>
      <c r="D120">
        <v>472.20726256982999</v>
      </c>
      <c r="E120">
        <v>196.52569832402</v>
      </c>
      <c r="F120">
        <v>126.85537422621999</v>
      </c>
      <c r="G120">
        <v>110.90377039955</v>
      </c>
      <c r="I120" s="9">
        <f t="shared" si="8"/>
        <v>85.62192792447</v>
      </c>
      <c r="J120" s="9">
        <f t="shared" si="9"/>
        <v>345.35188834360997</v>
      </c>
      <c r="K120" s="9">
        <f t="shared" si="10"/>
        <v>85.62192792447</v>
      </c>
      <c r="L120" s="10">
        <f t="shared" si="7"/>
        <v>0.24792662445001587</v>
      </c>
      <c r="M120" s="10">
        <f t="shared" si="11"/>
        <v>0.27534548670050735</v>
      </c>
      <c r="P120" s="8">
        <f t="shared" si="12"/>
        <v>-29.830606195168091</v>
      </c>
      <c r="X120" s="8">
        <v>-13</v>
      </c>
    </row>
    <row r="121" spans="1:24" x14ac:dyDescent="0.2">
      <c r="A121" s="8">
        <v>59.5</v>
      </c>
      <c r="B121" s="8">
        <v>119</v>
      </c>
      <c r="D121">
        <v>470.22346368715</v>
      </c>
      <c r="E121">
        <v>194.54469273743001</v>
      </c>
      <c r="F121">
        <v>127.1918964547</v>
      </c>
      <c r="G121">
        <v>110.40630275746</v>
      </c>
      <c r="I121" s="9">
        <f t="shared" si="8"/>
        <v>84.138389979970015</v>
      </c>
      <c r="J121" s="9">
        <f t="shared" si="9"/>
        <v>343.03156723245002</v>
      </c>
      <c r="K121" s="9">
        <f t="shared" si="10"/>
        <v>84.138389979970015</v>
      </c>
      <c r="L121" s="10">
        <f t="shared" si="7"/>
        <v>0.2452788548260777</v>
      </c>
      <c r="M121" s="10">
        <f t="shared" si="11"/>
        <v>0.27293008031598015</v>
      </c>
      <c r="P121" s="8">
        <f t="shared" si="12"/>
        <v>-30.446151428269904</v>
      </c>
      <c r="X121" s="8">
        <v>-13</v>
      </c>
    </row>
    <row r="122" spans="1:24" x14ac:dyDescent="0.2">
      <c r="A122" s="8">
        <v>60</v>
      </c>
      <c r="B122" s="8">
        <v>120</v>
      </c>
      <c r="D122">
        <v>464.04078212291</v>
      </c>
      <c r="E122">
        <v>195.20391061453</v>
      </c>
      <c r="F122">
        <v>127.37253798537</v>
      </c>
      <c r="G122">
        <v>110.59313449634</v>
      </c>
      <c r="I122" s="9">
        <f t="shared" si="8"/>
        <v>84.610776118190003</v>
      </c>
      <c r="J122" s="9">
        <f t="shared" si="9"/>
        <v>336.66824413754</v>
      </c>
      <c r="K122" s="9">
        <f t="shared" si="10"/>
        <v>84.610776118190003</v>
      </c>
      <c r="L122" s="10">
        <f t="shared" si="7"/>
        <v>0.25131795942008633</v>
      </c>
      <c r="M122" s="10">
        <f t="shared" si="11"/>
        <v>0.27920154814939968</v>
      </c>
      <c r="P122" s="8">
        <f t="shared" si="12"/>
        <v>-28.847922594338769</v>
      </c>
      <c r="X122" s="8">
        <v>-13</v>
      </c>
    </row>
    <row r="123" spans="1:24" x14ac:dyDescent="0.2">
      <c r="A123" s="8">
        <v>60.5</v>
      </c>
      <c r="B123" s="8">
        <v>121</v>
      </c>
      <c r="D123">
        <v>463.44748603352002</v>
      </c>
      <c r="E123">
        <v>195.06201117318</v>
      </c>
      <c r="F123">
        <v>127.42993809792</v>
      </c>
      <c r="G123">
        <v>110.66235227912</v>
      </c>
      <c r="I123" s="9">
        <f t="shared" si="8"/>
        <v>84.399658894059996</v>
      </c>
      <c r="J123" s="9">
        <f t="shared" si="9"/>
        <v>336.01754793560002</v>
      </c>
      <c r="K123" s="9">
        <f t="shared" si="10"/>
        <v>84.399658894059996</v>
      </c>
      <c r="L123" s="10">
        <f t="shared" si="7"/>
        <v>0.25117634305883257</v>
      </c>
      <c r="M123" s="10">
        <f t="shared" si="11"/>
        <v>0.27929229502755687</v>
      </c>
      <c r="P123" s="8">
        <f t="shared" si="12"/>
        <v>-28.824796544566627</v>
      </c>
      <c r="X123" s="8">
        <v>-13</v>
      </c>
    </row>
    <row r="124" spans="1:24" x14ac:dyDescent="0.2">
      <c r="A124" s="8">
        <v>61</v>
      </c>
      <c r="B124" s="8">
        <v>122</v>
      </c>
      <c r="D124">
        <v>460.50335195530999</v>
      </c>
      <c r="E124">
        <v>194.12122905027999</v>
      </c>
      <c r="F124">
        <v>127.04952166573</v>
      </c>
      <c r="G124">
        <v>110.57006190208</v>
      </c>
      <c r="I124" s="9">
        <f t="shared" si="8"/>
        <v>83.551167148199994</v>
      </c>
      <c r="J124" s="9">
        <f t="shared" si="9"/>
        <v>333.45383028957997</v>
      </c>
      <c r="K124" s="9">
        <f t="shared" si="10"/>
        <v>83.551167148199994</v>
      </c>
      <c r="L124" s="10">
        <f t="shared" si="7"/>
        <v>0.25056292523508272</v>
      </c>
      <c r="M124" s="10">
        <f t="shared" si="11"/>
        <v>0.27891124044321797</v>
      </c>
      <c r="P124" s="8">
        <f t="shared" si="12"/>
        <v>-28.921904979173718</v>
      </c>
      <c r="X124" s="8">
        <v>-13</v>
      </c>
    </row>
    <row r="125" spans="1:24" x14ac:dyDescent="0.2">
      <c r="A125" s="8">
        <v>61.5</v>
      </c>
      <c r="B125" s="8">
        <v>123</v>
      </c>
      <c r="D125">
        <v>460.94972067038998</v>
      </c>
      <c r="E125">
        <v>194.75977653631</v>
      </c>
      <c r="F125">
        <v>127.2307259426</v>
      </c>
      <c r="G125">
        <v>110.53517163759</v>
      </c>
      <c r="I125" s="9">
        <f t="shared" si="8"/>
        <v>84.224604898720003</v>
      </c>
      <c r="J125" s="9">
        <f t="shared" si="9"/>
        <v>333.71899472779</v>
      </c>
      <c r="K125" s="9">
        <f t="shared" si="10"/>
        <v>84.224604898720003</v>
      </c>
      <c r="L125" s="10">
        <f t="shared" si="7"/>
        <v>0.25238181293042927</v>
      </c>
      <c r="M125" s="10">
        <f t="shared" si="11"/>
        <v>0.28096249137797547</v>
      </c>
      <c r="P125" s="8">
        <f t="shared" si="12"/>
        <v>-28.399161583745968</v>
      </c>
      <c r="X125" s="8">
        <v>-13</v>
      </c>
    </row>
    <row r="126" spans="1:24" x14ac:dyDescent="0.2">
      <c r="A126" s="8">
        <v>62</v>
      </c>
      <c r="B126" s="8">
        <v>124</v>
      </c>
      <c r="D126">
        <v>458.91620111731999</v>
      </c>
      <c r="E126">
        <v>194.3625698324</v>
      </c>
      <c r="F126">
        <v>127.12211592572</v>
      </c>
      <c r="G126">
        <v>110.35565559933001</v>
      </c>
      <c r="I126" s="9">
        <f t="shared" si="8"/>
        <v>84.006914233069992</v>
      </c>
      <c r="J126" s="9">
        <f t="shared" si="9"/>
        <v>331.7940851916</v>
      </c>
      <c r="K126" s="9">
        <f t="shared" si="10"/>
        <v>84.006914233069992</v>
      </c>
      <c r="L126" s="10">
        <f t="shared" si="7"/>
        <v>0.2531899089899653</v>
      </c>
      <c r="M126" s="10">
        <f t="shared" si="11"/>
        <v>0.28200295067692244</v>
      </c>
      <c r="P126" s="8">
        <f t="shared" si="12"/>
        <v>-28.134009613540918</v>
      </c>
      <c r="X126" s="8">
        <v>-13</v>
      </c>
    </row>
    <row r="127" spans="1:24" x14ac:dyDescent="0.2">
      <c r="A127" s="8">
        <v>62.5</v>
      </c>
      <c r="B127" s="8">
        <v>125</v>
      </c>
      <c r="D127">
        <v>462.40446927374001</v>
      </c>
      <c r="E127">
        <v>195.18044692737001</v>
      </c>
      <c r="F127">
        <v>127.46370287001</v>
      </c>
      <c r="G127">
        <v>110.26505346089</v>
      </c>
      <c r="I127" s="9">
        <f t="shared" si="8"/>
        <v>84.915393466480012</v>
      </c>
      <c r="J127" s="9">
        <f t="shared" si="9"/>
        <v>334.94076640372998</v>
      </c>
      <c r="K127" s="9">
        <f t="shared" si="10"/>
        <v>84.915393466480012</v>
      </c>
      <c r="L127" s="10">
        <f t="shared" si="7"/>
        <v>0.25352361367718651</v>
      </c>
      <c r="M127" s="10">
        <f t="shared" si="11"/>
        <v>0.2825690186035546</v>
      </c>
      <c r="P127" s="8">
        <f t="shared" si="12"/>
        <v>-27.989752143625164</v>
      </c>
      <c r="X127" s="8">
        <v>-13</v>
      </c>
    </row>
    <row r="128" spans="1:24" x14ac:dyDescent="0.2">
      <c r="A128" s="8">
        <v>63</v>
      </c>
      <c r="B128" s="8">
        <v>126</v>
      </c>
      <c r="D128">
        <v>459.59162011172998</v>
      </c>
      <c r="E128">
        <v>194.61173184358</v>
      </c>
      <c r="F128">
        <v>127.09848058526001</v>
      </c>
      <c r="G128">
        <v>110.58581879572</v>
      </c>
      <c r="I128" s="9">
        <f t="shared" si="8"/>
        <v>84.025913047860001</v>
      </c>
      <c r="J128" s="9">
        <f t="shared" si="9"/>
        <v>332.49313952646997</v>
      </c>
      <c r="K128" s="9">
        <f t="shared" si="10"/>
        <v>84.025913047860001</v>
      </c>
      <c r="L128" s="10">
        <f t="shared" si="7"/>
        <v>0.25271472718964372</v>
      </c>
      <c r="M128" s="10">
        <f t="shared" si="11"/>
        <v>0.28199249535542276</v>
      </c>
      <c r="P128" s="8">
        <f t="shared" si="12"/>
        <v>-28.136674060960985</v>
      </c>
      <c r="X128" s="8">
        <v>-13</v>
      </c>
    </row>
    <row r="129" spans="1:24" x14ac:dyDescent="0.2">
      <c r="A129" s="8">
        <v>63.5</v>
      </c>
      <c r="B129" s="8">
        <v>127</v>
      </c>
      <c r="D129">
        <v>456.67877094971999</v>
      </c>
      <c r="E129">
        <v>193.65139664805</v>
      </c>
      <c r="F129">
        <v>127.40180078784999</v>
      </c>
      <c r="G129">
        <v>110.55205402364</v>
      </c>
      <c r="I129" s="9">
        <f t="shared" si="8"/>
        <v>83.099342624409999</v>
      </c>
      <c r="J129" s="9">
        <f t="shared" si="9"/>
        <v>329.27697016187</v>
      </c>
      <c r="K129" s="9">
        <f t="shared" si="10"/>
        <v>83.099342624409999</v>
      </c>
      <c r="L129" s="10">
        <f t="shared" si="7"/>
        <v>0.25236913041188097</v>
      </c>
      <c r="M129" s="10">
        <f t="shared" si="11"/>
        <v>0.28187926181707096</v>
      </c>
      <c r="P129" s="8">
        <f t="shared" si="12"/>
        <v>-28.165530639798479</v>
      </c>
      <c r="X129" s="8">
        <v>-13</v>
      </c>
    </row>
    <row r="130" spans="1:24" x14ac:dyDescent="0.2">
      <c r="A130" s="8">
        <v>64</v>
      </c>
      <c r="B130" s="8">
        <v>128</v>
      </c>
      <c r="D130">
        <v>459.57030812325002</v>
      </c>
      <c r="E130">
        <v>194.96750700280001</v>
      </c>
      <c r="F130">
        <v>126.95723128869</v>
      </c>
      <c r="G130">
        <v>110.460889139</v>
      </c>
      <c r="I130" s="9">
        <f t="shared" si="8"/>
        <v>84.506617863800003</v>
      </c>
      <c r="J130" s="9">
        <f t="shared" si="9"/>
        <v>332.61307683456005</v>
      </c>
      <c r="K130" s="9">
        <f t="shared" si="10"/>
        <v>84.506617863800003</v>
      </c>
      <c r="L130" s="10">
        <f t="shared" ref="L130:L193" si="14">K130/J130</f>
        <v>0.25406883778605355</v>
      </c>
      <c r="M130" s="10">
        <f t="shared" si="11"/>
        <v>0.28381133243065448</v>
      </c>
      <c r="P130" s="8">
        <f t="shared" si="12"/>
        <v>-27.673159308901212</v>
      </c>
      <c r="X130" s="8">
        <v>-13</v>
      </c>
    </row>
    <row r="131" spans="1:24" x14ac:dyDescent="0.2">
      <c r="A131" s="8">
        <v>64.5</v>
      </c>
      <c r="B131" s="8">
        <v>129</v>
      </c>
      <c r="D131">
        <v>458.69691876751</v>
      </c>
      <c r="E131">
        <v>195.67675070028</v>
      </c>
      <c r="F131">
        <v>126.91952729319</v>
      </c>
      <c r="G131">
        <v>110.58187957231</v>
      </c>
      <c r="I131" s="9">
        <f t="shared" ref="I131:I194" si="15">E131-G131</f>
        <v>85.094871127969995</v>
      </c>
      <c r="J131" s="9">
        <f t="shared" ref="J131:J194" si="16">D131-F131</f>
        <v>331.77739147431998</v>
      </c>
      <c r="K131" s="9">
        <f t="shared" ref="K131:K194" si="17">I131*1</f>
        <v>85.094871127969995</v>
      </c>
      <c r="L131" s="10">
        <f t="shared" si="14"/>
        <v>0.25648182581047407</v>
      </c>
      <c r="M131" s="10">
        <f t="shared" ref="M131:M181" si="18">L131+ABS($N$2)*A131</f>
        <v>0.28645668369448596</v>
      </c>
      <c r="P131" s="8">
        <f t="shared" ref="P131:P194" si="19">(M131-$O$2)/$O$2*100</f>
        <v>-26.999014630489242</v>
      </c>
      <c r="X131" s="8">
        <v>-13</v>
      </c>
    </row>
    <row r="132" spans="1:24" x14ac:dyDescent="0.2">
      <c r="A132" s="8">
        <v>65</v>
      </c>
      <c r="B132" s="8">
        <v>130</v>
      </c>
      <c r="D132">
        <v>461.19550561798002</v>
      </c>
      <c r="E132">
        <v>195.84831460673999</v>
      </c>
      <c r="F132">
        <v>127.04276871131</v>
      </c>
      <c r="G132">
        <v>110.43894203714</v>
      </c>
      <c r="I132" s="9">
        <f t="shared" si="15"/>
        <v>85.409372569599995</v>
      </c>
      <c r="J132" s="9">
        <f t="shared" si="16"/>
        <v>334.15273690667004</v>
      </c>
      <c r="K132" s="9">
        <f t="shared" si="17"/>
        <v>85.409372569599995</v>
      </c>
      <c r="L132" s="10">
        <f t="shared" si="14"/>
        <v>0.25559979954153456</v>
      </c>
      <c r="M132" s="10">
        <f t="shared" si="18"/>
        <v>0.28580702066495739</v>
      </c>
      <c r="P132" s="8">
        <f t="shared" si="19"/>
        <v>-27.164575582679518</v>
      </c>
      <c r="X132" s="8">
        <v>-13</v>
      </c>
    </row>
    <row r="133" spans="1:24" x14ac:dyDescent="0.2">
      <c r="A133" s="8">
        <v>65.5</v>
      </c>
      <c r="B133" s="8">
        <v>131</v>
      </c>
      <c r="D133">
        <v>457.54157303370999</v>
      </c>
      <c r="E133">
        <v>194.77921348314999</v>
      </c>
      <c r="F133">
        <v>126.88745075971001</v>
      </c>
      <c r="G133">
        <v>110.39729881823</v>
      </c>
      <c r="I133" s="9">
        <f t="shared" si="15"/>
        <v>84.381914664919989</v>
      </c>
      <c r="J133" s="9">
        <f t="shared" si="16"/>
        <v>330.65412227399997</v>
      </c>
      <c r="K133" s="9">
        <f t="shared" si="17"/>
        <v>84.381914664919989</v>
      </c>
      <c r="L133" s="10">
        <f t="shared" si="14"/>
        <v>0.25519692325201387</v>
      </c>
      <c r="M133" s="10">
        <f t="shared" si="18"/>
        <v>0.28563650761484766</v>
      </c>
      <c r="P133" s="8">
        <f t="shared" si="19"/>
        <v>-27.208029345097735</v>
      </c>
      <c r="X133" s="8">
        <v>-13</v>
      </c>
    </row>
    <row r="134" spans="1:24" x14ac:dyDescent="0.2">
      <c r="A134" s="8">
        <v>66</v>
      </c>
      <c r="B134" s="8">
        <v>132</v>
      </c>
      <c r="D134">
        <v>441.52413019080001</v>
      </c>
      <c r="E134">
        <v>191.19079685745999</v>
      </c>
      <c r="F134">
        <v>126.95835678109</v>
      </c>
      <c r="G134">
        <v>110.20146314012</v>
      </c>
      <c r="I134" s="9">
        <f t="shared" si="15"/>
        <v>80.989333717339989</v>
      </c>
      <c r="J134" s="9">
        <f t="shared" si="16"/>
        <v>314.56577340971</v>
      </c>
      <c r="K134" s="9">
        <f t="shared" si="17"/>
        <v>80.989333717339989</v>
      </c>
      <c r="L134" s="10">
        <f t="shared" si="14"/>
        <v>0.25746390918332507</v>
      </c>
      <c r="M134" s="10">
        <f t="shared" si="18"/>
        <v>0.2881358567855698</v>
      </c>
      <c r="P134" s="8">
        <f t="shared" si="19"/>
        <v>-26.571092025667692</v>
      </c>
      <c r="X134" s="8">
        <v>-13</v>
      </c>
    </row>
    <row r="135" spans="1:24" x14ac:dyDescent="0.2">
      <c r="A135" s="8">
        <v>66.5</v>
      </c>
      <c r="B135" s="8">
        <v>133</v>
      </c>
      <c r="D135">
        <v>433.30920314254001</v>
      </c>
      <c r="E135">
        <v>188.65375982043</v>
      </c>
      <c r="F135">
        <v>127.52222847496</v>
      </c>
      <c r="G135">
        <v>110.50028137309999</v>
      </c>
      <c r="I135" s="9">
        <f t="shared" si="15"/>
        <v>78.153478447330002</v>
      </c>
      <c r="J135" s="9">
        <f t="shared" si="16"/>
        <v>305.78697466758001</v>
      </c>
      <c r="K135" s="9">
        <f t="shared" si="17"/>
        <v>78.153478447330002</v>
      </c>
      <c r="L135" s="10">
        <f t="shared" si="14"/>
        <v>0.25558145023113032</v>
      </c>
      <c r="M135" s="10">
        <f t="shared" si="18"/>
        <v>0.286485761072786</v>
      </c>
      <c r="P135" s="8">
        <f t="shared" si="19"/>
        <v>-26.991604514444855</v>
      </c>
      <c r="X135" s="8">
        <v>-13</v>
      </c>
    </row>
    <row r="136" spans="1:24" x14ac:dyDescent="0.2">
      <c r="A136" s="8">
        <v>67</v>
      </c>
      <c r="B136" s="8">
        <v>134</v>
      </c>
      <c r="D136">
        <v>435.01010101010002</v>
      </c>
      <c r="E136">
        <v>189.52861952862</v>
      </c>
      <c r="F136">
        <v>126.67585818796</v>
      </c>
      <c r="G136">
        <v>110.50815981992</v>
      </c>
      <c r="I136" s="9">
        <f t="shared" si="15"/>
        <v>79.020459708700002</v>
      </c>
      <c r="J136" s="9">
        <f t="shared" si="16"/>
        <v>308.33424282214003</v>
      </c>
      <c r="K136" s="9">
        <f t="shared" si="17"/>
        <v>79.020459708700002</v>
      </c>
      <c r="L136" s="10">
        <f t="shared" si="14"/>
        <v>0.25628181607542788</v>
      </c>
      <c r="M136" s="10">
        <f t="shared" si="18"/>
        <v>0.28741849015649445</v>
      </c>
      <c r="P136" s="8">
        <f t="shared" si="19"/>
        <v>-26.753906649220188</v>
      </c>
      <c r="X136" s="8">
        <v>-13</v>
      </c>
    </row>
    <row r="137" spans="1:24" x14ac:dyDescent="0.2">
      <c r="A137" s="8">
        <v>67.5</v>
      </c>
      <c r="B137" s="8">
        <v>135</v>
      </c>
      <c r="D137">
        <v>432.32098765431999</v>
      </c>
      <c r="E137">
        <v>188.00056116722999</v>
      </c>
      <c r="F137">
        <v>126.51491277434</v>
      </c>
      <c r="G137">
        <v>110.57118739449</v>
      </c>
      <c r="I137" s="9">
        <f t="shared" si="15"/>
        <v>77.429373772739993</v>
      </c>
      <c r="J137" s="9">
        <f t="shared" si="16"/>
        <v>305.80607487997997</v>
      </c>
      <c r="K137" s="9">
        <f t="shared" si="17"/>
        <v>77.429373772739993</v>
      </c>
      <c r="L137" s="10">
        <f t="shared" si="14"/>
        <v>0.253197631221449</v>
      </c>
      <c r="M137" s="10">
        <f t="shared" si="18"/>
        <v>0.28456666854192658</v>
      </c>
      <c r="P137" s="8">
        <f t="shared" si="19"/>
        <v>-27.480668494245108</v>
      </c>
      <c r="X137" s="8">
        <v>-13</v>
      </c>
    </row>
    <row r="138" spans="1:24" x14ac:dyDescent="0.2">
      <c r="A138" s="8">
        <v>68</v>
      </c>
      <c r="B138" s="8">
        <v>136</v>
      </c>
      <c r="D138">
        <v>446.46688925988002</v>
      </c>
      <c r="E138">
        <v>192.76739009459999</v>
      </c>
      <c r="F138">
        <v>126.96679797410999</v>
      </c>
      <c r="G138">
        <v>110.18626899268</v>
      </c>
      <c r="I138" s="9">
        <f t="shared" si="15"/>
        <v>82.58112110191999</v>
      </c>
      <c r="J138" s="9">
        <f t="shared" si="16"/>
        <v>319.50009128577005</v>
      </c>
      <c r="K138" s="9">
        <f t="shared" si="17"/>
        <v>82.58112110191999</v>
      </c>
      <c r="L138" s="10">
        <f t="shared" si="14"/>
        <v>0.25846978875526222</v>
      </c>
      <c r="M138" s="10">
        <f t="shared" si="18"/>
        <v>0.29007118931515069</v>
      </c>
      <c r="P138" s="8">
        <f t="shared" si="19"/>
        <v>-26.077889423951639</v>
      </c>
      <c r="X138" s="8">
        <v>-13</v>
      </c>
    </row>
    <row r="139" spans="1:24" x14ac:dyDescent="0.2">
      <c r="A139" s="8">
        <v>68.5</v>
      </c>
      <c r="B139" s="8">
        <v>137</v>
      </c>
      <c r="D139">
        <v>463.91387024609003</v>
      </c>
      <c r="E139">
        <v>197.79474272931</v>
      </c>
      <c r="F139">
        <v>127.1918964547</v>
      </c>
      <c r="G139">
        <v>110.08722566122999</v>
      </c>
      <c r="I139" s="9">
        <f t="shared" si="15"/>
        <v>87.707517068080008</v>
      </c>
      <c r="J139" s="9">
        <f t="shared" si="16"/>
        <v>336.72197379139004</v>
      </c>
      <c r="K139" s="9">
        <f t="shared" si="17"/>
        <v>87.707517068080008</v>
      </c>
      <c r="L139" s="10">
        <f t="shared" si="14"/>
        <v>0.26047458703249821</v>
      </c>
      <c r="M139" s="10">
        <f t="shared" si="18"/>
        <v>0.29230835083179763</v>
      </c>
      <c r="P139" s="8">
        <f t="shared" si="19"/>
        <v>-25.507768339536113</v>
      </c>
      <c r="X139" s="8">
        <v>-13</v>
      </c>
    </row>
    <row r="140" spans="1:24" x14ac:dyDescent="0.2">
      <c r="A140" s="8">
        <v>69</v>
      </c>
      <c r="B140" s="8">
        <v>138</v>
      </c>
      <c r="D140">
        <v>464.69854586129998</v>
      </c>
      <c r="E140">
        <v>196.99888143177</v>
      </c>
      <c r="F140">
        <v>127.20483961732999</v>
      </c>
      <c r="G140">
        <v>110.12099043332</v>
      </c>
      <c r="I140" s="9">
        <f t="shared" si="15"/>
        <v>86.877890998449999</v>
      </c>
      <c r="J140" s="9">
        <f t="shared" si="16"/>
        <v>337.49370624397</v>
      </c>
      <c r="K140" s="9">
        <f t="shared" si="17"/>
        <v>86.877890998449999</v>
      </c>
      <c r="L140" s="10">
        <f t="shared" si="14"/>
        <v>0.25742077375406536</v>
      </c>
      <c r="M140" s="10">
        <f t="shared" si="18"/>
        <v>0.28948690079277573</v>
      </c>
      <c r="P140" s="8">
        <f t="shared" si="19"/>
        <v>-26.226790253645522</v>
      </c>
      <c r="X140" s="8">
        <v>-13</v>
      </c>
    </row>
    <row r="141" spans="1:24" x14ac:dyDescent="0.2">
      <c r="A141" s="8">
        <v>69.5</v>
      </c>
      <c r="B141" s="8">
        <v>139</v>
      </c>
      <c r="D141">
        <v>465.77013422818999</v>
      </c>
      <c r="E141">
        <v>198.70973154361999</v>
      </c>
      <c r="F141">
        <v>127.08778840743</v>
      </c>
      <c r="G141">
        <v>110.13731007315999</v>
      </c>
      <c r="I141" s="9">
        <f t="shared" si="15"/>
        <v>88.57242147046</v>
      </c>
      <c r="J141" s="9">
        <f t="shared" si="16"/>
        <v>338.68234582076002</v>
      </c>
      <c r="K141" s="9">
        <f t="shared" si="17"/>
        <v>88.57242147046</v>
      </c>
      <c r="L141" s="10">
        <f t="shared" si="14"/>
        <v>0.2615206330162097</v>
      </c>
      <c r="M141" s="10">
        <f t="shared" si="18"/>
        <v>0.29381912329433102</v>
      </c>
      <c r="P141" s="8">
        <f t="shared" si="19"/>
        <v>-25.122761164937646</v>
      </c>
      <c r="X141" s="8">
        <v>-13</v>
      </c>
    </row>
    <row r="142" spans="1:24" x14ac:dyDescent="0.2">
      <c r="A142" s="8">
        <v>70</v>
      </c>
      <c r="B142" s="8">
        <v>140</v>
      </c>
      <c r="D142">
        <v>470.49049217001999</v>
      </c>
      <c r="E142">
        <v>199.60514541386999</v>
      </c>
      <c r="F142">
        <v>126.78671918965</v>
      </c>
      <c r="G142">
        <v>110.20202588633001</v>
      </c>
      <c r="I142" s="9">
        <f t="shared" si="15"/>
        <v>89.403119527539985</v>
      </c>
      <c r="J142" s="9">
        <f t="shared" si="16"/>
        <v>343.70377298036999</v>
      </c>
      <c r="K142" s="9">
        <f t="shared" si="17"/>
        <v>89.403119527539985</v>
      </c>
      <c r="L142" s="10">
        <f t="shared" si="14"/>
        <v>0.26011678240333452</v>
      </c>
      <c r="M142" s="10">
        <f t="shared" si="18"/>
        <v>0.29264763592086679</v>
      </c>
      <c r="P142" s="8">
        <f t="shared" si="19"/>
        <v>-25.421304496194104</v>
      </c>
      <c r="X142" s="8">
        <v>-13</v>
      </c>
    </row>
    <row r="143" spans="1:24" x14ac:dyDescent="0.2">
      <c r="A143" s="8">
        <v>70.5</v>
      </c>
      <c r="B143" s="8">
        <v>141</v>
      </c>
      <c r="D143">
        <v>466.95581655480999</v>
      </c>
      <c r="E143">
        <v>197.91666666667001</v>
      </c>
      <c r="F143">
        <v>126.85312324141999</v>
      </c>
      <c r="G143">
        <v>110.36465953855</v>
      </c>
      <c r="I143" s="9">
        <f t="shared" si="15"/>
        <v>87.55200712812001</v>
      </c>
      <c r="J143" s="9">
        <f t="shared" si="16"/>
        <v>340.10269331338998</v>
      </c>
      <c r="K143" s="9">
        <f t="shared" si="17"/>
        <v>87.55200712812001</v>
      </c>
      <c r="L143" s="10">
        <f t="shared" si="14"/>
        <v>0.25742814993659757</v>
      </c>
      <c r="M143" s="10">
        <f t="shared" si="18"/>
        <v>0.29019136669354079</v>
      </c>
      <c r="P143" s="8">
        <f t="shared" si="19"/>
        <v>-26.047263268092909</v>
      </c>
      <c r="X143" s="8">
        <v>-13</v>
      </c>
    </row>
    <row r="144" spans="1:24" x14ac:dyDescent="0.2">
      <c r="A144" s="8">
        <v>71</v>
      </c>
      <c r="B144" s="8">
        <v>142</v>
      </c>
      <c r="D144">
        <v>476.48758465011002</v>
      </c>
      <c r="E144">
        <v>202.15575620768001</v>
      </c>
      <c r="F144">
        <v>126.80078784468</v>
      </c>
      <c r="G144">
        <v>110.05571187395</v>
      </c>
      <c r="I144" s="9">
        <f t="shared" si="15"/>
        <v>92.100044333730011</v>
      </c>
      <c r="J144" s="9">
        <f t="shared" si="16"/>
        <v>349.68679680543005</v>
      </c>
      <c r="K144" s="9">
        <f t="shared" si="17"/>
        <v>92.100044333730011</v>
      </c>
      <c r="L144" s="10">
        <f t="shared" si="14"/>
        <v>0.2633786725009683</v>
      </c>
      <c r="M144" s="10">
        <f t="shared" si="18"/>
        <v>0.29637425249732247</v>
      </c>
      <c r="P144" s="8">
        <f t="shared" si="19"/>
        <v>-24.471608791185655</v>
      </c>
    </row>
    <row r="145" spans="1:16" x14ac:dyDescent="0.2">
      <c r="A145" s="8">
        <v>71.5</v>
      </c>
      <c r="B145" s="8">
        <v>143</v>
      </c>
      <c r="D145">
        <v>476.96726862303001</v>
      </c>
      <c r="E145">
        <v>201.81772009029001</v>
      </c>
      <c r="F145">
        <v>127.50478334271</v>
      </c>
      <c r="G145">
        <v>110.29150253236</v>
      </c>
      <c r="I145" s="9">
        <f t="shared" si="15"/>
        <v>91.526217557930011</v>
      </c>
      <c r="J145" s="9">
        <f t="shared" si="16"/>
        <v>349.46248528032004</v>
      </c>
      <c r="K145" s="9">
        <f t="shared" si="17"/>
        <v>91.526217557930011</v>
      </c>
      <c r="L145" s="10">
        <f t="shared" si="14"/>
        <v>0.26190570207990305</v>
      </c>
      <c r="M145" s="10">
        <f t="shared" si="18"/>
        <v>0.29513364531566816</v>
      </c>
      <c r="P145" s="8">
        <f t="shared" si="19"/>
        <v>-24.787766702215048</v>
      </c>
    </row>
    <row r="146" spans="1:16" x14ac:dyDescent="0.2">
      <c r="A146" s="8">
        <v>72</v>
      </c>
      <c r="B146" s="8">
        <v>144</v>
      </c>
      <c r="D146">
        <v>476.29853273138002</v>
      </c>
      <c r="E146">
        <v>202.84593679458001</v>
      </c>
      <c r="F146">
        <v>126.7287563309</v>
      </c>
      <c r="G146">
        <v>110.07878446821</v>
      </c>
      <c r="I146" s="9">
        <f t="shared" si="15"/>
        <v>92.76715232637001</v>
      </c>
      <c r="J146" s="9">
        <f t="shared" si="16"/>
        <v>349.56977640048001</v>
      </c>
      <c r="K146" s="9">
        <f t="shared" si="17"/>
        <v>92.76715232637001</v>
      </c>
      <c r="L146" s="10">
        <f t="shared" si="14"/>
        <v>0.26537520858237051</v>
      </c>
      <c r="M146" s="10">
        <f t="shared" si="18"/>
        <v>0.29883551505754657</v>
      </c>
      <c r="P146" s="8">
        <f t="shared" si="19"/>
        <v>-23.844377511984391</v>
      </c>
    </row>
    <row r="147" spans="1:16" x14ac:dyDescent="0.2">
      <c r="A147" s="8">
        <v>72.5</v>
      </c>
      <c r="B147" s="8">
        <v>145</v>
      </c>
      <c r="D147">
        <v>464.42099322798998</v>
      </c>
      <c r="E147">
        <v>198.88995485327001</v>
      </c>
      <c r="F147">
        <v>126.94653911086</v>
      </c>
      <c r="G147">
        <v>110.17501406866</v>
      </c>
      <c r="I147" s="9">
        <f t="shared" si="15"/>
        <v>88.714940784610008</v>
      </c>
      <c r="J147" s="9">
        <f t="shared" si="16"/>
        <v>337.47445411712999</v>
      </c>
      <c r="K147" s="9">
        <f t="shared" si="17"/>
        <v>88.714940784610008</v>
      </c>
      <c r="L147" s="10">
        <f t="shared" si="14"/>
        <v>0.26287898151194283</v>
      </c>
      <c r="M147" s="10">
        <f t="shared" si="18"/>
        <v>0.29657165122652984</v>
      </c>
      <c r="P147" s="8">
        <f t="shared" si="19"/>
        <v>-24.421303448133521</v>
      </c>
    </row>
    <row r="148" spans="1:16" x14ac:dyDescent="0.2">
      <c r="A148" s="8">
        <v>73</v>
      </c>
      <c r="B148" s="8">
        <v>146</v>
      </c>
      <c r="D148">
        <v>480.51409244644998</v>
      </c>
      <c r="E148">
        <v>204.56200676437001</v>
      </c>
      <c r="F148">
        <v>126.77715250422</v>
      </c>
      <c r="G148">
        <v>110.10129431626</v>
      </c>
      <c r="I148" s="9">
        <f t="shared" si="15"/>
        <v>94.460712448110016</v>
      </c>
      <c r="J148" s="9">
        <f t="shared" si="16"/>
        <v>353.73693994222998</v>
      </c>
      <c r="K148" s="9">
        <f t="shared" si="17"/>
        <v>94.460712448110016</v>
      </c>
      <c r="L148" s="10">
        <f t="shared" si="14"/>
        <v>0.26703660766539317</v>
      </c>
      <c r="M148" s="10">
        <f t="shared" si="18"/>
        <v>0.30096164061939112</v>
      </c>
      <c r="P148" s="8">
        <f t="shared" si="19"/>
        <v>-23.30255297142142</v>
      </c>
    </row>
    <row r="149" spans="1:16" x14ac:dyDescent="0.2">
      <c r="A149" s="8">
        <v>73.5</v>
      </c>
      <c r="B149" s="8">
        <v>147</v>
      </c>
      <c r="D149">
        <v>471.27441077441</v>
      </c>
      <c r="E149">
        <v>202.00841750842</v>
      </c>
      <c r="F149">
        <v>126.74113674733</v>
      </c>
      <c r="G149">
        <v>110.00900393921999</v>
      </c>
      <c r="I149" s="9">
        <f t="shared" si="15"/>
        <v>91.999413569200001</v>
      </c>
      <c r="J149" s="9">
        <f t="shared" si="16"/>
        <v>344.53327402707998</v>
      </c>
      <c r="K149" s="9">
        <f t="shared" si="17"/>
        <v>91.999413569200001</v>
      </c>
      <c r="L149" s="10">
        <f t="shared" si="14"/>
        <v>0.26702620763987206</v>
      </c>
      <c r="M149" s="10">
        <f t="shared" si="18"/>
        <v>0.30118360383328097</v>
      </c>
      <c r="P149" s="8">
        <f t="shared" si="19"/>
        <v>-23.245987583870459</v>
      </c>
    </row>
    <row r="150" spans="1:16" x14ac:dyDescent="0.2">
      <c r="A150" s="8">
        <v>74</v>
      </c>
      <c r="B150" s="8">
        <v>148</v>
      </c>
      <c r="D150">
        <v>463.71261160713999</v>
      </c>
      <c r="E150">
        <v>200.73214285713999</v>
      </c>
      <c r="F150">
        <v>126.45019696116999</v>
      </c>
      <c r="G150">
        <v>110.33145751265999</v>
      </c>
      <c r="I150" s="9">
        <f t="shared" si="15"/>
        <v>90.400685344479996</v>
      </c>
      <c r="J150" s="9">
        <f t="shared" si="16"/>
        <v>337.26241464597001</v>
      </c>
      <c r="K150" s="9">
        <f t="shared" si="17"/>
        <v>90.400685344479996</v>
      </c>
      <c r="L150" s="10">
        <f t="shared" si="14"/>
        <v>0.26804257284161093</v>
      </c>
      <c r="M150" s="10">
        <f t="shared" si="18"/>
        <v>0.30243233227443078</v>
      </c>
      <c r="P150" s="8">
        <f t="shared" si="19"/>
        <v>-22.927760040748815</v>
      </c>
    </row>
    <row r="151" spans="1:16" x14ac:dyDescent="0.2">
      <c r="A151" s="8">
        <v>74.5</v>
      </c>
      <c r="B151" s="8">
        <v>149</v>
      </c>
      <c r="D151">
        <v>466.16573660713999</v>
      </c>
      <c r="E151">
        <v>200.14397321429001</v>
      </c>
      <c r="F151">
        <v>126.83511536297</v>
      </c>
      <c r="G151">
        <v>110.20596510974001</v>
      </c>
      <c r="I151" s="9">
        <f t="shared" si="15"/>
        <v>89.938008104550008</v>
      </c>
      <c r="J151" s="9">
        <f t="shared" si="16"/>
        <v>339.33062124417</v>
      </c>
      <c r="K151" s="9">
        <f t="shared" si="17"/>
        <v>89.938008104550008</v>
      </c>
      <c r="L151" s="10">
        <f t="shared" si="14"/>
        <v>0.26504536423735797</v>
      </c>
      <c r="M151" s="10">
        <f t="shared" si="18"/>
        <v>0.29966748690958878</v>
      </c>
      <c r="P151" s="8">
        <f t="shared" si="19"/>
        <v>-23.632356747743632</v>
      </c>
    </row>
    <row r="152" spans="1:16" x14ac:dyDescent="0.2">
      <c r="A152" s="8">
        <v>75</v>
      </c>
      <c r="B152" s="8">
        <v>150</v>
      </c>
      <c r="D152">
        <v>464.13337053571001</v>
      </c>
      <c r="E152">
        <v>200.25167410713999</v>
      </c>
      <c r="F152">
        <v>126.58300506472</v>
      </c>
      <c r="G152">
        <v>110.44456949916</v>
      </c>
      <c r="I152" s="9">
        <f t="shared" si="15"/>
        <v>89.807104607979994</v>
      </c>
      <c r="J152" s="9">
        <f t="shared" si="16"/>
        <v>337.55036547099002</v>
      </c>
      <c r="K152" s="9">
        <f t="shared" si="17"/>
        <v>89.807104607979994</v>
      </c>
      <c r="L152" s="10">
        <f t="shared" si="14"/>
        <v>0.26605542104115498</v>
      </c>
      <c r="M152" s="10">
        <f t="shared" si="18"/>
        <v>0.30090990695279668</v>
      </c>
      <c r="P152" s="8">
        <f t="shared" si="19"/>
        <v>-23.31573684477171</v>
      </c>
    </row>
    <row r="153" spans="1:16" x14ac:dyDescent="0.2">
      <c r="A153" s="8">
        <v>75.5</v>
      </c>
      <c r="B153" s="8">
        <v>151</v>
      </c>
      <c r="D153">
        <v>464.67689732142998</v>
      </c>
      <c r="E153">
        <v>200.25892857143</v>
      </c>
      <c r="F153">
        <v>126.98424310636</v>
      </c>
      <c r="G153">
        <v>110.22622397299</v>
      </c>
      <c r="I153" s="9">
        <f t="shared" si="15"/>
        <v>90.032704598440006</v>
      </c>
      <c r="J153" s="9">
        <f t="shared" si="16"/>
        <v>337.69265421506998</v>
      </c>
      <c r="K153" s="9">
        <f t="shared" si="17"/>
        <v>90.032704598440006</v>
      </c>
      <c r="L153" s="10">
        <f t="shared" si="14"/>
        <v>0.26661138012525409</v>
      </c>
      <c r="M153" s="10">
        <f t="shared" si="18"/>
        <v>0.30169822927630674</v>
      </c>
      <c r="P153" s="8">
        <f t="shared" si="19"/>
        <v>-23.114839781862216</v>
      </c>
    </row>
    <row r="154" spans="1:16" x14ac:dyDescent="0.2">
      <c r="A154" s="8">
        <v>76</v>
      </c>
      <c r="B154" s="8">
        <v>152</v>
      </c>
      <c r="D154">
        <v>474.52861952862003</v>
      </c>
      <c r="E154">
        <v>202.05162738496</v>
      </c>
      <c r="F154">
        <v>126.52166572876</v>
      </c>
      <c r="G154">
        <v>110.07540799100001</v>
      </c>
      <c r="I154" s="9">
        <f t="shared" si="15"/>
        <v>91.976219393959994</v>
      </c>
      <c r="J154" s="9">
        <f t="shared" si="16"/>
        <v>348.00695379986001</v>
      </c>
      <c r="K154" s="9">
        <f t="shared" si="17"/>
        <v>91.976219393959994</v>
      </c>
      <c r="L154" s="10">
        <f t="shared" si="14"/>
        <v>0.26429419984192565</v>
      </c>
      <c r="M154" s="10">
        <f t="shared" si="18"/>
        <v>0.29961341223238924</v>
      </c>
      <c r="P154" s="8">
        <f t="shared" si="19"/>
        <v>-23.646137207212035</v>
      </c>
    </row>
    <row r="155" spans="1:16" x14ac:dyDescent="0.2">
      <c r="A155" s="8">
        <v>76.5</v>
      </c>
      <c r="B155" s="8">
        <v>153</v>
      </c>
      <c r="D155">
        <v>469.04545454546002</v>
      </c>
      <c r="E155">
        <v>202.5202020202</v>
      </c>
      <c r="F155">
        <v>126.89983117614</v>
      </c>
      <c r="G155">
        <v>110.33314575127</v>
      </c>
      <c r="I155" s="9">
        <f t="shared" si="15"/>
        <v>92.187056268930007</v>
      </c>
      <c r="J155" s="9">
        <f t="shared" si="16"/>
        <v>342.14562336931999</v>
      </c>
      <c r="K155" s="9">
        <f t="shared" si="17"/>
        <v>92.187056268930007</v>
      </c>
      <c r="L155" s="10">
        <f t="shared" si="14"/>
        <v>0.26943806955970073</v>
      </c>
      <c r="M155" s="10">
        <f t="shared" si="18"/>
        <v>0.30498964518957528</v>
      </c>
      <c r="P155" s="8">
        <f t="shared" si="19"/>
        <v>-22.276051167016163</v>
      </c>
    </row>
    <row r="156" spans="1:16" x14ac:dyDescent="0.2">
      <c r="A156" s="8">
        <v>77</v>
      </c>
      <c r="B156" s="8">
        <v>154</v>
      </c>
      <c r="D156">
        <v>471.31088664421998</v>
      </c>
      <c r="E156">
        <v>201.89730639730999</v>
      </c>
      <c r="F156">
        <v>126.89476646033</v>
      </c>
      <c r="G156">
        <v>109.79178390545999</v>
      </c>
      <c r="I156" s="9">
        <f t="shared" si="15"/>
        <v>92.105522491849996</v>
      </c>
      <c r="J156" s="9">
        <f t="shared" si="16"/>
        <v>344.41612018388997</v>
      </c>
      <c r="K156" s="9">
        <f t="shared" si="17"/>
        <v>92.105522491849996</v>
      </c>
      <c r="L156" s="10">
        <f t="shared" si="14"/>
        <v>0.26742512064381074</v>
      </c>
      <c r="M156" s="10">
        <f t="shared" si="18"/>
        <v>0.30320905951309624</v>
      </c>
      <c r="P156" s="8">
        <f t="shared" si="19"/>
        <v>-22.729817883998894</v>
      </c>
    </row>
    <row r="157" spans="1:16" x14ac:dyDescent="0.2">
      <c r="A157" s="8">
        <v>77.5</v>
      </c>
      <c r="B157" s="8">
        <v>155</v>
      </c>
      <c r="D157">
        <v>474.20875420875001</v>
      </c>
      <c r="E157">
        <v>203.64702581368999</v>
      </c>
      <c r="F157">
        <v>126.46707934721</v>
      </c>
      <c r="G157">
        <v>110.29206527856</v>
      </c>
      <c r="I157" s="9">
        <f t="shared" si="15"/>
        <v>93.35496053512999</v>
      </c>
      <c r="J157" s="9">
        <f t="shared" si="16"/>
        <v>347.74167486153999</v>
      </c>
      <c r="K157" s="9">
        <f t="shared" si="17"/>
        <v>93.35496053512999</v>
      </c>
      <c r="L157" s="10">
        <f t="shared" si="14"/>
        <v>0.26846066285354225</v>
      </c>
      <c r="M157" s="10">
        <f t="shared" si="18"/>
        <v>0.30447696496223869</v>
      </c>
      <c r="P157" s="8">
        <f t="shared" si="19"/>
        <v>-22.406703247785735</v>
      </c>
    </row>
    <row r="158" spans="1:16" x14ac:dyDescent="0.2">
      <c r="A158" s="8">
        <v>78</v>
      </c>
      <c r="B158" s="8">
        <v>156</v>
      </c>
      <c r="D158">
        <v>478.65180586908002</v>
      </c>
      <c r="E158">
        <v>205.14954853272999</v>
      </c>
      <c r="F158">
        <v>126.79290939786</v>
      </c>
      <c r="G158">
        <v>109.96398424311</v>
      </c>
      <c r="I158" s="9">
        <f t="shared" si="15"/>
        <v>95.18556428961999</v>
      </c>
      <c r="J158" s="9">
        <f t="shared" si="16"/>
        <v>351.85889647122002</v>
      </c>
      <c r="K158" s="9">
        <f t="shared" si="17"/>
        <v>95.18556428961999</v>
      </c>
      <c r="L158" s="10">
        <f t="shared" si="14"/>
        <v>0.27052197697495367</v>
      </c>
      <c r="M158" s="10">
        <f t="shared" si="18"/>
        <v>0.30677064232306106</v>
      </c>
      <c r="P158" s="8">
        <f t="shared" si="19"/>
        <v>-21.822179593806858</v>
      </c>
    </row>
    <row r="159" spans="1:16" x14ac:dyDescent="0.2">
      <c r="A159" s="8">
        <v>78.5</v>
      </c>
      <c r="B159" s="8">
        <v>157</v>
      </c>
      <c r="D159">
        <v>476.87923250564</v>
      </c>
      <c r="E159">
        <v>203.68227990970999</v>
      </c>
      <c r="F159">
        <v>126.76083286438001</v>
      </c>
      <c r="G159">
        <v>110.12999437254</v>
      </c>
      <c r="I159" s="9">
        <f t="shared" si="15"/>
        <v>93.552285537169993</v>
      </c>
      <c r="J159" s="9">
        <f t="shared" si="16"/>
        <v>350.11839964126</v>
      </c>
      <c r="K159" s="9">
        <f t="shared" si="17"/>
        <v>93.552285537169993</v>
      </c>
      <c r="L159" s="10">
        <f t="shared" si="14"/>
        <v>0.26720185409571728</v>
      </c>
      <c r="M159" s="10">
        <f t="shared" si="18"/>
        <v>0.30368288268323562</v>
      </c>
      <c r="P159" s="8">
        <f t="shared" si="19"/>
        <v>-22.609068185074179</v>
      </c>
    </row>
    <row r="160" spans="1:16" x14ac:dyDescent="0.2">
      <c r="A160" s="8">
        <v>79</v>
      </c>
      <c r="B160" s="8">
        <v>158</v>
      </c>
      <c r="D160">
        <v>465.00902934536998</v>
      </c>
      <c r="E160">
        <v>200.88431151242</v>
      </c>
      <c r="F160">
        <v>126.79797411368</v>
      </c>
      <c r="G160">
        <v>110.12492965673</v>
      </c>
      <c r="I160" s="9">
        <f t="shared" si="15"/>
        <v>90.759381855689995</v>
      </c>
      <c r="J160" s="9">
        <f t="shared" si="16"/>
        <v>338.21105523169001</v>
      </c>
      <c r="K160" s="9">
        <f t="shared" si="17"/>
        <v>90.759381855689995</v>
      </c>
      <c r="L160" s="10">
        <f t="shared" si="14"/>
        <v>0.26835131629128939</v>
      </c>
      <c r="M160" s="10">
        <f t="shared" si="18"/>
        <v>0.30506470811821867</v>
      </c>
      <c r="P160" s="8">
        <f t="shared" si="19"/>
        <v>-22.256922034872982</v>
      </c>
    </row>
    <row r="161" spans="1:16" x14ac:dyDescent="0.2">
      <c r="A161" s="8">
        <v>79.5</v>
      </c>
      <c r="B161" s="8">
        <v>159</v>
      </c>
      <c r="D161">
        <v>462.71952595937</v>
      </c>
      <c r="E161">
        <v>199.73589164786</v>
      </c>
      <c r="F161">
        <v>126.87732132808</v>
      </c>
      <c r="G161">
        <v>110.06133933596</v>
      </c>
      <c r="I161" s="9">
        <f t="shared" si="15"/>
        <v>89.674552311900001</v>
      </c>
      <c r="J161" s="9">
        <f t="shared" si="16"/>
        <v>335.84220463128997</v>
      </c>
      <c r="K161" s="9">
        <f t="shared" si="17"/>
        <v>89.674552311900001</v>
      </c>
      <c r="L161" s="10">
        <f t="shared" si="14"/>
        <v>0.26701394605943207</v>
      </c>
      <c r="M161" s="10">
        <f t="shared" si="18"/>
        <v>0.30395970112577231</v>
      </c>
      <c r="P161" s="8">
        <f t="shared" si="19"/>
        <v>-22.538523421331877</v>
      </c>
    </row>
    <row r="162" spans="1:16" x14ac:dyDescent="0.2">
      <c r="A162" s="8">
        <v>80</v>
      </c>
      <c r="B162" s="4">
        <v>160</v>
      </c>
      <c r="C162" s="4" t="s">
        <v>7</v>
      </c>
      <c r="D162">
        <v>470.0914221219</v>
      </c>
      <c r="E162">
        <v>201.67325056433</v>
      </c>
      <c r="F162">
        <v>126.59200900394001</v>
      </c>
      <c r="G162">
        <v>110.01519414744</v>
      </c>
      <c r="H162" s="4"/>
      <c r="I162" s="5">
        <f t="shared" si="15"/>
        <v>91.658056416890005</v>
      </c>
      <c r="J162" s="5">
        <f t="shared" si="16"/>
        <v>343.49941311795999</v>
      </c>
      <c r="K162" s="9">
        <f t="shared" si="17"/>
        <v>91.658056416890005</v>
      </c>
      <c r="L162" s="6">
        <f t="shared" si="14"/>
        <v>0.26683613687984387</v>
      </c>
      <c r="M162" s="6">
        <f t="shared" si="18"/>
        <v>0.30401425518559505</v>
      </c>
      <c r="N162" s="4"/>
      <c r="O162" s="4"/>
      <c r="P162" s="4">
        <f t="shared" si="19"/>
        <v>-22.524620795386465</v>
      </c>
    </row>
    <row r="163" spans="1:16" x14ac:dyDescent="0.2">
      <c r="A163" s="8">
        <v>80.5</v>
      </c>
      <c r="B163" s="8">
        <v>161</v>
      </c>
      <c r="D163">
        <v>478.24860022396001</v>
      </c>
      <c r="E163">
        <v>203.68924972004999</v>
      </c>
      <c r="F163">
        <v>127.10523353967</v>
      </c>
      <c r="G163">
        <v>110.05402363534</v>
      </c>
      <c r="I163" s="9">
        <f t="shared" si="15"/>
        <v>93.635226084709984</v>
      </c>
      <c r="J163" s="9">
        <f t="shared" si="16"/>
        <v>351.14336668429002</v>
      </c>
      <c r="K163" s="9">
        <f t="shared" si="17"/>
        <v>93.635226084709984</v>
      </c>
      <c r="L163" s="10">
        <f t="shared" si="14"/>
        <v>0.26665810881996987</v>
      </c>
      <c r="M163" s="10">
        <f t="shared" si="18"/>
        <v>0.30406859036513201</v>
      </c>
      <c r="P163" s="8">
        <f t="shared" si="19"/>
        <v>-22.510773949171288</v>
      </c>
    </row>
    <row r="164" spans="1:16" x14ac:dyDescent="0.2">
      <c r="A164" s="8">
        <v>81</v>
      </c>
      <c r="B164" s="8">
        <v>162</v>
      </c>
      <c r="D164">
        <v>477.12318029114999</v>
      </c>
      <c r="E164">
        <v>207.4843225084</v>
      </c>
      <c r="F164">
        <v>126.45019696116999</v>
      </c>
      <c r="G164">
        <v>110.18401800788</v>
      </c>
      <c r="I164" s="9">
        <f t="shared" si="15"/>
        <v>97.300304500519999</v>
      </c>
      <c r="J164" s="9">
        <f t="shared" si="16"/>
        <v>350.67298332998001</v>
      </c>
      <c r="K164" s="9">
        <f t="shared" si="17"/>
        <v>97.300304500519999</v>
      </c>
      <c r="L164" s="10">
        <f t="shared" si="14"/>
        <v>0.27746735313498994</v>
      </c>
      <c r="M164" s="10">
        <f t="shared" si="18"/>
        <v>0.31511019791956296</v>
      </c>
      <c r="P164" s="8">
        <f t="shared" si="19"/>
        <v>-19.696916645717454</v>
      </c>
    </row>
    <row r="165" spans="1:16" x14ac:dyDescent="0.2">
      <c r="A165" s="8">
        <v>81.5</v>
      </c>
      <c r="B165" s="8">
        <v>163</v>
      </c>
      <c r="D165">
        <v>490.86483454850998</v>
      </c>
      <c r="E165">
        <v>229.89231632081001</v>
      </c>
      <c r="F165">
        <v>126.85199774902</v>
      </c>
      <c r="G165">
        <v>110.27405740011</v>
      </c>
      <c r="I165" s="9">
        <f t="shared" si="15"/>
        <v>119.61825892070001</v>
      </c>
      <c r="J165" s="9">
        <f t="shared" si="16"/>
        <v>364.01283679948995</v>
      </c>
      <c r="K165" s="9">
        <f t="shared" si="17"/>
        <v>119.61825892070001</v>
      </c>
      <c r="L165" s="10">
        <f t="shared" si="14"/>
        <v>0.32861000170329052</v>
      </c>
      <c r="M165" s="10">
        <f t="shared" si="18"/>
        <v>0.3664852097272745</v>
      </c>
      <c r="P165" s="8">
        <f t="shared" si="19"/>
        <v>-6.6044433371416762</v>
      </c>
    </row>
    <row r="166" spans="1:16" x14ac:dyDescent="0.2">
      <c r="A166" s="8">
        <v>82</v>
      </c>
      <c r="B166" s="8">
        <v>164</v>
      </c>
      <c r="D166">
        <v>481.51605633803001</v>
      </c>
      <c r="E166">
        <v>233.53352112676001</v>
      </c>
      <c r="F166">
        <v>126.40855374226</v>
      </c>
      <c r="G166">
        <v>110.24817107485001</v>
      </c>
      <c r="I166" s="9">
        <f t="shared" si="15"/>
        <v>123.28535005191</v>
      </c>
      <c r="J166" s="9">
        <f t="shared" si="16"/>
        <v>355.10750259577003</v>
      </c>
      <c r="K166" s="9">
        <f t="shared" si="17"/>
        <v>123.28535005191</v>
      </c>
      <c r="L166" s="10">
        <f t="shared" si="14"/>
        <v>0.34717754243635218</v>
      </c>
      <c r="M166" s="10">
        <f t="shared" si="18"/>
        <v>0.38528511369974711</v>
      </c>
      <c r="P166" s="8">
        <f t="shared" si="19"/>
        <v>-1.8134519134386937</v>
      </c>
    </row>
    <row r="167" spans="1:16" x14ac:dyDescent="0.2">
      <c r="A167" s="8">
        <v>82.5</v>
      </c>
      <c r="B167" s="8">
        <v>165</v>
      </c>
      <c r="D167">
        <v>474.62339115837</v>
      </c>
      <c r="E167">
        <v>235.95914941242</v>
      </c>
      <c r="F167">
        <v>126.72537985369</v>
      </c>
      <c r="G167">
        <v>110.41361845807999</v>
      </c>
      <c r="I167" s="9">
        <f t="shared" si="15"/>
        <v>125.54553095434001</v>
      </c>
      <c r="J167" s="9">
        <f t="shared" si="16"/>
        <v>347.89801130467998</v>
      </c>
      <c r="K167" s="9">
        <f t="shared" si="17"/>
        <v>125.54553095434001</v>
      </c>
      <c r="L167" s="10">
        <f t="shared" si="14"/>
        <v>0.36086878014485263</v>
      </c>
      <c r="M167" s="10">
        <f t="shared" si="18"/>
        <v>0.3992087146476585</v>
      </c>
      <c r="P167" s="8">
        <f t="shared" si="19"/>
        <v>1.7348562495275575</v>
      </c>
    </row>
    <row r="168" spans="1:16" x14ac:dyDescent="0.2">
      <c r="A168" s="8">
        <v>83</v>
      </c>
      <c r="B168" s="8">
        <v>166</v>
      </c>
      <c r="D168">
        <v>473.55162738496</v>
      </c>
      <c r="E168">
        <v>238.79180695847</v>
      </c>
      <c r="F168">
        <v>126.28137310072999</v>
      </c>
      <c r="G168">
        <v>110.12211592572</v>
      </c>
      <c r="I168" s="9">
        <f t="shared" si="15"/>
        <v>128.66969103274999</v>
      </c>
      <c r="J168" s="9">
        <f t="shared" si="16"/>
        <v>347.27025428423002</v>
      </c>
      <c r="K168" s="9">
        <f t="shared" si="17"/>
        <v>128.66969103274999</v>
      </c>
      <c r="L168" s="10">
        <f t="shared" si="14"/>
        <v>0.37051745562819732</v>
      </c>
      <c r="M168" s="10">
        <f t="shared" si="18"/>
        <v>0.40908975337041414</v>
      </c>
      <c r="P168" s="8">
        <f t="shared" si="19"/>
        <v>4.2529527167922829</v>
      </c>
    </row>
    <row r="169" spans="1:16" x14ac:dyDescent="0.2">
      <c r="A169" s="8">
        <v>83.5</v>
      </c>
      <c r="B169" s="8">
        <v>167</v>
      </c>
      <c r="D169">
        <v>472.64590347924002</v>
      </c>
      <c r="E169">
        <v>247.53647586981</v>
      </c>
      <c r="F169">
        <v>126.86719189646</v>
      </c>
      <c r="G169">
        <v>110.28024760833</v>
      </c>
      <c r="I169" s="9">
        <f t="shared" si="15"/>
        <v>137.25622826148</v>
      </c>
      <c r="J169" s="9">
        <f t="shared" si="16"/>
        <v>345.77871158278003</v>
      </c>
      <c r="K169" s="9">
        <f t="shared" si="17"/>
        <v>137.25622826148</v>
      </c>
      <c r="L169" s="10">
        <f t="shared" si="14"/>
        <v>0.39694817426208329</v>
      </c>
      <c r="M169" s="10">
        <f t="shared" si="18"/>
        <v>0.43575283524371106</v>
      </c>
      <c r="P169" s="8">
        <f t="shared" si="19"/>
        <v>11.047806391124904</v>
      </c>
    </row>
    <row r="170" spans="1:16" x14ac:dyDescent="0.2">
      <c r="A170" s="8">
        <v>84</v>
      </c>
      <c r="B170" s="8">
        <v>168</v>
      </c>
      <c r="D170">
        <v>492.08871420550003</v>
      </c>
      <c r="E170">
        <v>260.38349241998998</v>
      </c>
      <c r="F170">
        <v>126.97298818233</v>
      </c>
      <c r="G170">
        <v>110.36972425435999</v>
      </c>
      <c r="I170" s="9">
        <f t="shared" si="15"/>
        <v>150.01376816562998</v>
      </c>
      <c r="J170" s="9">
        <f t="shared" si="16"/>
        <v>365.11572602317005</v>
      </c>
      <c r="K170" s="9">
        <f t="shared" si="17"/>
        <v>150.01376816562998</v>
      </c>
      <c r="L170" s="10">
        <f t="shared" si="14"/>
        <v>0.41086635681123795</v>
      </c>
      <c r="M170" s="10">
        <f t="shared" si="18"/>
        <v>0.44990338103227667</v>
      </c>
      <c r="P170" s="8">
        <f t="shared" si="19"/>
        <v>14.653949465738577</v>
      </c>
    </row>
    <row r="171" spans="1:16" x14ac:dyDescent="0.2">
      <c r="A171" s="8">
        <v>84.5</v>
      </c>
      <c r="B171" s="8">
        <v>169</v>
      </c>
      <c r="D171">
        <v>494.15263748596999</v>
      </c>
      <c r="E171">
        <v>269.69753086420002</v>
      </c>
      <c r="F171">
        <v>126.68036015756999</v>
      </c>
      <c r="G171">
        <v>109.94428812606</v>
      </c>
      <c r="I171" s="9">
        <f t="shared" si="15"/>
        <v>159.75324273814002</v>
      </c>
      <c r="J171" s="9">
        <f t="shared" si="16"/>
        <v>367.47227732839997</v>
      </c>
      <c r="K171" s="9">
        <f t="shared" si="17"/>
        <v>159.75324273814002</v>
      </c>
      <c r="L171" s="10">
        <f t="shared" si="14"/>
        <v>0.43473549596606137</v>
      </c>
      <c r="M171" s="10">
        <f t="shared" si="18"/>
        <v>0.47400488342651104</v>
      </c>
      <c r="P171" s="8">
        <f t="shared" si="19"/>
        <v>20.796006969766715</v>
      </c>
    </row>
    <row r="172" spans="1:16" x14ac:dyDescent="0.2">
      <c r="A172" s="8">
        <v>85</v>
      </c>
      <c r="B172" s="8">
        <v>170</v>
      </c>
      <c r="D172">
        <v>487.64623172104001</v>
      </c>
      <c r="E172">
        <v>270.06524184477001</v>
      </c>
      <c r="F172">
        <v>126.67191896455</v>
      </c>
      <c r="G172">
        <v>110.47383230163</v>
      </c>
      <c r="I172" s="9">
        <f t="shared" si="15"/>
        <v>159.59140954314</v>
      </c>
      <c r="J172" s="9">
        <f t="shared" si="16"/>
        <v>360.97431275649001</v>
      </c>
      <c r="K172" s="9">
        <f t="shared" si="17"/>
        <v>159.59140954314</v>
      </c>
      <c r="L172" s="10">
        <f t="shared" si="14"/>
        <v>0.44211292577707301</v>
      </c>
      <c r="M172" s="10">
        <f t="shared" si="18"/>
        <v>0.48161467647693362</v>
      </c>
      <c r="P172" s="8">
        <f t="shared" si="19"/>
        <v>22.735296303058668</v>
      </c>
    </row>
    <row r="173" spans="1:16" x14ac:dyDescent="0.2">
      <c r="A173" s="8">
        <v>85.5</v>
      </c>
      <c r="B173" s="8">
        <v>171</v>
      </c>
      <c r="D173">
        <v>488.31102362205002</v>
      </c>
      <c r="E173">
        <v>271.88695163105001</v>
      </c>
      <c r="F173">
        <v>126.9611705121</v>
      </c>
      <c r="G173">
        <v>110.19471018570999</v>
      </c>
      <c r="I173" s="9">
        <f t="shared" si="15"/>
        <v>161.69224144534002</v>
      </c>
      <c r="J173" s="9">
        <f t="shared" si="16"/>
        <v>361.34985310995</v>
      </c>
      <c r="K173" s="9">
        <f t="shared" si="17"/>
        <v>161.69224144534002</v>
      </c>
      <c r="L173" s="10">
        <f t="shared" si="14"/>
        <v>0.44746729534753948</v>
      </c>
      <c r="M173" s="10">
        <f t="shared" si="18"/>
        <v>0.48720140928681105</v>
      </c>
      <c r="P173" s="8">
        <f t="shared" si="19"/>
        <v>24.159026393267339</v>
      </c>
    </row>
    <row r="174" spans="1:16" x14ac:dyDescent="0.2">
      <c r="A174" s="8">
        <v>86</v>
      </c>
      <c r="B174" s="8">
        <v>172</v>
      </c>
      <c r="D174">
        <v>494.58281864121</v>
      </c>
      <c r="E174">
        <v>282.75687815833999</v>
      </c>
      <c r="F174">
        <v>126.85875070343</v>
      </c>
      <c r="G174">
        <v>109.93528418683</v>
      </c>
      <c r="I174" s="9">
        <f t="shared" si="15"/>
        <v>172.82159397150997</v>
      </c>
      <c r="J174" s="9">
        <f t="shared" si="16"/>
        <v>367.72406793777998</v>
      </c>
      <c r="K174" s="9">
        <f t="shared" si="17"/>
        <v>172.82159397150997</v>
      </c>
      <c r="L174" s="10">
        <f t="shared" si="14"/>
        <v>0.46997629211681596</v>
      </c>
      <c r="M174" s="10">
        <f t="shared" si="18"/>
        <v>0.50994276929549842</v>
      </c>
      <c r="P174" s="8">
        <f t="shared" si="19"/>
        <v>29.954463482972503</v>
      </c>
    </row>
    <row r="175" spans="1:16" x14ac:dyDescent="0.2">
      <c r="A175" s="8">
        <v>86.5</v>
      </c>
      <c r="B175" s="8">
        <v>173</v>
      </c>
      <c r="D175">
        <v>478.46378439079001</v>
      </c>
      <c r="E175">
        <v>277.79674340257998</v>
      </c>
      <c r="F175">
        <v>127.09116488463999</v>
      </c>
      <c r="G175">
        <v>110.37310073157001</v>
      </c>
      <c r="I175" s="9">
        <f t="shared" si="15"/>
        <v>167.42364267100999</v>
      </c>
      <c r="J175" s="9">
        <f t="shared" si="16"/>
        <v>351.37261950615004</v>
      </c>
      <c r="K175" s="9">
        <f t="shared" si="17"/>
        <v>167.42364267100999</v>
      </c>
      <c r="L175" s="10">
        <f t="shared" si="14"/>
        <v>0.47648460174933915</v>
      </c>
      <c r="M175" s="10">
        <f t="shared" si="18"/>
        <v>0.51668344216743256</v>
      </c>
      <c r="P175" s="8">
        <f t="shared" si="19"/>
        <v>31.672265125295272</v>
      </c>
    </row>
    <row r="176" spans="1:16" x14ac:dyDescent="0.2">
      <c r="A176" s="8">
        <v>87</v>
      </c>
      <c r="B176" s="8">
        <v>174</v>
      </c>
      <c r="D176">
        <v>496.66254912969998</v>
      </c>
      <c r="E176">
        <v>291.82987085907001</v>
      </c>
      <c r="F176">
        <v>126.61845807541</v>
      </c>
      <c r="G176">
        <v>110.25886325267</v>
      </c>
      <c r="I176" s="9">
        <f t="shared" si="15"/>
        <v>181.57100760640003</v>
      </c>
      <c r="J176" s="9">
        <f t="shared" si="16"/>
        <v>370.04409105428999</v>
      </c>
      <c r="K176" s="9">
        <f t="shared" si="17"/>
        <v>181.57100760640003</v>
      </c>
      <c r="L176" s="10">
        <f t="shared" si="14"/>
        <v>0.4906739818195377</v>
      </c>
      <c r="M176" s="10">
        <f t="shared" si="18"/>
        <v>0.53110518547704211</v>
      </c>
      <c r="P176" s="8">
        <f t="shared" si="19"/>
        <v>35.347520520873644</v>
      </c>
    </row>
    <row r="177" spans="1:16" x14ac:dyDescent="0.2">
      <c r="A177" s="8">
        <v>87.5</v>
      </c>
      <c r="B177" s="8">
        <v>175</v>
      </c>
      <c r="D177">
        <v>500.76979225154003</v>
      </c>
      <c r="E177">
        <v>294.44076361595</v>
      </c>
      <c r="F177">
        <v>127.02644907147</v>
      </c>
      <c r="G177">
        <v>110.02926280248001</v>
      </c>
      <c r="I177" s="9">
        <f t="shared" si="15"/>
        <v>184.41150081347001</v>
      </c>
      <c r="J177" s="9">
        <f t="shared" si="16"/>
        <v>373.74334318007004</v>
      </c>
      <c r="K177" s="9">
        <f t="shared" si="17"/>
        <v>184.41150081347001</v>
      </c>
      <c r="L177" s="10">
        <f t="shared" si="14"/>
        <v>0.49341748603297614</v>
      </c>
      <c r="M177" s="10">
        <f t="shared" si="18"/>
        <v>0.5340810529298915</v>
      </c>
      <c r="P177" s="8">
        <f t="shared" si="19"/>
        <v>36.10589436499297</v>
      </c>
    </row>
    <row r="178" spans="1:16" x14ac:dyDescent="0.2">
      <c r="A178" s="8">
        <v>88</v>
      </c>
      <c r="B178" s="8">
        <v>176</v>
      </c>
      <c r="D178">
        <v>496.64233576641999</v>
      </c>
      <c r="E178">
        <v>289.88882650197002</v>
      </c>
      <c r="F178">
        <v>127.03038829488</v>
      </c>
      <c r="G178">
        <v>110.31063590321</v>
      </c>
      <c r="I178" s="9">
        <f t="shared" si="15"/>
        <v>179.57819059876002</v>
      </c>
      <c r="J178" s="9">
        <f t="shared" si="16"/>
        <v>369.61194747154002</v>
      </c>
      <c r="K178" s="9">
        <f t="shared" si="17"/>
        <v>179.57819059876002</v>
      </c>
      <c r="L178" s="10">
        <f t="shared" si="14"/>
        <v>0.48585602231537028</v>
      </c>
      <c r="M178" s="10">
        <f t="shared" si="18"/>
        <v>0.52675195245169659</v>
      </c>
      <c r="P178" s="8">
        <f t="shared" si="19"/>
        <v>34.238137083577932</v>
      </c>
    </row>
    <row r="179" spans="1:16" x14ac:dyDescent="0.2">
      <c r="A179" s="8">
        <v>88.5</v>
      </c>
      <c r="B179" s="8">
        <v>177</v>
      </c>
      <c r="D179">
        <v>487.88291316527</v>
      </c>
      <c r="E179">
        <v>285.23585434173998</v>
      </c>
      <c r="F179">
        <v>126.81935846933</v>
      </c>
      <c r="G179">
        <v>110.33933595948</v>
      </c>
      <c r="I179" s="9">
        <f t="shared" si="15"/>
        <v>174.89651838225998</v>
      </c>
      <c r="J179" s="9">
        <f t="shared" si="16"/>
        <v>361.06355469594001</v>
      </c>
      <c r="K179" s="9">
        <f t="shared" si="17"/>
        <v>174.89651838225998</v>
      </c>
      <c r="L179" s="10">
        <f t="shared" si="14"/>
        <v>0.48439261206948564</v>
      </c>
      <c r="M179" s="10">
        <f t="shared" si="18"/>
        <v>0.5255209054452229</v>
      </c>
      <c r="P179" s="8">
        <f t="shared" si="19"/>
        <v>33.924415499742892</v>
      </c>
    </row>
    <row r="180" spans="1:16" x14ac:dyDescent="0.2">
      <c r="A180" s="8">
        <v>89</v>
      </c>
      <c r="B180" s="8">
        <v>178</v>
      </c>
      <c r="D180">
        <v>481.19271708683999</v>
      </c>
      <c r="E180">
        <v>280.14229691877</v>
      </c>
      <c r="F180">
        <v>126.89532920652999</v>
      </c>
      <c r="G180">
        <v>110.13899831176001</v>
      </c>
      <c r="I180" s="9">
        <f t="shared" si="15"/>
        <v>170.00329860700998</v>
      </c>
      <c r="J180" s="9">
        <f t="shared" si="16"/>
        <v>354.29738788031</v>
      </c>
      <c r="K180" s="9">
        <f t="shared" si="17"/>
        <v>170.00329860700998</v>
      </c>
      <c r="L180" s="10">
        <f t="shared" si="14"/>
        <v>0.47983220995250775</v>
      </c>
      <c r="M180" s="10">
        <f t="shared" si="18"/>
        <v>0.52119286656765595</v>
      </c>
      <c r="P180" s="8">
        <f t="shared" si="19"/>
        <v>32.82145257108975</v>
      </c>
    </row>
    <row r="181" spans="1:16" x14ac:dyDescent="0.2">
      <c r="A181" s="8">
        <v>89.5</v>
      </c>
      <c r="B181" s="8">
        <v>179</v>
      </c>
      <c r="D181">
        <v>484.86386554621998</v>
      </c>
      <c r="E181">
        <v>276.47675070027998</v>
      </c>
      <c r="F181">
        <v>126.92853123240999</v>
      </c>
      <c r="G181">
        <v>109.94710185706001</v>
      </c>
      <c r="I181" s="9">
        <f t="shared" si="15"/>
        <v>166.52964884321997</v>
      </c>
      <c r="J181" s="9">
        <f t="shared" si="16"/>
        <v>357.93533431381002</v>
      </c>
      <c r="K181" s="9">
        <f t="shared" si="17"/>
        <v>166.52964884321997</v>
      </c>
      <c r="L181" s="10">
        <f t="shared" si="14"/>
        <v>0.4652506552963549</v>
      </c>
      <c r="M181" s="10">
        <f t="shared" si="18"/>
        <v>0.506843675150914</v>
      </c>
      <c r="P181" s="8">
        <f t="shared" si="19"/>
        <v>29.164686392105839</v>
      </c>
    </row>
    <row r="182" spans="1:16" x14ac:dyDescent="0.2">
      <c r="A182" s="8">
        <v>90</v>
      </c>
      <c r="B182" s="8">
        <v>180</v>
      </c>
      <c r="D182">
        <v>485.83921568626999</v>
      </c>
      <c r="E182">
        <v>275.65994397758999</v>
      </c>
      <c r="F182">
        <v>126.6550365785</v>
      </c>
      <c r="G182">
        <v>110.14012380416</v>
      </c>
      <c r="I182" s="9">
        <f t="shared" si="15"/>
        <v>165.51982017342999</v>
      </c>
      <c r="J182" s="9">
        <f t="shared" si="16"/>
        <v>359.18417910776998</v>
      </c>
      <c r="K182" s="9">
        <f t="shared" si="17"/>
        <v>165.51982017342999</v>
      </c>
      <c r="L182" s="10">
        <f t="shared" si="14"/>
        <v>0.46082157790075506</v>
      </c>
      <c r="M182" s="10">
        <f>L182+ABS($N$2)*A182</f>
        <v>0.50264696099472517</v>
      </c>
      <c r="P182" s="8">
        <f t="shared" si="19"/>
        <v>28.09519042236716</v>
      </c>
    </row>
    <row r="183" spans="1:16" x14ac:dyDescent="0.2">
      <c r="A183" s="8">
        <v>90.5</v>
      </c>
      <c r="B183" s="8">
        <v>181</v>
      </c>
      <c r="D183">
        <v>483.82352941176998</v>
      </c>
      <c r="E183">
        <v>273.80336134454001</v>
      </c>
      <c r="F183">
        <v>126.768148565</v>
      </c>
      <c r="G183">
        <v>110.04783342712</v>
      </c>
      <c r="I183" s="9">
        <f t="shared" si="15"/>
        <v>163.75552791742001</v>
      </c>
      <c r="J183" s="9">
        <f t="shared" si="16"/>
        <v>357.05538084676999</v>
      </c>
      <c r="K183" s="9">
        <f t="shared" si="17"/>
        <v>163.75552791742001</v>
      </c>
      <c r="L183" s="10">
        <f t="shared" si="14"/>
        <v>0.45862781154303778</v>
      </c>
      <c r="M183" s="10">
        <f t="shared" ref="M183:M241" si="20">L183+ABS($N$2)*A183</f>
        <v>0.50068555787641877</v>
      </c>
      <c r="P183" s="8">
        <f t="shared" si="19"/>
        <v>27.595343958683639</v>
      </c>
    </row>
    <row r="184" spans="1:16" x14ac:dyDescent="0.2">
      <c r="A184" s="8">
        <v>91</v>
      </c>
      <c r="B184" s="8">
        <v>182</v>
      </c>
      <c r="D184">
        <v>478.93221288515002</v>
      </c>
      <c r="E184">
        <v>272.88067226891002</v>
      </c>
      <c r="F184">
        <v>126.63871693866</v>
      </c>
      <c r="G184">
        <v>110.35340461452</v>
      </c>
      <c r="I184" s="9">
        <f t="shared" si="15"/>
        <v>162.52726765439002</v>
      </c>
      <c r="J184" s="9">
        <f t="shared" si="16"/>
        <v>352.29349594649</v>
      </c>
      <c r="K184" s="9">
        <f t="shared" si="17"/>
        <v>162.52726765439002</v>
      </c>
      <c r="L184" s="10">
        <f t="shared" si="14"/>
        <v>0.46134052863433034</v>
      </c>
      <c r="M184" s="10">
        <f t="shared" si="20"/>
        <v>0.50363063820712228</v>
      </c>
      <c r="P184" s="8">
        <f t="shared" si="19"/>
        <v>28.345871973463765</v>
      </c>
    </row>
    <row r="185" spans="1:16" x14ac:dyDescent="0.2">
      <c r="A185" s="8">
        <v>91.5</v>
      </c>
      <c r="B185" s="8">
        <v>183</v>
      </c>
      <c r="D185">
        <v>487.39719101124001</v>
      </c>
      <c r="E185">
        <v>280.51404494382001</v>
      </c>
      <c r="F185">
        <v>126.59819921216</v>
      </c>
      <c r="G185">
        <v>110.05683736635</v>
      </c>
      <c r="I185" s="9">
        <f t="shared" si="15"/>
        <v>170.45720757747</v>
      </c>
      <c r="J185" s="9">
        <f t="shared" si="16"/>
        <v>360.79899179908</v>
      </c>
      <c r="K185" s="9">
        <f t="shared" si="17"/>
        <v>170.45720757747</v>
      </c>
      <c r="L185" s="10">
        <f t="shared" si="14"/>
        <v>0.47244369150674731</v>
      </c>
      <c r="M185" s="10">
        <f t="shared" si="20"/>
        <v>0.51496616431895026</v>
      </c>
      <c r="P185" s="8">
        <f t="shared" si="19"/>
        <v>31.234631855665775</v>
      </c>
    </row>
    <row r="186" spans="1:16" x14ac:dyDescent="0.2">
      <c r="A186" s="8">
        <v>92</v>
      </c>
      <c r="B186" s="8">
        <v>184</v>
      </c>
      <c r="D186">
        <v>478.68202247190999</v>
      </c>
      <c r="E186">
        <v>278.39044943819999</v>
      </c>
      <c r="F186">
        <v>126.86043894204001</v>
      </c>
      <c r="G186">
        <v>110.5396736072</v>
      </c>
      <c r="I186" s="9">
        <f t="shared" si="15"/>
        <v>167.85077583099999</v>
      </c>
      <c r="J186" s="9">
        <f t="shared" si="16"/>
        <v>351.82158352987</v>
      </c>
      <c r="K186" s="9">
        <f t="shared" si="17"/>
        <v>167.85077583099999</v>
      </c>
      <c r="L186" s="10">
        <f t="shared" si="14"/>
        <v>0.47709061549587761</v>
      </c>
      <c r="M186" s="10">
        <f t="shared" si="20"/>
        <v>0.51984545154749151</v>
      </c>
      <c r="P186" s="8">
        <f t="shared" si="19"/>
        <v>32.478075614737804</v>
      </c>
    </row>
    <row r="187" spans="1:16" x14ac:dyDescent="0.2">
      <c r="A187" s="8">
        <v>92.5</v>
      </c>
      <c r="B187" s="8">
        <v>185</v>
      </c>
      <c r="D187">
        <v>484.95165823496001</v>
      </c>
      <c r="E187">
        <v>280.52107925800999</v>
      </c>
      <c r="F187">
        <v>126.62746201463</v>
      </c>
      <c r="G187">
        <v>110.35565559933001</v>
      </c>
      <c r="I187" s="9">
        <f t="shared" si="15"/>
        <v>170.16542365867997</v>
      </c>
      <c r="J187" s="9">
        <f t="shared" si="16"/>
        <v>358.32419622033001</v>
      </c>
      <c r="K187" s="9">
        <f t="shared" si="17"/>
        <v>170.16542365867997</v>
      </c>
      <c r="L187" s="10">
        <f t="shared" si="14"/>
        <v>0.47489236131306894</v>
      </c>
      <c r="M187" s="10">
        <f t="shared" si="20"/>
        <v>0.51787956060409368</v>
      </c>
      <c r="P187" s="8">
        <f t="shared" si="19"/>
        <v>31.977085468003796</v>
      </c>
    </row>
    <row r="188" spans="1:16" x14ac:dyDescent="0.2">
      <c r="A188" s="8">
        <v>93</v>
      </c>
      <c r="B188" s="8">
        <v>186</v>
      </c>
      <c r="D188">
        <v>486.56323777402997</v>
      </c>
      <c r="E188">
        <v>283.05002810567998</v>
      </c>
      <c r="F188">
        <v>126.67979741137</v>
      </c>
      <c r="G188">
        <v>110.24873382105</v>
      </c>
      <c r="I188" s="9">
        <f t="shared" si="15"/>
        <v>172.80129428462999</v>
      </c>
      <c r="J188" s="9">
        <f t="shared" si="16"/>
        <v>359.88344036265994</v>
      </c>
      <c r="K188" s="9">
        <f t="shared" si="17"/>
        <v>172.80129428462999</v>
      </c>
      <c r="L188" s="10">
        <f t="shared" si="14"/>
        <v>0.4801590595846687</v>
      </c>
      <c r="M188" s="10">
        <f t="shared" si="20"/>
        <v>0.52337862211510444</v>
      </c>
      <c r="P188" s="8">
        <f t="shared" si="19"/>
        <v>33.378473292975897</v>
      </c>
    </row>
    <row r="189" spans="1:16" x14ac:dyDescent="0.2">
      <c r="A189" s="8">
        <v>93.5</v>
      </c>
      <c r="B189" s="8">
        <v>187</v>
      </c>
      <c r="D189">
        <v>497.42046093311001</v>
      </c>
      <c r="E189">
        <v>291.70938729622998</v>
      </c>
      <c r="F189">
        <v>126.70737197523999</v>
      </c>
      <c r="G189">
        <v>110.29656724817001</v>
      </c>
      <c r="I189" s="9">
        <f t="shared" si="15"/>
        <v>181.41282004805998</v>
      </c>
      <c r="J189" s="9">
        <f t="shared" si="16"/>
        <v>370.71308895787001</v>
      </c>
      <c r="K189" s="9">
        <f t="shared" si="17"/>
        <v>181.41282004805998</v>
      </c>
      <c r="L189" s="10">
        <f t="shared" si="14"/>
        <v>0.48936178800170932</v>
      </c>
      <c r="M189" s="10">
        <f t="shared" si="20"/>
        <v>0.53281371377155595</v>
      </c>
      <c r="P189" s="8">
        <f t="shared" si="19"/>
        <v>35.782924043048823</v>
      </c>
    </row>
    <row r="190" spans="1:16" x14ac:dyDescent="0.2">
      <c r="A190" s="8">
        <v>94</v>
      </c>
      <c r="B190" s="8">
        <v>188</v>
      </c>
      <c r="D190">
        <v>482.64510686163999</v>
      </c>
      <c r="E190">
        <v>284.60067491564001</v>
      </c>
      <c r="F190">
        <v>126.48171074845</v>
      </c>
      <c r="G190">
        <v>110.21834552617</v>
      </c>
      <c r="I190" s="9">
        <f t="shared" si="15"/>
        <v>174.38232938947002</v>
      </c>
      <c r="J190" s="9">
        <f t="shared" si="16"/>
        <v>356.16339611319</v>
      </c>
      <c r="K190" s="9">
        <f t="shared" si="17"/>
        <v>174.38232938947002</v>
      </c>
      <c r="L190" s="10">
        <f t="shared" si="14"/>
        <v>0.48961328225332479</v>
      </c>
      <c r="M190" s="10">
        <f t="shared" si="20"/>
        <v>0.53329757126258237</v>
      </c>
      <c r="P190" s="8">
        <f t="shared" si="19"/>
        <v>35.906230901062372</v>
      </c>
    </row>
    <row r="191" spans="1:16" x14ac:dyDescent="0.2">
      <c r="A191" s="8">
        <v>94.5</v>
      </c>
      <c r="B191" s="8">
        <v>189</v>
      </c>
      <c r="D191">
        <v>473.56942102304998</v>
      </c>
      <c r="E191">
        <v>278.53063518830999</v>
      </c>
      <c r="F191">
        <v>126.60551491277</v>
      </c>
      <c r="G191">
        <v>109.99380979178</v>
      </c>
      <c r="I191" s="9">
        <f t="shared" si="15"/>
        <v>168.53682539652999</v>
      </c>
      <c r="J191" s="9">
        <f t="shared" si="16"/>
        <v>346.96390611027999</v>
      </c>
      <c r="K191" s="9">
        <f t="shared" si="17"/>
        <v>168.53682539652999</v>
      </c>
      <c r="L191" s="10">
        <f t="shared" si="14"/>
        <v>0.48574742913737479</v>
      </c>
      <c r="M191" s="10">
        <f t="shared" si="20"/>
        <v>0.52966408138604337</v>
      </c>
      <c r="P191" s="8">
        <f t="shared" si="19"/>
        <v>34.980267722628092</v>
      </c>
    </row>
    <row r="192" spans="1:16" x14ac:dyDescent="0.2">
      <c r="A192" s="8">
        <v>95</v>
      </c>
      <c r="B192" s="8">
        <v>190</v>
      </c>
      <c r="D192">
        <v>493.80269058296</v>
      </c>
      <c r="E192">
        <v>287.92544843049001</v>
      </c>
      <c r="F192">
        <v>126.69442881261</v>
      </c>
      <c r="G192">
        <v>110.18739448509</v>
      </c>
      <c r="I192" s="9">
        <f t="shared" si="15"/>
        <v>177.7380539454</v>
      </c>
      <c r="J192" s="9">
        <f t="shared" si="16"/>
        <v>367.10826177035</v>
      </c>
      <c r="K192" s="9">
        <f t="shared" si="17"/>
        <v>177.7380539454</v>
      </c>
      <c r="L192" s="10">
        <f t="shared" si="14"/>
        <v>0.4841570524408047</v>
      </c>
      <c r="M192" s="10">
        <f t="shared" si="20"/>
        <v>0.52830606792888424</v>
      </c>
      <c r="P192" s="8">
        <f t="shared" si="19"/>
        <v>34.634189847121426</v>
      </c>
    </row>
    <row r="193" spans="1:16" x14ac:dyDescent="0.2">
      <c r="A193" s="8">
        <v>95.5</v>
      </c>
      <c r="B193" s="8">
        <v>191</v>
      </c>
      <c r="D193">
        <v>479.61659192824999</v>
      </c>
      <c r="E193">
        <v>281.81053811659001</v>
      </c>
      <c r="F193">
        <v>126.66629150253</v>
      </c>
      <c r="G193">
        <v>110.20540236353</v>
      </c>
      <c r="I193" s="9">
        <f t="shared" si="15"/>
        <v>171.60513575306001</v>
      </c>
      <c r="J193" s="9">
        <f t="shared" si="16"/>
        <v>352.95030042572</v>
      </c>
      <c r="K193" s="9">
        <f t="shared" si="17"/>
        <v>171.60513575306001</v>
      </c>
      <c r="L193" s="10">
        <f t="shared" si="14"/>
        <v>0.48620198239263179</v>
      </c>
      <c r="M193" s="10">
        <f t="shared" si="20"/>
        <v>0.53058336112012228</v>
      </c>
      <c r="P193" s="8">
        <f t="shared" si="19"/>
        <v>35.214538138498561</v>
      </c>
    </row>
    <row r="194" spans="1:16" x14ac:dyDescent="0.2">
      <c r="A194" s="8">
        <v>96</v>
      </c>
      <c r="B194" s="8">
        <v>192</v>
      </c>
      <c r="D194">
        <v>478.60369955157</v>
      </c>
      <c r="E194">
        <v>277.41872197308999</v>
      </c>
      <c r="F194">
        <v>126.85537422621999</v>
      </c>
      <c r="G194">
        <v>110.05120990432999</v>
      </c>
      <c r="I194" s="9">
        <f t="shared" si="15"/>
        <v>167.36751206875999</v>
      </c>
      <c r="J194" s="9">
        <f t="shared" si="16"/>
        <v>351.74832532535004</v>
      </c>
      <c r="K194" s="9">
        <f t="shared" si="17"/>
        <v>167.36751206875999</v>
      </c>
      <c r="L194" s="10">
        <f t="shared" ref="L194:L257" si="21">K194/J194</f>
        <v>0.47581608786325624</v>
      </c>
      <c r="M194" s="10">
        <f t="shared" si="20"/>
        <v>0.52042982983015762</v>
      </c>
      <c r="P194" s="8">
        <f t="shared" si="19"/>
        <v>32.626999319058378</v>
      </c>
    </row>
    <row r="195" spans="1:16" x14ac:dyDescent="0.2">
      <c r="A195" s="8">
        <v>96.5</v>
      </c>
      <c r="B195" s="8">
        <v>193</v>
      </c>
      <c r="D195">
        <v>497.12955692652997</v>
      </c>
      <c r="E195">
        <v>283.23387549074999</v>
      </c>
      <c r="F195">
        <v>126.83005064715999</v>
      </c>
      <c r="G195">
        <v>110.12943162633999</v>
      </c>
      <c r="I195" s="9">
        <f t="shared" ref="I195:I241" si="22">E195-G195</f>
        <v>173.10444386441</v>
      </c>
      <c r="J195" s="9">
        <f t="shared" ref="J195:J241" si="23">D195-F195</f>
        <v>370.29950627937001</v>
      </c>
      <c r="K195" s="9">
        <f t="shared" ref="K195:K258" si="24">I195*1</f>
        <v>173.10444386441</v>
      </c>
      <c r="L195" s="10">
        <f t="shared" si="21"/>
        <v>0.46747144116852402</v>
      </c>
      <c r="M195" s="10">
        <f t="shared" si="20"/>
        <v>0.5123175463748364</v>
      </c>
      <c r="P195" s="8">
        <f t="shared" ref="P195:P241" si="25">(M195-$O$2)/$O$2*100</f>
        <v>30.559654692298572</v>
      </c>
    </row>
    <row r="196" spans="1:16" x14ac:dyDescent="0.2">
      <c r="A196" s="8">
        <v>97</v>
      </c>
      <c r="B196" s="8">
        <v>194</v>
      </c>
      <c r="D196">
        <v>483.44600674916001</v>
      </c>
      <c r="E196">
        <v>276.15860517434999</v>
      </c>
      <c r="F196">
        <v>126.54192459201001</v>
      </c>
      <c r="G196">
        <v>110.06696679797</v>
      </c>
      <c r="I196" s="9">
        <f t="shared" si="22"/>
        <v>166.09163837637999</v>
      </c>
      <c r="J196" s="9">
        <f t="shared" si="23"/>
        <v>356.90408215715001</v>
      </c>
      <c r="K196" s="9">
        <f t="shared" si="24"/>
        <v>166.09163837637999</v>
      </c>
      <c r="L196" s="10">
        <f t="shared" si="21"/>
        <v>0.4653677183306843</v>
      </c>
      <c r="M196" s="10">
        <f t="shared" si="20"/>
        <v>0.51044618677640763</v>
      </c>
      <c r="P196" s="8">
        <f t="shared" si="25"/>
        <v>30.082755033669233</v>
      </c>
    </row>
    <row r="197" spans="1:16" x14ac:dyDescent="0.2">
      <c r="A197" s="8">
        <v>97.5</v>
      </c>
      <c r="B197" s="8">
        <v>195</v>
      </c>
      <c r="D197">
        <v>474.21360314783999</v>
      </c>
      <c r="E197">
        <v>272.13041034289</v>
      </c>
      <c r="F197">
        <v>126.50872256612</v>
      </c>
      <c r="G197">
        <v>110.2689926843</v>
      </c>
      <c r="I197" s="9">
        <f t="shared" si="22"/>
        <v>161.86141765859</v>
      </c>
      <c r="J197" s="9">
        <f t="shared" si="23"/>
        <v>347.70488058171998</v>
      </c>
      <c r="K197" s="9">
        <f t="shared" si="24"/>
        <v>161.86141765859</v>
      </c>
      <c r="L197" s="10">
        <f t="shared" si="21"/>
        <v>0.46551379258120085</v>
      </c>
      <c r="M197" s="10">
        <f t="shared" si="20"/>
        <v>0.51082462426633513</v>
      </c>
      <c r="P197" s="8">
        <f t="shared" si="25"/>
        <v>30.179196524610099</v>
      </c>
    </row>
    <row r="198" spans="1:16" x14ac:dyDescent="0.2">
      <c r="A198" s="8">
        <v>98</v>
      </c>
      <c r="B198" s="8">
        <v>196</v>
      </c>
      <c r="D198">
        <v>479.10174255200002</v>
      </c>
      <c r="E198">
        <v>274.28330522765998</v>
      </c>
      <c r="F198">
        <v>126.9212155318</v>
      </c>
      <c r="G198">
        <v>109.93922341024</v>
      </c>
      <c r="I198" s="9">
        <f t="shared" si="22"/>
        <v>164.34408181741998</v>
      </c>
      <c r="J198" s="9">
        <f t="shared" si="23"/>
        <v>352.18052702020003</v>
      </c>
      <c r="K198" s="9">
        <f t="shared" si="24"/>
        <v>164.34408181741998</v>
      </c>
      <c r="L198" s="10">
        <f t="shared" si="21"/>
        <v>0.46664727095485803</v>
      </c>
      <c r="M198" s="10">
        <f t="shared" si="20"/>
        <v>0.5121904658794032</v>
      </c>
      <c r="P198" s="8">
        <f t="shared" si="25"/>
        <v>30.527269337318469</v>
      </c>
    </row>
    <row r="199" spans="1:16" x14ac:dyDescent="0.2">
      <c r="A199" s="8">
        <v>98.5</v>
      </c>
      <c r="B199" s="8">
        <v>197</v>
      </c>
      <c r="D199">
        <v>483.3676222597</v>
      </c>
      <c r="E199">
        <v>271.32827431140998</v>
      </c>
      <c r="F199">
        <v>126.33764772088</v>
      </c>
      <c r="G199">
        <v>110.13449634215</v>
      </c>
      <c r="I199" s="9">
        <f t="shared" si="22"/>
        <v>161.19377796926</v>
      </c>
      <c r="J199" s="9">
        <f t="shared" si="23"/>
        <v>357.02997453882</v>
      </c>
      <c r="K199" s="9">
        <f t="shared" si="24"/>
        <v>161.19377796926</v>
      </c>
      <c r="L199" s="10">
        <f t="shared" si="21"/>
        <v>0.45148527984933473</v>
      </c>
      <c r="M199" s="10">
        <f t="shared" si="20"/>
        <v>0.49726083801329085</v>
      </c>
      <c r="P199" s="8">
        <f t="shared" si="25"/>
        <v>26.722583995821282</v>
      </c>
    </row>
    <row r="200" spans="1:16" x14ac:dyDescent="0.2">
      <c r="A200" s="8">
        <v>99</v>
      </c>
      <c r="B200" s="8">
        <v>198</v>
      </c>
      <c r="D200">
        <v>479.62619449128999</v>
      </c>
      <c r="E200">
        <v>270.41596402472999</v>
      </c>
      <c r="F200">
        <v>126.32132808103999</v>
      </c>
      <c r="G200">
        <v>110.12943162633999</v>
      </c>
      <c r="I200" s="9">
        <f t="shared" si="22"/>
        <v>160.28653239838999</v>
      </c>
      <c r="J200" s="9">
        <f t="shared" si="23"/>
        <v>353.30486641024999</v>
      </c>
      <c r="K200" s="9">
        <f t="shared" si="24"/>
        <v>160.28653239838999</v>
      </c>
      <c r="L200" s="10">
        <f t="shared" si="21"/>
        <v>0.45367768077179194</v>
      </c>
      <c r="M200" s="10">
        <f t="shared" si="20"/>
        <v>0.499685602175159</v>
      </c>
      <c r="P200" s="8">
        <f t="shared" si="25"/>
        <v>27.340513976794728</v>
      </c>
    </row>
    <row r="201" spans="1:16" x14ac:dyDescent="0.2">
      <c r="A201" s="8">
        <v>99.5</v>
      </c>
      <c r="B201" s="8">
        <v>199</v>
      </c>
      <c r="D201">
        <v>485.51883080381998</v>
      </c>
      <c r="E201">
        <v>269.15458122541003</v>
      </c>
      <c r="F201">
        <v>126.52898142938</v>
      </c>
      <c r="G201">
        <v>109.98705683737001</v>
      </c>
      <c r="I201" s="9">
        <f t="shared" si="22"/>
        <v>159.16752438804002</v>
      </c>
      <c r="J201" s="9">
        <f t="shared" si="23"/>
        <v>358.98984937443998</v>
      </c>
      <c r="K201" s="9">
        <f t="shared" si="24"/>
        <v>159.16752438804002</v>
      </c>
      <c r="L201" s="10">
        <f t="shared" si="21"/>
        <v>0.44337611401937516</v>
      </c>
      <c r="M201" s="10">
        <f t="shared" si="20"/>
        <v>0.48961639866215317</v>
      </c>
      <c r="P201" s="8">
        <f t="shared" si="25"/>
        <v>24.774465355218389</v>
      </c>
    </row>
    <row r="202" spans="1:16" x14ac:dyDescent="0.2">
      <c r="A202" s="8">
        <v>100</v>
      </c>
      <c r="B202" s="8">
        <v>200</v>
      </c>
      <c r="D202">
        <v>477.74142776841001</v>
      </c>
      <c r="E202">
        <v>265.08263069140003</v>
      </c>
      <c r="F202">
        <v>126.57062464828</v>
      </c>
      <c r="G202">
        <v>110.29375351716</v>
      </c>
      <c r="I202" s="9">
        <f t="shared" si="22"/>
        <v>154.78887717424004</v>
      </c>
      <c r="J202" s="9">
        <f t="shared" si="23"/>
        <v>351.17080312013002</v>
      </c>
      <c r="K202" s="9">
        <f t="shared" si="24"/>
        <v>154.78887717424004</v>
      </c>
      <c r="L202" s="10">
        <f t="shared" si="21"/>
        <v>0.44077946058997736</v>
      </c>
      <c r="M202" s="10">
        <f t="shared" si="20"/>
        <v>0.48725210847216632</v>
      </c>
      <c r="P202" s="8">
        <f t="shared" si="25"/>
        <v>24.171946638103776</v>
      </c>
    </row>
    <row r="203" spans="1:16" x14ac:dyDescent="0.2">
      <c r="A203" s="8">
        <v>100.5</v>
      </c>
      <c r="B203" s="8">
        <v>201</v>
      </c>
      <c r="D203">
        <v>484.77984234233998</v>
      </c>
      <c r="E203">
        <v>269.50394144144002</v>
      </c>
      <c r="F203">
        <v>126.3455261677</v>
      </c>
      <c r="G203">
        <v>110.27124366911001</v>
      </c>
      <c r="I203" s="9">
        <f t="shared" si="22"/>
        <v>159.23269777233003</v>
      </c>
      <c r="J203" s="9">
        <f t="shared" si="23"/>
        <v>358.43431617464</v>
      </c>
      <c r="K203" s="9">
        <f t="shared" si="24"/>
        <v>159.23269777233003</v>
      </c>
      <c r="L203" s="10">
        <f t="shared" si="21"/>
        <v>0.44424512549949891</v>
      </c>
      <c r="M203" s="10">
        <f t="shared" si="20"/>
        <v>0.49095013662109882</v>
      </c>
      <c r="P203" s="8">
        <f t="shared" si="25"/>
        <v>25.114356831905294</v>
      </c>
    </row>
    <row r="204" spans="1:16" x14ac:dyDescent="0.2">
      <c r="A204" s="8">
        <v>101</v>
      </c>
      <c r="B204" s="8">
        <v>202</v>
      </c>
      <c r="D204">
        <v>487.06024774775</v>
      </c>
      <c r="E204">
        <v>268.27871621622</v>
      </c>
      <c r="F204">
        <v>126.66685424873</v>
      </c>
      <c r="G204">
        <v>109.98705683737001</v>
      </c>
      <c r="I204" s="9">
        <f t="shared" si="22"/>
        <v>158.29165937885</v>
      </c>
      <c r="J204" s="9">
        <f t="shared" si="23"/>
        <v>360.39339349902002</v>
      </c>
      <c r="K204" s="9">
        <f t="shared" si="24"/>
        <v>158.29165937885</v>
      </c>
      <c r="L204" s="10">
        <f t="shared" si="21"/>
        <v>0.43921909289738525</v>
      </c>
      <c r="M204" s="10">
        <f t="shared" si="20"/>
        <v>0.48615646725839612</v>
      </c>
      <c r="P204" s="8">
        <f t="shared" si="25"/>
        <v>23.89273203858696</v>
      </c>
    </row>
    <row r="205" spans="1:16" x14ac:dyDescent="0.2">
      <c r="A205" s="8">
        <v>101.5</v>
      </c>
      <c r="B205" s="8">
        <v>203</v>
      </c>
      <c r="D205">
        <v>483.58051801801997</v>
      </c>
      <c r="E205">
        <v>267.26351351351002</v>
      </c>
      <c r="F205">
        <v>126.87788407428</v>
      </c>
      <c r="G205">
        <v>110.31119864941</v>
      </c>
      <c r="I205" s="9">
        <f t="shared" si="22"/>
        <v>156.9523148641</v>
      </c>
      <c r="J205" s="9">
        <f t="shared" si="23"/>
        <v>356.70263394373995</v>
      </c>
      <c r="K205" s="9">
        <f t="shared" si="24"/>
        <v>156.9523148641</v>
      </c>
      <c r="L205" s="10">
        <f t="shared" si="21"/>
        <v>0.44000884750644964</v>
      </c>
      <c r="M205" s="10">
        <f t="shared" si="20"/>
        <v>0.48717858510687145</v>
      </c>
      <c r="P205" s="8">
        <f t="shared" si="25"/>
        <v>24.153209850241176</v>
      </c>
    </row>
    <row r="206" spans="1:16" x14ac:dyDescent="0.2">
      <c r="A206" s="8">
        <v>102</v>
      </c>
      <c r="B206" s="8">
        <v>204</v>
      </c>
      <c r="D206">
        <v>484.73817567568</v>
      </c>
      <c r="E206">
        <v>266.13400900901001</v>
      </c>
      <c r="F206">
        <v>126.64265616207</v>
      </c>
      <c r="G206">
        <v>110.07878446821</v>
      </c>
      <c r="I206" s="9">
        <f t="shared" si="22"/>
        <v>156.0552245408</v>
      </c>
      <c r="J206" s="9">
        <f t="shared" si="23"/>
        <v>358.09551951360999</v>
      </c>
      <c r="K206" s="9">
        <f t="shared" si="24"/>
        <v>156.0552245408</v>
      </c>
      <c r="L206" s="10">
        <f t="shared" si="21"/>
        <v>0.43579217286148947</v>
      </c>
      <c r="M206" s="10">
        <f t="shared" si="20"/>
        <v>0.48319427370132217</v>
      </c>
      <c r="P206" s="8">
        <f t="shared" si="25"/>
        <v>23.137842867447063</v>
      </c>
    </row>
    <row r="207" spans="1:16" x14ac:dyDescent="0.2">
      <c r="A207" s="8">
        <v>102.5</v>
      </c>
      <c r="B207" s="8">
        <v>205</v>
      </c>
      <c r="D207">
        <v>485.12850729516998</v>
      </c>
      <c r="E207">
        <v>266.50953984287003</v>
      </c>
      <c r="F207">
        <v>125.99718626899001</v>
      </c>
      <c r="G207">
        <v>110.08272369162</v>
      </c>
      <c r="I207" s="9">
        <f t="shared" si="22"/>
        <v>156.42681615125002</v>
      </c>
      <c r="J207" s="9">
        <f t="shared" si="23"/>
        <v>359.13132102617999</v>
      </c>
      <c r="K207" s="9">
        <f t="shared" si="24"/>
        <v>156.42681615125002</v>
      </c>
      <c r="L207" s="10">
        <f t="shared" si="21"/>
        <v>0.43556996283219418</v>
      </c>
      <c r="M207" s="10">
        <f t="shared" si="20"/>
        <v>0.48320442691143783</v>
      </c>
      <c r="P207" s="8">
        <f t="shared" si="25"/>
        <v>23.140430324418034</v>
      </c>
    </row>
    <row r="208" spans="1:16" x14ac:dyDescent="0.2">
      <c r="A208" s="8">
        <v>103</v>
      </c>
      <c r="B208" s="8">
        <v>206</v>
      </c>
      <c r="D208">
        <v>489.79573512907001</v>
      </c>
      <c r="E208">
        <v>267.56734006734001</v>
      </c>
      <c r="F208">
        <v>126.42656162071</v>
      </c>
      <c r="G208">
        <v>109.74057400113</v>
      </c>
      <c r="I208" s="9">
        <f t="shared" si="22"/>
        <v>157.82676606621001</v>
      </c>
      <c r="J208" s="9">
        <f t="shared" si="23"/>
        <v>363.36917350836001</v>
      </c>
      <c r="K208" s="9">
        <f t="shared" si="24"/>
        <v>157.82676606621001</v>
      </c>
      <c r="L208" s="10">
        <f t="shared" si="21"/>
        <v>0.43434274994320315</v>
      </c>
      <c r="M208" s="10">
        <f t="shared" si="20"/>
        <v>0.48220957726185776</v>
      </c>
      <c r="P208" s="8">
        <f t="shared" si="25"/>
        <v>22.886901575229153</v>
      </c>
    </row>
    <row r="209" spans="1:16" x14ac:dyDescent="0.2">
      <c r="A209" s="8">
        <v>103.5</v>
      </c>
      <c r="B209" s="8">
        <v>207</v>
      </c>
      <c r="D209">
        <v>488.77328843996003</v>
      </c>
      <c r="E209">
        <v>266.68125701459002</v>
      </c>
      <c r="F209">
        <v>126.52279122116001</v>
      </c>
      <c r="G209">
        <v>110.00393922341</v>
      </c>
      <c r="I209" s="9">
        <f t="shared" si="22"/>
        <v>156.67731779118003</v>
      </c>
      <c r="J209" s="9">
        <f t="shared" si="23"/>
        <v>362.25049721880004</v>
      </c>
      <c r="K209" s="9">
        <f t="shared" si="24"/>
        <v>156.67731779118003</v>
      </c>
      <c r="L209" s="10">
        <f t="shared" si="21"/>
        <v>0.43251098064482879</v>
      </c>
      <c r="M209" s="10">
        <f t="shared" si="20"/>
        <v>0.48061017120289434</v>
      </c>
      <c r="P209" s="8">
        <f t="shared" si="25"/>
        <v>22.479306902259953</v>
      </c>
    </row>
    <row r="210" spans="1:16" x14ac:dyDescent="0.2">
      <c r="A210" s="8">
        <v>104</v>
      </c>
      <c r="B210" s="8">
        <v>208</v>
      </c>
      <c r="D210">
        <v>487.95454545454999</v>
      </c>
      <c r="E210">
        <v>264.07351290685</v>
      </c>
      <c r="F210">
        <v>126.70343275182999</v>
      </c>
      <c r="G210">
        <v>109.58187957231</v>
      </c>
      <c r="I210" s="9">
        <f t="shared" si="22"/>
        <v>154.49163333453998</v>
      </c>
      <c r="J210" s="9">
        <f t="shared" si="23"/>
        <v>361.25111270271998</v>
      </c>
      <c r="K210" s="9">
        <f t="shared" si="24"/>
        <v>154.49163333453998</v>
      </c>
      <c r="L210" s="10">
        <f t="shared" si="21"/>
        <v>0.4276571833335055</v>
      </c>
      <c r="M210" s="10">
        <f t="shared" si="20"/>
        <v>0.475988737130982</v>
      </c>
      <c r="P210" s="8">
        <f t="shared" si="25"/>
        <v>21.301574769363921</v>
      </c>
    </row>
    <row r="211" spans="1:16" x14ac:dyDescent="0.2">
      <c r="A211" s="8">
        <v>104.5</v>
      </c>
      <c r="B211" s="8">
        <v>209</v>
      </c>
      <c r="D211">
        <v>475.08710217754998</v>
      </c>
      <c r="E211">
        <v>257.95309882747</v>
      </c>
      <c r="F211">
        <v>126.64603263927999</v>
      </c>
      <c r="G211">
        <v>110.0005627462</v>
      </c>
      <c r="I211" s="9">
        <f t="shared" si="22"/>
        <v>147.95253608127001</v>
      </c>
      <c r="J211" s="9">
        <f t="shared" si="23"/>
        <v>348.44106953826997</v>
      </c>
      <c r="K211" s="9">
        <f t="shared" si="24"/>
        <v>147.95253608127001</v>
      </c>
      <c r="L211" s="10">
        <f t="shared" si="21"/>
        <v>0.42461279400079471</v>
      </c>
      <c r="M211" s="10">
        <f t="shared" si="20"/>
        <v>0.47317671103768216</v>
      </c>
      <c r="P211" s="8">
        <f t="shared" si="25"/>
        <v>20.584954465560497</v>
      </c>
    </row>
    <row r="212" spans="1:16" x14ac:dyDescent="0.2">
      <c r="A212" s="8">
        <v>105</v>
      </c>
      <c r="B212" s="8">
        <v>210</v>
      </c>
      <c r="D212">
        <v>474.12171970966</v>
      </c>
      <c r="E212">
        <v>258.87939698493</v>
      </c>
      <c r="F212">
        <v>126.35453010692</v>
      </c>
      <c r="G212">
        <v>109.85649971863</v>
      </c>
      <c r="I212" s="9">
        <f t="shared" si="22"/>
        <v>149.02289726629999</v>
      </c>
      <c r="J212" s="9">
        <f t="shared" si="23"/>
        <v>347.76718960274002</v>
      </c>
      <c r="K212" s="9">
        <f t="shared" si="24"/>
        <v>149.02289726629999</v>
      </c>
      <c r="L212" s="10">
        <f t="shared" si="21"/>
        <v>0.42851338976667469</v>
      </c>
      <c r="M212" s="10">
        <f t="shared" si="20"/>
        <v>0.47730967004297309</v>
      </c>
      <c r="P212" s="8">
        <f t="shared" si="25"/>
        <v>21.638202991609248</v>
      </c>
    </row>
    <row r="213" spans="1:16" x14ac:dyDescent="0.2">
      <c r="A213" s="8">
        <v>105.5</v>
      </c>
      <c r="B213" s="8">
        <v>211</v>
      </c>
      <c r="D213">
        <v>469.33221663875003</v>
      </c>
      <c r="E213">
        <v>258.65270798437001</v>
      </c>
      <c r="F213">
        <v>126.61902082160999</v>
      </c>
      <c r="G213">
        <v>109.98818232977</v>
      </c>
      <c r="I213" s="9">
        <f t="shared" si="22"/>
        <v>148.66452565460003</v>
      </c>
      <c r="J213" s="9">
        <f t="shared" si="23"/>
        <v>342.71319581714005</v>
      </c>
      <c r="K213" s="9">
        <f t="shared" si="24"/>
        <v>148.66452565460003</v>
      </c>
      <c r="L213" s="10">
        <f t="shared" si="21"/>
        <v>0.43378699002276616</v>
      </c>
      <c r="M213" s="10">
        <f t="shared" si="20"/>
        <v>0.48281563353847551</v>
      </c>
      <c r="P213" s="8">
        <f t="shared" si="25"/>
        <v>23.041349727081872</v>
      </c>
    </row>
    <row r="214" spans="1:16" x14ac:dyDescent="0.2">
      <c r="A214" s="8">
        <v>106</v>
      </c>
      <c r="B214" s="8">
        <v>212</v>
      </c>
      <c r="D214">
        <v>470.78391959799001</v>
      </c>
      <c r="E214">
        <v>258.85817978783001</v>
      </c>
      <c r="F214">
        <v>126.24985931345</v>
      </c>
      <c r="G214">
        <v>109.70512099043</v>
      </c>
      <c r="I214" s="9">
        <f t="shared" si="22"/>
        <v>149.15305879740001</v>
      </c>
      <c r="J214" s="9">
        <f t="shared" si="23"/>
        <v>344.53406028454003</v>
      </c>
      <c r="K214" s="9">
        <f t="shared" si="24"/>
        <v>149.15305879740001</v>
      </c>
      <c r="L214" s="10">
        <f t="shared" si="21"/>
        <v>0.4329123764257708</v>
      </c>
      <c r="M214" s="10">
        <f t="shared" si="20"/>
        <v>0.48217338318089109</v>
      </c>
      <c r="P214" s="8">
        <f t="shared" si="25"/>
        <v>22.877677829631622</v>
      </c>
    </row>
    <row r="215" spans="1:16" x14ac:dyDescent="0.2">
      <c r="A215" s="8">
        <v>106.5</v>
      </c>
      <c r="B215" s="8">
        <v>213</v>
      </c>
      <c r="D215">
        <v>474.39642657732998</v>
      </c>
      <c r="E215">
        <v>260.24176437744001</v>
      </c>
      <c r="F215">
        <v>126.35959482273999</v>
      </c>
      <c r="G215">
        <v>110.01012943163001</v>
      </c>
      <c r="I215" s="9">
        <f t="shared" si="22"/>
        <v>150.23163494581001</v>
      </c>
      <c r="J215" s="9">
        <f t="shared" si="23"/>
        <v>348.03683175458997</v>
      </c>
      <c r="K215" s="9">
        <f t="shared" si="24"/>
        <v>150.23163494581001</v>
      </c>
      <c r="L215" s="10">
        <f t="shared" si="21"/>
        <v>0.43165441481705691</v>
      </c>
      <c r="M215" s="10">
        <f t="shared" si="20"/>
        <v>0.48114778481158815</v>
      </c>
      <c r="P215" s="8">
        <f t="shared" si="25"/>
        <v>22.616313037625833</v>
      </c>
    </row>
    <row r="216" spans="1:16" x14ac:dyDescent="0.2">
      <c r="A216" s="8">
        <v>107</v>
      </c>
      <c r="B216" s="8">
        <v>214</v>
      </c>
      <c r="D216">
        <v>467.67560022333998</v>
      </c>
      <c r="E216">
        <v>257.34896705750998</v>
      </c>
      <c r="F216">
        <v>126.36184580754001</v>
      </c>
      <c r="G216">
        <v>109.81710748451999</v>
      </c>
      <c r="I216" s="9">
        <f t="shared" si="22"/>
        <v>147.53185957298999</v>
      </c>
      <c r="J216" s="9">
        <f t="shared" si="23"/>
        <v>341.31375441579996</v>
      </c>
      <c r="K216" s="9">
        <f t="shared" si="24"/>
        <v>147.53185957298999</v>
      </c>
      <c r="L216" s="10">
        <f t="shared" si="21"/>
        <v>0.43224703858040742</v>
      </c>
      <c r="M216" s="10">
        <f t="shared" si="20"/>
        <v>0.48197277181434961</v>
      </c>
      <c r="P216" s="8">
        <f t="shared" si="25"/>
        <v>22.826553773997887</v>
      </c>
    </row>
    <row r="217" spans="1:16" x14ac:dyDescent="0.2">
      <c r="A217" s="8">
        <v>107.5</v>
      </c>
      <c r="B217" s="8">
        <v>215</v>
      </c>
      <c r="D217">
        <v>469.39921831379002</v>
      </c>
      <c r="E217">
        <v>258.78056951424003</v>
      </c>
      <c r="F217">
        <v>126.19977490152</v>
      </c>
      <c r="G217">
        <v>110.10073157006001</v>
      </c>
      <c r="I217" s="9">
        <f t="shared" si="22"/>
        <v>148.67983794418001</v>
      </c>
      <c r="J217" s="9">
        <f t="shared" si="23"/>
        <v>343.19944341227</v>
      </c>
      <c r="K217" s="9">
        <f t="shared" si="24"/>
        <v>148.67983794418001</v>
      </c>
      <c r="L217" s="10">
        <f t="shared" si="21"/>
        <v>0.4332170135998083</v>
      </c>
      <c r="M217" s="10">
        <f t="shared" si="20"/>
        <v>0.48317511007316144</v>
      </c>
      <c r="P217" s="8">
        <f t="shared" si="25"/>
        <v>23.132959184088918</v>
      </c>
    </row>
    <row r="218" spans="1:16" x14ac:dyDescent="0.2">
      <c r="A218" s="8">
        <v>108</v>
      </c>
      <c r="B218" s="8">
        <v>216</v>
      </c>
      <c r="D218">
        <v>467.22836404242997</v>
      </c>
      <c r="E218">
        <v>260.96314907873</v>
      </c>
      <c r="F218">
        <v>126.2706809229</v>
      </c>
      <c r="G218">
        <v>109.87169386607</v>
      </c>
      <c r="I218" s="9">
        <f t="shared" si="22"/>
        <v>151.09145521265998</v>
      </c>
      <c r="J218" s="9">
        <f t="shared" si="23"/>
        <v>340.95768311952997</v>
      </c>
      <c r="K218" s="9">
        <f t="shared" si="24"/>
        <v>151.09145521265998</v>
      </c>
      <c r="L218" s="10">
        <f t="shared" si="21"/>
        <v>0.44313843826681465</v>
      </c>
      <c r="M218" s="10">
        <f t="shared" si="20"/>
        <v>0.49332889797957874</v>
      </c>
      <c r="P218" s="8">
        <f t="shared" si="25"/>
        <v>25.720563399992059</v>
      </c>
    </row>
    <row r="219" spans="1:16" x14ac:dyDescent="0.2">
      <c r="A219" s="8">
        <v>108.5</v>
      </c>
      <c r="B219" s="8">
        <v>217</v>
      </c>
      <c r="D219">
        <v>469.54494695700998</v>
      </c>
      <c r="E219">
        <v>261.26856504746002</v>
      </c>
      <c r="F219">
        <v>126.61733258301</v>
      </c>
      <c r="G219">
        <v>109.84805852561</v>
      </c>
      <c r="I219" s="9">
        <f t="shared" si="22"/>
        <v>151.42050652185003</v>
      </c>
      <c r="J219" s="9">
        <f t="shared" si="23"/>
        <v>342.92761437399997</v>
      </c>
      <c r="K219" s="9">
        <f t="shared" si="24"/>
        <v>151.42050652185003</v>
      </c>
      <c r="L219" s="10">
        <f t="shared" si="21"/>
        <v>0.44155238649492207</v>
      </c>
      <c r="M219" s="10">
        <f t="shared" si="20"/>
        <v>0.49197520944709711</v>
      </c>
      <c r="P219" s="8">
        <f t="shared" si="25"/>
        <v>25.375587693787345</v>
      </c>
    </row>
    <row r="220" spans="1:16" x14ac:dyDescent="0.2">
      <c r="A220" s="8">
        <v>109</v>
      </c>
      <c r="B220" s="8">
        <v>218</v>
      </c>
      <c r="D220">
        <v>469.09380234506</v>
      </c>
      <c r="E220">
        <v>261.63204913456002</v>
      </c>
      <c r="F220">
        <v>126.38491840179999</v>
      </c>
      <c r="G220">
        <v>109.83961733258</v>
      </c>
      <c r="I220" s="9">
        <f t="shared" si="22"/>
        <v>151.79243180198</v>
      </c>
      <c r="J220" s="9">
        <f t="shared" si="23"/>
        <v>342.70888394325999</v>
      </c>
      <c r="K220" s="9">
        <f t="shared" si="24"/>
        <v>151.79243180198</v>
      </c>
      <c r="L220" s="10">
        <f t="shared" si="21"/>
        <v>0.44291945413096223</v>
      </c>
      <c r="M220" s="10">
        <f t="shared" si="20"/>
        <v>0.49357464032254822</v>
      </c>
      <c r="P220" s="8">
        <f t="shared" si="25"/>
        <v>25.783188691021806</v>
      </c>
    </row>
    <row r="221" spans="1:16" x14ac:dyDescent="0.2">
      <c r="A221" s="8">
        <v>109.5</v>
      </c>
      <c r="B221" s="8">
        <v>219</v>
      </c>
      <c r="D221">
        <v>470.19709659407999</v>
      </c>
      <c r="E221">
        <v>265.35510887772</v>
      </c>
      <c r="F221">
        <v>126.45019696116999</v>
      </c>
      <c r="G221">
        <v>110.01969611705</v>
      </c>
      <c r="I221" s="9">
        <f t="shared" si="22"/>
        <v>155.33541276067001</v>
      </c>
      <c r="J221" s="9">
        <f t="shared" si="23"/>
        <v>343.74689963291002</v>
      </c>
      <c r="K221" s="9">
        <f t="shared" si="24"/>
        <v>155.33541276067001</v>
      </c>
      <c r="L221" s="10">
        <f t="shared" si="21"/>
        <v>0.45188891282089788</v>
      </c>
      <c r="M221" s="10">
        <f t="shared" si="20"/>
        <v>0.50277646225189476</v>
      </c>
      <c r="P221" s="8">
        <f t="shared" si="25"/>
        <v>28.128192687345045</v>
      </c>
    </row>
    <row r="222" spans="1:16" x14ac:dyDescent="0.2">
      <c r="A222" s="8">
        <v>110</v>
      </c>
      <c r="B222" s="8">
        <v>220</v>
      </c>
      <c r="D222">
        <v>469.92406476829001</v>
      </c>
      <c r="E222">
        <v>267.16750418761001</v>
      </c>
      <c r="F222">
        <v>126.44513224536</v>
      </c>
      <c r="G222">
        <v>109.87338210467</v>
      </c>
      <c r="I222" s="9">
        <f t="shared" si="22"/>
        <v>157.29412208294002</v>
      </c>
      <c r="J222" s="9">
        <f t="shared" si="23"/>
        <v>343.47893252292999</v>
      </c>
      <c r="K222" s="9">
        <f t="shared" si="24"/>
        <v>157.29412208294002</v>
      </c>
      <c r="L222" s="10">
        <f t="shared" si="21"/>
        <v>0.4579440169083423</v>
      </c>
      <c r="M222" s="10">
        <f t="shared" si="20"/>
        <v>0.50906392957875013</v>
      </c>
      <c r="P222" s="8">
        <f t="shared" si="25"/>
        <v>29.730498852519293</v>
      </c>
    </row>
    <row r="223" spans="1:16" x14ac:dyDescent="0.2">
      <c r="A223" s="8">
        <v>110.5</v>
      </c>
      <c r="B223" s="8">
        <v>221</v>
      </c>
      <c r="D223">
        <v>469.46957007258999</v>
      </c>
      <c r="E223">
        <v>268.84087102178</v>
      </c>
      <c r="F223">
        <v>126.32639279685</v>
      </c>
      <c r="G223">
        <v>109.79459763647</v>
      </c>
      <c r="I223" s="9">
        <f t="shared" si="22"/>
        <v>159.04627338531</v>
      </c>
      <c r="J223" s="9">
        <f t="shared" si="23"/>
        <v>343.14317727573996</v>
      </c>
      <c r="K223" s="9">
        <f t="shared" si="24"/>
        <v>159.04627338531</v>
      </c>
      <c r="L223" s="10">
        <f t="shared" si="21"/>
        <v>0.46349828269353877</v>
      </c>
      <c r="M223" s="10">
        <f t="shared" si="20"/>
        <v>0.5148505586033576</v>
      </c>
      <c r="P223" s="8">
        <f t="shared" si="25"/>
        <v>31.205170748165095</v>
      </c>
    </row>
    <row r="224" spans="1:16" x14ac:dyDescent="0.2">
      <c r="A224" s="8">
        <v>111</v>
      </c>
      <c r="B224" s="8">
        <v>222</v>
      </c>
      <c r="D224">
        <v>478.79898933184</v>
      </c>
      <c r="E224">
        <v>275.76923076922998</v>
      </c>
      <c r="F224">
        <v>126.49803038829999</v>
      </c>
      <c r="G224">
        <v>109.76533483399</v>
      </c>
      <c r="I224" s="9">
        <f t="shared" si="22"/>
        <v>166.00389593524</v>
      </c>
      <c r="J224" s="9">
        <f t="shared" si="23"/>
        <v>352.30095894354002</v>
      </c>
      <c r="K224" s="9">
        <f t="shared" si="24"/>
        <v>166.00389593524</v>
      </c>
      <c r="L224" s="10">
        <f t="shared" si="21"/>
        <v>0.47119910326966746</v>
      </c>
      <c r="M224" s="10">
        <f t="shared" si="20"/>
        <v>0.52278374241889725</v>
      </c>
      <c r="P224" s="8">
        <f t="shared" si="25"/>
        <v>33.226873395080844</v>
      </c>
    </row>
    <row r="225" spans="1:16" x14ac:dyDescent="0.2">
      <c r="A225" s="8">
        <v>111.5</v>
      </c>
      <c r="B225" s="8">
        <v>223</v>
      </c>
      <c r="D225">
        <v>480.15384615385</v>
      </c>
      <c r="E225">
        <v>274.29927007299</v>
      </c>
      <c r="F225">
        <v>126.35678109173</v>
      </c>
      <c r="G225">
        <v>109.75464265616</v>
      </c>
      <c r="I225" s="9">
        <f t="shared" si="22"/>
        <v>164.54462741683</v>
      </c>
      <c r="J225" s="9">
        <f t="shared" si="23"/>
        <v>353.79706506212</v>
      </c>
      <c r="K225" s="9">
        <f t="shared" si="24"/>
        <v>164.54462741683</v>
      </c>
      <c r="L225" s="10">
        <f t="shared" si="21"/>
        <v>0.46508194574180289</v>
      </c>
      <c r="M225" s="10">
        <f t="shared" si="20"/>
        <v>0.51689894813044357</v>
      </c>
      <c r="P225" s="8">
        <f t="shared" si="25"/>
        <v>31.727184938824877</v>
      </c>
    </row>
    <row r="226" spans="1:16" x14ac:dyDescent="0.2">
      <c r="A226" s="8">
        <v>112</v>
      </c>
      <c r="B226" s="8">
        <v>224</v>
      </c>
      <c r="D226">
        <v>483.82369455361999</v>
      </c>
      <c r="E226">
        <v>275.24368332398001</v>
      </c>
      <c r="F226">
        <v>126.64940911649001</v>
      </c>
      <c r="G226">
        <v>109.88857625211</v>
      </c>
      <c r="I226" s="9">
        <f t="shared" si="22"/>
        <v>165.35510707187001</v>
      </c>
      <c r="J226" s="9">
        <f t="shared" si="23"/>
        <v>357.17428543712998</v>
      </c>
      <c r="K226" s="9">
        <f t="shared" si="24"/>
        <v>165.35510707187001</v>
      </c>
      <c r="L226" s="10">
        <f t="shared" si="21"/>
        <v>0.46295356024720291</v>
      </c>
      <c r="M226" s="10">
        <f t="shared" si="20"/>
        <v>0.51500292587525454</v>
      </c>
      <c r="P226" s="8">
        <f t="shared" si="25"/>
        <v>31.24400021739962</v>
      </c>
    </row>
    <row r="227" spans="1:16" x14ac:dyDescent="0.2">
      <c r="A227" s="8">
        <v>112.5</v>
      </c>
      <c r="B227" s="8">
        <v>225</v>
      </c>
      <c r="D227">
        <v>480.82088714205997</v>
      </c>
      <c r="E227">
        <v>275.58899494666002</v>
      </c>
      <c r="F227">
        <v>126.39617332583001</v>
      </c>
      <c r="G227">
        <v>109.79009566684999</v>
      </c>
      <c r="I227" s="9">
        <f t="shared" si="22"/>
        <v>165.79889927981003</v>
      </c>
      <c r="J227" s="9">
        <f t="shared" si="23"/>
        <v>354.42471381623</v>
      </c>
      <c r="K227" s="9">
        <f t="shared" si="24"/>
        <v>165.79889927981003</v>
      </c>
      <c r="L227" s="10">
        <f t="shared" si="21"/>
        <v>0.46779722975463028</v>
      </c>
      <c r="M227" s="10">
        <f t="shared" si="20"/>
        <v>0.52007895862209286</v>
      </c>
      <c r="P227" s="8">
        <f t="shared" si="25"/>
        <v>32.537582854425153</v>
      </c>
    </row>
    <row r="228" spans="1:16" x14ac:dyDescent="0.2">
      <c r="A228" s="8">
        <v>113</v>
      </c>
      <c r="B228" s="8">
        <v>226</v>
      </c>
      <c r="D228">
        <v>482.08983717013001</v>
      </c>
      <c r="E228">
        <v>274.02919708028998</v>
      </c>
      <c r="F228">
        <v>126.02588632526999</v>
      </c>
      <c r="G228">
        <v>109.98311761396</v>
      </c>
      <c r="I228" s="9">
        <f t="shared" si="22"/>
        <v>164.04607946632996</v>
      </c>
      <c r="J228" s="9">
        <f t="shared" si="23"/>
        <v>356.06395084486002</v>
      </c>
      <c r="K228" s="9">
        <f t="shared" si="24"/>
        <v>164.04607946632996</v>
      </c>
      <c r="L228" s="10">
        <f t="shared" si="21"/>
        <v>0.46072083140426134</v>
      </c>
      <c r="M228" s="10">
        <f t="shared" si="20"/>
        <v>0.51323492351113487</v>
      </c>
      <c r="P228" s="8">
        <f t="shared" si="25"/>
        <v>30.793440247732402</v>
      </c>
    </row>
    <row r="229" spans="1:16" x14ac:dyDescent="0.2">
      <c r="A229" s="8">
        <v>113.5</v>
      </c>
      <c r="B229" s="8">
        <v>227</v>
      </c>
      <c r="D229">
        <v>477.89612577204002</v>
      </c>
      <c r="E229">
        <v>268.75014037058003</v>
      </c>
      <c r="F229">
        <v>126.3472144063</v>
      </c>
      <c r="G229">
        <v>110.13111986494</v>
      </c>
      <c r="I229" s="9">
        <f t="shared" si="22"/>
        <v>158.61902050564004</v>
      </c>
      <c r="J229" s="9">
        <f t="shared" si="23"/>
        <v>351.54891136574003</v>
      </c>
      <c r="K229" s="9">
        <f t="shared" si="24"/>
        <v>158.61902050564004</v>
      </c>
      <c r="L229" s="10">
        <f t="shared" si="21"/>
        <v>0.45120043151155709</v>
      </c>
      <c r="M229" s="10">
        <f t="shared" si="20"/>
        <v>0.5039468868578415</v>
      </c>
      <c r="P229" s="8">
        <f t="shared" si="25"/>
        <v>28.426465181576528</v>
      </c>
    </row>
    <row r="230" spans="1:16" x14ac:dyDescent="0.2">
      <c r="A230" s="8">
        <v>114</v>
      </c>
      <c r="B230" s="8">
        <v>228</v>
      </c>
      <c r="D230">
        <v>481.44020213363001</v>
      </c>
      <c r="E230">
        <v>271.14598540146</v>
      </c>
      <c r="F230">
        <v>126.06640405176999</v>
      </c>
      <c r="G230">
        <v>109.84805852561</v>
      </c>
      <c r="I230" s="9">
        <f t="shared" si="22"/>
        <v>161.29792687585001</v>
      </c>
      <c r="J230" s="9">
        <f t="shared" si="23"/>
        <v>355.37379808186</v>
      </c>
      <c r="K230" s="9">
        <f t="shared" si="24"/>
        <v>161.29792687585001</v>
      </c>
      <c r="L230" s="10">
        <f t="shared" si="21"/>
        <v>0.45388244081713419</v>
      </c>
      <c r="M230" s="10">
        <f t="shared" si="20"/>
        <v>0.50686125940282956</v>
      </c>
      <c r="P230" s="8">
        <f t="shared" si="25"/>
        <v>29.169167585214218</v>
      </c>
    </row>
    <row r="231" spans="1:16" x14ac:dyDescent="0.2">
      <c r="A231" s="8">
        <v>114.5</v>
      </c>
      <c r="B231" s="8">
        <v>229</v>
      </c>
      <c r="D231">
        <v>458.92869174621001</v>
      </c>
      <c r="E231">
        <v>269.04997192588002</v>
      </c>
      <c r="F231">
        <v>126.14293753517001</v>
      </c>
      <c r="G231">
        <v>110.29487900957</v>
      </c>
      <c r="I231" s="9">
        <f t="shared" si="22"/>
        <v>158.75509291631002</v>
      </c>
      <c r="J231" s="9">
        <f t="shared" si="23"/>
        <v>332.78575421104</v>
      </c>
      <c r="K231" s="9">
        <f t="shared" si="24"/>
        <v>158.75509291631002</v>
      </c>
      <c r="L231" s="10">
        <f t="shared" si="21"/>
        <v>0.4770489448765094</v>
      </c>
      <c r="M231" s="10">
        <f t="shared" si="20"/>
        <v>0.53026012670161571</v>
      </c>
      <c r="P231" s="8">
        <f t="shared" si="25"/>
        <v>35.132164668443707</v>
      </c>
    </row>
    <row r="232" spans="1:16" x14ac:dyDescent="0.2">
      <c r="A232" s="8">
        <v>115</v>
      </c>
      <c r="B232" s="8">
        <v>230</v>
      </c>
      <c r="D232">
        <v>475.94722066255002</v>
      </c>
      <c r="E232">
        <v>279.76473891071998</v>
      </c>
      <c r="F232">
        <v>126.07315700619</v>
      </c>
      <c r="G232">
        <v>109.60213843557</v>
      </c>
      <c r="I232" s="9">
        <f t="shared" si="22"/>
        <v>170.16260047514999</v>
      </c>
      <c r="J232" s="9">
        <f t="shared" si="23"/>
        <v>349.87406365636002</v>
      </c>
      <c r="K232" s="9">
        <f t="shared" si="24"/>
        <v>170.16260047514999</v>
      </c>
      <c r="L232" s="10">
        <f t="shared" si="21"/>
        <v>0.48635385743334381</v>
      </c>
      <c r="M232" s="10">
        <f t="shared" si="20"/>
        <v>0.53979740249786112</v>
      </c>
      <c r="P232" s="8">
        <f t="shared" si="25"/>
        <v>37.562656154581447</v>
      </c>
    </row>
    <row r="233" spans="1:16" x14ac:dyDescent="0.2">
      <c r="A233" s="8">
        <v>115.5</v>
      </c>
      <c r="B233" s="8">
        <v>231</v>
      </c>
      <c r="D233">
        <v>472.69960696238002</v>
      </c>
      <c r="E233">
        <v>282.70578326782999</v>
      </c>
      <c r="F233">
        <v>126.72369161508</v>
      </c>
      <c r="G233">
        <v>109.75914462577001</v>
      </c>
      <c r="I233" s="9">
        <f t="shared" si="22"/>
        <v>172.94663864205998</v>
      </c>
      <c r="J233" s="9">
        <f t="shared" si="23"/>
        <v>345.97591534730003</v>
      </c>
      <c r="K233" s="9">
        <f t="shared" si="24"/>
        <v>172.94663864205998</v>
      </c>
      <c r="L233" s="10">
        <f t="shared" si="21"/>
        <v>0.49988057252034857</v>
      </c>
      <c r="M233" s="10">
        <f t="shared" si="20"/>
        <v>0.55355648082427678</v>
      </c>
      <c r="P233" s="8">
        <f t="shared" si="25"/>
        <v>41.069037163571522</v>
      </c>
    </row>
    <row r="234" spans="1:16" x14ac:dyDescent="0.2">
      <c r="A234" s="8">
        <v>116</v>
      </c>
      <c r="B234" s="8">
        <v>232</v>
      </c>
      <c r="D234">
        <v>469.34138124649002</v>
      </c>
      <c r="E234">
        <v>283.00224592925002</v>
      </c>
      <c r="F234">
        <v>126.04727068091999</v>
      </c>
      <c r="G234">
        <v>110.07990996061</v>
      </c>
      <c r="I234" s="9">
        <f t="shared" si="22"/>
        <v>172.92233596864003</v>
      </c>
      <c r="J234" s="9">
        <f t="shared" si="23"/>
        <v>343.29411056557001</v>
      </c>
      <c r="K234" s="9">
        <f t="shared" si="24"/>
        <v>172.92233596864003</v>
      </c>
      <c r="L234" s="10">
        <f t="shared" si="21"/>
        <v>0.50371483415125884</v>
      </c>
      <c r="M234" s="10">
        <f t="shared" si="20"/>
        <v>0.55762310569459805</v>
      </c>
      <c r="P234" s="8">
        <f t="shared" si="25"/>
        <v>42.105381014351522</v>
      </c>
    </row>
    <row r="235" spans="1:16" x14ac:dyDescent="0.2">
      <c r="A235" s="8">
        <v>116.5</v>
      </c>
      <c r="B235" s="8">
        <v>233</v>
      </c>
      <c r="D235">
        <v>470.80123526109003</v>
      </c>
      <c r="E235">
        <v>286.73385738348998</v>
      </c>
      <c r="F235">
        <v>126.54642656162</v>
      </c>
      <c r="G235">
        <v>109.98086662915</v>
      </c>
      <c r="I235" s="9">
        <f t="shared" si="22"/>
        <v>176.75299075433998</v>
      </c>
      <c r="J235" s="9">
        <f t="shared" si="23"/>
        <v>344.25480869947</v>
      </c>
      <c r="K235" s="9">
        <f t="shared" si="24"/>
        <v>176.75299075433998</v>
      </c>
      <c r="L235" s="10">
        <f t="shared" si="21"/>
        <v>0.51343651936796342</v>
      </c>
      <c r="M235" s="10">
        <f t="shared" si="20"/>
        <v>0.56757715415071353</v>
      </c>
      <c r="P235" s="8">
        <f t="shared" si="25"/>
        <v>44.642083374863681</v>
      </c>
    </row>
    <row r="236" spans="1:16" x14ac:dyDescent="0.2">
      <c r="A236" s="8">
        <v>117</v>
      </c>
      <c r="B236" s="8">
        <v>234</v>
      </c>
      <c r="D236">
        <v>471.08983717013001</v>
      </c>
      <c r="E236">
        <v>287.73161145424001</v>
      </c>
      <c r="F236">
        <v>126.14068655037001</v>
      </c>
      <c r="G236">
        <v>110.04108047270999</v>
      </c>
      <c r="I236" s="9">
        <f t="shared" si="22"/>
        <v>177.69053098153</v>
      </c>
      <c r="J236" s="9">
        <f t="shared" si="23"/>
        <v>344.94915061976002</v>
      </c>
      <c r="K236" s="9">
        <f t="shared" si="24"/>
        <v>177.69053098153</v>
      </c>
      <c r="L236" s="10">
        <f t="shared" si="21"/>
        <v>0.51512094075975734</v>
      </c>
      <c r="M236" s="10">
        <f t="shared" si="20"/>
        <v>0.56949393878191845</v>
      </c>
      <c r="P236" s="8">
        <f t="shared" si="25"/>
        <v>45.130559206582546</v>
      </c>
    </row>
    <row r="237" spans="1:16" x14ac:dyDescent="0.2">
      <c r="A237" s="8">
        <v>117.5</v>
      </c>
      <c r="B237" s="8">
        <v>235</v>
      </c>
      <c r="D237">
        <v>479.51263335204999</v>
      </c>
      <c r="E237">
        <v>290.96238068500998</v>
      </c>
      <c r="F237">
        <v>125.98649409117</v>
      </c>
      <c r="G237">
        <v>109.96398424311</v>
      </c>
      <c r="I237" s="9">
        <f t="shared" si="22"/>
        <v>180.99839644189996</v>
      </c>
      <c r="J237" s="9">
        <f t="shared" si="23"/>
        <v>353.52613926087997</v>
      </c>
      <c r="K237" s="9">
        <f t="shared" si="24"/>
        <v>180.99839644189996</v>
      </c>
      <c r="L237" s="10">
        <f t="shared" si="21"/>
        <v>0.51198023665326364</v>
      </c>
      <c r="M237" s="10">
        <f t="shared" si="20"/>
        <v>0.56658559791483565</v>
      </c>
      <c r="P237" s="8">
        <f t="shared" si="25"/>
        <v>44.389393923408718</v>
      </c>
    </row>
    <row r="238" spans="1:16" x14ac:dyDescent="0.2">
      <c r="A238" s="8">
        <v>118</v>
      </c>
      <c r="B238" s="8">
        <v>236</v>
      </c>
      <c r="D238">
        <v>468.44918585065</v>
      </c>
      <c r="E238">
        <v>282.54576080854002</v>
      </c>
      <c r="F238">
        <v>125.91840180078999</v>
      </c>
      <c r="G238">
        <v>109.75014068655</v>
      </c>
      <c r="I238" s="9">
        <f t="shared" si="22"/>
        <v>172.79562012199003</v>
      </c>
      <c r="J238" s="9">
        <f t="shared" si="23"/>
        <v>342.53078404986002</v>
      </c>
      <c r="K238" s="9">
        <f t="shared" si="24"/>
        <v>172.79562012199003</v>
      </c>
      <c r="L238" s="10">
        <f t="shared" si="21"/>
        <v>0.50446741772802906</v>
      </c>
      <c r="M238" s="10">
        <f t="shared" si="20"/>
        <v>0.55930514222901206</v>
      </c>
      <c r="P238" s="8">
        <f t="shared" si="25"/>
        <v>42.534033342710877</v>
      </c>
    </row>
    <row r="239" spans="1:16" x14ac:dyDescent="0.2">
      <c r="A239" s="8">
        <v>118.5</v>
      </c>
      <c r="B239" s="8">
        <v>237</v>
      </c>
      <c r="D239">
        <v>478.88888888888999</v>
      </c>
      <c r="E239">
        <v>287.09259259258999</v>
      </c>
      <c r="F239">
        <v>126.14124929657</v>
      </c>
      <c r="G239">
        <v>109.79516038267001</v>
      </c>
      <c r="I239" s="9">
        <f t="shared" si="22"/>
        <v>177.29743220991998</v>
      </c>
      <c r="J239" s="9">
        <f t="shared" si="23"/>
        <v>352.74763959232001</v>
      </c>
      <c r="K239" s="9">
        <f t="shared" si="24"/>
        <v>177.29743220991998</v>
      </c>
      <c r="L239" s="10">
        <f t="shared" si="21"/>
        <v>0.50261833761617059</v>
      </c>
      <c r="M239" s="10">
        <f t="shared" si="20"/>
        <v>0.55768842535656449</v>
      </c>
      <c r="P239" s="8">
        <f t="shared" si="25"/>
        <v>42.122027160030697</v>
      </c>
    </row>
    <row r="240" spans="1:16" x14ac:dyDescent="0.2">
      <c r="A240" s="8">
        <v>119</v>
      </c>
      <c r="B240" s="8">
        <v>238</v>
      </c>
      <c r="D240">
        <v>473.33295901179002</v>
      </c>
      <c r="E240">
        <v>285.20494104436</v>
      </c>
      <c r="F240">
        <v>126.18739448509</v>
      </c>
      <c r="G240">
        <v>109.83005064715999</v>
      </c>
      <c r="I240" s="9">
        <f t="shared" si="22"/>
        <v>175.37489039720001</v>
      </c>
      <c r="J240" s="9">
        <f t="shared" si="23"/>
        <v>347.14556452670001</v>
      </c>
      <c r="K240" s="9">
        <f t="shared" si="24"/>
        <v>175.37489039720001</v>
      </c>
      <c r="L240" s="10">
        <f t="shared" si="21"/>
        <v>0.50519121751218976</v>
      </c>
      <c r="M240" s="10">
        <f t="shared" si="20"/>
        <v>0.56049366849199467</v>
      </c>
      <c r="P240" s="8">
        <f t="shared" si="25"/>
        <v>42.836918886229235</v>
      </c>
    </row>
    <row r="241" spans="1:16" x14ac:dyDescent="0.2">
      <c r="A241" s="8">
        <v>119.5</v>
      </c>
      <c r="B241" s="8">
        <v>239</v>
      </c>
      <c r="D241">
        <v>474.08141493543002</v>
      </c>
      <c r="E241">
        <v>281.56709713644</v>
      </c>
      <c r="F241">
        <v>126.66572875633</v>
      </c>
      <c r="G241">
        <v>109.87113111987</v>
      </c>
      <c r="I241" s="9">
        <f t="shared" si="22"/>
        <v>171.69596601657</v>
      </c>
      <c r="J241" s="9">
        <f t="shared" si="23"/>
        <v>347.41568617910002</v>
      </c>
      <c r="K241" s="9">
        <f t="shared" si="24"/>
        <v>171.69596601657</v>
      </c>
      <c r="L241" s="10">
        <f t="shared" si="21"/>
        <v>0.49420902062567534</v>
      </c>
      <c r="M241" s="10">
        <f t="shared" si="20"/>
        <v>0.5497438348448912</v>
      </c>
      <c r="P241" s="8">
        <f t="shared" si="25"/>
        <v>40.097417616173928</v>
      </c>
    </row>
    <row r="242" spans="1:16" x14ac:dyDescent="0.2">
      <c r="A242" s="8">
        <v>120</v>
      </c>
      <c r="B242" s="8">
        <v>240</v>
      </c>
      <c r="D242">
        <v>466.90454800674001</v>
      </c>
      <c r="E242">
        <v>277.64682762492998</v>
      </c>
      <c r="F242">
        <v>126.00450196961</v>
      </c>
      <c r="G242">
        <v>109.73663477772</v>
      </c>
      <c r="I242" s="9">
        <f>E242-G242</f>
        <v>167.91019284721</v>
      </c>
      <c r="J242" s="9">
        <f>D242-F242</f>
        <v>340.90004603712998</v>
      </c>
      <c r="K242" s="9">
        <f t="shared" si="24"/>
        <v>167.91019284721</v>
      </c>
      <c r="L242" s="10">
        <f t="shared" si="21"/>
        <v>0.49254963382704159</v>
      </c>
      <c r="M242" s="10">
        <f>L242+ABS($N$2)*A242</f>
        <v>0.54831681128566834</v>
      </c>
      <c r="O242" s="11"/>
      <c r="P242" s="8">
        <f>(M242-$O$2)/$O$2*100</f>
        <v>39.733753118543007</v>
      </c>
    </row>
    <row r="243" spans="1:16" x14ac:dyDescent="0.2">
      <c r="A243" s="8">
        <v>120.5</v>
      </c>
      <c r="B243" s="8">
        <v>241</v>
      </c>
      <c r="D243">
        <v>472.69062324536998</v>
      </c>
      <c r="E243">
        <v>280.38686131386999</v>
      </c>
      <c r="F243">
        <v>126.38154192459</v>
      </c>
      <c r="G243">
        <v>109.93528418683</v>
      </c>
      <c r="I243" s="9">
        <f t="shared" ref="I243:I274" si="26">E243-G243</f>
        <v>170.45157712703997</v>
      </c>
      <c r="J243" s="9">
        <f t="shared" ref="J243:J274" si="27">D243-F243</f>
        <v>346.30908132077997</v>
      </c>
      <c r="K243" s="9">
        <f t="shared" si="24"/>
        <v>170.45157712703997</v>
      </c>
      <c r="L243" s="10">
        <f t="shared" si="21"/>
        <v>0.49219493891687377</v>
      </c>
      <c r="M243" s="10">
        <f t="shared" ref="M243:M274" si="28">L243+ABS($N$2)*A243</f>
        <v>0.54819447961491141</v>
      </c>
      <c r="P243" s="8">
        <f t="shared" ref="P243:P274" si="29">(M243-$O$2)/$O$2*100</f>
        <v>39.702577960079338</v>
      </c>
    </row>
    <row r="244" spans="1:16" x14ac:dyDescent="0.2">
      <c r="A244" s="8">
        <v>121</v>
      </c>
      <c r="B244" s="8">
        <v>242</v>
      </c>
      <c r="D244">
        <v>466.75070185289002</v>
      </c>
      <c r="E244">
        <v>275.96518809657999</v>
      </c>
      <c r="F244">
        <v>125.69217782779999</v>
      </c>
      <c r="G244">
        <v>109.72031513787</v>
      </c>
      <c r="I244" s="9">
        <f t="shared" si="26"/>
        <v>166.24487295871</v>
      </c>
      <c r="J244" s="9">
        <f t="shared" si="27"/>
        <v>341.05852402509004</v>
      </c>
      <c r="K244" s="9">
        <f t="shared" si="24"/>
        <v>166.24487295871</v>
      </c>
      <c r="L244" s="10">
        <f t="shared" si="21"/>
        <v>0.48743796518183541</v>
      </c>
      <c r="M244" s="10">
        <f t="shared" si="28"/>
        <v>0.54366986911928405</v>
      </c>
      <c r="N244" s="1"/>
      <c r="P244" s="8">
        <f t="shared" si="29"/>
        <v>38.549520470430039</v>
      </c>
    </row>
    <row r="245" spans="1:16" x14ac:dyDescent="0.2">
      <c r="A245" s="8">
        <v>121.5</v>
      </c>
      <c r="B245" s="8">
        <v>243</v>
      </c>
      <c r="D245">
        <v>473.13138686130998</v>
      </c>
      <c r="E245">
        <v>276.82481751824997</v>
      </c>
      <c r="F245">
        <v>125.92065278558999</v>
      </c>
      <c r="G245">
        <v>109.85987619584</v>
      </c>
      <c r="I245" s="9">
        <f t="shared" si="26"/>
        <v>166.96494132240997</v>
      </c>
      <c r="J245" s="9">
        <f t="shared" si="27"/>
        <v>347.21073407571998</v>
      </c>
      <c r="K245" s="9">
        <f t="shared" si="24"/>
        <v>166.96494132240997</v>
      </c>
      <c r="L245" s="10">
        <f t="shared" si="21"/>
        <v>0.48087494117044816</v>
      </c>
      <c r="M245" s="10">
        <f t="shared" si="28"/>
        <v>0.53733920834730775</v>
      </c>
      <c r="P245" s="8">
        <f t="shared" si="29"/>
        <v>36.936206832800735</v>
      </c>
    </row>
    <row r="246" spans="1:16" x14ac:dyDescent="0.2">
      <c r="A246" s="8">
        <v>122</v>
      </c>
      <c r="B246" s="8">
        <v>244</v>
      </c>
      <c r="D246">
        <v>463.55530600786</v>
      </c>
      <c r="E246">
        <v>270.57158899494999</v>
      </c>
      <c r="F246">
        <v>126.12774338773001</v>
      </c>
      <c r="G246">
        <v>109.73719752392</v>
      </c>
      <c r="I246" s="9">
        <f t="shared" si="26"/>
        <v>160.83439147102999</v>
      </c>
      <c r="J246" s="9">
        <f t="shared" si="27"/>
        <v>337.42756262013</v>
      </c>
      <c r="K246" s="9">
        <f t="shared" si="24"/>
        <v>160.83439147102999</v>
      </c>
      <c r="L246" s="10">
        <f t="shared" si="21"/>
        <v>0.47664864785244149</v>
      </c>
      <c r="M246" s="10">
        <f t="shared" si="28"/>
        <v>0.53334527826871203</v>
      </c>
      <c r="P246" s="8">
        <f t="shared" si="29"/>
        <v>35.918388615141779</v>
      </c>
    </row>
    <row r="247" spans="1:16" x14ac:dyDescent="0.2">
      <c r="A247" s="8">
        <v>122.5</v>
      </c>
      <c r="B247" s="8">
        <v>245</v>
      </c>
      <c r="D247">
        <v>468.82537900056002</v>
      </c>
      <c r="E247">
        <v>273.90735541830003</v>
      </c>
      <c r="F247">
        <v>126.03263927969</v>
      </c>
      <c r="G247">
        <v>109.71637591446</v>
      </c>
      <c r="I247" s="9">
        <f t="shared" si="26"/>
        <v>164.19097950384003</v>
      </c>
      <c r="J247" s="9">
        <f t="shared" si="27"/>
        <v>342.79273972087003</v>
      </c>
      <c r="K247" s="9">
        <f t="shared" si="24"/>
        <v>164.19097950384003</v>
      </c>
      <c r="L247" s="10">
        <f t="shared" si="21"/>
        <v>0.4789803297395907</v>
      </c>
      <c r="M247" s="10">
        <f t="shared" si="28"/>
        <v>0.5359093233952722</v>
      </c>
      <c r="P247" s="8">
        <f t="shared" si="29"/>
        <v>36.571813134188488</v>
      </c>
    </row>
    <row r="248" spans="1:16" x14ac:dyDescent="0.2">
      <c r="A248" s="8">
        <v>123</v>
      </c>
      <c r="B248" s="8">
        <v>246</v>
      </c>
      <c r="D248">
        <v>467.87366647951001</v>
      </c>
      <c r="E248">
        <v>274.12464907355002</v>
      </c>
      <c r="F248">
        <v>126.15756893641</v>
      </c>
      <c r="G248">
        <v>109.68655036579</v>
      </c>
      <c r="I248" s="9">
        <f t="shared" si="26"/>
        <v>164.43809870776002</v>
      </c>
      <c r="J248" s="9">
        <f t="shared" si="27"/>
        <v>341.71609754309998</v>
      </c>
      <c r="K248" s="9">
        <f t="shared" si="24"/>
        <v>164.43809870776002</v>
      </c>
      <c r="L248" s="10">
        <f t="shared" si="21"/>
        <v>0.48121262033030143</v>
      </c>
      <c r="M248" s="10">
        <f t="shared" si="28"/>
        <v>0.53837397722539382</v>
      </c>
      <c r="P248" s="8">
        <f t="shared" si="29"/>
        <v>37.199908648920868</v>
      </c>
    </row>
    <row r="249" spans="1:16" x14ac:dyDescent="0.2">
      <c r="A249" s="8">
        <v>123.5</v>
      </c>
      <c r="B249" s="8">
        <v>247</v>
      </c>
      <c r="D249">
        <v>471.08197641774001</v>
      </c>
      <c r="E249">
        <v>278.98989331835998</v>
      </c>
      <c r="F249">
        <v>126.38829487901</v>
      </c>
      <c r="G249">
        <v>109.53404614519</v>
      </c>
      <c r="I249" s="9">
        <f t="shared" si="26"/>
        <v>169.45584717316996</v>
      </c>
      <c r="J249" s="9">
        <f t="shared" si="27"/>
        <v>344.69368153873</v>
      </c>
      <c r="K249" s="9">
        <f t="shared" si="24"/>
        <v>169.45584717316996</v>
      </c>
      <c r="L249" s="10">
        <f t="shared" si="21"/>
        <v>0.49161286164779838</v>
      </c>
      <c r="M249" s="10">
        <f t="shared" si="28"/>
        <v>0.54900658178230177</v>
      </c>
      <c r="P249" s="8">
        <f t="shared" si="29"/>
        <v>39.909535108628333</v>
      </c>
    </row>
    <row r="250" spans="1:16" x14ac:dyDescent="0.2">
      <c r="A250" s="8">
        <v>124</v>
      </c>
      <c r="B250" s="8">
        <v>248</v>
      </c>
      <c r="D250">
        <v>471.38293093767999</v>
      </c>
      <c r="E250">
        <v>279.49354295339998</v>
      </c>
      <c r="F250">
        <v>126.08497467642</v>
      </c>
      <c r="G250">
        <v>109.67585818796</v>
      </c>
      <c r="I250" s="9">
        <f t="shared" si="26"/>
        <v>169.81768476543999</v>
      </c>
      <c r="J250" s="9">
        <f t="shared" si="27"/>
        <v>345.29795626125997</v>
      </c>
      <c r="K250" s="9">
        <f t="shared" si="24"/>
        <v>169.81768476543999</v>
      </c>
      <c r="L250" s="10">
        <f t="shared" si="21"/>
        <v>0.4918004340487675</v>
      </c>
      <c r="M250" s="10">
        <f t="shared" si="28"/>
        <v>0.54942651742268178</v>
      </c>
      <c r="P250" s="8">
        <f t="shared" si="29"/>
        <v>40.016552040976158</v>
      </c>
    </row>
    <row r="251" spans="1:16" x14ac:dyDescent="0.2">
      <c r="A251" s="8">
        <v>124.5</v>
      </c>
      <c r="B251" s="8">
        <v>249</v>
      </c>
      <c r="D251">
        <v>479.00449185850999</v>
      </c>
      <c r="E251">
        <v>281.84727681077999</v>
      </c>
      <c r="F251">
        <v>125.74788970175</v>
      </c>
      <c r="G251">
        <v>109.59369724254</v>
      </c>
      <c r="I251" s="9">
        <f t="shared" si="26"/>
        <v>172.25357956823999</v>
      </c>
      <c r="J251" s="9">
        <f t="shared" si="27"/>
        <v>353.25660215675998</v>
      </c>
      <c r="K251" s="9">
        <f t="shared" si="24"/>
        <v>172.25357956823999</v>
      </c>
      <c r="L251" s="10">
        <f t="shared" si="21"/>
        <v>0.48761602335687221</v>
      </c>
      <c r="M251" s="10">
        <f t="shared" si="28"/>
        <v>0.54547446997019744</v>
      </c>
      <c r="P251" s="8">
        <f t="shared" si="29"/>
        <v>39.009407244989767</v>
      </c>
    </row>
    <row r="252" spans="1:16" x14ac:dyDescent="0.2">
      <c r="A252" s="8">
        <v>125</v>
      </c>
      <c r="B252" s="8">
        <v>250</v>
      </c>
      <c r="D252">
        <v>476.53340819763997</v>
      </c>
      <c r="E252">
        <v>277.29477821449001</v>
      </c>
      <c r="F252">
        <v>125.88351153630001</v>
      </c>
      <c r="G252">
        <v>109.84074282499</v>
      </c>
      <c r="I252" s="9">
        <f t="shared" si="26"/>
        <v>167.45403538950001</v>
      </c>
      <c r="J252" s="9">
        <f t="shared" si="27"/>
        <v>350.64989666133999</v>
      </c>
      <c r="K252" s="9">
        <f t="shared" si="24"/>
        <v>167.45403538950001</v>
      </c>
      <c r="L252" s="10">
        <f t="shared" si="21"/>
        <v>0.47755335730564391</v>
      </c>
      <c r="M252" s="10">
        <f t="shared" si="28"/>
        <v>0.53564416715838015</v>
      </c>
      <c r="P252" s="8">
        <f t="shared" si="29"/>
        <v>36.50424038175575</v>
      </c>
    </row>
    <row r="253" spans="1:16" x14ac:dyDescent="0.2">
      <c r="A253" s="8">
        <v>125.5</v>
      </c>
      <c r="B253" s="8">
        <v>251</v>
      </c>
      <c r="D253">
        <v>475.75771172181999</v>
      </c>
      <c r="E253">
        <v>274.12619181154997</v>
      </c>
      <c r="F253">
        <v>125.68598761958</v>
      </c>
      <c r="G253">
        <v>109.64659538548</v>
      </c>
      <c r="I253" s="9">
        <f t="shared" si="26"/>
        <v>164.47959642606997</v>
      </c>
      <c r="J253" s="9">
        <f t="shared" si="27"/>
        <v>350.07172410223995</v>
      </c>
      <c r="K253" s="9">
        <f t="shared" si="24"/>
        <v>164.47959642606997</v>
      </c>
      <c r="L253" s="10">
        <f t="shared" si="21"/>
        <v>0.46984542052883138</v>
      </c>
      <c r="M253" s="10">
        <f t="shared" si="28"/>
        <v>0.52816859362097857</v>
      </c>
      <c r="P253" s="8">
        <f t="shared" si="29"/>
        <v>34.599155719759928</v>
      </c>
    </row>
    <row r="254" spans="1:16" x14ac:dyDescent="0.2">
      <c r="A254" s="8">
        <v>126</v>
      </c>
      <c r="B254" s="8">
        <v>252</v>
      </c>
      <c r="D254">
        <v>472.94391475041999</v>
      </c>
      <c r="E254">
        <v>270.23051037577</v>
      </c>
      <c r="F254">
        <v>125.55824423185</v>
      </c>
      <c r="G254">
        <v>109.71074845245001</v>
      </c>
      <c r="I254" s="9">
        <f t="shared" si="26"/>
        <v>160.51976192332</v>
      </c>
      <c r="J254" s="9">
        <f t="shared" si="27"/>
        <v>347.38567051857001</v>
      </c>
      <c r="K254" s="9">
        <f t="shared" si="24"/>
        <v>160.51976192332</v>
      </c>
      <c r="L254" s="10">
        <f t="shared" si="21"/>
        <v>0.46207939919830165</v>
      </c>
      <c r="M254" s="10">
        <f t="shared" si="28"/>
        <v>0.52063493552985973</v>
      </c>
      <c r="P254" s="8">
        <f t="shared" si="29"/>
        <v>32.679268716267231</v>
      </c>
    </row>
    <row r="255" spans="1:16" x14ac:dyDescent="0.2">
      <c r="A255" s="8">
        <v>126.5</v>
      </c>
      <c r="B255" s="8">
        <v>253</v>
      </c>
      <c r="D255">
        <v>474.93157599551</v>
      </c>
      <c r="E255">
        <v>265.56421761077002</v>
      </c>
      <c r="F255">
        <v>126.28249859313</v>
      </c>
      <c r="G255">
        <v>109.63083849184</v>
      </c>
      <c r="I255" s="9">
        <f t="shared" si="26"/>
        <v>155.93337911893002</v>
      </c>
      <c r="J255" s="9">
        <f t="shared" si="27"/>
        <v>348.64907740237999</v>
      </c>
      <c r="K255" s="9">
        <f t="shared" si="24"/>
        <v>155.93337911893002</v>
      </c>
      <c r="L255" s="10">
        <f t="shared" si="21"/>
        <v>0.44725022730797442</v>
      </c>
      <c r="M255" s="10">
        <f t="shared" si="28"/>
        <v>0.50603812687894345</v>
      </c>
      <c r="P255" s="8">
        <f t="shared" si="29"/>
        <v>28.959399446595867</v>
      </c>
    </row>
    <row r="256" spans="1:16" x14ac:dyDescent="0.2">
      <c r="A256" s="8">
        <v>127</v>
      </c>
      <c r="B256" s="8">
        <v>254</v>
      </c>
      <c r="D256">
        <v>470.30959057768001</v>
      </c>
      <c r="E256">
        <v>261.82164890633999</v>
      </c>
      <c r="F256">
        <v>125.88013505908999</v>
      </c>
      <c r="G256">
        <v>110.05008441193</v>
      </c>
      <c r="I256" s="9">
        <f t="shared" si="26"/>
        <v>151.77156449440997</v>
      </c>
      <c r="J256" s="9">
        <f t="shared" si="27"/>
        <v>344.42945551859003</v>
      </c>
      <c r="K256" s="9">
        <f t="shared" si="24"/>
        <v>151.77156449440997</v>
      </c>
      <c r="L256" s="10">
        <f t="shared" si="21"/>
        <v>0.44064629799415733</v>
      </c>
      <c r="M256" s="10">
        <f t="shared" si="28"/>
        <v>0.49966656080453731</v>
      </c>
      <c r="P256" s="8">
        <f t="shared" si="29"/>
        <v>27.335661449703224</v>
      </c>
    </row>
    <row r="257" spans="1:16" x14ac:dyDescent="0.2">
      <c r="A257" s="8">
        <v>127.5</v>
      </c>
      <c r="B257" s="8">
        <v>255</v>
      </c>
      <c r="D257">
        <v>472.39371845205</v>
      </c>
      <c r="E257">
        <v>263.28379136286998</v>
      </c>
      <c r="F257">
        <v>125.87169386607</v>
      </c>
      <c r="G257">
        <v>109.92909397862</v>
      </c>
      <c r="I257" s="9">
        <f t="shared" si="26"/>
        <v>153.35469738424996</v>
      </c>
      <c r="J257" s="9">
        <f t="shared" si="27"/>
        <v>346.52202458597998</v>
      </c>
      <c r="K257" s="9">
        <f t="shared" si="24"/>
        <v>153.35469738424996</v>
      </c>
      <c r="L257" s="10">
        <f t="shared" si="21"/>
        <v>0.44255396916682616</v>
      </c>
      <c r="M257" s="10">
        <f t="shared" si="28"/>
        <v>0.50180659521661708</v>
      </c>
      <c r="P257" s="8">
        <f t="shared" si="29"/>
        <v>27.881030539338791</v>
      </c>
    </row>
    <row r="258" spans="1:16" x14ac:dyDescent="0.2">
      <c r="A258" s="8">
        <v>128</v>
      </c>
      <c r="B258" s="8">
        <v>256</v>
      </c>
      <c r="D258">
        <v>479.01010668164002</v>
      </c>
      <c r="E258">
        <v>265.66479505896001</v>
      </c>
      <c r="F258">
        <v>125.86775464266</v>
      </c>
      <c r="G258">
        <v>109.66460326393</v>
      </c>
      <c r="I258" s="9">
        <f t="shared" si="26"/>
        <v>156.00019179502999</v>
      </c>
      <c r="J258" s="9">
        <f t="shared" si="27"/>
        <v>353.14235203897999</v>
      </c>
      <c r="K258" s="9">
        <f t="shared" si="24"/>
        <v>156.00019179502999</v>
      </c>
      <c r="L258" s="10">
        <f t="shared" ref="L258:L321" si="30">K258/J258</f>
        <v>0.44174874776223561</v>
      </c>
      <c r="M258" s="10">
        <f t="shared" si="28"/>
        <v>0.50123373705143748</v>
      </c>
      <c r="P258" s="8">
        <f t="shared" si="29"/>
        <v>27.735042636400969</v>
      </c>
    </row>
    <row r="259" spans="1:16" x14ac:dyDescent="0.2">
      <c r="A259" s="8">
        <v>128.5</v>
      </c>
      <c r="B259" s="8">
        <v>257</v>
      </c>
      <c r="D259">
        <v>479.05558674901999</v>
      </c>
      <c r="E259">
        <v>266.44469399214</v>
      </c>
      <c r="F259">
        <v>125.81541924592</v>
      </c>
      <c r="G259">
        <v>110.07315700619</v>
      </c>
      <c r="I259" s="9">
        <f t="shared" si="26"/>
        <v>156.37153698595</v>
      </c>
      <c r="J259" s="9">
        <f t="shared" si="27"/>
        <v>353.2401675031</v>
      </c>
      <c r="K259" s="9">
        <f t="shared" ref="K259:K322" si="31">I259*1</f>
        <v>156.37153698595</v>
      </c>
      <c r="L259" s="10">
        <f t="shared" si="30"/>
        <v>0.44267767760181947</v>
      </c>
      <c r="M259" s="10">
        <f t="shared" si="28"/>
        <v>0.5023950301304323</v>
      </c>
      <c r="P259" s="8">
        <f t="shared" si="29"/>
        <v>28.030988040697522</v>
      </c>
    </row>
    <row r="260" spans="1:16" x14ac:dyDescent="0.2">
      <c r="A260" s="8">
        <v>129</v>
      </c>
      <c r="B260" s="8">
        <v>258</v>
      </c>
      <c r="D260">
        <v>481.55100896861001</v>
      </c>
      <c r="E260">
        <v>266.32567264573999</v>
      </c>
      <c r="F260">
        <v>126.07428249858999</v>
      </c>
      <c r="G260">
        <v>109.48677546427</v>
      </c>
      <c r="I260" s="9">
        <f t="shared" si="26"/>
        <v>156.83889718146997</v>
      </c>
      <c r="J260" s="9">
        <f t="shared" si="27"/>
        <v>355.47672647002003</v>
      </c>
      <c r="K260" s="9">
        <f t="shared" si="31"/>
        <v>156.83889718146997</v>
      </c>
      <c r="L260" s="10">
        <f t="shared" si="30"/>
        <v>0.44120721696444831</v>
      </c>
      <c r="M260" s="10">
        <f t="shared" si="28"/>
        <v>0.50115693273247208</v>
      </c>
      <c r="P260" s="8">
        <f t="shared" si="29"/>
        <v>27.71546972613476</v>
      </c>
    </row>
    <row r="261" spans="1:16" x14ac:dyDescent="0.2">
      <c r="A261" s="8">
        <v>129.5</v>
      </c>
      <c r="B261" s="8">
        <v>259</v>
      </c>
      <c r="D261">
        <v>468.91479820628001</v>
      </c>
      <c r="E261">
        <v>258.90190582960003</v>
      </c>
      <c r="F261">
        <v>126.40630275746</v>
      </c>
      <c r="G261">
        <v>109.90883511536001</v>
      </c>
      <c r="I261" s="9">
        <f t="shared" si="26"/>
        <v>148.99307071424002</v>
      </c>
      <c r="J261" s="9">
        <f t="shared" si="27"/>
        <v>342.50849544881999</v>
      </c>
      <c r="K261" s="9">
        <f t="shared" si="31"/>
        <v>148.99307071424002</v>
      </c>
      <c r="L261" s="10">
        <f t="shared" si="30"/>
        <v>0.43500547488318753</v>
      </c>
      <c r="M261" s="10">
        <f t="shared" si="28"/>
        <v>0.49518755389062225</v>
      </c>
      <c r="P261" s="8">
        <f t="shared" si="29"/>
        <v>26.194225634781287</v>
      </c>
    </row>
    <row r="262" spans="1:16" x14ac:dyDescent="0.2">
      <c r="A262" s="8">
        <v>130</v>
      </c>
      <c r="B262" s="8">
        <v>260</v>
      </c>
      <c r="D262">
        <v>468.17686692869</v>
      </c>
      <c r="E262">
        <v>255.18809657496001</v>
      </c>
      <c r="F262">
        <v>125.45582442318999</v>
      </c>
      <c r="G262">
        <v>109.62521102983</v>
      </c>
      <c r="I262" s="9">
        <f t="shared" si="26"/>
        <v>145.56288554513003</v>
      </c>
      <c r="J262" s="9">
        <f t="shared" si="27"/>
        <v>342.72104250550001</v>
      </c>
      <c r="K262" s="9">
        <f t="shared" si="31"/>
        <v>145.56288554513003</v>
      </c>
      <c r="L262" s="10">
        <f t="shared" si="30"/>
        <v>0.42472701553711578</v>
      </c>
      <c r="M262" s="10">
        <f t="shared" si="28"/>
        <v>0.48514145778396145</v>
      </c>
      <c r="P262" s="8">
        <f t="shared" si="29"/>
        <v>23.634065734008267</v>
      </c>
    </row>
    <row r="263" spans="1:16" x14ac:dyDescent="0.2">
      <c r="A263" s="8">
        <v>130.5</v>
      </c>
      <c r="B263" s="8">
        <v>261</v>
      </c>
      <c r="D263">
        <v>471.09545199325999</v>
      </c>
      <c r="E263">
        <v>253.92700729927</v>
      </c>
      <c r="F263">
        <v>125.69949352842001</v>
      </c>
      <c r="G263">
        <v>109.91108610017</v>
      </c>
      <c r="I263" s="9">
        <f t="shared" si="26"/>
        <v>144.01592119910001</v>
      </c>
      <c r="J263" s="9">
        <f t="shared" si="27"/>
        <v>345.39595846483996</v>
      </c>
      <c r="K263" s="9">
        <f t="shared" si="31"/>
        <v>144.01592119910001</v>
      </c>
      <c r="L263" s="10">
        <f t="shared" si="30"/>
        <v>0.41695890663920521</v>
      </c>
      <c r="M263" s="10">
        <f t="shared" si="28"/>
        <v>0.47760571212546177</v>
      </c>
      <c r="P263" s="8">
        <f t="shared" si="29"/>
        <v>21.71364673219086</v>
      </c>
    </row>
    <row r="264" spans="1:16" x14ac:dyDescent="0.2">
      <c r="A264" s="8">
        <v>131</v>
      </c>
      <c r="B264" s="8">
        <v>262</v>
      </c>
      <c r="D264">
        <v>464.80135059088002</v>
      </c>
      <c r="E264">
        <v>252.19189645469999</v>
      </c>
      <c r="F264">
        <v>125.82104670794</v>
      </c>
      <c r="G264">
        <v>109.59876195836</v>
      </c>
      <c r="I264" s="9">
        <f t="shared" si="26"/>
        <v>142.59313449633999</v>
      </c>
      <c r="J264" s="9">
        <f t="shared" si="27"/>
        <v>338.98030388294001</v>
      </c>
      <c r="K264" s="9">
        <f t="shared" si="31"/>
        <v>142.59313449633999</v>
      </c>
      <c r="L264" s="10">
        <f t="shared" si="30"/>
        <v>0.42065315554611588</v>
      </c>
      <c r="M264" s="10">
        <f t="shared" si="28"/>
        <v>0.48153232427178339</v>
      </c>
      <c r="P264" s="8">
        <f t="shared" si="29"/>
        <v>22.714309562425548</v>
      </c>
    </row>
    <row r="265" spans="1:16" x14ac:dyDescent="0.2">
      <c r="A265" s="8">
        <v>131.5</v>
      </c>
      <c r="B265" s="8">
        <v>263</v>
      </c>
      <c r="D265">
        <v>468.49184018007998</v>
      </c>
      <c r="E265">
        <v>251.57962858751</v>
      </c>
      <c r="F265">
        <v>125.7287563309</v>
      </c>
      <c r="G265">
        <v>109.6539110861</v>
      </c>
      <c r="I265" s="9">
        <f t="shared" si="26"/>
        <v>141.92571750141002</v>
      </c>
      <c r="J265" s="9">
        <f t="shared" si="27"/>
        <v>342.76308384917996</v>
      </c>
      <c r="K265" s="9">
        <f t="shared" si="31"/>
        <v>141.92571750141002</v>
      </c>
      <c r="L265" s="10">
        <f t="shared" si="30"/>
        <v>0.41406360308001872</v>
      </c>
      <c r="M265" s="10">
        <f t="shared" si="28"/>
        <v>0.47517513504509717</v>
      </c>
      <c r="P265" s="8">
        <f t="shared" si="29"/>
        <v>21.09423537967935</v>
      </c>
    </row>
    <row r="266" spans="1:16" x14ac:dyDescent="0.2">
      <c r="A266" s="8">
        <v>132</v>
      </c>
      <c r="B266" s="8">
        <v>264</v>
      </c>
      <c r="D266">
        <v>466.52335396735998</v>
      </c>
      <c r="E266">
        <v>247.78165447383</v>
      </c>
      <c r="F266">
        <v>125.81091727630999</v>
      </c>
      <c r="G266">
        <v>109.70343275182999</v>
      </c>
      <c r="I266" s="9">
        <f t="shared" si="26"/>
        <v>138.07822172200002</v>
      </c>
      <c r="J266" s="9">
        <f t="shared" si="27"/>
        <v>340.71243669105002</v>
      </c>
      <c r="K266" s="9">
        <f t="shared" si="31"/>
        <v>138.07822172200002</v>
      </c>
      <c r="L266" s="10">
        <f t="shared" si="30"/>
        <v>0.40526322743893878</v>
      </c>
      <c r="M266" s="10">
        <f t="shared" si="28"/>
        <v>0.46660712264342818</v>
      </c>
      <c r="P266" s="8">
        <f t="shared" si="29"/>
        <v>18.910752208984299</v>
      </c>
    </row>
    <row r="267" spans="1:16" x14ac:dyDescent="0.2">
      <c r="A267" s="8">
        <v>132.5</v>
      </c>
      <c r="B267" s="8">
        <v>265</v>
      </c>
      <c r="D267">
        <v>469.77771525041999</v>
      </c>
      <c r="E267">
        <v>246.43669105234</v>
      </c>
      <c r="F267">
        <v>125.60776589757999</v>
      </c>
      <c r="G267">
        <v>109.67248171075001</v>
      </c>
      <c r="I267" s="9">
        <f t="shared" si="26"/>
        <v>136.76420934159</v>
      </c>
      <c r="J267" s="9">
        <f t="shared" si="27"/>
        <v>344.16994935283998</v>
      </c>
      <c r="K267" s="9">
        <f t="shared" si="31"/>
        <v>136.76420934159</v>
      </c>
      <c r="L267" s="10">
        <f t="shared" si="30"/>
        <v>0.39737405778382051</v>
      </c>
      <c r="M267" s="10">
        <f t="shared" si="28"/>
        <v>0.45895031622772087</v>
      </c>
      <c r="P267" s="8">
        <f t="shared" si="29"/>
        <v>16.959481929927499</v>
      </c>
    </row>
    <row r="268" spans="1:16" x14ac:dyDescent="0.2">
      <c r="A268" s="8">
        <v>133</v>
      </c>
      <c r="B268" s="8">
        <v>266</v>
      </c>
      <c r="D268">
        <v>471.15946097697997</v>
      </c>
      <c r="E268">
        <v>246.94441325098001</v>
      </c>
      <c r="F268">
        <v>125.79628587507</v>
      </c>
      <c r="G268">
        <v>109.83286437817</v>
      </c>
      <c r="I268" s="9">
        <f t="shared" si="26"/>
        <v>137.11154887281</v>
      </c>
      <c r="J268" s="9">
        <f t="shared" si="27"/>
        <v>345.36317510190997</v>
      </c>
      <c r="K268" s="9">
        <f t="shared" si="31"/>
        <v>137.11154887281</v>
      </c>
      <c r="L268" s="10">
        <f t="shared" si="30"/>
        <v>0.39700685758506549</v>
      </c>
      <c r="M268" s="10">
        <f t="shared" si="28"/>
        <v>0.45881547926837679</v>
      </c>
      <c r="P268" s="8">
        <f t="shared" si="29"/>
        <v>16.9251199078256</v>
      </c>
    </row>
    <row r="269" spans="1:16" x14ac:dyDescent="0.2">
      <c r="A269" s="8">
        <v>133.5</v>
      </c>
      <c r="B269" s="8">
        <v>267</v>
      </c>
      <c r="D269">
        <v>466.81920269512</v>
      </c>
      <c r="E269">
        <v>242.08534531161999</v>
      </c>
      <c r="F269">
        <v>126.21834552617</v>
      </c>
      <c r="G269">
        <v>109.6544738323</v>
      </c>
      <c r="I269" s="9">
        <f t="shared" si="26"/>
        <v>132.43087147931999</v>
      </c>
      <c r="J269" s="9">
        <f t="shared" si="27"/>
        <v>340.60085716895003</v>
      </c>
      <c r="K269" s="9">
        <f t="shared" si="31"/>
        <v>132.43087147931999</v>
      </c>
      <c r="L269" s="10">
        <f t="shared" si="30"/>
        <v>0.3888154380469736</v>
      </c>
      <c r="M269" s="10">
        <f t="shared" si="28"/>
        <v>0.45085642296969586</v>
      </c>
      <c r="P269" s="8">
        <f t="shared" si="29"/>
        <v>14.896823884421265</v>
      </c>
    </row>
    <row r="270" spans="1:16" x14ac:dyDescent="0.2">
      <c r="A270" s="8">
        <v>134</v>
      </c>
      <c r="B270" s="8">
        <v>268</v>
      </c>
      <c r="D270">
        <v>466.38236945535999</v>
      </c>
      <c r="E270">
        <v>239.24143739472001</v>
      </c>
      <c r="F270">
        <v>126.09904333146</v>
      </c>
      <c r="G270">
        <v>109.68373663478</v>
      </c>
      <c r="I270" s="9">
        <f t="shared" si="26"/>
        <v>129.55770075994002</v>
      </c>
      <c r="J270" s="9">
        <f t="shared" si="27"/>
        <v>340.2833261239</v>
      </c>
      <c r="K270" s="9">
        <f t="shared" si="31"/>
        <v>129.55770075994002</v>
      </c>
      <c r="L270" s="10">
        <f t="shared" si="30"/>
        <v>0.38073479014004635</v>
      </c>
      <c r="M270" s="10">
        <f t="shared" si="28"/>
        <v>0.44300813830217955</v>
      </c>
      <c r="P270" s="8">
        <f t="shared" si="29"/>
        <v>12.896757044297674</v>
      </c>
    </row>
    <row r="271" spans="1:16" x14ac:dyDescent="0.2">
      <c r="A271" s="8">
        <v>134.5</v>
      </c>
      <c r="B271" s="8">
        <v>269</v>
      </c>
      <c r="D271">
        <v>465.98877035372999</v>
      </c>
      <c r="E271">
        <v>240.05390230207999</v>
      </c>
      <c r="F271">
        <v>125.46707934721</v>
      </c>
      <c r="G271">
        <v>109.73888576252</v>
      </c>
      <c r="I271" s="9">
        <f t="shared" si="26"/>
        <v>130.31501653955999</v>
      </c>
      <c r="J271" s="9">
        <f t="shared" si="27"/>
        <v>340.52169100651997</v>
      </c>
      <c r="K271" s="9">
        <f t="shared" si="31"/>
        <v>130.31501653955999</v>
      </c>
      <c r="L271" s="10">
        <f t="shared" si="30"/>
        <v>0.38269226302257747</v>
      </c>
      <c r="M271" s="10">
        <f t="shared" si="28"/>
        <v>0.44519797442412162</v>
      </c>
      <c r="P271" s="8">
        <f t="shared" si="29"/>
        <v>13.454817664974323</v>
      </c>
    </row>
    <row r="272" spans="1:16" x14ac:dyDescent="0.2">
      <c r="A272" s="8">
        <v>135</v>
      </c>
      <c r="B272" s="8">
        <v>270</v>
      </c>
      <c r="D272">
        <v>458.02245929253002</v>
      </c>
      <c r="E272">
        <v>234.63840539022999</v>
      </c>
      <c r="F272">
        <v>126.02363534046</v>
      </c>
      <c r="G272">
        <v>109.39279684861999</v>
      </c>
      <c r="I272" s="9">
        <f t="shared" si="26"/>
        <v>125.24560854161</v>
      </c>
      <c r="J272" s="9">
        <f t="shared" si="27"/>
        <v>331.99882395206998</v>
      </c>
      <c r="K272" s="9">
        <f t="shared" si="31"/>
        <v>125.24560854161</v>
      </c>
      <c r="L272" s="10">
        <f t="shared" si="30"/>
        <v>0.3772471451877536</v>
      </c>
      <c r="M272" s="10">
        <f t="shared" si="28"/>
        <v>0.4399852198287087</v>
      </c>
      <c r="P272" s="8">
        <f t="shared" si="29"/>
        <v>12.126392658279622</v>
      </c>
    </row>
    <row r="273" spans="1:16" x14ac:dyDescent="0.2">
      <c r="A273" s="8">
        <v>135.5</v>
      </c>
      <c r="B273" s="8">
        <v>271</v>
      </c>
      <c r="D273">
        <v>466.24760832864001</v>
      </c>
      <c r="E273">
        <v>239.61789532921</v>
      </c>
      <c r="F273">
        <v>126.09060213844</v>
      </c>
      <c r="G273">
        <v>109.57118739449</v>
      </c>
      <c r="I273" s="9">
        <f t="shared" si="26"/>
        <v>130.04670793472002</v>
      </c>
      <c r="J273" s="9">
        <f t="shared" si="27"/>
        <v>340.15700619020004</v>
      </c>
      <c r="K273" s="9">
        <f t="shared" si="31"/>
        <v>130.04670793472002</v>
      </c>
      <c r="L273" s="10">
        <f t="shared" si="30"/>
        <v>0.38231377148822837</v>
      </c>
      <c r="M273" s="10">
        <f t="shared" si="28"/>
        <v>0.44528420936859442</v>
      </c>
      <c r="P273" s="8">
        <f t="shared" si="29"/>
        <v>13.476793887831503</v>
      </c>
    </row>
    <row r="274" spans="1:16" x14ac:dyDescent="0.2">
      <c r="A274" s="8">
        <v>136</v>
      </c>
      <c r="B274" s="8">
        <v>272</v>
      </c>
      <c r="D274">
        <v>469.36465953854997</v>
      </c>
      <c r="E274">
        <v>237.55711873945</v>
      </c>
      <c r="F274">
        <v>125.88238604388999</v>
      </c>
      <c r="G274">
        <v>109.41249296567</v>
      </c>
      <c r="I274" s="9">
        <f t="shared" si="26"/>
        <v>128.14462577378001</v>
      </c>
      <c r="J274" s="9">
        <f t="shared" si="27"/>
        <v>343.48227349465998</v>
      </c>
      <c r="K274" s="9">
        <f t="shared" si="31"/>
        <v>128.14462577378001</v>
      </c>
      <c r="L274" s="10">
        <f t="shared" si="30"/>
        <v>0.37307493184440049</v>
      </c>
      <c r="M274" s="10">
        <f t="shared" si="28"/>
        <v>0.43627773296417749</v>
      </c>
      <c r="P274" s="8">
        <f t="shared" si="29"/>
        <v>11.181571993372561</v>
      </c>
    </row>
    <row r="275" spans="1:16" x14ac:dyDescent="0.2">
      <c r="A275" s="8">
        <v>136.5</v>
      </c>
      <c r="B275" s="8">
        <v>273</v>
      </c>
      <c r="D275">
        <v>468.59594822734999</v>
      </c>
      <c r="E275">
        <v>237.32920652786001</v>
      </c>
      <c r="F275">
        <v>125.76195835678</v>
      </c>
      <c r="G275">
        <v>109.77321328081</v>
      </c>
      <c r="I275" s="9">
        <f>E275-G275</f>
        <v>127.55599324705001</v>
      </c>
      <c r="J275" s="9">
        <f>D275-F275</f>
        <v>342.83398987057001</v>
      </c>
      <c r="K275" s="9">
        <f t="shared" si="31"/>
        <v>127.55599324705001</v>
      </c>
      <c r="L275" s="10">
        <f t="shared" si="30"/>
        <v>0.37206343891166155</v>
      </c>
      <c r="M275" s="10">
        <f>L275+ABS($N$2)*A275</f>
        <v>0.43549860327084949</v>
      </c>
      <c r="O275" s="11"/>
      <c r="P275" s="8">
        <f>(M275-$O$2)/$O$2*100</f>
        <v>10.983017592022829</v>
      </c>
    </row>
    <row r="276" spans="1:16" x14ac:dyDescent="0.2">
      <c r="A276" s="8">
        <v>137</v>
      </c>
      <c r="B276" s="8">
        <v>274</v>
      </c>
      <c r="D276">
        <v>467.06921778278002</v>
      </c>
      <c r="E276">
        <v>235.24141812043001</v>
      </c>
      <c r="F276">
        <v>125.71074845245001</v>
      </c>
      <c r="G276">
        <v>109.50590883512</v>
      </c>
      <c r="I276" s="9">
        <f t="shared" ref="I276:I291" si="32">E276-G276</f>
        <v>125.73550928531002</v>
      </c>
      <c r="J276" s="9">
        <f t="shared" ref="J276:J291" si="33">D276-F276</f>
        <v>341.35846933033002</v>
      </c>
      <c r="K276" s="9">
        <f t="shared" si="31"/>
        <v>125.73550928531002</v>
      </c>
      <c r="L276" s="10">
        <f t="shared" si="30"/>
        <v>0.36833862517597799</v>
      </c>
      <c r="M276" s="10">
        <f t="shared" ref="M276:M291" si="34">L276+ABS($N$2)*A276</f>
        <v>0.43200615277457688</v>
      </c>
      <c r="P276" s="8">
        <f t="shared" ref="P276:P291" si="35">(M276-$O$2)/$O$2*100</f>
        <v>10.09299706852179</v>
      </c>
    </row>
    <row r="277" spans="1:16" x14ac:dyDescent="0.2">
      <c r="A277" s="8">
        <v>137.5</v>
      </c>
      <c r="B277" s="8">
        <v>275</v>
      </c>
      <c r="D277">
        <v>469.87900956669</v>
      </c>
      <c r="E277">
        <v>236.27743387731999</v>
      </c>
      <c r="F277">
        <v>125.35846933033</v>
      </c>
      <c r="G277">
        <v>109.81429375352</v>
      </c>
      <c r="I277" s="9">
        <f t="shared" si="32"/>
        <v>126.46314012379999</v>
      </c>
      <c r="J277" s="9">
        <f t="shared" si="33"/>
        <v>344.52054023636003</v>
      </c>
      <c r="K277" s="9">
        <f t="shared" si="31"/>
        <v>126.46314012379999</v>
      </c>
      <c r="L277" s="10">
        <f t="shared" si="30"/>
        <v>0.36706995767810918</v>
      </c>
      <c r="M277" s="10">
        <f t="shared" si="34"/>
        <v>0.43096984851611897</v>
      </c>
      <c r="N277" s="1"/>
      <c r="P277" s="8">
        <f t="shared" si="35"/>
        <v>9.828903974116173</v>
      </c>
    </row>
    <row r="278" spans="1:16" x14ac:dyDescent="0.2">
      <c r="A278" s="8">
        <v>138</v>
      </c>
      <c r="B278" s="8">
        <v>276</v>
      </c>
      <c r="D278">
        <v>468.79459763646997</v>
      </c>
      <c r="E278">
        <v>234.29881823298001</v>
      </c>
      <c r="F278">
        <v>125.60438942037</v>
      </c>
      <c r="G278">
        <v>109.66066404052</v>
      </c>
      <c r="I278" s="9">
        <f t="shared" si="32"/>
        <v>124.63815419246001</v>
      </c>
      <c r="J278" s="9">
        <f t="shared" si="33"/>
        <v>343.19020821609996</v>
      </c>
      <c r="K278" s="9">
        <f t="shared" si="31"/>
        <v>124.63815419246001</v>
      </c>
      <c r="L278" s="10">
        <f t="shared" si="30"/>
        <v>0.36317514663465533</v>
      </c>
      <c r="M278" s="10">
        <f t="shared" si="34"/>
        <v>0.42730740071207607</v>
      </c>
      <c r="P278" s="8">
        <f t="shared" si="35"/>
        <v>8.8955611206302283</v>
      </c>
    </row>
    <row r="279" spans="1:16" x14ac:dyDescent="0.2">
      <c r="A279" s="8">
        <v>138.5</v>
      </c>
      <c r="B279" s="8">
        <v>277</v>
      </c>
      <c r="D279">
        <v>460.60101294316001</v>
      </c>
      <c r="E279">
        <v>228.55655599324999</v>
      </c>
      <c r="F279">
        <v>125.71581316826</v>
      </c>
      <c r="G279">
        <v>109.57681485649999</v>
      </c>
      <c r="I279" s="9">
        <f t="shared" si="32"/>
        <v>118.97974113674999</v>
      </c>
      <c r="J279" s="9">
        <f t="shared" si="33"/>
        <v>334.8851997749</v>
      </c>
      <c r="K279" s="9">
        <f t="shared" si="31"/>
        <v>118.97974113674999</v>
      </c>
      <c r="L279" s="10">
        <f t="shared" si="30"/>
        <v>0.35528515806827138</v>
      </c>
      <c r="M279" s="10">
        <f t="shared" si="34"/>
        <v>0.41964977538510306</v>
      </c>
      <c r="P279" s="8">
        <f t="shared" si="35"/>
        <v>6.9440821491856113</v>
      </c>
    </row>
    <row r="280" spans="1:16" x14ac:dyDescent="0.2">
      <c r="A280" s="8">
        <v>139</v>
      </c>
      <c r="B280" s="8">
        <v>278</v>
      </c>
      <c r="D280">
        <v>463.52829131652999</v>
      </c>
      <c r="E280">
        <v>228.38543417367001</v>
      </c>
      <c r="F280">
        <v>125.47045582442</v>
      </c>
      <c r="G280">
        <v>109.44063027575</v>
      </c>
      <c r="I280" s="9">
        <f t="shared" si="32"/>
        <v>118.94480389792001</v>
      </c>
      <c r="J280" s="9">
        <f t="shared" si="33"/>
        <v>338.05783549210997</v>
      </c>
      <c r="K280" s="9">
        <f t="shared" si="31"/>
        <v>118.94480389792001</v>
      </c>
      <c r="L280" s="10">
        <f t="shared" si="30"/>
        <v>0.35184749888956823</v>
      </c>
      <c r="M280" s="10">
        <f t="shared" si="34"/>
        <v>0.41644447944581087</v>
      </c>
      <c r="P280" s="8">
        <f t="shared" si="35"/>
        <v>6.1272404579692932</v>
      </c>
    </row>
    <row r="281" spans="1:16" x14ac:dyDescent="0.2">
      <c r="A281" s="8">
        <v>139.5</v>
      </c>
      <c r="B281" s="8">
        <v>279</v>
      </c>
      <c r="D281">
        <v>464.20952380952002</v>
      </c>
      <c r="E281">
        <v>227.16022408964</v>
      </c>
      <c r="F281">
        <v>125.85481148002</v>
      </c>
      <c r="G281">
        <v>109.6550365785</v>
      </c>
      <c r="I281" s="9">
        <f t="shared" si="32"/>
        <v>117.50518751113999</v>
      </c>
      <c r="J281" s="9">
        <f t="shared" si="33"/>
        <v>338.35471232949999</v>
      </c>
      <c r="K281" s="9">
        <f t="shared" si="31"/>
        <v>117.50518751113999</v>
      </c>
      <c r="L281" s="10">
        <f t="shared" si="30"/>
        <v>0.34728402835634192</v>
      </c>
      <c r="M281" s="10">
        <f t="shared" si="34"/>
        <v>0.41211337215199551</v>
      </c>
      <c r="P281" s="8">
        <f t="shared" si="35"/>
        <v>5.0234955702193318</v>
      </c>
    </row>
    <row r="282" spans="1:16" x14ac:dyDescent="0.2">
      <c r="A282" s="8">
        <v>140</v>
      </c>
      <c r="B282" s="8">
        <v>280</v>
      </c>
      <c r="D282">
        <v>460.23305322128999</v>
      </c>
      <c r="E282">
        <v>226.04593837535</v>
      </c>
      <c r="F282">
        <v>125.44963421497</v>
      </c>
      <c r="G282">
        <v>109.66629150253</v>
      </c>
      <c r="I282" s="9">
        <f t="shared" si="32"/>
        <v>116.37964687282</v>
      </c>
      <c r="J282" s="9">
        <f t="shared" si="33"/>
        <v>334.78341900632</v>
      </c>
      <c r="K282" s="9">
        <f t="shared" si="31"/>
        <v>116.37964687282</v>
      </c>
      <c r="L282" s="10">
        <f t="shared" si="30"/>
        <v>0.34762667523454321</v>
      </c>
      <c r="M282" s="10">
        <f t="shared" si="34"/>
        <v>0.41268838226960775</v>
      </c>
      <c r="P282" s="8">
        <f t="shared" si="35"/>
        <v>5.1700318794502964</v>
      </c>
    </row>
    <row r="283" spans="1:16" x14ac:dyDescent="0.2">
      <c r="A283" s="8">
        <v>140.5</v>
      </c>
      <c r="B283" s="8">
        <v>281</v>
      </c>
      <c r="D283">
        <v>458.17254901961002</v>
      </c>
      <c r="E283">
        <v>225.03641456583</v>
      </c>
      <c r="F283">
        <v>125.5368598762</v>
      </c>
      <c r="G283">
        <v>109.40348902645</v>
      </c>
      <c r="I283" s="9">
        <f t="shared" si="32"/>
        <v>115.63292553938</v>
      </c>
      <c r="J283" s="9">
        <f t="shared" si="33"/>
        <v>332.63568914340999</v>
      </c>
      <c r="K283" s="9">
        <f t="shared" si="31"/>
        <v>115.63292553938</v>
      </c>
      <c r="L283" s="10">
        <f t="shared" si="30"/>
        <v>0.34762633509697421</v>
      </c>
      <c r="M283" s="10">
        <f t="shared" si="34"/>
        <v>0.41292040537144969</v>
      </c>
      <c r="P283" s="8">
        <f t="shared" si="35"/>
        <v>5.229160941633455</v>
      </c>
    </row>
    <row r="284" spans="1:16" x14ac:dyDescent="0.2">
      <c r="A284" s="8">
        <v>141</v>
      </c>
      <c r="B284" s="8">
        <v>282</v>
      </c>
      <c r="D284">
        <v>459.72380952381002</v>
      </c>
      <c r="E284">
        <v>224.62577030812</v>
      </c>
      <c r="F284">
        <v>125.79065841306</v>
      </c>
      <c r="G284">
        <v>109.79572312886999</v>
      </c>
      <c r="I284" s="9">
        <f t="shared" si="32"/>
        <v>114.83004717925</v>
      </c>
      <c r="J284" s="9">
        <f t="shared" si="33"/>
        <v>333.93315111075003</v>
      </c>
      <c r="K284" s="9">
        <f t="shared" si="31"/>
        <v>114.83004717925</v>
      </c>
      <c r="L284" s="10">
        <f t="shared" si="30"/>
        <v>0.34387136107120503</v>
      </c>
      <c r="M284" s="10">
        <f t="shared" si="34"/>
        <v>0.40939779458509146</v>
      </c>
      <c r="P284" s="8">
        <f t="shared" si="35"/>
        <v>4.3314543314721767</v>
      </c>
    </row>
    <row r="285" spans="1:16" x14ac:dyDescent="0.2">
      <c r="A285" s="8">
        <v>141.5</v>
      </c>
      <c r="B285" s="8">
        <v>283</v>
      </c>
      <c r="D285">
        <v>456.53621560920999</v>
      </c>
      <c r="E285">
        <v>221.47389107243001</v>
      </c>
      <c r="F285">
        <v>125.24423185144001</v>
      </c>
      <c r="G285">
        <v>109.46933033201999</v>
      </c>
      <c r="I285" s="9">
        <f t="shared" si="32"/>
        <v>112.00456074041001</v>
      </c>
      <c r="J285" s="9">
        <f t="shared" si="33"/>
        <v>331.29198375776997</v>
      </c>
      <c r="K285" s="9">
        <f t="shared" si="31"/>
        <v>112.00456074041001</v>
      </c>
      <c r="L285" s="10">
        <f t="shared" si="30"/>
        <v>0.33808412588185094</v>
      </c>
      <c r="M285" s="10">
        <f t="shared" si="34"/>
        <v>0.40384292263514832</v>
      </c>
      <c r="P285" s="8">
        <f t="shared" si="35"/>
        <v>2.9158437033054629</v>
      </c>
    </row>
    <row r="286" spans="1:16" x14ac:dyDescent="0.2">
      <c r="A286" s="8">
        <v>142</v>
      </c>
      <c r="B286" s="8">
        <v>284</v>
      </c>
      <c r="D286">
        <v>451.70835670218997</v>
      </c>
      <c r="E286">
        <v>218.73247335951001</v>
      </c>
      <c r="F286">
        <v>125.42768711311</v>
      </c>
      <c r="G286">
        <v>109.18851997749</v>
      </c>
      <c r="I286" s="9">
        <f t="shared" si="32"/>
        <v>109.54395338202001</v>
      </c>
      <c r="J286" s="9">
        <f t="shared" si="33"/>
        <v>326.28066958907999</v>
      </c>
      <c r="K286" s="9">
        <f t="shared" si="31"/>
        <v>109.54395338202001</v>
      </c>
      <c r="L286" s="10">
        <f t="shared" si="30"/>
        <v>0.33573534564576069</v>
      </c>
      <c r="M286" s="10">
        <f t="shared" si="34"/>
        <v>0.40172650563846901</v>
      </c>
      <c r="P286" s="8">
        <f t="shared" si="35"/>
        <v>2.3764933058291415</v>
      </c>
    </row>
    <row r="287" spans="1:16" x14ac:dyDescent="0.2">
      <c r="A287" s="8">
        <v>142.5</v>
      </c>
      <c r="B287" s="8">
        <v>285</v>
      </c>
      <c r="D287">
        <v>452.10824453168999</v>
      </c>
      <c r="E287">
        <v>218.60740325294</v>
      </c>
      <c r="F287">
        <v>125.70849746764</v>
      </c>
      <c r="G287">
        <v>109.59763646595</v>
      </c>
      <c r="I287" s="9">
        <f t="shared" si="32"/>
        <v>109.00976678699</v>
      </c>
      <c r="J287" s="9">
        <f t="shared" si="33"/>
        <v>326.39974706404996</v>
      </c>
      <c r="K287" s="9">
        <f t="shared" si="31"/>
        <v>109.00976678699</v>
      </c>
      <c r="L287" s="10">
        <f t="shared" si="30"/>
        <v>0.33397625999262442</v>
      </c>
      <c r="M287" s="10">
        <f t="shared" si="34"/>
        <v>0.4001997832247437</v>
      </c>
      <c r="P287" s="8">
        <f t="shared" si="35"/>
        <v>1.9874214253959639</v>
      </c>
    </row>
    <row r="288" spans="1:16" x14ac:dyDescent="0.2">
      <c r="A288" s="8">
        <v>143</v>
      </c>
      <c r="B288" s="8">
        <v>286</v>
      </c>
      <c r="D288">
        <v>450.56758272574001</v>
      </c>
      <c r="E288">
        <v>217.43802579921999</v>
      </c>
      <c r="F288">
        <v>125.71018570625</v>
      </c>
      <c r="G288">
        <v>109.52110298256</v>
      </c>
      <c r="I288" s="9">
        <f t="shared" si="32"/>
        <v>107.91692281665999</v>
      </c>
      <c r="J288" s="9">
        <f t="shared" si="33"/>
        <v>324.85739701949001</v>
      </c>
      <c r="K288" s="9">
        <f t="shared" si="31"/>
        <v>107.91692281665999</v>
      </c>
      <c r="L288" s="10">
        <f t="shared" si="30"/>
        <v>0.33219783143859105</v>
      </c>
      <c r="M288" s="10">
        <f t="shared" si="34"/>
        <v>0.39865371791012127</v>
      </c>
      <c r="P288" s="8">
        <f t="shared" si="35"/>
        <v>1.5934201755126391</v>
      </c>
    </row>
    <row r="289" spans="1:16" x14ac:dyDescent="0.2">
      <c r="A289" s="8">
        <v>143.5</v>
      </c>
      <c r="B289" s="8">
        <v>287</v>
      </c>
      <c r="D289">
        <v>451.41727425686997</v>
      </c>
      <c r="E289">
        <v>216.29669097028</v>
      </c>
      <c r="F289">
        <v>125.58581879572</v>
      </c>
      <c r="G289">
        <v>109.54136184581</v>
      </c>
      <c r="I289" s="9">
        <f t="shared" si="32"/>
        <v>106.75532912446999</v>
      </c>
      <c r="J289" s="9">
        <f t="shared" si="33"/>
        <v>325.83145546114997</v>
      </c>
      <c r="K289" s="9">
        <f t="shared" si="31"/>
        <v>106.75532912446999</v>
      </c>
      <c r="L289" s="10">
        <f t="shared" si="30"/>
        <v>0.3276397270281316</v>
      </c>
      <c r="M289" s="10">
        <f t="shared" si="34"/>
        <v>0.39432797673907277</v>
      </c>
      <c r="P289" s="8">
        <f t="shared" si="35"/>
        <v>0.49104279730912048</v>
      </c>
    </row>
    <row r="290" spans="1:16" x14ac:dyDescent="0.2">
      <c r="A290" s="8">
        <v>144</v>
      </c>
      <c r="B290" s="8">
        <v>288</v>
      </c>
      <c r="D290">
        <v>449.29052159282003</v>
      </c>
      <c r="E290">
        <v>216.05552439708001</v>
      </c>
      <c r="F290">
        <v>125.61902082160999</v>
      </c>
      <c r="G290">
        <v>109.7298818233</v>
      </c>
      <c r="I290" s="9">
        <f t="shared" si="32"/>
        <v>106.32564257378</v>
      </c>
      <c r="J290" s="9">
        <f t="shared" si="33"/>
        <v>323.67150077121005</v>
      </c>
      <c r="K290" s="9">
        <f t="shared" si="31"/>
        <v>106.32564257378</v>
      </c>
      <c r="L290" s="10">
        <f t="shared" si="30"/>
        <v>0.32849862382211148</v>
      </c>
      <c r="M290" s="10">
        <f t="shared" si="34"/>
        <v>0.3954192367724636</v>
      </c>
      <c r="P290" s="8">
        <f t="shared" si="35"/>
        <v>0.76914089124941953</v>
      </c>
    </row>
    <row r="291" spans="1:16" x14ac:dyDescent="0.2">
      <c r="A291" s="8">
        <v>144.5</v>
      </c>
      <c r="B291" s="8">
        <v>289</v>
      </c>
      <c r="D291">
        <v>447.12114413909001</v>
      </c>
      <c r="E291">
        <v>212.51934941111</v>
      </c>
      <c r="F291">
        <v>125.68711311199</v>
      </c>
      <c r="G291">
        <v>109.60889138998</v>
      </c>
      <c r="I291" s="9">
        <f t="shared" si="32"/>
        <v>102.91045802113</v>
      </c>
      <c r="J291" s="9">
        <f t="shared" si="33"/>
        <v>321.43403102709999</v>
      </c>
      <c r="K291" s="9">
        <f t="shared" si="31"/>
        <v>102.91045802113</v>
      </c>
      <c r="L291" s="10">
        <f t="shared" si="30"/>
        <v>0.32016043134043159</v>
      </c>
      <c r="M291" s="10">
        <f t="shared" si="34"/>
        <v>0.38731340753019461</v>
      </c>
      <c r="P291" s="8">
        <f t="shared" si="35"/>
        <v>-1.296558935652617</v>
      </c>
    </row>
    <row r="292" spans="1:16" x14ac:dyDescent="0.2">
      <c r="A292" s="8">
        <v>145</v>
      </c>
      <c r="B292" s="8">
        <v>290</v>
      </c>
      <c r="D292">
        <v>446.26696578799999</v>
      </c>
      <c r="E292">
        <v>210.59001682557999</v>
      </c>
      <c r="F292">
        <v>125.88182329769</v>
      </c>
      <c r="G292">
        <v>109.13280810355</v>
      </c>
      <c r="I292" s="9">
        <f>E292-G292</f>
        <v>101.45720872202999</v>
      </c>
      <c r="J292" s="9">
        <f>D292-F292</f>
        <v>320.38514249030999</v>
      </c>
      <c r="K292" s="9">
        <f t="shared" si="31"/>
        <v>101.45720872202999</v>
      </c>
      <c r="L292" s="10">
        <f t="shared" si="30"/>
        <v>0.3166726394782759</v>
      </c>
      <c r="M292" s="10">
        <f>L292+ABS($N$2)*A292</f>
        <v>0.38405797890744986</v>
      </c>
      <c r="O292" s="11"/>
      <c r="P292" s="8">
        <f>(M292-$O$2)/$O$2*100</f>
        <v>-2.1261765036404383</v>
      </c>
    </row>
    <row r="293" spans="1:16" x14ac:dyDescent="0.2">
      <c r="A293" s="8">
        <v>145.5</v>
      </c>
      <c r="B293" s="8">
        <v>291</v>
      </c>
      <c r="D293">
        <v>447.13516545149002</v>
      </c>
      <c r="E293">
        <v>211.68984856982999</v>
      </c>
      <c r="F293">
        <v>125.64265616207</v>
      </c>
      <c r="G293">
        <v>109.29319077096</v>
      </c>
      <c r="I293" s="9">
        <f t="shared" ref="I293:I301" si="36">E293-G293</f>
        <v>102.39665779887</v>
      </c>
      <c r="J293" s="9">
        <f t="shared" ref="J293:J301" si="37">D293-F293</f>
        <v>321.49250928942001</v>
      </c>
      <c r="K293" s="9">
        <f t="shared" si="31"/>
        <v>102.39665779887</v>
      </c>
      <c r="L293" s="10">
        <f t="shared" si="30"/>
        <v>0.31850402370242648</v>
      </c>
      <c r="M293" s="10">
        <f t="shared" ref="M293:M301" si="38">L293+ABS($N$2)*A293</f>
        <v>0.38612172637101139</v>
      </c>
      <c r="P293" s="8">
        <f t="shared" ref="P293:P301" si="39">(M293-$O$2)/$O$2*100</f>
        <v>-1.6002484769287335</v>
      </c>
    </row>
    <row r="294" spans="1:16" x14ac:dyDescent="0.2">
      <c r="A294" s="8">
        <v>146</v>
      </c>
      <c r="B294" s="8">
        <v>292</v>
      </c>
      <c r="D294">
        <v>442.66124509254001</v>
      </c>
      <c r="E294">
        <v>208.15872125631</v>
      </c>
      <c r="F294">
        <v>125.38660664040999</v>
      </c>
      <c r="G294">
        <v>109.55880697805</v>
      </c>
      <c r="I294" s="9">
        <f t="shared" si="36"/>
        <v>98.599914278260002</v>
      </c>
      <c r="J294" s="9">
        <f t="shared" si="37"/>
        <v>317.27463845213003</v>
      </c>
      <c r="K294" s="9">
        <f t="shared" si="31"/>
        <v>98.599914278260002</v>
      </c>
      <c r="L294" s="10">
        <f t="shared" si="30"/>
        <v>0.31077149676789129</v>
      </c>
      <c r="M294" s="10">
        <f t="shared" si="38"/>
        <v>0.37862156267588715</v>
      </c>
      <c r="N294" s="1"/>
      <c r="P294" s="8">
        <f t="shared" si="39"/>
        <v>-3.5115997259735807</v>
      </c>
    </row>
    <row r="295" spans="1:16" x14ac:dyDescent="0.2">
      <c r="A295" s="8">
        <v>146.5</v>
      </c>
      <c r="B295" s="8">
        <v>293</v>
      </c>
      <c r="D295">
        <v>426.31463825013998</v>
      </c>
      <c r="E295">
        <v>201.27313516544999</v>
      </c>
      <c r="F295">
        <v>125.95498030388001</v>
      </c>
      <c r="G295">
        <v>109.57118739449</v>
      </c>
      <c r="I295" s="9">
        <f t="shared" si="36"/>
        <v>91.70194777095999</v>
      </c>
      <c r="J295" s="9">
        <f t="shared" si="37"/>
        <v>300.35965794625997</v>
      </c>
      <c r="K295" s="9">
        <f t="shared" si="31"/>
        <v>91.70194777095999</v>
      </c>
      <c r="L295" s="10">
        <f t="shared" si="30"/>
        <v>0.3053071387748324</v>
      </c>
      <c r="M295" s="10">
        <f t="shared" si="38"/>
        <v>0.37338956792223921</v>
      </c>
      <c r="P295" s="8">
        <f t="shared" si="39"/>
        <v>-4.8449279190478283</v>
      </c>
    </row>
    <row r="296" spans="1:16" x14ac:dyDescent="0.2">
      <c r="A296" s="8">
        <v>147</v>
      </c>
      <c r="B296" s="8">
        <v>294</v>
      </c>
      <c r="D296">
        <v>452.69742729307001</v>
      </c>
      <c r="E296">
        <v>211.54250559284</v>
      </c>
      <c r="F296">
        <v>125.42543612831</v>
      </c>
      <c r="G296">
        <v>109.45357343838</v>
      </c>
      <c r="I296" s="9">
        <f t="shared" si="36"/>
        <v>102.08893215446</v>
      </c>
      <c r="J296" s="9">
        <f t="shared" si="37"/>
        <v>327.27199116476004</v>
      </c>
      <c r="K296" s="9">
        <f t="shared" si="31"/>
        <v>102.08893215446</v>
      </c>
      <c r="L296" s="10">
        <f t="shared" si="30"/>
        <v>0.3119391054245913</v>
      </c>
      <c r="M296" s="10">
        <f t="shared" si="38"/>
        <v>0.38025389781140906</v>
      </c>
      <c r="P296" s="8">
        <f t="shared" si="39"/>
        <v>-3.0956133652801676</v>
      </c>
    </row>
    <row r="297" spans="1:16" x14ac:dyDescent="0.2">
      <c r="A297" s="8">
        <v>147.5</v>
      </c>
      <c r="B297" s="8">
        <v>295</v>
      </c>
      <c r="D297">
        <v>452.21252796420998</v>
      </c>
      <c r="E297">
        <v>209.99552572707</v>
      </c>
      <c r="F297">
        <v>125.69386606640001</v>
      </c>
      <c r="G297">
        <v>109.68823860438999</v>
      </c>
      <c r="I297" s="9">
        <f t="shared" si="36"/>
        <v>100.30728712268001</v>
      </c>
      <c r="J297" s="9">
        <f t="shared" si="37"/>
        <v>326.51866189780998</v>
      </c>
      <c r="K297" s="9">
        <f t="shared" si="31"/>
        <v>100.30728712268001</v>
      </c>
      <c r="L297" s="10">
        <f t="shared" si="30"/>
        <v>0.30720230978428126</v>
      </c>
      <c r="M297" s="10">
        <f t="shared" si="38"/>
        <v>0.37574946541050996</v>
      </c>
      <c r="P297" s="8">
        <f t="shared" si="39"/>
        <v>-4.2435286436218282</v>
      </c>
    </row>
    <row r="298" spans="1:16" x14ac:dyDescent="0.2">
      <c r="A298" s="8">
        <v>148</v>
      </c>
      <c r="B298" s="8">
        <v>296</v>
      </c>
      <c r="D298">
        <v>449.39429530200999</v>
      </c>
      <c r="E298">
        <v>209.99832214764999</v>
      </c>
      <c r="F298">
        <v>125.56105796286</v>
      </c>
      <c r="G298">
        <v>109.40799099605999</v>
      </c>
      <c r="I298" s="9">
        <f t="shared" si="36"/>
        <v>100.59033115158999</v>
      </c>
      <c r="J298" s="9">
        <f t="shared" si="37"/>
        <v>323.83323733915</v>
      </c>
      <c r="K298" s="9">
        <f t="shared" si="31"/>
        <v>100.59033115158999</v>
      </c>
      <c r="L298" s="10">
        <f t="shared" si="30"/>
        <v>0.31062386300465478</v>
      </c>
      <c r="M298" s="10">
        <f t="shared" si="38"/>
        <v>0.37940338187029443</v>
      </c>
      <c r="P298" s="8">
        <f t="shared" si="39"/>
        <v>-3.3123599287503485</v>
      </c>
    </row>
    <row r="299" spans="1:16" x14ac:dyDescent="0.2">
      <c r="A299" s="8">
        <v>148.5</v>
      </c>
      <c r="B299" s="8">
        <v>297</v>
      </c>
      <c r="D299">
        <v>447.85011185681998</v>
      </c>
      <c r="E299">
        <v>208.37304250559001</v>
      </c>
      <c r="F299">
        <v>125.54361283061</v>
      </c>
      <c r="G299">
        <v>109.54980303883001</v>
      </c>
      <c r="I299" s="9">
        <f t="shared" si="36"/>
        <v>98.82323946676</v>
      </c>
      <c r="J299" s="9">
        <f t="shared" si="37"/>
        <v>322.30649902620996</v>
      </c>
      <c r="K299" s="9">
        <f t="shared" si="31"/>
        <v>98.82323946676</v>
      </c>
      <c r="L299" s="10">
        <f t="shared" si="30"/>
        <v>0.30661261800595491</v>
      </c>
      <c r="M299" s="10">
        <f t="shared" si="38"/>
        <v>0.37562450011100551</v>
      </c>
      <c r="P299" s="8">
        <f t="shared" si="39"/>
        <v>-4.27537495938296</v>
      </c>
    </row>
    <row r="300" spans="1:16" x14ac:dyDescent="0.2">
      <c r="A300" s="8">
        <v>149</v>
      </c>
      <c r="B300" s="8">
        <v>298</v>
      </c>
      <c r="D300">
        <v>446.65492170021997</v>
      </c>
      <c r="E300">
        <v>209.50055928411999</v>
      </c>
      <c r="F300">
        <v>125.33764772088</v>
      </c>
      <c r="G300">
        <v>109.44738323016</v>
      </c>
      <c r="I300" s="9">
        <f t="shared" si="36"/>
        <v>100.05317605395999</v>
      </c>
      <c r="J300" s="9">
        <f t="shared" si="37"/>
        <v>321.31727397933997</v>
      </c>
      <c r="K300" s="9">
        <f t="shared" si="31"/>
        <v>100.05317605395999</v>
      </c>
      <c r="L300" s="10">
        <f t="shared" si="30"/>
        <v>0.31138436727928048</v>
      </c>
      <c r="M300" s="10">
        <f t="shared" si="38"/>
        <v>0.38062861262374204</v>
      </c>
      <c r="P300" s="8">
        <f t="shared" si="39"/>
        <v>-3.0001205662291492</v>
      </c>
    </row>
    <row r="301" spans="1:16" x14ac:dyDescent="0.2">
      <c r="A301" s="8">
        <v>149.5</v>
      </c>
      <c r="B301" s="8">
        <v>299</v>
      </c>
      <c r="D301">
        <v>451.12304250558998</v>
      </c>
      <c r="E301">
        <v>210.05257270694</v>
      </c>
      <c r="F301">
        <v>125.6933033202</v>
      </c>
      <c r="G301">
        <v>109.32414181204</v>
      </c>
      <c r="I301" s="9">
        <f t="shared" si="36"/>
        <v>100.7284308949</v>
      </c>
      <c r="J301" s="9">
        <f t="shared" si="37"/>
        <v>325.42973918538996</v>
      </c>
      <c r="K301" s="9">
        <f t="shared" si="31"/>
        <v>100.7284308949</v>
      </c>
      <c r="L301" s="10">
        <f t="shared" si="30"/>
        <v>0.309524357383691</v>
      </c>
      <c r="M301" s="10">
        <f t="shared" si="38"/>
        <v>0.3790009659675635</v>
      </c>
      <c r="P301" s="8">
        <f t="shared" si="39"/>
        <v>-3.4149121088874703</v>
      </c>
    </row>
    <row r="302" spans="1:16" x14ac:dyDescent="0.2">
      <c r="A302" s="8">
        <v>150</v>
      </c>
      <c r="B302" s="8">
        <v>300</v>
      </c>
      <c r="D302">
        <v>449.28859060402999</v>
      </c>
      <c r="E302">
        <v>208.08557046979999</v>
      </c>
      <c r="F302">
        <v>125.39673607203</v>
      </c>
      <c r="G302">
        <v>109.52785593697</v>
      </c>
      <c r="I302" s="9">
        <f>E302-G302</f>
        <v>98.557714532829991</v>
      </c>
      <c r="J302" s="9">
        <f>D302-F302</f>
        <v>323.89185453200002</v>
      </c>
      <c r="K302" s="9">
        <f t="shared" si="31"/>
        <v>98.557714532829991</v>
      </c>
      <c r="L302" s="10">
        <f t="shared" si="30"/>
        <v>0.30429204425421152</v>
      </c>
      <c r="M302" s="10">
        <f>L302+ABS($N$2)*A302</f>
        <v>0.37400101607749497</v>
      </c>
      <c r="O302" s="11"/>
      <c r="P302" s="8">
        <f>(M302-$O$2)/$O$2*100</f>
        <v>-4.6891056939897231</v>
      </c>
    </row>
    <row r="303" spans="1:16" x14ac:dyDescent="0.2">
      <c r="A303" s="8">
        <v>150.5</v>
      </c>
      <c r="B303" s="8">
        <v>301</v>
      </c>
      <c r="D303">
        <v>440.38926174496999</v>
      </c>
      <c r="E303">
        <v>205.65324384787999</v>
      </c>
      <c r="F303">
        <v>125.33877321328001</v>
      </c>
      <c r="G303">
        <v>109.85143500281001</v>
      </c>
      <c r="I303" s="9">
        <f t="shared" ref="I303:I309" si="40">E303-G303</f>
        <v>95.801808845069985</v>
      </c>
      <c r="J303" s="9">
        <f t="shared" ref="J303:J309" si="41">D303-F303</f>
        <v>315.05048853169001</v>
      </c>
      <c r="K303" s="9">
        <f t="shared" si="31"/>
        <v>95.801808845069985</v>
      </c>
      <c r="L303" s="10">
        <f t="shared" si="30"/>
        <v>0.30408398759055905</v>
      </c>
      <c r="M303" s="10">
        <f t="shared" ref="M303:M309" si="42">L303+ABS($N$2)*A303</f>
        <v>0.37402532265325344</v>
      </c>
      <c r="P303" s="8">
        <f t="shared" ref="P303:P309" si="43">(M303-$O$2)/$O$2*100</f>
        <v>-4.6829113753288976</v>
      </c>
    </row>
    <row r="304" spans="1:16" x14ac:dyDescent="0.2">
      <c r="A304" s="8">
        <v>151</v>
      </c>
      <c r="B304" s="8">
        <v>302</v>
      </c>
      <c r="D304">
        <v>443.49161073826002</v>
      </c>
      <c r="E304">
        <v>206.42449664430001</v>
      </c>
      <c r="F304">
        <v>125.21834552617</v>
      </c>
      <c r="G304">
        <v>109.3837929094</v>
      </c>
      <c r="I304" s="9">
        <f t="shared" si="40"/>
        <v>97.040703734900006</v>
      </c>
      <c r="J304" s="9">
        <f t="shared" si="41"/>
        <v>318.27326521209</v>
      </c>
      <c r="K304" s="9">
        <f t="shared" si="31"/>
        <v>97.040703734900006</v>
      </c>
      <c r="L304" s="10">
        <f t="shared" si="30"/>
        <v>0.30489743984696394</v>
      </c>
      <c r="M304" s="10">
        <f t="shared" si="42"/>
        <v>0.37507113814906923</v>
      </c>
      <c r="N304" s="1"/>
      <c r="P304" s="8">
        <f t="shared" si="43"/>
        <v>-4.4163944251058744</v>
      </c>
    </row>
    <row r="305" spans="1:16" x14ac:dyDescent="0.2">
      <c r="A305" s="8">
        <v>151.5</v>
      </c>
      <c r="B305" s="8">
        <v>303</v>
      </c>
      <c r="D305">
        <v>448.57382550336001</v>
      </c>
      <c r="E305">
        <v>207.94351230424999</v>
      </c>
      <c r="F305">
        <v>125.58638154193</v>
      </c>
      <c r="G305">
        <v>109.37535171638</v>
      </c>
      <c r="I305" s="9">
        <f t="shared" si="40"/>
        <v>98.568160587869997</v>
      </c>
      <c r="J305" s="9">
        <f t="shared" si="41"/>
        <v>322.98744396143002</v>
      </c>
      <c r="K305" s="9">
        <f t="shared" si="31"/>
        <v>98.568160587869997</v>
      </c>
      <c r="L305" s="10">
        <f t="shared" si="30"/>
        <v>0.30517644704368335</v>
      </c>
      <c r="M305" s="10">
        <f t="shared" si="42"/>
        <v>0.37558250858519959</v>
      </c>
      <c r="P305" s="8">
        <f t="shared" si="43"/>
        <v>-4.286076133192088</v>
      </c>
    </row>
    <row r="306" spans="1:16" x14ac:dyDescent="0.2">
      <c r="A306" s="8">
        <v>152</v>
      </c>
      <c r="B306" s="8">
        <v>304</v>
      </c>
      <c r="D306">
        <v>446.74384787472002</v>
      </c>
      <c r="E306">
        <v>206.9692393736</v>
      </c>
      <c r="F306">
        <v>125.54530106922</v>
      </c>
      <c r="G306">
        <v>109.37872819359001</v>
      </c>
      <c r="I306" s="9">
        <f t="shared" si="40"/>
        <v>97.590511180009997</v>
      </c>
      <c r="J306" s="9">
        <f t="shared" si="41"/>
        <v>321.19854680550003</v>
      </c>
      <c r="K306" s="9">
        <f t="shared" si="31"/>
        <v>97.590511180009997</v>
      </c>
      <c r="L306" s="10">
        <f t="shared" si="30"/>
        <v>0.30383235587645852</v>
      </c>
      <c r="M306" s="10">
        <f t="shared" si="42"/>
        <v>0.3744707806573857</v>
      </c>
      <c r="P306" s="8">
        <f t="shared" si="43"/>
        <v>-4.5693902913625939</v>
      </c>
    </row>
    <row r="307" spans="1:16" x14ac:dyDescent="0.2">
      <c r="A307" s="8">
        <v>152.5</v>
      </c>
      <c r="B307" s="8">
        <v>305</v>
      </c>
      <c r="D307">
        <v>447.97762863535002</v>
      </c>
      <c r="E307">
        <v>206.53355704698001</v>
      </c>
      <c r="F307">
        <v>125.42093415869</v>
      </c>
      <c r="G307">
        <v>109.41249296567</v>
      </c>
      <c r="I307" s="9">
        <f t="shared" si="40"/>
        <v>97.12106408131001</v>
      </c>
      <c r="J307" s="9">
        <f t="shared" si="41"/>
        <v>322.55669447666003</v>
      </c>
      <c r="K307" s="9">
        <f t="shared" si="31"/>
        <v>97.12106408131001</v>
      </c>
      <c r="L307" s="10">
        <f t="shared" si="30"/>
        <v>0.30109765428643931</v>
      </c>
      <c r="M307" s="10">
        <f t="shared" si="42"/>
        <v>0.3719684423067775</v>
      </c>
      <c r="P307" s="8">
        <f t="shared" si="43"/>
        <v>-5.2070893771941575</v>
      </c>
    </row>
    <row r="308" spans="1:16" x14ac:dyDescent="0.2">
      <c r="A308" s="8">
        <v>153</v>
      </c>
      <c r="B308" s="8">
        <v>306</v>
      </c>
      <c r="D308">
        <v>433.88870246085003</v>
      </c>
      <c r="E308">
        <v>202.95805369128001</v>
      </c>
      <c r="F308">
        <v>125.53066966798001</v>
      </c>
      <c r="G308">
        <v>109.53854811479999</v>
      </c>
      <c r="I308" s="9">
        <f t="shared" si="40"/>
        <v>93.41950557648002</v>
      </c>
      <c r="J308" s="9">
        <f t="shared" si="41"/>
        <v>308.35803279287001</v>
      </c>
      <c r="K308" s="9">
        <f t="shared" si="31"/>
        <v>93.41950557648002</v>
      </c>
      <c r="L308" s="10">
        <f t="shared" si="30"/>
        <v>0.30295791139396616</v>
      </c>
      <c r="M308" s="10">
        <f t="shared" si="42"/>
        <v>0.37406106265371525</v>
      </c>
      <c r="P308" s="8">
        <f t="shared" si="43"/>
        <v>-4.6738033481843777</v>
      </c>
    </row>
    <row r="309" spans="1:16" x14ac:dyDescent="0.2">
      <c r="A309" s="8">
        <v>153.5</v>
      </c>
      <c r="B309" s="8">
        <v>307</v>
      </c>
      <c r="D309">
        <v>450.46636771301002</v>
      </c>
      <c r="E309">
        <v>207.95459641255999</v>
      </c>
      <c r="F309">
        <v>125.41136747327</v>
      </c>
      <c r="G309">
        <v>109.48396173326</v>
      </c>
      <c r="I309" s="9">
        <f t="shared" si="40"/>
        <v>98.470634679299991</v>
      </c>
      <c r="J309" s="9">
        <f t="shared" si="41"/>
        <v>325.05500023974002</v>
      </c>
      <c r="K309" s="9">
        <f t="shared" si="31"/>
        <v>98.470634679299991</v>
      </c>
      <c r="L309" s="10">
        <f t="shared" si="30"/>
        <v>0.30293530204634378</v>
      </c>
      <c r="M309" s="10">
        <f t="shared" si="42"/>
        <v>0.37427081654550381</v>
      </c>
      <c r="P309" s="8">
        <f t="shared" si="43"/>
        <v>-4.6203493997961944</v>
      </c>
    </row>
    <row r="310" spans="1:16" x14ac:dyDescent="0.2">
      <c r="A310" s="8">
        <v>154</v>
      </c>
      <c r="B310" s="8">
        <v>308</v>
      </c>
      <c r="D310">
        <v>442.47645739910001</v>
      </c>
      <c r="E310">
        <v>208.16872197308999</v>
      </c>
      <c r="F310">
        <v>125.56443444007</v>
      </c>
      <c r="G310">
        <v>109.54530106922</v>
      </c>
      <c r="I310" s="9">
        <f>E310-G310</f>
        <v>98.623420903869984</v>
      </c>
      <c r="J310" s="9">
        <f>D310-F310</f>
        <v>316.91202295903003</v>
      </c>
      <c r="K310" s="9">
        <f t="shared" si="31"/>
        <v>98.623420903869984</v>
      </c>
      <c r="L310" s="10">
        <f t="shared" si="30"/>
        <v>0.31120126015736516</v>
      </c>
      <c r="M310" s="10">
        <f>L310+ABS($N$2)*A310</f>
        <v>0.38276913789593614</v>
      </c>
      <c r="O310" s="11"/>
      <c r="P310" s="8">
        <f>(M310-$O$2)/$O$2*100</f>
        <v>-2.454626385178146</v>
      </c>
    </row>
    <row r="311" spans="1:16" x14ac:dyDescent="0.2">
      <c r="A311" s="8">
        <v>154.5</v>
      </c>
      <c r="B311" s="8">
        <v>309</v>
      </c>
      <c r="D311">
        <v>434.89069506726997</v>
      </c>
      <c r="E311">
        <v>208.46076233183999</v>
      </c>
      <c r="F311">
        <v>125.48733821047</v>
      </c>
      <c r="G311">
        <v>109.41812042769</v>
      </c>
      <c r="I311" s="9">
        <f t="shared" ref="I311:I319" si="44">E311-G311</f>
        <v>99.042641904149988</v>
      </c>
      <c r="J311" s="9">
        <f t="shared" ref="J311:J319" si="45">D311-F311</f>
        <v>309.40335685679997</v>
      </c>
      <c r="K311" s="9">
        <f t="shared" si="31"/>
        <v>99.042641904149988</v>
      </c>
      <c r="L311" s="10">
        <f t="shared" si="30"/>
        <v>0.32010849174461131</v>
      </c>
      <c r="M311" s="10">
        <f t="shared" ref="M311:M319" si="46">L311+ABS($N$2)*A311</f>
        <v>0.39190873272259324</v>
      </c>
      <c r="P311" s="8">
        <f t="shared" ref="P311:P319" si="47">(M311-$O$2)/$O$2*100</f>
        <v>-0.12548042279718674</v>
      </c>
    </row>
    <row r="312" spans="1:16" x14ac:dyDescent="0.2">
      <c r="A312" s="8">
        <v>155</v>
      </c>
      <c r="B312" s="8">
        <v>310</v>
      </c>
      <c r="D312">
        <v>459.31081081080998</v>
      </c>
      <c r="E312">
        <v>216.13400900900999</v>
      </c>
      <c r="F312">
        <v>125.15756893641</v>
      </c>
      <c r="G312">
        <v>109.40123804164</v>
      </c>
      <c r="I312" s="9">
        <f t="shared" si="44"/>
        <v>106.73277096736999</v>
      </c>
      <c r="J312" s="9">
        <f t="shared" si="45"/>
        <v>334.15324187440001</v>
      </c>
      <c r="K312" s="9">
        <f t="shared" si="31"/>
        <v>106.73277096736999</v>
      </c>
      <c r="L312" s="10">
        <f t="shared" si="30"/>
        <v>0.31941264543376241</v>
      </c>
      <c r="M312" s="10">
        <f t="shared" si="46"/>
        <v>0.39144524965115529</v>
      </c>
      <c r="N312" s="1"/>
      <c r="P312" s="8">
        <f t="shared" si="47"/>
        <v>-0.24359503782618577</v>
      </c>
    </row>
    <row r="313" spans="1:16" x14ac:dyDescent="0.2">
      <c r="A313" s="8">
        <v>155.5</v>
      </c>
      <c r="B313" s="8">
        <v>311</v>
      </c>
      <c r="D313">
        <v>458.45204711161</v>
      </c>
      <c r="E313">
        <v>216.0263600673</v>
      </c>
      <c r="F313">
        <v>125.3455261677</v>
      </c>
      <c r="G313">
        <v>109.37703995498001</v>
      </c>
      <c r="I313" s="9">
        <f t="shared" si="44"/>
        <v>106.64932011232</v>
      </c>
      <c r="J313" s="9">
        <f t="shared" si="45"/>
        <v>333.10652094391003</v>
      </c>
      <c r="K313" s="9">
        <f t="shared" si="31"/>
        <v>106.64932011232</v>
      </c>
      <c r="L313" s="10">
        <f t="shared" si="30"/>
        <v>0.32016581305617275</v>
      </c>
      <c r="M313" s="10">
        <f t="shared" si="46"/>
        <v>0.39243078051297658</v>
      </c>
      <c r="P313" s="8">
        <f t="shared" si="47"/>
        <v>7.5588996457309635E-3</v>
      </c>
    </row>
    <row r="314" spans="1:16" x14ac:dyDescent="0.2">
      <c r="A314" s="8">
        <v>156</v>
      </c>
      <c r="B314" s="8">
        <v>312</v>
      </c>
      <c r="D314">
        <v>457.60179472799001</v>
      </c>
      <c r="E314">
        <v>218.11273135165999</v>
      </c>
      <c r="F314">
        <v>125.45244794598</v>
      </c>
      <c r="G314">
        <v>109.37310073157001</v>
      </c>
      <c r="I314" s="9">
        <f t="shared" si="44"/>
        <v>108.73963062008998</v>
      </c>
      <c r="J314" s="9">
        <f t="shared" si="45"/>
        <v>332.14934678201001</v>
      </c>
      <c r="K314" s="9">
        <f t="shared" si="31"/>
        <v>108.73963062008998</v>
      </c>
      <c r="L314" s="10">
        <f t="shared" si="30"/>
        <v>0.32738173858717817</v>
      </c>
      <c r="M314" s="10">
        <f t="shared" si="46"/>
        <v>0.39987906928339295</v>
      </c>
      <c r="P314" s="8">
        <f t="shared" si="47"/>
        <v>1.9056902769431177</v>
      </c>
    </row>
    <row r="315" spans="1:16" x14ac:dyDescent="0.2">
      <c r="A315" s="8">
        <v>156.5</v>
      </c>
      <c r="B315" s="8">
        <v>313</v>
      </c>
      <c r="D315">
        <v>457.13075196409</v>
      </c>
      <c r="E315">
        <v>219.13019079686001</v>
      </c>
      <c r="F315">
        <v>125.59032076534</v>
      </c>
      <c r="G315">
        <v>109.55149127743</v>
      </c>
      <c r="I315" s="9">
        <f t="shared" si="44"/>
        <v>109.57869951943</v>
      </c>
      <c r="J315" s="9">
        <f t="shared" si="45"/>
        <v>331.54043119875001</v>
      </c>
      <c r="K315" s="9">
        <f t="shared" si="31"/>
        <v>109.57869951943</v>
      </c>
      <c r="L315" s="10">
        <f t="shared" si="30"/>
        <v>0.3305138354415072</v>
      </c>
      <c r="M315" s="10">
        <f t="shared" si="46"/>
        <v>0.40324352937713293</v>
      </c>
      <c r="P315" s="8">
        <f t="shared" si="47"/>
        <v>2.7630935635823062</v>
      </c>
    </row>
    <row r="316" spans="1:16" x14ac:dyDescent="0.2">
      <c r="A316" s="8">
        <v>157</v>
      </c>
      <c r="B316" s="8">
        <v>314</v>
      </c>
      <c r="D316">
        <v>454.11223344556998</v>
      </c>
      <c r="E316">
        <v>219.28507295174001</v>
      </c>
      <c r="F316">
        <v>125.40630275746</v>
      </c>
      <c r="G316">
        <v>109.3860438942</v>
      </c>
      <c r="I316" s="9">
        <f t="shared" si="44"/>
        <v>109.89902905754001</v>
      </c>
      <c r="J316" s="9">
        <f t="shared" si="45"/>
        <v>328.70593068811002</v>
      </c>
      <c r="K316" s="9">
        <f t="shared" si="31"/>
        <v>109.89902905754001</v>
      </c>
      <c r="L316" s="10">
        <f t="shared" si="30"/>
        <v>0.33433844295866028</v>
      </c>
      <c r="M316" s="10">
        <f t="shared" si="46"/>
        <v>0.40730050013369695</v>
      </c>
      <c r="P316" s="8">
        <f t="shared" si="47"/>
        <v>3.7969771477416807</v>
      </c>
    </row>
    <row r="317" spans="1:16" x14ac:dyDescent="0.2">
      <c r="A317" s="8">
        <v>157.5</v>
      </c>
      <c r="B317" s="8">
        <v>315</v>
      </c>
      <c r="D317">
        <v>451.34455667789001</v>
      </c>
      <c r="E317">
        <v>218.88496071828999</v>
      </c>
      <c r="F317">
        <v>125.47720877883999</v>
      </c>
      <c r="G317">
        <v>109.20596510974001</v>
      </c>
      <c r="I317" s="9">
        <f t="shared" si="44"/>
        <v>109.67899560854998</v>
      </c>
      <c r="J317" s="9">
        <f t="shared" si="45"/>
        <v>325.86734789905</v>
      </c>
      <c r="K317" s="9">
        <f t="shared" si="31"/>
        <v>109.67899560854998</v>
      </c>
      <c r="L317" s="10">
        <f t="shared" si="30"/>
        <v>0.33657559223309264</v>
      </c>
      <c r="M317" s="10">
        <f t="shared" si="46"/>
        <v>0.40977001264754026</v>
      </c>
      <c r="P317" s="8">
        <f t="shared" si="47"/>
        <v>4.4263108556092527</v>
      </c>
    </row>
    <row r="318" spans="1:16" x14ac:dyDescent="0.2">
      <c r="A318" s="8">
        <v>158</v>
      </c>
      <c r="B318" s="8">
        <v>316</v>
      </c>
      <c r="D318">
        <v>458.08922558923001</v>
      </c>
      <c r="E318">
        <v>221.41975308642</v>
      </c>
      <c r="F318">
        <v>125.14969048959</v>
      </c>
      <c r="G318">
        <v>109.27912211592999</v>
      </c>
      <c r="I318" s="9">
        <f t="shared" si="44"/>
        <v>112.14063097049001</v>
      </c>
      <c r="J318" s="9">
        <f t="shared" si="45"/>
        <v>332.93953509964001</v>
      </c>
      <c r="K318" s="9">
        <f t="shared" si="31"/>
        <v>112.14063097049001</v>
      </c>
      <c r="L318" s="10">
        <f t="shared" si="30"/>
        <v>0.33681981005028216</v>
      </c>
      <c r="M318" s="10">
        <f t="shared" si="46"/>
        <v>0.41024659370414074</v>
      </c>
      <c r="P318" s="8">
        <f t="shared" si="47"/>
        <v>4.5477633778250821</v>
      </c>
    </row>
    <row r="319" spans="1:16" x14ac:dyDescent="0.2">
      <c r="A319" s="8">
        <v>158.5</v>
      </c>
      <c r="B319" s="8">
        <v>317</v>
      </c>
      <c r="D319">
        <v>457.17452300785999</v>
      </c>
      <c r="E319">
        <v>223.04489337823</v>
      </c>
      <c r="F319">
        <v>125.55486775464</v>
      </c>
      <c r="G319">
        <v>109.30951041081001</v>
      </c>
      <c r="I319" s="9">
        <f t="shared" si="44"/>
        <v>113.73538296741999</v>
      </c>
      <c r="J319" s="9">
        <f t="shared" si="45"/>
        <v>331.61965525322</v>
      </c>
      <c r="K319" s="9">
        <f t="shared" si="31"/>
        <v>113.73538296741999</v>
      </c>
      <c r="L319" s="10">
        <f t="shared" si="30"/>
        <v>0.34296936615706114</v>
      </c>
      <c r="M319" s="10">
        <f t="shared" si="46"/>
        <v>0.41662851305033066</v>
      </c>
      <c r="P319" s="8">
        <f t="shared" si="47"/>
        <v>6.1741398156584868</v>
      </c>
    </row>
    <row r="320" spans="1:16" x14ac:dyDescent="0.2">
      <c r="A320" s="8">
        <v>159</v>
      </c>
      <c r="B320" s="8">
        <v>318</v>
      </c>
      <c r="D320">
        <v>457.82042648709</v>
      </c>
      <c r="E320">
        <v>223.80751964084999</v>
      </c>
      <c r="F320">
        <v>125.23410241981</v>
      </c>
      <c r="G320">
        <v>109.24423185144001</v>
      </c>
      <c r="I320" s="9">
        <f>E320-G320</f>
        <v>114.56328778940998</v>
      </c>
      <c r="J320" s="9">
        <f>D320-F320</f>
        <v>332.58632406727997</v>
      </c>
      <c r="K320" s="9">
        <f t="shared" si="31"/>
        <v>114.56328778940998</v>
      </c>
      <c r="L320" s="10">
        <f t="shared" si="30"/>
        <v>0.34446181186402181</v>
      </c>
      <c r="M320" s="10">
        <f>L320+ABS($N$2)*A320</f>
        <v>0.41835332199670228</v>
      </c>
      <c r="O320" s="11"/>
      <c r="P320" s="8">
        <f>(M320-$O$2)/$O$2*100</f>
        <v>6.6136923198463968</v>
      </c>
    </row>
    <row r="321" spans="1:16" x14ac:dyDescent="0.2">
      <c r="A321" s="8">
        <v>159.5</v>
      </c>
      <c r="B321" s="8">
        <v>319</v>
      </c>
      <c r="D321">
        <v>455.21324354657997</v>
      </c>
      <c r="E321">
        <v>223.68630751964</v>
      </c>
      <c r="F321">
        <v>125.02870005628</v>
      </c>
      <c r="G321">
        <v>109.40123804164</v>
      </c>
      <c r="I321" s="9">
        <f t="shared" ref="I321" si="48">E321-G321</f>
        <v>114.285069478</v>
      </c>
      <c r="J321" s="9">
        <f t="shared" ref="J321" si="49">D321-F321</f>
        <v>330.18454349029997</v>
      </c>
      <c r="K321" s="9">
        <f t="shared" si="31"/>
        <v>114.285069478</v>
      </c>
      <c r="L321" s="10">
        <f t="shared" si="30"/>
        <v>0.34612483149550399</v>
      </c>
      <c r="M321" s="10">
        <f t="shared" ref="M321" si="50">L321+ABS($N$2)*A321</f>
        <v>0.42024870486759536</v>
      </c>
      <c r="P321" s="8">
        <f t="shared" ref="P321" si="51">(M321-$O$2)/$O$2*100</f>
        <v>7.096714099764986</v>
      </c>
    </row>
    <row r="322" spans="1:16" x14ac:dyDescent="0.2">
      <c r="A322" s="8">
        <v>160</v>
      </c>
      <c r="B322" s="8">
        <v>320</v>
      </c>
      <c r="D322">
        <v>456.69640852973998</v>
      </c>
      <c r="E322">
        <v>224.29461279461</v>
      </c>
      <c r="F322">
        <v>125.49971862690001</v>
      </c>
      <c r="G322">
        <v>109.29093978616</v>
      </c>
      <c r="I322" s="9">
        <f>E322-G322</f>
        <v>115.00367300845001</v>
      </c>
      <c r="J322" s="9">
        <f>D322-F322</f>
        <v>331.19668990283998</v>
      </c>
      <c r="K322" s="9">
        <f t="shared" si="31"/>
        <v>115.00367300845001</v>
      </c>
      <c r="L322" s="10">
        <f t="shared" ref="L322" si="52">K322/J322</f>
        <v>0.34723678259643098</v>
      </c>
      <c r="M322" s="10">
        <f>L322+ABS($N$2)*A322</f>
        <v>0.42159301920793329</v>
      </c>
      <c r="O322" s="11"/>
      <c r="P322" s="8">
        <f>(M322-$O$2)/$O$2*100</f>
        <v>7.4393008749288656</v>
      </c>
    </row>
    <row r="323" spans="1:16" x14ac:dyDescent="0.2">
      <c r="I323" s="9"/>
      <c r="J323" s="9"/>
      <c r="K323" s="9"/>
      <c r="L323" s="9"/>
    </row>
    <row r="324" spans="1:16" x14ac:dyDescent="0.2">
      <c r="I324" s="9"/>
      <c r="J324" s="9"/>
      <c r="K324" s="9"/>
      <c r="L324" s="9"/>
    </row>
    <row r="325" spans="1:16" x14ac:dyDescent="0.2">
      <c r="I325" s="9"/>
      <c r="J325" s="9"/>
      <c r="K325" s="9"/>
      <c r="L325" s="9"/>
    </row>
    <row r="326" spans="1:16" x14ac:dyDescent="0.2">
      <c r="I326" s="9"/>
      <c r="J326" s="9"/>
      <c r="K326" s="9"/>
      <c r="L326" s="9"/>
    </row>
    <row r="327" spans="1:16" x14ac:dyDescent="0.2">
      <c r="I327" s="9"/>
      <c r="J327" s="9"/>
      <c r="K327" s="9"/>
      <c r="L327" s="9"/>
    </row>
    <row r="328" spans="1:16" x14ac:dyDescent="0.2">
      <c r="I328" s="9"/>
      <c r="J328" s="9"/>
      <c r="K328" s="9"/>
      <c r="L328" s="9"/>
    </row>
    <row r="329" spans="1:16" x14ac:dyDescent="0.2">
      <c r="I329" s="9"/>
      <c r="J329" s="9"/>
      <c r="K329" s="9"/>
      <c r="L329" s="9"/>
    </row>
    <row r="330" spans="1:16" x14ac:dyDescent="0.2">
      <c r="I330" s="9"/>
      <c r="J330" s="9"/>
      <c r="K330" s="9"/>
      <c r="L330" s="9"/>
    </row>
    <row r="331" spans="1:16" x14ac:dyDescent="0.2">
      <c r="I331" s="9"/>
      <c r="J331" s="9"/>
      <c r="K331" s="9"/>
      <c r="L331" s="9"/>
    </row>
    <row r="332" spans="1:16" x14ac:dyDescent="0.2">
      <c r="I332" s="9"/>
      <c r="J332" s="9"/>
      <c r="K332" s="9"/>
      <c r="L332" s="9"/>
    </row>
    <row r="333" spans="1:16" x14ac:dyDescent="0.2">
      <c r="I333" s="9"/>
      <c r="J333" s="9"/>
      <c r="K333" s="9"/>
      <c r="L333" s="9"/>
    </row>
    <row r="334" spans="1:16" x14ac:dyDescent="0.2">
      <c r="I334" s="9"/>
      <c r="J334" s="9"/>
      <c r="K334" s="9"/>
      <c r="L334" s="9"/>
    </row>
    <row r="335" spans="1:16" x14ac:dyDescent="0.2">
      <c r="I335" s="9"/>
      <c r="J335" s="9"/>
      <c r="K335" s="9"/>
      <c r="L335" s="9"/>
    </row>
    <row r="336" spans="1:16" x14ac:dyDescent="0.2">
      <c r="I336" s="9"/>
      <c r="J336" s="9"/>
      <c r="K336" s="9"/>
      <c r="L336" s="9"/>
    </row>
    <row r="337" spans="9:12" x14ac:dyDescent="0.2">
      <c r="I337" s="9"/>
      <c r="J337" s="9"/>
      <c r="K337" s="9"/>
      <c r="L337" s="9"/>
    </row>
    <row r="338" spans="9:12" x14ac:dyDescent="0.2">
      <c r="I338" s="9"/>
      <c r="J338" s="9"/>
      <c r="K338" s="9"/>
      <c r="L338" s="9"/>
    </row>
    <row r="339" spans="9:12" x14ac:dyDescent="0.2">
      <c r="I339" s="9"/>
      <c r="J339" s="9"/>
      <c r="K339" s="9"/>
      <c r="L339" s="9"/>
    </row>
    <row r="340" spans="9:12" x14ac:dyDescent="0.2">
      <c r="I340" s="9"/>
      <c r="J340" s="9"/>
      <c r="K340" s="9"/>
      <c r="L340" s="9"/>
    </row>
    <row r="341" spans="9:12" x14ac:dyDescent="0.2">
      <c r="I341" s="9"/>
      <c r="J341" s="9"/>
      <c r="K341" s="9"/>
      <c r="L341" s="9"/>
    </row>
    <row r="342" spans="9:12" x14ac:dyDescent="0.2">
      <c r="I342" s="9"/>
      <c r="J342" s="9"/>
      <c r="K342" s="9"/>
      <c r="L342" s="9"/>
    </row>
    <row r="343" spans="9:12" x14ac:dyDescent="0.2">
      <c r="I343" s="9"/>
      <c r="J343" s="9"/>
      <c r="K343" s="9"/>
      <c r="L343" s="9"/>
    </row>
    <row r="344" spans="9:12" x14ac:dyDescent="0.2">
      <c r="I344" s="9"/>
      <c r="J344" s="9"/>
      <c r="K344" s="9"/>
      <c r="L344" s="9"/>
    </row>
    <row r="345" spans="9:12" x14ac:dyDescent="0.2">
      <c r="I345" s="9"/>
      <c r="J345" s="9"/>
      <c r="K345" s="9"/>
      <c r="L345" s="9"/>
    </row>
    <row r="346" spans="9:12" x14ac:dyDescent="0.2">
      <c r="I346" s="9"/>
      <c r="J346" s="9"/>
      <c r="K346" s="9"/>
      <c r="L346" s="9"/>
    </row>
    <row r="347" spans="9:12" x14ac:dyDescent="0.2">
      <c r="I347" s="9"/>
      <c r="J347" s="9"/>
      <c r="K347" s="9"/>
      <c r="L347" s="9"/>
    </row>
    <row r="348" spans="9:12" x14ac:dyDescent="0.2">
      <c r="I348" s="9"/>
      <c r="J348" s="9"/>
      <c r="K348" s="9"/>
      <c r="L348" s="9"/>
    </row>
    <row r="349" spans="9:12" x14ac:dyDescent="0.2">
      <c r="I349" s="9"/>
      <c r="J349" s="9"/>
      <c r="K349" s="9"/>
      <c r="L349" s="9"/>
    </row>
    <row r="350" spans="9:12" x14ac:dyDescent="0.2">
      <c r="I350" s="9"/>
      <c r="J350" s="9"/>
      <c r="K350" s="9"/>
      <c r="L350" s="9"/>
    </row>
    <row r="351" spans="9:12" x14ac:dyDescent="0.2">
      <c r="I351" s="9"/>
      <c r="J351" s="9"/>
      <c r="K351" s="9"/>
      <c r="L351" s="9"/>
    </row>
    <row r="352" spans="9:12" x14ac:dyDescent="0.2">
      <c r="I352" s="9"/>
      <c r="J352" s="9"/>
      <c r="K352" s="9"/>
      <c r="L352" s="9"/>
    </row>
    <row r="353" spans="9:12" x14ac:dyDescent="0.2">
      <c r="I353" s="9"/>
      <c r="J353" s="9"/>
      <c r="K353" s="9"/>
      <c r="L353" s="9"/>
    </row>
    <row r="354" spans="9:12" x14ac:dyDescent="0.2">
      <c r="I354" s="9"/>
      <c r="J354" s="9"/>
      <c r="K354" s="9"/>
      <c r="L354" s="9"/>
    </row>
    <row r="355" spans="9:12" x14ac:dyDescent="0.2">
      <c r="I355" s="9"/>
      <c r="J355" s="9"/>
      <c r="K355" s="9"/>
      <c r="L355" s="9"/>
    </row>
    <row r="356" spans="9:12" x14ac:dyDescent="0.2">
      <c r="I356" s="9"/>
      <c r="J356" s="9"/>
      <c r="K356" s="9"/>
      <c r="L356" s="9"/>
    </row>
    <row r="357" spans="9:12" x14ac:dyDescent="0.2">
      <c r="I357" s="9"/>
      <c r="J357" s="9"/>
      <c r="K357" s="9"/>
      <c r="L357" s="9"/>
    </row>
    <row r="358" spans="9:12" x14ac:dyDescent="0.2">
      <c r="I358" s="9"/>
      <c r="J358" s="9"/>
      <c r="K358" s="9"/>
      <c r="L358" s="9"/>
    </row>
    <row r="359" spans="9:12" x14ac:dyDescent="0.2">
      <c r="I359" s="9"/>
      <c r="J359" s="9"/>
      <c r="K359" s="9"/>
      <c r="L359" s="9"/>
    </row>
    <row r="360" spans="9:12" x14ac:dyDescent="0.2">
      <c r="I360" s="9"/>
      <c r="J360" s="9"/>
      <c r="K360" s="9"/>
      <c r="L360" s="9"/>
    </row>
    <row r="361" spans="9:12" x14ac:dyDescent="0.2">
      <c r="I361" s="9"/>
      <c r="J361" s="9"/>
      <c r="K361" s="9"/>
      <c r="L361" s="9"/>
    </row>
    <row r="362" spans="9:12" x14ac:dyDescent="0.2">
      <c r="I362" s="9"/>
      <c r="J362" s="9"/>
      <c r="K362" s="9"/>
      <c r="L362" s="9"/>
    </row>
    <row r="363" spans="9:12" x14ac:dyDescent="0.2">
      <c r="I363" s="9"/>
      <c r="J363" s="9"/>
      <c r="K363" s="9"/>
      <c r="L363" s="9"/>
    </row>
    <row r="364" spans="9:12" x14ac:dyDescent="0.2">
      <c r="I364" s="9"/>
      <c r="J364" s="9"/>
      <c r="K364" s="9"/>
      <c r="L364" s="9"/>
    </row>
    <row r="365" spans="9:12" x14ac:dyDescent="0.2">
      <c r="I365" s="9"/>
      <c r="J365" s="9"/>
      <c r="K365" s="9"/>
      <c r="L365" s="9"/>
    </row>
    <row r="366" spans="9:12" x14ac:dyDescent="0.2">
      <c r="I366" s="9"/>
      <c r="J366" s="9"/>
      <c r="K366" s="9"/>
      <c r="L366" s="9"/>
    </row>
    <row r="367" spans="9:12" x14ac:dyDescent="0.2">
      <c r="I367" s="9"/>
      <c r="J367" s="9"/>
      <c r="K367" s="9"/>
      <c r="L367" s="9"/>
    </row>
    <row r="368" spans="9:12" x14ac:dyDescent="0.2">
      <c r="I368" s="9"/>
      <c r="J368" s="9"/>
      <c r="K368" s="9"/>
      <c r="L368" s="9"/>
    </row>
    <row r="369" spans="9:12" x14ac:dyDescent="0.2">
      <c r="I369" s="9"/>
      <c r="J369" s="9"/>
      <c r="K369" s="9"/>
      <c r="L369" s="9"/>
    </row>
    <row r="370" spans="9:12" x14ac:dyDescent="0.2">
      <c r="I370" s="9"/>
      <c r="J370" s="9"/>
      <c r="K370" s="9"/>
      <c r="L370" s="9"/>
    </row>
    <row r="371" spans="9:12" x14ac:dyDescent="0.2">
      <c r="I371" s="9"/>
      <c r="J371" s="9"/>
      <c r="K371" s="9"/>
      <c r="L371" s="9"/>
    </row>
    <row r="372" spans="9:12" x14ac:dyDescent="0.2">
      <c r="I372" s="9"/>
      <c r="J372" s="9"/>
      <c r="K372" s="9"/>
      <c r="L372" s="9"/>
    </row>
    <row r="373" spans="9:12" x14ac:dyDescent="0.2">
      <c r="I373" s="9"/>
      <c r="J373" s="9"/>
      <c r="K373" s="9"/>
      <c r="L373" s="9"/>
    </row>
    <row r="374" spans="9:12" x14ac:dyDescent="0.2">
      <c r="I374" s="9"/>
      <c r="J374" s="9"/>
      <c r="K374" s="9"/>
      <c r="L374" s="9"/>
    </row>
    <row r="375" spans="9:12" x14ac:dyDescent="0.2">
      <c r="I375" s="9"/>
      <c r="J375" s="9"/>
      <c r="K375" s="9"/>
      <c r="L375" s="9"/>
    </row>
    <row r="376" spans="9:12" x14ac:dyDescent="0.2">
      <c r="I376" s="9"/>
      <c r="J376" s="9"/>
      <c r="K376" s="9"/>
      <c r="L376" s="9"/>
    </row>
    <row r="377" spans="9:12" x14ac:dyDescent="0.2">
      <c r="I377" s="9"/>
      <c r="J377" s="9"/>
      <c r="K377" s="9"/>
      <c r="L377" s="9"/>
    </row>
    <row r="378" spans="9:12" x14ac:dyDescent="0.2">
      <c r="I378" s="9"/>
      <c r="J378" s="9"/>
      <c r="K378" s="9"/>
      <c r="L378" s="9"/>
    </row>
    <row r="379" spans="9:12" x14ac:dyDescent="0.2">
      <c r="I379" s="9"/>
      <c r="J379" s="9"/>
      <c r="K379" s="9"/>
      <c r="L379" s="9"/>
    </row>
    <row r="380" spans="9:12" x14ac:dyDescent="0.2">
      <c r="I380" s="9"/>
      <c r="J380" s="9"/>
      <c r="K380" s="9"/>
      <c r="L380" s="9"/>
    </row>
    <row r="381" spans="9:12" x14ac:dyDescent="0.2">
      <c r="I381" s="9"/>
      <c r="J381" s="9"/>
      <c r="K381" s="9"/>
      <c r="L381" s="9"/>
    </row>
    <row r="382" spans="9:12" x14ac:dyDescent="0.2">
      <c r="I382" s="9"/>
      <c r="J382" s="9"/>
      <c r="K382" s="9"/>
      <c r="L382" s="9"/>
    </row>
    <row r="383" spans="9:12" x14ac:dyDescent="0.2">
      <c r="I383" s="9"/>
      <c r="J383" s="9"/>
      <c r="K383" s="9"/>
      <c r="L383" s="9"/>
    </row>
    <row r="384" spans="9:12" x14ac:dyDescent="0.2">
      <c r="I384" s="9"/>
      <c r="J384" s="9"/>
      <c r="K384" s="9"/>
      <c r="L384" s="9"/>
    </row>
    <row r="385" spans="9:12" x14ac:dyDescent="0.2">
      <c r="I385" s="9"/>
      <c r="J385" s="9"/>
      <c r="K385" s="9"/>
      <c r="L385" s="9"/>
    </row>
    <row r="386" spans="9:12" x14ac:dyDescent="0.2">
      <c r="I386" s="9"/>
      <c r="J386" s="9"/>
      <c r="K386" s="9"/>
      <c r="L386" s="9"/>
    </row>
    <row r="387" spans="9:12" x14ac:dyDescent="0.2">
      <c r="I387" s="9"/>
      <c r="J387" s="9"/>
      <c r="K387" s="9"/>
      <c r="L387" s="9"/>
    </row>
    <row r="388" spans="9:12" x14ac:dyDescent="0.2">
      <c r="I388" s="9"/>
      <c r="J388" s="9"/>
      <c r="K388" s="9"/>
      <c r="L388" s="9"/>
    </row>
    <row r="389" spans="9:12" x14ac:dyDescent="0.2">
      <c r="I389" s="9"/>
      <c r="J389" s="9"/>
      <c r="K389" s="9"/>
      <c r="L389" s="9"/>
    </row>
    <row r="390" spans="9:12" x14ac:dyDescent="0.2">
      <c r="I390" s="9"/>
      <c r="J390" s="9"/>
      <c r="K390" s="9"/>
      <c r="L390" s="9"/>
    </row>
    <row r="391" spans="9:12" x14ac:dyDescent="0.2">
      <c r="I391" s="9"/>
      <c r="J391" s="9"/>
      <c r="K391" s="9"/>
      <c r="L391" s="9"/>
    </row>
    <row r="392" spans="9:12" x14ac:dyDescent="0.2">
      <c r="I392" s="9"/>
      <c r="J392" s="9"/>
      <c r="K392" s="9"/>
      <c r="L392" s="9"/>
    </row>
    <row r="393" spans="9:12" x14ac:dyDescent="0.2">
      <c r="I393" s="9"/>
      <c r="J393" s="9"/>
      <c r="K393" s="9"/>
      <c r="L393" s="9"/>
    </row>
    <row r="394" spans="9:12" x14ac:dyDescent="0.2">
      <c r="I394" s="9"/>
      <c r="J394" s="9"/>
      <c r="K394" s="9"/>
      <c r="L394" s="9"/>
    </row>
    <row r="395" spans="9:12" x14ac:dyDescent="0.2">
      <c r="I395" s="9"/>
      <c r="J395" s="9"/>
      <c r="K395" s="9"/>
      <c r="L395" s="9"/>
    </row>
    <row r="396" spans="9:12" x14ac:dyDescent="0.2">
      <c r="I396" s="9"/>
      <c r="J396" s="9"/>
      <c r="K396" s="9"/>
      <c r="L396" s="9"/>
    </row>
    <row r="397" spans="9:12" x14ac:dyDescent="0.2">
      <c r="I397" s="9"/>
      <c r="J397" s="9"/>
      <c r="K397" s="9"/>
      <c r="L397" s="9"/>
    </row>
    <row r="398" spans="9:12" x14ac:dyDescent="0.2">
      <c r="I398" s="9"/>
      <c r="J398" s="9"/>
      <c r="K398" s="9"/>
      <c r="L398" s="9"/>
    </row>
    <row r="399" spans="9:12" x14ac:dyDescent="0.2">
      <c r="I399" s="9"/>
      <c r="J399" s="9"/>
      <c r="K399" s="9"/>
      <c r="L399" s="9"/>
    </row>
    <row r="400" spans="9:12" x14ac:dyDescent="0.2">
      <c r="I400" s="9"/>
      <c r="J400" s="9"/>
      <c r="K400" s="9"/>
      <c r="L400" s="9"/>
    </row>
    <row r="401" spans="9:12" x14ac:dyDescent="0.2">
      <c r="I401" s="9"/>
      <c r="J401" s="9"/>
      <c r="K401" s="9"/>
      <c r="L401" s="9"/>
    </row>
    <row r="402" spans="9:12" x14ac:dyDescent="0.2">
      <c r="I402" s="9"/>
      <c r="J402" s="9"/>
      <c r="K402" s="9"/>
      <c r="L402" s="9"/>
    </row>
    <row r="403" spans="9:12" x14ac:dyDescent="0.2">
      <c r="I403" s="9"/>
      <c r="J403" s="9"/>
      <c r="K403" s="9"/>
      <c r="L403" s="9"/>
    </row>
    <row r="404" spans="9:12" x14ac:dyDescent="0.2">
      <c r="I404" s="9"/>
      <c r="J404" s="9"/>
      <c r="K404" s="9"/>
      <c r="L404" s="9"/>
    </row>
    <row r="405" spans="9:12" x14ac:dyDescent="0.2">
      <c r="I405" s="9"/>
      <c r="J405" s="9"/>
      <c r="K405" s="9"/>
      <c r="L405" s="9"/>
    </row>
    <row r="406" spans="9:12" x14ac:dyDescent="0.2">
      <c r="I406" s="9"/>
      <c r="J406" s="9"/>
      <c r="K406" s="9"/>
      <c r="L406" s="9"/>
    </row>
    <row r="407" spans="9:12" x14ac:dyDescent="0.2">
      <c r="I407" s="9"/>
      <c r="J407" s="9"/>
      <c r="K407" s="9"/>
      <c r="L407" s="9"/>
    </row>
    <row r="408" spans="9:12" x14ac:dyDescent="0.2">
      <c r="I408" s="9"/>
      <c r="J408" s="9"/>
      <c r="K408" s="9"/>
      <c r="L408" s="9"/>
    </row>
    <row r="409" spans="9:12" x14ac:dyDescent="0.2">
      <c r="I409" s="9"/>
      <c r="J409" s="9"/>
      <c r="K409" s="9"/>
      <c r="L409" s="9"/>
    </row>
    <row r="410" spans="9:12" x14ac:dyDescent="0.2">
      <c r="I410" s="9"/>
      <c r="J410" s="9"/>
      <c r="K410" s="9"/>
      <c r="L410" s="9"/>
    </row>
    <row r="411" spans="9:12" x14ac:dyDescent="0.2">
      <c r="I411" s="9"/>
      <c r="J411" s="9"/>
      <c r="K411" s="9"/>
      <c r="L411" s="9"/>
    </row>
    <row r="412" spans="9:12" x14ac:dyDescent="0.2">
      <c r="I412" s="9"/>
      <c r="J412" s="9"/>
      <c r="K412" s="9"/>
      <c r="L412" s="9"/>
    </row>
    <row r="413" spans="9:12" x14ac:dyDescent="0.2">
      <c r="I413" s="9"/>
      <c r="J413" s="9"/>
      <c r="K413" s="9"/>
      <c r="L413" s="9"/>
    </row>
    <row r="414" spans="9:12" x14ac:dyDescent="0.2">
      <c r="I414" s="9"/>
      <c r="J414" s="9"/>
      <c r="K414" s="9"/>
      <c r="L414" s="9"/>
    </row>
    <row r="415" spans="9:12" x14ac:dyDescent="0.2">
      <c r="I415" s="9"/>
      <c r="J415" s="9"/>
      <c r="K415" s="9"/>
      <c r="L415" s="9"/>
    </row>
    <row r="416" spans="9:12" x14ac:dyDescent="0.2">
      <c r="I416" s="9"/>
      <c r="J416" s="9"/>
      <c r="K416" s="9"/>
      <c r="L416" s="9"/>
    </row>
    <row r="417" spans="9:12" x14ac:dyDescent="0.2">
      <c r="I417" s="9"/>
      <c r="J417" s="9"/>
      <c r="K417" s="9"/>
      <c r="L417" s="9"/>
    </row>
    <row r="418" spans="9:12" x14ac:dyDescent="0.2">
      <c r="I418" s="9"/>
      <c r="J418" s="9"/>
      <c r="K418" s="9"/>
      <c r="L418" s="9"/>
    </row>
    <row r="419" spans="9:12" x14ac:dyDescent="0.2">
      <c r="I419" s="9"/>
      <c r="J419" s="9"/>
      <c r="K419" s="9"/>
      <c r="L419" s="9"/>
    </row>
    <row r="420" spans="9:12" x14ac:dyDescent="0.2">
      <c r="I420" s="9"/>
      <c r="J420" s="9"/>
      <c r="K420" s="9"/>
      <c r="L420" s="9"/>
    </row>
    <row r="421" spans="9:12" x14ac:dyDescent="0.2">
      <c r="I421" s="9"/>
      <c r="J421" s="9"/>
      <c r="K421" s="9"/>
      <c r="L421" s="9"/>
    </row>
    <row r="422" spans="9:12" x14ac:dyDescent="0.2">
      <c r="I422" s="9"/>
      <c r="J422" s="9"/>
      <c r="K422" s="9"/>
      <c r="L422" s="9"/>
    </row>
    <row r="423" spans="9:12" x14ac:dyDescent="0.2">
      <c r="I423" s="9"/>
      <c r="J423" s="9"/>
      <c r="K423" s="9"/>
      <c r="L423" s="9"/>
    </row>
    <row r="424" spans="9:12" x14ac:dyDescent="0.2">
      <c r="I424" s="9"/>
      <c r="J424" s="9"/>
      <c r="K424" s="9"/>
      <c r="L424" s="9"/>
    </row>
    <row r="425" spans="9:12" x14ac:dyDescent="0.2">
      <c r="I425" s="9"/>
      <c r="J425" s="9"/>
      <c r="K425" s="9"/>
      <c r="L425" s="9"/>
    </row>
    <row r="426" spans="9:12" x14ac:dyDescent="0.2">
      <c r="I426" s="9"/>
      <c r="J426" s="9"/>
      <c r="K426" s="9"/>
      <c r="L426" s="9"/>
    </row>
    <row r="427" spans="9:12" x14ac:dyDescent="0.2">
      <c r="I427" s="9"/>
      <c r="J427" s="9"/>
      <c r="K427" s="9"/>
      <c r="L427" s="9"/>
    </row>
    <row r="428" spans="9:12" x14ac:dyDescent="0.2">
      <c r="I428" s="9"/>
      <c r="J428" s="9"/>
      <c r="K428" s="9"/>
      <c r="L428" s="9"/>
    </row>
    <row r="429" spans="9:12" x14ac:dyDescent="0.2">
      <c r="I429" s="9"/>
      <c r="J429" s="9"/>
      <c r="K429" s="9"/>
      <c r="L429" s="9"/>
    </row>
    <row r="430" spans="9:12" x14ac:dyDescent="0.2">
      <c r="I430" s="9"/>
      <c r="J430" s="9"/>
      <c r="K430" s="9"/>
      <c r="L430" s="9"/>
    </row>
    <row r="431" spans="9:12" x14ac:dyDescent="0.2">
      <c r="I431" s="9"/>
      <c r="J431" s="9"/>
      <c r="K431" s="9"/>
      <c r="L431" s="9"/>
    </row>
    <row r="432" spans="9:12" x14ac:dyDescent="0.2">
      <c r="I432" s="9"/>
      <c r="J432" s="9"/>
      <c r="K432" s="9"/>
      <c r="L432" s="9"/>
    </row>
    <row r="433" spans="9:12" x14ac:dyDescent="0.2">
      <c r="I433" s="9"/>
      <c r="J433" s="9"/>
      <c r="K433" s="9"/>
      <c r="L433" s="9"/>
    </row>
    <row r="434" spans="9:12" x14ac:dyDescent="0.2">
      <c r="I434" s="9"/>
      <c r="J434" s="9"/>
      <c r="K434" s="9"/>
      <c r="L434" s="9"/>
    </row>
    <row r="435" spans="9:12" x14ac:dyDescent="0.2">
      <c r="I435" s="9"/>
      <c r="J435" s="9"/>
      <c r="K435" s="9"/>
      <c r="L435" s="9"/>
    </row>
    <row r="436" spans="9:12" x14ac:dyDescent="0.2">
      <c r="I436" s="9"/>
      <c r="J436" s="9"/>
      <c r="K436" s="9"/>
      <c r="L436" s="9"/>
    </row>
    <row r="437" spans="9:12" x14ac:dyDescent="0.2">
      <c r="I437" s="9"/>
      <c r="J437" s="9"/>
      <c r="K437" s="9"/>
      <c r="L437" s="9"/>
    </row>
    <row r="438" spans="9:12" x14ac:dyDescent="0.2">
      <c r="I438" s="9"/>
      <c r="J438" s="9"/>
      <c r="K438" s="9"/>
      <c r="L438" s="9"/>
    </row>
    <row r="439" spans="9:12" x14ac:dyDescent="0.2">
      <c r="I439" s="9"/>
      <c r="J439" s="9"/>
      <c r="K439" s="9"/>
      <c r="L439" s="9"/>
    </row>
    <row r="440" spans="9:12" x14ac:dyDescent="0.2">
      <c r="I440" s="9"/>
      <c r="J440" s="9"/>
      <c r="K440" s="9"/>
      <c r="L440" s="9"/>
    </row>
    <row r="441" spans="9:12" x14ac:dyDescent="0.2">
      <c r="I441" s="9"/>
      <c r="J441" s="9"/>
      <c r="K441" s="9"/>
      <c r="L441" s="9"/>
    </row>
    <row r="442" spans="9:12" x14ac:dyDescent="0.2">
      <c r="I442" s="9"/>
      <c r="J442" s="9"/>
      <c r="K442" s="9"/>
      <c r="L442" s="9"/>
    </row>
    <row r="443" spans="9:12" x14ac:dyDescent="0.2">
      <c r="I443" s="9"/>
      <c r="J443" s="9"/>
      <c r="K443" s="9"/>
      <c r="L443" s="9"/>
    </row>
    <row r="444" spans="9:12" x14ac:dyDescent="0.2">
      <c r="I444" s="9"/>
      <c r="J444" s="9"/>
      <c r="K444" s="9"/>
      <c r="L444" s="9"/>
    </row>
    <row r="445" spans="9:12" x14ac:dyDescent="0.2">
      <c r="I445" s="9"/>
      <c r="J445" s="9"/>
      <c r="K445" s="9"/>
      <c r="L445" s="9"/>
    </row>
    <row r="446" spans="9:12" x14ac:dyDescent="0.2">
      <c r="I446" s="9"/>
      <c r="J446" s="9"/>
      <c r="K446" s="9"/>
      <c r="L446" s="9"/>
    </row>
    <row r="447" spans="9:12" x14ac:dyDescent="0.2">
      <c r="I447" s="9"/>
      <c r="J447" s="9"/>
      <c r="K447" s="9"/>
      <c r="L447" s="9"/>
    </row>
    <row r="448" spans="9:12" x14ac:dyDescent="0.2">
      <c r="I448" s="9"/>
      <c r="J448" s="9"/>
      <c r="K448" s="9"/>
      <c r="L448" s="9"/>
    </row>
    <row r="449" spans="9:12" x14ac:dyDescent="0.2">
      <c r="I449" s="9"/>
      <c r="J449" s="9"/>
      <c r="K449" s="9"/>
      <c r="L449" s="9"/>
    </row>
    <row r="450" spans="9:12" x14ac:dyDescent="0.2">
      <c r="I450" s="9"/>
      <c r="J450" s="9"/>
      <c r="K450" s="9"/>
      <c r="L450" s="9"/>
    </row>
    <row r="451" spans="9:12" x14ac:dyDescent="0.2">
      <c r="I451" s="9"/>
      <c r="J451" s="9"/>
      <c r="K451" s="9"/>
      <c r="L451" s="9"/>
    </row>
    <row r="452" spans="9:12" x14ac:dyDescent="0.2">
      <c r="I452" s="9"/>
      <c r="J452" s="9"/>
      <c r="K452" s="9"/>
      <c r="L452" s="9"/>
    </row>
    <row r="453" spans="9:12" x14ac:dyDescent="0.2">
      <c r="I453" s="9"/>
      <c r="J453" s="9"/>
      <c r="K453" s="9"/>
      <c r="L453" s="9"/>
    </row>
    <row r="454" spans="9:12" x14ac:dyDescent="0.2">
      <c r="I454" s="9"/>
      <c r="J454" s="9"/>
      <c r="K454" s="9"/>
      <c r="L454" s="9"/>
    </row>
    <row r="455" spans="9:12" x14ac:dyDescent="0.2">
      <c r="I455" s="9"/>
      <c r="J455" s="9"/>
      <c r="K455" s="9"/>
      <c r="L455" s="9"/>
    </row>
    <row r="456" spans="9:12" x14ac:dyDescent="0.2">
      <c r="I456" s="9"/>
      <c r="J456" s="9"/>
      <c r="K456" s="9"/>
      <c r="L456" s="9"/>
    </row>
    <row r="457" spans="9:12" x14ac:dyDescent="0.2">
      <c r="I457" s="9"/>
      <c r="J457" s="9"/>
      <c r="K457" s="9"/>
      <c r="L457" s="9"/>
    </row>
    <row r="458" spans="9:12" x14ac:dyDescent="0.2">
      <c r="I458" s="9"/>
      <c r="J458" s="9"/>
      <c r="K458" s="9"/>
      <c r="L458" s="9"/>
    </row>
    <row r="459" spans="9:12" x14ac:dyDescent="0.2">
      <c r="I459" s="9"/>
      <c r="J459" s="9"/>
      <c r="K459" s="9"/>
      <c r="L459" s="9"/>
    </row>
    <row r="460" spans="9:12" x14ac:dyDescent="0.2">
      <c r="I460" s="9"/>
      <c r="J460" s="9"/>
      <c r="K460" s="9"/>
      <c r="L460" s="9"/>
    </row>
    <row r="461" spans="9:12" x14ac:dyDescent="0.2">
      <c r="I461" s="9"/>
      <c r="J461" s="9"/>
      <c r="K461" s="9"/>
      <c r="L461" s="9"/>
    </row>
    <row r="462" spans="9:12" x14ac:dyDescent="0.2">
      <c r="I462" s="9"/>
      <c r="J462" s="9"/>
      <c r="K462" s="9"/>
      <c r="L462" s="9"/>
    </row>
    <row r="463" spans="9:12" x14ac:dyDescent="0.2">
      <c r="I463" s="9"/>
      <c r="J463" s="9"/>
      <c r="K463" s="9"/>
      <c r="L463" s="9"/>
    </row>
    <row r="464" spans="9:12" x14ac:dyDescent="0.2">
      <c r="I464" s="9"/>
      <c r="J464" s="9"/>
      <c r="K464" s="9"/>
      <c r="L464" s="9"/>
    </row>
    <row r="465" spans="9:12" x14ac:dyDescent="0.2">
      <c r="I465" s="9"/>
      <c r="J465" s="9"/>
      <c r="K465" s="9"/>
      <c r="L465" s="9"/>
    </row>
    <row r="466" spans="9:12" x14ac:dyDescent="0.2">
      <c r="I466" s="9"/>
      <c r="J466" s="9"/>
      <c r="K466" s="9"/>
      <c r="L466" s="9"/>
    </row>
    <row r="467" spans="9:12" x14ac:dyDescent="0.2">
      <c r="I467" s="9"/>
      <c r="J467" s="9"/>
      <c r="K467" s="9"/>
      <c r="L467" s="9"/>
    </row>
    <row r="468" spans="9:12" x14ac:dyDescent="0.2">
      <c r="I468" s="9"/>
      <c r="J468" s="9"/>
      <c r="K468" s="9"/>
      <c r="L468" s="9"/>
    </row>
    <row r="469" spans="9:12" x14ac:dyDescent="0.2">
      <c r="I469" s="9"/>
      <c r="J469" s="9"/>
      <c r="K469" s="9"/>
      <c r="L469" s="9"/>
    </row>
    <row r="470" spans="9:12" x14ac:dyDescent="0.2">
      <c r="I470" s="9"/>
      <c r="J470" s="9"/>
      <c r="K470" s="9"/>
      <c r="L470" s="9"/>
    </row>
    <row r="471" spans="9:12" x14ac:dyDescent="0.2">
      <c r="I471" s="9"/>
      <c r="J471" s="9"/>
      <c r="K471" s="9"/>
      <c r="L471" s="9"/>
    </row>
    <row r="472" spans="9:12" x14ac:dyDescent="0.2">
      <c r="I472" s="9"/>
      <c r="J472" s="9"/>
      <c r="K472" s="9"/>
      <c r="L472" s="9"/>
    </row>
    <row r="473" spans="9:12" x14ac:dyDescent="0.2">
      <c r="I473" s="9"/>
      <c r="J473" s="9"/>
      <c r="K473" s="9"/>
      <c r="L473" s="9"/>
    </row>
    <row r="474" spans="9:12" x14ac:dyDescent="0.2">
      <c r="I474" s="9"/>
      <c r="J474" s="9"/>
      <c r="K474" s="9"/>
      <c r="L474" s="9"/>
    </row>
    <row r="475" spans="9:12" x14ac:dyDescent="0.2">
      <c r="I475" s="9"/>
      <c r="J475" s="9"/>
      <c r="K475" s="9"/>
      <c r="L475" s="9"/>
    </row>
    <row r="476" spans="9:12" x14ac:dyDescent="0.2">
      <c r="I476" s="9"/>
      <c r="J476" s="9"/>
      <c r="K476" s="9"/>
      <c r="L476" s="9"/>
    </row>
    <row r="477" spans="9:12" x14ac:dyDescent="0.2">
      <c r="I477" s="9"/>
      <c r="J477" s="9"/>
      <c r="K477" s="9"/>
      <c r="L477" s="9"/>
    </row>
    <row r="478" spans="9:12" x14ac:dyDescent="0.2">
      <c r="I478" s="9"/>
      <c r="J478" s="9"/>
      <c r="K478" s="9"/>
      <c r="L478" s="9"/>
    </row>
    <row r="479" spans="9:12" x14ac:dyDescent="0.2">
      <c r="I479" s="9"/>
      <c r="J479" s="9"/>
      <c r="K479" s="9"/>
      <c r="L479" s="9"/>
    </row>
    <row r="480" spans="9:12" x14ac:dyDescent="0.2">
      <c r="I480" s="9"/>
      <c r="J480" s="9"/>
      <c r="K480" s="9"/>
      <c r="L480" s="9"/>
    </row>
    <row r="481" spans="9:12" x14ac:dyDescent="0.2">
      <c r="I481" s="9"/>
      <c r="J481" s="9"/>
      <c r="K481" s="9"/>
      <c r="L481" s="9"/>
    </row>
    <row r="482" spans="9:12" x14ac:dyDescent="0.2">
      <c r="I482" s="9"/>
      <c r="J482" s="9"/>
      <c r="K482" s="9"/>
      <c r="L482" s="9"/>
    </row>
    <row r="483" spans="9:12" x14ac:dyDescent="0.2">
      <c r="I483" s="9"/>
      <c r="J483" s="9"/>
      <c r="K483" s="9"/>
      <c r="L483" s="9"/>
    </row>
    <row r="484" spans="9:12" x14ac:dyDescent="0.2">
      <c r="I484" s="9"/>
      <c r="J484" s="9"/>
      <c r="K484" s="9"/>
      <c r="L484" s="9"/>
    </row>
    <row r="485" spans="9:12" x14ac:dyDescent="0.2">
      <c r="I485" s="9"/>
      <c r="J485" s="9"/>
      <c r="K485" s="9"/>
      <c r="L485" s="9"/>
    </row>
    <row r="486" spans="9:12" x14ac:dyDescent="0.2">
      <c r="I486" s="9"/>
      <c r="J486" s="9"/>
      <c r="K486" s="9"/>
      <c r="L486" s="9"/>
    </row>
    <row r="487" spans="9:12" x14ac:dyDescent="0.2">
      <c r="I487" s="9"/>
      <c r="J487" s="9"/>
      <c r="K487" s="9"/>
      <c r="L487" s="9"/>
    </row>
    <row r="488" spans="9:12" x14ac:dyDescent="0.2">
      <c r="I488" s="9"/>
      <c r="J488" s="9"/>
      <c r="K488" s="9"/>
      <c r="L488" s="9"/>
    </row>
    <row r="489" spans="9:12" x14ac:dyDescent="0.2">
      <c r="I489" s="9"/>
      <c r="J489" s="9"/>
      <c r="K489" s="9"/>
      <c r="L489" s="9"/>
    </row>
    <row r="490" spans="9:12" x14ac:dyDescent="0.2">
      <c r="I490" s="9"/>
      <c r="J490" s="9"/>
      <c r="K490" s="9"/>
      <c r="L490" s="9"/>
    </row>
    <row r="491" spans="9:12" x14ac:dyDescent="0.2">
      <c r="I491" s="9"/>
      <c r="J491" s="9"/>
      <c r="K491" s="9"/>
      <c r="L491" s="9"/>
    </row>
    <row r="492" spans="9:12" x14ac:dyDescent="0.2">
      <c r="I492" s="9"/>
      <c r="J492" s="9"/>
      <c r="K492" s="9"/>
      <c r="L492" s="9"/>
    </row>
    <row r="493" spans="9:12" x14ac:dyDescent="0.2">
      <c r="I493" s="9"/>
      <c r="J493" s="9"/>
      <c r="K493" s="9"/>
      <c r="L493" s="9"/>
    </row>
    <row r="494" spans="9:12" x14ac:dyDescent="0.2">
      <c r="I494" s="9"/>
      <c r="J494" s="9"/>
      <c r="K494" s="9"/>
      <c r="L494" s="9"/>
    </row>
    <row r="495" spans="9:12" x14ac:dyDescent="0.2">
      <c r="I495" s="9"/>
      <c r="J495" s="9"/>
      <c r="K495" s="9"/>
      <c r="L495" s="9"/>
    </row>
    <row r="496" spans="9:12" x14ac:dyDescent="0.2">
      <c r="I496" s="9"/>
      <c r="J496" s="9"/>
      <c r="K496" s="9"/>
      <c r="L496" s="9"/>
    </row>
    <row r="497" spans="9:12" x14ac:dyDescent="0.2">
      <c r="I497" s="9"/>
      <c r="J497" s="9"/>
      <c r="K497" s="9"/>
      <c r="L497" s="9"/>
    </row>
    <row r="498" spans="9:12" x14ac:dyDescent="0.2">
      <c r="I498" s="9"/>
      <c r="J498" s="9"/>
      <c r="K498" s="9"/>
      <c r="L498" s="9"/>
    </row>
    <row r="499" spans="9:12" x14ac:dyDescent="0.2">
      <c r="I499" s="9"/>
      <c r="J499" s="9"/>
      <c r="K499" s="9"/>
      <c r="L499" s="9"/>
    </row>
    <row r="500" spans="9:12" x14ac:dyDescent="0.2">
      <c r="I500" s="9"/>
      <c r="J500" s="9"/>
      <c r="K500" s="9"/>
      <c r="L500" s="9"/>
    </row>
    <row r="501" spans="9:12" x14ac:dyDescent="0.2">
      <c r="I501" s="9"/>
      <c r="J501" s="9"/>
      <c r="K501" s="9"/>
      <c r="L501" s="9"/>
    </row>
    <row r="502" spans="9:12" x14ac:dyDescent="0.2">
      <c r="I502" s="9"/>
      <c r="J502" s="9"/>
      <c r="K502" s="9"/>
      <c r="L502" s="9"/>
    </row>
    <row r="503" spans="9:12" x14ac:dyDescent="0.2">
      <c r="I503" s="9"/>
      <c r="J503" s="9"/>
      <c r="K503" s="9"/>
      <c r="L503" s="9"/>
    </row>
    <row r="504" spans="9:12" x14ac:dyDescent="0.2">
      <c r="I504" s="9"/>
      <c r="J504" s="9"/>
      <c r="K504" s="9"/>
      <c r="L504" s="9"/>
    </row>
    <row r="505" spans="9:12" x14ac:dyDescent="0.2">
      <c r="I505" s="9"/>
      <c r="J505" s="9"/>
      <c r="K505" s="9"/>
      <c r="L505" s="9"/>
    </row>
    <row r="506" spans="9:12" x14ac:dyDescent="0.2">
      <c r="I506" s="9"/>
      <c r="J506" s="9"/>
      <c r="K506" s="9"/>
      <c r="L506" s="9"/>
    </row>
    <row r="507" spans="9:12" x14ac:dyDescent="0.2">
      <c r="I507" s="9"/>
      <c r="J507" s="9"/>
      <c r="K507" s="9"/>
      <c r="L507" s="9"/>
    </row>
    <row r="508" spans="9:12" x14ac:dyDescent="0.2">
      <c r="I508" s="9"/>
      <c r="J508" s="9"/>
      <c r="K508" s="9"/>
      <c r="L508" s="9"/>
    </row>
    <row r="509" spans="9:12" x14ac:dyDescent="0.2">
      <c r="I509" s="9"/>
      <c r="J509" s="9"/>
      <c r="K509" s="9"/>
      <c r="L509" s="9"/>
    </row>
    <row r="510" spans="9:12" x14ac:dyDescent="0.2">
      <c r="I510" s="9"/>
      <c r="J510" s="9"/>
      <c r="K510" s="9"/>
      <c r="L510" s="9"/>
    </row>
    <row r="511" spans="9:12" x14ac:dyDescent="0.2">
      <c r="I511" s="9"/>
      <c r="J511" s="9"/>
      <c r="K511" s="9"/>
      <c r="L511" s="9"/>
    </row>
    <row r="512" spans="9:12" x14ac:dyDescent="0.2">
      <c r="I512" s="9"/>
      <c r="J512" s="9"/>
      <c r="K512" s="9"/>
      <c r="L512" s="9"/>
    </row>
    <row r="513" spans="9:12" x14ac:dyDescent="0.2">
      <c r="I513" s="9"/>
      <c r="J513" s="9"/>
      <c r="K513" s="9"/>
      <c r="L513" s="9"/>
    </row>
    <row r="514" spans="9:12" x14ac:dyDescent="0.2">
      <c r="I514" s="9"/>
      <c r="J514" s="9"/>
      <c r="K514" s="9"/>
      <c r="L514" s="9"/>
    </row>
    <row r="515" spans="9:12" x14ac:dyDescent="0.2">
      <c r="I515" s="9"/>
      <c r="J515" s="9"/>
      <c r="K515" s="9"/>
      <c r="L515" s="9"/>
    </row>
    <row r="516" spans="9:12" x14ac:dyDescent="0.2">
      <c r="I516" s="9"/>
      <c r="J516" s="9"/>
      <c r="K516" s="9"/>
      <c r="L516" s="9"/>
    </row>
    <row r="517" spans="9:12" x14ac:dyDescent="0.2">
      <c r="I517" s="9"/>
      <c r="J517" s="9"/>
      <c r="K517" s="9"/>
      <c r="L517" s="9"/>
    </row>
    <row r="518" spans="9:12" x14ac:dyDescent="0.2">
      <c r="I518" s="9"/>
      <c r="J518" s="9"/>
      <c r="K518" s="9"/>
      <c r="L518" s="9"/>
    </row>
    <row r="519" spans="9:12" x14ac:dyDescent="0.2">
      <c r="I519" s="9"/>
      <c r="J519" s="9"/>
      <c r="K519" s="9"/>
      <c r="L519" s="9"/>
    </row>
    <row r="520" spans="9:12" x14ac:dyDescent="0.2">
      <c r="I520" s="9"/>
      <c r="J520" s="9"/>
      <c r="K520" s="9"/>
      <c r="L520" s="9"/>
    </row>
    <row r="521" spans="9:12" x14ac:dyDescent="0.2">
      <c r="I521" s="9"/>
      <c r="J521" s="9"/>
      <c r="K521" s="9"/>
      <c r="L521" s="9"/>
    </row>
    <row r="522" spans="9:12" x14ac:dyDescent="0.2">
      <c r="I522" s="9"/>
      <c r="J522" s="9"/>
      <c r="K522" s="9"/>
      <c r="L522" s="9"/>
    </row>
    <row r="523" spans="9:12" x14ac:dyDescent="0.2">
      <c r="I523" s="9"/>
      <c r="J523" s="9"/>
      <c r="K523" s="9"/>
      <c r="L523" s="9"/>
    </row>
    <row r="524" spans="9:12" x14ac:dyDescent="0.2">
      <c r="I524" s="9"/>
      <c r="J524" s="9"/>
      <c r="K524" s="9"/>
      <c r="L524" s="9"/>
    </row>
    <row r="525" spans="9:12" x14ac:dyDescent="0.2">
      <c r="I525" s="9"/>
      <c r="J525" s="9"/>
      <c r="K525" s="9"/>
      <c r="L525" s="9"/>
    </row>
    <row r="526" spans="9:12" x14ac:dyDescent="0.2">
      <c r="I526" s="9"/>
      <c r="J526" s="9"/>
      <c r="K526" s="9"/>
      <c r="L526" s="9"/>
    </row>
    <row r="527" spans="9:12" x14ac:dyDescent="0.2">
      <c r="I527" s="9"/>
      <c r="J527" s="9"/>
      <c r="K527" s="9"/>
      <c r="L527" s="9"/>
    </row>
    <row r="528" spans="9:12" x14ac:dyDescent="0.2">
      <c r="I528" s="9"/>
      <c r="J528" s="9"/>
      <c r="K528" s="9"/>
      <c r="L528" s="9"/>
    </row>
    <row r="529" spans="9:12" x14ac:dyDescent="0.2">
      <c r="I529" s="9"/>
      <c r="J529" s="9"/>
      <c r="K529" s="9"/>
      <c r="L529" s="9"/>
    </row>
    <row r="530" spans="9:12" x14ac:dyDescent="0.2">
      <c r="I530" s="9"/>
      <c r="J530" s="9"/>
      <c r="K530" s="9"/>
      <c r="L530" s="9"/>
    </row>
    <row r="531" spans="9:12" x14ac:dyDescent="0.2">
      <c r="I531" s="9"/>
      <c r="J531" s="9"/>
      <c r="K531" s="9"/>
      <c r="L531" s="9"/>
    </row>
    <row r="532" spans="9:12" x14ac:dyDescent="0.2">
      <c r="I532" s="9"/>
      <c r="J532" s="9"/>
      <c r="K532" s="9"/>
      <c r="L532" s="9"/>
    </row>
    <row r="533" spans="9:12" x14ac:dyDescent="0.2">
      <c r="I533" s="9"/>
      <c r="J533" s="9"/>
      <c r="K533" s="9"/>
      <c r="L533" s="9"/>
    </row>
    <row r="534" spans="9:12" x14ac:dyDescent="0.2">
      <c r="I534" s="9"/>
      <c r="J534" s="9"/>
      <c r="K534" s="9"/>
      <c r="L534" s="9"/>
    </row>
    <row r="535" spans="9:12" x14ac:dyDescent="0.2">
      <c r="I535" s="9"/>
      <c r="J535" s="9"/>
      <c r="K535" s="9"/>
      <c r="L535" s="9"/>
    </row>
    <row r="536" spans="9:12" x14ac:dyDescent="0.2">
      <c r="I536" s="9"/>
      <c r="J536" s="9"/>
      <c r="K536" s="9"/>
      <c r="L536" s="9"/>
    </row>
    <row r="537" spans="9:12" x14ac:dyDescent="0.2">
      <c r="I537" s="9"/>
      <c r="J537" s="9"/>
      <c r="K537" s="9"/>
      <c r="L537" s="9"/>
    </row>
    <row r="538" spans="9:12" x14ac:dyDescent="0.2">
      <c r="I538" s="9"/>
      <c r="J538" s="9"/>
      <c r="K538" s="9"/>
      <c r="L538" s="9"/>
    </row>
    <row r="539" spans="9:12" x14ac:dyDescent="0.2">
      <c r="I539" s="9"/>
      <c r="J539" s="9"/>
      <c r="K539" s="9"/>
      <c r="L539" s="9"/>
    </row>
    <row r="540" spans="9:12" x14ac:dyDescent="0.2">
      <c r="I540" s="9"/>
      <c r="J540" s="9"/>
      <c r="K540" s="9"/>
      <c r="L540" s="9"/>
    </row>
    <row r="541" spans="9:12" x14ac:dyDescent="0.2">
      <c r="I541" s="9"/>
      <c r="J541" s="9"/>
      <c r="K541" s="9"/>
      <c r="L541" s="9"/>
    </row>
    <row r="542" spans="9:12" x14ac:dyDescent="0.2">
      <c r="I542" s="9"/>
      <c r="J542" s="9"/>
      <c r="K542" s="9"/>
      <c r="L542" s="9"/>
    </row>
    <row r="543" spans="9:12" x14ac:dyDescent="0.2">
      <c r="I543" s="9"/>
      <c r="J543" s="9"/>
      <c r="K543" s="9"/>
      <c r="L543" s="9"/>
    </row>
    <row r="544" spans="9:12" x14ac:dyDescent="0.2">
      <c r="I544" s="9"/>
      <c r="J544" s="9"/>
      <c r="K544" s="9"/>
      <c r="L544" s="9"/>
    </row>
    <row r="545" spans="9:12" x14ac:dyDescent="0.2">
      <c r="I545" s="9"/>
      <c r="J545" s="9"/>
      <c r="K545" s="9"/>
      <c r="L545" s="9"/>
    </row>
    <row r="546" spans="9:12" x14ac:dyDescent="0.2">
      <c r="I546" s="9"/>
      <c r="J546" s="9"/>
      <c r="K546" s="9"/>
      <c r="L546" s="9"/>
    </row>
    <row r="547" spans="9:12" x14ac:dyDescent="0.2">
      <c r="I547" s="9"/>
      <c r="J547" s="9"/>
      <c r="K547" s="9"/>
      <c r="L547" s="9"/>
    </row>
    <row r="548" spans="9:12" x14ac:dyDescent="0.2">
      <c r="I548" s="9"/>
      <c r="J548" s="9"/>
      <c r="K548" s="9"/>
      <c r="L548" s="9"/>
    </row>
    <row r="549" spans="9:12" x14ac:dyDescent="0.2">
      <c r="I549" s="9"/>
      <c r="J549" s="9"/>
      <c r="K549" s="9"/>
      <c r="L549" s="9"/>
    </row>
    <row r="550" spans="9:12" x14ac:dyDescent="0.2">
      <c r="I550" s="9"/>
      <c r="J550" s="9"/>
      <c r="K550" s="9"/>
      <c r="L550" s="9"/>
    </row>
    <row r="551" spans="9:12" x14ac:dyDescent="0.2">
      <c r="I551" s="9"/>
      <c r="J551" s="9"/>
      <c r="K551" s="9"/>
      <c r="L551" s="9"/>
    </row>
    <row r="552" spans="9:12" x14ac:dyDescent="0.2">
      <c r="I552" s="9"/>
      <c r="J552" s="9"/>
      <c r="K552" s="9"/>
      <c r="L552" s="9"/>
    </row>
    <row r="553" spans="9:12" x14ac:dyDescent="0.2">
      <c r="I553" s="9"/>
      <c r="J553" s="9"/>
      <c r="K553" s="9"/>
      <c r="L553" s="9"/>
    </row>
    <row r="554" spans="9:12" x14ac:dyDescent="0.2">
      <c r="I554" s="9"/>
      <c r="J554" s="9"/>
      <c r="K554" s="9"/>
      <c r="L554" s="9"/>
    </row>
    <row r="555" spans="9:12" x14ac:dyDescent="0.2">
      <c r="I555" s="9"/>
      <c r="J555" s="9"/>
      <c r="K555" s="9"/>
      <c r="L555" s="9"/>
    </row>
    <row r="556" spans="9:12" x14ac:dyDescent="0.2">
      <c r="I556" s="9"/>
      <c r="J556" s="9"/>
      <c r="K556" s="9"/>
      <c r="L556" s="9"/>
    </row>
    <row r="557" spans="9:12" x14ac:dyDescent="0.2">
      <c r="I557" s="9"/>
      <c r="J557" s="9"/>
      <c r="K557" s="9"/>
      <c r="L557" s="9"/>
    </row>
    <row r="558" spans="9:12" x14ac:dyDescent="0.2">
      <c r="I558" s="9"/>
      <c r="J558" s="9"/>
      <c r="K558" s="9"/>
      <c r="L558" s="9"/>
    </row>
    <row r="559" spans="9:12" x14ac:dyDescent="0.2">
      <c r="I559" s="9"/>
      <c r="J559" s="9"/>
      <c r="K559" s="9"/>
      <c r="L559" s="9"/>
    </row>
    <row r="560" spans="9:12" x14ac:dyDescent="0.2">
      <c r="I560" s="9"/>
      <c r="J560" s="9"/>
      <c r="K560" s="9"/>
      <c r="L560" s="9"/>
    </row>
    <row r="561" spans="9:12" x14ac:dyDescent="0.2">
      <c r="I561" s="9"/>
      <c r="J561" s="9"/>
      <c r="K561" s="9"/>
      <c r="L561" s="9"/>
    </row>
    <row r="562" spans="9:12" x14ac:dyDescent="0.2">
      <c r="I562" s="9"/>
      <c r="J562" s="9"/>
      <c r="K562" s="9"/>
      <c r="L562" s="9"/>
    </row>
    <row r="563" spans="9:12" x14ac:dyDescent="0.2">
      <c r="I563" s="9"/>
      <c r="J563" s="9"/>
      <c r="K563" s="9"/>
      <c r="L563" s="9"/>
    </row>
    <row r="564" spans="9:12" x14ac:dyDescent="0.2">
      <c r="I564" s="9"/>
      <c r="J564" s="9"/>
      <c r="K564" s="9"/>
      <c r="L564" s="9"/>
    </row>
    <row r="565" spans="9:12" x14ac:dyDescent="0.2">
      <c r="I565" s="9"/>
      <c r="J565" s="9"/>
      <c r="K565" s="9"/>
      <c r="L565" s="9"/>
    </row>
    <row r="566" spans="9:12" x14ac:dyDescent="0.2">
      <c r="I566" s="9"/>
      <c r="J566" s="9"/>
      <c r="K566" s="9"/>
      <c r="L566" s="9"/>
    </row>
    <row r="567" spans="9:12" x14ac:dyDescent="0.2">
      <c r="I567" s="9"/>
      <c r="J567" s="9"/>
      <c r="K567" s="9"/>
      <c r="L567" s="9"/>
    </row>
    <row r="568" spans="9:12" x14ac:dyDescent="0.2">
      <c r="I568" s="9"/>
      <c r="J568" s="9"/>
      <c r="K568" s="9"/>
      <c r="L568" s="9"/>
    </row>
    <row r="569" spans="9:12" x14ac:dyDescent="0.2">
      <c r="I569" s="9"/>
      <c r="J569" s="9"/>
      <c r="K569" s="9"/>
      <c r="L569" s="9"/>
    </row>
    <row r="570" spans="9:12" x14ac:dyDescent="0.2">
      <c r="I570" s="9"/>
      <c r="J570" s="9"/>
      <c r="K570" s="9"/>
      <c r="L570" s="9"/>
    </row>
    <row r="571" spans="9:12" x14ac:dyDescent="0.2">
      <c r="I571" s="9"/>
      <c r="J571" s="9"/>
      <c r="K571" s="9"/>
      <c r="L571" s="9"/>
    </row>
    <row r="572" spans="9:12" x14ac:dyDescent="0.2">
      <c r="I572" s="9"/>
      <c r="J572" s="9"/>
      <c r="K572" s="9"/>
      <c r="L572" s="9"/>
    </row>
    <row r="573" spans="9:12" x14ac:dyDescent="0.2">
      <c r="I573" s="9"/>
      <c r="J573" s="9"/>
      <c r="K573" s="9"/>
      <c r="L573" s="9"/>
    </row>
    <row r="574" spans="9:12" x14ac:dyDescent="0.2">
      <c r="I574" s="9"/>
      <c r="J574" s="9"/>
      <c r="K574" s="9"/>
      <c r="L574" s="9"/>
    </row>
    <row r="575" spans="9:12" x14ac:dyDescent="0.2">
      <c r="I575" s="9"/>
      <c r="J575" s="9"/>
      <c r="K575" s="9"/>
      <c r="L575" s="9"/>
    </row>
    <row r="576" spans="9:12" x14ac:dyDescent="0.2">
      <c r="I576" s="9"/>
      <c r="J576" s="9"/>
      <c r="K576" s="9"/>
      <c r="L576" s="9"/>
    </row>
    <row r="577" spans="9:12" x14ac:dyDescent="0.2">
      <c r="I577" s="9"/>
      <c r="J577" s="9"/>
      <c r="K577" s="9"/>
      <c r="L577" s="9"/>
    </row>
    <row r="578" spans="9:12" x14ac:dyDescent="0.2">
      <c r="I578" s="9"/>
      <c r="J578" s="9"/>
      <c r="K578" s="9"/>
      <c r="L578" s="9"/>
    </row>
    <row r="579" spans="9:12" x14ac:dyDescent="0.2">
      <c r="I579" s="9"/>
      <c r="J579" s="9"/>
      <c r="K579" s="9"/>
      <c r="L579" s="9"/>
    </row>
    <row r="580" spans="9:12" x14ac:dyDescent="0.2">
      <c r="I580" s="9"/>
      <c r="J580" s="9"/>
      <c r="K580" s="9"/>
      <c r="L580" s="9"/>
    </row>
    <row r="581" spans="9:12" x14ac:dyDescent="0.2">
      <c r="I581" s="9"/>
      <c r="J581" s="9"/>
      <c r="K581" s="9"/>
      <c r="L581" s="9"/>
    </row>
    <row r="582" spans="9:12" x14ac:dyDescent="0.2">
      <c r="I582" s="9"/>
      <c r="J582" s="9"/>
      <c r="K582" s="9"/>
      <c r="L582" s="9"/>
    </row>
    <row r="583" spans="9:12" x14ac:dyDescent="0.2">
      <c r="I583" s="9"/>
      <c r="J583" s="9"/>
      <c r="K583" s="9"/>
      <c r="L583" s="9"/>
    </row>
    <row r="584" spans="9:12" x14ac:dyDescent="0.2">
      <c r="I584" s="9"/>
      <c r="J584" s="9"/>
      <c r="K584" s="9"/>
      <c r="L584" s="9"/>
    </row>
    <row r="585" spans="9:12" x14ac:dyDescent="0.2">
      <c r="I585" s="9"/>
      <c r="J585" s="9"/>
      <c r="K585" s="9"/>
      <c r="L585" s="9"/>
    </row>
    <row r="586" spans="9:12" x14ac:dyDescent="0.2">
      <c r="I586" s="9"/>
      <c r="J586" s="9"/>
      <c r="K586" s="9"/>
      <c r="L586" s="9"/>
    </row>
    <row r="587" spans="9:12" x14ac:dyDescent="0.2">
      <c r="I587" s="9"/>
      <c r="J587" s="9"/>
      <c r="K587" s="9"/>
      <c r="L587" s="9"/>
    </row>
    <row r="588" spans="9:12" x14ac:dyDescent="0.2">
      <c r="I588" s="9"/>
      <c r="J588" s="9"/>
      <c r="K588" s="9"/>
      <c r="L588" s="9"/>
    </row>
    <row r="589" spans="9:12" x14ac:dyDescent="0.2">
      <c r="I589" s="9"/>
      <c r="J589" s="9"/>
      <c r="K589" s="9"/>
      <c r="L589" s="9"/>
    </row>
    <row r="590" spans="9:12" x14ac:dyDescent="0.2">
      <c r="I590" s="9"/>
      <c r="J590" s="9"/>
      <c r="K590" s="9"/>
      <c r="L590" s="9"/>
    </row>
    <row r="591" spans="9:12" x14ac:dyDescent="0.2">
      <c r="I591" s="9"/>
      <c r="J591" s="9"/>
      <c r="K591" s="9"/>
      <c r="L591" s="9"/>
    </row>
    <row r="592" spans="9:12" x14ac:dyDescent="0.2">
      <c r="I592" s="9"/>
      <c r="J592" s="9"/>
      <c r="K592" s="9"/>
      <c r="L592" s="9"/>
    </row>
    <row r="593" spans="9:12" x14ac:dyDescent="0.2">
      <c r="I593" s="9"/>
      <c r="J593" s="9"/>
      <c r="K593" s="9"/>
      <c r="L593" s="9"/>
    </row>
    <row r="594" spans="9:12" x14ac:dyDescent="0.2">
      <c r="I594" s="9"/>
      <c r="J594" s="9"/>
      <c r="K594" s="9"/>
      <c r="L594" s="9"/>
    </row>
    <row r="595" spans="9:12" x14ac:dyDescent="0.2">
      <c r="I595" s="9"/>
      <c r="J595" s="9"/>
      <c r="K595" s="9"/>
      <c r="L595" s="9"/>
    </row>
    <row r="596" spans="9:12" x14ac:dyDescent="0.2">
      <c r="I596" s="9"/>
      <c r="J596" s="9"/>
      <c r="K596" s="9"/>
      <c r="L596" s="9"/>
    </row>
    <row r="597" spans="9:12" x14ac:dyDescent="0.2">
      <c r="I597" s="9"/>
      <c r="J597" s="9"/>
      <c r="K597" s="9"/>
      <c r="L597" s="9"/>
    </row>
    <row r="598" spans="9:12" x14ac:dyDescent="0.2">
      <c r="I598" s="9"/>
      <c r="J598" s="9"/>
      <c r="K598" s="9"/>
      <c r="L598" s="9"/>
    </row>
    <row r="599" spans="9:12" x14ac:dyDescent="0.2">
      <c r="I599" s="9"/>
      <c r="J599" s="9"/>
      <c r="K599" s="9"/>
      <c r="L599" s="9"/>
    </row>
    <row r="600" spans="9:12" x14ac:dyDescent="0.2">
      <c r="I600" s="9"/>
      <c r="J600" s="9"/>
      <c r="K600" s="9"/>
      <c r="L600" s="9"/>
    </row>
    <row r="601" spans="9:12" x14ac:dyDescent="0.2">
      <c r="I601" s="9"/>
      <c r="J601" s="9"/>
      <c r="K601" s="9"/>
      <c r="L601" s="9"/>
    </row>
    <row r="602" spans="9:12" x14ac:dyDescent="0.2">
      <c r="I602" s="9"/>
      <c r="J602" s="9"/>
      <c r="K602" s="9"/>
      <c r="L602" s="9"/>
    </row>
    <row r="603" spans="9:12" x14ac:dyDescent="0.2">
      <c r="I603" s="9"/>
      <c r="J603" s="9"/>
      <c r="K603" s="9"/>
      <c r="L603" s="9"/>
    </row>
    <row r="604" spans="9:12" x14ac:dyDescent="0.2">
      <c r="I604" s="9"/>
      <c r="J604" s="9"/>
      <c r="K604" s="9"/>
      <c r="L604" s="9"/>
    </row>
    <row r="605" spans="9:12" x14ac:dyDescent="0.2">
      <c r="I605" s="9"/>
      <c r="J605" s="9"/>
      <c r="K605" s="9"/>
      <c r="L605" s="9"/>
    </row>
    <row r="606" spans="9:12" x14ac:dyDescent="0.2">
      <c r="I606" s="9"/>
      <c r="J606" s="9"/>
      <c r="K606" s="9"/>
      <c r="L606" s="9"/>
    </row>
    <row r="607" spans="9:12" x14ac:dyDescent="0.2">
      <c r="I607" s="9"/>
      <c r="J607" s="9"/>
      <c r="K607" s="9"/>
      <c r="L607" s="9"/>
    </row>
    <row r="608" spans="9:12" x14ac:dyDescent="0.2">
      <c r="I608" s="9"/>
      <c r="J608" s="9"/>
      <c r="K608" s="9"/>
      <c r="L608" s="9"/>
    </row>
    <row r="609" spans="9:12" x14ac:dyDescent="0.2">
      <c r="I609" s="9"/>
      <c r="J609" s="9"/>
      <c r="K609" s="9"/>
      <c r="L609" s="9"/>
    </row>
    <row r="610" spans="9:12" x14ac:dyDescent="0.2">
      <c r="I610" s="9"/>
      <c r="J610" s="9"/>
      <c r="K610" s="9"/>
      <c r="L610" s="9"/>
    </row>
    <row r="611" spans="9:12" x14ac:dyDescent="0.2">
      <c r="I611" s="9"/>
      <c r="J611" s="9"/>
      <c r="K611" s="9"/>
      <c r="L611" s="9"/>
    </row>
    <row r="612" spans="9:12" x14ac:dyDescent="0.2">
      <c r="I612" s="9"/>
      <c r="J612" s="9"/>
      <c r="K612" s="9"/>
      <c r="L612" s="9"/>
    </row>
    <row r="613" spans="9:12" x14ac:dyDescent="0.2">
      <c r="I613" s="9"/>
      <c r="J613" s="9"/>
      <c r="K613" s="9"/>
      <c r="L613" s="9"/>
    </row>
    <row r="614" spans="9:12" x14ac:dyDescent="0.2">
      <c r="I614" s="9"/>
      <c r="J614" s="9"/>
      <c r="K614" s="9"/>
      <c r="L614" s="9"/>
    </row>
    <row r="615" spans="9:12" x14ac:dyDescent="0.2">
      <c r="I615" s="9"/>
      <c r="J615" s="9"/>
      <c r="K615" s="9"/>
      <c r="L615" s="9"/>
    </row>
    <row r="616" spans="9:12" x14ac:dyDescent="0.2">
      <c r="I616" s="9"/>
      <c r="J616" s="9"/>
      <c r="K616" s="9"/>
      <c r="L616" s="9"/>
    </row>
    <row r="617" spans="9:12" x14ac:dyDescent="0.2">
      <c r="I617" s="9"/>
      <c r="J617" s="9"/>
      <c r="K617" s="9"/>
      <c r="L617" s="9"/>
    </row>
    <row r="618" spans="9:12" x14ac:dyDescent="0.2">
      <c r="I618" s="9"/>
      <c r="J618" s="9"/>
      <c r="K618" s="9"/>
      <c r="L618" s="9"/>
    </row>
    <row r="619" spans="9:12" x14ac:dyDescent="0.2">
      <c r="I619" s="9"/>
      <c r="J619" s="9"/>
      <c r="K619" s="9"/>
      <c r="L619" s="9"/>
    </row>
    <row r="620" spans="9:12" x14ac:dyDescent="0.2">
      <c r="I620" s="9"/>
      <c r="J620" s="9"/>
      <c r="K620" s="9"/>
      <c r="L620" s="9"/>
    </row>
    <row r="621" spans="9:12" x14ac:dyDescent="0.2">
      <c r="I621" s="9"/>
      <c r="J621" s="9"/>
      <c r="K621" s="9"/>
      <c r="L621" s="9"/>
    </row>
    <row r="622" spans="9:12" x14ac:dyDescent="0.2">
      <c r="I622" s="9"/>
      <c r="J622" s="9"/>
      <c r="K622" s="9"/>
      <c r="L622" s="9"/>
    </row>
    <row r="623" spans="9:12" x14ac:dyDescent="0.2">
      <c r="I623" s="9"/>
      <c r="J623" s="9"/>
      <c r="K623" s="9"/>
      <c r="L623" s="9"/>
    </row>
    <row r="624" spans="9:12" x14ac:dyDescent="0.2">
      <c r="I624" s="9"/>
      <c r="J624" s="9"/>
      <c r="K624" s="9"/>
      <c r="L624" s="9"/>
    </row>
    <row r="625" spans="9:12" x14ac:dyDescent="0.2">
      <c r="I625" s="9"/>
      <c r="J625" s="9"/>
      <c r="K625" s="9"/>
      <c r="L625" s="9"/>
    </row>
    <row r="626" spans="9:12" x14ac:dyDescent="0.2">
      <c r="I626" s="9"/>
      <c r="J626" s="9"/>
      <c r="K626" s="9"/>
      <c r="L626" s="9"/>
    </row>
    <row r="627" spans="9:12" x14ac:dyDescent="0.2">
      <c r="I627" s="9"/>
      <c r="J627" s="9"/>
      <c r="K627" s="9"/>
      <c r="L627" s="9"/>
    </row>
    <row r="628" spans="9:12" x14ac:dyDescent="0.2">
      <c r="I628" s="9"/>
      <c r="J628" s="9"/>
      <c r="K628" s="9"/>
      <c r="L628" s="9"/>
    </row>
    <row r="629" spans="9:12" x14ac:dyDescent="0.2">
      <c r="I629" s="9"/>
      <c r="J629" s="9"/>
      <c r="K629" s="9"/>
      <c r="L629" s="9"/>
    </row>
    <row r="630" spans="9:12" x14ac:dyDescent="0.2">
      <c r="I630" s="9"/>
      <c r="J630" s="9"/>
      <c r="K630" s="9"/>
      <c r="L630" s="9"/>
    </row>
    <row r="631" spans="9:12" x14ac:dyDescent="0.2">
      <c r="I631" s="9"/>
      <c r="J631" s="9"/>
      <c r="K631" s="9"/>
      <c r="L631" s="9"/>
    </row>
    <row r="632" spans="9:12" x14ac:dyDescent="0.2">
      <c r="I632" s="9"/>
      <c r="J632" s="9"/>
      <c r="K632" s="9"/>
      <c r="L632" s="9"/>
    </row>
    <row r="633" spans="9:12" x14ac:dyDescent="0.2">
      <c r="I633" s="9"/>
      <c r="J633" s="9"/>
      <c r="K633" s="9"/>
      <c r="L633" s="9"/>
    </row>
    <row r="634" spans="9:12" x14ac:dyDescent="0.2">
      <c r="I634" s="9"/>
      <c r="J634" s="9"/>
      <c r="K634" s="9"/>
      <c r="L634" s="9"/>
    </row>
    <row r="635" spans="9:12" x14ac:dyDescent="0.2">
      <c r="I635" s="9"/>
      <c r="J635" s="9"/>
      <c r="K635" s="9"/>
      <c r="L635" s="9"/>
    </row>
    <row r="636" spans="9:12" x14ac:dyDescent="0.2">
      <c r="I636" s="9"/>
      <c r="J636" s="9"/>
      <c r="K636" s="9"/>
      <c r="L636" s="9"/>
    </row>
    <row r="637" spans="9:12" x14ac:dyDescent="0.2">
      <c r="I637" s="9"/>
      <c r="J637" s="9"/>
      <c r="K637" s="9"/>
      <c r="L637" s="9"/>
    </row>
    <row r="638" spans="9:12" x14ac:dyDescent="0.2">
      <c r="I638" s="9"/>
      <c r="J638" s="9"/>
      <c r="K638" s="9"/>
      <c r="L638" s="9"/>
    </row>
    <row r="639" spans="9:12" x14ac:dyDescent="0.2">
      <c r="I639" s="9"/>
      <c r="J639" s="9"/>
      <c r="K639" s="9"/>
      <c r="L639" s="9"/>
    </row>
    <row r="640" spans="9:12" x14ac:dyDescent="0.2">
      <c r="I640" s="9"/>
      <c r="J640" s="9"/>
      <c r="K640" s="9"/>
      <c r="L640" s="9"/>
    </row>
    <row r="641" spans="9:12" x14ac:dyDescent="0.2">
      <c r="I641" s="9"/>
      <c r="J641" s="9"/>
      <c r="K641" s="9"/>
      <c r="L641" s="9"/>
    </row>
    <row r="642" spans="9:12" x14ac:dyDescent="0.2">
      <c r="I642" s="9"/>
      <c r="J642" s="9"/>
      <c r="K642" s="9"/>
      <c r="L642" s="9"/>
    </row>
    <row r="643" spans="9:12" x14ac:dyDescent="0.2">
      <c r="I643" s="9"/>
      <c r="J643" s="9"/>
      <c r="K643" s="9"/>
      <c r="L643" s="9"/>
    </row>
    <row r="644" spans="9:12" x14ac:dyDescent="0.2">
      <c r="I644" s="9"/>
      <c r="J644" s="9"/>
      <c r="K644" s="9"/>
      <c r="L644" s="9"/>
    </row>
    <row r="645" spans="9:12" x14ac:dyDescent="0.2">
      <c r="I645" s="9"/>
      <c r="J645" s="9"/>
      <c r="K645" s="9"/>
      <c r="L645" s="9"/>
    </row>
    <row r="646" spans="9:12" x14ac:dyDescent="0.2">
      <c r="I646" s="9"/>
      <c r="J646" s="9"/>
      <c r="K646" s="9"/>
      <c r="L646" s="9"/>
    </row>
    <row r="647" spans="9:12" x14ac:dyDescent="0.2">
      <c r="I647" s="9"/>
      <c r="J647" s="9"/>
      <c r="K647" s="9"/>
      <c r="L647" s="9"/>
    </row>
    <row r="648" spans="9:12" x14ac:dyDescent="0.2">
      <c r="I648" s="9"/>
      <c r="J648" s="9"/>
      <c r="K648" s="9"/>
      <c r="L648" s="9"/>
    </row>
    <row r="649" spans="9:12" x14ac:dyDescent="0.2">
      <c r="I649" s="9"/>
      <c r="J649" s="9"/>
      <c r="K649" s="9"/>
      <c r="L649" s="9"/>
    </row>
    <row r="650" spans="9:12" x14ac:dyDescent="0.2">
      <c r="I650" s="9"/>
      <c r="J650" s="9"/>
      <c r="K650" s="9"/>
      <c r="L650" s="9"/>
    </row>
    <row r="651" spans="9:12" x14ac:dyDescent="0.2">
      <c r="I651" s="9"/>
      <c r="J651" s="9"/>
      <c r="K651" s="9"/>
      <c r="L651" s="9"/>
    </row>
    <row r="652" spans="9:12" x14ac:dyDescent="0.2">
      <c r="I652" s="9"/>
      <c r="J652" s="9"/>
      <c r="K652" s="9"/>
      <c r="L652" s="9"/>
    </row>
    <row r="653" spans="9:12" x14ac:dyDescent="0.2">
      <c r="I653" s="9"/>
      <c r="J653" s="9"/>
      <c r="K653" s="9"/>
      <c r="L653" s="9"/>
    </row>
    <row r="654" spans="9:12" x14ac:dyDescent="0.2">
      <c r="I654" s="9"/>
      <c r="J654" s="9"/>
      <c r="K654" s="9"/>
      <c r="L654" s="9"/>
    </row>
    <row r="655" spans="9:12" x14ac:dyDescent="0.2">
      <c r="I655" s="9"/>
      <c r="J655" s="9"/>
      <c r="K655" s="9"/>
      <c r="L655" s="9"/>
    </row>
    <row r="656" spans="9:12" x14ac:dyDescent="0.2">
      <c r="I656" s="9"/>
      <c r="J656" s="9"/>
      <c r="K656" s="9"/>
      <c r="L656" s="9"/>
    </row>
    <row r="657" spans="9:12" x14ac:dyDescent="0.2">
      <c r="I657" s="9"/>
      <c r="J657" s="9"/>
      <c r="K657" s="9"/>
      <c r="L657" s="9"/>
    </row>
    <row r="658" spans="9:12" x14ac:dyDescent="0.2">
      <c r="I658" s="9"/>
      <c r="J658" s="9"/>
      <c r="K658" s="9"/>
      <c r="L658" s="9"/>
    </row>
    <row r="659" spans="9:12" x14ac:dyDescent="0.2">
      <c r="I659" s="9"/>
      <c r="J659" s="9"/>
      <c r="K659" s="9"/>
      <c r="L659" s="9"/>
    </row>
    <row r="660" spans="9:12" x14ac:dyDescent="0.2">
      <c r="I660" s="9"/>
      <c r="J660" s="9"/>
      <c r="K660" s="9"/>
      <c r="L660" s="9"/>
    </row>
    <row r="661" spans="9:12" x14ac:dyDescent="0.2">
      <c r="I661" s="9"/>
      <c r="J661" s="9"/>
      <c r="K661" s="9"/>
      <c r="L661" s="9"/>
    </row>
    <row r="662" spans="9:12" x14ac:dyDescent="0.2">
      <c r="I662" s="9"/>
      <c r="J662" s="9"/>
      <c r="K662" s="9"/>
      <c r="L662" s="9"/>
    </row>
    <row r="663" spans="9:12" x14ac:dyDescent="0.2">
      <c r="I663" s="9"/>
      <c r="J663" s="9"/>
      <c r="K663" s="9"/>
      <c r="L663" s="9"/>
    </row>
    <row r="664" spans="9:12" x14ac:dyDescent="0.2">
      <c r="I664" s="9"/>
      <c r="J664" s="9"/>
      <c r="K664" s="9"/>
      <c r="L664" s="9"/>
    </row>
    <row r="665" spans="9:12" x14ac:dyDescent="0.2">
      <c r="I665" s="9"/>
      <c r="J665" s="9"/>
      <c r="K665" s="9"/>
      <c r="L665" s="9"/>
    </row>
    <row r="666" spans="9:12" x14ac:dyDescent="0.2">
      <c r="I666" s="9"/>
      <c r="J666" s="9"/>
      <c r="K666" s="9"/>
      <c r="L666" s="9"/>
    </row>
    <row r="667" spans="9:12" x14ac:dyDescent="0.2">
      <c r="I667" s="9"/>
      <c r="J667" s="9"/>
      <c r="K667" s="9"/>
      <c r="L667" s="9"/>
    </row>
    <row r="668" spans="9:12" x14ac:dyDescent="0.2">
      <c r="I668" s="9"/>
      <c r="J668" s="9"/>
      <c r="K668" s="9"/>
      <c r="L668" s="9"/>
    </row>
    <row r="669" spans="9:12" x14ac:dyDescent="0.2">
      <c r="I669" s="9"/>
      <c r="J669" s="9"/>
      <c r="K669" s="9"/>
      <c r="L669" s="9"/>
    </row>
    <row r="670" spans="9:12" x14ac:dyDescent="0.2">
      <c r="I670" s="9"/>
      <c r="J670" s="9"/>
      <c r="K670" s="9"/>
      <c r="L670" s="9"/>
    </row>
    <row r="671" spans="9:12" x14ac:dyDescent="0.2">
      <c r="I671" s="9"/>
      <c r="J671" s="9"/>
      <c r="K671" s="9"/>
      <c r="L671" s="9"/>
    </row>
    <row r="672" spans="9:12" x14ac:dyDescent="0.2">
      <c r="I672" s="9"/>
      <c r="J672" s="9"/>
      <c r="K672" s="9"/>
      <c r="L672" s="9"/>
    </row>
    <row r="673" spans="9:12" x14ac:dyDescent="0.2">
      <c r="I673" s="9"/>
      <c r="J673" s="9"/>
      <c r="K673" s="9"/>
      <c r="L673" s="9"/>
    </row>
    <row r="674" spans="9:12" x14ac:dyDescent="0.2">
      <c r="I674" s="9"/>
      <c r="J674" s="9"/>
      <c r="K674" s="9"/>
      <c r="L674" s="9"/>
    </row>
    <row r="675" spans="9:12" x14ac:dyDescent="0.2">
      <c r="I675" s="9"/>
      <c r="J675" s="9"/>
      <c r="K675" s="9"/>
      <c r="L675" s="9"/>
    </row>
    <row r="676" spans="9:12" x14ac:dyDescent="0.2">
      <c r="I676" s="9"/>
      <c r="J676" s="9"/>
      <c r="K676" s="9"/>
      <c r="L676" s="9"/>
    </row>
    <row r="677" spans="9:12" x14ac:dyDescent="0.2">
      <c r="I677" s="9"/>
      <c r="J677" s="9"/>
      <c r="K677" s="9"/>
      <c r="L677" s="9"/>
    </row>
    <row r="678" spans="9:12" x14ac:dyDescent="0.2">
      <c r="I678" s="9"/>
      <c r="J678" s="9"/>
      <c r="K678" s="9"/>
      <c r="L678" s="9"/>
    </row>
    <row r="679" spans="9:12" x14ac:dyDescent="0.2">
      <c r="I679" s="9"/>
      <c r="J679" s="9"/>
      <c r="K679" s="9"/>
      <c r="L679" s="9"/>
    </row>
    <row r="680" spans="9:12" x14ac:dyDescent="0.2">
      <c r="I680" s="9"/>
      <c r="J680" s="9"/>
      <c r="K680" s="9"/>
      <c r="L680" s="9"/>
    </row>
    <row r="681" spans="9:12" x14ac:dyDescent="0.2">
      <c r="I681" s="9"/>
      <c r="J681" s="9"/>
      <c r="K681" s="9"/>
      <c r="L681" s="9"/>
    </row>
    <row r="682" spans="9:12" x14ac:dyDescent="0.2">
      <c r="I682" s="9"/>
      <c r="J682" s="9"/>
      <c r="K682" s="9"/>
      <c r="L682" s="9"/>
    </row>
    <row r="683" spans="9:12" x14ac:dyDescent="0.2">
      <c r="I683" s="9"/>
      <c r="J683" s="9"/>
      <c r="K683" s="9"/>
      <c r="L683" s="9"/>
    </row>
    <row r="684" spans="9:12" x14ac:dyDescent="0.2">
      <c r="I684" s="9"/>
      <c r="J684" s="9"/>
      <c r="K684" s="9"/>
      <c r="L684" s="9"/>
    </row>
    <row r="685" spans="9:12" x14ac:dyDescent="0.2">
      <c r="I685" s="9"/>
      <c r="J685" s="9"/>
      <c r="K685" s="9"/>
      <c r="L685" s="9"/>
    </row>
    <row r="686" spans="9:12" x14ac:dyDescent="0.2">
      <c r="I686" s="9"/>
      <c r="J686" s="9"/>
      <c r="K686" s="9"/>
      <c r="L686" s="9"/>
    </row>
    <row r="687" spans="9:12" x14ac:dyDescent="0.2">
      <c r="I687" s="9"/>
      <c r="J687" s="9"/>
      <c r="K687" s="9"/>
      <c r="L687" s="9"/>
    </row>
    <row r="688" spans="9:12" x14ac:dyDescent="0.2">
      <c r="I688" s="9"/>
      <c r="J688" s="9"/>
      <c r="K688" s="9"/>
      <c r="L688" s="9"/>
    </row>
    <row r="689" spans="9:12" x14ac:dyDescent="0.2">
      <c r="I689" s="9"/>
      <c r="J689" s="9"/>
      <c r="K689" s="9"/>
      <c r="L689" s="9"/>
    </row>
    <row r="690" spans="9:12" x14ac:dyDescent="0.2">
      <c r="I690" s="9"/>
      <c r="J690" s="9"/>
      <c r="K690" s="9"/>
      <c r="L690" s="9"/>
    </row>
    <row r="691" spans="9:12" x14ac:dyDescent="0.2">
      <c r="I691" s="9"/>
      <c r="J691" s="9"/>
      <c r="K691" s="9"/>
      <c r="L691" s="9"/>
    </row>
    <row r="692" spans="9:12" x14ac:dyDescent="0.2">
      <c r="I692" s="9"/>
      <c r="J692" s="9"/>
      <c r="K692" s="9"/>
      <c r="L692" s="9"/>
    </row>
    <row r="693" spans="9:12" x14ac:dyDescent="0.2">
      <c r="I693" s="9"/>
      <c r="J693" s="9"/>
      <c r="K693" s="9"/>
      <c r="L693" s="9"/>
    </row>
    <row r="694" spans="9:12" x14ac:dyDescent="0.2">
      <c r="I694" s="9"/>
      <c r="J694" s="9"/>
      <c r="K694" s="9"/>
      <c r="L694" s="9"/>
    </row>
    <row r="695" spans="9:12" x14ac:dyDescent="0.2">
      <c r="I695" s="9"/>
      <c r="J695" s="9"/>
      <c r="K695" s="9"/>
      <c r="L695" s="9"/>
    </row>
    <row r="696" spans="9:12" x14ac:dyDescent="0.2">
      <c r="I696" s="9"/>
      <c r="J696" s="9"/>
      <c r="K696" s="9"/>
      <c r="L696" s="9"/>
    </row>
    <row r="697" spans="9:12" x14ac:dyDescent="0.2">
      <c r="I697" s="9"/>
      <c r="J697" s="9"/>
      <c r="K697" s="9"/>
      <c r="L697" s="9"/>
    </row>
    <row r="698" spans="9:12" x14ac:dyDescent="0.2">
      <c r="I698" s="9"/>
      <c r="J698" s="9"/>
      <c r="K698" s="9"/>
      <c r="L698" s="9"/>
    </row>
    <row r="699" spans="9:12" x14ac:dyDescent="0.2">
      <c r="I699" s="9"/>
      <c r="J699" s="9"/>
      <c r="K699" s="9"/>
      <c r="L699" s="9"/>
    </row>
    <row r="700" spans="9:12" x14ac:dyDescent="0.2">
      <c r="I700" s="9"/>
      <c r="J700" s="9"/>
      <c r="K700" s="9"/>
      <c r="L700" s="9"/>
    </row>
    <row r="701" spans="9:12" x14ac:dyDescent="0.2">
      <c r="I701" s="9"/>
      <c r="J701" s="9"/>
      <c r="K701" s="9"/>
      <c r="L701" s="9"/>
    </row>
    <row r="702" spans="9:12" x14ac:dyDescent="0.2">
      <c r="I702" s="9"/>
      <c r="J702" s="9"/>
      <c r="K702" s="9"/>
      <c r="L702" s="9"/>
    </row>
    <row r="703" spans="9:12" x14ac:dyDescent="0.2">
      <c r="I703" s="9"/>
      <c r="J703" s="9"/>
      <c r="K703" s="9"/>
      <c r="L703" s="9"/>
    </row>
    <row r="704" spans="9:12" x14ac:dyDescent="0.2">
      <c r="I704" s="9"/>
      <c r="J704" s="9"/>
      <c r="K704" s="9"/>
      <c r="L704" s="9"/>
    </row>
    <row r="705" spans="9:12" x14ac:dyDescent="0.2">
      <c r="I705" s="9"/>
      <c r="J705" s="9"/>
      <c r="K705" s="9"/>
      <c r="L705" s="9"/>
    </row>
    <row r="706" spans="9:12" x14ac:dyDescent="0.2">
      <c r="I706" s="9"/>
      <c r="J706" s="9"/>
      <c r="K706" s="9"/>
      <c r="L706" s="9"/>
    </row>
    <row r="707" spans="9:12" x14ac:dyDescent="0.2">
      <c r="I707" s="9"/>
      <c r="J707" s="9"/>
      <c r="K707" s="9"/>
      <c r="L707" s="9"/>
    </row>
    <row r="708" spans="9:12" x14ac:dyDescent="0.2">
      <c r="I708" s="9"/>
      <c r="J708" s="9"/>
      <c r="K708" s="9"/>
      <c r="L708" s="9"/>
    </row>
    <row r="709" spans="9:12" x14ac:dyDescent="0.2">
      <c r="I709" s="9"/>
      <c r="J709" s="9"/>
      <c r="K709" s="9"/>
      <c r="L709" s="9"/>
    </row>
    <row r="710" spans="9:12" x14ac:dyDescent="0.2">
      <c r="I710" s="9"/>
      <c r="J710" s="9"/>
      <c r="K710" s="9"/>
      <c r="L710" s="9"/>
    </row>
    <row r="711" spans="9:12" x14ac:dyDescent="0.2">
      <c r="I711" s="9"/>
      <c r="J711" s="9"/>
      <c r="K711" s="9"/>
      <c r="L711" s="9"/>
    </row>
    <row r="712" spans="9:12" x14ac:dyDescent="0.2">
      <c r="I712" s="9"/>
      <c r="J712" s="9"/>
      <c r="K712" s="9"/>
      <c r="L712" s="9"/>
    </row>
    <row r="713" spans="9:12" x14ac:dyDescent="0.2">
      <c r="I713" s="9"/>
      <c r="J713" s="9"/>
      <c r="K713" s="9"/>
      <c r="L713" s="9"/>
    </row>
    <row r="714" spans="9:12" x14ac:dyDescent="0.2">
      <c r="I714" s="9"/>
      <c r="J714" s="9"/>
      <c r="K714" s="9"/>
      <c r="L714" s="9"/>
    </row>
    <row r="715" spans="9:12" x14ac:dyDescent="0.2">
      <c r="I715" s="9"/>
      <c r="J715" s="9"/>
      <c r="K715" s="9"/>
      <c r="L715" s="9"/>
    </row>
    <row r="716" spans="9:12" x14ac:dyDescent="0.2">
      <c r="I716" s="9"/>
      <c r="J716" s="9"/>
      <c r="K716" s="9"/>
      <c r="L716" s="9"/>
    </row>
    <row r="717" spans="9:12" x14ac:dyDescent="0.2">
      <c r="I717" s="9"/>
      <c r="J717" s="9"/>
      <c r="K717" s="9"/>
      <c r="L717" s="9"/>
    </row>
    <row r="718" spans="9:12" x14ac:dyDescent="0.2">
      <c r="I718" s="9"/>
      <c r="J718" s="9"/>
      <c r="K718" s="9"/>
      <c r="L718" s="9"/>
    </row>
    <row r="719" spans="9:12" x14ac:dyDescent="0.2">
      <c r="I719" s="9"/>
      <c r="J719" s="9"/>
      <c r="K719" s="9"/>
      <c r="L719" s="9"/>
    </row>
    <row r="720" spans="9:12" x14ac:dyDescent="0.2">
      <c r="I720" s="9"/>
      <c r="J720" s="9"/>
      <c r="K720" s="9"/>
      <c r="L720" s="9"/>
    </row>
    <row r="721" spans="9:12" x14ac:dyDescent="0.2">
      <c r="I721" s="9"/>
      <c r="J721" s="9"/>
      <c r="K721" s="9"/>
      <c r="L721" s="9"/>
    </row>
    <row r="722" spans="9:12" x14ac:dyDescent="0.2">
      <c r="I722" s="9"/>
      <c r="J722" s="9"/>
      <c r="K722" s="9"/>
      <c r="L722" s="9"/>
    </row>
    <row r="723" spans="9:12" x14ac:dyDescent="0.2">
      <c r="I723" s="9"/>
      <c r="J723" s="9"/>
      <c r="K723" s="9"/>
      <c r="L723" s="9"/>
    </row>
    <row r="724" spans="9:12" x14ac:dyDescent="0.2">
      <c r="I724" s="9"/>
      <c r="J724" s="9"/>
      <c r="K724" s="9"/>
      <c r="L724" s="9"/>
    </row>
    <row r="725" spans="9:12" x14ac:dyDescent="0.2">
      <c r="I725" s="9"/>
      <c r="J725" s="9"/>
      <c r="K725" s="9"/>
      <c r="L725" s="9"/>
    </row>
    <row r="726" spans="9:12" x14ac:dyDescent="0.2">
      <c r="I726" s="9"/>
      <c r="J726" s="9"/>
      <c r="K726" s="9"/>
      <c r="L726" s="9"/>
    </row>
    <row r="727" spans="9:12" x14ac:dyDescent="0.2">
      <c r="I727" s="9"/>
      <c r="J727" s="9"/>
      <c r="K727" s="9"/>
      <c r="L727" s="9"/>
    </row>
    <row r="728" spans="9:12" x14ac:dyDescent="0.2">
      <c r="I728" s="9"/>
      <c r="J728" s="9"/>
      <c r="K728" s="9"/>
      <c r="L728" s="9"/>
    </row>
    <row r="729" spans="9:12" x14ac:dyDescent="0.2">
      <c r="I729" s="9"/>
      <c r="J729" s="9"/>
      <c r="K729" s="9"/>
      <c r="L729" s="9"/>
    </row>
    <row r="730" spans="9:12" x14ac:dyDescent="0.2">
      <c r="I730" s="9"/>
      <c r="J730" s="9"/>
      <c r="K730" s="9"/>
      <c r="L730" s="9"/>
    </row>
    <row r="731" spans="9:12" x14ac:dyDescent="0.2">
      <c r="I731" s="9"/>
      <c r="J731" s="9"/>
      <c r="K731" s="9"/>
      <c r="L731" s="9"/>
    </row>
    <row r="732" spans="9:12" x14ac:dyDescent="0.2">
      <c r="I732" s="9"/>
      <c r="J732" s="9"/>
      <c r="K732" s="9"/>
      <c r="L732" s="9"/>
    </row>
    <row r="733" spans="9:12" x14ac:dyDescent="0.2">
      <c r="I733" s="9"/>
      <c r="J733" s="9"/>
      <c r="K733" s="9"/>
      <c r="L733" s="9"/>
    </row>
    <row r="734" spans="9:12" x14ac:dyDescent="0.2">
      <c r="I734" s="9"/>
      <c r="J734" s="9"/>
      <c r="K734" s="9"/>
      <c r="L734" s="9"/>
    </row>
    <row r="735" spans="9:12" x14ac:dyDescent="0.2">
      <c r="I735" s="9"/>
      <c r="J735" s="9"/>
      <c r="K735" s="9"/>
      <c r="L735" s="9"/>
    </row>
    <row r="736" spans="9:12" x14ac:dyDescent="0.2">
      <c r="I736" s="9"/>
      <c r="J736" s="9"/>
      <c r="K736" s="9"/>
      <c r="L736" s="9"/>
    </row>
    <row r="737" spans="9:12" x14ac:dyDescent="0.2">
      <c r="I737" s="9"/>
      <c r="J737" s="9"/>
      <c r="K737" s="9"/>
      <c r="L737" s="9"/>
    </row>
    <row r="738" spans="9:12" x14ac:dyDescent="0.2">
      <c r="I738" s="9"/>
      <c r="J738" s="9"/>
      <c r="K738" s="9"/>
      <c r="L738" s="9"/>
    </row>
    <row r="739" spans="9:12" x14ac:dyDescent="0.2">
      <c r="I739" s="9"/>
      <c r="J739" s="9"/>
      <c r="K739" s="9"/>
      <c r="L739" s="9"/>
    </row>
    <row r="740" spans="9:12" x14ac:dyDescent="0.2">
      <c r="I740" s="9"/>
      <c r="J740" s="9"/>
      <c r="K740" s="9"/>
      <c r="L740" s="9"/>
    </row>
    <row r="741" spans="9:12" x14ac:dyDescent="0.2">
      <c r="I741" s="9"/>
      <c r="J741" s="9"/>
      <c r="K741" s="9"/>
      <c r="L741" s="9"/>
    </row>
    <row r="742" spans="9:12" x14ac:dyDescent="0.2">
      <c r="I742" s="9"/>
      <c r="J742" s="9"/>
      <c r="K742" s="9"/>
      <c r="L742" s="9"/>
    </row>
    <row r="743" spans="9:12" x14ac:dyDescent="0.2">
      <c r="I743" s="9"/>
      <c r="J743" s="9"/>
      <c r="K743" s="9"/>
      <c r="L743" s="9"/>
    </row>
    <row r="744" spans="9:12" x14ac:dyDescent="0.2">
      <c r="I744" s="9"/>
      <c r="J744" s="9"/>
      <c r="K744" s="9"/>
      <c r="L744" s="9"/>
    </row>
    <row r="745" spans="9:12" x14ac:dyDescent="0.2">
      <c r="I745" s="9"/>
      <c r="J745" s="9"/>
      <c r="K745" s="9"/>
      <c r="L745" s="9"/>
    </row>
    <row r="746" spans="9:12" x14ac:dyDescent="0.2">
      <c r="I746" s="9"/>
      <c r="J746" s="9"/>
      <c r="K746" s="9"/>
      <c r="L746" s="9"/>
    </row>
    <row r="747" spans="9:12" x14ac:dyDescent="0.2">
      <c r="I747" s="9"/>
      <c r="J747" s="9"/>
      <c r="K747" s="9"/>
      <c r="L747" s="9"/>
    </row>
    <row r="748" spans="9:12" x14ac:dyDescent="0.2">
      <c r="I748" s="9"/>
      <c r="J748" s="9"/>
      <c r="K748" s="9"/>
      <c r="L748" s="9"/>
    </row>
    <row r="749" spans="9:12" x14ac:dyDescent="0.2">
      <c r="I749" s="9"/>
      <c r="J749" s="9"/>
      <c r="K749" s="9"/>
      <c r="L749" s="9"/>
    </row>
    <row r="750" spans="9:12" x14ac:dyDescent="0.2">
      <c r="I750" s="9"/>
      <c r="J750" s="9"/>
      <c r="K750" s="9"/>
      <c r="L750" s="9"/>
    </row>
    <row r="751" spans="9:12" x14ac:dyDescent="0.2">
      <c r="I751" s="9"/>
      <c r="J751" s="9"/>
      <c r="K751" s="9"/>
      <c r="L751" s="9"/>
    </row>
    <row r="752" spans="9:12" x14ac:dyDescent="0.2">
      <c r="I752" s="9"/>
      <c r="J752" s="9"/>
      <c r="K752" s="9"/>
      <c r="L752" s="9"/>
    </row>
    <row r="753" spans="9:12" x14ac:dyDescent="0.2">
      <c r="I753" s="9"/>
      <c r="J753" s="9"/>
      <c r="K753" s="9"/>
      <c r="L753" s="9"/>
    </row>
    <row r="754" spans="9:12" x14ac:dyDescent="0.2">
      <c r="I754" s="9"/>
      <c r="J754" s="9"/>
      <c r="K754" s="9"/>
      <c r="L754" s="9"/>
    </row>
    <row r="755" spans="9:12" x14ac:dyDescent="0.2">
      <c r="I755" s="9"/>
      <c r="J755" s="9"/>
      <c r="K755" s="9"/>
      <c r="L755" s="9"/>
    </row>
    <row r="756" spans="9:12" x14ac:dyDescent="0.2">
      <c r="I756" s="9"/>
      <c r="J756" s="9"/>
      <c r="K756" s="9"/>
      <c r="L756" s="9"/>
    </row>
    <row r="757" spans="9:12" x14ac:dyDescent="0.2">
      <c r="I757" s="9"/>
      <c r="J757" s="9"/>
      <c r="K757" s="9"/>
      <c r="L757" s="9"/>
    </row>
    <row r="758" spans="9:12" x14ac:dyDescent="0.2">
      <c r="I758" s="9"/>
      <c r="J758" s="9"/>
      <c r="K758" s="9"/>
      <c r="L758" s="9"/>
    </row>
    <row r="759" spans="9:12" x14ac:dyDescent="0.2">
      <c r="I759" s="9"/>
      <c r="J759" s="9"/>
      <c r="K759" s="9"/>
      <c r="L759" s="9"/>
    </row>
    <row r="760" spans="9:12" x14ac:dyDescent="0.2">
      <c r="I760" s="9"/>
      <c r="J760" s="9"/>
      <c r="K760" s="9"/>
      <c r="L760" s="9"/>
    </row>
    <row r="761" spans="9:12" x14ac:dyDescent="0.2">
      <c r="I761" s="9"/>
      <c r="J761" s="9"/>
      <c r="K761" s="9"/>
      <c r="L761" s="9"/>
    </row>
    <row r="762" spans="9:12" x14ac:dyDescent="0.2">
      <c r="I762" s="9"/>
      <c r="J762" s="9"/>
      <c r="K762" s="9"/>
      <c r="L762" s="9"/>
    </row>
    <row r="763" spans="9:12" x14ac:dyDescent="0.2">
      <c r="I763" s="9"/>
      <c r="J763" s="9"/>
      <c r="K763" s="9"/>
      <c r="L763" s="9"/>
    </row>
    <row r="764" spans="9:12" x14ac:dyDescent="0.2">
      <c r="I764" s="9"/>
      <c r="J764" s="9"/>
      <c r="K764" s="9"/>
      <c r="L764" s="9"/>
    </row>
    <row r="765" spans="9:12" x14ac:dyDescent="0.2">
      <c r="I765" s="9"/>
      <c r="J765" s="9"/>
      <c r="K765" s="9"/>
      <c r="L765" s="9"/>
    </row>
    <row r="766" spans="9:12" x14ac:dyDescent="0.2">
      <c r="I766" s="9"/>
      <c r="J766" s="9"/>
      <c r="K766" s="9"/>
      <c r="L766" s="9"/>
    </row>
    <row r="767" spans="9:12" x14ac:dyDescent="0.2">
      <c r="I767" s="9"/>
      <c r="J767" s="9"/>
      <c r="K767" s="9"/>
      <c r="L767" s="9"/>
    </row>
    <row r="768" spans="9:12" x14ac:dyDescent="0.2">
      <c r="I768" s="9"/>
      <c r="J768" s="9"/>
      <c r="K768" s="9"/>
      <c r="L768" s="9"/>
    </row>
    <row r="769" spans="9:12" x14ac:dyDescent="0.2">
      <c r="I769" s="9"/>
      <c r="J769" s="9"/>
      <c r="K769" s="9"/>
      <c r="L769" s="9"/>
    </row>
    <row r="770" spans="9:12" x14ac:dyDescent="0.2">
      <c r="I770" s="9"/>
      <c r="J770" s="9"/>
      <c r="K770" s="9"/>
      <c r="L770" s="9"/>
    </row>
    <row r="771" spans="9:12" x14ac:dyDescent="0.2">
      <c r="I771" s="9"/>
      <c r="J771" s="9"/>
      <c r="K771" s="9"/>
      <c r="L771" s="9"/>
    </row>
    <row r="772" spans="9:12" x14ac:dyDescent="0.2">
      <c r="I772" s="9"/>
      <c r="J772" s="9"/>
      <c r="K772" s="9"/>
      <c r="L772" s="9"/>
    </row>
    <row r="773" spans="9:12" x14ac:dyDescent="0.2">
      <c r="I773" s="9"/>
      <c r="J773" s="9"/>
      <c r="K773" s="9"/>
      <c r="L773" s="9"/>
    </row>
    <row r="774" spans="9:12" x14ac:dyDescent="0.2">
      <c r="I774" s="9"/>
      <c r="J774" s="9"/>
      <c r="K774" s="9"/>
      <c r="L774" s="9"/>
    </row>
    <row r="775" spans="9:12" x14ac:dyDescent="0.2">
      <c r="I775" s="9"/>
      <c r="J775" s="9"/>
      <c r="K775" s="9"/>
      <c r="L775" s="9"/>
    </row>
    <row r="776" spans="9:12" x14ac:dyDescent="0.2">
      <c r="I776" s="9"/>
      <c r="J776" s="9"/>
      <c r="K776" s="9"/>
      <c r="L776" s="9"/>
    </row>
    <row r="777" spans="9:12" x14ac:dyDescent="0.2">
      <c r="I777" s="9"/>
      <c r="J777" s="9"/>
      <c r="K777" s="9"/>
      <c r="L777" s="9"/>
    </row>
    <row r="778" spans="9:12" x14ac:dyDescent="0.2">
      <c r="I778" s="9"/>
      <c r="J778" s="9"/>
      <c r="K778" s="9"/>
      <c r="L778" s="9"/>
    </row>
    <row r="779" spans="9:12" x14ac:dyDescent="0.2">
      <c r="I779" s="9"/>
      <c r="J779" s="9"/>
      <c r="K779" s="9"/>
      <c r="L779" s="9"/>
    </row>
    <row r="780" spans="9:12" x14ac:dyDescent="0.2">
      <c r="I780" s="9"/>
      <c r="J780" s="9"/>
      <c r="K780" s="9"/>
      <c r="L780" s="9"/>
    </row>
    <row r="781" spans="9:12" x14ac:dyDescent="0.2">
      <c r="I781" s="9"/>
      <c r="J781" s="9"/>
      <c r="K781" s="9"/>
      <c r="L781" s="9"/>
    </row>
    <row r="782" spans="9:12" x14ac:dyDescent="0.2">
      <c r="I782" s="9"/>
      <c r="J782" s="9"/>
      <c r="K782" s="9"/>
      <c r="L782" s="9"/>
    </row>
    <row r="783" spans="9:12" x14ac:dyDescent="0.2">
      <c r="I783" s="9"/>
      <c r="J783" s="9"/>
      <c r="K783" s="9"/>
      <c r="L783" s="9"/>
    </row>
    <row r="784" spans="9:12" x14ac:dyDescent="0.2">
      <c r="I784" s="9"/>
      <c r="J784" s="9"/>
      <c r="K784" s="9"/>
      <c r="L784" s="9"/>
    </row>
    <row r="785" spans="9:12" x14ac:dyDescent="0.2">
      <c r="I785" s="9"/>
      <c r="J785" s="9"/>
      <c r="K785" s="9"/>
      <c r="L785" s="9"/>
    </row>
    <row r="786" spans="9:12" x14ac:dyDescent="0.2">
      <c r="I786" s="9"/>
      <c r="J786" s="9"/>
      <c r="K786" s="9"/>
      <c r="L786" s="9"/>
    </row>
    <row r="787" spans="9:12" x14ac:dyDescent="0.2">
      <c r="I787" s="9"/>
      <c r="J787" s="9"/>
      <c r="K787" s="9"/>
      <c r="L787" s="9"/>
    </row>
    <row r="788" spans="9:12" x14ac:dyDescent="0.2">
      <c r="I788" s="9"/>
      <c r="J788" s="9"/>
      <c r="K788" s="9"/>
      <c r="L788" s="9"/>
    </row>
    <row r="789" spans="9:12" x14ac:dyDescent="0.2">
      <c r="I789" s="9"/>
      <c r="J789" s="9"/>
      <c r="K789" s="9"/>
      <c r="L789" s="9"/>
    </row>
    <row r="790" spans="9:12" x14ac:dyDescent="0.2">
      <c r="I790" s="9"/>
      <c r="J790" s="9"/>
      <c r="K790" s="9"/>
      <c r="L790" s="9"/>
    </row>
    <row r="791" spans="9:12" x14ac:dyDescent="0.2">
      <c r="I791" s="9"/>
      <c r="J791" s="9"/>
      <c r="K791" s="9"/>
      <c r="L791" s="9"/>
    </row>
    <row r="792" spans="9:12" x14ac:dyDescent="0.2">
      <c r="I792" s="9"/>
      <c r="J792" s="9"/>
      <c r="K792" s="9"/>
      <c r="L792" s="9"/>
    </row>
    <row r="793" spans="9:12" x14ac:dyDescent="0.2">
      <c r="I793" s="9"/>
      <c r="J793" s="9"/>
      <c r="K793" s="9"/>
      <c r="L793" s="9"/>
    </row>
    <row r="794" spans="9:12" x14ac:dyDescent="0.2">
      <c r="I794" s="9"/>
      <c r="J794" s="9"/>
      <c r="K794" s="9"/>
      <c r="L794" s="9"/>
    </row>
    <row r="795" spans="9:12" x14ac:dyDescent="0.2">
      <c r="I795" s="9"/>
      <c r="J795" s="9"/>
      <c r="K795" s="9"/>
      <c r="L795" s="9"/>
    </row>
    <row r="796" spans="9:12" x14ac:dyDescent="0.2">
      <c r="I796" s="9"/>
      <c r="J796" s="9"/>
      <c r="K796" s="9"/>
      <c r="L796" s="9"/>
    </row>
    <row r="797" spans="9:12" x14ac:dyDescent="0.2">
      <c r="I797" s="9"/>
      <c r="J797" s="9"/>
      <c r="K797" s="9"/>
      <c r="L797" s="9"/>
    </row>
    <row r="798" spans="9:12" x14ac:dyDescent="0.2">
      <c r="I798" s="9"/>
      <c r="J798" s="9"/>
      <c r="K798" s="9"/>
      <c r="L798" s="9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8BFF5-1367-7548-9747-747F7C4BE18B}">
  <dimension ref="A1:Y798"/>
  <sheetViews>
    <sheetView tabSelected="1" topLeftCell="E1" zoomScale="70" zoomScaleNormal="70" workbookViewId="0">
      <selection activeCell="P2" sqref="P2:P322"/>
    </sheetView>
  </sheetViews>
  <sheetFormatPr baseColWidth="10" defaultColWidth="13.5" defaultRowHeight="15" x14ac:dyDescent="0.2"/>
  <cols>
    <col min="1" max="2" width="13.5" style="8"/>
    <col min="3" max="3" width="15.83203125" style="8" customWidth="1"/>
    <col min="4" max="4" width="36.6640625" customWidth="1"/>
    <col min="5" max="6" width="36.5" customWidth="1"/>
    <col min="7" max="7" width="36" customWidth="1"/>
    <col min="8" max="8" width="5.33203125" style="8" customWidth="1"/>
    <col min="9" max="10" width="10" style="8" customWidth="1"/>
    <col min="11" max="11" width="15.83203125" style="8" customWidth="1"/>
    <col min="12" max="12" width="20.6640625" style="8" customWidth="1"/>
    <col min="13" max="13" width="14.6640625" style="8" customWidth="1"/>
    <col min="14" max="14" width="13.5" style="8"/>
    <col min="15" max="15" width="11" style="8" customWidth="1"/>
    <col min="16" max="16" width="11.1640625" style="8" customWidth="1"/>
    <col min="17" max="16384" width="13.5" style="8"/>
  </cols>
  <sheetData>
    <row r="1" spans="1:16" s="1" customFormat="1" ht="55.5" customHeight="1" x14ac:dyDescent="0.2">
      <c r="A1" s="1" t="s">
        <v>0</v>
      </c>
      <c r="B1" s="1" t="s">
        <v>1</v>
      </c>
      <c r="C1" s="1" t="s">
        <v>2</v>
      </c>
      <c r="D1" s="2" t="s">
        <v>12</v>
      </c>
      <c r="E1" s="2" t="s">
        <v>13</v>
      </c>
      <c r="F1" s="2" t="s">
        <v>14</v>
      </c>
      <c r="G1" s="2" t="s">
        <v>15</v>
      </c>
      <c r="I1" s="1" t="s">
        <v>16</v>
      </c>
      <c r="J1" s="1" t="s">
        <v>17</v>
      </c>
      <c r="K1" s="1" t="s">
        <v>3</v>
      </c>
      <c r="L1" s="1" t="s">
        <v>18</v>
      </c>
      <c r="M1" s="3" t="s">
        <v>19</v>
      </c>
      <c r="N1" s="3" t="s">
        <v>4</v>
      </c>
      <c r="O1" s="1" t="s">
        <v>5</v>
      </c>
      <c r="P1" s="1" t="s">
        <v>6</v>
      </c>
    </row>
    <row r="2" spans="1:16" x14ac:dyDescent="0.2">
      <c r="A2" s="8">
        <v>0</v>
      </c>
      <c r="B2" s="4">
        <v>0</v>
      </c>
      <c r="C2" s="4" t="s">
        <v>7</v>
      </c>
      <c r="D2">
        <v>939.14659685864001</v>
      </c>
      <c r="E2">
        <v>371.47447643979001</v>
      </c>
      <c r="F2" s="16">
        <v>132.53896103896</v>
      </c>
      <c r="G2" s="16">
        <v>115.84740259740001</v>
      </c>
      <c r="H2" s="4"/>
      <c r="I2" s="5">
        <f>E2-G2</f>
        <v>255.62707384239002</v>
      </c>
      <c r="J2" s="5">
        <f>D2-F2</f>
        <v>806.60763581968001</v>
      </c>
      <c r="K2" s="9">
        <f>I2*1</f>
        <v>255.62707384239002</v>
      </c>
      <c r="L2" s="6">
        <f t="shared" ref="L2:L65" si="0">K2/J2</f>
        <v>0.31691625827794218</v>
      </c>
      <c r="M2" s="6">
        <f>L2+ABS($N$2)*A2</f>
        <v>0.31691625827794218</v>
      </c>
      <c r="N2" s="4">
        <f>LINEST(V64:V103,U64:U103)</f>
        <v>-4.7542486588041122E-4</v>
      </c>
      <c r="O2" s="7">
        <f>AVERAGE(M62:M81)</f>
        <v>0.44576437005638658</v>
      </c>
      <c r="P2" s="4">
        <f>(M2-$O$2)/$O$2*100</f>
        <v>-28.904982190960187</v>
      </c>
    </row>
    <row r="3" spans="1:16" x14ac:dyDescent="0.2">
      <c r="A3" s="8">
        <v>0.5</v>
      </c>
      <c r="B3" s="8">
        <v>1</v>
      </c>
      <c r="D3">
        <v>939.59947643979001</v>
      </c>
      <c r="E3">
        <v>356.75</v>
      </c>
      <c r="F3" s="16">
        <v>132.41428571429</v>
      </c>
      <c r="G3" s="16">
        <v>115.85974025973999</v>
      </c>
      <c r="I3" s="9">
        <f t="shared" ref="I3:I66" si="1">E3-G3</f>
        <v>240.89025974026001</v>
      </c>
      <c r="J3" s="9">
        <f t="shared" ref="J3:J66" si="2">D3-F3</f>
        <v>807.18519072549998</v>
      </c>
      <c r="K3" s="9">
        <f t="shared" ref="K3:K66" si="3">I3*1</f>
        <v>240.89025974026001</v>
      </c>
      <c r="L3" s="10">
        <f t="shared" si="0"/>
        <v>0.29843245702234361</v>
      </c>
      <c r="M3" s="10">
        <f t="shared" ref="M3:M66" si="4">L3+ABS($N$2)*A3</f>
        <v>0.2986701694552838</v>
      </c>
      <c r="P3" s="8">
        <f t="shared" ref="P3:P66" si="5">(M3-$O$2)/$O$2*100</f>
        <v>-32.99819601609169</v>
      </c>
    </row>
    <row r="4" spans="1:16" ht="16" x14ac:dyDescent="0.2">
      <c r="A4" s="8">
        <v>1</v>
      </c>
      <c r="B4" s="8">
        <v>2</v>
      </c>
      <c r="D4">
        <v>944.88023560209001</v>
      </c>
      <c r="E4">
        <v>377.95811518325002</v>
      </c>
      <c r="F4" s="16">
        <v>132.63116883116999</v>
      </c>
      <c r="G4" s="16">
        <v>115.7012987013</v>
      </c>
      <c r="I4" s="9">
        <f t="shared" si="1"/>
        <v>262.25681648195001</v>
      </c>
      <c r="J4" s="9">
        <f t="shared" si="2"/>
        <v>812.24906677092008</v>
      </c>
      <c r="K4" s="9">
        <f t="shared" si="3"/>
        <v>262.25681648195001</v>
      </c>
      <c r="L4" s="10">
        <f t="shared" si="0"/>
        <v>0.32287733801227592</v>
      </c>
      <c r="M4" s="10">
        <f t="shared" si="4"/>
        <v>0.32335276287815634</v>
      </c>
      <c r="N4" s="1" t="s">
        <v>8</v>
      </c>
      <c r="P4" s="8">
        <f t="shared" si="5"/>
        <v>-27.461056872433726</v>
      </c>
    </row>
    <row r="5" spans="1:16" x14ac:dyDescent="0.2">
      <c r="A5" s="8">
        <v>1.5</v>
      </c>
      <c r="B5" s="8">
        <v>3</v>
      </c>
      <c r="D5">
        <v>957.83769633507995</v>
      </c>
      <c r="E5">
        <v>438.18520942408003</v>
      </c>
      <c r="F5" s="16">
        <v>132.69090909091</v>
      </c>
      <c r="G5" s="16">
        <v>115.69025974026</v>
      </c>
      <c r="I5" s="9">
        <f t="shared" si="1"/>
        <v>322.49494968382004</v>
      </c>
      <c r="J5" s="9">
        <f t="shared" si="2"/>
        <v>825.1467872441699</v>
      </c>
      <c r="K5" s="9">
        <f t="shared" si="3"/>
        <v>322.49494968382004</v>
      </c>
      <c r="L5" s="10">
        <f t="shared" si="0"/>
        <v>0.39083343069284748</v>
      </c>
      <c r="M5" s="10">
        <f t="shared" si="4"/>
        <v>0.39154656799166809</v>
      </c>
      <c r="N5" s="8">
        <f>RSQ(V64:V83,U64:U83)</f>
        <v>0.38517805772740393</v>
      </c>
      <c r="P5" s="8">
        <f t="shared" si="5"/>
        <v>-12.16288373560683</v>
      </c>
    </row>
    <row r="6" spans="1:16" x14ac:dyDescent="0.2">
      <c r="A6" s="8">
        <v>2</v>
      </c>
      <c r="B6" s="8">
        <v>4</v>
      </c>
      <c r="D6">
        <v>913.54973821989995</v>
      </c>
      <c r="E6">
        <v>446.97709424084002</v>
      </c>
      <c r="F6" s="16">
        <v>132.90844155843999</v>
      </c>
      <c r="G6" s="16">
        <v>115.62337662338</v>
      </c>
      <c r="I6" s="9">
        <f t="shared" si="1"/>
        <v>331.35371761746001</v>
      </c>
      <c r="J6" s="9">
        <f t="shared" si="2"/>
        <v>780.64129666145993</v>
      </c>
      <c r="K6" s="9">
        <f t="shared" si="3"/>
        <v>331.35371761746001</v>
      </c>
      <c r="L6" s="10">
        <f t="shared" si="0"/>
        <v>0.42446347513838728</v>
      </c>
      <c r="M6" s="10">
        <f t="shared" si="4"/>
        <v>0.42541432487014813</v>
      </c>
      <c r="P6" s="8">
        <f t="shared" si="5"/>
        <v>-4.5652022802235832</v>
      </c>
    </row>
    <row r="7" spans="1:16" x14ac:dyDescent="0.2">
      <c r="A7" s="8">
        <v>2.5</v>
      </c>
      <c r="B7" s="8">
        <v>5</v>
      </c>
      <c r="D7">
        <v>924.55890052356006</v>
      </c>
      <c r="E7">
        <v>464.52945026178003</v>
      </c>
      <c r="F7" s="16">
        <v>133.20974025973999</v>
      </c>
      <c r="G7" s="16">
        <v>115.72727272727001</v>
      </c>
      <c r="I7" s="9">
        <f t="shared" si="1"/>
        <v>348.80217753451001</v>
      </c>
      <c r="J7" s="9">
        <f t="shared" si="2"/>
        <v>791.34916026382007</v>
      </c>
      <c r="K7" s="9">
        <f t="shared" si="3"/>
        <v>348.80217753451001</v>
      </c>
      <c r="L7" s="10">
        <f t="shared" si="0"/>
        <v>0.44076899938609437</v>
      </c>
      <c r="M7" s="10">
        <f t="shared" si="4"/>
        <v>0.44195756155079541</v>
      </c>
      <c r="P7" s="8">
        <f t="shared" si="5"/>
        <v>-0.85399568949614257</v>
      </c>
    </row>
    <row r="8" spans="1:16" x14ac:dyDescent="0.2">
      <c r="A8" s="8">
        <v>3</v>
      </c>
      <c r="B8" s="8">
        <v>6</v>
      </c>
      <c r="D8">
        <v>918.36976439790999</v>
      </c>
      <c r="E8">
        <v>470.91557591623001</v>
      </c>
      <c r="F8" s="16">
        <v>133.06298701298999</v>
      </c>
      <c r="G8" s="16">
        <v>115.73701298701</v>
      </c>
      <c r="I8" s="9">
        <f t="shared" si="1"/>
        <v>355.17856292921999</v>
      </c>
      <c r="J8" s="9">
        <f t="shared" si="2"/>
        <v>785.30677738492</v>
      </c>
      <c r="K8" s="9">
        <f t="shared" si="3"/>
        <v>355.17856292921999</v>
      </c>
      <c r="L8" s="10">
        <f t="shared" si="0"/>
        <v>0.4522800173862862</v>
      </c>
      <c r="M8" s="10">
        <f t="shared" si="4"/>
        <v>0.45370629198392742</v>
      </c>
      <c r="P8" s="8">
        <f t="shared" si="5"/>
        <v>1.7816412573612006</v>
      </c>
    </row>
    <row r="9" spans="1:16" x14ac:dyDescent="0.2">
      <c r="A9" s="8">
        <v>3.5</v>
      </c>
      <c r="B9" s="8">
        <v>7</v>
      </c>
      <c r="D9">
        <v>805.11387434555002</v>
      </c>
      <c r="E9">
        <v>436.04123036649003</v>
      </c>
      <c r="F9" s="16">
        <v>133.29610389609999</v>
      </c>
      <c r="G9" s="16">
        <v>116.08766233766001</v>
      </c>
      <c r="I9" s="9">
        <f t="shared" si="1"/>
        <v>319.95356802883003</v>
      </c>
      <c r="J9" s="9">
        <f t="shared" si="2"/>
        <v>671.81777044944999</v>
      </c>
      <c r="K9" s="9">
        <f t="shared" si="3"/>
        <v>319.95356802883003</v>
      </c>
      <c r="L9" s="10">
        <f t="shared" si="0"/>
        <v>0.47625052819722113</v>
      </c>
      <c r="M9" s="10">
        <f t="shared" si="4"/>
        <v>0.47791451522780259</v>
      </c>
      <c r="P9" s="8">
        <f t="shared" si="5"/>
        <v>7.2123631521624763</v>
      </c>
    </row>
    <row r="10" spans="1:16" x14ac:dyDescent="0.2">
      <c r="A10" s="8">
        <v>4</v>
      </c>
      <c r="B10" s="8">
        <v>8</v>
      </c>
      <c r="D10">
        <v>779.71989528795996</v>
      </c>
      <c r="E10">
        <v>432.76701570681001</v>
      </c>
      <c r="F10" s="16">
        <v>132.95584415584</v>
      </c>
      <c r="G10" s="16">
        <v>116.1051948052</v>
      </c>
      <c r="I10" s="9">
        <f t="shared" si="1"/>
        <v>316.66182090160999</v>
      </c>
      <c r="J10" s="9">
        <f t="shared" si="2"/>
        <v>646.7640511321199</v>
      </c>
      <c r="K10" s="9">
        <f t="shared" si="3"/>
        <v>316.66182090160999</v>
      </c>
      <c r="L10" s="10">
        <f t="shared" si="0"/>
        <v>0.48960949568442053</v>
      </c>
      <c r="M10" s="10">
        <f t="shared" si="4"/>
        <v>0.49151119514794217</v>
      </c>
      <c r="P10" s="8">
        <f t="shared" si="5"/>
        <v>10.262557567301506</v>
      </c>
    </row>
    <row r="11" spans="1:16" x14ac:dyDescent="0.2">
      <c r="A11" s="8">
        <v>4.5</v>
      </c>
      <c r="B11" s="8">
        <v>9</v>
      </c>
      <c r="D11">
        <v>1026.4626963351</v>
      </c>
      <c r="E11">
        <v>548.19240837695997</v>
      </c>
      <c r="F11" s="16">
        <v>132.98441558441999</v>
      </c>
      <c r="G11" s="16">
        <v>116.06883116883</v>
      </c>
      <c r="I11" s="9">
        <f t="shared" si="1"/>
        <v>432.12357720812997</v>
      </c>
      <c r="J11" s="9">
        <f t="shared" si="2"/>
        <v>893.47828075067991</v>
      </c>
      <c r="K11" s="9">
        <f t="shared" si="3"/>
        <v>432.12357720812997</v>
      </c>
      <c r="L11" s="10">
        <f t="shared" si="0"/>
        <v>0.48364194913061531</v>
      </c>
      <c r="M11" s="10">
        <f t="shared" si="4"/>
        <v>0.48578136102707714</v>
      </c>
      <c r="P11" s="8">
        <f t="shared" si="5"/>
        <v>8.9771622989133579</v>
      </c>
    </row>
    <row r="12" spans="1:16" x14ac:dyDescent="0.2">
      <c r="A12" s="8">
        <v>5</v>
      </c>
      <c r="B12" s="8">
        <v>10</v>
      </c>
      <c r="D12">
        <v>1021.4437172775</v>
      </c>
      <c r="E12">
        <v>553.38743455497001</v>
      </c>
      <c r="F12" s="16">
        <v>132.97012987012999</v>
      </c>
      <c r="G12" s="16">
        <v>115.7512987013</v>
      </c>
      <c r="I12" s="9">
        <f t="shared" si="1"/>
        <v>437.63613585367</v>
      </c>
      <c r="J12" s="9">
        <f t="shared" si="2"/>
        <v>888.47358740737002</v>
      </c>
      <c r="K12" s="9">
        <f t="shared" si="3"/>
        <v>437.63613585367</v>
      </c>
      <c r="L12" s="10">
        <f t="shared" si="0"/>
        <v>0.49257078888605321</v>
      </c>
      <c r="M12" s="10">
        <f t="shared" si="4"/>
        <v>0.49494791321545528</v>
      </c>
      <c r="P12" s="8">
        <f t="shared" si="5"/>
        <v>11.033529474966173</v>
      </c>
    </row>
    <row r="13" spans="1:16" x14ac:dyDescent="0.2">
      <c r="A13" s="8">
        <v>5.5</v>
      </c>
      <c r="B13" s="8">
        <v>11</v>
      </c>
      <c r="D13">
        <v>1081.1459424084001</v>
      </c>
      <c r="E13">
        <v>586.97251308901002</v>
      </c>
      <c r="F13" s="16">
        <v>132.9512987013</v>
      </c>
      <c r="G13" s="16">
        <v>115.96428571429</v>
      </c>
      <c r="I13" s="9">
        <f t="shared" si="1"/>
        <v>471.00822737472004</v>
      </c>
      <c r="J13" s="9">
        <f t="shared" si="2"/>
        <v>948.19464370710011</v>
      </c>
      <c r="K13" s="9">
        <f t="shared" si="3"/>
        <v>471.00822737472004</v>
      </c>
      <c r="L13" s="10">
        <f t="shared" si="0"/>
        <v>0.49674213042719501</v>
      </c>
      <c r="M13" s="10">
        <f t="shared" si="4"/>
        <v>0.49935696718953726</v>
      </c>
      <c r="P13" s="8">
        <f t="shared" si="5"/>
        <v>12.022629158622868</v>
      </c>
    </row>
    <row r="14" spans="1:16" x14ac:dyDescent="0.2">
      <c r="A14" s="8">
        <v>6</v>
      </c>
      <c r="B14" s="8">
        <v>12</v>
      </c>
      <c r="D14">
        <v>1091.1884816754</v>
      </c>
      <c r="E14">
        <v>594.34358638744004</v>
      </c>
      <c r="F14" s="16">
        <v>133.05000000000001</v>
      </c>
      <c r="G14" s="16">
        <v>115.96558441558</v>
      </c>
      <c r="I14" s="9">
        <f t="shared" si="1"/>
        <v>478.37800197186004</v>
      </c>
      <c r="J14" s="9">
        <f t="shared" si="2"/>
        <v>958.13848167540004</v>
      </c>
      <c r="K14" s="9">
        <f t="shared" si="3"/>
        <v>478.37800197186004</v>
      </c>
      <c r="L14" s="10">
        <f t="shared" si="0"/>
        <v>0.4992785605848632</v>
      </c>
      <c r="M14" s="10">
        <f t="shared" si="4"/>
        <v>0.50213110978014563</v>
      </c>
      <c r="P14" s="8">
        <f t="shared" si="5"/>
        <v>12.644963014120888</v>
      </c>
    </row>
    <row r="15" spans="1:16" x14ac:dyDescent="0.2">
      <c r="A15" s="8">
        <v>6.5</v>
      </c>
      <c r="B15" s="8">
        <v>13</v>
      </c>
      <c r="D15">
        <v>1091.6518324607</v>
      </c>
      <c r="E15">
        <v>593.31479057592003</v>
      </c>
      <c r="F15" s="16">
        <v>132.86753246753</v>
      </c>
      <c r="G15" s="16">
        <v>115.89545454546</v>
      </c>
      <c r="I15" s="9">
        <f t="shared" si="1"/>
        <v>477.41933603046004</v>
      </c>
      <c r="J15" s="9">
        <f t="shared" si="2"/>
        <v>958.78429999316995</v>
      </c>
      <c r="K15" s="9">
        <f t="shared" si="3"/>
        <v>477.41933603046004</v>
      </c>
      <c r="L15" s="10">
        <f t="shared" si="0"/>
        <v>0.49794237977599448</v>
      </c>
      <c r="M15" s="10">
        <f t="shared" si="4"/>
        <v>0.50103264140421711</v>
      </c>
      <c r="P15" s="8">
        <f t="shared" si="5"/>
        <v>12.398539466229526</v>
      </c>
    </row>
    <row r="16" spans="1:16" x14ac:dyDescent="0.2">
      <c r="A16" s="8">
        <v>7</v>
      </c>
      <c r="B16" s="8">
        <v>14</v>
      </c>
      <c r="D16">
        <v>1090.4312827225001</v>
      </c>
      <c r="E16">
        <v>596.33704188482</v>
      </c>
      <c r="F16" s="16">
        <v>133.13506493507001</v>
      </c>
      <c r="G16" s="16">
        <v>115.58116883117</v>
      </c>
      <c r="I16" s="9">
        <f t="shared" si="1"/>
        <v>480.75587305365002</v>
      </c>
      <c r="J16" s="9">
        <f t="shared" si="2"/>
        <v>957.29621778743012</v>
      </c>
      <c r="K16" s="9">
        <f t="shared" si="3"/>
        <v>480.75587305365002</v>
      </c>
      <c r="L16" s="10">
        <f t="shared" si="0"/>
        <v>0.50220178887242084</v>
      </c>
      <c r="M16" s="10">
        <f t="shared" si="4"/>
        <v>0.50552976293358376</v>
      </c>
      <c r="P16" s="8">
        <f t="shared" si="5"/>
        <v>13.407395676248687</v>
      </c>
    </row>
    <row r="17" spans="1:16" x14ac:dyDescent="0.2">
      <c r="A17" s="8">
        <v>7.5</v>
      </c>
      <c r="B17" s="8">
        <v>15</v>
      </c>
      <c r="D17">
        <v>1070.8865248227</v>
      </c>
      <c r="E17">
        <v>586.15796260476998</v>
      </c>
      <c r="F17" s="16">
        <v>133.16883116883</v>
      </c>
      <c r="G17" s="16">
        <v>116.23636363636</v>
      </c>
      <c r="I17" s="9">
        <f t="shared" si="1"/>
        <v>469.92159896840997</v>
      </c>
      <c r="J17" s="9">
        <f t="shared" si="2"/>
        <v>937.71769365387001</v>
      </c>
      <c r="K17" s="9">
        <f t="shared" si="3"/>
        <v>469.92159896840997</v>
      </c>
      <c r="L17" s="10">
        <f t="shared" si="0"/>
        <v>0.50113333911545799</v>
      </c>
      <c r="M17" s="10">
        <f t="shared" si="4"/>
        <v>0.50469902560956104</v>
      </c>
      <c r="P17" s="8">
        <f t="shared" si="5"/>
        <v>13.221033243576549</v>
      </c>
    </row>
    <row r="18" spans="1:16" x14ac:dyDescent="0.2">
      <c r="A18" s="8">
        <v>8</v>
      </c>
      <c r="B18" s="8">
        <v>16</v>
      </c>
      <c r="D18">
        <v>1069.5538362346999</v>
      </c>
      <c r="E18">
        <v>588.44809800128996</v>
      </c>
      <c r="F18" s="16">
        <v>133.12012987013</v>
      </c>
      <c r="G18" s="16">
        <v>115.74805194805</v>
      </c>
      <c r="I18" s="9">
        <f t="shared" si="1"/>
        <v>472.70004605323993</v>
      </c>
      <c r="J18" s="9">
        <f t="shared" si="2"/>
        <v>936.43370636456996</v>
      </c>
      <c r="K18" s="9">
        <f t="shared" si="3"/>
        <v>472.70004605323993</v>
      </c>
      <c r="L18" s="10">
        <f t="shared" si="0"/>
        <v>0.504787517621893</v>
      </c>
      <c r="M18" s="10">
        <f t="shared" si="4"/>
        <v>0.50859091654893629</v>
      </c>
      <c r="P18" s="8">
        <f t="shared" si="5"/>
        <v>14.09411579588618</v>
      </c>
    </row>
    <row r="19" spans="1:16" x14ac:dyDescent="0.2">
      <c r="A19" s="8">
        <v>8.5</v>
      </c>
      <c r="B19" s="8">
        <v>17</v>
      </c>
      <c r="D19">
        <v>1076.8517085751</v>
      </c>
      <c r="E19">
        <v>596.45647969052004</v>
      </c>
      <c r="F19" s="16">
        <v>132.82662337662001</v>
      </c>
      <c r="G19" s="16">
        <v>115.82467532468</v>
      </c>
      <c r="I19" s="9">
        <f t="shared" si="1"/>
        <v>480.63180436584003</v>
      </c>
      <c r="J19" s="9">
        <f t="shared" si="2"/>
        <v>944.02508519848004</v>
      </c>
      <c r="K19" s="9">
        <f t="shared" si="3"/>
        <v>480.63180436584003</v>
      </c>
      <c r="L19" s="10">
        <f t="shared" si="0"/>
        <v>0.50913033128223262</v>
      </c>
      <c r="M19" s="10">
        <f t="shared" si="4"/>
        <v>0.51317144264221615</v>
      </c>
      <c r="P19" s="8">
        <f t="shared" si="5"/>
        <v>15.121682465851402</v>
      </c>
    </row>
    <row r="20" spans="1:16" x14ac:dyDescent="0.2">
      <c r="A20" s="8">
        <v>9</v>
      </c>
      <c r="B20" s="8">
        <v>18</v>
      </c>
      <c r="D20">
        <v>1079.7524177949999</v>
      </c>
      <c r="E20">
        <v>592.94648613797995</v>
      </c>
      <c r="F20" s="16">
        <v>133.64545454546001</v>
      </c>
      <c r="G20" s="16">
        <v>116.25194805195</v>
      </c>
      <c r="I20" s="9">
        <f t="shared" si="1"/>
        <v>476.69453808602998</v>
      </c>
      <c r="J20" s="9">
        <f t="shared" si="2"/>
        <v>946.10696324953994</v>
      </c>
      <c r="K20" s="9">
        <f t="shared" si="3"/>
        <v>476.69453808602998</v>
      </c>
      <c r="L20" s="10">
        <f t="shared" si="0"/>
        <v>0.50384846175188724</v>
      </c>
      <c r="M20" s="10">
        <f t="shared" si="4"/>
        <v>0.5081272855448109</v>
      </c>
      <c r="P20" s="8">
        <f t="shared" si="5"/>
        <v>13.990107706575062</v>
      </c>
    </row>
    <row r="21" spans="1:16" x14ac:dyDescent="0.2">
      <c r="A21" s="8">
        <v>9.5</v>
      </c>
      <c r="B21" s="8">
        <v>19</v>
      </c>
      <c r="D21">
        <v>1089.4590586718</v>
      </c>
      <c r="E21">
        <v>596.04835589942002</v>
      </c>
      <c r="F21" s="16">
        <v>133.85649350649001</v>
      </c>
      <c r="G21" s="16">
        <v>116.14350649351</v>
      </c>
      <c r="I21" s="9">
        <f t="shared" si="1"/>
        <v>479.90484940591</v>
      </c>
      <c r="J21" s="9">
        <f t="shared" si="2"/>
        <v>955.60256516531001</v>
      </c>
      <c r="K21" s="9">
        <f t="shared" si="3"/>
        <v>479.90484940591</v>
      </c>
      <c r="L21" s="10">
        <f t="shared" si="0"/>
        <v>0.50220129884529041</v>
      </c>
      <c r="M21" s="10">
        <f t="shared" si="4"/>
        <v>0.50671783507115431</v>
      </c>
      <c r="P21" s="8">
        <f t="shared" si="5"/>
        <v>13.673920373460415</v>
      </c>
    </row>
    <row r="22" spans="1:16" x14ac:dyDescent="0.2">
      <c r="A22" s="8">
        <v>10</v>
      </c>
      <c r="B22" s="8">
        <v>20</v>
      </c>
      <c r="D22">
        <v>1092.7221147647001</v>
      </c>
      <c r="E22">
        <v>596.34751773050004</v>
      </c>
      <c r="F22" s="16">
        <v>133.35714285713999</v>
      </c>
      <c r="G22" s="16">
        <v>115.76688311688</v>
      </c>
      <c r="I22" s="9">
        <f t="shared" si="1"/>
        <v>480.58063461362008</v>
      </c>
      <c r="J22" s="9">
        <f t="shared" si="2"/>
        <v>959.36497190756018</v>
      </c>
      <c r="K22" s="9">
        <f t="shared" si="3"/>
        <v>480.58063461362008</v>
      </c>
      <c r="L22" s="10">
        <f t="shared" si="0"/>
        <v>0.5009361907992681</v>
      </c>
      <c r="M22" s="10">
        <f t="shared" si="4"/>
        <v>0.50569043945807224</v>
      </c>
      <c r="P22" s="8">
        <f t="shared" si="5"/>
        <v>13.443440846137019</v>
      </c>
    </row>
    <row r="23" spans="1:16" x14ac:dyDescent="0.2">
      <c r="A23" s="8">
        <v>10.5</v>
      </c>
      <c r="B23" s="8">
        <v>21</v>
      </c>
      <c r="D23">
        <v>1090.2237266279999</v>
      </c>
      <c r="E23">
        <v>591.82978723404005</v>
      </c>
      <c r="F23" s="16">
        <v>133.69740259740001</v>
      </c>
      <c r="G23" s="16">
        <v>116.03376623377</v>
      </c>
      <c r="I23" s="9">
        <f t="shared" si="1"/>
        <v>475.79602100027006</v>
      </c>
      <c r="J23" s="9">
        <f t="shared" si="2"/>
        <v>956.52632403059988</v>
      </c>
      <c r="K23" s="9">
        <f t="shared" si="3"/>
        <v>475.79602100027006</v>
      </c>
      <c r="L23" s="10">
        <f t="shared" si="0"/>
        <v>0.49742072857479358</v>
      </c>
      <c r="M23" s="10">
        <f t="shared" si="4"/>
        <v>0.50241268966653785</v>
      </c>
      <c r="P23" s="8">
        <f t="shared" si="5"/>
        <v>12.708130890538779</v>
      </c>
    </row>
    <row r="24" spans="1:16" x14ac:dyDescent="0.2">
      <c r="A24" s="8">
        <v>11</v>
      </c>
      <c r="B24" s="8">
        <v>22</v>
      </c>
      <c r="D24">
        <v>1089.0251450676999</v>
      </c>
      <c r="E24">
        <v>585.55899419728996</v>
      </c>
      <c r="F24" s="16">
        <v>134.16233766234001</v>
      </c>
      <c r="G24" s="16">
        <v>115.86298701299</v>
      </c>
      <c r="I24" s="9">
        <f t="shared" si="1"/>
        <v>469.69600718429996</v>
      </c>
      <c r="J24" s="9">
        <f t="shared" si="2"/>
        <v>954.86280740535994</v>
      </c>
      <c r="K24" s="9">
        <f t="shared" si="3"/>
        <v>469.69600718429996</v>
      </c>
      <c r="L24" s="10">
        <f t="shared" si="0"/>
        <v>0.49189894458304506</v>
      </c>
      <c r="M24" s="10">
        <f t="shared" si="4"/>
        <v>0.49712861810772957</v>
      </c>
      <c r="P24" s="8">
        <f t="shared" si="5"/>
        <v>11.522735216555265</v>
      </c>
    </row>
    <row r="25" spans="1:16" x14ac:dyDescent="0.2">
      <c r="A25" s="8">
        <v>11.5</v>
      </c>
      <c r="B25" s="8">
        <v>23</v>
      </c>
      <c r="D25">
        <v>1086.4081237911</v>
      </c>
      <c r="E25">
        <v>584.15731785945002</v>
      </c>
      <c r="F25" s="16">
        <v>133.91233766234001</v>
      </c>
      <c r="G25" s="16">
        <v>115.98636363636</v>
      </c>
      <c r="I25" s="9">
        <f t="shared" si="1"/>
        <v>468.17095422309001</v>
      </c>
      <c r="J25" s="9">
        <f t="shared" si="2"/>
        <v>952.49578612876007</v>
      </c>
      <c r="K25" s="9">
        <f t="shared" si="3"/>
        <v>468.17095422309001</v>
      </c>
      <c r="L25" s="10">
        <f t="shared" si="0"/>
        <v>0.49152023666779965</v>
      </c>
      <c r="M25" s="10">
        <f t="shared" si="4"/>
        <v>0.4969876226254244</v>
      </c>
      <c r="P25" s="8">
        <f t="shared" si="5"/>
        <v>11.491105168983868</v>
      </c>
    </row>
    <row r="26" spans="1:16" x14ac:dyDescent="0.2">
      <c r="A26" s="8">
        <v>12</v>
      </c>
      <c r="B26" s="8">
        <v>24</v>
      </c>
      <c r="D26">
        <v>1082.1308833011001</v>
      </c>
      <c r="E26">
        <v>581.09993552546996</v>
      </c>
      <c r="F26" s="16">
        <v>133.97727272726999</v>
      </c>
      <c r="G26" s="16">
        <v>116.41753246752999</v>
      </c>
      <c r="I26" s="9">
        <f t="shared" si="1"/>
        <v>464.68240305793995</v>
      </c>
      <c r="J26" s="9">
        <f t="shared" si="2"/>
        <v>948.15361057383006</v>
      </c>
      <c r="K26" s="9">
        <f t="shared" si="3"/>
        <v>464.68240305793995</v>
      </c>
      <c r="L26" s="10">
        <f t="shared" si="0"/>
        <v>0.4900918984812076</v>
      </c>
      <c r="M26" s="10">
        <f t="shared" si="4"/>
        <v>0.49579699687177253</v>
      </c>
      <c r="P26" s="8">
        <f t="shared" si="5"/>
        <v>11.224007609459031</v>
      </c>
    </row>
    <row r="27" spans="1:16" x14ac:dyDescent="0.2">
      <c r="A27" s="8">
        <v>12.5</v>
      </c>
      <c r="B27" s="8">
        <v>25</v>
      </c>
      <c r="D27">
        <v>1078.9284332689001</v>
      </c>
      <c r="E27">
        <v>574.62540296582995</v>
      </c>
      <c r="F27" s="16">
        <v>134.42922077922</v>
      </c>
      <c r="G27" s="16">
        <v>116.29090909091001</v>
      </c>
      <c r="I27" s="9">
        <f t="shared" si="1"/>
        <v>458.33449387491993</v>
      </c>
      <c r="J27" s="9">
        <f t="shared" si="2"/>
        <v>944.49921248968008</v>
      </c>
      <c r="K27" s="9">
        <f t="shared" si="3"/>
        <v>458.33449387491993</v>
      </c>
      <c r="L27" s="10">
        <f t="shared" si="0"/>
        <v>0.48526720595855216</v>
      </c>
      <c r="M27" s="10">
        <f t="shared" si="4"/>
        <v>0.49121001678205728</v>
      </c>
      <c r="P27" s="8">
        <f t="shared" si="5"/>
        <v>10.194993090166021</v>
      </c>
    </row>
    <row r="28" spans="1:16" x14ac:dyDescent="0.2">
      <c r="A28" s="8">
        <v>13</v>
      </c>
      <c r="B28" s="8">
        <v>26</v>
      </c>
      <c r="D28">
        <v>1071.7117988395</v>
      </c>
      <c r="E28">
        <v>570.86331399097003</v>
      </c>
      <c r="F28" s="16">
        <v>133.89675324675</v>
      </c>
      <c r="G28" s="16">
        <v>116.00649350649</v>
      </c>
      <c r="I28" s="9">
        <f t="shared" si="1"/>
        <v>454.85682048448001</v>
      </c>
      <c r="J28" s="9">
        <f t="shared" si="2"/>
        <v>937.81504559275004</v>
      </c>
      <c r="K28" s="9">
        <f t="shared" si="3"/>
        <v>454.85682048448001</v>
      </c>
      <c r="L28" s="10">
        <f t="shared" si="0"/>
        <v>0.48501761900928536</v>
      </c>
      <c r="M28" s="10">
        <f t="shared" si="4"/>
        <v>0.49119814226573072</v>
      </c>
      <c r="P28" s="8">
        <f t="shared" si="5"/>
        <v>10.192329235195947</v>
      </c>
    </row>
    <row r="29" spans="1:16" x14ac:dyDescent="0.2">
      <c r="A29" s="8">
        <v>13.5</v>
      </c>
      <c r="B29" s="8">
        <v>27</v>
      </c>
      <c r="D29">
        <v>1065.3990973565001</v>
      </c>
      <c r="E29">
        <v>559.93101225016005</v>
      </c>
      <c r="F29" s="16">
        <v>134.22727272726999</v>
      </c>
      <c r="G29" s="16">
        <v>116.40129870129999</v>
      </c>
      <c r="I29" s="9">
        <f t="shared" si="1"/>
        <v>443.52971354886006</v>
      </c>
      <c r="J29" s="9">
        <f t="shared" si="2"/>
        <v>931.17182462923006</v>
      </c>
      <c r="K29" s="9">
        <f t="shared" si="3"/>
        <v>443.52971354886006</v>
      </c>
      <c r="L29" s="10">
        <f t="shared" si="0"/>
        <v>0.47631350285481716</v>
      </c>
      <c r="M29" s="10">
        <f t="shared" si="4"/>
        <v>0.4827317385442027</v>
      </c>
      <c r="P29" s="8">
        <f t="shared" si="5"/>
        <v>8.2930290016539381</v>
      </c>
    </row>
    <row r="30" spans="1:16" x14ac:dyDescent="0.2">
      <c r="A30" s="8">
        <v>14</v>
      </c>
      <c r="B30" s="8">
        <v>28</v>
      </c>
      <c r="D30">
        <v>1095.9954337900001</v>
      </c>
      <c r="E30">
        <v>572.71559034572999</v>
      </c>
      <c r="F30" s="16">
        <v>134.25454545455</v>
      </c>
      <c r="G30" s="16">
        <v>115.95584415584</v>
      </c>
      <c r="I30" s="9">
        <f t="shared" si="1"/>
        <v>456.75974618989</v>
      </c>
      <c r="J30" s="9">
        <f t="shared" si="2"/>
        <v>961.74088833545011</v>
      </c>
      <c r="K30" s="9">
        <f t="shared" si="3"/>
        <v>456.75974618989</v>
      </c>
      <c r="L30" s="10">
        <f t="shared" si="0"/>
        <v>0.47493015190446453</v>
      </c>
      <c r="M30" s="10">
        <f t="shared" si="4"/>
        <v>0.48158610002679031</v>
      </c>
      <c r="P30" s="8">
        <f t="shared" si="5"/>
        <v>8.0360235982684038</v>
      </c>
    </row>
    <row r="31" spans="1:16" x14ac:dyDescent="0.2">
      <c r="A31" s="8">
        <v>14.5</v>
      </c>
      <c r="B31" s="8">
        <v>29</v>
      </c>
      <c r="D31">
        <v>1080.8369210697999</v>
      </c>
      <c r="E31">
        <v>565.94977168950004</v>
      </c>
      <c r="F31" s="16">
        <v>134.19480519480999</v>
      </c>
      <c r="G31" s="16">
        <v>116.35779220779</v>
      </c>
      <c r="I31" s="9">
        <f t="shared" si="1"/>
        <v>449.59197948171004</v>
      </c>
      <c r="J31" s="9">
        <f t="shared" si="2"/>
        <v>946.64211587498994</v>
      </c>
      <c r="K31" s="9">
        <f t="shared" si="3"/>
        <v>449.59197948171004</v>
      </c>
      <c r="L31" s="10">
        <f t="shared" si="0"/>
        <v>0.4749334219787465</v>
      </c>
      <c r="M31" s="10">
        <f t="shared" si="4"/>
        <v>0.48182708253401246</v>
      </c>
      <c r="P31" s="8">
        <f t="shared" si="5"/>
        <v>8.0900841117167257</v>
      </c>
    </row>
    <row r="32" spans="1:16" x14ac:dyDescent="0.2">
      <c r="A32" s="8">
        <v>15</v>
      </c>
      <c r="B32" s="8">
        <v>30</v>
      </c>
      <c r="D32">
        <v>1085.1409001956999</v>
      </c>
      <c r="E32">
        <v>565.56425309849999</v>
      </c>
      <c r="F32" s="16">
        <v>133.82532467532999</v>
      </c>
      <c r="G32" s="16">
        <v>116.26818181818</v>
      </c>
      <c r="I32" s="9">
        <f t="shared" si="1"/>
        <v>449.29607128032001</v>
      </c>
      <c r="J32" s="9">
        <f t="shared" si="2"/>
        <v>951.31557552036998</v>
      </c>
      <c r="K32" s="9">
        <f t="shared" si="3"/>
        <v>449.29607128032001</v>
      </c>
      <c r="L32" s="10">
        <f t="shared" si="0"/>
        <v>0.47228919912780243</v>
      </c>
      <c r="M32" s="10">
        <f t="shared" si="4"/>
        <v>0.47942057211600858</v>
      </c>
      <c r="P32" s="8">
        <f t="shared" si="5"/>
        <v>7.5502225660980233</v>
      </c>
    </row>
    <row r="33" spans="1:16" x14ac:dyDescent="0.2">
      <c r="A33" s="8">
        <v>15.5</v>
      </c>
      <c r="B33" s="8">
        <v>31</v>
      </c>
      <c r="D33">
        <v>1085.0502283105</v>
      </c>
      <c r="E33">
        <v>566.45009784735998</v>
      </c>
      <c r="F33" s="16">
        <v>133.99285714286</v>
      </c>
      <c r="G33" s="16">
        <v>116.55584415584001</v>
      </c>
      <c r="I33" s="9">
        <f t="shared" si="1"/>
        <v>449.89425369151996</v>
      </c>
      <c r="J33" s="9">
        <f t="shared" si="2"/>
        <v>951.05737116763999</v>
      </c>
      <c r="K33" s="9">
        <f t="shared" si="3"/>
        <v>449.89425369151996</v>
      </c>
      <c r="L33" s="10">
        <f t="shared" si="0"/>
        <v>0.4730463874531271</v>
      </c>
      <c r="M33" s="10">
        <f t="shared" si="4"/>
        <v>0.4804154728742735</v>
      </c>
      <c r="P33" s="8">
        <f t="shared" si="5"/>
        <v>7.7734124002561602</v>
      </c>
    </row>
    <row r="34" spans="1:16" x14ac:dyDescent="0.2">
      <c r="A34" s="8">
        <v>16</v>
      </c>
      <c r="B34" s="8">
        <v>32</v>
      </c>
      <c r="D34">
        <v>1080.1735159816999</v>
      </c>
      <c r="E34">
        <v>554.27919112850998</v>
      </c>
      <c r="F34" s="16">
        <v>133.80000000000001</v>
      </c>
      <c r="G34" s="16">
        <v>116.22727272727001</v>
      </c>
      <c r="I34" s="9">
        <f t="shared" si="1"/>
        <v>438.05191840123996</v>
      </c>
      <c r="J34" s="9">
        <f t="shared" si="2"/>
        <v>946.37351598169994</v>
      </c>
      <c r="K34" s="9">
        <f t="shared" si="3"/>
        <v>438.05191840123996</v>
      </c>
      <c r="L34" s="10">
        <f t="shared" si="0"/>
        <v>0.46287423623307583</v>
      </c>
      <c r="M34" s="10">
        <f t="shared" si="4"/>
        <v>0.47048103408716241</v>
      </c>
      <c r="P34" s="8">
        <f t="shared" si="5"/>
        <v>5.5447823314477365</v>
      </c>
    </row>
    <row r="35" spans="1:16" x14ac:dyDescent="0.2">
      <c r="A35" s="8">
        <v>16.5</v>
      </c>
      <c r="B35" s="8">
        <v>33</v>
      </c>
      <c r="D35">
        <v>1077.5642530985001</v>
      </c>
      <c r="E35">
        <v>547.15786040444004</v>
      </c>
      <c r="F35" s="16">
        <v>133.98246753247</v>
      </c>
      <c r="G35" s="16">
        <v>116.56298701299001</v>
      </c>
      <c r="I35" s="9">
        <f t="shared" si="1"/>
        <v>430.59487339145005</v>
      </c>
      <c r="J35" s="9">
        <f t="shared" si="2"/>
        <v>943.58178556603013</v>
      </c>
      <c r="K35" s="9">
        <f t="shared" si="3"/>
        <v>430.59487339145005</v>
      </c>
      <c r="L35" s="10">
        <f t="shared" si="0"/>
        <v>0.45634080688951345</v>
      </c>
      <c r="M35" s="10">
        <f t="shared" si="4"/>
        <v>0.46418531717654021</v>
      </c>
      <c r="P35" s="8">
        <f t="shared" si="5"/>
        <v>4.1324404455707144</v>
      </c>
    </row>
    <row r="36" spans="1:16" x14ac:dyDescent="0.2">
      <c r="A36" s="8">
        <v>17</v>
      </c>
      <c r="B36" s="8">
        <v>34</v>
      </c>
      <c r="D36">
        <v>1074.1343770384999</v>
      </c>
      <c r="E36">
        <v>552.34116112198001</v>
      </c>
      <c r="F36" s="16">
        <v>134.07987012986999</v>
      </c>
      <c r="G36" s="16">
        <v>116.51363636364</v>
      </c>
      <c r="I36" s="9">
        <f t="shared" si="1"/>
        <v>435.82752475834002</v>
      </c>
      <c r="J36" s="9">
        <f t="shared" si="2"/>
        <v>940.05450690862995</v>
      </c>
      <c r="K36" s="9">
        <f t="shared" si="3"/>
        <v>435.82752475834002</v>
      </c>
      <c r="L36" s="10">
        <f t="shared" si="0"/>
        <v>0.46361941946489804</v>
      </c>
      <c r="M36" s="10">
        <f t="shared" si="4"/>
        <v>0.47170164218486504</v>
      </c>
      <c r="P36" s="8">
        <f t="shared" si="5"/>
        <v>5.8186059431348331</v>
      </c>
    </row>
    <row r="37" spans="1:16" x14ac:dyDescent="0.2">
      <c r="A37" s="8">
        <v>17.5</v>
      </c>
      <c r="B37" s="8">
        <v>35</v>
      </c>
      <c r="D37">
        <v>1069.4533594259999</v>
      </c>
      <c r="E37">
        <v>549.05544683626999</v>
      </c>
      <c r="F37" s="16">
        <v>133.93701298701001</v>
      </c>
      <c r="G37" s="16">
        <v>116.15</v>
      </c>
      <c r="I37" s="9">
        <f t="shared" si="1"/>
        <v>432.90544683627002</v>
      </c>
      <c r="J37" s="9">
        <f t="shared" si="2"/>
        <v>935.5163464389899</v>
      </c>
      <c r="K37" s="9">
        <f t="shared" si="3"/>
        <v>432.90544683627002</v>
      </c>
      <c r="L37" s="10">
        <f t="shared" si="0"/>
        <v>0.46274493063013744</v>
      </c>
      <c r="M37" s="10">
        <f t="shared" si="4"/>
        <v>0.47106486578304463</v>
      </c>
      <c r="P37" s="8">
        <f t="shared" si="5"/>
        <v>5.6757554946479196</v>
      </c>
    </row>
    <row r="38" spans="1:16" x14ac:dyDescent="0.2">
      <c r="A38" s="8">
        <v>18</v>
      </c>
      <c r="B38" s="8">
        <v>36</v>
      </c>
      <c r="D38">
        <v>1076.2309197652</v>
      </c>
      <c r="E38">
        <v>552.26549249837001</v>
      </c>
      <c r="F38" s="16">
        <v>133.95324675325</v>
      </c>
      <c r="G38" s="16">
        <v>116.39415584416</v>
      </c>
      <c r="I38" s="9">
        <f t="shared" si="1"/>
        <v>435.87133665421004</v>
      </c>
      <c r="J38" s="9">
        <f t="shared" si="2"/>
        <v>942.27767301195001</v>
      </c>
      <c r="K38" s="9">
        <f t="shared" si="3"/>
        <v>435.87133665421004</v>
      </c>
      <c r="L38" s="10">
        <f t="shared" si="0"/>
        <v>0.46257207311403875</v>
      </c>
      <c r="M38" s="10">
        <f t="shared" si="4"/>
        <v>0.47112972069988618</v>
      </c>
      <c r="P38" s="8">
        <f t="shared" si="5"/>
        <v>5.6903046424035697</v>
      </c>
    </row>
    <row r="39" spans="1:16" x14ac:dyDescent="0.2">
      <c r="A39" s="8">
        <v>18.5</v>
      </c>
      <c r="B39" s="8">
        <v>37</v>
      </c>
      <c r="D39">
        <v>1079.3515981735</v>
      </c>
      <c r="E39">
        <v>554.06392694064004</v>
      </c>
      <c r="F39" s="16">
        <v>134.81233766234001</v>
      </c>
      <c r="G39" s="16">
        <v>116.48051948052</v>
      </c>
      <c r="I39" s="9">
        <f t="shared" si="1"/>
        <v>437.58340746012004</v>
      </c>
      <c r="J39" s="9">
        <f t="shared" si="2"/>
        <v>944.53926051115991</v>
      </c>
      <c r="K39" s="9">
        <f t="shared" si="3"/>
        <v>437.58340746012004</v>
      </c>
      <c r="L39" s="10">
        <f t="shared" si="0"/>
        <v>0.46327709789777438</v>
      </c>
      <c r="M39" s="10">
        <f t="shared" si="4"/>
        <v>0.47207245791656199</v>
      </c>
      <c r="P39" s="8">
        <f t="shared" si="5"/>
        <v>5.9017924328154789</v>
      </c>
    </row>
    <row r="40" spans="1:16" x14ac:dyDescent="0.2">
      <c r="A40" s="8">
        <v>19</v>
      </c>
      <c r="B40" s="8">
        <v>38</v>
      </c>
      <c r="D40">
        <v>1077.8343118068999</v>
      </c>
      <c r="E40">
        <v>551.97651663404997</v>
      </c>
      <c r="F40" s="16">
        <v>134.21948051947999</v>
      </c>
      <c r="G40" s="16">
        <v>116.36298701299</v>
      </c>
      <c r="I40" s="9">
        <f t="shared" si="1"/>
        <v>435.61352962105997</v>
      </c>
      <c r="J40" s="9">
        <f t="shared" si="2"/>
        <v>943.61483128741997</v>
      </c>
      <c r="K40" s="9">
        <f t="shared" si="3"/>
        <v>435.61352962105997</v>
      </c>
      <c r="L40" s="10">
        <f t="shared" si="0"/>
        <v>0.46164336885923157</v>
      </c>
      <c r="M40" s="10">
        <f t="shared" si="4"/>
        <v>0.47067644131095937</v>
      </c>
      <c r="P40" s="8">
        <f t="shared" si="5"/>
        <v>5.5886187699168408</v>
      </c>
    </row>
    <row r="41" spans="1:16" x14ac:dyDescent="0.2">
      <c r="A41" s="8">
        <v>19.5</v>
      </c>
      <c r="B41" s="8">
        <v>39</v>
      </c>
      <c r="D41">
        <v>1076.7866927593</v>
      </c>
      <c r="E41">
        <v>549.77103718199999</v>
      </c>
      <c r="F41" s="16">
        <v>133.93441558442001</v>
      </c>
      <c r="G41" s="16">
        <v>116.47987012986999</v>
      </c>
      <c r="I41" s="9">
        <f t="shared" si="1"/>
        <v>433.29116705212999</v>
      </c>
      <c r="J41" s="9">
        <f t="shared" si="2"/>
        <v>942.85227717487999</v>
      </c>
      <c r="K41" s="9">
        <f t="shared" si="3"/>
        <v>433.29116705212999</v>
      </c>
      <c r="L41" s="10">
        <f t="shared" si="0"/>
        <v>0.45955360934209555</v>
      </c>
      <c r="M41" s="10">
        <f t="shared" si="4"/>
        <v>0.46882439422676359</v>
      </c>
      <c r="P41" s="8">
        <f t="shared" si="5"/>
        <v>5.1731420722252981</v>
      </c>
    </row>
    <row r="42" spans="1:16" x14ac:dyDescent="0.2">
      <c r="A42" s="8">
        <v>20</v>
      </c>
      <c r="B42" s="8">
        <v>40</v>
      </c>
      <c r="D42">
        <v>1070.6744944553</v>
      </c>
      <c r="E42">
        <v>553.64448793216002</v>
      </c>
      <c r="F42" s="16">
        <v>133.91103896103999</v>
      </c>
      <c r="G42" s="16">
        <v>116.34415584416</v>
      </c>
      <c r="I42" s="9">
        <f t="shared" si="1"/>
        <v>437.300332088</v>
      </c>
      <c r="J42" s="9">
        <f t="shared" si="2"/>
        <v>936.76345549425992</v>
      </c>
      <c r="K42" s="9">
        <f t="shared" si="3"/>
        <v>437.300332088</v>
      </c>
      <c r="L42" s="10">
        <f t="shared" si="0"/>
        <v>0.46682044386250032</v>
      </c>
      <c r="M42" s="10">
        <f t="shared" si="4"/>
        <v>0.47632894118010854</v>
      </c>
      <c r="P42" s="8">
        <f t="shared" si="5"/>
        <v>6.8566653543565463</v>
      </c>
    </row>
    <row r="43" spans="1:16" x14ac:dyDescent="0.2">
      <c r="A43" s="8">
        <v>20.5</v>
      </c>
      <c r="B43" s="8">
        <v>41</v>
      </c>
      <c r="D43">
        <v>1072.5035877365001</v>
      </c>
      <c r="E43">
        <v>556.51467710372003</v>
      </c>
      <c r="F43" s="16">
        <v>134.60779220779</v>
      </c>
      <c r="G43" s="16">
        <v>116.56038961039</v>
      </c>
      <c r="I43" s="9">
        <f t="shared" si="1"/>
        <v>439.95428749333001</v>
      </c>
      <c r="J43" s="9">
        <f t="shared" si="2"/>
        <v>937.8957955287101</v>
      </c>
      <c r="K43" s="9">
        <f t="shared" si="3"/>
        <v>439.95428749333001</v>
      </c>
      <c r="L43" s="10">
        <f t="shared" si="0"/>
        <v>0.46908653348351909</v>
      </c>
      <c r="M43" s="10">
        <f t="shared" si="4"/>
        <v>0.47883274323406749</v>
      </c>
      <c r="P43" s="8">
        <f t="shared" si="5"/>
        <v>7.4183526990948048</v>
      </c>
    </row>
    <row r="44" spans="1:16" x14ac:dyDescent="0.2">
      <c r="A44" s="8">
        <v>21</v>
      </c>
      <c r="B44" s="8">
        <v>42</v>
      </c>
      <c r="D44">
        <v>1074.2909328114999</v>
      </c>
      <c r="E44">
        <v>551.31376386170996</v>
      </c>
      <c r="F44" s="16">
        <v>134.27272727273001</v>
      </c>
      <c r="G44" s="16">
        <v>116.37077922077999</v>
      </c>
      <c r="I44" s="9">
        <f t="shared" si="1"/>
        <v>434.94298464092998</v>
      </c>
      <c r="J44" s="9">
        <f t="shared" si="2"/>
        <v>940.01820553876996</v>
      </c>
      <c r="K44" s="9">
        <f t="shared" si="3"/>
        <v>434.94298464092998</v>
      </c>
      <c r="L44" s="10">
        <f t="shared" si="0"/>
        <v>0.46269634149441086</v>
      </c>
      <c r="M44" s="10">
        <f t="shared" si="4"/>
        <v>0.4726802636778995</v>
      </c>
      <c r="P44" s="8">
        <f t="shared" si="5"/>
        <v>6.0381437884118503</v>
      </c>
    </row>
    <row r="45" spans="1:16" x14ac:dyDescent="0.2">
      <c r="A45" s="8">
        <v>21.5</v>
      </c>
      <c r="B45" s="8">
        <v>43</v>
      </c>
      <c r="D45">
        <v>1066.9497716895</v>
      </c>
      <c r="E45">
        <v>545.37964774951001</v>
      </c>
      <c r="F45" s="16">
        <v>134.27077922078001</v>
      </c>
      <c r="G45" s="16">
        <v>116.58961038961</v>
      </c>
      <c r="I45" s="9">
        <f t="shared" si="1"/>
        <v>428.7900373599</v>
      </c>
      <c r="J45" s="9">
        <f t="shared" si="2"/>
        <v>932.67899246872003</v>
      </c>
      <c r="K45" s="9">
        <f t="shared" si="3"/>
        <v>428.7900373599</v>
      </c>
      <c r="L45" s="10">
        <f t="shared" si="0"/>
        <v>0.459740211607994</v>
      </c>
      <c r="M45" s="10">
        <f t="shared" si="4"/>
        <v>0.46996184622442283</v>
      </c>
      <c r="P45" s="8">
        <f t="shared" si="5"/>
        <v>5.4283109628020316</v>
      </c>
    </row>
    <row r="46" spans="1:16" x14ac:dyDescent="0.2">
      <c r="A46" s="8">
        <v>22</v>
      </c>
      <c r="B46" s="8">
        <v>44</v>
      </c>
      <c r="D46">
        <v>1068.9145466406001</v>
      </c>
      <c r="E46">
        <v>545.64774951076004</v>
      </c>
      <c r="F46" s="16">
        <v>134.41753246753001</v>
      </c>
      <c r="G46" s="16">
        <v>116.72077922078</v>
      </c>
      <c r="I46" s="9">
        <f t="shared" si="1"/>
        <v>428.92697028998003</v>
      </c>
      <c r="J46" s="9">
        <f t="shared" si="2"/>
        <v>934.49701417307006</v>
      </c>
      <c r="K46" s="9">
        <f t="shared" si="3"/>
        <v>428.92697028998003</v>
      </c>
      <c r="L46" s="10">
        <f t="shared" si="0"/>
        <v>0.45899233896379493</v>
      </c>
      <c r="M46" s="10">
        <f t="shared" si="4"/>
        <v>0.469451686013164</v>
      </c>
      <c r="P46" s="8">
        <f t="shared" si="5"/>
        <v>5.3138648012135015</v>
      </c>
    </row>
    <row r="47" spans="1:16" x14ac:dyDescent="0.2">
      <c r="A47" s="8">
        <v>22.5</v>
      </c>
      <c r="B47" s="8">
        <v>45</v>
      </c>
      <c r="D47">
        <v>1076.0228310502</v>
      </c>
      <c r="E47">
        <v>551.50358773645996</v>
      </c>
      <c r="F47" s="16">
        <v>134</v>
      </c>
      <c r="G47" s="16">
        <v>116.36818181818001</v>
      </c>
      <c r="I47" s="9">
        <f t="shared" si="1"/>
        <v>435.13540591827996</v>
      </c>
      <c r="J47" s="9">
        <f t="shared" si="2"/>
        <v>942.02283105020001</v>
      </c>
      <c r="K47" s="9">
        <f t="shared" si="3"/>
        <v>435.13540591827996</v>
      </c>
      <c r="L47" s="10">
        <f t="shared" si="0"/>
        <v>0.46191598714563614</v>
      </c>
      <c r="M47" s="10">
        <f t="shared" si="4"/>
        <v>0.4726130466279454</v>
      </c>
      <c r="P47" s="8">
        <f t="shared" si="5"/>
        <v>6.0230647344386492</v>
      </c>
    </row>
    <row r="48" spans="1:16" x14ac:dyDescent="0.2">
      <c r="A48" s="8">
        <v>23</v>
      </c>
      <c r="B48" s="8">
        <v>46</v>
      </c>
      <c r="D48">
        <v>1079.4194390084999</v>
      </c>
      <c r="E48">
        <v>554.78734507501997</v>
      </c>
      <c r="F48" s="16">
        <v>134.32662337662001</v>
      </c>
      <c r="G48" s="16">
        <v>116.5551948052</v>
      </c>
      <c r="I48" s="9">
        <f t="shared" si="1"/>
        <v>438.23215026981995</v>
      </c>
      <c r="J48" s="9">
        <f t="shared" si="2"/>
        <v>945.09281563187994</v>
      </c>
      <c r="K48" s="9">
        <f t="shared" si="3"/>
        <v>438.23215026981995</v>
      </c>
      <c r="L48" s="10">
        <f t="shared" si="0"/>
        <v>0.46369218242001148</v>
      </c>
      <c r="M48" s="10">
        <f t="shared" si="4"/>
        <v>0.47462695433526092</v>
      </c>
      <c r="P48" s="8">
        <f t="shared" si="5"/>
        <v>6.4748522353240991</v>
      </c>
    </row>
    <row r="49" spans="1:25" x14ac:dyDescent="0.2">
      <c r="A49" s="8">
        <v>23.5</v>
      </c>
      <c r="B49" s="8">
        <v>47</v>
      </c>
      <c r="D49">
        <v>1072.6836268754</v>
      </c>
      <c r="E49">
        <v>543.47162426615</v>
      </c>
      <c r="F49" s="16">
        <v>134.32467532467999</v>
      </c>
      <c r="G49" s="16">
        <v>116.35714285714</v>
      </c>
      <c r="I49" s="9">
        <f t="shared" si="1"/>
        <v>427.11448140901001</v>
      </c>
      <c r="J49" s="9">
        <f t="shared" si="2"/>
        <v>938.35895155072001</v>
      </c>
      <c r="K49" s="9">
        <f t="shared" si="3"/>
        <v>427.11448140901001</v>
      </c>
      <c r="L49" s="10">
        <f t="shared" si="0"/>
        <v>0.45517174499498947</v>
      </c>
      <c r="M49" s="10">
        <f t="shared" si="4"/>
        <v>0.46634422934317915</v>
      </c>
      <c r="P49" s="8">
        <f t="shared" si="5"/>
        <v>4.6167573429409217</v>
      </c>
    </row>
    <row r="50" spans="1:25" x14ac:dyDescent="0.2">
      <c r="A50" s="8">
        <v>24</v>
      </c>
      <c r="B50" s="8">
        <v>48</v>
      </c>
      <c r="D50">
        <v>1063.9491193737999</v>
      </c>
      <c r="E50">
        <v>541.66144814090001</v>
      </c>
      <c r="F50" s="16">
        <v>134.21103896104</v>
      </c>
      <c r="G50" s="16">
        <v>116.62142857143</v>
      </c>
      <c r="I50" s="9">
        <f t="shared" si="1"/>
        <v>425.04001956947002</v>
      </c>
      <c r="J50" s="9">
        <f t="shared" si="2"/>
        <v>929.73808041275993</v>
      </c>
      <c r="K50" s="9">
        <f t="shared" si="3"/>
        <v>425.04001956947002</v>
      </c>
      <c r="L50" s="10">
        <f t="shared" si="0"/>
        <v>0.45716103118070872</v>
      </c>
      <c r="M50" s="10">
        <f t="shared" si="4"/>
        <v>0.46857122796183859</v>
      </c>
      <c r="P50" s="8">
        <f t="shared" si="5"/>
        <v>5.1163483305242794</v>
      </c>
    </row>
    <row r="51" spans="1:25" x14ac:dyDescent="0.2">
      <c r="A51" s="8">
        <v>24.5</v>
      </c>
      <c r="B51" s="8">
        <v>49</v>
      </c>
      <c r="D51">
        <v>1070.4103065884001</v>
      </c>
      <c r="E51">
        <v>544.84148727983995</v>
      </c>
      <c r="F51" s="16">
        <v>134.42922077922</v>
      </c>
      <c r="G51" s="16">
        <v>116.30649350649</v>
      </c>
      <c r="I51" s="9">
        <f t="shared" si="1"/>
        <v>428.53499377334992</v>
      </c>
      <c r="J51" s="9">
        <f t="shared" si="2"/>
        <v>935.98108580918006</v>
      </c>
      <c r="K51" s="9">
        <f t="shared" si="3"/>
        <v>428.53499377334992</v>
      </c>
      <c r="L51" s="10">
        <f t="shared" si="0"/>
        <v>0.45784578371353546</v>
      </c>
      <c r="M51" s="10">
        <f t="shared" si="4"/>
        <v>0.46949369292760551</v>
      </c>
      <c r="P51" s="8">
        <f t="shared" si="5"/>
        <v>5.3232883705391947</v>
      </c>
    </row>
    <row r="52" spans="1:25" x14ac:dyDescent="0.2">
      <c r="A52" s="8">
        <v>25</v>
      </c>
      <c r="B52" s="8">
        <v>50</v>
      </c>
      <c r="D52">
        <v>1067.7058056098999</v>
      </c>
      <c r="E52">
        <v>539.25244618395004</v>
      </c>
      <c r="F52" s="16">
        <v>134.10064935065</v>
      </c>
      <c r="G52" s="16">
        <v>116.62142857143</v>
      </c>
      <c r="I52" s="9">
        <f t="shared" si="1"/>
        <v>422.63101761252005</v>
      </c>
      <c r="J52" s="9">
        <f t="shared" si="2"/>
        <v>933.60515625924995</v>
      </c>
      <c r="K52" s="9">
        <f t="shared" si="3"/>
        <v>422.63101761252005</v>
      </c>
      <c r="L52" s="10">
        <f t="shared" si="0"/>
        <v>0.45268710736978934</v>
      </c>
      <c r="M52" s="10">
        <f t="shared" si="4"/>
        <v>0.46457272901679963</v>
      </c>
      <c r="P52" s="8">
        <f t="shared" si="5"/>
        <v>4.2193500027904669</v>
      </c>
    </row>
    <row r="53" spans="1:25" x14ac:dyDescent="0.2">
      <c r="A53" s="8">
        <v>25.5</v>
      </c>
      <c r="B53" s="8">
        <v>51</v>
      </c>
      <c r="D53">
        <v>1074.3170254403001</v>
      </c>
      <c r="E53">
        <v>541.88649706458</v>
      </c>
      <c r="F53" s="16">
        <v>134.61363636364001</v>
      </c>
      <c r="G53" s="16">
        <v>116.54285714286</v>
      </c>
      <c r="I53" s="9">
        <f t="shared" si="1"/>
        <v>425.34363992172001</v>
      </c>
      <c r="J53" s="9">
        <f t="shared" si="2"/>
        <v>939.70338907666007</v>
      </c>
      <c r="K53" s="9">
        <f t="shared" si="3"/>
        <v>425.34363992172001</v>
      </c>
      <c r="L53" s="10">
        <f t="shared" si="0"/>
        <v>0.45263606034203724</v>
      </c>
      <c r="M53" s="10">
        <f t="shared" si="4"/>
        <v>0.46475939442198771</v>
      </c>
      <c r="P53" s="8">
        <f t="shared" si="5"/>
        <v>4.2612253561670652</v>
      </c>
      <c r="S53" s="11"/>
      <c r="U53" s="12"/>
    </row>
    <row r="54" spans="1:25" x14ac:dyDescent="0.2">
      <c r="A54" s="8">
        <v>26</v>
      </c>
      <c r="B54" s="8">
        <v>52</v>
      </c>
      <c r="D54">
        <v>1064.6399217221001</v>
      </c>
      <c r="E54">
        <v>537.14546640573997</v>
      </c>
      <c r="F54" s="16">
        <v>134.66298701298999</v>
      </c>
      <c r="G54" s="16">
        <v>116.19480519481</v>
      </c>
      <c r="I54" s="9">
        <f t="shared" si="1"/>
        <v>420.95066121092998</v>
      </c>
      <c r="J54" s="9">
        <f t="shared" si="2"/>
        <v>929.97693470911008</v>
      </c>
      <c r="K54" s="9">
        <f t="shared" si="3"/>
        <v>420.95066121092998</v>
      </c>
      <c r="L54" s="10">
        <f t="shared" si="0"/>
        <v>0.4526463458393194</v>
      </c>
      <c r="M54" s="10">
        <f t="shared" si="4"/>
        <v>0.46500739235221011</v>
      </c>
      <c r="P54" s="8">
        <f t="shared" si="5"/>
        <v>4.3168596658789484</v>
      </c>
      <c r="S54" s="11"/>
    </row>
    <row r="55" spans="1:25" x14ac:dyDescent="0.2">
      <c r="A55" s="8">
        <v>26.5</v>
      </c>
      <c r="B55" s="8">
        <v>53</v>
      </c>
      <c r="D55">
        <v>1058.7103718200001</v>
      </c>
      <c r="E55">
        <v>531.02283105023002</v>
      </c>
      <c r="F55" s="16">
        <v>134.42142857143</v>
      </c>
      <c r="G55" s="16">
        <v>117.01428571429</v>
      </c>
      <c r="I55" s="9">
        <f t="shared" si="1"/>
        <v>414.00854533594003</v>
      </c>
      <c r="J55" s="9">
        <f t="shared" si="2"/>
        <v>924.28894324857015</v>
      </c>
      <c r="K55" s="9">
        <f t="shared" si="3"/>
        <v>414.00854533594003</v>
      </c>
      <c r="L55" s="10">
        <f t="shared" si="0"/>
        <v>0.4479211272189807</v>
      </c>
      <c r="M55" s="10">
        <f t="shared" si="4"/>
        <v>0.4605198861648116</v>
      </c>
      <c r="P55" s="8">
        <f t="shared" si="5"/>
        <v>3.3101605017373927</v>
      </c>
      <c r="S55" s="11"/>
    </row>
    <row r="56" spans="1:25" x14ac:dyDescent="0.2">
      <c r="A56" s="8">
        <v>27</v>
      </c>
      <c r="B56" s="8">
        <v>54</v>
      </c>
      <c r="D56">
        <v>1057.7110241357</v>
      </c>
      <c r="E56">
        <v>527.38290932812004</v>
      </c>
      <c r="F56" s="16">
        <v>134.34025974026</v>
      </c>
      <c r="G56" s="16">
        <v>116.76168831168999</v>
      </c>
      <c r="I56" s="9">
        <f t="shared" si="1"/>
        <v>410.62122101643001</v>
      </c>
      <c r="J56" s="9">
        <f t="shared" si="2"/>
        <v>923.37076439544001</v>
      </c>
      <c r="K56" s="9">
        <f t="shared" si="3"/>
        <v>410.62122101643001</v>
      </c>
      <c r="L56" s="10">
        <f t="shared" si="0"/>
        <v>0.44469809620329132</v>
      </c>
      <c r="M56" s="10">
        <f t="shared" si="4"/>
        <v>0.4575345675820624</v>
      </c>
      <c r="P56" s="8">
        <f t="shared" si="5"/>
        <v>2.6404527405783815</v>
      </c>
      <c r="S56" s="11"/>
    </row>
    <row r="57" spans="1:25" x14ac:dyDescent="0.2">
      <c r="A57" s="8">
        <v>27.5</v>
      </c>
      <c r="B57" s="8">
        <v>55</v>
      </c>
      <c r="D57">
        <v>1057.939334638</v>
      </c>
      <c r="E57">
        <v>518.35616438355999</v>
      </c>
      <c r="F57" s="16">
        <v>134.73376623377001</v>
      </c>
      <c r="G57" s="16">
        <v>116.56233766234</v>
      </c>
      <c r="I57" s="9">
        <f t="shared" si="1"/>
        <v>401.79382672122</v>
      </c>
      <c r="J57" s="9">
        <f t="shared" si="2"/>
        <v>923.20556840423001</v>
      </c>
      <c r="K57" s="9">
        <f t="shared" si="3"/>
        <v>401.79382672122</v>
      </c>
      <c r="L57" s="10">
        <f t="shared" si="0"/>
        <v>0.43521599140235323</v>
      </c>
      <c r="M57" s="10">
        <f t="shared" si="4"/>
        <v>0.44829017521406456</v>
      </c>
      <c r="P57" s="8">
        <f t="shared" si="5"/>
        <v>0.56662338386499456</v>
      </c>
      <c r="S57" s="11"/>
    </row>
    <row r="58" spans="1:25" x14ac:dyDescent="0.2">
      <c r="A58" s="8">
        <v>28</v>
      </c>
      <c r="B58" s="8">
        <v>56</v>
      </c>
      <c r="D58">
        <v>1057.5453359426001</v>
      </c>
      <c r="E58">
        <v>515.24657534247001</v>
      </c>
      <c r="F58" s="16">
        <v>134.45194805195001</v>
      </c>
      <c r="G58" s="16">
        <v>116.34415584416</v>
      </c>
      <c r="I58" s="9">
        <f t="shared" si="1"/>
        <v>398.90241949831</v>
      </c>
      <c r="J58" s="9">
        <f t="shared" si="2"/>
        <v>923.09338789065009</v>
      </c>
      <c r="K58" s="9">
        <f t="shared" si="3"/>
        <v>398.90241949831</v>
      </c>
      <c r="L58" s="10">
        <f t="shared" si="0"/>
        <v>0.43213657982085352</v>
      </c>
      <c r="M58" s="10">
        <f t="shared" si="4"/>
        <v>0.44544847606550503</v>
      </c>
      <c r="P58" s="8">
        <f t="shared" si="5"/>
        <v>-7.0865688713881797E-2</v>
      </c>
      <c r="S58" s="11"/>
    </row>
    <row r="59" spans="1:25" x14ac:dyDescent="0.2">
      <c r="A59" s="8">
        <v>28.5</v>
      </c>
      <c r="B59" s="8">
        <v>57</v>
      </c>
      <c r="D59">
        <v>1059.7534246575001</v>
      </c>
      <c r="E59">
        <v>514.18134377038996</v>
      </c>
      <c r="F59" s="16">
        <v>134.63961038961</v>
      </c>
      <c r="G59" s="16">
        <v>116.74220779221</v>
      </c>
      <c r="I59" s="9">
        <f t="shared" si="1"/>
        <v>397.43913597817993</v>
      </c>
      <c r="J59" s="9">
        <f t="shared" si="2"/>
        <v>925.11381426789012</v>
      </c>
      <c r="K59" s="9">
        <f t="shared" si="3"/>
        <v>397.43913597817993</v>
      </c>
      <c r="L59" s="10">
        <f t="shared" si="0"/>
        <v>0.42961107038781216</v>
      </c>
      <c r="M59" s="10">
        <f t="shared" si="4"/>
        <v>0.44316067906540385</v>
      </c>
      <c r="P59" s="8">
        <f t="shared" si="5"/>
        <v>-0.58409580618867785</v>
      </c>
      <c r="R59" s="1"/>
      <c r="S59" s="11"/>
    </row>
    <row r="60" spans="1:25" x14ac:dyDescent="0.2">
      <c r="A60" s="8">
        <v>29</v>
      </c>
      <c r="B60" s="8">
        <v>58</v>
      </c>
      <c r="D60">
        <v>1050.7977821265999</v>
      </c>
      <c r="E60">
        <v>503.73255055446998</v>
      </c>
      <c r="F60" s="16">
        <v>134.63051948052001</v>
      </c>
      <c r="G60" s="16">
        <v>116.44545454546</v>
      </c>
      <c r="I60" s="9">
        <f t="shared" si="1"/>
        <v>387.28709600900999</v>
      </c>
      <c r="J60" s="9">
        <f t="shared" si="2"/>
        <v>916.16726264607996</v>
      </c>
      <c r="K60" s="9">
        <f t="shared" si="3"/>
        <v>387.28709600900999</v>
      </c>
      <c r="L60" s="10">
        <f t="shared" si="0"/>
        <v>0.42272531643451766</v>
      </c>
      <c r="M60" s="10">
        <f t="shared" si="4"/>
        <v>0.4365126375450496</v>
      </c>
      <c r="P60" s="8">
        <f t="shared" si="5"/>
        <v>-2.0754759987135567</v>
      </c>
      <c r="S60" s="11"/>
    </row>
    <row r="61" spans="1:25" x14ac:dyDescent="0.2">
      <c r="A61" s="8">
        <v>29.5</v>
      </c>
      <c r="B61" s="8">
        <v>59</v>
      </c>
      <c r="C61" s="2"/>
      <c r="D61">
        <v>1048.3763861709001</v>
      </c>
      <c r="E61">
        <v>503.35355512068003</v>
      </c>
      <c r="F61" s="16">
        <v>134.65649350648999</v>
      </c>
      <c r="G61" s="16">
        <v>116.55454545455</v>
      </c>
      <c r="I61" s="9">
        <f t="shared" si="1"/>
        <v>386.79900966613002</v>
      </c>
      <c r="J61" s="9">
        <f t="shared" si="2"/>
        <v>913.71989266441005</v>
      </c>
      <c r="K61" s="9">
        <f t="shared" si="3"/>
        <v>386.79900966613002</v>
      </c>
      <c r="L61" s="10">
        <f t="shared" si="0"/>
        <v>0.42332339787221102</v>
      </c>
      <c r="M61" s="10">
        <f t="shared" si="4"/>
        <v>0.43734843141568314</v>
      </c>
      <c r="P61" s="8">
        <f t="shared" si="5"/>
        <v>-1.8879792118959349</v>
      </c>
      <c r="S61" s="11"/>
    </row>
    <row r="62" spans="1:25" x14ac:dyDescent="0.2">
      <c r="A62" s="8">
        <v>30</v>
      </c>
      <c r="B62" s="8">
        <v>60</v>
      </c>
      <c r="D62">
        <v>1049.1467710372001</v>
      </c>
      <c r="E62">
        <v>507.45792563600997</v>
      </c>
      <c r="F62" s="16">
        <v>134.89350649350999</v>
      </c>
      <c r="G62" s="16">
        <v>116.77597402597</v>
      </c>
      <c r="I62" s="9">
        <f t="shared" si="1"/>
        <v>390.68195161003996</v>
      </c>
      <c r="J62" s="9">
        <f t="shared" si="2"/>
        <v>914.25326454369008</v>
      </c>
      <c r="K62" s="9">
        <f t="shared" si="3"/>
        <v>390.68195161003996</v>
      </c>
      <c r="L62" s="10">
        <f t="shared" si="0"/>
        <v>0.42732355110050596</v>
      </c>
      <c r="M62" s="10">
        <f t="shared" si="4"/>
        <v>0.44158629707691832</v>
      </c>
      <c r="P62" s="8">
        <f t="shared" si="5"/>
        <v>-0.93728284720013844</v>
      </c>
      <c r="U62" s="1" t="s">
        <v>9</v>
      </c>
      <c r="X62" s="1" t="s">
        <v>10</v>
      </c>
    </row>
    <row r="63" spans="1:25" x14ac:dyDescent="0.2">
      <c r="A63" s="8">
        <v>30.5</v>
      </c>
      <c r="B63" s="8">
        <v>61</v>
      </c>
      <c r="D63">
        <v>1046.6040443575</v>
      </c>
      <c r="E63">
        <v>500.69732550555</v>
      </c>
      <c r="F63" s="16">
        <v>134.57012987012999</v>
      </c>
      <c r="G63" s="16">
        <v>116.77857142857</v>
      </c>
      <c r="I63" s="9">
        <f t="shared" si="1"/>
        <v>383.91875407698001</v>
      </c>
      <c r="J63" s="9">
        <f t="shared" si="2"/>
        <v>912.03391448737</v>
      </c>
      <c r="K63" s="9">
        <f t="shared" si="3"/>
        <v>383.91875407698001</v>
      </c>
      <c r="L63" s="10">
        <f t="shared" si="0"/>
        <v>0.42094789237390423</v>
      </c>
      <c r="M63" s="10">
        <f t="shared" si="4"/>
        <v>0.43544835078325678</v>
      </c>
      <c r="P63" s="8">
        <f t="shared" si="5"/>
        <v>-2.3142314563689532</v>
      </c>
    </row>
    <row r="64" spans="1:25" x14ac:dyDescent="0.2">
      <c r="A64" s="8">
        <v>31</v>
      </c>
      <c r="B64" s="8">
        <v>62</v>
      </c>
      <c r="D64">
        <v>1055.6699282453001</v>
      </c>
      <c r="E64">
        <v>508.54076973255002</v>
      </c>
      <c r="F64" s="16">
        <v>134.68831168830999</v>
      </c>
      <c r="G64" s="16">
        <v>116.66168831169</v>
      </c>
      <c r="I64" s="9">
        <f t="shared" si="1"/>
        <v>391.87908142086002</v>
      </c>
      <c r="J64" s="9">
        <f t="shared" si="2"/>
        <v>920.98161655699005</v>
      </c>
      <c r="K64" s="9">
        <f t="shared" si="3"/>
        <v>391.87908142086002</v>
      </c>
      <c r="L64" s="10">
        <f t="shared" si="0"/>
        <v>0.42550152399986657</v>
      </c>
      <c r="M64" s="10">
        <f t="shared" si="4"/>
        <v>0.4402396948421593</v>
      </c>
      <c r="P64" s="8">
        <f t="shared" si="5"/>
        <v>-1.2393711981799806</v>
      </c>
      <c r="U64" s="8">
        <v>30.5</v>
      </c>
      <c r="V64" s="10">
        <f>L62</f>
        <v>0.42732355110050596</v>
      </c>
      <c r="X64" s="8">
        <v>-13</v>
      </c>
      <c r="Y64" s="10"/>
    </row>
    <row r="65" spans="1:25" x14ac:dyDescent="0.2">
      <c r="A65" s="8">
        <v>31.5</v>
      </c>
      <c r="B65" s="8">
        <v>63</v>
      </c>
      <c r="D65">
        <v>1050.8571428570999</v>
      </c>
      <c r="E65">
        <v>508.25179386822998</v>
      </c>
      <c r="F65" s="16">
        <v>134.33961038960999</v>
      </c>
      <c r="G65" s="16">
        <v>116.54675324675</v>
      </c>
      <c r="I65" s="9">
        <f t="shared" si="1"/>
        <v>391.70504062147995</v>
      </c>
      <c r="J65" s="9">
        <f t="shared" si="2"/>
        <v>916.5175324674899</v>
      </c>
      <c r="K65" s="9">
        <f t="shared" si="3"/>
        <v>391.70504062147995</v>
      </c>
      <c r="L65" s="10">
        <f t="shared" si="0"/>
        <v>0.42738412168386342</v>
      </c>
      <c r="M65" s="10">
        <f t="shared" si="4"/>
        <v>0.44236000495909639</v>
      </c>
      <c r="P65" s="8">
        <f t="shared" si="5"/>
        <v>-0.76371404400481002</v>
      </c>
      <c r="U65" s="8">
        <v>31</v>
      </c>
      <c r="V65" s="10">
        <f t="shared" ref="V65:V83" si="6">L63</f>
        <v>0.42094789237390423</v>
      </c>
      <c r="X65" s="8">
        <v>-13</v>
      </c>
      <c r="Y65" s="10"/>
    </row>
    <row r="66" spans="1:25" x14ac:dyDescent="0.2">
      <c r="A66" s="8">
        <v>32</v>
      </c>
      <c r="B66" s="8">
        <v>64</v>
      </c>
      <c r="D66">
        <v>1059.8688845401</v>
      </c>
      <c r="E66">
        <v>515.36986301369996</v>
      </c>
      <c r="F66" s="16">
        <v>134.78571428570999</v>
      </c>
      <c r="G66" s="16">
        <v>116.63116883117</v>
      </c>
      <c r="I66" s="9">
        <f t="shared" si="1"/>
        <v>398.73869418252997</v>
      </c>
      <c r="J66" s="9">
        <f t="shared" si="2"/>
        <v>925.08317025438998</v>
      </c>
      <c r="K66" s="9">
        <f t="shared" si="3"/>
        <v>398.73869418252997</v>
      </c>
      <c r="L66" s="10">
        <f t="shared" ref="L66:L129" si="7">K66/J66</f>
        <v>0.43103010302617462</v>
      </c>
      <c r="M66" s="10">
        <f t="shared" si="4"/>
        <v>0.44624369873434777</v>
      </c>
      <c r="P66" s="8">
        <f t="shared" si="5"/>
        <v>0.10752960760424975</v>
      </c>
      <c r="U66" s="8">
        <v>31.5</v>
      </c>
      <c r="V66" s="10">
        <f t="shared" si="6"/>
        <v>0.42550152399986657</v>
      </c>
      <c r="X66" s="8">
        <v>-13</v>
      </c>
      <c r="Y66" s="10"/>
    </row>
    <row r="67" spans="1:25" x14ac:dyDescent="0.2">
      <c r="A67" s="8">
        <v>32.5</v>
      </c>
      <c r="B67" s="8">
        <v>65</v>
      </c>
      <c r="D67">
        <v>1057.7527723418</v>
      </c>
      <c r="E67">
        <v>512.05740378343</v>
      </c>
      <c r="F67" s="16">
        <v>134.87727272727</v>
      </c>
      <c r="G67" s="16">
        <v>116.29805194805</v>
      </c>
      <c r="I67" s="9">
        <f t="shared" ref="I67:I130" si="8">E67-G67</f>
        <v>395.75935183538002</v>
      </c>
      <c r="J67" s="9">
        <f t="shared" ref="J67:J130" si="9">D67-F67</f>
        <v>922.87549961452999</v>
      </c>
      <c r="K67" s="9">
        <f t="shared" ref="K67:K130" si="10">I67*1</f>
        <v>395.75935183538002</v>
      </c>
      <c r="L67" s="10">
        <f t="shared" si="7"/>
        <v>0.42883287290721472</v>
      </c>
      <c r="M67" s="10">
        <f t="shared" ref="M67:M130" si="11">L67+ABS($N$2)*A67</f>
        <v>0.44428418104832806</v>
      </c>
      <c r="P67" s="8">
        <f t="shared" ref="P67:P130" si="12">(M67-$O$2)/$O$2*100</f>
        <v>-0.33205637495685975</v>
      </c>
      <c r="U67" s="8">
        <v>32</v>
      </c>
      <c r="V67" s="10">
        <f t="shared" si="6"/>
        <v>0.42738412168386342</v>
      </c>
      <c r="X67" s="8">
        <v>-13</v>
      </c>
      <c r="Y67" s="10"/>
    </row>
    <row r="68" spans="1:25" x14ac:dyDescent="0.2">
      <c r="A68" s="8">
        <v>33</v>
      </c>
      <c r="B68" s="8">
        <v>66</v>
      </c>
      <c r="D68">
        <v>1044.7397260273999</v>
      </c>
      <c r="E68">
        <v>505.92498369211</v>
      </c>
      <c r="F68" s="16">
        <v>134.53116883116999</v>
      </c>
      <c r="G68" s="16">
        <v>116.36168831169</v>
      </c>
      <c r="I68" s="9">
        <f t="shared" si="8"/>
        <v>389.56329538042002</v>
      </c>
      <c r="J68" s="9">
        <f t="shared" si="9"/>
        <v>910.20855719622989</v>
      </c>
      <c r="K68" s="9">
        <f t="shared" si="10"/>
        <v>389.56329538042002</v>
      </c>
      <c r="L68" s="10">
        <f t="shared" si="7"/>
        <v>0.42799344425020047</v>
      </c>
      <c r="M68" s="10">
        <f t="shared" si="11"/>
        <v>0.44368246482425405</v>
      </c>
      <c r="P68" s="8">
        <f t="shared" si="12"/>
        <v>-0.46704164172412016</v>
      </c>
      <c r="U68" s="8">
        <v>32.5</v>
      </c>
      <c r="V68" s="10">
        <f t="shared" si="6"/>
        <v>0.43103010302617462</v>
      </c>
      <c r="X68" s="8">
        <v>-13</v>
      </c>
      <c r="Y68" s="10"/>
    </row>
    <row r="69" spans="1:25" x14ac:dyDescent="0.2">
      <c r="A69" s="8">
        <v>33.5</v>
      </c>
      <c r="B69" s="8">
        <v>67</v>
      </c>
      <c r="D69">
        <v>1045.1709067188999</v>
      </c>
      <c r="E69">
        <v>508.49249836921001</v>
      </c>
      <c r="F69" s="16">
        <v>134.59155844156001</v>
      </c>
      <c r="G69" s="16">
        <v>116.20324675325</v>
      </c>
      <c r="I69" s="9">
        <f t="shared" si="8"/>
        <v>392.28925161595998</v>
      </c>
      <c r="J69" s="9">
        <f t="shared" si="9"/>
        <v>910.57934827733993</v>
      </c>
      <c r="K69" s="9">
        <f t="shared" si="10"/>
        <v>392.28925161595998</v>
      </c>
      <c r="L69" s="10">
        <f t="shared" si="7"/>
        <v>0.43081281423535905</v>
      </c>
      <c r="M69" s="10">
        <f t="shared" si="11"/>
        <v>0.44673954724235282</v>
      </c>
      <c r="P69" s="8">
        <f t="shared" si="12"/>
        <v>0.21876517090024086</v>
      </c>
      <c r="U69" s="8">
        <v>33</v>
      </c>
      <c r="V69" s="10">
        <f t="shared" si="6"/>
        <v>0.42883287290721472</v>
      </c>
      <c r="X69" s="8">
        <v>-13</v>
      </c>
      <c r="Y69" s="10"/>
    </row>
    <row r="70" spans="1:25" x14ac:dyDescent="0.2">
      <c r="A70" s="8">
        <v>34</v>
      </c>
      <c r="B70" s="8">
        <v>68</v>
      </c>
      <c r="D70">
        <v>1050.2139595563999</v>
      </c>
      <c r="E70">
        <v>511.65166340509001</v>
      </c>
      <c r="F70" s="16">
        <v>134.86038961039</v>
      </c>
      <c r="G70" s="16">
        <v>116.47207792208</v>
      </c>
      <c r="I70" s="9">
        <f t="shared" si="8"/>
        <v>395.17958548300999</v>
      </c>
      <c r="J70" s="9">
        <f t="shared" si="9"/>
        <v>915.35356994600988</v>
      </c>
      <c r="K70" s="9">
        <f t="shared" si="10"/>
        <v>395.17958548300999</v>
      </c>
      <c r="L70" s="10">
        <f t="shared" si="7"/>
        <v>0.43172343284389963</v>
      </c>
      <c r="M70" s="10">
        <f t="shared" si="11"/>
        <v>0.44788787828383364</v>
      </c>
      <c r="P70" s="8">
        <f t="shared" si="12"/>
        <v>0.47637459835079371</v>
      </c>
      <c r="U70" s="8">
        <v>33.5</v>
      </c>
      <c r="V70" s="10">
        <f t="shared" si="6"/>
        <v>0.42799344425020047</v>
      </c>
      <c r="X70" s="8">
        <v>-13</v>
      </c>
      <c r="Y70" s="10"/>
    </row>
    <row r="71" spans="1:25" x14ac:dyDescent="0.2">
      <c r="A71" s="8">
        <v>34.5</v>
      </c>
      <c r="B71" s="8">
        <v>69</v>
      </c>
      <c r="D71">
        <v>1051.3737769080001</v>
      </c>
      <c r="E71">
        <v>504.57729941292001</v>
      </c>
      <c r="F71" s="16">
        <v>134.72402597403001</v>
      </c>
      <c r="G71" s="16">
        <v>116.36493506494</v>
      </c>
      <c r="I71" s="9">
        <f t="shared" si="8"/>
        <v>388.21236434798004</v>
      </c>
      <c r="J71" s="9">
        <f t="shared" si="9"/>
        <v>916.64975093397004</v>
      </c>
      <c r="K71" s="9">
        <f t="shared" si="10"/>
        <v>388.21236434798004</v>
      </c>
      <c r="L71" s="10">
        <f t="shared" si="7"/>
        <v>0.4235122127643981</v>
      </c>
      <c r="M71" s="10">
        <f t="shared" si="11"/>
        <v>0.43991437063727229</v>
      </c>
      <c r="P71" s="8">
        <f t="shared" si="12"/>
        <v>-1.3123524023183599</v>
      </c>
      <c r="U71" s="8">
        <v>34</v>
      </c>
      <c r="V71" s="10">
        <f t="shared" si="6"/>
        <v>0.43081281423535905</v>
      </c>
      <c r="X71" s="8">
        <v>-13</v>
      </c>
      <c r="Y71" s="10"/>
    </row>
    <row r="72" spans="1:25" x14ac:dyDescent="0.2">
      <c r="A72" s="8">
        <v>35</v>
      </c>
      <c r="B72" s="8">
        <v>70</v>
      </c>
      <c r="D72">
        <v>1050.2237442922001</v>
      </c>
      <c r="E72">
        <v>507.63926940638999</v>
      </c>
      <c r="F72" s="16">
        <v>134.75064935065001</v>
      </c>
      <c r="G72" s="16">
        <v>116.66948051948</v>
      </c>
      <c r="I72" s="9">
        <f t="shared" si="8"/>
        <v>390.96978888691001</v>
      </c>
      <c r="J72" s="9">
        <f t="shared" si="9"/>
        <v>915.47309494155002</v>
      </c>
      <c r="K72" s="9">
        <f t="shared" si="10"/>
        <v>390.96978888691001</v>
      </c>
      <c r="L72" s="10">
        <f t="shared" si="7"/>
        <v>0.42706857366668122</v>
      </c>
      <c r="M72" s="10">
        <f t="shared" si="11"/>
        <v>0.44370844397249559</v>
      </c>
      <c r="P72" s="8">
        <f t="shared" si="12"/>
        <v>-0.46121364155482603</v>
      </c>
      <c r="U72" s="8">
        <v>34.5</v>
      </c>
      <c r="V72" s="10">
        <f t="shared" si="6"/>
        <v>0.43172343284389963</v>
      </c>
      <c r="X72" s="8">
        <v>-13</v>
      </c>
      <c r="Y72" s="10"/>
    </row>
    <row r="73" spans="1:25" x14ac:dyDescent="0.2">
      <c r="A73" s="8">
        <v>35.5</v>
      </c>
      <c r="B73" s="8">
        <v>71</v>
      </c>
      <c r="D73">
        <v>1052.6979778212999</v>
      </c>
      <c r="E73">
        <v>508.89823874755001</v>
      </c>
      <c r="F73" s="16">
        <v>134.75584415584001</v>
      </c>
      <c r="G73" s="16">
        <v>116.47922077922</v>
      </c>
      <c r="I73" s="9">
        <f t="shared" si="8"/>
        <v>392.41901796833002</v>
      </c>
      <c r="J73" s="9">
        <f t="shared" si="9"/>
        <v>917.94213366545989</v>
      </c>
      <c r="K73" s="9">
        <f t="shared" si="10"/>
        <v>392.41901796833002</v>
      </c>
      <c r="L73" s="10">
        <f t="shared" si="7"/>
        <v>0.42749864460557102</v>
      </c>
      <c r="M73" s="10">
        <f t="shared" si="11"/>
        <v>0.44437622734432564</v>
      </c>
      <c r="P73" s="8">
        <f t="shared" si="12"/>
        <v>-0.31140728270529</v>
      </c>
      <c r="U73" s="8">
        <v>35</v>
      </c>
      <c r="V73" s="10">
        <f t="shared" si="6"/>
        <v>0.4235122127643981</v>
      </c>
      <c r="X73" s="8">
        <v>-13</v>
      </c>
      <c r="Y73" s="10"/>
    </row>
    <row r="74" spans="1:25" x14ac:dyDescent="0.2">
      <c r="A74" s="8">
        <v>36</v>
      </c>
      <c r="B74" s="8">
        <v>72</v>
      </c>
      <c r="D74">
        <v>1041.9080234834</v>
      </c>
      <c r="E74">
        <v>502.92106979777998</v>
      </c>
      <c r="F74" s="16">
        <v>134.88441558442</v>
      </c>
      <c r="G74" s="16">
        <v>116.45779220779001</v>
      </c>
      <c r="I74" s="9">
        <f t="shared" si="8"/>
        <v>386.46327758998996</v>
      </c>
      <c r="J74" s="9">
        <f t="shared" si="9"/>
        <v>907.02360789898</v>
      </c>
      <c r="K74" s="9">
        <f t="shared" si="10"/>
        <v>386.46327758998996</v>
      </c>
      <c r="L74" s="10">
        <f t="shared" si="7"/>
        <v>0.42607852124730189</v>
      </c>
      <c r="M74" s="10">
        <f t="shared" si="11"/>
        <v>0.44319381641899669</v>
      </c>
      <c r="P74" s="8">
        <f t="shared" si="12"/>
        <v>-0.57666197885325243</v>
      </c>
      <c r="U74" s="8">
        <v>35.5</v>
      </c>
      <c r="V74" s="10">
        <f t="shared" si="6"/>
        <v>0.42706857366668122</v>
      </c>
      <c r="X74" s="8">
        <v>-13</v>
      </c>
      <c r="Y74" s="10"/>
    </row>
    <row r="75" spans="1:25" x14ac:dyDescent="0.2">
      <c r="A75" s="8">
        <v>36.5</v>
      </c>
      <c r="B75" s="8">
        <v>73</v>
      </c>
      <c r="D75">
        <v>1044.3900848010001</v>
      </c>
      <c r="E75">
        <v>507.23157208088998</v>
      </c>
      <c r="F75" s="16">
        <v>135.0487012987</v>
      </c>
      <c r="G75" s="16">
        <v>116.26948051948</v>
      </c>
      <c r="I75" s="9">
        <f t="shared" si="8"/>
        <v>390.96209156140998</v>
      </c>
      <c r="J75" s="9">
        <f t="shared" si="9"/>
        <v>909.3413835023</v>
      </c>
      <c r="K75" s="9">
        <f t="shared" si="10"/>
        <v>390.96209156140998</v>
      </c>
      <c r="L75" s="10">
        <f t="shared" si="7"/>
        <v>0.42993984289555992</v>
      </c>
      <c r="M75" s="10">
        <f t="shared" si="11"/>
        <v>0.44729285050019491</v>
      </c>
      <c r="P75" s="8">
        <f t="shared" si="12"/>
        <v>0.34288977461679548</v>
      </c>
      <c r="U75" s="8">
        <v>36</v>
      </c>
      <c r="V75" s="10">
        <f t="shared" si="6"/>
        <v>0.42749864460557102</v>
      </c>
      <c r="X75" s="8">
        <v>-13</v>
      </c>
      <c r="Y75" s="10"/>
    </row>
    <row r="76" spans="1:25" x14ac:dyDescent="0.2">
      <c r="A76" s="8">
        <v>37</v>
      </c>
      <c r="B76" s="8">
        <v>74</v>
      </c>
      <c r="D76">
        <v>1042.9354207435999</v>
      </c>
      <c r="E76">
        <v>509.28832354859998</v>
      </c>
      <c r="F76" s="16">
        <v>134.36558441558</v>
      </c>
      <c r="G76" s="16">
        <v>116.60454545455001</v>
      </c>
      <c r="I76" s="9">
        <f t="shared" si="8"/>
        <v>392.68377809404996</v>
      </c>
      <c r="J76" s="9">
        <f t="shared" si="9"/>
        <v>908.56983632801996</v>
      </c>
      <c r="K76" s="9">
        <f t="shared" si="10"/>
        <v>392.68377809404996</v>
      </c>
      <c r="L76" s="10">
        <f t="shared" si="7"/>
        <v>0.43219988425004213</v>
      </c>
      <c r="M76" s="10">
        <f t="shared" si="11"/>
        <v>0.44979060428761736</v>
      </c>
      <c r="P76" s="8">
        <f t="shared" si="12"/>
        <v>0.90322028894356876</v>
      </c>
      <c r="U76" s="8">
        <v>36.5</v>
      </c>
      <c r="V76" s="10">
        <f t="shared" si="6"/>
        <v>0.42607852124730189</v>
      </c>
      <c r="X76" s="8">
        <v>-13</v>
      </c>
      <c r="Y76" s="10"/>
    </row>
    <row r="77" spans="1:25" x14ac:dyDescent="0.2">
      <c r="A77" s="8">
        <v>37.5</v>
      </c>
      <c r="B77" s="8">
        <v>75</v>
      </c>
      <c r="D77">
        <v>1044.9249836921001</v>
      </c>
      <c r="E77">
        <v>513.47749510763003</v>
      </c>
      <c r="F77" s="16">
        <v>134.41688311688</v>
      </c>
      <c r="G77" s="16">
        <v>116.08701298701</v>
      </c>
      <c r="I77" s="9">
        <f t="shared" si="8"/>
        <v>397.39048212062005</v>
      </c>
      <c r="J77" s="9">
        <f t="shared" si="9"/>
        <v>910.50810057522017</v>
      </c>
      <c r="K77" s="9">
        <f t="shared" si="10"/>
        <v>397.39048212062005</v>
      </c>
      <c r="L77" s="10">
        <f t="shared" si="7"/>
        <v>0.43644914511970373</v>
      </c>
      <c r="M77" s="10">
        <f t="shared" si="11"/>
        <v>0.45427757759021914</v>
      </c>
      <c r="P77" s="8">
        <f t="shared" si="12"/>
        <v>1.9097999090316897</v>
      </c>
      <c r="U77" s="8">
        <v>37</v>
      </c>
      <c r="V77" s="10">
        <f t="shared" si="6"/>
        <v>0.42993984289555992</v>
      </c>
      <c r="X77" s="8">
        <v>-13</v>
      </c>
      <c r="Y77" s="10"/>
    </row>
    <row r="78" spans="1:25" x14ac:dyDescent="0.2">
      <c r="A78" s="8">
        <v>38</v>
      </c>
      <c r="B78" s="8">
        <v>76</v>
      </c>
      <c r="D78">
        <v>1042.2426614481001</v>
      </c>
      <c r="E78">
        <v>511.25636007828001</v>
      </c>
      <c r="F78" s="16">
        <v>134.74220779221</v>
      </c>
      <c r="G78" s="16">
        <v>116.4512987013</v>
      </c>
      <c r="I78" s="9">
        <f t="shared" si="8"/>
        <v>394.80506137698001</v>
      </c>
      <c r="J78" s="9">
        <f t="shared" si="9"/>
        <v>907.50045365589006</v>
      </c>
      <c r="K78" s="9">
        <f t="shared" si="10"/>
        <v>394.80506137698001</v>
      </c>
      <c r="L78" s="10">
        <f t="shared" si="7"/>
        <v>0.435046682110733</v>
      </c>
      <c r="M78" s="10">
        <f t="shared" si="11"/>
        <v>0.45311282701418865</v>
      </c>
      <c r="P78" s="8">
        <f t="shared" si="12"/>
        <v>1.6485070255553458</v>
      </c>
      <c r="U78" s="8">
        <v>37.5</v>
      </c>
      <c r="V78" s="10">
        <f t="shared" si="6"/>
        <v>0.43219988425004213</v>
      </c>
      <c r="X78" s="8">
        <v>-13</v>
      </c>
      <c r="Y78" s="10"/>
    </row>
    <row r="79" spans="1:25" x14ac:dyDescent="0.2">
      <c r="A79" s="8">
        <v>38.5</v>
      </c>
      <c r="B79" s="8">
        <v>77</v>
      </c>
      <c r="D79">
        <v>1038.4592302675001</v>
      </c>
      <c r="E79">
        <v>507.08284409653999</v>
      </c>
      <c r="F79" s="16">
        <v>134.43961038961001</v>
      </c>
      <c r="G79" s="16">
        <v>116.47142857143</v>
      </c>
      <c r="I79" s="9">
        <f t="shared" si="8"/>
        <v>390.61141552510998</v>
      </c>
      <c r="J79" s="9">
        <f t="shared" si="9"/>
        <v>904.01961987789002</v>
      </c>
      <c r="K79" s="9">
        <f t="shared" si="10"/>
        <v>390.61141552510998</v>
      </c>
      <c r="L79" s="10">
        <f t="shared" si="7"/>
        <v>0.43208289614098377</v>
      </c>
      <c r="M79" s="10">
        <f t="shared" si="11"/>
        <v>0.45038675347737961</v>
      </c>
      <c r="P79" s="8">
        <f t="shared" si="12"/>
        <v>1.0369566819367644</v>
      </c>
      <c r="U79" s="8">
        <v>38</v>
      </c>
      <c r="V79" s="10">
        <f t="shared" si="6"/>
        <v>0.43644914511970373</v>
      </c>
      <c r="X79" s="8">
        <v>-13</v>
      </c>
      <c r="Y79" s="10"/>
    </row>
    <row r="80" spans="1:25" x14ac:dyDescent="0.2">
      <c r="A80" s="8">
        <v>39</v>
      </c>
      <c r="B80" s="8">
        <v>78</v>
      </c>
      <c r="D80">
        <v>1040.6386170907001</v>
      </c>
      <c r="E80">
        <v>504.92954990214997</v>
      </c>
      <c r="F80" s="16">
        <v>134.8038961039</v>
      </c>
      <c r="G80" s="16">
        <v>116.50194805195</v>
      </c>
      <c r="I80" s="9">
        <f t="shared" si="8"/>
        <v>388.42760185019995</v>
      </c>
      <c r="J80" s="9">
        <f t="shared" si="9"/>
        <v>905.83472098680011</v>
      </c>
      <c r="K80" s="9">
        <f t="shared" si="10"/>
        <v>388.42760185019995</v>
      </c>
      <c r="L80" s="10">
        <f t="shared" si="7"/>
        <v>0.42880626327400423</v>
      </c>
      <c r="M80" s="10">
        <f t="shared" si="11"/>
        <v>0.44734783304334025</v>
      </c>
      <c r="P80" s="8">
        <f t="shared" si="12"/>
        <v>0.35522421559923384</v>
      </c>
      <c r="U80" s="8">
        <v>38.5</v>
      </c>
      <c r="V80" s="10">
        <f t="shared" si="6"/>
        <v>0.435046682110733</v>
      </c>
      <c r="X80" s="8">
        <v>-13</v>
      </c>
      <c r="Y80" s="10"/>
    </row>
    <row r="81" spans="1:25" x14ac:dyDescent="0.2">
      <c r="A81" s="8">
        <v>39.5</v>
      </c>
      <c r="B81" s="8">
        <v>79</v>
      </c>
      <c r="D81">
        <v>1054.1692607003999</v>
      </c>
      <c r="E81">
        <v>516.04345006485005</v>
      </c>
      <c r="F81" s="16">
        <v>134.99025974026</v>
      </c>
      <c r="G81" s="16">
        <v>116.53636363635999</v>
      </c>
      <c r="I81" s="9">
        <f t="shared" si="8"/>
        <v>399.50708642849008</v>
      </c>
      <c r="J81" s="9">
        <f t="shared" si="9"/>
        <v>919.17900096014</v>
      </c>
      <c r="K81" s="9">
        <f t="shared" si="10"/>
        <v>399.50708642849008</v>
      </c>
      <c r="L81" s="10">
        <f t="shared" si="7"/>
        <v>0.43463469684487999</v>
      </c>
      <c r="M81" s="10">
        <f t="shared" si="11"/>
        <v>0.45341397904715625</v>
      </c>
      <c r="P81" s="8">
        <f t="shared" si="12"/>
        <v>1.7160655953283193</v>
      </c>
      <c r="U81" s="8">
        <v>39</v>
      </c>
      <c r="V81" s="10">
        <f t="shared" si="6"/>
        <v>0.43208289614098377</v>
      </c>
      <c r="X81" s="8">
        <v>-13</v>
      </c>
      <c r="Y81" s="10"/>
    </row>
    <row r="82" spans="1:25" x14ac:dyDescent="0.2">
      <c r="A82" s="8">
        <v>40</v>
      </c>
      <c r="B82" s="13">
        <v>80</v>
      </c>
      <c r="C82" s="13" t="s">
        <v>11</v>
      </c>
      <c r="D82">
        <v>1054.9734111544001</v>
      </c>
      <c r="E82">
        <v>504.27626459144</v>
      </c>
      <c r="F82" s="16">
        <v>134.83181818182001</v>
      </c>
      <c r="G82" s="16">
        <v>116.23181818182</v>
      </c>
      <c r="H82" s="13"/>
      <c r="I82" s="14">
        <f t="shared" si="8"/>
        <v>388.04444640961998</v>
      </c>
      <c r="J82" s="14">
        <f t="shared" si="9"/>
        <v>920.14159297258004</v>
      </c>
      <c r="K82" s="9">
        <f t="shared" si="10"/>
        <v>388.04444640961998</v>
      </c>
      <c r="L82" s="15">
        <f t="shared" si="7"/>
        <v>0.42172253637183815</v>
      </c>
      <c r="M82" s="15">
        <f t="shared" si="11"/>
        <v>0.4407395310070546</v>
      </c>
      <c r="N82" s="13"/>
      <c r="O82" s="13"/>
      <c r="P82" s="13">
        <f t="shared" si="12"/>
        <v>-1.1272410687952412</v>
      </c>
      <c r="U82" s="8">
        <v>39.5</v>
      </c>
      <c r="V82" s="10">
        <f t="shared" si="6"/>
        <v>0.42880626327400423</v>
      </c>
      <c r="X82" s="8">
        <v>-13</v>
      </c>
      <c r="Y82" s="10"/>
    </row>
    <row r="83" spans="1:25" x14ac:dyDescent="0.2">
      <c r="A83" s="8">
        <v>40.5</v>
      </c>
      <c r="B83" s="8">
        <v>81</v>
      </c>
      <c r="D83">
        <v>1056.3612191959</v>
      </c>
      <c r="E83">
        <v>507.77561608300999</v>
      </c>
      <c r="F83" s="16">
        <v>134.36103896104001</v>
      </c>
      <c r="G83" s="16">
        <v>116.65454545455</v>
      </c>
      <c r="I83" s="9">
        <f t="shared" si="8"/>
        <v>391.12107062845996</v>
      </c>
      <c r="J83" s="9">
        <f t="shared" si="9"/>
        <v>922.00018023486007</v>
      </c>
      <c r="K83" s="9">
        <f t="shared" si="10"/>
        <v>391.12107062845996</v>
      </c>
      <c r="L83" s="10">
        <f t="shared" si="7"/>
        <v>0.42420932122684635</v>
      </c>
      <c r="M83" s="10">
        <f t="shared" si="11"/>
        <v>0.44346402829500298</v>
      </c>
      <c r="P83" s="8">
        <f t="shared" si="12"/>
        <v>-0.51604433102013658</v>
      </c>
      <c r="U83" s="8">
        <v>40</v>
      </c>
      <c r="V83" s="10">
        <f t="shared" si="6"/>
        <v>0.43463469684487999</v>
      </c>
      <c r="X83" s="8">
        <v>-13</v>
      </c>
      <c r="Y83" s="10"/>
    </row>
    <row r="84" spans="1:25" x14ac:dyDescent="0.2">
      <c r="A84" s="8">
        <v>41</v>
      </c>
      <c r="B84" s="8">
        <v>82</v>
      </c>
      <c r="D84">
        <v>1053.5175097276001</v>
      </c>
      <c r="E84">
        <v>508.22438391699001</v>
      </c>
      <c r="F84" s="16">
        <v>134.75909090908999</v>
      </c>
      <c r="G84" s="16">
        <v>116.65844155844</v>
      </c>
      <c r="I84" s="9">
        <f t="shared" si="8"/>
        <v>391.56594235854999</v>
      </c>
      <c r="J84" s="9">
        <f t="shared" si="9"/>
        <v>918.75841881851011</v>
      </c>
      <c r="K84" s="9">
        <f t="shared" si="10"/>
        <v>391.56594235854999</v>
      </c>
      <c r="L84" s="10">
        <f t="shared" si="7"/>
        <v>0.42619031764856047</v>
      </c>
      <c r="M84" s="10">
        <f t="shared" si="11"/>
        <v>0.44568273714965734</v>
      </c>
      <c r="P84" s="8">
        <f t="shared" si="12"/>
        <v>-1.8313017417457413E-2</v>
      </c>
      <c r="U84" s="8">
        <v>150.5</v>
      </c>
      <c r="V84" s="10">
        <f>L302</f>
        <v>0.39339969595758295</v>
      </c>
      <c r="X84" s="8">
        <v>-13</v>
      </c>
      <c r="Y84" s="10"/>
    </row>
    <row r="85" spans="1:25" x14ac:dyDescent="0.2">
      <c r="A85" s="8">
        <v>41.5</v>
      </c>
      <c r="B85" s="8">
        <v>83</v>
      </c>
      <c r="D85">
        <v>1060.2885862516</v>
      </c>
      <c r="E85">
        <v>510.77561608300999</v>
      </c>
      <c r="F85" s="16">
        <v>134.14545454546001</v>
      </c>
      <c r="G85" s="16">
        <v>116.3974025974</v>
      </c>
      <c r="I85" s="9">
        <f t="shared" si="8"/>
        <v>394.37821348560999</v>
      </c>
      <c r="J85" s="9">
        <f t="shared" si="9"/>
        <v>926.14313170614003</v>
      </c>
      <c r="K85" s="9">
        <f t="shared" si="10"/>
        <v>394.37821348560999</v>
      </c>
      <c r="L85" s="10">
        <f t="shared" si="7"/>
        <v>0.42582857874148117</v>
      </c>
      <c r="M85" s="10">
        <f t="shared" si="11"/>
        <v>0.44555871067551822</v>
      </c>
      <c r="P85" s="8">
        <f t="shared" si="12"/>
        <v>-4.6136343477238176E-2</v>
      </c>
      <c r="U85" s="8">
        <v>151</v>
      </c>
      <c r="V85" s="10">
        <f t="shared" ref="V85:V103" si="13">L303</f>
        <v>0.39713182541850223</v>
      </c>
      <c r="X85" s="8">
        <v>-13</v>
      </c>
      <c r="Y85" s="10"/>
    </row>
    <row r="86" spans="1:25" x14ac:dyDescent="0.2">
      <c r="A86" s="8">
        <v>42</v>
      </c>
      <c r="B86" s="8">
        <v>84</v>
      </c>
      <c r="D86">
        <v>1053.9967574579</v>
      </c>
      <c r="E86">
        <v>507.15045395589999</v>
      </c>
      <c r="F86" s="16">
        <v>134.50389610389999</v>
      </c>
      <c r="G86" s="16">
        <v>116.25</v>
      </c>
      <c r="I86" s="9">
        <f t="shared" si="8"/>
        <v>390.90045395589999</v>
      </c>
      <c r="J86" s="9">
        <f t="shared" si="9"/>
        <v>919.49286135400007</v>
      </c>
      <c r="K86" s="9">
        <f t="shared" si="10"/>
        <v>390.90045395589999</v>
      </c>
      <c r="L86" s="10">
        <f t="shared" si="7"/>
        <v>0.4251261433180451</v>
      </c>
      <c r="M86" s="10">
        <f t="shared" si="11"/>
        <v>0.4450939876850224</v>
      </c>
      <c r="P86" s="8">
        <f t="shared" si="12"/>
        <v>-0.15038940220354244</v>
      </c>
      <c r="U86" s="8">
        <v>151.5</v>
      </c>
      <c r="V86" s="10">
        <f t="shared" si="13"/>
        <v>0.39773461766740531</v>
      </c>
      <c r="X86" s="8">
        <v>-13</v>
      </c>
      <c r="Y86" s="10"/>
    </row>
    <row r="87" spans="1:25" x14ac:dyDescent="0.2">
      <c r="A87" s="8">
        <v>42.5</v>
      </c>
      <c r="B87" s="8">
        <v>85</v>
      </c>
      <c r="D87">
        <v>1043.8164721141</v>
      </c>
      <c r="E87">
        <v>505.52853437095001</v>
      </c>
      <c r="F87" s="16">
        <v>134.52142857142999</v>
      </c>
      <c r="G87" s="16">
        <v>116.28701298701</v>
      </c>
      <c r="I87" s="9">
        <f t="shared" si="8"/>
        <v>389.24152138394004</v>
      </c>
      <c r="J87" s="9">
        <f t="shared" si="9"/>
        <v>909.29504354266999</v>
      </c>
      <c r="K87" s="9">
        <f t="shared" si="10"/>
        <v>389.24152138394004</v>
      </c>
      <c r="L87" s="10">
        <f t="shared" si="7"/>
        <v>0.42806955140482333</v>
      </c>
      <c r="M87" s="10">
        <f t="shared" si="11"/>
        <v>0.44827510820474081</v>
      </c>
      <c r="P87" s="8">
        <f t="shared" si="12"/>
        <v>0.56324334491709971</v>
      </c>
      <c r="U87" s="8">
        <v>152</v>
      </c>
      <c r="V87" s="10">
        <f t="shared" si="13"/>
        <v>0.39431364664841262</v>
      </c>
      <c r="X87" s="8">
        <v>-13</v>
      </c>
      <c r="Y87" s="10"/>
    </row>
    <row r="88" spans="1:25" x14ac:dyDescent="0.2">
      <c r="A88" s="8">
        <v>43</v>
      </c>
      <c r="B88" s="8">
        <v>86</v>
      </c>
      <c r="D88">
        <v>1044.7049286641</v>
      </c>
      <c r="E88">
        <v>504.40337224384001</v>
      </c>
      <c r="F88" s="16">
        <v>133.87077922078001</v>
      </c>
      <c r="G88" s="16">
        <v>116.23961038960999</v>
      </c>
      <c r="I88" s="9">
        <f t="shared" si="8"/>
        <v>388.16376185423002</v>
      </c>
      <c r="J88" s="9">
        <f t="shared" si="9"/>
        <v>910.83414944331992</v>
      </c>
      <c r="K88" s="9">
        <f t="shared" si="10"/>
        <v>388.16376185423002</v>
      </c>
      <c r="L88" s="10">
        <f t="shared" si="7"/>
        <v>0.42616294315651915</v>
      </c>
      <c r="M88" s="10">
        <f t="shared" si="11"/>
        <v>0.44660621238937681</v>
      </c>
      <c r="P88" s="8">
        <f t="shared" si="12"/>
        <v>0.18885366115818988</v>
      </c>
      <c r="U88" s="8">
        <v>152.5</v>
      </c>
      <c r="V88" s="10">
        <f t="shared" si="13"/>
        <v>0.39423549532114094</v>
      </c>
      <c r="X88" s="8">
        <v>-13</v>
      </c>
      <c r="Y88" s="10"/>
    </row>
    <row r="89" spans="1:25" x14ac:dyDescent="0.2">
      <c r="A89" s="8">
        <v>43.5</v>
      </c>
      <c r="B89" s="8">
        <v>87</v>
      </c>
      <c r="D89">
        <v>1047.82230869</v>
      </c>
      <c r="E89">
        <v>507.4195849546</v>
      </c>
      <c r="F89" s="16">
        <v>134.69415584416001</v>
      </c>
      <c r="G89" s="16">
        <v>116.08311688312</v>
      </c>
      <c r="I89" s="9">
        <f t="shared" si="8"/>
        <v>391.33646807148</v>
      </c>
      <c r="J89" s="9">
        <f t="shared" si="9"/>
        <v>913.12815284583996</v>
      </c>
      <c r="K89" s="9">
        <f t="shared" si="10"/>
        <v>391.33646807148</v>
      </c>
      <c r="L89" s="10">
        <f t="shared" si="7"/>
        <v>0.42856686309785463</v>
      </c>
      <c r="M89" s="10">
        <f t="shared" si="11"/>
        <v>0.44924784476365254</v>
      </c>
      <c r="P89" s="8">
        <f t="shared" si="12"/>
        <v>0.78146100075816194</v>
      </c>
      <c r="U89" s="8">
        <v>153</v>
      </c>
      <c r="V89" s="10">
        <f t="shared" si="13"/>
        <v>0.3932323376805314</v>
      </c>
      <c r="X89" s="8">
        <v>-13</v>
      </c>
      <c r="Y89" s="10"/>
    </row>
    <row r="90" spans="1:25" x14ac:dyDescent="0.2">
      <c r="A90" s="8">
        <v>44</v>
      </c>
      <c r="B90" s="8">
        <v>88</v>
      </c>
      <c r="D90">
        <v>1040.8359273671001</v>
      </c>
      <c r="E90">
        <v>499.87678339818001</v>
      </c>
      <c r="F90" s="16">
        <v>134.45519480519999</v>
      </c>
      <c r="G90" s="16">
        <v>116.07597402597</v>
      </c>
      <c r="I90" s="9">
        <f t="shared" si="8"/>
        <v>383.80080937220998</v>
      </c>
      <c r="J90" s="9">
        <f t="shared" si="9"/>
        <v>906.38073256190012</v>
      </c>
      <c r="K90" s="9">
        <f t="shared" si="10"/>
        <v>383.80080937220998</v>
      </c>
      <c r="L90" s="10">
        <f t="shared" si="7"/>
        <v>0.42344325688322021</v>
      </c>
      <c r="M90" s="10">
        <f t="shared" si="11"/>
        <v>0.4443619509819583</v>
      </c>
      <c r="P90" s="8">
        <f t="shared" si="12"/>
        <v>-0.31460995284367099</v>
      </c>
      <c r="U90" s="8">
        <v>153.5</v>
      </c>
      <c r="V90" s="10">
        <f t="shared" si="13"/>
        <v>0.38912173774315395</v>
      </c>
      <c r="X90" s="8">
        <v>-13</v>
      </c>
      <c r="Y90" s="10"/>
    </row>
    <row r="91" spans="1:25" x14ac:dyDescent="0.2">
      <c r="A91" s="8">
        <v>44.5</v>
      </c>
      <c r="B91" s="8">
        <v>89</v>
      </c>
      <c r="D91">
        <v>1039.5142671855001</v>
      </c>
      <c r="E91">
        <v>496.62516212711</v>
      </c>
      <c r="F91" s="16">
        <v>134.20194805195001</v>
      </c>
      <c r="G91" s="16">
        <v>116.43766233766</v>
      </c>
      <c r="I91" s="9">
        <f t="shared" si="8"/>
        <v>380.18749978944999</v>
      </c>
      <c r="J91" s="9">
        <f t="shared" si="9"/>
        <v>905.31231913355009</v>
      </c>
      <c r="K91" s="9">
        <f t="shared" si="10"/>
        <v>380.18749978944999</v>
      </c>
      <c r="L91" s="10">
        <f t="shared" si="7"/>
        <v>0.41995175781250516</v>
      </c>
      <c r="M91" s="10">
        <f t="shared" si="11"/>
        <v>0.44110816434418343</v>
      </c>
      <c r="P91" s="8">
        <f t="shared" si="12"/>
        <v>-1.0445441639075306</v>
      </c>
      <c r="U91" s="8">
        <v>154</v>
      </c>
      <c r="V91" s="10">
        <f t="shared" si="13"/>
        <v>0.38732283992867816</v>
      </c>
      <c r="X91" s="8">
        <v>-13</v>
      </c>
      <c r="Y91" s="10"/>
    </row>
    <row r="92" spans="1:25" x14ac:dyDescent="0.2">
      <c r="A92" s="8">
        <v>45</v>
      </c>
      <c r="B92" s="8">
        <v>90</v>
      </c>
      <c r="D92">
        <v>1028.0110246433001</v>
      </c>
      <c r="E92">
        <v>466.85084306096002</v>
      </c>
      <c r="F92" s="16">
        <v>133.95259740259999</v>
      </c>
      <c r="G92" s="16">
        <v>116.72987012986999</v>
      </c>
      <c r="I92" s="9">
        <f t="shared" si="8"/>
        <v>350.12097293109002</v>
      </c>
      <c r="J92" s="9">
        <f t="shared" si="9"/>
        <v>894.0584272407001</v>
      </c>
      <c r="K92" s="9">
        <f t="shared" si="10"/>
        <v>350.12097293109002</v>
      </c>
      <c r="L92" s="10">
        <f t="shared" si="7"/>
        <v>0.3916086043857957</v>
      </c>
      <c r="M92" s="10">
        <f t="shared" si="11"/>
        <v>0.41300272335041421</v>
      </c>
      <c r="P92" s="8">
        <f t="shared" si="12"/>
        <v>-7.3495435944842811</v>
      </c>
      <c r="U92" s="8">
        <v>154.5</v>
      </c>
      <c r="V92" s="10">
        <f t="shared" si="13"/>
        <v>0.38628598737571812</v>
      </c>
      <c r="X92" s="8">
        <v>-13</v>
      </c>
      <c r="Y92" s="10"/>
    </row>
    <row r="93" spans="1:25" x14ac:dyDescent="0.2">
      <c r="A93" s="8">
        <v>45.5</v>
      </c>
      <c r="B93" s="8">
        <v>91</v>
      </c>
      <c r="D93">
        <v>1025.1712062257</v>
      </c>
      <c r="E93">
        <v>438.69584954603999</v>
      </c>
      <c r="F93" s="16">
        <v>134.57922077922001</v>
      </c>
      <c r="G93" s="16">
        <v>116.41103896104001</v>
      </c>
      <c r="I93" s="9">
        <f t="shared" si="8"/>
        <v>322.284810585</v>
      </c>
      <c r="J93" s="9">
        <f t="shared" si="9"/>
        <v>890.59198544647995</v>
      </c>
      <c r="K93" s="9">
        <f t="shared" si="10"/>
        <v>322.284810585</v>
      </c>
      <c r="L93" s="10">
        <f t="shared" si="7"/>
        <v>0.36187706138342257</v>
      </c>
      <c r="M93" s="10">
        <f t="shared" si="11"/>
        <v>0.38350889278098127</v>
      </c>
      <c r="P93" s="8">
        <f t="shared" si="12"/>
        <v>-13.966005687608089</v>
      </c>
      <c r="U93" s="8">
        <v>155</v>
      </c>
      <c r="V93" s="10">
        <f t="shared" si="13"/>
        <v>0.38372251358957526</v>
      </c>
      <c r="X93" s="8">
        <v>-13</v>
      </c>
      <c r="Y93" s="10"/>
    </row>
    <row r="94" spans="1:25" x14ac:dyDescent="0.2">
      <c r="A94" s="8">
        <v>46</v>
      </c>
      <c r="B94" s="8">
        <v>92</v>
      </c>
      <c r="D94">
        <v>1016.4584954603999</v>
      </c>
      <c r="E94">
        <v>415.51945525292001</v>
      </c>
      <c r="F94" s="16">
        <v>134.07207792208001</v>
      </c>
      <c r="G94" s="16">
        <v>116.06818181817999</v>
      </c>
      <c r="I94" s="9">
        <f t="shared" si="8"/>
        <v>299.45127343474002</v>
      </c>
      <c r="J94" s="9">
        <f t="shared" si="9"/>
        <v>882.38641753831996</v>
      </c>
      <c r="K94" s="9">
        <f t="shared" si="10"/>
        <v>299.45127343474002</v>
      </c>
      <c r="L94" s="10">
        <f t="shared" si="7"/>
        <v>0.33936523441753402</v>
      </c>
      <c r="M94" s="10">
        <f t="shared" si="11"/>
        <v>0.36123477824803296</v>
      </c>
      <c r="P94" s="8">
        <f t="shared" si="12"/>
        <v>-18.962841690927682</v>
      </c>
      <c r="U94" s="8">
        <v>155.5</v>
      </c>
      <c r="V94" s="10">
        <f t="shared" si="13"/>
        <v>0.375893400527474</v>
      </c>
      <c r="X94" s="8">
        <v>-13</v>
      </c>
      <c r="Y94" s="10"/>
    </row>
    <row r="95" spans="1:25" x14ac:dyDescent="0.2">
      <c r="A95" s="8">
        <v>46.5</v>
      </c>
      <c r="B95" s="8">
        <v>93</v>
      </c>
      <c r="D95">
        <v>1011.9169909209</v>
      </c>
      <c r="E95">
        <v>396.71076523994998</v>
      </c>
      <c r="F95" s="16">
        <v>134.33246753246999</v>
      </c>
      <c r="G95" s="16">
        <v>116.40584415584</v>
      </c>
      <c r="I95" s="9">
        <f t="shared" si="8"/>
        <v>280.30492108410999</v>
      </c>
      <c r="J95" s="9">
        <f t="shared" si="9"/>
        <v>877.58452338843006</v>
      </c>
      <c r="K95" s="9">
        <f t="shared" si="10"/>
        <v>280.30492108410999</v>
      </c>
      <c r="L95" s="10">
        <f t="shared" si="7"/>
        <v>0.31940504146749121</v>
      </c>
      <c r="M95" s="10">
        <f t="shared" si="11"/>
        <v>0.34151229773093034</v>
      </c>
      <c r="P95" s="8">
        <f t="shared" si="12"/>
        <v>-23.387260025351278</v>
      </c>
      <c r="U95" s="8">
        <v>156</v>
      </c>
      <c r="V95" s="10">
        <f t="shared" si="13"/>
        <v>0.36959120307915655</v>
      </c>
      <c r="X95" s="8">
        <v>-13</v>
      </c>
      <c r="Y95" s="10"/>
    </row>
    <row r="96" spans="1:25" x14ac:dyDescent="0.2">
      <c r="A96" s="8">
        <v>47</v>
      </c>
      <c r="B96" s="8">
        <v>94</v>
      </c>
      <c r="D96">
        <v>1010.1906614786</v>
      </c>
      <c r="E96">
        <v>379.30869001296998</v>
      </c>
      <c r="F96" s="16">
        <v>134.15974025974</v>
      </c>
      <c r="G96" s="16">
        <v>115.89805194805</v>
      </c>
      <c r="I96" s="9">
        <f t="shared" si="8"/>
        <v>263.41063806491997</v>
      </c>
      <c r="J96" s="9">
        <f t="shared" si="9"/>
        <v>876.03092121885993</v>
      </c>
      <c r="K96" s="9">
        <f t="shared" si="10"/>
        <v>263.41063806491997</v>
      </c>
      <c r="L96" s="10">
        <f t="shared" si="7"/>
        <v>0.3006864617272017</v>
      </c>
      <c r="M96" s="10">
        <f t="shared" si="11"/>
        <v>0.32303143042358101</v>
      </c>
      <c r="P96" s="8">
        <f t="shared" si="12"/>
        <v>-27.533142592190707</v>
      </c>
      <c r="U96" s="8">
        <v>156.5</v>
      </c>
      <c r="V96" s="10">
        <f t="shared" si="13"/>
        <v>0.36402370422926772</v>
      </c>
      <c r="X96" s="8">
        <v>-13</v>
      </c>
      <c r="Y96" s="10"/>
    </row>
    <row r="97" spans="1:25" x14ac:dyDescent="0.2">
      <c r="A97" s="8">
        <v>47.5</v>
      </c>
      <c r="B97" s="8">
        <v>95</v>
      </c>
      <c r="D97">
        <v>1000.2347600519</v>
      </c>
      <c r="E97">
        <v>363.04863813230003</v>
      </c>
      <c r="F97" s="16">
        <v>134.05454545455001</v>
      </c>
      <c r="G97" s="16">
        <v>115.98311688312</v>
      </c>
      <c r="I97" s="9">
        <f t="shared" si="8"/>
        <v>247.06552124918002</v>
      </c>
      <c r="J97" s="9">
        <f t="shared" si="9"/>
        <v>866.18021459734996</v>
      </c>
      <c r="K97" s="9">
        <f t="shared" si="10"/>
        <v>247.06552124918002</v>
      </c>
      <c r="L97" s="10">
        <f t="shared" si="7"/>
        <v>0.28523570163055523</v>
      </c>
      <c r="M97" s="10">
        <f t="shared" si="11"/>
        <v>0.30781838275987478</v>
      </c>
      <c r="P97" s="8">
        <f t="shared" si="12"/>
        <v>-30.945942870907885</v>
      </c>
      <c r="U97" s="8">
        <v>157</v>
      </c>
      <c r="V97" s="10">
        <f t="shared" si="13"/>
        <v>0.35755385885442131</v>
      </c>
      <c r="X97" s="8">
        <v>-13</v>
      </c>
      <c r="Y97" s="10"/>
    </row>
    <row r="98" spans="1:25" x14ac:dyDescent="0.2">
      <c r="A98" s="8">
        <v>48</v>
      </c>
      <c r="B98" s="8">
        <v>96</v>
      </c>
      <c r="D98">
        <v>996.53891050584002</v>
      </c>
      <c r="E98">
        <v>350.18871595331001</v>
      </c>
      <c r="F98" s="16">
        <v>133.85129870130001</v>
      </c>
      <c r="G98" s="16">
        <v>116.31233766234</v>
      </c>
      <c r="I98" s="9">
        <f t="shared" si="8"/>
        <v>233.87637829097002</v>
      </c>
      <c r="J98" s="9">
        <f t="shared" si="9"/>
        <v>862.68761180453998</v>
      </c>
      <c r="K98" s="9">
        <f t="shared" si="10"/>
        <v>233.87637829097002</v>
      </c>
      <c r="L98" s="10">
        <f t="shared" si="7"/>
        <v>0.27110204793801956</v>
      </c>
      <c r="M98" s="10">
        <f t="shared" si="11"/>
        <v>0.2939224415002793</v>
      </c>
      <c r="P98" s="8">
        <f t="shared" si="12"/>
        <v>-34.06327170942356</v>
      </c>
      <c r="U98" s="8">
        <v>157.5</v>
      </c>
      <c r="V98" s="10">
        <f t="shared" si="13"/>
        <v>0.35071529397549961</v>
      </c>
      <c r="X98" s="8">
        <v>-13</v>
      </c>
      <c r="Y98" s="10"/>
    </row>
    <row r="99" spans="1:25" x14ac:dyDescent="0.2">
      <c r="A99" s="8">
        <v>48.5</v>
      </c>
      <c r="B99" s="8">
        <v>97</v>
      </c>
      <c r="D99">
        <v>992.29896238650997</v>
      </c>
      <c r="E99">
        <v>338.22568093385001</v>
      </c>
      <c r="F99" s="16">
        <v>134.50584415584001</v>
      </c>
      <c r="G99" s="16">
        <v>116.44025974026</v>
      </c>
      <c r="I99" s="9">
        <f t="shared" si="8"/>
        <v>221.78542119359003</v>
      </c>
      <c r="J99" s="9">
        <f t="shared" si="9"/>
        <v>857.79311823066996</v>
      </c>
      <c r="K99" s="9">
        <f t="shared" si="10"/>
        <v>221.78542119359003</v>
      </c>
      <c r="L99" s="10">
        <f t="shared" si="7"/>
        <v>0.25855350955840789</v>
      </c>
      <c r="M99" s="10">
        <f t="shared" si="11"/>
        <v>0.28161161555360781</v>
      </c>
      <c r="P99" s="8">
        <f t="shared" si="12"/>
        <v>-36.825005659831987</v>
      </c>
      <c r="U99" s="8">
        <v>158</v>
      </c>
      <c r="V99" s="10">
        <f t="shared" si="13"/>
        <v>0.35179803024370199</v>
      </c>
      <c r="X99" s="8">
        <v>-13</v>
      </c>
      <c r="Y99" s="10"/>
    </row>
    <row r="100" spans="1:25" x14ac:dyDescent="0.2">
      <c r="A100" s="8">
        <v>49</v>
      </c>
      <c r="B100" s="8">
        <v>98</v>
      </c>
      <c r="D100">
        <v>987.95849546043996</v>
      </c>
      <c r="E100">
        <v>328.09014267186001</v>
      </c>
      <c r="F100" s="16">
        <v>134.05194805195001</v>
      </c>
      <c r="G100" s="16">
        <v>116.11558441558</v>
      </c>
      <c r="I100" s="9">
        <f t="shared" si="8"/>
        <v>211.97455825628001</v>
      </c>
      <c r="J100" s="9">
        <f t="shared" si="9"/>
        <v>853.90654740848993</v>
      </c>
      <c r="K100" s="9">
        <f t="shared" si="10"/>
        <v>211.97455825628001</v>
      </c>
      <c r="L100" s="10">
        <f t="shared" si="7"/>
        <v>0.24824093327261501</v>
      </c>
      <c r="M100" s="10">
        <f t="shared" si="11"/>
        <v>0.27153675170075514</v>
      </c>
      <c r="P100" s="8">
        <f t="shared" si="12"/>
        <v>-39.085137812515761</v>
      </c>
      <c r="U100" s="8">
        <v>158.5</v>
      </c>
      <c r="V100" s="10">
        <f t="shared" si="13"/>
        <v>0.34722236680756552</v>
      </c>
      <c r="X100" s="8">
        <v>-13</v>
      </c>
      <c r="Y100" s="10"/>
    </row>
    <row r="101" spans="1:25" x14ac:dyDescent="0.2">
      <c r="A101" s="8">
        <v>49.5</v>
      </c>
      <c r="B101" s="8">
        <v>99</v>
      </c>
      <c r="D101">
        <v>987.99675745784998</v>
      </c>
      <c r="E101">
        <v>319.94228274967998</v>
      </c>
      <c r="F101" s="16">
        <v>134.16428571429</v>
      </c>
      <c r="G101" s="16">
        <v>116.13896103896001</v>
      </c>
      <c r="I101" s="9">
        <f t="shared" si="8"/>
        <v>203.80332171071996</v>
      </c>
      <c r="J101" s="9">
        <f t="shared" si="9"/>
        <v>853.83247174355995</v>
      </c>
      <c r="K101" s="9">
        <f t="shared" si="10"/>
        <v>203.80332171071996</v>
      </c>
      <c r="L101" s="10">
        <f t="shared" si="7"/>
        <v>0.23869239980361187</v>
      </c>
      <c r="M101" s="10">
        <f t="shared" si="11"/>
        <v>0.26222593066469224</v>
      </c>
      <c r="P101" s="8">
        <f t="shared" si="12"/>
        <v>-41.173869362523931</v>
      </c>
      <c r="U101" s="8">
        <v>159</v>
      </c>
      <c r="V101" s="10">
        <f t="shared" si="13"/>
        <v>0.34610523612862776</v>
      </c>
      <c r="X101" s="8">
        <v>-13</v>
      </c>
      <c r="Y101" s="10"/>
    </row>
    <row r="102" spans="1:25" x14ac:dyDescent="0.2">
      <c r="A102" s="8">
        <v>50</v>
      </c>
      <c r="B102" s="8">
        <v>100</v>
      </c>
      <c r="D102">
        <v>982.75616083009004</v>
      </c>
      <c r="E102">
        <v>312.32879377431999</v>
      </c>
      <c r="F102" s="16">
        <v>134.14480519481</v>
      </c>
      <c r="G102" s="16">
        <v>116.29220779220999</v>
      </c>
      <c r="I102" s="9">
        <f t="shared" si="8"/>
        <v>196.03658598211001</v>
      </c>
      <c r="J102" s="9">
        <f t="shared" si="9"/>
        <v>848.61135563528001</v>
      </c>
      <c r="K102" s="9">
        <f t="shared" si="10"/>
        <v>196.03658598211001</v>
      </c>
      <c r="L102" s="10">
        <f t="shared" si="7"/>
        <v>0.23100867632787547</v>
      </c>
      <c r="M102" s="10">
        <f t="shared" si="11"/>
        <v>0.25477991962189606</v>
      </c>
      <c r="P102" s="8">
        <f t="shared" si="12"/>
        <v>-42.844261063380209</v>
      </c>
      <c r="U102" s="8">
        <v>159.5</v>
      </c>
      <c r="V102" s="10">
        <f t="shared" si="13"/>
        <v>0.34271722769506296</v>
      </c>
      <c r="X102" s="8">
        <v>-13</v>
      </c>
      <c r="Y102" s="10"/>
    </row>
    <row r="103" spans="1:25" x14ac:dyDescent="0.2">
      <c r="A103" s="8">
        <v>50.5</v>
      </c>
      <c r="B103" s="8">
        <v>101</v>
      </c>
      <c r="D103">
        <v>981.17963683528001</v>
      </c>
      <c r="E103">
        <v>307.39429312581001</v>
      </c>
      <c r="F103" s="16">
        <v>134.13376623376999</v>
      </c>
      <c r="G103" s="16">
        <v>115.9987012987</v>
      </c>
      <c r="I103" s="9">
        <f t="shared" si="8"/>
        <v>191.39559182711002</v>
      </c>
      <c r="J103" s="9">
        <f t="shared" si="9"/>
        <v>847.04587060151005</v>
      </c>
      <c r="K103" s="9">
        <f t="shared" si="10"/>
        <v>191.39559182711002</v>
      </c>
      <c r="L103" s="10">
        <f t="shared" si="7"/>
        <v>0.22595658448956829</v>
      </c>
      <c r="M103" s="10">
        <f t="shared" si="11"/>
        <v>0.24996554021652906</v>
      </c>
      <c r="P103" s="8">
        <f t="shared" si="12"/>
        <v>-43.924288927598703</v>
      </c>
      <c r="U103" s="8">
        <v>160</v>
      </c>
      <c r="V103" s="10">
        <f t="shared" si="13"/>
        <v>0.33618362940653818</v>
      </c>
      <c r="X103" s="8">
        <v>-13</v>
      </c>
      <c r="Y103" s="10"/>
    </row>
    <row r="104" spans="1:25" x14ac:dyDescent="0.2">
      <c r="A104" s="8">
        <v>51</v>
      </c>
      <c r="B104" s="8">
        <v>102</v>
      </c>
      <c r="D104">
        <v>980.81647211413997</v>
      </c>
      <c r="E104">
        <v>300.91374837873002</v>
      </c>
      <c r="F104" s="16">
        <v>133.87792207792</v>
      </c>
      <c r="G104" s="16">
        <v>116.55909090909</v>
      </c>
      <c r="I104" s="9">
        <f t="shared" si="8"/>
        <v>184.35465746964002</v>
      </c>
      <c r="J104" s="9">
        <f t="shared" si="9"/>
        <v>846.93855003622002</v>
      </c>
      <c r="K104" s="9">
        <f t="shared" si="10"/>
        <v>184.35465746964002</v>
      </c>
      <c r="L104" s="10">
        <f t="shared" si="7"/>
        <v>0.21767182219035364</v>
      </c>
      <c r="M104" s="10">
        <f t="shared" si="11"/>
        <v>0.24191849035025462</v>
      </c>
      <c r="P104" s="8">
        <f t="shared" si="12"/>
        <v>-45.729513931395338</v>
      </c>
      <c r="X104" s="8">
        <v>-13</v>
      </c>
      <c r="Y104" s="10"/>
    </row>
    <row r="105" spans="1:25" x14ac:dyDescent="0.2">
      <c r="A105" s="8">
        <v>51.5</v>
      </c>
      <c r="B105" s="8">
        <v>103</v>
      </c>
      <c r="D105">
        <v>982.56225680934006</v>
      </c>
      <c r="E105">
        <v>295.36316472113998</v>
      </c>
      <c r="F105" s="16">
        <v>134.29610389609999</v>
      </c>
      <c r="G105" s="16">
        <v>116.33961038961</v>
      </c>
      <c r="I105" s="9">
        <f t="shared" si="8"/>
        <v>179.02355433152997</v>
      </c>
      <c r="J105" s="9">
        <f t="shared" si="9"/>
        <v>848.26615291324003</v>
      </c>
      <c r="K105" s="9">
        <f t="shared" si="10"/>
        <v>179.02355433152997</v>
      </c>
      <c r="L105" s="10">
        <f t="shared" si="7"/>
        <v>0.21104644304939082</v>
      </c>
      <c r="M105" s="10">
        <f t="shared" si="11"/>
        <v>0.23553082364223199</v>
      </c>
      <c r="P105" s="8">
        <f t="shared" si="12"/>
        <v>-47.162483261630193</v>
      </c>
      <c r="V105" s="10"/>
      <c r="X105" s="8">
        <v>-13</v>
      </c>
    </row>
    <row r="106" spans="1:25" x14ac:dyDescent="0.2">
      <c r="A106" s="8">
        <v>52</v>
      </c>
      <c r="B106" s="8">
        <v>104</v>
      </c>
      <c r="D106">
        <v>978.16536964981003</v>
      </c>
      <c r="E106">
        <v>292.44811932555001</v>
      </c>
      <c r="F106" s="16">
        <v>134.17012987013001</v>
      </c>
      <c r="G106" s="16">
        <v>115.97857142857001</v>
      </c>
      <c r="I106" s="9">
        <f t="shared" si="8"/>
        <v>176.46954789698</v>
      </c>
      <c r="J106" s="9">
        <f t="shared" si="9"/>
        <v>843.99523977967999</v>
      </c>
      <c r="K106" s="9">
        <f t="shared" si="10"/>
        <v>176.46954789698</v>
      </c>
      <c r="L106" s="10">
        <f t="shared" si="7"/>
        <v>0.20908832133110886</v>
      </c>
      <c r="M106" s="10">
        <f t="shared" si="11"/>
        <v>0.23381041435689023</v>
      </c>
      <c r="P106" s="8">
        <f t="shared" si="12"/>
        <v>-47.548429156122417</v>
      </c>
      <c r="X106" s="8">
        <v>-13</v>
      </c>
    </row>
    <row r="107" spans="1:25" x14ac:dyDescent="0.2">
      <c r="A107" s="8">
        <v>52.5</v>
      </c>
      <c r="B107" s="8">
        <v>105</v>
      </c>
      <c r="D107">
        <v>976.92607003890998</v>
      </c>
      <c r="E107">
        <v>289.02334630349998</v>
      </c>
      <c r="F107" s="16">
        <v>134.77857142856999</v>
      </c>
      <c r="G107" s="16">
        <v>116.1961038961</v>
      </c>
      <c r="I107" s="9">
        <f t="shared" si="8"/>
        <v>172.82724240739998</v>
      </c>
      <c r="J107" s="9">
        <f t="shared" si="9"/>
        <v>842.14749861033999</v>
      </c>
      <c r="K107" s="9">
        <f t="shared" si="10"/>
        <v>172.82724240739998</v>
      </c>
      <c r="L107" s="10">
        <f t="shared" si="7"/>
        <v>0.20522205752862635</v>
      </c>
      <c r="M107" s="10">
        <f t="shared" si="11"/>
        <v>0.23018186298734794</v>
      </c>
      <c r="P107" s="8">
        <f t="shared" si="12"/>
        <v>-48.362435750925705</v>
      </c>
      <c r="X107" s="8">
        <v>-13</v>
      </c>
    </row>
    <row r="108" spans="1:25" x14ac:dyDescent="0.2">
      <c r="A108" s="8">
        <v>53</v>
      </c>
      <c r="B108" s="8">
        <v>106</v>
      </c>
      <c r="D108">
        <v>980.75291828794002</v>
      </c>
      <c r="E108">
        <v>285.70946822309003</v>
      </c>
      <c r="F108" s="16">
        <v>133.91883116883</v>
      </c>
      <c r="G108" s="16">
        <v>116.00519480520001</v>
      </c>
      <c r="I108" s="9">
        <f t="shared" si="8"/>
        <v>169.70427341789002</v>
      </c>
      <c r="J108" s="9">
        <f t="shared" si="9"/>
        <v>846.83408711911</v>
      </c>
      <c r="K108" s="9">
        <f t="shared" si="10"/>
        <v>169.70427341789002</v>
      </c>
      <c r="L108" s="10">
        <f t="shared" si="7"/>
        <v>0.20039849127379369</v>
      </c>
      <c r="M108" s="10">
        <f t="shared" si="11"/>
        <v>0.2255960091654555</v>
      </c>
      <c r="P108" s="8">
        <f t="shared" si="12"/>
        <v>-49.391197610316198</v>
      </c>
      <c r="X108" s="8">
        <v>-13</v>
      </c>
    </row>
    <row r="109" spans="1:25" x14ac:dyDescent="0.2">
      <c r="A109" s="8">
        <v>53.5</v>
      </c>
      <c r="B109" s="8">
        <v>107</v>
      </c>
      <c r="D109">
        <v>979.12191958495998</v>
      </c>
      <c r="E109">
        <v>284.14396887160001</v>
      </c>
      <c r="F109" s="16">
        <v>134.13376623376999</v>
      </c>
      <c r="G109" s="16">
        <v>116.03571428571</v>
      </c>
      <c r="I109" s="9">
        <f t="shared" si="8"/>
        <v>168.10825458588999</v>
      </c>
      <c r="J109" s="9">
        <f t="shared" si="9"/>
        <v>844.98815335119002</v>
      </c>
      <c r="K109" s="9">
        <f t="shared" si="10"/>
        <v>168.10825458588999</v>
      </c>
      <c r="L109" s="10">
        <f t="shared" si="7"/>
        <v>0.19894746916767911</v>
      </c>
      <c r="M109" s="10">
        <f t="shared" si="11"/>
        <v>0.22438269949228112</v>
      </c>
      <c r="P109" s="8">
        <f t="shared" si="12"/>
        <v>-49.663383938941095</v>
      </c>
      <c r="X109" s="8">
        <v>-13</v>
      </c>
    </row>
    <row r="110" spans="1:25" x14ac:dyDescent="0.2">
      <c r="A110" s="8">
        <v>54</v>
      </c>
      <c r="B110" s="8">
        <v>108</v>
      </c>
      <c r="D110">
        <v>971.85797665370001</v>
      </c>
      <c r="E110">
        <v>282.15175097276</v>
      </c>
      <c r="F110" s="16">
        <v>133.97402597403001</v>
      </c>
      <c r="G110" s="16">
        <v>116.10974025973999</v>
      </c>
      <c r="I110" s="9">
        <f t="shared" si="8"/>
        <v>166.04201071302001</v>
      </c>
      <c r="J110" s="9">
        <f t="shared" si="9"/>
        <v>837.88395067966997</v>
      </c>
      <c r="K110" s="9">
        <f t="shared" si="10"/>
        <v>166.04201071302001</v>
      </c>
      <c r="L110" s="10">
        <f t="shared" si="7"/>
        <v>0.19816826730996695</v>
      </c>
      <c r="M110" s="10">
        <f t="shared" si="11"/>
        <v>0.22384121006750915</v>
      </c>
      <c r="P110" s="8">
        <f t="shared" si="12"/>
        <v>-49.784858300991047</v>
      </c>
      <c r="X110" s="8">
        <v>-13</v>
      </c>
    </row>
    <row r="111" spans="1:25" x14ac:dyDescent="0.2">
      <c r="A111" s="8">
        <v>54.5</v>
      </c>
      <c r="B111" s="8">
        <v>109</v>
      </c>
      <c r="D111">
        <v>972.77691309986994</v>
      </c>
      <c r="E111">
        <v>281.96303501945999</v>
      </c>
      <c r="F111" s="16">
        <v>134.06883116883</v>
      </c>
      <c r="G111" s="16">
        <v>116.2487012987</v>
      </c>
      <c r="I111" s="9">
        <f t="shared" si="8"/>
        <v>165.71433372076001</v>
      </c>
      <c r="J111" s="9">
        <f t="shared" si="9"/>
        <v>838.70808193103994</v>
      </c>
      <c r="K111" s="9">
        <f t="shared" si="10"/>
        <v>165.71433372076001</v>
      </c>
      <c r="L111" s="10">
        <f t="shared" si="7"/>
        <v>0.1975828506853298</v>
      </c>
      <c r="M111" s="10">
        <f t="shared" si="11"/>
        <v>0.22349350587581221</v>
      </c>
      <c r="P111" s="8">
        <f t="shared" si="12"/>
        <v>-49.862860091859382</v>
      </c>
      <c r="X111" s="8">
        <v>-13</v>
      </c>
    </row>
    <row r="112" spans="1:25" x14ac:dyDescent="0.2">
      <c r="A112" s="8">
        <v>55</v>
      </c>
      <c r="B112" s="8">
        <v>110</v>
      </c>
      <c r="D112">
        <v>984.70492866407005</v>
      </c>
      <c r="E112">
        <v>282.98119325550999</v>
      </c>
      <c r="F112" s="16">
        <v>133.87402597402999</v>
      </c>
      <c r="G112" s="16">
        <v>115.93701298700999</v>
      </c>
      <c r="I112" s="9">
        <f t="shared" si="8"/>
        <v>167.04418026849999</v>
      </c>
      <c r="J112" s="9">
        <f t="shared" si="9"/>
        <v>850.83090269004003</v>
      </c>
      <c r="K112" s="9">
        <f t="shared" si="10"/>
        <v>167.04418026849999</v>
      </c>
      <c r="L112" s="10">
        <f t="shared" si="7"/>
        <v>0.19633064542009779</v>
      </c>
      <c r="M112" s="10">
        <f t="shared" si="11"/>
        <v>0.22247901304352041</v>
      </c>
      <c r="P112" s="8">
        <f t="shared" si="12"/>
        <v>-50.090445089772849</v>
      </c>
      <c r="X112" s="8">
        <v>-13</v>
      </c>
    </row>
    <row r="113" spans="1:24" x14ac:dyDescent="0.2">
      <c r="A113" s="8">
        <v>55.5</v>
      </c>
      <c r="B113" s="8">
        <v>111</v>
      </c>
      <c r="D113">
        <v>990.91449086162004</v>
      </c>
      <c r="E113">
        <v>283.71083550914</v>
      </c>
      <c r="F113" s="16">
        <v>134.3525974026</v>
      </c>
      <c r="G113" s="16">
        <v>116.22792207792</v>
      </c>
      <c r="I113" s="9">
        <f t="shared" si="8"/>
        <v>167.48291343122</v>
      </c>
      <c r="J113" s="9">
        <f t="shared" si="9"/>
        <v>856.56189345901998</v>
      </c>
      <c r="K113" s="9">
        <f t="shared" si="10"/>
        <v>167.48291343122</v>
      </c>
      <c r="L113" s="10">
        <f t="shared" si="7"/>
        <v>0.19552926030234707</v>
      </c>
      <c r="M113" s="10">
        <f t="shared" si="11"/>
        <v>0.22191534035870991</v>
      </c>
      <c r="P113" s="8">
        <f t="shared" si="12"/>
        <v>-50.216895906095203</v>
      </c>
      <c r="X113" s="8">
        <v>-13</v>
      </c>
    </row>
    <row r="114" spans="1:24" x14ac:dyDescent="0.2">
      <c r="A114" s="8">
        <v>56</v>
      </c>
      <c r="B114" s="8">
        <v>112</v>
      </c>
      <c r="D114">
        <v>982.87336814621005</v>
      </c>
      <c r="E114">
        <v>281.09986945169999</v>
      </c>
      <c r="F114" s="16">
        <v>134.40584415583999</v>
      </c>
      <c r="G114" s="16">
        <v>115.76818181818</v>
      </c>
      <c r="I114" s="9">
        <f t="shared" si="8"/>
        <v>165.33168763352</v>
      </c>
      <c r="J114" s="9">
        <f t="shared" si="9"/>
        <v>848.46752399037007</v>
      </c>
      <c r="K114" s="9">
        <f t="shared" si="10"/>
        <v>165.33168763352</v>
      </c>
      <c r="L114" s="10">
        <f t="shared" si="7"/>
        <v>0.19485918194718846</v>
      </c>
      <c r="M114" s="10">
        <f t="shared" si="11"/>
        <v>0.22148297443649148</v>
      </c>
      <c r="P114" s="8">
        <f t="shared" si="12"/>
        <v>-50.313890181829656</v>
      </c>
      <c r="X114" s="8">
        <v>-13</v>
      </c>
    </row>
    <row r="115" spans="1:24" x14ac:dyDescent="0.2">
      <c r="A115" s="8">
        <v>56.5</v>
      </c>
      <c r="B115" s="8">
        <v>113</v>
      </c>
      <c r="D115">
        <v>983.72911227153998</v>
      </c>
      <c r="E115">
        <v>279.93146214098999</v>
      </c>
      <c r="F115" s="16">
        <v>133.92727272727001</v>
      </c>
      <c r="G115" s="16">
        <v>116.13961038961</v>
      </c>
      <c r="I115" s="9">
        <f t="shared" si="8"/>
        <v>163.79185175137999</v>
      </c>
      <c r="J115" s="9">
        <f t="shared" si="9"/>
        <v>849.80183954427002</v>
      </c>
      <c r="K115" s="9">
        <f t="shared" si="10"/>
        <v>163.79185175137999</v>
      </c>
      <c r="L115" s="10">
        <f t="shared" si="7"/>
        <v>0.19274122993098949</v>
      </c>
      <c r="M115" s="10">
        <f t="shared" si="11"/>
        <v>0.21960273485323273</v>
      </c>
      <c r="P115" s="8">
        <f t="shared" si="12"/>
        <v>-50.735691409016326</v>
      </c>
      <c r="X115" s="8">
        <v>-13</v>
      </c>
    </row>
    <row r="116" spans="1:24" x14ac:dyDescent="0.2">
      <c r="A116" s="8">
        <v>57</v>
      </c>
      <c r="B116" s="8">
        <v>114</v>
      </c>
      <c r="D116">
        <v>968.92232375978995</v>
      </c>
      <c r="E116">
        <v>275.85378590078</v>
      </c>
      <c r="F116" s="16">
        <v>133.69090909091</v>
      </c>
      <c r="G116" s="16">
        <v>116.12012987013</v>
      </c>
      <c r="I116" s="9">
        <f t="shared" si="8"/>
        <v>159.73365603065</v>
      </c>
      <c r="J116" s="9">
        <f t="shared" si="9"/>
        <v>835.23141466888001</v>
      </c>
      <c r="K116" s="9">
        <f t="shared" si="10"/>
        <v>159.73365603065</v>
      </c>
      <c r="L116" s="10">
        <f t="shared" si="7"/>
        <v>0.19124478943835579</v>
      </c>
      <c r="M116" s="10">
        <f t="shared" si="11"/>
        <v>0.21834400679353924</v>
      </c>
      <c r="P116" s="8">
        <f t="shared" si="12"/>
        <v>-51.018066615346584</v>
      </c>
      <c r="X116" s="8">
        <v>-13</v>
      </c>
    </row>
    <row r="117" spans="1:24" x14ac:dyDescent="0.2">
      <c r="A117" s="8">
        <v>57.5</v>
      </c>
      <c r="B117" s="8">
        <v>115</v>
      </c>
      <c r="D117">
        <v>959.72258485639998</v>
      </c>
      <c r="E117">
        <v>272.13185378589998</v>
      </c>
      <c r="F117" s="16">
        <v>134.21428571429001</v>
      </c>
      <c r="G117" s="16">
        <v>116.04350649350999</v>
      </c>
      <c r="I117" s="9">
        <f t="shared" si="8"/>
        <v>156.08834729238998</v>
      </c>
      <c r="J117" s="9">
        <f t="shared" si="9"/>
        <v>825.50829914210999</v>
      </c>
      <c r="K117" s="9">
        <f t="shared" si="10"/>
        <v>156.08834729238998</v>
      </c>
      <c r="L117" s="10">
        <f t="shared" si="7"/>
        <v>0.18908149979182659</v>
      </c>
      <c r="M117" s="10">
        <f t="shared" si="11"/>
        <v>0.21641842957995022</v>
      </c>
      <c r="P117" s="8">
        <f t="shared" si="12"/>
        <v>-51.450038603898605</v>
      </c>
      <c r="X117" s="8">
        <v>-13</v>
      </c>
    </row>
    <row r="118" spans="1:24" x14ac:dyDescent="0.2">
      <c r="A118" s="8">
        <v>58</v>
      </c>
      <c r="B118" s="8">
        <v>116</v>
      </c>
      <c r="D118">
        <v>967.45822454307995</v>
      </c>
      <c r="E118">
        <v>274.06657963446997</v>
      </c>
      <c r="F118" s="16">
        <v>133.54155844156</v>
      </c>
      <c r="G118" s="16">
        <v>115.92857142857</v>
      </c>
      <c r="I118" s="9">
        <f t="shared" si="8"/>
        <v>158.13800820589998</v>
      </c>
      <c r="J118" s="9">
        <f t="shared" si="9"/>
        <v>833.91666610151992</v>
      </c>
      <c r="K118" s="9">
        <f t="shared" si="10"/>
        <v>158.13800820589998</v>
      </c>
      <c r="L118" s="10">
        <f t="shared" si="7"/>
        <v>0.1896328669688063</v>
      </c>
      <c r="M118" s="10">
        <f t="shared" si="11"/>
        <v>0.21720750918987014</v>
      </c>
      <c r="P118" s="8">
        <f t="shared" si="12"/>
        <v>-51.273021403125007</v>
      </c>
      <c r="X118" s="8">
        <v>-13</v>
      </c>
    </row>
    <row r="119" spans="1:24" x14ac:dyDescent="0.2">
      <c r="A119" s="8">
        <v>58.5</v>
      </c>
      <c r="B119" s="8">
        <v>117</v>
      </c>
      <c r="D119">
        <v>973.46946815496005</v>
      </c>
      <c r="E119">
        <v>274.32961260669998</v>
      </c>
      <c r="F119" s="16">
        <v>133.87077922078001</v>
      </c>
      <c r="G119" s="16">
        <v>115.83506493506999</v>
      </c>
      <c r="I119" s="9">
        <f t="shared" si="8"/>
        <v>158.49454767162999</v>
      </c>
      <c r="J119" s="9">
        <f t="shared" si="9"/>
        <v>839.59868893418002</v>
      </c>
      <c r="K119" s="9">
        <f t="shared" si="10"/>
        <v>158.49454767162999</v>
      </c>
      <c r="L119" s="10">
        <f t="shared" si="7"/>
        <v>0.18877417242376746</v>
      </c>
      <c r="M119" s="10">
        <f t="shared" si="11"/>
        <v>0.21658652707777151</v>
      </c>
      <c r="P119" s="8">
        <f t="shared" si="12"/>
        <v>-51.412328659113207</v>
      </c>
      <c r="X119" s="8">
        <v>-13</v>
      </c>
    </row>
    <row r="120" spans="1:24" x14ac:dyDescent="0.2">
      <c r="A120" s="8">
        <v>59</v>
      </c>
      <c r="B120" s="8">
        <v>118</v>
      </c>
      <c r="D120">
        <v>976.47472094550005</v>
      </c>
      <c r="E120">
        <v>274.82271831910998</v>
      </c>
      <c r="F120" s="16">
        <v>134.15714285714</v>
      </c>
      <c r="G120" s="16">
        <v>116.0512987013</v>
      </c>
      <c r="I120" s="9">
        <f t="shared" si="8"/>
        <v>158.77141961780998</v>
      </c>
      <c r="J120" s="9">
        <f t="shared" si="9"/>
        <v>842.31757808836005</v>
      </c>
      <c r="K120" s="9">
        <f t="shared" si="10"/>
        <v>158.77141961780998</v>
      </c>
      <c r="L120" s="10">
        <f t="shared" si="7"/>
        <v>0.18849353705539632</v>
      </c>
      <c r="M120" s="10">
        <f t="shared" si="11"/>
        <v>0.21654360414234058</v>
      </c>
      <c r="P120" s="8">
        <f t="shared" si="12"/>
        <v>-51.42195772287743</v>
      </c>
      <c r="X120" s="8">
        <v>-13</v>
      </c>
    </row>
    <row r="121" spans="1:24" x14ac:dyDescent="0.2">
      <c r="A121" s="8">
        <v>59.5</v>
      </c>
      <c r="B121" s="8">
        <v>119</v>
      </c>
      <c r="D121">
        <v>974.91398555482999</v>
      </c>
      <c r="E121">
        <v>273.91661195009999</v>
      </c>
      <c r="F121" s="16">
        <v>133.87792207792</v>
      </c>
      <c r="G121" s="16">
        <v>115.8538961039</v>
      </c>
      <c r="I121" s="9">
        <f t="shared" si="8"/>
        <v>158.06271584619998</v>
      </c>
      <c r="J121" s="9">
        <f t="shared" si="9"/>
        <v>841.03606347690993</v>
      </c>
      <c r="K121" s="9">
        <f t="shared" si="10"/>
        <v>158.06271584619998</v>
      </c>
      <c r="L121" s="10">
        <f t="shared" si="7"/>
        <v>0.1879380952973124</v>
      </c>
      <c r="M121" s="10">
        <f t="shared" si="11"/>
        <v>0.21622587481719685</v>
      </c>
      <c r="P121" s="8">
        <f t="shared" si="12"/>
        <v>-51.493235139038696</v>
      </c>
      <c r="X121" s="8">
        <v>-13</v>
      </c>
    </row>
    <row r="122" spans="1:24" x14ac:dyDescent="0.2">
      <c r="A122" s="8">
        <v>60</v>
      </c>
      <c r="B122" s="8">
        <v>120</v>
      </c>
      <c r="D122">
        <v>984.75114904792997</v>
      </c>
      <c r="E122">
        <v>275.44386080104999</v>
      </c>
      <c r="F122" s="16">
        <v>133.67272727272999</v>
      </c>
      <c r="G122" s="16">
        <v>115.6987012987</v>
      </c>
      <c r="I122" s="9">
        <f t="shared" si="8"/>
        <v>159.74515950234999</v>
      </c>
      <c r="J122" s="9">
        <f t="shared" si="9"/>
        <v>851.07842177520001</v>
      </c>
      <c r="K122" s="9">
        <f t="shared" si="10"/>
        <v>159.74515950234999</v>
      </c>
      <c r="L122" s="10">
        <f t="shared" si="7"/>
        <v>0.18769734423432996</v>
      </c>
      <c r="M122" s="10">
        <f t="shared" si="11"/>
        <v>0.21622283618715463</v>
      </c>
      <c r="P122" s="8">
        <f t="shared" si="12"/>
        <v>-51.493916806360339</v>
      </c>
      <c r="X122" s="8">
        <v>-13</v>
      </c>
    </row>
    <row r="123" spans="1:24" x14ac:dyDescent="0.2">
      <c r="A123" s="8">
        <v>60.5</v>
      </c>
      <c r="B123" s="8">
        <v>121</v>
      </c>
      <c r="D123">
        <v>968.69665134602997</v>
      </c>
      <c r="E123">
        <v>271.24359816152003</v>
      </c>
      <c r="F123" s="16">
        <v>133.86558441558</v>
      </c>
      <c r="G123" s="16">
        <v>115.84025974026</v>
      </c>
      <c r="I123" s="9">
        <f t="shared" si="8"/>
        <v>155.40333842126003</v>
      </c>
      <c r="J123" s="9">
        <f t="shared" si="9"/>
        <v>834.83106693044999</v>
      </c>
      <c r="K123" s="9">
        <f t="shared" si="10"/>
        <v>155.40333842126003</v>
      </c>
      <c r="L123" s="10">
        <f t="shared" si="7"/>
        <v>0.18614944337499928</v>
      </c>
      <c r="M123" s="10">
        <f t="shared" si="11"/>
        <v>0.21491264776076416</v>
      </c>
      <c r="P123" s="8">
        <f t="shared" si="12"/>
        <v>-51.787836310564941</v>
      </c>
      <c r="X123" s="8">
        <v>-13</v>
      </c>
    </row>
    <row r="124" spans="1:24" x14ac:dyDescent="0.2">
      <c r="A124" s="8">
        <v>61</v>
      </c>
      <c r="B124" s="8">
        <v>122</v>
      </c>
      <c r="D124">
        <v>974.84963887064998</v>
      </c>
      <c r="E124">
        <v>274.49835850296</v>
      </c>
      <c r="F124" s="16">
        <v>134.00389610389999</v>
      </c>
      <c r="G124" s="16">
        <v>116.18896103896</v>
      </c>
      <c r="I124" s="9">
        <f t="shared" si="8"/>
        <v>158.309397464</v>
      </c>
      <c r="J124" s="9">
        <f t="shared" si="9"/>
        <v>840.84574276674994</v>
      </c>
      <c r="K124" s="9">
        <f t="shared" si="10"/>
        <v>158.309397464</v>
      </c>
      <c r="L124" s="10">
        <f t="shared" si="7"/>
        <v>0.18827400724310372</v>
      </c>
      <c r="M124" s="10">
        <f t="shared" si="11"/>
        <v>0.21727492406180882</v>
      </c>
      <c r="P124" s="8">
        <f t="shared" si="12"/>
        <v>-51.257897971000958</v>
      </c>
      <c r="X124" s="8">
        <v>-13</v>
      </c>
    </row>
    <row r="125" spans="1:24" x14ac:dyDescent="0.2">
      <c r="A125" s="8">
        <v>61.5</v>
      </c>
      <c r="B125" s="8">
        <v>123</v>
      </c>
      <c r="D125">
        <v>981.15561391990002</v>
      </c>
      <c r="E125">
        <v>274.58371634931001</v>
      </c>
      <c r="F125" s="16">
        <v>133.37467532468</v>
      </c>
      <c r="G125" s="16">
        <v>115.72402597403</v>
      </c>
      <c r="I125" s="9">
        <f t="shared" si="8"/>
        <v>158.85969037528002</v>
      </c>
      <c r="J125" s="9">
        <f t="shared" si="9"/>
        <v>847.78093859522005</v>
      </c>
      <c r="K125" s="9">
        <f t="shared" si="10"/>
        <v>158.85969037528002</v>
      </c>
      <c r="L125" s="10">
        <f t="shared" si="7"/>
        <v>0.18738294663537947</v>
      </c>
      <c r="M125" s="10">
        <f t="shared" si="11"/>
        <v>0.21662157588702474</v>
      </c>
      <c r="P125" s="8">
        <f t="shared" si="12"/>
        <v>-51.404466027730443</v>
      </c>
      <c r="X125" s="8">
        <v>-13</v>
      </c>
    </row>
    <row r="126" spans="1:24" x14ac:dyDescent="0.2">
      <c r="A126" s="8">
        <v>62</v>
      </c>
      <c r="B126" s="8">
        <v>124</v>
      </c>
      <c r="D126">
        <v>984.91923834536999</v>
      </c>
      <c r="E126">
        <v>274.59356533158001</v>
      </c>
      <c r="F126" s="16">
        <v>133.64610389609999</v>
      </c>
      <c r="G126" s="16">
        <v>115.87597402597</v>
      </c>
      <c r="I126" s="9">
        <f t="shared" si="8"/>
        <v>158.71759130561003</v>
      </c>
      <c r="J126" s="9">
        <f t="shared" si="9"/>
        <v>851.27313444926995</v>
      </c>
      <c r="K126" s="9">
        <f t="shared" si="10"/>
        <v>158.71759130561003</v>
      </c>
      <c r="L126" s="10">
        <f t="shared" si="7"/>
        <v>0.18644731624038877</v>
      </c>
      <c r="M126" s="10">
        <f t="shared" si="11"/>
        <v>0.21592365792497425</v>
      </c>
      <c r="P126" s="8">
        <f t="shared" si="12"/>
        <v>-51.561032592698872</v>
      </c>
      <c r="X126" s="8">
        <v>-13</v>
      </c>
    </row>
    <row r="127" spans="1:24" x14ac:dyDescent="0.2">
      <c r="A127" s="8">
        <v>62.5</v>
      </c>
      <c r="B127" s="8">
        <v>125</v>
      </c>
      <c r="D127">
        <v>975.35850295470004</v>
      </c>
      <c r="E127">
        <v>274.02363755745</v>
      </c>
      <c r="F127" s="16">
        <v>133.89675324675</v>
      </c>
      <c r="G127" s="16">
        <v>115.91753246752999</v>
      </c>
      <c r="I127" s="9">
        <f t="shared" si="8"/>
        <v>158.10610508991999</v>
      </c>
      <c r="J127" s="9">
        <f t="shared" si="9"/>
        <v>841.46174970795005</v>
      </c>
      <c r="K127" s="9">
        <f t="shared" si="10"/>
        <v>158.10610508991999</v>
      </c>
      <c r="L127" s="10">
        <f t="shared" si="7"/>
        <v>0.18789458361570754</v>
      </c>
      <c r="M127" s="10">
        <f t="shared" si="11"/>
        <v>0.21760863773323325</v>
      </c>
      <c r="P127" s="8">
        <f t="shared" si="12"/>
        <v>-51.18303472623731</v>
      </c>
      <c r="X127" s="8">
        <v>-13</v>
      </c>
    </row>
    <row r="128" spans="1:24" x14ac:dyDescent="0.2">
      <c r="A128" s="8">
        <v>63</v>
      </c>
      <c r="B128" s="8">
        <v>126</v>
      </c>
      <c r="D128">
        <v>972.99015101773</v>
      </c>
      <c r="E128">
        <v>271.89757058436999</v>
      </c>
      <c r="F128" s="16">
        <v>133.83961038960999</v>
      </c>
      <c r="G128" s="16">
        <v>115.57597402597</v>
      </c>
      <c r="I128" s="9">
        <f t="shared" si="8"/>
        <v>156.32159655839999</v>
      </c>
      <c r="J128" s="9">
        <f t="shared" si="9"/>
        <v>839.15054062811998</v>
      </c>
      <c r="K128" s="9">
        <f t="shared" si="10"/>
        <v>156.32159655839999</v>
      </c>
      <c r="L128" s="10">
        <f t="shared" si="7"/>
        <v>0.18628552207258345</v>
      </c>
      <c r="M128" s="10">
        <f t="shared" si="11"/>
        <v>0.21623728862304936</v>
      </c>
      <c r="P128" s="8">
        <f t="shared" si="12"/>
        <v>-51.490674636984423</v>
      </c>
      <c r="X128" s="8">
        <v>-13</v>
      </c>
    </row>
    <row r="129" spans="1:24" x14ac:dyDescent="0.2">
      <c r="A129" s="8">
        <v>63.5</v>
      </c>
      <c r="B129" s="8">
        <v>127</v>
      </c>
      <c r="D129">
        <v>965.75837163492997</v>
      </c>
      <c r="E129">
        <v>272.46881155614</v>
      </c>
      <c r="F129" s="16">
        <v>133.68961038961001</v>
      </c>
      <c r="G129" s="16">
        <v>115.58896103895999</v>
      </c>
      <c r="I129" s="9">
        <f t="shared" si="8"/>
        <v>156.87985051717999</v>
      </c>
      <c r="J129" s="9">
        <f t="shared" si="9"/>
        <v>832.06876124531993</v>
      </c>
      <c r="K129" s="9">
        <f t="shared" si="10"/>
        <v>156.87985051717999</v>
      </c>
      <c r="L129" s="10">
        <f t="shared" si="7"/>
        <v>0.18854193045582551</v>
      </c>
      <c r="M129" s="10">
        <f t="shared" si="11"/>
        <v>0.21873140943923164</v>
      </c>
      <c r="P129" s="8">
        <f t="shared" si="12"/>
        <v>-50.93115912077868</v>
      </c>
      <c r="X129" s="8">
        <v>-13</v>
      </c>
    </row>
    <row r="130" spans="1:24" x14ac:dyDescent="0.2">
      <c r="A130" s="8">
        <v>64</v>
      </c>
      <c r="B130" s="8">
        <v>128</v>
      </c>
      <c r="D130">
        <v>981.29875246225004</v>
      </c>
      <c r="E130">
        <v>273.46815495732</v>
      </c>
      <c r="F130" s="16">
        <v>133.87272727273</v>
      </c>
      <c r="G130" s="16">
        <v>115.68246753247</v>
      </c>
      <c r="I130" s="9">
        <f t="shared" si="8"/>
        <v>157.78568742484998</v>
      </c>
      <c r="J130" s="9">
        <f t="shared" si="9"/>
        <v>847.42602518952003</v>
      </c>
      <c r="K130" s="9">
        <f t="shared" si="10"/>
        <v>157.78568742484998</v>
      </c>
      <c r="L130" s="10">
        <f t="shared" ref="L130:L193" si="14">K130/J130</f>
        <v>0.18619405438906891</v>
      </c>
      <c r="M130" s="10">
        <f t="shared" si="11"/>
        <v>0.21662124580541522</v>
      </c>
      <c r="P130" s="8">
        <f t="shared" si="12"/>
        <v>-51.404540076181071</v>
      </c>
      <c r="X130" s="8">
        <v>-13</v>
      </c>
    </row>
    <row r="131" spans="1:24" x14ac:dyDescent="0.2">
      <c r="A131" s="8">
        <v>64.5</v>
      </c>
      <c r="B131" s="8">
        <v>129</v>
      </c>
      <c r="D131">
        <v>964.76099803019997</v>
      </c>
      <c r="E131">
        <v>271.64609323703002</v>
      </c>
      <c r="F131" s="16">
        <v>133.61363636364001</v>
      </c>
      <c r="G131" s="16">
        <v>115.87987012987</v>
      </c>
      <c r="I131" s="9">
        <f t="shared" ref="I131:I194" si="15">E131-G131</f>
        <v>155.76622310716002</v>
      </c>
      <c r="J131" s="9">
        <f t="shared" ref="J131:J194" si="16">D131-F131</f>
        <v>831.14736166655996</v>
      </c>
      <c r="K131" s="9">
        <f t="shared" ref="K131:K194" si="17">I131*1</f>
        <v>155.76622310716002</v>
      </c>
      <c r="L131" s="10">
        <f t="shared" si="14"/>
        <v>0.18741107809670263</v>
      </c>
      <c r="M131" s="10">
        <f t="shared" ref="M131:M181" si="18">L131+ABS($N$2)*A131</f>
        <v>0.21807598194598915</v>
      </c>
      <c r="P131" s="8">
        <f t="shared" ref="P131:P194" si="19">(M131-$O$2)/$O$2*100</f>
        <v>-51.078193638849193</v>
      </c>
      <c r="X131" s="8">
        <v>-13</v>
      </c>
    </row>
    <row r="132" spans="1:24" x14ac:dyDescent="0.2">
      <c r="A132" s="8">
        <v>65</v>
      </c>
      <c r="B132" s="8">
        <v>130</v>
      </c>
      <c r="D132">
        <v>970.70584372947997</v>
      </c>
      <c r="E132">
        <v>273.08864084045001</v>
      </c>
      <c r="F132" s="16">
        <v>134.03766233766001</v>
      </c>
      <c r="G132" s="16">
        <v>116.01168831168999</v>
      </c>
      <c r="I132" s="9">
        <f t="shared" si="15"/>
        <v>157.07695252876002</v>
      </c>
      <c r="J132" s="9">
        <f t="shared" si="16"/>
        <v>836.66818139181999</v>
      </c>
      <c r="K132" s="9">
        <f t="shared" si="17"/>
        <v>157.07695252876002</v>
      </c>
      <c r="L132" s="10">
        <f t="shared" si="14"/>
        <v>0.18774103763269484</v>
      </c>
      <c r="M132" s="10">
        <f t="shared" si="18"/>
        <v>0.21864365391492158</v>
      </c>
      <c r="P132" s="8">
        <f t="shared" si="19"/>
        <v>-50.950845648057417</v>
      </c>
      <c r="X132" s="8">
        <v>-13</v>
      </c>
    </row>
    <row r="133" spans="1:24" x14ac:dyDescent="0.2">
      <c r="A133" s="8">
        <v>65.5</v>
      </c>
      <c r="B133" s="8">
        <v>131</v>
      </c>
      <c r="D133">
        <v>981.014445174</v>
      </c>
      <c r="E133">
        <v>275.93237032172999</v>
      </c>
      <c r="F133" s="16">
        <v>133.66818181817999</v>
      </c>
      <c r="G133" s="16">
        <v>115.75974025974</v>
      </c>
      <c r="I133" s="9">
        <f t="shared" si="15"/>
        <v>160.17263006198999</v>
      </c>
      <c r="J133" s="9">
        <f t="shared" si="16"/>
        <v>847.34626335582004</v>
      </c>
      <c r="K133" s="9">
        <f t="shared" si="17"/>
        <v>160.17263006198999</v>
      </c>
      <c r="L133" s="10">
        <f t="shared" si="14"/>
        <v>0.18902854357042209</v>
      </c>
      <c r="M133" s="10">
        <f t="shared" si="18"/>
        <v>0.22016887228558901</v>
      </c>
      <c r="P133" s="8">
        <f t="shared" si="19"/>
        <v>-50.608687666594143</v>
      </c>
      <c r="X133" s="8">
        <v>-13</v>
      </c>
    </row>
    <row r="134" spans="1:24" x14ac:dyDescent="0.2">
      <c r="A134" s="8">
        <v>66</v>
      </c>
      <c r="B134" s="8">
        <v>132</v>
      </c>
      <c r="D134">
        <v>974.03348653972</v>
      </c>
      <c r="E134">
        <v>274.60144451740001</v>
      </c>
      <c r="F134" s="16">
        <v>133.76428571429</v>
      </c>
      <c r="G134" s="16">
        <v>115.68701298700999</v>
      </c>
      <c r="I134" s="9">
        <f t="shared" si="15"/>
        <v>158.91443153039</v>
      </c>
      <c r="J134" s="9">
        <f t="shared" si="16"/>
        <v>840.26920082543006</v>
      </c>
      <c r="K134" s="9">
        <f t="shared" si="17"/>
        <v>158.91443153039</v>
      </c>
      <c r="L134" s="10">
        <f t="shared" si="14"/>
        <v>0.18912323737949932</v>
      </c>
      <c r="M134" s="10">
        <f t="shared" si="18"/>
        <v>0.22050127852760645</v>
      </c>
      <c r="P134" s="8">
        <f t="shared" si="19"/>
        <v>-50.534117722393489</v>
      </c>
      <c r="X134" s="8">
        <v>-13</v>
      </c>
    </row>
    <row r="135" spans="1:24" x14ac:dyDescent="0.2">
      <c r="A135" s="8">
        <v>66.5</v>
      </c>
      <c r="B135" s="8">
        <v>133</v>
      </c>
      <c r="D135">
        <v>972.94747209454999</v>
      </c>
      <c r="E135">
        <v>273.91004596191999</v>
      </c>
      <c r="F135" s="16">
        <v>133.64350649350999</v>
      </c>
      <c r="G135" s="16">
        <v>115.79090909091001</v>
      </c>
      <c r="I135" s="9">
        <f t="shared" si="15"/>
        <v>158.11913687100997</v>
      </c>
      <c r="J135" s="9">
        <f t="shared" si="16"/>
        <v>839.30396560103998</v>
      </c>
      <c r="K135" s="9">
        <f t="shared" si="17"/>
        <v>158.11913687100997</v>
      </c>
      <c r="L135" s="10">
        <f t="shared" si="14"/>
        <v>0.18839317261866878</v>
      </c>
      <c r="M135" s="10">
        <f t="shared" si="18"/>
        <v>0.22000892619971613</v>
      </c>
      <c r="P135" s="8">
        <f t="shared" si="19"/>
        <v>-50.644568974436808</v>
      </c>
      <c r="X135" s="8">
        <v>-13</v>
      </c>
    </row>
    <row r="136" spans="1:24" x14ac:dyDescent="0.2">
      <c r="A136" s="8">
        <v>67</v>
      </c>
      <c r="B136" s="8">
        <v>134</v>
      </c>
      <c r="D136">
        <v>964.97701904137</v>
      </c>
      <c r="E136">
        <v>272.39395929086999</v>
      </c>
      <c r="F136" s="16">
        <v>133.53376623377</v>
      </c>
      <c r="G136" s="16">
        <v>115.51753246753</v>
      </c>
      <c r="I136" s="9">
        <f t="shared" si="15"/>
        <v>156.87642682333998</v>
      </c>
      <c r="J136" s="9">
        <f t="shared" si="16"/>
        <v>831.44325280759995</v>
      </c>
      <c r="K136" s="9">
        <f t="shared" si="17"/>
        <v>156.87642682333998</v>
      </c>
      <c r="L136" s="10">
        <f t="shared" si="14"/>
        <v>0.18867965587982463</v>
      </c>
      <c r="M136" s="10">
        <f t="shared" si="18"/>
        <v>0.22053312189381219</v>
      </c>
      <c r="P136" s="8">
        <f t="shared" si="19"/>
        <v>-50.52697418012211</v>
      </c>
      <c r="X136" s="8">
        <v>-13</v>
      </c>
    </row>
    <row r="137" spans="1:24" x14ac:dyDescent="0.2">
      <c r="A137" s="8">
        <v>67.5</v>
      </c>
      <c r="B137" s="8">
        <v>135</v>
      </c>
      <c r="D137">
        <v>973.39198949442005</v>
      </c>
      <c r="E137">
        <v>273.13591595535001</v>
      </c>
      <c r="F137" s="16">
        <v>133.73376623377001</v>
      </c>
      <c r="G137" s="16">
        <v>115.41233766233999</v>
      </c>
      <c r="I137" s="9">
        <f t="shared" si="15"/>
        <v>157.72357829301001</v>
      </c>
      <c r="J137" s="9">
        <f t="shared" si="16"/>
        <v>839.65822326065006</v>
      </c>
      <c r="K137" s="9">
        <f t="shared" si="17"/>
        <v>157.72357829301001</v>
      </c>
      <c r="L137" s="10">
        <f t="shared" si="14"/>
        <v>0.18784259347871451</v>
      </c>
      <c r="M137" s="10">
        <f t="shared" si="18"/>
        <v>0.21993377192564229</v>
      </c>
      <c r="P137" s="8">
        <f t="shared" si="19"/>
        <v>-50.661428615790463</v>
      </c>
      <c r="X137" s="8">
        <v>-13</v>
      </c>
    </row>
    <row r="138" spans="1:24" x14ac:dyDescent="0.2">
      <c r="A138" s="8">
        <v>68</v>
      </c>
      <c r="B138" s="8">
        <v>136</v>
      </c>
      <c r="D138">
        <v>974.72094550229997</v>
      </c>
      <c r="E138">
        <v>274.02692055154</v>
      </c>
      <c r="F138" s="16">
        <v>133.13376623376999</v>
      </c>
      <c r="G138" s="16">
        <v>115.50844155844</v>
      </c>
      <c r="I138" s="9">
        <f t="shared" si="15"/>
        <v>158.51847899310002</v>
      </c>
      <c r="J138" s="9">
        <f t="shared" si="16"/>
        <v>841.58717926853001</v>
      </c>
      <c r="K138" s="9">
        <f t="shared" si="17"/>
        <v>158.51847899310002</v>
      </c>
      <c r="L138" s="10">
        <f t="shared" si="14"/>
        <v>0.18835657540657547</v>
      </c>
      <c r="M138" s="10">
        <f t="shared" si="18"/>
        <v>0.22068546628644342</v>
      </c>
      <c r="P138" s="8">
        <f t="shared" si="19"/>
        <v>-50.492798188754293</v>
      </c>
      <c r="X138" s="8">
        <v>-13</v>
      </c>
    </row>
    <row r="139" spans="1:24" x14ac:dyDescent="0.2">
      <c r="A139" s="8">
        <v>68.5</v>
      </c>
      <c r="B139" s="8">
        <v>137</v>
      </c>
      <c r="D139">
        <v>967.31976362443004</v>
      </c>
      <c r="E139">
        <v>271.35981615232998</v>
      </c>
      <c r="F139" s="16">
        <v>133.89350649350999</v>
      </c>
      <c r="G139" s="16">
        <v>115.59935064935</v>
      </c>
      <c r="I139" s="9">
        <f t="shared" si="15"/>
        <v>155.76046550297997</v>
      </c>
      <c r="J139" s="9">
        <f t="shared" si="16"/>
        <v>833.42625713092002</v>
      </c>
      <c r="K139" s="9">
        <f t="shared" si="17"/>
        <v>155.76046550297997</v>
      </c>
      <c r="L139" s="10">
        <f t="shared" si="14"/>
        <v>0.18689171857770268</v>
      </c>
      <c r="M139" s="10">
        <f t="shared" si="18"/>
        <v>0.21945832189051084</v>
      </c>
      <c r="P139" s="8">
        <f t="shared" si="19"/>
        <v>-50.768088112840729</v>
      </c>
      <c r="X139" s="8">
        <v>-13</v>
      </c>
    </row>
    <row r="140" spans="1:24" x14ac:dyDescent="0.2">
      <c r="A140" s="8">
        <v>69</v>
      </c>
      <c r="B140" s="8">
        <v>138</v>
      </c>
      <c r="D140">
        <v>969.30072225870003</v>
      </c>
      <c r="E140">
        <v>273.94944189101</v>
      </c>
      <c r="F140" s="16">
        <v>133.62272727273</v>
      </c>
      <c r="G140" s="16">
        <v>115.44220779221</v>
      </c>
      <c r="I140" s="9">
        <f t="shared" si="15"/>
        <v>158.50723409879998</v>
      </c>
      <c r="J140" s="9">
        <f t="shared" si="16"/>
        <v>835.67799498597003</v>
      </c>
      <c r="K140" s="9">
        <f t="shared" si="17"/>
        <v>158.50723409879998</v>
      </c>
      <c r="L140" s="10">
        <f t="shared" si="14"/>
        <v>0.18967501244478877</v>
      </c>
      <c r="M140" s="10">
        <f t="shared" si="18"/>
        <v>0.22247932819053715</v>
      </c>
      <c r="P140" s="8">
        <f t="shared" si="19"/>
        <v>-50.090374391655658</v>
      </c>
      <c r="X140" s="8">
        <v>-13</v>
      </c>
    </row>
    <row r="141" spans="1:24" x14ac:dyDescent="0.2">
      <c r="A141" s="8">
        <v>69.5</v>
      </c>
      <c r="B141" s="8">
        <v>139</v>
      </c>
      <c r="D141">
        <v>969.42810242942005</v>
      </c>
      <c r="E141">
        <v>273.60078791858001</v>
      </c>
      <c r="F141" s="16">
        <v>133.70519480519999</v>
      </c>
      <c r="G141" s="16">
        <v>115.61168831169</v>
      </c>
      <c r="I141" s="9">
        <f t="shared" si="15"/>
        <v>157.98909960689002</v>
      </c>
      <c r="J141" s="9">
        <f t="shared" si="16"/>
        <v>835.72290762422006</v>
      </c>
      <c r="K141" s="9">
        <f t="shared" si="17"/>
        <v>157.98909960689002</v>
      </c>
      <c r="L141" s="10">
        <f t="shared" si="14"/>
        <v>0.18904483551374576</v>
      </c>
      <c r="M141" s="10">
        <f t="shared" si="18"/>
        <v>0.22208686369243436</v>
      </c>
      <c r="P141" s="8">
        <f t="shared" si="19"/>
        <v>-50.178417430639044</v>
      </c>
      <c r="X141" s="8">
        <v>-13</v>
      </c>
    </row>
    <row r="142" spans="1:24" x14ac:dyDescent="0.2">
      <c r="A142" s="8">
        <v>70</v>
      </c>
      <c r="B142" s="8">
        <v>140</v>
      </c>
      <c r="D142">
        <v>979.66250820748996</v>
      </c>
      <c r="E142">
        <v>275.86474064346999</v>
      </c>
      <c r="F142" s="16">
        <v>133.50844155844001</v>
      </c>
      <c r="G142" s="16">
        <v>115.39805194805</v>
      </c>
      <c r="I142" s="9">
        <f t="shared" si="15"/>
        <v>160.46668869541998</v>
      </c>
      <c r="J142" s="9">
        <f t="shared" si="16"/>
        <v>846.15406664904992</v>
      </c>
      <c r="K142" s="9">
        <f t="shared" si="17"/>
        <v>160.46668869541998</v>
      </c>
      <c r="L142" s="10">
        <f t="shared" si="14"/>
        <v>0.18964240085839473</v>
      </c>
      <c r="M142" s="10">
        <f t="shared" si="18"/>
        <v>0.22292214147002351</v>
      </c>
      <c r="P142" s="8">
        <f t="shared" si="19"/>
        <v>-49.991036420917808</v>
      </c>
      <c r="X142" s="8">
        <v>-13</v>
      </c>
    </row>
    <row r="143" spans="1:24" x14ac:dyDescent="0.2">
      <c r="A143" s="8">
        <v>70.5</v>
      </c>
      <c r="B143" s="8">
        <v>141</v>
      </c>
      <c r="D143">
        <v>966.32632961261004</v>
      </c>
      <c r="E143">
        <v>273.39461588968999</v>
      </c>
      <c r="F143" s="16">
        <v>133.35389610390001</v>
      </c>
      <c r="G143" s="16">
        <v>115.72922077922</v>
      </c>
      <c r="I143" s="9">
        <f t="shared" si="15"/>
        <v>157.66539511047</v>
      </c>
      <c r="J143" s="9">
        <f t="shared" si="16"/>
        <v>832.97243350871008</v>
      </c>
      <c r="K143" s="9">
        <f t="shared" si="17"/>
        <v>157.66539511047</v>
      </c>
      <c r="L143" s="10">
        <f t="shared" si="14"/>
        <v>0.18928044766900604</v>
      </c>
      <c r="M143" s="10">
        <f t="shared" si="18"/>
        <v>0.22279790071357503</v>
      </c>
      <c r="P143" s="8">
        <f t="shared" si="19"/>
        <v>-50.018907817735091</v>
      </c>
      <c r="X143" s="8">
        <v>-13</v>
      </c>
    </row>
    <row r="144" spans="1:24" x14ac:dyDescent="0.2">
      <c r="A144" s="8">
        <v>71</v>
      </c>
      <c r="B144" s="8">
        <v>142</v>
      </c>
      <c r="D144">
        <v>955.38279711097005</v>
      </c>
      <c r="E144">
        <v>270.71043992121002</v>
      </c>
      <c r="F144" s="16">
        <v>133.48766233766</v>
      </c>
      <c r="G144" s="16">
        <v>115.69285714286001</v>
      </c>
      <c r="I144" s="9">
        <f t="shared" si="15"/>
        <v>155.01758277835</v>
      </c>
      <c r="J144" s="9">
        <f t="shared" si="16"/>
        <v>821.89513477331002</v>
      </c>
      <c r="K144" s="9">
        <f t="shared" si="17"/>
        <v>155.01758277835</v>
      </c>
      <c r="L144" s="10">
        <f t="shared" si="14"/>
        <v>0.18860992871201993</v>
      </c>
      <c r="M144" s="10">
        <f t="shared" si="18"/>
        <v>0.22236509418952913</v>
      </c>
      <c r="P144" s="8">
        <f t="shared" si="19"/>
        <v>-50.116000935336928</v>
      </c>
    </row>
    <row r="145" spans="1:16" x14ac:dyDescent="0.2">
      <c r="A145" s="8">
        <v>71.5</v>
      </c>
      <c r="B145" s="8">
        <v>143</v>
      </c>
      <c r="D145">
        <v>950.23309258043003</v>
      </c>
      <c r="E145">
        <v>270.17071569271002</v>
      </c>
      <c r="F145" s="16">
        <v>133.69025974025999</v>
      </c>
      <c r="G145" s="16">
        <v>115.47857142857001</v>
      </c>
      <c r="I145" s="9">
        <f t="shared" si="15"/>
        <v>154.69214426414001</v>
      </c>
      <c r="J145" s="9">
        <f t="shared" si="16"/>
        <v>816.54283284017004</v>
      </c>
      <c r="K145" s="9">
        <f t="shared" si="17"/>
        <v>154.69214426414001</v>
      </c>
      <c r="L145" s="10">
        <f t="shared" si="14"/>
        <v>0.18944767872871579</v>
      </c>
      <c r="M145" s="10">
        <f t="shared" si="18"/>
        <v>0.22344055663916518</v>
      </c>
      <c r="P145" s="8">
        <f t="shared" si="19"/>
        <v>-49.874738393537093</v>
      </c>
    </row>
    <row r="146" spans="1:16" x14ac:dyDescent="0.2">
      <c r="A146" s="8">
        <v>72</v>
      </c>
      <c r="B146" s="8">
        <v>144</v>
      </c>
      <c r="D146">
        <v>941.31319763624003</v>
      </c>
      <c r="E146">
        <v>268.56007879186001</v>
      </c>
      <c r="F146" s="16">
        <v>133.34870129870001</v>
      </c>
      <c r="G146" s="16">
        <v>115.56298701299001</v>
      </c>
      <c r="I146" s="9">
        <f t="shared" si="15"/>
        <v>152.99709177887001</v>
      </c>
      <c r="J146" s="9">
        <f t="shared" si="16"/>
        <v>807.96449633754003</v>
      </c>
      <c r="K146" s="9">
        <f t="shared" si="17"/>
        <v>152.99709177887001</v>
      </c>
      <c r="L146" s="10">
        <f t="shared" si="14"/>
        <v>0.18936115692260944</v>
      </c>
      <c r="M146" s="10">
        <f t="shared" si="18"/>
        <v>0.22359174726599904</v>
      </c>
      <c r="P146" s="8">
        <f t="shared" si="19"/>
        <v>-49.840821230795996</v>
      </c>
    </row>
    <row r="147" spans="1:16" x14ac:dyDescent="0.2">
      <c r="A147" s="8">
        <v>72.5</v>
      </c>
      <c r="B147" s="8">
        <v>145</v>
      </c>
      <c r="D147">
        <v>941.69862114247996</v>
      </c>
      <c r="E147">
        <v>270.46027577149999</v>
      </c>
      <c r="F147" s="16">
        <v>133.85129870130001</v>
      </c>
      <c r="G147" s="16">
        <v>115.49480519481</v>
      </c>
      <c r="I147" s="9">
        <f t="shared" si="15"/>
        <v>154.96547057669</v>
      </c>
      <c r="J147" s="9">
        <f t="shared" si="16"/>
        <v>807.84732244117993</v>
      </c>
      <c r="K147" s="9">
        <f t="shared" si="17"/>
        <v>154.96547057669</v>
      </c>
      <c r="L147" s="10">
        <f t="shared" si="14"/>
        <v>0.19182519551888863</v>
      </c>
      <c r="M147" s="10">
        <f t="shared" si="18"/>
        <v>0.22629349829521844</v>
      </c>
      <c r="P147" s="8">
        <f t="shared" si="19"/>
        <v>-49.23472724690992</v>
      </c>
    </row>
    <row r="148" spans="1:16" x14ac:dyDescent="0.2">
      <c r="A148" s="8">
        <v>73</v>
      </c>
      <c r="B148" s="8">
        <v>146</v>
      </c>
      <c r="D148">
        <v>945.96651346028</v>
      </c>
      <c r="E148">
        <v>269.25410374261003</v>
      </c>
      <c r="F148" s="16">
        <v>133.32727272727001</v>
      </c>
      <c r="G148" s="16">
        <v>115.47142857143</v>
      </c>
      <c r="I148" s="9">
        <f t="shared" si="15"/>
        <v>153.78267517118002</v>
      </c>
      <c r="J148" s="9">
        <f t="shared" si="16"/>
        <v>812.63924073300996</v>
      </c>
      <c r="K148" s="9">
        <f t="shared" si="17"/>
        <v>153.78267517118002</v>
      </c>
      <c r="L148" s="10">
        <f t="shared" si="14"/>
        <v>0.18923855440756993</v>
      </c>
      <c r="M148" s="10">
        <f t="shared" si="18"/>
        <v>0.22394456961683995</v>
      </c>
      <c r="P148" s="8">
        <f t="shared" si="19"/>
        <v>-49.761671264010566</v>
      </c>
    </row>
    <row r="149" spans="1:16" x14ac:dyDescent="0.2">
      <c r="A149" s="8">
        <v>73.5</v>
      </c>
      <c r="B149" s="8">
        <v>147</v>
      </c>
      <c r="D149">
        <v>937.46421536441005</v>
      </c>
      <c r="E149">
        <v>268.44057780695999</v>
      </c>
      <c r="F149" s="16">
        <v>133.87012987013</v>
      </c>
      <c r="G149" s="16">
        <v>115.36298701299</v>
      </c>
      <c r="I149" s="9">
        <f t="shared" si="15"/>
        <v>153.07759079396999</v>
      </c>
      <c r="J149" s="9">
        <f t="shared" si="16"/>
        <v>803.59408549428008</v>
      </c>
      <c r="K149" s="9">
        <f t="shared" si="17"/>
        <v>153.07759079396999</v>
      </c>
      <c r="L149" s="10">
        <f t="shared" si="14"/>
        <v>0.19049118647981833</v>
      </c>
      <c r="M149" s="10">
        <f t="shared" si="18"/>
        <v>0.22543491412202854</v>
      </c>
      <c r="P149" s="8">
        <f t="shared" si="19"/>
        <v>-49.427336668134259</v>
      </c>
    </row>
    <row r="150" spans="1:16" x14ac:dyDescent="0.2">
      <c r="A150" s="8">
        <v>74</v>
      </c>
      <c r="B150" s="8">
        <v>148</v>
      </c>
      <c r="D150">
        <v>944.72619829283997</v>
      </c>
      <c r="E150">
        <v>268.93302692054999</v>
      </c>
      <c r="F150" s="16">
        <v>133.53961038961</v>
      </c>
      <c r="G150" s="16">
        <v>115.40129870129999</v>
      </c>
      <c r="I150" s="9">
        <f t="shared" si="15"/>
        <v>153.53172821925</v>
      </c>
      <c r="J150" s="9">
        <f t="shared" si="16"/>
        <v>811.18658790323002</v>
      </c>
      <c r="K150" s="9">
        <f t="shared" si="17"/>
        <v>153.53172821925</v>
      </c>
      <c r="L150" s="10">
        <f t="shared" si="14"/>
        <v>0.1892680802527833</v>
      </c>
      <c r="M150" s="10">
        <f t="shared" si="18"/>
        <v>0.22444952032793372</v>
      </c>
      <c r="P150" s="8">
        <f t="shared" si="19"/>
        <v>-49.648393769214401</v>
      </c>
    </row>
    <row r="151" spans="1:16" x14ac:dyDescent="0.2">
      <c r="A151" s="8">
        <v>74.5</v>
      </c>
      <c r="B151" s="8">
        <v>149</v>
      </c>
      <c r="D151">
        <v>942.78660538410998</v>
      </c>
      <c r="E151">
        <v>269.10439921208001</v>
      </c>
      <c r="F151" s="16">
        <v>133.81168831169001</v>
      </c>
      <c r="G151" s="16">
        <v>115.18506493507</v>
      </c>
      <c r="I151" s="9">
        <f t="shared" si="15"/>
        <v>153.91933427701002</v>
      </c>
      <c r="J151" s="9">
        <f t="shared" si="16"/>
        <v>808.97491707242</v>
      </c>
      <c r="K151" s="9">
        <f t="shared" si="17"/>
        <v>153.91933427701002</v>
      </c>
      <c r="L151" s="10">
        <f t="shared" si="14"/>
        <v>0.19026465595994624</v>
      </c>
      <c r="M151" s="10">
        <f t="shared" si="18"/>
        <v>0.22568380846803687</v>
      </c>
      <c r="P151" s="8">
        <f t="shared" si="19"/>
        <v>-49.371501262092977</v>
      </c>
    </row>
    <row r="152" spans="1:16" x14ac:dyDescent="0.2">
      <c r="A152" s="8">
        <v>75</v>
      </c>
      <c r="B152" s="8">
        <v>150</v>
      </c>
      <c r="D152">
        <v>938.22849638871003</v>
      </c>
      <c r="E152">
        <v>268.43072882468999</v>
      </c>
      <c r="F152" s="16">
        <v>133.23116883117001</v>
      </c>
      <c r="G152" s="16">
        <v>114.81753246753</v>
      </c>
      <c r="I152" s="9">
        <f t="shared" si="15"/>
        <v>153.61319635716001</v>
      </c>
      <c r="J152" s="9">
        <f t="shared" si="16"/>
        <v>804.99732755754007</v>
      </c>
      <c r="K152" s="9">
        <f t="shared" si="17"/>
        <v>153.61319635716001</v>
      </c>
      <c r="L152" s="10">
        <f t="shared" si="14"/>
        <v>0.19082447990633852</v>
      </c>
      <c r="M152" s="10">
        <f t="shared" si="18"/>
        <v>0.22648134484736937</v>
      </c>
      <c r="P152" s="8">
        <f t="shared" si="19"/>
        <v>-49.192586922386639</v>
      </c>
    </row>
    <row r="153" spans="1:16" x14ac:dyDescent="0.2">
      <c r="A153" s="8">
        <v>75.5</v>
      </c>
      <c r="B153" s="8">
        <v>151</v>
      </c>
      <c r="D153">
        <v>942.71109652002997</v>
      </c>
      <c r="E153">
        <v>270.25869993433997</v>
      </c>
      <c r="F153" s="16">
        <v>133.46623376623</v>
      </c>
      <c r="G153" s="16">
        <v>115.39675324675</v>
      </c>
      <c r="I153" s="9">
        <f t="shared" si="15"/>
        <v>154.86194668758998</v>
      </c>
      <c r="J153" s="9">
        <f t="shared" si="16"/>
        <v>809.24486275379991</v>
      </c>
      <c r="K153" s="9">
        <f t="shared" si="17"/>
        <v>154.86194668758998</v>
      </c>
      <c r="L153" s="10">
        <f t="shared" si="14"/>
        <v>0.19136599293396356</v>
      </c>
      <c r="M153" s="10">
        <f t="shared" si="18"/>
        <v>0.22726057030793462</v>
      </c>
      <c r="P153" s="8">
        <f t="shared" si="19"/>
        <v>-49.017780340051068</v>
      </c>
    </row>
    <row r="154" spans="1:16" x14ac:dyDescent="0.2">
      <c r="A154" s="8">
        <v>76</v>
      </c>
      <c r="B154" s="8">
        <v>152</v>
      </c>
      <c r="D154">
        <v>946.15233092580002</v>
      </c>
      <c r="E154">
        <v>270.95403808272999</v>
      </c>
      <c r="F154" s="16">
        <v>133.24220779221</v>
      </c>
      <c r="G154" s="16">
        <v>115.61818181818001</v>
      </c>
      <c r="I154" s="9">
        <f t="shared" si="15"/>
        <v>155.33585626454999</v>
      </c>
      <c r="J154" s="9">
        <f t="shared" si="16"/>
        <v>812.91012313358999</v>
      </c>
      <c r="K154" s="9">
        <f t="shared" si="17"/>
        <v>155.33585626454999</v>
      </c>
      <c r="L154" s="10">
        <f t="shared" si="14"/>
        <v>0.19108613836147639</v>
      </c>
      <c r="M154" s="10">
        <f t="shared" si="18"/>
        <v>0.22721842816838764</v>
      </c>
      <c r="P154" s="8">
        <f t="shared" si="19"/>
        <v>-49.027234244933972</v>
      </c>
    </row>
    <row r="155" spans="1:16" x14ac:dyDescent="0.2">
      <c r="A155" s="8">
        <v>76.5</v>
      </c>
      <c r="B155" s="8">
        <v>153</v>
      </c>
      <c r="D155">
        <v>939.83913328955998</v>
      </c>
      <c r="E155">
        <v>271.27839789887997</v>
      </c>
      <c r="F155" s="16">
        <v>133.02272727273001</v>
      </c>
      <c r="G155" s="16">
        <v>115.34545454546</v>
      </c>
      <c r="I155" s="9">
        <f t="shared" si="15"/>
        <v>155.93294335341997</v>
      </c>
      <c r="J155" s="9">
        <f t="shared" si="16"/>
        <v>806.81640601683</v>
      </c>
      <c r="K155" s="9">
        <f t="shared" si="17"/>
        <v>155.93294335341997</v>
      </c>
      <c r="L155" s="10">
        <f t="shared" si="14"/>
        <v>0.19326942559738583</v>
      </c>
      <c r="M155" s="10">
        <f t="shared" si="18"/>
        <v>0.22963942783723729</v>
      </c>
      <c r="P155" s="8">
        <f t="shared" si="19"/>
        <v>-48.484122271102727</v>
      </c>
    </row>
    <row r="156" spans="1:16" x14ac:dyDescent="0.2">
      <c r="A156" s="8">
        <v>77</v>
      </c>
      <c r="B156" s="8">
        <v>154</v>
      </c>
      <c r="D156">
        <v>942.40512147078005</v>
      </c>
      <c r="E156">
        <v>271.66644780039002</v>
      </c>
      <c r="F156" s="16">
        <v>133.25389610389999</v>
      </c>
      <c r="G156" s="16">
        <v>115.30974025974</v>
      </c>
      <c r="I156" s="9">
        <f t="shared" si="15"/>
        <v>156.35670754065001</v>
      </c>
      <c r="J156" s="9">
        <f t="shared" si="16"/>
        <v>809.15122536688</v>
      </c>
      <c r="K156" s="9">
        <f t="shared" si="17"/>
        <v>156.35670754065001</v>
      </c>
      <c r="L156" s="10">
        <f t="shared" si="14"/>
        <v>0.19323545789571756</v>
      </c>
      <c r="M156" s="10">
        <f t="shared" si="18"/>
        <v>0.22984317256850922</v>
      </c>
      <c r="P156" s="8">
        <f t="shared" si="19"/>
        <v>-48.438415448180521</v>
      </c>
    </row>
    <row r="157" spans="1:16" x14ac:dyDescent="0.2">
      <c r="A157" s="8">
        <v>77.5</v>
      </c>
      <c r="B157" s="8">
        <v>155</v>
      </c>
      <c r="D157">
        <v>942.24359816152003</v>
      </c>
      <c r="E157">
        <v>271.64609323703002</v>
      </c>
      <c r="F157" s="16">
        <v>133.29155844156</v>
      </c>
      <c r="G157" s="16">
        <v>115.36558441558</v>
      </c>
      <c r="I157" s="9">
        <f t="shared" si="15"/>
        <v>156.28050882145001</v>
      </c>
      <c r="J157" s="9">
        <f t="shared" si="16"/>
        <v>808.95203971996</v>
      </c>
      <c r="K157" s="9">
        <f t="shared" si="17"/>
        <v>156.28050882145001</v>
      </c>
      <c r="L157" s="10">
        <f t="shared" si="14"/>
        <v>0.19318884327870736</v>
      </c>
      <c r="M157" s="10">
        <f t="shared" si="18"/>
        <v>0.23003427038443924</v>
      </c>
      <c r="P157" s="8">
        <f t="shared" si="19"/>
        <v>-48.39554575540857</v>
      </c>
    </row>
    <row r="158" spans="1:16" x14ac:dyDescent="0.2">
      <c r="A158" s="8">
        <v>78</v>
      </c>
      <c r="B158" s="8">
        <v>156</v>
      </c>
      <c r="D158">
        <v>938.62179908075996</v>
      </c>
      <c r="E158">
        <v>271.58043335522001</v>
      </c>
      <c r="F158" s="16">
        <v>132.87662337661999</v>
      </c>
      <c r="G158" s="16">
        <v>115.01688311688</v>
      </c>
      <c r="I158" s="9">
        <f t="shared" si="15"/>
        <v>156.56355023834001</v>
      </c>
      <c r="J158" s="9">
        <f t="shared" si="16"/>
        <v>805.74517570413991</v>
      </c>
      <c r="K158" s="9">
        <f t="shared" si="17"/>
        <v>156.56355023834001</v>
      </c>
      <c r="L158" s="10">
        <f t="shared" si="14"/>
        <v>0.19430901351847285</v>
      </c>
      <c r="M158" s="10">
        <f t="shared" si="18"/>
        <v>0.23139215305714492</v>
      </c>
      <c r="P158" s="8">
        <f t="shared" si="19"/>
        <v>-48.090926821299071</v>
      </c>
    </row>
    <row r="159" spans="1:16" x14ac:dyDescent="0.2">
      <c r="A159" s="8">
        <v>78.5</v>
      </c>
      <c r="B159" s="8">
        <v>157</v>
      </c>
      <c r="D159">
        <v>957.08995403808001</v>
      </c>
      <c r="E159">
        <v>275.07353906763001</v>
      </c>
      <c r="F159" s="16">
        <v>133.28831168830999</v>
      </c>
      <c r="G159" s="16">
        <v>115.25454545455</v>
      </c>
      <c r="I159" s="9">
        <f t="shared" si="15"/>
        <v>159.81899361308001</v>
      </c>
      <c r="J159" s="9">
        <f t="shared" si="16"/>
        <v>823.80164234976996</v>
      </c>
      <c r="K159" s="9">
        <f t="shared" si="17"/>
        <v>159.81899361308001</v>
      </c>
      <c r="L159" s="10">
        <f t="shared" si="14"/>
        <v>0.19400179047618846</v>
      </c>
      <c r="M159" s="10">
        <f t="shared" si="18"/>
        <v>0.23132264244780074</v>
      </c>
      <c r="P159" s="8">
        <f t="shared" si="19"/>
        <v>-48.106520398088392</v>
      </c>
    </row>
    <row r="160" spans="1:16" x14ac:dyDescent="0.2">
      <c r="A160" s="8">
        <v>79</v>
      </c>
      <c r="B160" s="8">
        <v>158</v>
      </c>
      <c r="D160">
        <v>947.16086671044002</v>
      </c>
      <c r="E160">
        <v>273.40183847668999</v>
      </c>
      <c r="F160" s="16">
        <v>133.13506493507001</v>
      </c>
      <c r="G160" s="16">
        <v>115.42792207792</v>
      </c>
      <c r="I160" s="9">
        <f t="shared" si="15"/>
        <v>157.97391639876997</v>
      </c>
      <c r="J160" s="9">
        <f t="shared" si="16"/>
        <v>814.02580177537004</v>
      </c>
      <c r="K160" s="9">
        <f t="shared" si="17"/>
        <v>157.97391639876997</v>
      </c>
      <c r="L160" s="10">
        <f t="shared" si="14"/>
        <v>0.19406499898926149</v>
      </c>
      <c r="M160" s="10">
        <f t="shared" si="18"/>
        <v>0.23162356339381399</v>
      </c>
      <c r="P160" s="8">
        <f t="shared" si="19"/>
        <v>-48.039013668922223</v>
      </c>
    </row>
    <row r="161" spans="1:16" x14ac:dyDescent="0.2">
      <c r="A161" s="8">
        <v>79.5</v>
      </c>
      <c r="B161" s="8">
        <v>159</v>
      </c>
      <c r="D161">
        <v>936.09520682863001</v>
      </c>
      <c r="E161">
        <v>271.14445173999002</v>
      </c>
      <c r="F161" s="16">
        <v>132.99870129870001</v>
      </c>
      <c r="G161" s="16">
        <v>114.90909090909</v>
      </c>
      <c r="I161" s="9">
        <f t="shared" si="15"/>
        <v>156.23536083090002</v>
      </c>
      <c r="J161" s="9">
        <f t="shared" si="16"/>
        <v>803.09650552993003</v>
      </c>
      <c r="K161" s="9">
        <f t="shared" si="17"/>
        <v>156.23536083090002</v>
      </c>
      <c r="L161" s="10">
        <f t="shared" si="14"/>
        <v>0.19454120364750785</v>
      </c>
      <c r="M161" s="10">
        <f t="shared" si="18"/>
        <v>0.23233748048500052</v>
      </c>
      <c r="P161" s="8">
        <f t="shared" si="19"/>
        <v>-47.878857959057783</v>
      </c>
    </row>
    <row r="162" spans="1:16" x14ac:dyDescent="0.2">
      <c r="A162" s="8">
        <v>80</v>
      </c>
      <c r="B162" s="4">
        <v>160</v>
      </c>
      <c r="C162" s="4" t="s">
        <v>7</v>
      </c>
      <c r="D162">
        <v>933.67695338147996</v>
      </c>
      <c r="E162">
        <v>269.94484569927999</v>
      </c>
      <c r="F162" s="16">
        <v>133.16818181817999</v>
      </c>
      <c r="G162" s="16">
        <v>115.04675324675</v>
      </c>
      <c r="H162" s="4"/>
      <c r="I162" s="5">
        <f t="shared" si="15"/>
        <v>154.89809245252999</v>
      </c>
      <c r="J162" s="5">
        <f t="shared" si="16"/>
        <v>800.5087715633</v>
      </c>
      <c r="K162" s="9">
        <f t="shared" si="17"/>
        <v>154.89809245252999</v>
      </c>
      <c r="L162" s="6">
        <f t="shared" si="14"/>
        <v>0.19349955672569599</v>
      </c>
      <c r="M162" s="6">
        <f t="shared" si="18"/>
        <v>0.23153354599612888</v>
      </c>
      <c r="N162" s="4"/>
      <c r="O162" s="4"/>
      <c r="P162" s="4">
        <f t="shared" si="19"/>
        <v>-48.059207610773996</v>
      </c>
    </row>
    <row r="163" spans="1:16" x14ac:dyDescent="0.2">
      <c r="A163" s="8">
        <v>80.5</v>
      </c>
      <c r="B163" s="8">
        <v>161</v>
      </c>
      <c r="D163">
        <v>939.46749835850005</v>
      </c>
      <c r="E163">
        <v>271.99146421536</v>
      </c>
      <c r="F163" s="16">
        <v>133.00844155844001</v>
      </c>
      <c r="G163" s="16">
        <v>115.20844155844</v>
      </c>
      <c r="I163" s="9">
        <f t="shared" si="15"/>
        <v>156.78302265692</v>
      </c>
      <c r="J163" s="9">
        <f t="shared" si="16"/>
        <v>806.45905680006001</v>
      </c>
      <c r="K163" s="9">
        <f t="shared" si="17"/>
        <v>156.78302265692</v>
      </c>
      <c r="L163" s="10">
        <f t="shared" si="14"/>
        <v>0.19440915361409372</v>
      </c>
      <c r="M163" s="10">
        <f t="shared" si="18"/>
        <v>0.23268085531746682</v>
      </c>
      <c r="P163" s="8">
        <f t="shared" si="19"/>
        <v>-47.801827389651166</v>
      </c>
    </row>
    <row r="164" spans="1:16" x14ac:dyDescent="0.2">
      <c r="A164" s="8">
        <v>81</v>
      </c>
      <c r="B164" s="8">
        <v>162</v>
      </c>
      <c r="D164">
        <v>970.86505867014</v>
      </c>
      <c r="E164">
        <v>341.24771838330997</v>
      </c>
      <c r="F164" s="16">
        <v>133.16233766234001</v>
      </c>
      <c r="G164" s="16">
        <v>114.95389610389999</v>
      </c>
      <c r="I164" s="9">
        <f t="shared" si="15"/>
        <v>226.29382227940999</v>
      </c>
      <c r="J164" s="9">
        <f t="shared" si="16"/>
        <v>837.70272100779994</v>
      </c>
      <c r="K164" s="9">
        <f t="shared" si="17"/>
        <v>226.29382227940999</v>
      </c>
      <c r="L164" s="10">
        <f t="shared" si="14"/>
        <v>0.27013619104300718</v>
      </c>
      <c r="M164" s="10">
        <f t="shared" si="18"/>
        <v>0.30864560517932049</v>
      </c>
      <c r="P164" s="8">
        <f t="shared" si="19"/>
        <v>-30.760368950017554</v>
      </c>
    </row>
    <row r="165" spans="1:16" x14ac:dyDescent="0.2">
      <c r="A165" s="8">
        <v>81.5</v>
      </c>
      <c r="B165" s="8">
        <v>163</v>
      </c>
      <c r="D165">
        <v>995.46544980443002</v>
      </c>
      <c r="E165">
        <v>409.63754889179</v>
      </c>
      <c r="F165" s="16">
        <v>133.30714285714001</v>
      </c>
      <c r="G165" s="16">
        <v>115.27857142857</v>
      </c>
      <c r="I165" s="9">
        <f t="shared" si="15"/>
        <v>294.35897746322001</v>
      </c>
      <c r="J165" s="9">
        <f t="shared" si="16"/>
        <v>862.15830694729004</v>
      </c>
      <c r="K165" s="9">
        <f t="shared" si="17"/>
        <v>294.35897746322001</v>
      </c>
      <c r="L165" s="10">
        <f t="shared" si="14"/>
        <v>0.34142103032734139</v>
      </c>
      <c r="M165" s="10">
        <f t="shared" si="18"/>
        <v>0.38016815689659489</v>
      </c>
      <c r="P165" s="8">
        <f t="shared" si="19"/>
        <v>-14.71544555063792</v>
      </c>
    </row>
    <row r="166" spans="1:16" x14ac:dyDescent="0.2">
      <c r="A166" s="8">
        <v>82</v>
      </c>
      <c r="B166" s="8">
        <v>164</v>
      </c>
      <c r="D166">
        <v>1013.0324675325</v>
      </c>
      <c r="E166">
        <v>459.84090909090997</v>
      </c>
      <c r="F166" s="16">
        <v>133.87727272727</v>
      </c>
      <c r="G166" s="16">
        <v>115.13506493507001</v>
      </c>
      <c r="I166" s="9">
        <f t="shared" si="15"/>
        <v>344.70584415583994</v>
      </c>
      <c r="J166" s="9">
        <f t="shared" si="16"/>
        <v>879.15519480523005</v>
      </c>
      <c r="K166" s="9">
        <f t="shared" si="17"/>
        <v>344.70584415583994</v>
      </c>
      <c r="L166" s="10">
        <f t="shared" si="14"/>
        <v>0.3920875929445049</v>
      </c>
      <c r="M166" s="10">
        <f t="shared" si="18"/>
        <v>0.43107243194669864</v>
      </c>
      <c r="P166" s="8">
        <f t="shared" si="19"/>
        <v>-3.2958978098293268</v>
      </c>
    </row>
    <row r="167" spans="1:16" x14ac:dyDescent="0.2">
      <c r="A167" s="8">
        <v>82.5</v>
      </c>
      <c r="B167" s="8">
        <v>165</v>
      </c>
      <c r="D167">
        <v>1027.1025974025999</v>
      </c>
      <c r="E167">
        <v>507.9</v>
      </c>
      <c r="F167" s="16">
        <v>133.62727272727</v>
      </c>
      <c r="G167" s="16">
        <v>114.98246753247</v>
      </c>
      <c r="I167" s="9">
        <f t="shared" si="15"/>
        <v>392.91753246753001</v>
      </c>
      <c r="J167" s="9">
        <f t="shared" si="16"/>
        <v>893.47532467532994</v>
      </c>
      <c r="K167" s="9">
        <f t="shared" si="17"/>
        <v>392.91753246753001</v>
      </c>
      <c r="L167" s="10">
        <f t="shared" si="14"/>
        <v>0.43976316034279733</v>
      </c>
      <c r="M167" s="10">
        <f t="shared" si="18"/>
        <v>0.47898571177793126</v>
      </c>
      <c r="P167" s="8">
        <f t="shared" si="19"/>
        <v>7.4526687086593224</v>
      </c>
    </row>
    <row r="168" spans="1:16" x14ac:dyDescent="0.2">
      <c r="A168" s="8">
        <v>83</v>
      </c>
      <c r="B168" s="8">
        <v>166</v>
      </c>
      <c r="D168">
        <v>1035.2753246753</v>
      </c>
      <c r="E168">
        <v>558.99935064935005</v>
      </c>
      <c r="F168" s="16">
        <v>133.55974025974001</v>
      </c>
      <c r="G168" s="16">
        <v>115.72922077922</v>
      </c>
      <c r="I168" s="9">
        <f t="shared" si="15"/>
        <v>443.27012987013006</v>
      </c>
      <c r="J168" s="9">
        <f t="shared" si="16"/>
        <v>901.71558441555999</v>
      </c>
      <c r="K168" s="9">
        <f t="shared" si="17"/>
        <v>443.27012987013006</v>
      </c>
      <c r="L168" s="10">
        <f t="shared" si="14"/>
        <v>0.49158530420368879</v>
      </c>
      <c r="M168" s="10">
        <f t="shared" si="18"/>
        <v>0.53104556807176295</v>
      </c>
      <c r="P168" s="8">
        <f t="shared" si="19"/>
        <v>19.131452342094725</v>
      </c>
    </row>
    <row r="169" spans="1:16" x14ac:dyDescent="0.2">
      <c r="A169" s="8">
        <v>83.5</v>
      </c>
      <c r="B169" s="8">
        <v>167</v>
      </c>
      <c r="D169">
        <v>1044.1422077922</v>
      </c>
      <c r="E169">
        <v>594.98441558442005</v>
      </c>
      <c r="F169" s="16">
        <v>133.71818181818</v>
      </c>
      <c r="G169" s="16">
        <v>115.63246753247</v>
      </c>
      <c r="I169" s="9">
        <f t="shared" si="15"/>
        <v>479.35194805195005</v>
      </c>
      <c r="J169" s="9">
        <f t="shared" si="16"/>
        <v>910.42402597401997</v>
      </c>
      <c r="K169" s="9">
        <f t="shared" si="17"/>
        <v>479.35194805195005</v>
      </c>
      <c r="L169" s="10">
        <f t="shared" si="14"/>
        <v>0.52651504615018685</v>
      </c>
      <c r="M169" s="10">
        <f t="shared" si="18"/>
        <v>0.5662130224512012</v>
      </c>
      <c r="P169" s="8">
        <f t="shared" si="19"/>
        <v>27.020699832868779</v>
      </c>
    </row>
    <row r="170" spans="1:16" x14ac:dyDescent="0.2">
      <c r="A170" s="8">
        <v>84</v>
      </c>
      <c r="B170" s="8">
        <v>168</v>
      </c>
      <c r="D170">
        <v>1061.2720779220999</v>
      </c>
      <c r="E170">
        <v>618.08506493507002</v>
      </c>
      <c r="F170" s="16">
        <v>133.58896103896001</v>
      </c>
      <c r="G170" s="16">
        <v>115.52922077922</v>
      </c>
      <c r="I170" s="9">
        <f t="shared" si="15"/>
        <v>502.55584415585002</v>
      </c>
      <c r="J170" s="9">
        <f t="shared" si="16"/>
        <v>927.68311688313997</v>
      </c>
      <c r="K170" s="9">
        <f t="shared" si="17"/>
        <v>502.55584415585002</v>
      </c>
      <c r="L170" s="10">
        <f t="shared" si="14"/>
        <v>0.54173223055341735</v>
      </c>
      <c r="M170" s="10">
        <f t="shared" si="18"/>
        <v>0.58166791928737194</v>
      </c>
      <c r="P170" s="8">
        <f t="shared" si="19"/>
        <v>30.487755047312181</v>
      </c>
    </row>
    <row r="171" spans="1:16" x14ac:dyDescent="0.2">
      <c r="A171" s="8">
        <v>84.5</v>
      </c>
      <c r="B171" s="8">
        <v>169</v>
      </c>
      <c r="D171">
        <v>1056.7045454546001</v>
      </c>
      <c r="E171">
        <v>618.36233766234</v>
      </c>
      <c r="F171" s="16">
        <v>133.83246753246999</v>
      </c>
      <c r="G171" s="16">
        <v>115.68636363636</v>
      </c>
      <c r="I171" s="9">
        <f t="shared" si="15"/>
        <v>502.67597402598</v>
      </c>
      <c r="J171" s="9">
        <f t="shared" si="16"/>
        <v>922.87207792213007</v>
      </c>
      <c r="K171" s="9">
        <f t="shared" si="17"/>
        <v>502.67597402598</v>
      </c>
      <c r="L171" s="10">
        <f t="shared" si="14"/>
        <v>0.54468651295395965</v>
      </c>
      <c r="M171" s="10">
        <f t="shared" si="18"/>
        <v>0.58485991412085436</v>
      </c>
      <c r="P171" s="8">
        <f t="shared" si="19"/>
        <v>31.203827270195017</v>
      </c>
    </row>
    <row r="172" spans="1:16" x14ac:dyDescent="0.2">
      <c r="A172" s="8">
        <v>85</v>
      </c>
      <c r="B172" s="8">
        <v>170</v>
      </c>
      <c r="D172">
        <v>1053.9207792207999</v>
      </c>
      <c r="E172">
        <v>622.20064935065</v>
      </c>
      <c r="F172" s="16">
        <v>133.52142857142999</v>
      </c>
      <c r="G172" s="16">
        <v>115.80064935065</v>
      </c>
      <c r="I172" s="9">
        <f t="shared" si="15"/>
        <v>506.4</v>
      </c>
      <c r="J172" s="9">
        <f t="shared" si="16"/>
        <v>920.39935064936992</v>
      </c>
      <c r="K172" s="9">
        <f t="shared" si="17"/>
        <v>506.4</v>
      </c>
      <c r="L172" s="10">
        <f t="shared" si="14"/>
        <v>0.55019595531300547</v>
      </c>
      <c r="M172" s="10">
        <f t="shared" si="18"/>
        <v>0.59060706891284043</v>
      </c>
      <c r="P172" s="8">
        <f t="shared" si="19"/>
        <v>32.49310814996992</v>
      </c>
    </row>
    <row r="173" spans="1:16" x14ac:dyDescent="0.2">
      <c r="A173" s="8">
        <v>85.5</v>
      </c>
      <c r="B173" s="8">
        <v>171</v>
      </c>
      <c r="D173">
        <v>1057.6824675324999</v>
      </c>
      <c r="E173">
        <v>634.29025974026001</v>
      </c>
      <c r="F173" s="16">
        <v>133.72857142857001</v>
      </c>
      <c r="G173" s="16">
        <v>115.75714285714</v>
      </c>
      <c r="I173" s="9">
        <f t="shared" si="15"/>
        <v>518.53311688311999</v>
      </c>
      <c r="J173" s="9">
        <f t="shared" si="16"/>
        <v>923.95389610392988</v>
      </c>
      <c r="K173" s="9">
        <f t="shared" si="17"/>
        <v>518.53311688311999</v>
      </c>
      <c r="L173" s="10">
        <f t="shared" si="14"/>
        <v>0.5612110291104756</v>
      </c>
      <c r="M173" s="10">
        <f t="shared" si="18"/>
        <v>0.6018598551432508</v>
      </c>
      <c r="P173" s="8">
        <f t="shared" si="19"/>
        <v>35.017488065975094</v>
      </c>
    </row>
    <row r="174" spans="1:16" x14ac:dyDescent="0.2">
      <c r="A174" s="8">
        <v>86</v>
      </c>
      <c r="B174" s="8">
        <v>172</v>
      </c>
      <c r="D174">
        <v>1048.0512987013001</v>
      </c>
      <c r="E174">
        <v>639.82337662338</v>
      </c>
      <c r="F174" s="16">
        <v>133.63116883116999</v>
      </c>
      <c r="G174" s="16">
        <v>115.54220779220999</v>
      </c>
      <c r="I174" s="9">
        <f t="shared" si="15"/>
        <v>524.28116883117002</v>
      </c>
      <c r="J174" s="9">
        <f t="shared" si="16"/>
        <v>914.42012987013004</v>
      </c>
      <c r="K174" s="9">
        <f t="shared" si="17"/>
        <v>524.28116883117002</v>
      </c>
      <c r="L174" s="10">
        <f t="shared" si="14"/>
        <v>0.57334823644535338</v>
      </c>
      <c r="M174" s="10">
        <f t="shared" si="18"/>
        <v>0.6142347749110687</v>
      </c>
      <c r="P174" s="8">
        <f t="shared" si="19"/>
        <v>37.793600424675397</v>
      </c>
    </row>
    <row r="175" spans="1:16" x14ac:dyDescent="0.2">
      <c r="A175" s="8">
        <v>86.5</v>
      </c>
      <c r="B175" s="8">
        <v>173</v>
      </c>
      <c r="D175">
        <v>1047.6324675325</v>
      </c>
      <c r="E175">
        <v>643.34675324675004</v>
      </c>
      <c r="F175" s="16">
        <v>133.98051948052</v>
      </c>
      <c r="G175" s="16">
        <v>115.43766233766</v>
      </c>
      <c r="I175" s="9">
        <f t="shared" si="15"/>
        <v>527.90909090909008</v>
      </c>
      <c r="J175" s="9">
        <f t="shared" si="16"/>
        <v>913.65194805197996</v>
      </c>
      <c r="K175" s="9">
        <f t="shared" si="17"/>
        <v>527.90909090909008</v>
      </c>
      <c r="L175" s="10">
        <f t="shared" si="14"/>
        <v>0.57780108939148889</v>
      </c>
      <c r="M175" s="10">
        <f t="shared" si="18"/>
        <v>0.61892534029014445</v>
      </c>
      <c r="P175" s="8">
        <f t="shared" si="19"/>
        <v>38.845852622059951</v>
      </c>
    </row>
    <row r="176" spans="1:16" x14ac:dyDescent="0.2">
      <c r="A176" s="8">
        <v>87</v>
      </c>
      <c r="B176" s="8">
        <v>174</v>
      </c>
      <c r="D176">
        <v>1054.4701298701</v>
      </c>
      <c r="E176">
        <v>642.52207792208003</v>
      </c>
      <c r="F176" s="16">
        <v>133.89285714286001</v>
      </c>
      <c r="G176" s="16">
        <v>115.5961038961</v>
      </c>
      <c r="I176" s="9">
        <f t="shared" si="15"/>
        <v>526.92597402598005</v>
      </c>
      <c r="J176" s="9">
        <f t="shared" si="16"/>
        <v>920.57727272723992</v>
      </c>
      <c r="K176" s="9">
        <f t="shared" si="17"/>
        <v>526.92597402598005</v>
      </c>
      <c r="L176" s="10">
        <f t="shared" si="14"/>
        <v>0.57238646840036012</v>
      </c>
      <c r="M176" s="10">
        <f t="shared" si="18"/>
        <v>0.61374843173195592</v>
      </c>
      <c r="P176" s="8">
        <f t="shared" si="19"/>
        <v>37.684497227609363</v>
      </c>
    </row>
    <row r="177" spans="1:16" x14ac:dyDescent="0.2">
      <c r="A177" s="8">
        <v>87.5</v>
      </c>
      <c r="B177" s="8">
        <v>175</v>
      </c>
      <c r="D177">
        <v>1051.3733766234</v>
      </c>
      <c r="E177">
        <v>641.44480519480999</v>
      </c>
      <c r="F177" s="16">
        <v>133.47727272726999</v>
      </c>
      <c r="G177" s="16">
        <v>115.56298701299001</v>
      </c>
      <c r="I177" s="9">
        <f t="shared" si="15"/>
        <v>525.88181818181999</v>
      </c>
      <c r="J177" s="9">
        <f t="shared" si="16"/>
        <v>917.89610389612994</v>
      </c>
      <c r="K177" s="9">
        <f t="shared" si="17"/>
        <v>525.88181818181999</v>
      </c>
      <c r="L177" s="10">
        <f t="shared" si="14"/>
        <v>0.57292085231612366</v>
      </c>
      <c r="M177" s="10">
        <f t="shared" si="18"/>
        <v>0.6145205280806596</v>
      </c>
      <c r="P177" s="8">
        <f t="shared" si="19"/>
        <v>37.857704509430924</v>
      </c>
    </row>
    <row r="178" spans="1:16" x14ac:dyDescent="0.2">
      <c r="A178" s="8">
        <v>88</v>
      </c>
      <c r="B178" s="8">
        <v>176</v>
      </c>
      <c r="D178">
        <v>1046.7681818182</v>
      </c>
      <c r="E178">
        <v>629.82857142856994</v>
      </c>
      <c r="F178" s="16">
        <v>133.92402597403</v>
      </c>
      <c r="G178" s="16">
        <v>115.67077922078001</v>
      </c>
      <c r="I178" s="9">
        <f t="shared" si="15"/>
        <v>514.15779220778995</v>
      </c>
      <c r="J178" s="9">
        <f t="shared" si="16"/>
        <v>912.84415584417002</v>
      </c>
      <c r="K178" s="9">
        <f t="shared" si="17"/>
        <v>514.15779220778995</v>
      </c>
      <c r="L178" s="10">
        <f t="shared" si="14"/>
        <v>0.56324816116318643</v>
      </c>
      <c r="M178" s="10">
        <f t="shared" si="18"/>
        <v>0.60508554936066261</v>
      </c>
      <c r="P178" s="8">
        <f t="shared" si="19"/>
        <v>35.741120198575501</v>
      </c>
    </row>
    <row r="179" spans="1:16" x14ac:dyDescent="0.2">
      <c r="A179" s="8">
        <v>88.5</v>
      </c>
      <c r="B179" s="8">
        <v>177</v>
      </c>
      <c r="D179">
        <v>1041.2194805194999</v>
      </c>
      <c r="E179">
        <v>630.07792207791999</v>
      </c>
      <c r="F179" s="16">
        <v>133.91818181817999</v>
      </c>
      <c r="G179" s="16">
        <v>115.52467532468</v>
      </c>
      <c r="I179" s="9">
        <f t="shared" si="15"/>
        <v>514.55324675324005</v>
      </c>
      <c r="J179" s="9">
        <f t="shared" si="16"/>
        <v>907.30129870131998</v>
      </c>
      <c r="K179" s="9">
        <f t="shared" si="17"/>
        <v>514.55324675324005</v>
      </c>
      <c r="L179" s="10">
        <f t="shared" si="14"/>
        <v>0.56712499749504819</v>
      </c>
      <c r="M179" s="10">
        <f t="shared" si="18"/>
        <v>0.60920009812546461</v>
      </c>
      <c r="P179" s="8">
        <f t="shared" si="19"/>
        <v>36.664152419450744</v>
      </c>
    </row>
    <row r="180" spans="1:16" x14ac:dyDescent="0.2">
      <c r="A180" s="8">
        <v>89</v>
      </c>
      <c r="B180" s="8">
        <v>178</v>
      </c>
      <c r="D180">
        <v>1044.5837662337999</v>
      </c>
      <c r="E180">
        <v>636.65064935065004</v>
      </c>
      <c r="F180" s="16">
        <v>133.45649350649001</v>
      </c>
      <c r="G180" s="16">
        <v>115.42012987013</v>
      </c>
      <c r="I180" s="9">
        <f t="shared" si="15"/>
        <v>521.23051948052</v>
      </c>
      <c r="J180" s="9">
        <f t="shared" si="16"/>
        <v>911.1272727273099</v>
      </c>
      <c r="K180" s="9">
        <f t="shared" si="17"/>
        <v>521.23051948052</v>
      </c>
      <c r="L180" s="10">
        <f t="shared" si="14"/>
        <v>0.57207212985766742</v>
      </c>
      <c r="M180" s="10">
        <f t="shared" si="18"/>
        <v>0.61438494292102397</v>
      </c>
      <c r="P180" s="8">
        <f t="shared" si="19"/>
        <v>37.827288179920679</v>
      </c>
    </row>
    <row r="181" spans="1:16" x14ac:dyDescent="0.2">
      <c r="A181" s="8">
        <v>89.5</v>
      </c>
      <c r="B181" s="8">
        <v>179</v>
      </c>
      <c r="D181">
        <v>1038.1376623377</v>
      </c>
      <c r="E181">
        <v>644.62532467533003</v>
      </c>
      <c r="F181" s="16">
        <v>134.57142857143</v>
      </c>
      <c r="G181" s="16">
        <v>115.70324675325</v>
      </c>
      <c r="I181" s="9">
        <f t="shared" si="15"/>
        <v>528.92207792208001</v>
      </c>
      <c r="J181" s="9">
        <f t="shared" si="16"/>
        <v>903.56623376626999</v>
      </c>
      <c r="K181" s="9">
        <f t="shared" si="17"/>
        <v>528.92207792208001</v>
      </c>
      <c r="L181" s="10">
        <f t="shared" si="14"/>
        <v>0.58537167299558357</v>
      </c>
      <c r="M181" s="10">
        <f t="shared" si="18"/>
        <v>0.62792219849188036</v>
      </c>
      <c r="P181" s="8">
        <f t="shared" si="19"/>
        <v>40.86415170697736</v>
      </c>
    </row>
    <row r="182" spans="1:16" x14ac:dyDescent="0.2">
      <c r="A182" s="8">
        <v>90</v>
      </c>
      <c r="B182" s="8">
        <v>180</v>
      </c>
      <c r="D182">
        <v>1049.7006493506999</v>
      </c>
      <c r="E182">
        <v>643.88181818181999</v>
      </c>
      <c r="F182" s="16">
        <v>133.57467532467999</v>
      </c>
      <c r="G182" s="16">
        <v>115.64415584416</v>
      </c>
      <c r="I182" s="9">
        <f t="shared" si="15"/>
        <v>528.23766233766003</v>
      </c>
      <c r="J182" s="9">
        <f t="shared" si="16"/>
        <v>916.12597402601989</v>
      </c>
      <c r="K182" s="9">
        <f t="shared" si="17"/>
        <v>528.23766233766003</v>
      </c>
      <c r="L182" s="10">
        <f t="shared" si="14"/>
        <v>0.57659937313670906</v>
      </c>
      <c r="M182" s="10">
        <f>L182+ABS($N$2)*A182</f>
        <v>0.61938761106594609</v>
      </c>
      <c r="P182" s="8">
        <f t="shared" si="19"/>
        <v>38.949555566228227</v>
      </c>
    </row>
    <row r="183" spans="1:16" x14ac:dyDescent="0.2">
      <c r="A183" s="8">
        <v>90.5</v>
      </c>
      <c r="B183" s="8">
        <v>181</v>
      </c>
      <c r="D183">
        <v>1045.2681818182</v>
      </c>
      <c r="E183">
        <v>634.21168831168995</v>
      </c>
      <c r="F183" s="16">
        <v>134.14480519481</v>
      </c>
      <c r="G183" s="16">
        <v>115.72012987012999</v>
      </c>
      <c r="I183" s="9">
        <f t="shared" si="15"/>
        <v>518.49155844155996</v>
      </c>
      <c r="J183" s="9">
        <f t="shared" si="16"/>
        <v>911.12337662338996</v>
      </c>
      <c r="K183" s="9">
        <f t="shared" si="17"/>
        <v>518.49155844155996</v>
      </c>
      <c r="L183" s="10">
        <f t="shared" si="14"/>
        <v>0.56906843984519662</v>
      </c>
      <c r="M183" s="10">
        <f t="shared" ref="M183:M241" si="20">L183+ABS($N$2)*A183</f>
        <v>0.61209439020737388</v>
      </c>
      <c r="P183" s="8">
        <f t="shared" si="19"/>
        <v>37.313439862846714</v>
      </c>
    </row>
    <row r="184" spans="1:16" x14ac:dyDescent="0.2">
      <c r="A184" s="8">
        <v>91</v>
      </c>
      <c r="B184" s="8">
        <v>182</v>
      </c>
      <c r="D184">
        <v>1041.4474025974</v>
      </c>
      <c r="E184">
        <v>620.84090909091003</v>
      </c>
      <c r="F184" s="16">
        <v>133.63831168831001</v>
      </c>
      <c r="G184" s="16">
        <v>115.67077922078001</v>
      </c>
      <c r="I184" s="9">
        <f t="shared" si="15"/>
        <v>505.17012987013004</v>
      </c>
      <c r="J184" s="9">
        <f t="shared" si="16"/>
        <v>907.80909090908995</v>
      </c>
      <c r="K184" s="9">
        <f t="shared" si="17"/>
        <v>505.17012987013004</v>
      </c>
      <c r="L184" s="10">
        <f t="shared" si="14"/>
        <v>0.55647176805009424</v>
      </c>
      <c r="M184" s="10">
        <f t="shared" si="20"/>
        <v>0.59973543084521164</v>
      </c>
      <c r="P184" s="8">
        <f t="shared" si="19"/>
        <v>34.540907962058206</v>
      </c>
    </row>
    <row r="185" spans="1:16" x14ac:dyDescent="0.2">
      <c r="A185" s="8">
        <v>91.5</v>
      </c>
      <c r="B185" s="8">
        <v>183</v>
      </c>
      <c r="D185">
        <v>1034.1675324675</v>
      </c>
      <c r="E185">
        <v>609.6961038961</v>
      </c>
      <c r="F185" s="16">
        <v>133.50064935065001</v>
      </c>
      <c r="G185" s="16">
        <v>115.52077922078</v>
      </c>
      <c r="I185" s="9">
        <f t="shared" si="15"/>
        <v>494.17532467531998</v>
      </c>
      <c r="J185" s="9">
        <f t="shared" si="16"/>
        <v>900.66688311684993</v>
      </c>
      <c r="K185" s="9">
        <f t="shared" si="17"/>
        <v>494.17532467531998</v>
      </c>
      <c r="L185" s="10">
        <f t="shared" si="14"/>
        <v>0.54867713461960066</v>
      </c>
      <c r="M185" s="10">
        <f t="shared" si="20"/>
        <v>0.5921785098476583</v>
      </c>
      <c r="P185" s="8">
        <f t="shared" si="19"/>
        <v>32.845635413335337</v>
      </c>
    </row>
    <row r="186" spans="1:16" x14ac:dyDescent="0.2">
      <c r="A186" s="8">
        <v>92</v>
      </c>
      <c r="B186" s="8">
        <v>184</v>
      </c>
      <c r="D186">
        <v>1033.5837662337999</v>
      </c>
      <c r="E186">
        <v>610.49025974025994</v>
      </c>
      <c r="F186" s="16">
        <v>134.17792207791999</v>
      </c>
      <c r="G186" s="16">
        <v>115.51038961039001</v>
      </c>
      <c r="I186" s="9">
        <f t="shared" si="15"/>
        <v>494.97987012986994</v>
      </c>
      <c r="J186" s="9">
        <f t="shared" si="16"/>
        <v>899.40584415587989</v>
      </c>
      <c r="K186" s="9">
        <f t="shared" si="17"/>
        <v>494.97987012986994</v>
      </c>
      <c r="L186" s="10">
        <f t="shared" si="14"/>
        <v>0.55034095380425707</v>
      </c>
      <c r="M186" s="10">
        <f t="shared" si="20"/>
        <v>0.59408004146525495</v>
      </c>
      <c r="P186" s="8">
        <f t="shared" si="19"/>
        <v>33.272213162776403</v>
      </c>
    </row>
    <row r="187" spans="1:16" x14ac:dyDescent="0.2">
      <c r="A187" s="8">
        <v>92.5</v>
      </c>
      <c r="B187" s="8">
        <v>185</v>
      </c>
      <c r="D187">
        <v>1045.9344155844001</v>
      </c>
      <c r="E187">
        <v>614.46298701298997</v>
      </c>
      <c r="F187" s="16">
        <v>134.12207792208</v>
      </c>
      <c r="G187" s="16">
        <v>115.64545454546</v>
      </c>
      <c r="I187" s="9">
        <f t="shared" si="15"/>
        <v>498.81753246752999</v>
      </c>
      <c r="J187" s="9">
        <f t="shared" si="16"/>
        <v>911.81233766232003</v>
      </c>
      <c r="K187" s="9">
        <f t="shared" si="17"/>
        <v>498.81753246752999</v>
      </c>
      <c r="L187" s="10">
        <f t="shared" si="14"/>
        <v>0.54706161768592099</v>
      </c>
      <c r="M187" s="10">
        <f t="shared" si="20"/>
        <v>0.59103841777985899</v>
      </c>
      <c r="P187" s="8">
        <f t="shared" si="19"/>
        <v>32.589874265880894</v>
      </c>
    </row>
    <row r="188" spans="1:16" x14ac:dyDescent="0.2">
      <c r="A188" s="8">
        <v>93</v>
      </c>
      <c r="B188" s="8">
        <v>186</v>
      </c>
      <c r="D188">
        <v>1036.5279220779</v>
      </c>
      <c r="E188">
        <v>605.38181818181999</v>
      </c>
      <c r="F188" s="16">
        <v>133.60779220779</v>
      </c>
      <c r="G188" s="16">
        <v>115.47207792208</v>
      </c>
      <c r="I188" s="9">
        <f t="shared" si="15"/>
        <v>489.90974025973998</v>
      </c>
      <c r="J188" s="9">
        <f t="shared" si="16"/>
        <v>902.92012987011003</v>
      </c>
      <c r="K188" s="9">
        <f t="shared" si="17"/>
        <v>489.90974025973998</v>
      </c>
      <c r="L188" s="10">
        <f t="shared" si="14"/>
        <v>0.5425836948947147</v>
      </c>
      <c r="M188" s="10">
        <f t="shared" si="20"/>
        <v>0.58679820742159294</v>
      </c>
      <c r="P188" s="8">
        <f t="shared" si="19"/>
        <v>31.638651906469423</v>
      </c>
    </row>
    <row r="189" spans="1:16" x14ac:dyDescent="0.2">
      <c r="A189" s="8">
        <v>93.5</v>
      </c>
      <c r="B189" s="8">
        <v>187</v>
      </c>
      <c r="D189">
        <v>1028.7876623377001</v>
      </c>
      <c r="E189">
        <v>599.42077922077999</v>
      </c>
      <c r="F189" s="16">
        <v>134.41298701298999</v>
      </c>
      <c r="G189" s="16">
        <v>115.77922077922</v>
      </c>
      <c r="I189" s="9">
        <f t="shared" si="15"/>
        <v>483.64155844155999</v>
      </c>
      <c r="J189" s="9">
        <f t="shared" si="16"/>
        <v>894.3746753247101</v>
      </c>
      <c r="K189" s="9">
        <f t="shared" si="17"/>
        <v>483.64155844155999</v>
      </c>
      <c r="L189" s="10">
        <f t="shared" si="14"/>
        <v>0.54075945102757961</v>
      </c>
      <c r="M189" s="10">
        <f t="shared" si="20"/>
        <v>0.58521167598739809</v>
      </c>
      <c r="P189" s="8">
        <f t="shared" si="19"/>
        <v>31.282739334543997</v>
      </c>
    </row>
    <row r="190" spans="1:16" x14ac:dyDescent="0.2">
      <c r="A190" s="8">
        <v>94</v>
      </c>
      <c r="B190" s="8">
        <v>188</v>
      </c>
      <c r="D190">
        <v>1037.1545454546001</v>
      </c>
      <c r="E190">
        <v>603.61038961039003</v>
      </c>
      <c r="F190" s="16">
        <v>133.75584415584001</v>
      </c>
      <c r="G190" s="16">
        <v>115.6038961039</v>
      </c>
      <c r="I190" s="9">
        <f t="shared" si="15"/>
        <v>488.00649350649002</v>
      </c>
      <c r="J190" s="9">
        <f t="shared" si="16"/>
        <v>903.3987012987601</v>
      </c>
      <c r="K190" s="9">
        <f t="shared" si="17"/>
        <v>488.00649350649002</v>
      </c>
      <c r="L190" s="10">
        <f t="shared" si="14"/>
        <v>0.54018950083159678</v>
      </c>
      <c r="M190" s="10">
        <f t="shared" si="20"/>
        <v>0.5848794382243554</v>
      </c>
      <c r="P190" s="8">
        <f t="shared" si="19"/>
        <v>31.208207185866282</v>
      </c>
    </row>
    <row r="191" spans="1:16" x14ac:dyDescent="0.2">
      <c r="A191" s="8">
        <v>94.5</v>
      </c>
      <c r="B191" s="8">
        <v>189</v>
      </c>
      <c r="D191">
        <v>1028.1233766234</v>
      </c>
      <c r="E191">
        <v>584.00064935064995</v>
      </c>
      <c r="F191" s="16">
        <v>134.21948051947999</v>
      </c>
      <c r="G191" s="16">
        <v>115.59155844156</v>
      </c>
      <c r="I191" s="9">
        <f t="shared" si="15"/>
        <v>468.40909090908997</v>
      </c>
      <c r="J191" s="9">
        <f t="shared" si="16"/>
        <v>893.90389610392003</v>
      </c>
      <c r="K191" s="9">
        <f t="shared" si="17"/>
        <v>468.40909090908997</v>
      </c>
      <c r="L191" s="10">
        <f t="shared" si="14"/>
        <v>0.52400385874885536</v>
      </c>
      <c r="M191" s="10">
        <f t="shared" si="20"/>
        <v>0.56893150857455421</v>
      </c>
      <c r="P191" s="8">
        <f t="shared" si="19"/>
        <v>27.63054806345059</v>
      </c>
    </row>
    <row r="192" spans="1:16" x14ac:dyDescent="0.2">
      <c r="A192" s="8">
        <v>95</v>
      </c>
      <c r="B192" s="8">
        <v>190</v>
      </c>
      <c r="D192">
        <v>1025.2558441558001</v>
      </c>
      <c r="E192">
        <v>583.24025974025994</v>
      </c>
      <c r="F192" s="16">
        <v>133.83051948052</v>
      </c>
      <c r="G192" s="16">
        <v>115.56753246753</v>
      </c>
      <c r="I192" s="9">
        <f t="shared" si="15"/>
        <v>467.67272727272996</v>
      </c>
      <c r="J192" s="9">
        <f t="shared" si="16"/>
        <v>891.42532467528008</v>
      </c>
      <c r="K192" s="9">
        <f t="shared" si="17"/>
        <v>467.67272727272996</v>
      </c>
      <c r="L192" s="10">
        <f t="shared" si="14"/>
        <v>0.52463477795303759</v>
      </c>
      <c r="M192" s="10">
        <f t="shared" si="20"/>
        <v>0.56980014021167669</v>
      </c>
      <c r="P192" s="8">
        <f t="shared" si="19"/>
        <v>27.825411470100292</v>
      </c>
    </row>
    <row r="193" spans="1:16" x14ac:dyDescent="0.2">
      <c r="A193" s="8">
        <v>95.5</v>
      </c>
      <c r="B193" s="8">
        <v>191</v>
      </c>
      <c r="D193">
        <v>1035.3272727272999</v>
      </c>
      <c r="E193">
        <v>585.62402597403002</v>
      </c>
      <c r="F193" s="16">
        <v>134.04805194804999</v>
      </c>
      <c r="G193" s="16">
        <v>115.94220779221</v>
      </c>
      <c r="I193" s="9">
        <f t="shared" si="15"/>
        <v>469.68181818182001</v>
      </c>
      <c r="J193" s="9">
        <f t="shared" si="16"/>
        <v>901.27922077924995</v>
      </c>
      <c r="K193" s="9">
        <f t="shared" si="17"/>
        <v>469.68181818182001</v>
      </c>
      <c r="L193" s="10">
        <f t="shared" si="14"/>
        <v>0.52112797827040891</v>
      </c>
      <c r="M193" s="10">
        <f t="shared" si="20"/>
        <v>0.56653105296198814</v>
      </c>
      <c r="P193" s="8">
        <f t="shared" si="19"/>
        <v>27.092044815139726</v>
      </c>
    </row>
    <row r="194" spans="1:16" x14ac:dyDescent="0.2">
      <c r="A194" s="8">
        <v>96</v>
      </c>
      <c r="B194" s="8">
        <v>192</v>
      </c>
      <c r="D194">
        <v>1031.4363636364001</v>
      </c>
      <c r="E194">
        <v>578.15909090908997</v>
      </c>
      <c r="F194" s="16">
        <v>134.35</v>
      </c>
      <c r="G194" s="16">
        <v>115.37142857143</v>
      </c>
      <c r="I194" s="9">
        <f t="shared" si="15"/>
        <v>462.78766233765998</v>
      </c>
      <c r="J194" s="9">
        <f t="shared" si="16"/>
        <v>897.08636363640005</v>
      </c>
      <c r="K194" s="9">
        <f t="shared" si="17"/>
        <v>462.78766233765998</v>
      </c>
      <c r="L194" s="10">
        <f t="shared" ref="L194:L257" si="21">K194/J194</f>
        <v>0.51587860555779597</v>
      </c>
      <c r="M194" s="10">
        <f t="shared" si="20"/>
        <v>0.56151939268231543</v>
      </c>
      <c r="P194" s="8">
        <f t="shared" si="19"/>
        <v>25.967760189376847</v>
      </c>
    </row>
    <row r="195" spans="1:16" x14ac:dyDescent="0.2">
      <c r="A195" s="8">
        <v>96.5</v>
      </c>
      <c r="B195" s="8">
        <v>193</v>
      </c>
      <c r="D195">
        <v>1028.6090909090999</v>
      </c>
      <c r="E195">
        <v>575.43441558441998</v>
      </c>
      <c r="F195" s="16">
        <v>134.31168831169001</v>
      </c>
      <c r="G195" s="16">
        <v>115.72792207792</v>
      </c>
      <c r="I195" s="9">
        <f t="shared" ref="I195:I241" si="22">E195-G195</f>
        <v>459.70649350650001</v>
      </c>
      <c r="J195" s="9">
        <f t="shared" ref="J195:J241" si="23">D195-F195</f>
        <v>894.29740259740993</v>
      </c>
      <c r="K195" s="9">
        <f t="shared" ref="K195:K258" si="24">I195*1</f>
        <v>459.70649350650001</v>
      </c>
      <c r="L195" s="10">
        <f t="shared" si="21"/>
        <v>0.51404207612738451</v>
      </c>
      <c r="M195" s="10">
        <f t="shared" si="20"/>
        <v>0.55992057568484421</v>
      </c>
      <c r="P195" s="8">
        <f t="shared" ref="P195:P241" si="25">(M195-$O$2)/$O$2*100</f>
        <v>25.609091550770991</v>
      </c>
    </row>
    <row r="196" spans="1:16" x14ac:dyDescent="0.2">
      <c r="A196" s="8">
        <v>97</v>
      </c>
      <c r="B196" s="8">
        <v>194</v>
      </c>
      <c r="D196">
        <v>1024.8701298701001</v>
      </c>
      <c r="E196">
        <v>571.82012987013002</v>
      </c>
      <c r="F196" s="16">
        <v>133.87467532468</v>
      </c>
      <c r="G196" s="16">
        <v>115.36818181818001</v>
      </c>
      <c r="I196" s="9">
        <f t="shared" si="22"/>
        <v>456.45194805195001</v>
      </c>
      <c r="J196" s="9">
        <f t="shared" si="23"/>
        <v>890.9954545454201</v>
      </c>
      <c r="K196" s="9">
        <f t="shared" si="24"/>
        <v>456.45194805195001</v>
      </c>
      <c r="L196" s="10">
        <f t="shared" si="21"/>
        <v>0.51229436213547097</v>
      </c>
      <c r="M196" s="10">
        <f t="shared" si="20"/>
        <v>0.55841057412587092</v>
      </c>
      <c r="P196" s="8">
        <f t="shared" si="25"/>
        <v>25.270347213985549</v>
      </c>
    </row>
    <row r="197" spans="1:16" x14ac:dyDescent="0.2">
      <c r="A197" s="8">
        <v>97.5</v>
      </c>
      <c r="B197" s="8">
        <v>195</v>
      </c>
      <c r="D197">
        <v>1029.001948052</v>
      </c>
      <c r="E197">
        <v>570.41948051947998</v>
      </c>
      <c r="F197" s="16">
        <v>134.02987012987001</v>
      </c>
      <c r="G197" s="16">
        <v>115.71298701299</v>
      </c>
      <c r="I197" s="9">
        <f t="shared" si="22"/>
        <v>454.70649350649001</v>
      </c>
      <c r="J197" s="9">
        <f t="shared" si="23"/>
        <v>894.97207792212998</v>
      </c>
      <c r="K197" s="9">
        <f t="shared" si="24"/>
        <v>454.70649350649001</v>
      </c>
      <c r="L197" s="10">
        <f t="shared" si="21"/>
        <v>0.50806779867612051</v>
      </c>
      <c r="M197" s="10">
        <f t="shared" si="20"/>
        <v>0.55442172309946058</v>
      </c>
      <c r="P197" s="8">
        <f t="shared" si="25"/>
        <v>24.375513240174286</v>
      </c>
    </row>
    <row r="198" spans="1:16" x14ac:dyDescent="0.2">
      <c r="A198" s="8">
        <v>98</v>
      </c>
      <c r="B198" s="8">
        <v>196</v>
      </c>
      <c r="D198">
        <v>1027.0616883117</v>
      </c>
      <c r="E198">
        <v>564.85454545455002</v>
      </c>
      <c r="F198" s="16">
        <v>133.72142857143001</v>
      </c>
      <c r="G198" s="16">
        <v>115.60714285714</v>
      </c>
      <c r="I198" s="9">
        <f t="shared" si="22"/>
        <v>449.24740259741003</v>
      </c>
      <c r="J198" s="9">
        <f t="shared" si="23"/>
        <v>893.34025974026997</v>
      </c>
      <c r="K198" s="9">
        <f t="shared" si="24"/>
        <v>449.24740259741003</v>
      </c>
      <c r="L198" s="10">
        <f t="shared" si="21"/>
        <v>0.50288498441570784</v>
      </c>
      <c r="M198" s="10">
        <f t="shared" si="20"/>
        <v>0.54947662127198815</v>
      </c>
      <c r="P198" s="8">
        <f t="shared" si="25"/>
        <v>23.266159922670038</v>
      </c>
    </row>
    <row r="199" spans="1:16" x14ac:dyDescent="0.2">
      <c r="A199" s="8">
        <v>98.5</v>
      </c>
      <c r="B199" s="8">
        <v>197</v>
      </c>
      <c r="D199">
        <v>1018.5324675325</v>
      </c>
      <c r="E199">
        <v>560.20844155843997</v>
      </c>
      <c r="F199" s="16">
        <v>134.25974025974</v>
      </c>
      <c r="G199" s="16">
        <v>115.60844155844001</v>
      </c>
      <c r="I199" s="9">
        <f t="shared" si="22"/>
        <v>444.59999999999997</v>
      </c>
      <c r="J199" s="9">
        <f t="shared" si="23"/>
        <v>884.27272727275999</v>
      </c>
      <c r="K199" s="9">
        <f t="shared" si="24"/>
        <v>444.59999999999997</v>
      </c>
      <c r="L199" s="10">
        <f t="shared" si="21"/>
        <v>0.50278605942220811</v>
      </c>
      <c r="M199" s="10">
        <f t="shared" si="20"/>
        <v>0.54961540871142867</v>
      </c>
      <c r="P199" s="8">
        <f t="shared" si="25"/>
        <v>23.297294631669537</v>
      </c>
    </row>
    <row r="200" spans="1:16" x14ac:dyDescent="0.2">
      <c r="A200" s="8">
        <v>99</v>
      </c>
      <c r="B200" s="8">
        <v>198</v>
      </c>
      <c r="D200">
        <v>1017.7688311688</v>
      </c>
      <c r="E200">
        <v>557.56363636363994</v>
      </c>
      <c r="F200" s="16">
        <v>134.11558441558</v>
      </c>
      <c r="G200" s="16">
        <v>115.63831168831</v>
      </c>
      <c r="I200" s="9">
        <f t="shared" si="22"/>
        <v>441.92532467532993</v>
      </c>
      <c r="J200" s="9">
        <f t="shared" si="23"/>
        <v>883.65324675322006</v>
      </c>
      <c r="K200" s="9">
        <f t="shared" si="24"/>
        <v>441.92532467532993</v>
      </c>
      <c r="L200" s="10">
        <f t="shared" si="21"/>
        <v>0.50011169686648305</v>
      </c>
      <c r="M200" s="10">
        <f t="shared" si="20"/>
        <v>0.54717875858864373</v>
      </c>
      <c r="P200" s="8">
        <f t="shared" si="25"/>
        <v>22.750671732563287</v>
      </c>
    </row>
    <row r="201" spans="1:16" x14ac:dyDescent="0.2">
      <c r="A201" s="8">
        <v>99.5</v>
      </c>
      <c r="B201" s="8">
        <v>199</v>
      </c>
      <c r="D201">
        <v>1013.2792207792</v>
      </c>
      <c r="E201">
        <v>551.96623376622995</v>
      </c>
      <c r="F201" s="16">
        <v>133.4512987013</v>
      </c>
      <c r="G201" s="16">
        <v>115.65259740259999</v>
      </c>
      <c r="I201" s="9">
        <f t="shared" si="22"/>
        <v>436.31363636362994</v>
      </c>
      <c r="J201" s="9">
        <f t="shared" si="23"/>
        <v>879.82792207789998</v>
      </c>
      <c r="K201" s="9">
        <f t="shared" si="24"/>
        <v>436.31363636362994</v>
      </c>
      <c r="L201" s="10">
        <f t="shared" si="21"/>
        <v>0.49590792178223086</v>
      </c>
      <c r="M201" s="10">
        <f t="shared" si="20"/>
        <v>0.54321269593733179</v>
      </c>
      <c r="P201" s="8">
        <f t="shared" si="25"/>
        <v>21.860949960764824</v>
      </c>
    </row>
    <row r="202" spans="1:16" x14ac:dyDescent="0.2">
      <c r="A202" s="8">
        <v>100</v>
      </c>
      <c r="B202" s="8">
        <v>200</v>
      </c>
      <c r="D202">
        <v>1014.0233766234001</v>
      </c>
      <c r="E202">
        <v>546.99610389609995</v>
      </c>
      <c r="F202" s="16">
        <v>134.08441558441999</v>
      </c>
      <c r="G202" s="16">
        <v>115.41038961039</v>
      </c>
      <c r="I202" s="9">
        <f t="shared" si="22"/>
        <v>431.58571428570997</v>
      </c>
      <c r="J202" s="9">
        <f t="shared" si="23"/>
        <v>879.9389610389801</v>
      </c>
      <c r="K202" s="9">
        <f t="shared" si="24"/>
        <v>431.58571428570997</v>
      </c>
      <c r="L202" s="10">
        <f t="shared" si="21"/>
        <v>0.4904723320537131</v>
      </c>
      <c r="M202" s="10">
        <f t="shared" si="20"/>
        <v>0.53801481864175427</v>
      </c>
      <c r="P202" s="8">
        <f t="shared" si="25"/>
        <v>20.694890570482009</v>
      </c>
    </row>
    <row r="203" spans="1:16" x14ac:dyDescent="0.2">
      <c r="A203" s="8">
        <v>100.5</v>
      </c>
      <c r="B203" s="8">
        <v>201</v>
      </c>
      <c r="D203">
        <v>1018.1675324675</v>
      </c>
      <c r="E203">
        <v>546.31883116883</v>
      </c>
      <c r="F203" s="16">
        <v>133.99805194805</v>
      </c>
      <c r="G203" s="16">
        <v>115.88116883117</v>
      </c>
      <c r="I203" s="9">
        <f t="shared" si="22"/>
        <v>430.43766233766002</v>
      </c>
      <c r="J203" s="9">
        <f t="shared" si="23"/>
        <v>884.16948051944996</v>
      </c>
      <c r="K203" s="9">
        <f t="shared" si="24"/>
        <v>430.43766233766002</v>
      </c>
      <c r="L203" s="10">
        <f t="shared" si="21"/>
        <v>0.486827097995712</v>
      </c>
      <c r="M203" s="10">
        <f t="shared" si="20"/>
        <v>0.53460729701669329</v>
      </c>
      <c r="P203" s="8">
        <f t="shared" si="25"/>
        <v>19.930468410714074</v>
      </c>
    </row>
    <row r="204" spans="1:16" x14ac:dyDescent="0.2">
      <c r="A204" s="8">
        <v>101</v>
      </c>
      <c r="B204" s="8">
        <v>202</v>
      </c>
      <c r="D204">
        <v>1011.3571428571</v>
      </c>
      <c r="E204">
        <v>536.87077922078004</v>
      </c>
      <c r="F204" s="16">
        <v>133.61168831168999</v>
      </c>
      <c r="G204" s="16">
        <v>115.63376623377</v>
      </c>
      <c r="I204" s="9">
        <f t="shared" si="22"/>
        <v>421.23701298701002</v>
      </c>
      <c r="J204" s="9">
        <f t="shared" si="23"/>
        <v>877.74545454540998</v>
      </c>
      <c r="K204" s="9">
        <f t="shared" si="24"/>
        <v>421.23701298701002</v>
      </c>
      <c r="L204" s="10">
        <f t="shared" si="21"/>
        <v>0.47990794005896775</v>
      </c>
      <c r="M204" s="10">
        <f t="shared" si="20"/>
        <v>0.52792585151288929</v>
      </c>
      <c r="P204" s="8">
        <f t="shared" si="25"/>
        <v>18.431594576773769</v>
      </c>
    </row>
    <row r="205" spans="1:16" x14ac:dyDescent="0.2">
      <c r="A205" s="8">
        <v>101.5</v>
      </c>
      <c r="B205" s="8">
        <v>203</v>
      </c>
      <c r="D205">
        <v>1011.5</v>
      </c>
      <c r="E205">
        <v>530.45519480519999</v>
      </c>
      <c r="F205" s="16">
        <v>134.14285714286001</v>
      </c>
      <c r="G205" s="16">
        <v>115.40844155844</v>
      </c>
      <c r="I205" s="9">
        <f t="shared" si="22"/>
        <v>415.04675324675998</v>
      </c>
      <c r="J205" s="9">
        <f t="shared" si="23"/>
        <v>877.35714285713993</v>
      </c>
      <c r="K205" s="9">
        <f t="shared" si="24"/>
        <v>415.04675324675998</v>
      </c>
      <c r="L205" s="10">
        <f t="shared" si="21"/>
        <v>0.4730647680090091</v>
      </c>
      <c r="M205" s="10">
        <f t="shared" si="20"/>
        <v>0.52132039189587087</v>
      </c>
      <c r="P205" s="8">
        <f t="shared" si="25"/>
        <v>16.94976694299881</v>
      </c>
    </row>
    <row r="206" spans="1:16" x14ac:dyDescent="0.2">
      <c r="A206" s="8">
        <v>102</v>
      </c>
      <c r="B206" s="8">
        <v>204</v>
      </c>
      <c r="D206">
        <v>1003.8655844156</v>
      </c>
      <c r="E206">
        <v>526.85584415584003</v>
      </c>
      <c r="F206" s="16">
        <v>133.41428571429</v>
      </c>
      <c r="G206" s="16">
        <v>115.6025974026</v>
      </c>
      <c r="I206" s="9">
        <f t="shared" si="22"/>
        <v>411.25324675324003</v>
      </c>
      <c r="J206" s="9">
        <f t="shared" si="23"/>
        <v>870.45129870130995</v>
      </c>
      <c r="K206" s="9">
        <f t="shared" si="24"/>
        <v>411.25324675324003</v>
      </c>
      <c r="L206" s="10">
        <f t="shared" si="21"/>
        <v>0.4724598002976374</v>
      </c>
      <c r="M206" s="10">
        <f t="shared" si="20"/>
        <v>0.52095313661743936</v>
      </c>
      <c r="P206" s="8">
        <f t="shared" si="25"/>
        <v>16.867379183208797</v>
      </c>
    </row>
    <row r="207" spans="1:16" x14ac:dyDescent="0.2">
      <c r="A207" s="8">
        <v>102.5</v>
      </c>
      <c r="B207" s="8">
        <v>205</v>
      </c>
      <c r="D207">
        <v>1012.3285714286</v>
      </c>
      <c r="E207">
        <v>532.47857142857004</v>
      </c>
      <c r="F207" s="16">
        <v>134.00454545455</v>
      </c>
      <c r="G207" s="16">
        <v>115.64025974026001</v>
      </c>
      <c r="I207" s="9">
        <f t="shared" si="22"/>
        <v>416.83831168831</v>
      </c>
      <c r="J207" s="9">
        <f t="shared" si="23"/>
        <v>878.32402597404996</v>
      </c>
      <c r="K207" s="9">
        <f t="shared" si="24"/>
        <v>416.83831168831</v>
      </c>
      <c r="L207" s="10">
        <f t="shared" si="21"/>
        <v>0.47458375196561625</v>
      </c>
      <c r="M207" s="10">
        <f t="shared" si="20"/>
        <v>0.52331480071835845</v>
      </c>
      <c r="P207" s="8">
        <f t="shared" si="25"/>
        <v>17.397180185612903</v>
      </c>
    </row>
    <row r="208" spans="1:16" x14ac:dyDescent="0.2">
      <c r="A208" s="8">
        <v>103</v>
      </c>
      <c r="B208" s="8">
        <v>206</v>
      </c>
      <c r="D208">
        <v>1012.9292207792</v>
      </c>
      <c r="E208">
        <v>528.57272727273005</v>
      </c>
      <c r="F208" s="16">
        <v>133.73831168831001</v>
      </c>
      <c r="G208" s="16">
        <v>115.75454545455</v>
      </c>
      <c r="I208" s="9">
        <f t="shared" si="22"/>
        <v>412.81818181818005</v>
      </c>
      <c r="J208" s="9">
        <f t="shared" si="23"/>
        <v>879.19090909089005</v>
      </c>
      <c r="K208" s="9">
        <f t="shared" si="24"/>
        <v>412.81818181818005</v>
      </c>
      <c r="L208" s="10">
        <f t="shared" si="21"/>
        <v>0.469543278427488</v>
      </c>
      <c r="M208" s="10">
        <f t="shared" si="20"/>
        <v>0.51851203961317038</v>
      </c>
      <c r="P208" s="8">
        <f t="shared" si="25"/>
        <v>16.319758698431112</v>
      </c>
    </row>
    <row r="209" spans="1:16" x14ac:dyDescent="0.2">
      <c r="A209" s="8">
        <v>103.5</v>
      </c>
      <c r="B209" s="8">
        <v>207</v>
      </c>
      <c r="D209">
        <v>1007.1376623377</v>
      </c>
      <c r="E209">
        <v>520.65454545454998</v>
      </c>
      <c r="F209" s="16">
        <v>134.07597402597</v>
      </c>
      <c r="G209" s="16">
        <v>115.49415584416001</v>
      </c>
      <c r="I209" s="9">
        <f t="shared" si="22"/>
        <v>405.16038961038998</v>
      </c>
      <c r="J209" s="9">
        <f t="shared" si="23"/>
        <v>873.06168831172999</v>
      </c>
      <c r="K209" s="9">
        <f t="shared" si="24"/>
        <v>405.16038961038998</v>
      </c>
      <c r="L209" s="10">
        <f t="shared" si="21"/>
        <v>0.46406845591158952</v>
      </c>
      <c r="M209" s="10">
        <f t="shared" si="20"/>
        <v>0.51327492953021203</v>
      </c>
      <c r="P209" s="8">
        <f t="shared" si="25"/>
        <v>15.144898069194216</v>
      </c>
    </row>
    <row r="210" spans="1:16" x14ac:dyDescent="0.2">
      <c r="A210" s="8">
        <v>104</v>
      </c>
      <c r="B210" s="8">
        <v>208</v>
      </c>
      <c r="D210">
        <v>1005.0422077922</v>
      </c>
      <c r="E210">
        <v>515.57857142856994</v>
      </c>
      <c r="F210" s="16">
        <v>133.77142857142999</v>
      </c>
      <c r="G210" s="16">
        <v>115.48051948052</v>
      </c>
      <c r="I210" s="9">
        <f t="shared" si="22"/>
        <v>400.09805194804994</v>
      </c>
      <c r="J210" s="9">
        <f t="shared" si="23"/>
        <v>871.27077922077001</v>
      </c>
      <c r="K210" s="9">
        <f t="shared" si="24"/>
        <v>400.09805194804994</v>
      </c>
      <c r="L210" s="10">
        <f t="shared" si="21"/>
        <v>0.45921206298905348</v>
      </c>
      <c r="M210" s="10">
        <f t="shared" si="20"/>
        <v>0.50865624904061624</v>
      </c>
      <c r="P210" s="8">
        <f t="shared" si="25"/>
        <v>14.108772079804</v>
      </c>
    </row>
    <row r="211" spans="1:16" x14ac:dyDescent="0.2">
      <c r="A211" s="8">
        <v>104.5</v>
      </c>
      <c r="B211" s="8">
        <v>209</v>
      </c>
      <c r="D211">
        <v>999.07077922077997</v>
      </c>
      <c r="E211">
        <v>505.88246753247</v>
      </c>
      <c r="F211" s="16">
        <v>133.21233766233999</v>
      </c>
      <c r="G211" s="16">
        <v>115.56363636364</v>
      </c>
      <c r="I211" s="9">
        <f t="shared" si="22"/>
        <v>390.31883116883</v>
      </c>
      <c r="J211" s="9">
        <f t="shared" si="23"/>
        <v>865.85844155843995</v>
      </c>
      <c r="K211" s="9">
        <f t="shared" si="24"/>
        <v>390.31883116883</v>
      </c>
      <c r="L211" s="10">
        <f t="shared" si="21"/>
        <v>0.45078827257987292</v>
      </c>
      <c r="M211" s="10">
        <f t="shared" si="20"/>
        <v>0.50047017106437586</v>
      </c>
      <c r="P211" s="8">
        <f t="shared" si="25"/>
        <v>12.272358376482471</v>
      </c>
    </row>
    <row r="212" spans="1:16" x14ac:dyDescent="0.2">
      <c r="A212" s="8">
        <v>105</v>
      </c>
      <c r="B212" s="8">
        <v>210</v>
      </c>
      <c r="D212">
        <v>993.10909090909001</v>
      </c>
      <c r="E212">
        <v>500.66233766234001</v>
      </c>
      <c r="F212" s="16">
        <v>134.41493506494001</v>
      </c>
      <c r="G212" s="16">
        <v>115.50974025974</v>
      </c>
      <c r="I212" s="9">
        <f t="shared" si="22"/>
        <v>385.15259740260001</v>
      </c>
      <c r="J212" s="9">
        <f t="shared" si="23"/>
        <v>858.69415584415003</v>
      </c>
      <c r="K212" s="9">
        <f t="shared" si="24"/>
        <v>385.15259740260001</v>
      </c>
      <c r="L212" s="10">
        <f t="shared" si="21"/>
        <v>0.44853292034341485</v>
      </c>
      <c r="M212" s="10">
        <f t="shared" si="20"/>
        <v>0.49845253126085803</v>
      </c>
      <c r="P212" s="8">
        <f t="shared" si="25"/>
        <v>11.819733640399905</v>
      </c>
    </row>
    <row r="213" spans="1:16" x14ac:dyDescent="0.2">
      <c r="A213" s="8">
        <v>105.5</v>
      </c>
      <c r="B213" s="8">
        <v>211</v>
      </c>
      <c r="D213">
        <v>992.93636363636006</v>
      </c>
      <c r="E213">
        <v>502.24285714285998</v>
      </c>
      <c r="F213" s="16">
        <v>133.49935064934999</v>
      </c>
      <c r="G213" s="16">
        <v>115.62207792208</v>
      </c>
      <c r="I213" s="9">
        <f t="shared" si="22"/>
        <v>386.62077922077998</v>
      </c>
      <c r="J213" s="9">
        <f t="shared" si="23"/>
        <v>859.43701298701012</v>
      </c>
      <c r="K213" s="9">
        <f t="shared" si="24"/>
        <v>386.62077922077998</v>
      </c>
      <c r="L213" s="10">
        <f t="shared" si="21"/>
        <v>0.44985353595263827</v>
      </c>
      <c r="M213" s="10">
        <f t="shared" si="20"/>
        <v>0.50001085930302169</v>
      </c>
      <c r="P213" s="8">
        <f t="shared" si="25"/>
        <v>12.169319239169619</v>
      </c>
    </row>
    <row r="214" spans="1:16" x14ac:dyDescent="0.2">
      <c r="A214" s="8">
        <v>106</v>
      </c>
      <c r="B214" s="8">
        <v>212</v>
      </c>
      <c r="D214">
        <v>992.73961038960999</v>
      </c>
      <c r="E214">
        <v>505.64350649351002</v>
      </c>
      <c r="F214" s="16">
        <v>133.87792207792</v>
      </c>
      <c r="G214" s="16">
        <v>115.43831168830999</v>
      </c>
      <c r="I214" s="9">
        <f t="shared" si="22"/>
        <v>390.20519480519999</v>
      </c>
      <c r="J214" s="9">
        <f t="shared" si="23"/>
        <v>858.86168831168993</v>
      </c>
      <c r="K214" s="9">
        <f t="shared" si="24"/>
        <v>390.20519480519999</v>
      </c>
      <c r="L214" s="10">
        <f t="shared" si="21"/>
        <v>0.45432832796657524</v>
      </c>
      <c r="M214" s="10">
        <f t="shared" si="20"/>
        <v>0.50472336374989879</v>
      </c>
      <c r="P214" s="8">
        <f t="shared" si="25"/>
        <v>13.226493110262322</v>
      </c>
    </row>
    <row r="215" spans="1:16" x14ac:dyDescent="0.2">
      <c r="A215" s="8">
        <v>106.5</v>
      </c>
      <c r="B215" s="8">
        <v>213</v>
      </c>
      <c r="D215">
        <v>996.62922077921996</v>
      </c>
      <c r="E215">
        <v>496.98311688311998</v>
      </c>
      <c r="F215" s="16">
        <v>134.03181818182</v>
      </c>
      <c r="G215" s="16">
        <v>115.58701298701</v>
      </c>
      <c r="I215" s="9">
        <f t="shared" si="22"/>
        <v>381.39610389610999</v>
      </c>
      <c r="J215" s="9">
        <f t="shared" si="23"/>
        <v>862.59740259739999</v>
      </c>
      <c r="K215" s="9">
        <f t="shared" si="24"/>
        <v>381.39610389610999</v>
      </c>
      <c r="L215" s="10">
        <f t="shared" si="21"/>
        <v>0.44214844926227881</v>
      </c>
      <c r="M215" s="10">
        <f t="shared" si="20"/>
        <v>0.4927811974785426</v>
      </c>
      <c r="P215" s="8">
        <f t="shared" si="25"/>
        <v>10.54746197328617</v>
      </c>
    </row>
    <row r="216" spans="1:16" x14ac:dyDescent="0.2">
      <c r="A216" s="8">
        <v>107</v>
      </c>
      <c r="B216" s="8">
        <v>214</v>
      </c>
      <c r="D216">
        <v>989.65194805194994</v>
      </c>
      <c r="E216">
        <v>486.51493506494</v>
      </c>
      <c r="F216" s="16">
        <v>133.98051948052</v>
      </c>
      <c r="G216" s="16">
        <v>115.60324675325</v>
      </c>
      <c r="I216" s="9">
        <f t="shared" si="22"/>
        <v>370.91168831169</v>
      </c>
      <c r="J216" s="9">
        <f t="shared" si="23"/>
        <v>855.67142857142994</v>
      </c>
      <c r="K216" s="9">
        <f t="shared" si="24"/>
        <v>370.91168831169</v>
      </c>
      <c r="L216" s="10">
        <f t="shared" si="21"/>
        <v>0.43347443414224851</v>
      </c>
      <c r="M216" s="10">
        <f t="shared" si="20"/>
        <v>0.48434489479145248</v>
      </c>
      <c r="P216" s="8">
        <f t="shared" si="25"/>
        <v>8.6549144181679853</v>
      </c>
    </row>
    <row r="217" spans="1:16" x14ac:dyDescent="0.2">
      <c r="A217" s="8">
        <v>107.5</v>
      </c>
      <c r="B217" s="8">
        <v>215</v>
      </c>
      <c r="D217">
        <v>992.94155844156001</v>
      </c>
      <c r="E217">
        <v>482.54805194804999</v>
      </c>
      <c r="F217" s="16">
        <v>133.32792207791999</v>
      </c>
      <c r="G217" s="16">
        <v>115.47532467533</v>
      </c>
      <c r="I217" s="9">
        <f t="shared" si="22"/>
        <v>367.07272727271999</v>
      </c>
      <c r="J217" s="9">
        <f t="shared" si="23"/>
        <v>859.61363636364001</v>
      </c>
      <c r="K217" s="9">
        <f t="shared" si="24"/>
        <v>367.07272727271999</v>
      </c>
      <c r="L217" s="10">
        <f t="shared" si="21"/>
        <v>0.42702059593368086</v>
      </c>
      <c r="M217" s="10">
        <f t="shared" si="20"/>
        <v>0.47812876901582507</v>
      </c>
      <c r="P217" s="8">
        <f t="shared" si="25"/>
        <v>7.2604275113653847</v>
      </c>
    </row>
    <row r="218" spans="1:16" x14ac:dyDescent="0.2">
      <c r="A218" s="8">
        <v>108</v>
      </c>
      <c r="B218" s="8">
        <v>216</v>
      </c>
      <c r="D218">
        <v>995.48571428570995</v>
      </c>
      <c r="E218">
        <v>480.45519480519999</v>
      </c>
      <c r="F218" s="16">
        <v>133.58766233765999</v>
      </c>
      <c r="G218" s="16">
        <v>115.31233766234</v>
      </c>
      <c r="I218" s="9">
        <f t="shared" si="22"/>
        <v>365.14285714286001</v>
      </c>
      <c r="J218" s="9">
        <f t="shared" si="23"/>
        <v>861.8980519480499</v>
      </c>
      <c r="K218" s="9">
        <f t="shared" si="24"/>
        <v>365.14285714286001</v>
      </c>
      <c r="L218" s="10">
        <f t="shared" si="21"/>
        <v>0.42364970696658294</v>
      </c>
      <c r="M218" s="10">
        <f t="shared" si="20"/>
        <v>0.47499559248166734</v>
      </c>
      <c r="P218" s="8">
        <f t="shared" si="25"/>
        <v>6.5575502190951633</v>
      </c>
    </row>
    <row r="219" spans="1:16" x14ac:dyDescent="0.2">
      <c r="A219" s="8">
        <v>108.5</v>
      </c>
      <c r="B219" s="8">
        <v>217</v>
      </c>
      <c r="D219">
        <v>990.78441558442</v>
      </c>
      <c r="E219">
        <v>471.64220779221</v>
      </c>
      <c r="F219" s="16">
        <v>133.92727272727001</v>
      </c>
      <c r="G219" s="16">
        <v>115.71948051948</v>
      </c>
      <c r="I219" s="9">
        <f t="shared" si="22"/>
        <v>355.92272727273001</v>
      </c>
      <c r="J219" s="9">
        <f t="shared" si="23"/>
        <v>856.85714285714994</v>
      </c>
      <c r="K219" s="9">
        <f t="shared" si="24"/>
        <v>355.92272727273001</v>
      </c>
      <c r="L219" s="10">
        <f t="shared" si="21"/>
        <v>0.41538164236563679</v>
      </c>
      <c r="M219" s="10">
        <f t="shared" si="20"/>
        <v>0.46696524031366143</v>
      </c>
      <c r="P219" s="8">
        <f t="shared" si="25"/>
        <v>4.7560710728390125</v>
      </c>
    </row>
    <row r="220" spans="1:16" x14ac:dyDescent="0.2">
      <c r="A220" s="8">
        <v>109</v>
      </c>
      <c r="B220" s="8">
        <v>218</v>
      </c>
      <c r="D220">
        <v>986.21428571428999</v>
      </c>
      <c r="E220">
        <v>468.91103896103999</v>
      </c>
      <c r="F220" s="16">
        <v>133.94805194804999</v>
      </c>
      <c r="G220" s="16">
        <v>115.86623376623</v>
      </c>
      <c r="I220" s="9">
        <f t="shared" si="22"/>
        <v>353.04480519481001</v>
      </c>
      <c r="J220" s="9">
        <f t="shared" si="23"/>
        <v>852.26623376624002</v>
      </c>
      <c r="K220" s="9">
        <f t="shared" si="24"/>
        <v>353.04480519481001</v>
      </c>
      <c r="L220" s="10">
        <f t="shared" si="21"/>
        <v>0.41424239422776815</v>
      </c>
      <c r="M220" s="10">
        <f t="shared" si="20"/>
        <v>0.46606370460873298</v>
      </c>
      <c r="P220" s="8">
        <f t="shared" si="25"/>
        <v>4.5538261727330624</v>
      </c>
    </row>
    <row r="221" spans="1:16" x14ac:dyDescent="0.2">
      <c r="A221" s="8">
        <v>109.5</v>
      </c>
      <c r="B221" s="8">
        <v>219</v>
      </c>
      <c r="D221">
        <v>992.00389610390005</v>
      </c>
      <c r="E221">
        <v>470.45909090908998</v>
      </c>
      <c r="F221" s="16">
        <v>133.34350649351001</v>
      </c>
      <c r="G221" s="16">
        <v>115.67272727273</v>
      </c>
      <c r="I221" s="9">
        <f t="shared" si="22"/>
        <v>354.78636363635997</v>
      </c>
      <c r="J221" s="9">
        <f t="shared" si="23"/>
        <v>858.66038961038998</v>
      </c>
      <c r="K221" s="9">
        <f t="shared" si="24"/>
        <v>354.78636363635997</v>
      </c>
      <c r="L221" s="10">
        <f t="shared" si="21"/>
        <v>0.41318589739226391</v>
      </c>
      <c r="M221" s="10">
        <f t="shared" si="20"/>
        <v>0.46524492020616892</v>
      </c>
      <c r="P221" s="8">
        <f t="shared" si="25"/>
        <v>4.3701451839495746</v>
      </c>
    </row>
    <row r="222" spans="1:16" x14ac:dyDescent="0.2">
      <c r="A222" s="8">
        <v>110</v>
      </c>
      <c r="B222" s="8">
        <v>220</v>
      </c>
      <c r="D222">
        <v>989.32792207791999</v>
      </c>
      <c r="E222">
        <v>462.47077922078</v>
      </c>
      <c r="F222" s="16">
        <v>133.56883116883</v>
      </c>
      <c r="G222" s="16">
        <v>115.33246753247001</v>
      </c>
      <c r="I222" s="9">
        <f t="shared" si="22"/>
        <v>347.13831168831001</v>
      </c>
      <c r="J222" s="9">
        <f t="shared" si="23"/>
        <v>855.75909090908999</v>
      </c>
      <c r="K222" s="9">
        <f t="shared" si="24"/>
        <v>347.13831168831001</v>
      </c>
      <c r="L222" s="10">
        <f t="shared" si="21"/>
        <v>0.40564957518539246</v>
      </c>
      <c r="M222" s="10">
        <f t="shared" si="20"/>
        <v>0.45794631043223771</v>
      </c>
      <c r="P222" s="8">
        <f t="shared" si="25"/>
        <v>2.7328205648895145</v>
      </c>
    </row>
    <row r="223" spans="1:16" x14ac:dyDescent="0.2">
      <c r="A223" s="8">
        <v>110.5</v>
      </c>
      <c r="B223" s="8">
        <v>221</v>
      </c>
      <c r="D223">
        <v>991.61168831169005</v>
      </c>
      <c r="E223">
        <v>462.68506493506999</v>
      </c>
      <c r="F223" s="16">
        <v>133.48246753247</v>
      </c>
      <c r="G223" s="16">
        <v>115.46753246753001</v>
      </c>
      <c r="I223" s="9">
        <f t="shared" si="22"/>
        <v>347.21753246753997</v>
      </c>
      <c r="J223" s="9">
        <f t="shared" si="23"/>
        <v>858.12922077922008</v>
      </c>
      <c r="K223" s="9">
        <f t="shared" si="24"/>
        <v>347.21753246753997</v>
      </c>
      <c r="L223" s="10">
        <f t="shared" si="21"/>
        <v>0.40462149995574181</v>
      </c>
      <c r="M223" s="10">
        <f t="shared" si="20"/>
        <v>0.45715594763552725</v>
      </c>
      <c r="P223" s="8">
        <f t="shared" si="25"/>
        <v>2.5555155019903673</v>
      </c>
    </row>
    <row r="224" spans="1:16" x14ac:dyDescent="0.2">
      <c r="A224" s="8">
        <v>111</v>
      </c>
      <c r="B224" s="8">
        <v>222</v>
      </c>
      <c r="D224">
        <v>977.02142857142996</v>
      </c>
      <c r="E224">
        <v>450.43571428570999</v>
      </c>
      <c r="F224" s="16">
        <v>133.56428571429001</v>
      </c>
      <c r="G224" s="16">
        <v>115.71168831169</v>
      </c>
      <c r="I224" s="9">
        <f t="shared" si="22"/>
        <v>334.72402597401998</v>
      </c>
      <c r="J224" s="9">
        <f t="shared" si="23"/>
        <v>843.45714285713996</v>
      </c>
      <c r="K224" s="9">
        <f t="shared" si="24"/>
        <v>334.72402597401998</v>
      </c>
      <c r="L224" s="10">
        <f t="shared" si="21"/>
        <v>0.39684769855664576</v>
      </c>
      <c r="M224" s="10">
        <f t="shared" si="20"/>
        <v>0.44961985866937138</v>
      </c>
      <c r="P224" s="8">
        <f t="shared" si="25"/>
        <v>0.86491628132977416</v>
      </c>
    </row>
    <row r="225" spans="1:16" x14ac:dyDescent="0.2">
      <c r="A225" s="8">
        <v>111.5</v>
      </c>
      <c r="B225" s="8">
        <v>223</v>
      </c>
      <c r="D225">
        <v>979.87077922078004</v>
      </c>
      <c r="E225">
        <v>458.57987012987002</v>
      </c>
      <c r="F225" s="16">
        <v>133.95454545454999</v>
      </c>
      <c r="G225" s="16">
        <v>115.27597402597</v>
      </c>
      <c r="I225" s="9">
        <f t="shared" si="22"/>
        <v>343.3038961039</v>
      </c>
      <c r="J225" s="9">
        <f t="shared" si="23"/>
        <v>845.91623376623011</v>
      </c>
      <c r="K225" s="9">
        <f t="shared" si="24"/>
        <v>343.3038961039</v>
      </c>
      <c r="L225" s="10">
        <f t="shared" si="21"/>
        <v>0.40583675120576113</v>
      </c>
      <c r="M225" s="10">
        <f t="shared" si="20"/>
        <v>0.45884662375142699</v>
      </c>
      <c r="P225" s="8">
        <f t="shared" si="25"/>
        <v>2.9347912425987688</v>
      </c>
    </row>
    <row r="226" spans="1:16" x14ac:dyDescent="0.2">
      <c r="A226" s="8">
        <v>112</v>
      </c>
      <c r="B226" s="8">
        <v>224</v>
      </c>
      <c r="D226">
        <v>978.44545454546005</v>
      </c>
      <c r="E226">
        <v>453.89610389609999</v>
      </c>
      <c r="F226" s="16">
        <v>133.80584415583999</v>
      </c>
      <c r="G226" s="16">
        <v>115.27532467533</v>
      </c>
      <c r="I226" s="9">
        <f t="shared" si="22"/>
        <v>338.62077922076998</v>
      </c>
      <c r="J226" s="9">
        <f t="shared" si="23"/>
        <v>844.63961038962009</v>
      </c>
      <c r="K226" s="9">
        <f t="shared" si="24"/>
        <v>338.62077922076998</v>
      </c>
      <c r="L226" s="10">
        <f t="shared" si="21"/>
        <v>0.40090563484770636</v>
      </c>
      <c r="M226" s="10">
        <f t="shared" si="20"/>
        <v>0.4541532198263124</v>
      </c>
      <c r="P226" s="8">
        <f t="shared" si="25"/>
        <v>1.8819022634906153</v>
      </c>
    </row>
    <row r="227" spans="1:16" x14ac:dyDescent="0.2">
      <c r="A227" s="8">
        <v>112.5</v>
      </c>
      <c r="B227" s="8">
        <v>225</v>
      </c>
      <c r="D227">
        <v>985.23636363636001</v>
      </c>
      <c r="E227">
        <v>454.59545454545997</v>
      </c>
      <c r="F227" s="16">
        <v>133.72532467533</v>
      </c>
      <c r="G227" s="16">
        <v>115.72012987012999</v>
      </c>
      <c r="I227" s="9">
        <f t="shared" si="22"/>
        <v>338.87532467532998</v>
      </c>
      <c r="J227" s="9">
        <f t="shared" si="23"/>
        <v>851.51103896102995</v>
      </c>
      <c r="K227" s="9">
        <f t="shared" si="24"/>
        <v>338.87532467532998</v>
      </c>
      <c r="L227" s="10">
        <f t="shared" si="21"/>
        <v>0.39796938521056435</v>
      </c>
      <c r="M227" s="10">
        <f t="shared" si="20"/>
        <v>0.45145468262211064</v>
      </c>
      <c r="P227" s="8">
        <f t="shared" si="25"/>
        <v>1.2765292490748559</v>
      </c>
    </row>
    <row r="228" spans="1:16" x14ac:dyDescent="0.2">
      <c r="A228" s="8">
        <v>113</v>
      </c>
      <c r="B228" s="8">
        <v>226</v>
      </c>
      <c r="D228">
        <v>976.14805194805001</v>
      </c>
      <c r="E228">
        <v>447.44935064934998</v>
      </c>
      <c r="F228" s="16">
        <v>133.45389610390001</v>
      </c>
      <c r="G228" s="16">
        <v>115.57857142857</v>
      </c>
      <c r="I228" s="9">
        <f t="shared" si="22"/>
        <v>331.87077922077998</v>
      </c>
      <c r="J228" s="9">
        <f t="shared" si="23"/>
        <v>842.69415584415003</v>
      </c>
      <c r="K228" s="9">
        <f t="shared" si="24"/>
        <v>331.87077922077998</v>
      </c>
      <c r="L228" s="10">
        <f t="shared" si="21"/>
        <v>0.39382114723263489</v>
      </c>
      <c r="M228" s="10">
        <f t="shared" si="20"/>
        <v>0.44754415707712136</v>
      </c>
      <c r="P228" s="8">
        <f t="shared" si="25"/>
        <v>0.39926632550503027</v>
      </c>
    </row>
    <row r="229" spans="1:16" x14ac:dyDescent="0.2">
      <c r="A229" s="8">
        <v>113.5</v>
      </c>
      <c r="B229" s="8">
        <v>227</v>
      </c>
      <c r="D229">
        <v>974.94025974025999</v>
      </c>
      <c r="E229">
        <v>446.08051948052002</v>
      </c>
      <c r="F229" s="16">
        <v>133.38311688312001</v>
      </c>
      <c r="G229" s="16">
        <v>115.4487012987</v>
      </c>
      <c r="I229" s="9">
        <f t="shared" si="22"/>
        <v>330.63181818181999</v>
      </c>
      <c r="J229" s="9">
        <f t="shared" si="23"/>
        <v>841.55714285713998</v>
      </c>
      <c r="K229" s="9">
        <f t="shared" si="24"/>
        <v>330.63181818181999</v>
      </c>
      <c r="L229" s="10">
        <f t="shared" si="21"/>
        <v>0.39288100753242255</v>
      </c>
      <c r="M229" s="10">
        <f t="shared" si="20"/>
        <v>0.44684172980984921</v>
      </c>
      <c r="P229" s="8">
        <f t="shared" si="25"/>
        <v>0.2416881711129909</v>
      </c>
    </row>
    <row r="230" spans="1:16" x14ac:dyDescent="0.2">
      <c r="A230" s="8">
        <v>114</v>
      </c>
      <c r="B230" s="8">
        <v>228</v>
      </c>
      <c r="D230">
        <v>968.44675324674995</v>
      </c>
      <c r="E230">
        <v>441.24155844156002</v>
      </c>
      <c r="F230" s="16">
        <v>133.79090909090999</v>
      </c>
      <c r="G230" s="16">
        <v>115.52597402597</v>
      </c>
      <c r="I230" s="9">
        <f t="shared" si="22"/>
        <v>325.71558441559</v>
      </c>
      <c r="J230" s="9">
        <f t="shared" si="23"/>
        <v>834.65584415583999</v>
      </c>
      <c r="K230" s="9">
        <f t="shared" si="24"/>
        <v>325.71558441559</v>
      </c>
      <c r="L230" s="10">
        <f t="shared" si="21"/>
        <v>0.39023938632456889</v>
      </c>
      <c r="M230" s="10">
        <f t="shared" si="20"/>
        <v>0.44443782103493579</v>
      </c>
      <c r="P230" s="8">
        <f t="shared" si="25"/>
        <v>-0.29758973811276013</v>
      </c>
    </row>
    <row r="231" spans="1:16" x14ac:dyDescent="0.2">
      <c r="A231" s="8">
        <v>114.5</v>
      </c>
      <c r="B231" s="8">
        <v>229</v>
      </c>
      <c r="D231">
        <v>978.01428571429005</v>
      </c>
      <c r="E231">
        <v>450.94480519480999</v>
      </c>
      <c r="F231" s="16">
        <v>133.38376623376999</v>
      </c>
      <c r="G231" s="16">
        <v>115.25454545455</v>
      </c>
      <c r="I231" s="9">
        <f t="shared" si="22"/>
        <v>335.69025974025999</v>
      </c>
      <c r="J231" s="9">
        <f t="shared" si="23"/>
        <v>844.63051948052009</v>
      </c>
      <c r="K231" s="9">
        <f t="shared" si="24"/>
        <v>335.69025974025999</v>
      </c>
      <c r="L231" s="10">
        <f t="shared" si="21"/>
        <v>0.39744036238084585</v>
      </c>
      <c r="M231" s="10">
        <f t="shared" si="20"/>
        <v>0.45187650952415293</v>
      </c>
      <c r="P231" s="8">
        <f t="shared" si="25"/>
        <v>1.3711592667204855</v>
      </c>
    </row>
    <row r="232" spans="1:16" x14ac:dyDescent="0.2">
      <c r="A232" s="8">
        <v>115</v>
      </c>
      <c r="B232" s="8">
        <v>230</v>
      </c>
      <c r="D232">
        <v>985.06818181818005</v>
      </c>
      <c r="E232">
        <v>456.67337662338002</v>
      </c>
      <c r="F232" s="16">
        <v>133.46168831169001</v>
      </c>
      <c r="G232" s="16">
        <v>115.20519480519999</v>
      </c>
      <c r="I232" s="9">
        <f t="shared" si="22"/>
        <v>341.46818181818003</v>
      </c>
      <c r="J232" s="9">
        <f t="shared" si="23"/>
        <v>851.6064935064901</v>
      </c>
      <c r="K232" s="9">
        <f t="shared" si="24"/>
        <v>341.46818181818003</v>
      </c>
      <c r="L232" s="10">
        <f t="shared" si="21"/>
        <v>0.4009694435421513</v>
      </c>
      <c r="M232" s="10">
        <f t="shared" si="20"/>
        <v>0.45564330311839862</v>
      </c>
      <c r="P232" s="8">
        <f t="shared" si="25"/>
        <v>2.2161782604478715</v>
      </c>
    </row>
    <row r="233" spans="1:16" x14ac:dyDescent="0.2">
      <c r="A233" s="8">
        <v>115.5</v>
      </c>
      <c r="B233" s="8">
        <v>231</v>
      </c>
      <c r="D233">
        <v>985.74220779221002</v>
      </c>
      <c r="E233">
        <v>461.40454545454998</v>
      </c>
      <c r="F233" s="16">
        <v>133.70649350649001</v>
      </c>
      <c r="G233" s="16">
        <v>115.71168831169</v>
      </c>
      <c r="I233" s="9">
        <f t="shared" si="22"/>
        <v>345.69285714285996</v>
      </c>
      <c r="J233" s="9">
        <f t="shared" si="23"/>
        <v>852.03571428572002</v>
      </c>
      <c r="K233" s="9">
        <f t="shared" si="24"/>
        <v>345.69285714285996</v>
      </c>
      <c r="L233" s="10">
        <f t="shared" si="21"/>
        <v>0.40572578278911908</v>
      </c>
      <c r="M233" s="10">
        <f t="shared" si="20"/>
        <v>0.46063735479830659</v>
      </c>
      <c r="P233" s="8">
        <f t="shared" si="25"/>
        <v>3.3365126827069327</v>
      </c>
    </row>
    <row r="234" spans="1:16" x14ac:dyDescent="0.2">
      <c r="A234" s="8">
        <v>116</v>
      </c>
      <c r="B234" s="8">
        <v>232</v>
      </c>
      <c r="D234">
        <v>976.29740259740004</v>
      </c>
      <c r="E234">
        <v>464.57532467533002</v>
      </c>
      <c r="F234" s="16">
        <v>133.19935064935001</v>
      </c>
      <c r="G234" s="16">
        <v>115.31623376623</v>
      </c>
      <c r="I234" s="9">
        <f t="shared" si="22"/>
        <v>349.2590909091</v>
      </c>
      <c r="J234" s="9">
        <f t="shared" si="23"/>
        <v>843.09805194805006</v>
      </c>
      <c r="K234" s="9">
        <f t="shared" si="24"/>
        <v>349.2590909091</v>
      </c>
      <c r="L234" s="10">
        <f t="shared" si="21"/>
        <v>0.41425678792888565</v>
      </c>
      <c r="M234" s="10">
        <f t="shared" si="20"/>
        <v>0.46940607237101334</v>
      </c>
      <c r="P234" s="8">
        <f t="shared" si="25"/>
        <v>5.303632121076931</v>
      </c>
    </row>
    <row r="235" spans="1:16" x14ac:dyDescent="0.2">
      <c r="A235" s="8">
        <v>116.5</v>
      </c>
      <c r="B235" s="8">
        <v>233</v>
      </c>
      <c r="D235">
        <v>979.47207792207996</v>
      </c>
      <c r="E235">
        <v>467.6</v>
      </c>
      <c r="F235" s="16">
        <v>133.21038961039</v>
      </c>
      <c r="G235" s="16">
        <v>115.08831168831</v>
      </c>
      <c r="I235" s="9">
        <f t="shared" si="22"/>
        <v>352.51168831169002</v>
      </c>
      <c r="J235" s="9">
        <f t="shared" si="23"/>
        <v>846.26168831169002</v>
      </c>
      <c r="K235" s="9">
        <f t="shared" si="24"/>
        <v>352.51168831169002</v>
      </c>
      <c r="L235" s="10">
        <f t="shared" si="21"/>
        <v>0.41655163311830684</v>
      </c>
      <c r="M235" s="10">
        <f t="shared" si="20"/>
        <v>0.47193862999337477</v>
      </c>
      <c r="P235" s="8">
        <f t="shared" si="25"/>
        <v>5.8717703107759149</v>
      </c>
    </row>
    <row r="236" spans="1:16" x14ac:dyDescent="0.2">
      <c r="A236" s="8">
        <v>117</v>
      </c>
      <c r="B236" s="8">
        <v>234</v>
      </c>
      <c r="D236">
        <v>982.23051948052</v>
      </c>
      <c r="E236">
        <v>465.13376623377002</v>
      </c>
      <c r="F236" s="16">
        <v>133.63116883116999</v>
      </c>
      <c r="G236" s="16">
        <v>115.39545454546</v>
      </c>
      <c r="I236" s="9">
        <f t="shared" si="22"/>
        <v>349.73831168831003</v>
      </c>
      <c r="J236" s="9">
        <f t="shared" si="23"/>
        <v>848.59935064935007</v>
      </c>
      <c r="K236" s="9">
        <f t="shared" si="24"/>
        <v>349.73831168831003</v>
      </c>
      <c r="L236" s="10">
        <f t="shared" si="21"/>
        <v>0.41213596430481536</v>
      </c>
      <c r="M236" s="10">
        <f t="shared" si="20"/>
        <v>0.46776067361282347</v>
      </c>
      <c r="P236" s="8">
        <f t="shared" si="25"/>
        <v>4.9345136206499607</v>
      </c>
    </row>
    <row r="237" spans="1:16" x14ac:dyDescent="0.2">
      <c r="A237" s="8">
        <v>117.5</v>
      </c>
      <c r="B237" s="8">
        <v>235</v>
      </c>
      <c r="D237">
        <v>984.64675324675</v>
      </c>
      <c r="E237">
        <v>468.17077922077999</v>
      </c>
      <c r="F237" s="16">
        <v>133.57272727272999</v>
      </c>
      <c r="G237" s="16">
        <v>115.58376623377001</v>
      </c>
      <c r="I237" s="9">
        <f t="shared" si="22"/>
        <v>352.58701298700998</v>
      </c>
      <c r="J237" s="9">
        <f t="shared" si="23"/>
        <v>851.07402597402006</v>
      </c>
      <c r="K237" s="9">
        <f t="shared" si="24"/>
        <v>352.58701298700998</v>
      </c>
      <c r="L237" s="10">
        <f t="shared" si="21"/>
        <v>0.41428477691289933</v>
      </c>
      <c r="M237" s="10">
        <f t="shared" si="20"/>
        <v>0.47014719865384763</v>
      </c>
      <c r="P237" s="8">
        <f t="shared" si="25"/>
        <v>5.4698917713806434</v>
      </c>
    </row>
    <row r="238" spans="1:16" x14ac:dyDescent="0.2">
      <c r="A238" s="8">
        <v>118</v>
      </c>
      <c r="B238" s="8">
        <v>236</v>
      </c>
      <c r="D238">
        <v>973.79155844156003</v>
      </c>
      <c r="E238">
        <v>459.33571428571003</v>
      </c>
      <c r="F238" s="16">
        <v>133.59415584416001</v>
      </c>
      <c r="G238" s="16">
        <v>115.41623376622999</v>
      </c>
      <c r="I238" s="9">
        <f t="shared" si="22"/>
        <v>343.91948051948003</v>
      </c>
      <c r="J238" s="9">
        <f t="shared" si="23"/>
        <v>840.19740259740001</v>
      </c>
      <c r="K238" s="9">
        <f t="shared" si="24"/>
        <v>343.91948051948003</v>
      </c>
      <c r="L238" s="10">
        <f t="shared" si="21"/>
        <v>0.40933175877035766</v>
      </c>
      <c r="M238" s="10">
        <f t="shared" si="20"/>
        <v>0.46543189294424619</v>
      </c>
      <c r="P238" s="8">
        <f t="shared" si="25"/>
        <v>4.4120894824707015</v>
      </c>
    </row>
    <row r="239" spans="1:16" x14ac:dyDescent="0.2">
      <c r="A239" s="8">
        <v>118.5</v>
      </c>
      <c r="B239" s="8">
        <v>237</v>
      </c>
      <c r="D239">
        <v>972.94870129870003</v>
      </c>
      <c r="E239">
        <v>457.85909090909001</v>
      </c>
      <c r="F239" s="16">
        <v>133.48766233766</v>
      </c>
      <c r="G239" s="16">
        <v>115.50779220779</v>
      </c>
      <c r="I239" s="9">
        <f t="shared" si="22"/>
        <v>342.35129870130004</v>
      </c>
      <c r="J239" s="9">
        <f t="shared" si="23"/>
        <v>839.46103896104</v>
      </c>
      <c r="K239" s="9">
        <f t="shared" si="24"/>
        <v>342.35129870130004</v>
      </c>
      <c r="L239" s="10">
        <f t="shared" si="21"/>
        <v>0.40782273722317303</v>
      </c>
      <c r="M239" s="10">
        <f t="shared" si="20"/>
        <v>0.46416058383000175</v>
      </c>
      <c r="P239" s="8">
        <f t="shared" si="25"/>
        <v>4.1268919207894861</v>
      </c>
    </row>
    <row r="240" spans="1:16" x14ac:dyDescent="0.2">
      <c r="A240" s="8">
        <v>119</v>
      </c>
      <c r="B240" s="8">
        <v>238</v>
      </c>
      <c r="D240">
        <v>978.40389610390002</v>
      </c>
      <c r="E240">
        <v>463.01948051948</v>
      </c>
      <c r="F240" s="16">
        <v>133.56363636364</v>
      </c>
      <c r="G240" s="16">
        <v>115.38181818181999</v>
      </c>
      <c r="I240" s="9">
        <f t="shared" si="22"/>
        <v>347.63766233766</v>
      </c>
      <c r="J240" s="9">
        <f t="shared" si="23"/>
        <v>844.84025974026008</v>
      </c>
      <c r="K240" s="9">
        <f t="shared" si="24"/>
        <v>347.63766233766</v>
      </c>
      <c r="L240" s="10">
        <f t="shared" si="21"/>
        <v>0.41148330507419079</v>
      </c>
      <c r="M240" s="10">
        <f t="shared" si="20"/>
        <v>0.46805886411395969</v>
      </c>
      <c r="P240" s="8">
        <f t="shared" si="25"/>
        <v>5.0014078188332967</v>
      </c>
    </row>
    <row r="241" spans="1:16" x14ac:dyDescent="0.2">
      <c r="A241" s="8">
        <v>119.5</v>
      </c>
      <c r="B241" s="8">
        <v>239</v>
      </c>
      <c r="D241">
        <v>975.85064935064997</v>
      </c>
      <c r="E241">
        <v>465.8038961039</v>
      </c>
      <c r="F241" s="16">
        <v>133.50584415584001</v>
      </c>
      <c r="G241" s="16">
        <v>115.80714285713999</v>
      </c>
      <c r="I241" s="9">
        <f t="shared" si="22"/>
        <v>349.99675324676002</v>
      </c>
      <c r="J241" s="9">
        <f t="shared" si="23"/>
        <v>842.34480519480996</v>
      </c>
      <c r="K241" s="9">
        <f t="shared" si="24"/>
        <v>349.99675324676002</v>
      </c>
      <c r="L241" s="10">
        <f t="shared" si="21"/>
        <v>0.41550295210263199</v>
      </c>
      <c r="M241" s="10">
        <f t="shared" si="20"/>
        <v>0.47231622357534114</v>
      </c>
      <c r="P241" s="8">
        <f t="shared" si="25"/>
        <v>5.9564773011346572</v>
      </c>
    </row>
    <row r="242" spans="1:16" x14ac:dyDescent="0.2">
      <c r="A242" s="8">
        <v>120</v>
      </c>
      <c r="B242" s="8">
        <v>240</v>
      </c>
      <c r="D242">
        <v>981.55064935065002</v>
      </c>
      <c r="E242">
        <v>462.18311688312002</v>
      </c>
      <c r="F242" s="16">
        <v>133.60974025973999</v>
      </c>
      <c r="G242" s="16">
        <v>115.53116883117001</v>
      </c>
      <c r="I242" s="9">
        <f>E242-G242</f>
        <v>346.65194805195</v>
      </c>
      <c r="J242" s="9">
        <f>D242-F242</f>
        <v>847.94090909091005</v>
      </c>
      <c r="K242" s="9">
        <f t="shared" si="24"/>
        <v>346.65194805195</v>
      </c>
      <c r="L242" s="10">
        <f t="shared" si="21"/>
        <v>0.40881616199364723</v>
      </c>
      <c r="M242" s="10">
        <f>L242+ABS($N$2)*A242</f>
        <v>0.46586714589929656</v>
      </c>
      <c r="O242" s="11"/>
      <c r="P242" s="8">
        <f>(M242-$O$2)/$O$2*100</f>
        <v>4.5097314171536631</v>
      </c>
    </row>
    <row r="243" spans="1:16" x14ac:dyDescent="0.2">
      <c r="A243" s="8">
        <v>120.5</v>
      </c>
      <c r="B243" s="8">
        <v>241</v>
      </c>
      <c r="D243">
        <v>968.75454545455</v>
      </c>
      <c r="E243">
        <v>453.81883116883</v>
      </c>
      <c r="F243" s="16">
        <v>133.92467532468001</v>
      </c>
      <c r="G243" s="16">
        <v>115.25844155844</v>
      </c>
      <c r="I243" s="9">
        <f t="shared" ref="I243:I274" si="26">E243-G243</f>
        <v>338.56038961039002</v>
      </c>
      <c r="J243" s="9">
        <f t="shared" ref="J243:J274" si="27">D243-F243</f>
        <v>834.82987012986996</v>
      </c>
      <c r="K243" s="9">
        <f t="shared" si="24"/>
        <v>338.56038961039002</v>
      </c>
      <c r="L243" s="10">
        <f t="shared" si="21"/>
        <v>0.40554417339873333</v>
      </c>
      <c r="M243" s="10">
        <f t="shared" ref="M243:M274" si="28">L243+ABS($N$2)*A243</f>
        <v>0.46283286973732291</v>
      </c>
      <c r="P243" s="8">
        <f t="shared" ref="P243:P274" si="29">(M243-$O$2)/$O$2*100</f>
        <v>3.8290408178601751</v>
      </c>
    </row>
    <row r="244" spans="1:16" x14ac:dyDescent="0.2">
      <c r="A244" s="8">
        <v>121</v>
      </c>
      <c r="B244" s="8">
        <v>242</v>
      </c>
      <c r="D244">
        <v>968.46298701298997</v>
      </c>
      <c r="E244">
        <v>449.48571428571</v>
      </c>
      <c r="F244" s="16">
        <v>133.38181818181999</v>
      </c>
      <c r="G244" s="16">
        <v>115.23636363636</v>
      </c>
      <c r="I244" s="9">
        <f t="shared" si="26"/>
        <v>334.24935064934999</v>
      </c>
      <c r="J244" s="9">
        <f t="shared" si="27"/>
        <v>835.08116883116998</v>
      </c>
      <c r="K244" s="9">
        <f t="shared" si="24"/>
        <v>334.24935064934999</v>
      </c>
      <c r="L244" s="10">
        <f t="shared" si="21"/>
        <v>0.40025971501331487</v>
      </c>
      <c r="M244" s="10">
        <f t="shared" si="28"/>
        <v>0.45778612378484462</v>
      </c>
      <c r="N244" s="1"/>
      <c r="P244" s="8">
        <f t="shared" si="29"/>
        <v>2.6968852909749961</v>
      </c>
    </row>
    <row r="245" spans="1:16" x14ac:dyDescent="0.2">
      <c r="A245" s="8">
        <v>121.5</v>
      </c>
      <c r="B245" s="8">
        <v>243</v>
      </c>
      <c r="D245">
        <v>969.98896103896004</v>
      </c>
      <c r="E245">
        <v>447.64090909090999</v>
      </c>
      <c r="F245" s="16">
        <v>133.40129870129999</v>
      </c>
      <c r="G245" s="16">
        <v>115.43051948052</v>
      </c>
      <c r="I245" s="9">
        <f t="shared" si="26"/>
        <v>332.21038961039</v>
      </c>
      <c r="J245" s="9">
        <f t="shared" si="27"/>
        <v>836.58766233766005</v>
      </c>
      <c r="K245" s="9">
        <f t="shared" si="24"/>
        <v>332.21038961039</v>
      </c>
      <c r="L245" s="10">
        <f t="shared" si="21"/>
        <v>0.39710170800523309</v>
      </c>
      <c r="M245" s="10">
        <f t="shared" si="28"/>
        <v>0.45486582920970303</v>
      </c>
      <c r="P245" s="8">
        <f t="shared" si="29"/>
        <v>2.0417646103400253</v>
      </c>
    </row>
    <row r="246" spans="1:16" x14ac:dyDescent="0.2">
      <c r="A246" s="8">
        <v>122</v>
      </c>
      <c r="B246" s="8">
        <v>244</v>
      </c>
      <c r="D246">
        <v>973.13571428571004</v>
      </c>
      <c r="E246">
        <v>446.40454545454998</v>
      </c>
      <c r="F246" s="16">
        <v>133.15064935065001</v>
      </c>
      <c r="G246" s="16">
        <v>115.50064935064999</v>
      </c>
      <c r="I246" s="9">
        <f t="shared" si="26"/>
        <v>330.90389610389997</v>
      </c>
      <c r="J246" s="9">
        <f t="shared" si="27"/>
        <v>839.98506493506</v>
      </c>
      <c r="K246" s="9">
        <f t="shared" si="24"/>
        <v>330.90389610389997</v>
      </c>
      <c r="L246" s="10">
        <f t="shared" si="21"/>
        <v>0.39394021384116212</v>
      </c>
      <c r="M246" s="10">
        <f t="shared" si="28"/>
        <v>0.45194204747857231</v>
      </c>
      <c r="P246" s="8">
        <f t="shared" si="29"/>
        <v>1.3858616428684696</v>
      </c>
    </row>
    <row r="247" spans="1:16" x14ac:dyDescent="0.2">
      <c r="A247" s="8">
        <v>122.5</v>
      </c>
      <c r="B247" s="8">
        <v>245</v>
      </c>
      <c r="D247">
        <v>969.25129870130002</v>
      </c>
      <c r="E247">
        <v>448.96103896104</v>
      </c>
      <c r="F247" s="16">
        <v>133.1051948052</v>
      </c>
      <c r="G247" s="16">
        <v>115.1487012987</v>
      </c>
      <c r="I247" s="9">
        <f t="shared" si="26"/>
        <v>333.81233766233998</v>
      </c>
      <c r="J247" s="9">
        <f t="shared" si="27"/>
        <v>836.14610389610004</v>
      </c>
      <c r="K247" s="9">
        <f t="shared" si="24"/>
        <v>333.81233766233998</v>
      </c>
      <c r="L247" s="10">
        <f t="shared" si="21"/>
        <v>0.39922728349377046</v>
      </c>
      <c r="M247" s="10">
        <f t="shared" si="28"/>
        <v>0.45746682956412082</v>
      </c>
      <c r="P247" s="8">
        <f t="shared" si="29"/>
        <v>2.6252568158944487</v>
      </c>
    </row>
    <row r="248" spans="1:16" x14ac:dyDescent="0.2">
      <c r="A248" s="8">
        <v>123</v>
      </c>
      <c r="B248" s="8">
        <v>246</v>
      </c>
      <c r="D248">
        <v>964.64805194805001</v>
      </c>
      <c r="E248">
        <v>450.20259740260002</v>
      </c>
      <c r="F248" s="16">
        <v>133.25064935065001</v>
      </c>
      <c r="G248" s="16">
        <v>115.54025974026</v>
      </c>
      <c r="I248" s="9">
        <f t="shared" si="26"/>
        <v>334.66233766234001</v>
      </c>
      <c r="J248" s="9">
        <f t="shared" si="27"/>
        <v>831.39740259740006</v>
      </c>
      <c r="K248" s="9">
        <f t="shared" si="24"/>
        <v>334.66233766234001</v>
      </c>
      <c r="L248" s="10">
        <f t="shared" si="21"/>
        <v>0.40252992926945497</v>
      </c>
      <c r="M248" s="10">
        <f t="shared" si="28"/>
        <v>0.46100718777274552</v>
      </c>
      <c r="P248" s="8">
        <f t="shared" si="29"/>
        <v>3.4194787067505663</v>
      </c>
    </row>
    <row r="249" spans="1:16" x14ac:dyDescent="0.2">
      <c r="A249" s="8">
        <v>123.5</v>
      </c>
      <c r="B249" s="8">
        <v>247</v>
      </c>
      <c r="D249">
        <v>972.87922077921996</v>
      </c>
      <c r="E249">
        <v>451.43311688312002</v>
      </c>
      <c r="F249" s="16">
        <v>133.48701298700999</v>
      </c>
      <c r="G249" s="16">
        <v>115.4051948052</v>
      </c>
      <c r="I249" s="9">
        <f t="shared" si="26"/>
        <v>336.02792207792004</v>
      </c>
      <c r="J249" s="9">
        <f t="shared" si="27"/>
        <v>839.39220779221</v>
      </c>
      <c r="K249" s="9">
        <f t="shared" si="24"/>
        <v>336.02792207792004</v>
      </c>
      <c r="L249" s="10">
        <f t="shared" si="21"/>
        <v>0.40032289906734891</v>
      </c>
      <c r="M249" s="10">
        <f t="shared" si="28"/>
        <v>0.45903787000357971</v>
      </c>
      <c r="P249" s="8">
        <f t="shared" si="29"/>
        <v>2.9776942346276138</v>
      </c>
    </row>
    <row r="250" spans="1:16" x14ac:dyDescent="0.2">
      <c r="A250" s="8">
        <v>124</v>
      </c>
      <c r="B250" s="8">
        <v>248</v>
      </c>
      <c r="D250">
        <v>972.66558441558004</v>
      </c>
      <c r="E250">
        <v>449.02467532468</v>
      </c>
      <c r="F250" s="16">
        <v>133.49805194805</v>
      </c>
      <c r="G250" s="16">
        <v>115.27402597403</v>
      </c>
      <c r="I250" s="9">
        <f t="shared" si="26"/>
        <v>333.75064935065001</v>
      </c>
      <c r="J250" s="9">
        <f t="shared" si="27"/>
        <v>839.16753246753001</v>
      </c>
      <c r="K250" s="9">
        <f t="shared" si="24"/>
        <v>333.75064935065001</v>
      </c>
      <c r="L250" s="10">
        <f t="shared" si="21"/>
        <v>0.39771635154815033</v>
      </c>
      <c r="M250" s="10">
        <f t="shared" si="28"/>
        <v>0.4566690349173213</v>
      </c>
      <c r="P250" s="8">
        <f t="shared" si="29"/>
        <v>2.4462845380745315</v>
      </c>
    </row>
    <row r="251" spans="1:16" x14ac:dyDescent="0.2">
      <c r="A251" s="8">
        <v>124.5</v>
      </c>
      <c r="B251" s="8">
        <v>249</v>
      </c>
      <c r="D251">
        <v>959.05584415583996</v>
      </c>
      <c r="E251">
        <v>437.65909090909003</v>
      </c>
      <c r="F251" s="16">
        <v>133.43896103896</v>
      </c>
      <c r="G251" s="16">
        <v>115.4961038961</v>
      </c>
      <c r="I251" s="9">
        <f t="shared" si="26"/>
        <v>322.16298701299002</v>
      </c>
      <c r="J251" s="9">
        <f t="shared" si="27"/>
        <v>825.61688311687999</v>
      </c>
      <c r="K251" s="9">
        <f t="shared" si="24"/>
        <v>322.16298701299002</v>
      </c>
      <c r="L251" s="10">
        <f t="shared" si="21"/>
        <v>0.39020881670534152</v>
      </c>
      <c r="M251" s="10">
        <f t="shared" si="28"/>
        <v>0.44939921250745274</v>
      </c>
      <c r="P251" s="8">
        <f t="shared" si="29"/>
        <v>0.81541789681538923</v>
      </c>
    </row>
    <row r="252" spans="1:16" x14ac:dyDescent="0.2">
      <c r="A252" s="8">
        <v>125</v>
      </c>
      <c r="B252" s="8">
        <v>250</v>
      </c>
      <c r="D252">
        <v>954.26558441557995</v>
      </c>
      <c r="E252">
        <v>438.06363636364</v>
      </c>
      <c r="F252" s="16">
        <v>133.1987012987</v>
      </c>
      <c r="G252" s="16">
        <v>115.15194805195</v>
      </c>
      <c r="I252" s="9">
        <f t="shared" si="26"/>
        <v>322.91168831169</v>
      </c>
      <c r="J252" s="9">
        <f t="shared" si="27"/>
        <v>821.06688311687992</v>
      </c>
      <c r="K252" s="9">
        <f t="shared" si="24"/>
        <v>322.91168831169</v>
      </c>
      <c r="L252" s="10">
        <f t="shared" si="21"/>
        <v>0.39328305032334754</v>
      </c>
      <c r="M252" s="10">
        <f t="shared" si="28"/>
        <v>0.45271115855839894</v>
      </c>
      <c r="P252" s="8">
        <f t="shared" si="29"/>
        <v>1.5583992280795411</v>
      </c>
    </row>
    <row r="253" spans="1:16" x14ac:dyDescent="0.2">
      <c r="A253" s="8">
        <v>125.5</v>
      </c>
      <c r="B253" s="8">
        <v>251</v>
      </c>
      <c r="D253">
        <v>954.95974025973999</v>
      </c>
      <c r="E253">
        <v>437.51038961039001</v>
      </c>
      <c r="F253" s="16">
        <v>133.1987012987</v>
      </c>
      <c r="G253" s="16">
        <v>115.47857142857001</v>
      </c>
      <c r="I253" s="9">
        <f t="shared" si="26"/>
        <v>322.03181818181997</v>
      </c>
      <c r="J253" s="9">
        <f t="shared" si="27"/>
        <v>821.76103896103996</v>
      </c>
      <c r="K253" s="9">
        <f t="shared" si="24"/>
        <v>322.03181818181997</v>
      </c>
      <c r="L253" s="10">
        <f t="shared" si="21"/>
        <v>0.3918801244081464</v>
      </c>
      <c r="M253" s="10">
        <f t="shared" si="28"/>
        <v>0.45154594507613799</v>
      </c>
      <c r="P253" s="8">
        <f t="shared" si="29"/>
        <v>1.2970024991050924</v>
      </c>
    </row>
    <row r="254" spans="1:16" x14ac:dyDescent="0.2">
      <c r="A254" s="8">
        <v>126</v>
      </c>
      <c r="B254" s="8">
        <v>252</v>
      </c>
      <c r="D254">
        <v>955.83831168831</v>
      </c>
      <c r="E254">
        <v>432.82922077922001</v>
      </c>
      <c r="F254" s="16">
        <v>133.12467532468</v>
      </c>
      <c r="G254" s="16">
        <v>115.30714285713999</v>
      </c>
      <c r="I254" s="9">
        <f t="shared" si="26"/>
        <v>317.52207792208003</v>
      </c>
      <c r="J254" s="9">
        <f t="shared" si="27"/>
        <v>822.71363636363003</v>
      </c>
      <c r="K254" s="9">
        <f t="shared" si="24"/>
        <v>317.52207792208003</v>
      </c>
      <c r="L254" s="10">
        <f t="shared" si="21"/>
        <v>0.38594483412906372</v>
      </c>
      <c r="M254" s="10">
        <f t="shared" si="28"/>
        <v>0.44584836722999555</v>
      </c>
      <c r="P254" s="8">
        <f t="shared" si="29"/>
        <v>1.8843402311032108E-2</v>
      </c>
    </row>
    <row r="255" spans="1:16" x14ac:dyDescent="0.2">
      <c r="A255" s="8">
        <v>126.5</v>
      </c>
      <c r="B255" s="8">
        <v>253</v>
      </c>
      <c r="D255">
        <v>946.33961038961002</v>
      </c>
      <c r="E255">
        <v>426.22207792208002</v>
      </c>
      <c r="F255" s="16">
        <v>133.63571428571001</v>
      </c>
      <c r="G255" s="16">
        <v>115.25519480520001</v>
      </c>
      <c r="I255" s="9">
        <f t="shared" si="26"/>
        <v>310.96688311688001</v>
      </c>
      <c r="J255" s="9">
        <f t="shared" si="27"/>
        <v>812.70389610389998</v>
      </c>
      <c r="K255" s="9">
        <f t="shared" si="24"/>
        <v>310.96688311688001</v>
      </c>
      <c r="L255" s="10">
        <f t="shared" si="21"/>
        <v>0.38263245027820625</v>
      </c>
      <c r="M255" s="10">
        <f t="shared" si="28"/>
        <v>0.44277369581207826</v>
      </c>
      <c r="P255" s="8">
        <f t="shared" si="29"/>
        <v>-0.67090921688739269</v>
      </c>
    </row>
    <row r="256" spans="1:16" x14ac:dyDescent="0.2">
      <c r="A256" s="8">
        <v>127</v>
      </c>
      <c r="B256" s="8">
        <v>254</v>
      </c>
      <c r="D256">
        <v>950.56103896104003</v>
      </c>
      <c r="E256">
        <v>428.22857142856998</v>
      </c>
      <c r="F256" s="16">
        <v>133.04155844156</v>
      </c>
      <c r="G256" s="16">
        <v>114.98246753247</v>
      </c>
      <c r="I256" s="9">
        <f t="shared" si="26"/>
        <v>313.24610389609995</v>
      </c>
      <c r="J256" s="9">
        <f t="shared" si="27"/>
        <v>817.51948051948</v>
      </c>
      <c r="K256" s="9">
        <f t="shared" si="24"/>
        <v>313.24610389609995</v>
      </c>
      <c r="L256" s="10">
        <f t="shared" si="21"/>
        <v>0.38316653163671721</v>
      </c>
      <c r="M256" s="10">
        <f t="shared" si="28"/>
        <v>0.44354548960352946</v>
      </c>
      <c r="P256" s="8">
        <f t="shared" si="29"/>
        <v>-0.49776980887378774</v>
      </c>
    </row>
    <row r="257" spans="1:16" x14ac:dyDescent="0.2">
      <c r="A257" s="8">
        <v>127.5</v>
      </c>
      <c r="B257" s="8">
        <v>255</v>
      </c>
      <c r="D257">
        <v>954.31233766234004</v>
      </c>
      <c r="E257">
        <v>430.71493506493999</v>
      </c>
      <c r="F257" s="16">
        <v>133.00519480520001</v>
      </c>
      <c r="G257" s="16">
        <v>115.32272727273001</v>
      </c>
      <c r="I257" s="9">
        <f t="shared" si="26"/>
        <v>315.39220779221</v>
      </c>
      <c r="J257" s="9">
        <f t="shared" si="27"/>
        <v>821.30714285713998</v>
      </c>
      <c r="K257" s="9">
        <f t="shared" si="24"/>
        <v>315.39220779221</v>
      </c>
      <c r="L257" s="10">
        <f t="shared" si="21"/>
        <v>0.38401249829026513</v>
      </c>
      <c r="M257" s="10">
        <f t="shared" si="28"/>
        <v>0.44462916869001756</v>
      </c>
      <c r="P257" s="8">
        <f t="shared" si="29"/>
        <v>-0.25466399798293088</v>
      </c>
    </row>
    <row r="258" spans="1:16" x14ac:dyDescent="0.2">
      <c r="A258" s="8">
        <v>128</v>
      </c>
      <c r="B258" s="8">
        <v>256</v>
      </c>
      <c r="D258">
        <v>954.35519480519997</v>
      </c>
      <c r="E258">
        <v>431.02662337662002</v>
      </c>
      <c r="F258" s="16">
        <v>132.84480519480999</v>
      </c>
      <c r="G258" s="16">
        <v>115.11298701299</v>
      </c>
      <c r="I258" s="9">
        <f t="shared" si="26"/>
        <v>315.91363636363002</v>
      </c>
      <c r="J258" s="9">
        <f t="shared" si="27"/>
        <v>821.51038961039001</v>
      </c>
      <c r="K258" s="9">
        <f t="shared" si="24"/>
        <v>315.91363636363002</v>
      </c>
      <c r="L258" s="10">
        <f t="shared" ref="L258:L321" si="30">K258/J258</f>
        <v>0.3845522106098444</v>
      </c>
      <c r="M258" s="10">
        <f t="shared" si="28"/>
        <v>0.44540659344253702</v>
      </c>
      <c r="P258" s="8">
        <f t="shared" si="29"/>
        <v>-8.0261375265210627E-2</v>
      </c>
    </row>
    <row r="259" spans="1:16" x14ac:dyDescent="0.2">
      <c r="A259" s="8">
        <v>128.5</v>
      </c>
      <c r="B259" s="8">
        <v>257</v>
      </c>
      <c r="D259">
        <v>941.76428571429005</v>
      </c>
      <c r="E259">
        <v>422.41623376622999</v>
      </c>
      <c r="F259" s="16">
        <v>133.15649350648999</v>
      </c>
      <c r="G259" s="16">
        <v>115.12727272727</v>
      </c>
      <c r="I259" s="9">
        <f t="shared" si="26"/>
        <v>307.28896103896</v>
      </c>
      <c r="J259" s="9">
        <f t="shared" si="27"/>
        <v>808.6077922078</v>
      </c>
      <c r="K259" s="9">
        <f t="shared" ref="K259:K322" si="31">I259*1</f>
        <v>307.28896103896</v>
      </c>
      <c r="L259" s="10">
        <f t="shared" si="30"/>
        <v>0.38002226048298005</v>
      </c>
      <c r="M259" s="10">
        <f t="shared" si="28"/>
        <v>0.44111435574861291</v>
      </c>
      <c r="P259" s="8">
        <f t="shared" si="29"/>
        <v>-1.0431552228334167</v>
      </c>
    </row>
    <row r="260" spans="1:16" x14ac:dyDescent="0.2">
      <c r="A260" s="8">
        <v>129</v>
      </c>
      <c r="B260" s="8">
        <v>258</v>
      </c>
      <c r="D260">
        <v>958.00389610390005</v>
      </c>
      <c r="E260">
        <v>434.03896103896</v>
      </c>
      <c r="F260" s="16">
        <v>133.29285714285999</v>
      </c>
      <c r="G260" s="16">
        <v>115.21883116882999</v>
      </c>
      <c r="I260" s="9">
        <f t="shared" si="26"/>
        <v>318.82012987013002</v>
      </c>
      <c r="J260" s="9">
        <f t="shared" si="27"/>
        <v>824.71103896104</v>
      </c>
      <c r="K260" s="9">
        <f t="shared" si="31"/>
        <v>318.82012987013002</v>
      </c>
      <c r="L260" s="10">
        <f t="shared" si="30"/>
        <v>0.38658404557282922</v>
      </c>
      <c r="M260" s="10">
        <f t="shared" si="28"/>
        <v>0.44791385327140226</v>
      </c>
      <c r="P260" s="8">
        <f t="shared" si="29"/>
        <v>0.48220166514066226</v>
      </c>
    </row>
    <row r="261" spans="1:16" x14ac:dyDescent="0.2">
      <c r="A261" s="8">
        <v>129.5</v>
      </c>
      <c r="B261" s="8">
        <v>259</v>
      </c>
      <c r="D261">
        <v>959.98311688312003</v>
      </c>
      <c r="E261">
        <v>433.28766233765998</v>
      </c>
      <c r="F261" s="16">
        <v>133.35194805194999</v>
      </c>
      <c r="G261" s="16">
        <v>115.30779220779</v>
      </c>
      <c r="I261" s="9">
        <f t="shared" si="26"/>
        <v>317.97987012986999</v>
      </c>
      <c r="J261" s="9">
        <f t="shared" si="27"/>
        <v>826.63116883117004</v>
      </c>
      <c r="K261" s="9">
        <f t="shared" si="31"/>
        <v>317.97987012986999</v>
      </c>
      <c r="L261" s="10">
        <f t="shared" si="30"/>
        <v>0.38466958677530066</v>
      </c>
      <c r="M261" s="10">
        <f t="shared" si="28"/>
        <v>0.4462371069068139</v>
      </c>
      <c r="P261" s="8">
        <f t="shared" si="29"/>
        <v>0.10605083810702835</v>
      </c>
    </row>
    <row r="262" spans="1:16" x14ac:dyDescent="0.2">
      <c r="A262" s="8">
        <v>130</v>
      </c>
      <c r="B262" s="8">
        <v>260</v>
      </c>
      <c r="D262">
        <v>951.14935064935003</v>
      </c>
      <c r="E262">
        <v>427.88636363635999</v>
      </c>
      <c r="F262" s="16">
        <v>133.33441558441999</v>
      </c>
      <c r="G262" s="16">
        <v>115.13571428570999</v>
      </c>
      <c r="I262" s="9">
        <f t="shared" si="26"/>
        <v>312.75064935065001</v>
      </c>
      <c r="J262" s="9">
        <f t="shared" si="27"/>
        <v>817.81493506493007</v>
      </c>
      <c r="K262" s="9">
        <f t="shared" si="31"/>
        <v>312.75064935065001</v>
      </c>
      <c r="L262" s="10">
        <f t="shared" si="30"/>
        <v>0.38242227665580514</v>
      </c>
      <c r="M262" s="10">
        <f t="shared" si="28"/>
        <v>0.44422750922025861</v>
      </c>
      <c r="P262" s="8">
        <f t="shared" si="29"/>
        <v>-0.34476977958861305</v>
      </c>
    </row>
    <row r="263" spans="1:16" x14ac:dyDescent="0.2">
      <c r="A263" s="8">
        <v>130.5</v>
      </c>
      <c r="B263" s="8">
        <v>261</v>
      </c>
      <c r="D263">
        <v>941.06103896104003</v>
      </c>
      <c r="E263">
        <v>423.82922077922001</v>
      </c>
      <c r="F263" s="16">
        <v>133.20584415584</v>
      </c>
      <c r="G263" s="16">
        <v>115.45909090908999</v>
      </c>
      <c r="I263" s="9">
        <f t="shared" si="26"/>
        <v>308.37012987013003</v>
      </c>
      <c r="J263" s="9">
        <f t="shared" si="27"/>
        <v>807.85519480519997</v>
      </c>
      <c r="K263" s="9">
        <f t="shared" si="31"/>
        <v>308.37012987013003</v>
      </c>
      <c r="L263" s="10">
        <f t="shared" si="30"/>
        <v>0.38171460906986932</v>
      </c>
      <c r="M263" s="10">
        <f t="shared" si="28"/>
        <v>0.44375755406726297</v>
      </c>
      <c r="P263" s="8">
        <f t="shared" si="29"/>
        <v>-0.4501965890341933</v>
      </c>
    </row>
    <row r="264" spans="1:16" x14ac:dyDescent="0.2">
      <c r="A264" s="8">
        <v>131</v>
      </c>
      <c r="B264" s="8">
        <v>262</v>
      </c>
      <c r="D264">
        <v>966.53051948051996</v>
      </c>
      <c r="E264">
        <v>432.95454545454999</v>
      </c>
      <c r="F264" s="16">
        <v>132.92987012987001</v>
      </c>
      <c r="G264" s="16">
        <v>115.4987012987</v>
      </c>
      <c r="I264" s="9">
        <f t="shared" si="26"/>
        <v>317.45584415585</v>
      </c>
      <c r="J264" s="9">
        <f t="shared" si="27"/>
        <v>833.60064935064997</v>
      </c>
      <c r="K264" s="9">
        <f t="shared" si="31"/>
        <v>317.45584415585</v>
      </c>
      <c r="L264" s="10">
        <f t="shared" si="30"/>
        <v>0.38082485228764951</v>
      </c>
      <c r="M264" s="10">
        <f t="shared" si="28"/>
        <v>0.44310550971798335</v>
      </c>
      <c r="P264" s="8">
        <f t="shared" si="29"/>
        <v>-0.59647215367771644</v>
      </c>
    </row>
    <row r="265" spans="1:16" x14ac:dyDescent="0.2">
      <c r="A265" s="8">
        <v>131.5</v>
      </c>
      <c r="B265" s="8">
        <v>263</v>
      </c>
      <c r="D265">
        <v>955.42532467532999</v>
      </c>
      <c r="E265">
        <v>422.33051948052002</v>
      </c>
      <c r="F265" s="16">
        <v>133.25</v>
      </c>
      <c r="G265" s="16">
        <v>115.49285714286</v>
      </c>
      <c r="I265" s="9">
        <f t="shared" si="26"/>
        <v>306.83766233766005</v>
      </c>
      <c r="J265" s="9">
        <f t="shared" si="27"/>
        <v>822.17532467532999</v>
      </c>
      <c r="K265" s="9">
        <f t="shared" si="31"/>
        <v>306.83766233766005</v>
      </c>
      <c r="L265" s="10">
        <f t="shared" si="30"/>
        <v>0.37320222722425733</v>
      </c>
      <c r="M265" s="10">
        <f t="shared" si="28"/>
        <v>0.43572059708753141</v>
      </c>
      <c r="P265" s="8">
        <f t="shared" si="29"/>
        <v>-2.2531574175802098</v>
      </c>
    </row>
    <row r="266" spans="1:16" x14ac:dyDescent="0.2">
      <c r="A266" s="8">
        <v>132</v>
      </c>
      <c r="B266" s="8">
        <v>264</v>
      </c>
      <c r="D266">
        <v>956.16883116883002</v>
      </c>
      <c r="E266">
        <v>415.75259740259997</v>
      </c>
      <c r="F266" s="16">
        <v>133.27532467533001</v>
      </c>
      <c r="G266" s="16">
        <v>114.86753246753</v>
      </c>
      <c r="I266" s="9">
        <f t="shared" si="26"/>
        <v>300.88506493506998</v>
      </c>
      <c r="J266" s="9">
        <f t="shared" si="27"/>
        <v>822.89350649350001</v>
      </c>
      <c r="K266" s="9">
        <f t="shared" si="31"/>
        <v>300.88506493506998</v>
      </c>
      <c r="L266" s="10">
        <f t="shared" si="30"/>
        <v>0.36564277462486777</v>
      </c>
      <c r="M266" s="10">
        <f t="shared" si="28"/>
        <v>0.42839885692108204</v>
      </c>
      <c r="P266" s="8">
        <f t="shared" si="29"/>
        <v>-3.8956709647089802</v>
      </c>
    </row>
    <row r="267" spans="1:16" x14ac:dyDescent="0.2">
      <c r="A267" s="8">
        <v>132.5</v>
      </c>
      <c r="B267" s="8">
        <v>265</v>
      </c>
      <c r="D267">
        <v>946.46168831168995</v>
      </c>
      <c r="E267">
        <v>420.35129870129998</v>
      </c>
      <c r="F267" s="16">
        <v>133.36623376623001</v>
      </c>
      <c r="G267" s="16">
        <v>115.35779220779</v>
      </c>
      <c r="I267" s="9">
        <f t="shared" si="26"/>
        <v>304.99350649350998</v>
      </c>
      <c r="J267" s="9">
        <f t="shared" si="27"/>
        <v>813.09545454545992</v>
      </c>
      <c r="K267" s="9">
        <f t="shared" si="31"/>
        <v>304.99350649350998</v>
      </c>
      <c r="L267" s="10">
        <f t="shared" si="30"/>
        <v>0.37510172365187894</v>
      </c>
      <c r="M267" s="10">
        <f t="shared" si="28"/>
        <v>0.43809551838103344</v>
      </c>
      <c r="P267" s="8">
        <f t="shared" si="29"/>
        <v>-1.7203823792339157</v>
      </c>
    </row>
    <row r="268" spans="1:16" x14ac:dyDescent="0.2">
      <c r="A268" s="8">
        <v>133</v>
      </c>
      <c r="B268" s="8">
        <v>266</v>
      </c>
      <c r="D268">
        <v>975.79803921568998</v>
      </c>
      <c r="E268">
        <v>435.87385620915001</v>
      </c>
      <c r="F268" s="16">
        <v>133.09415584416001</v>
      </c>
      <c r="G268" s="16">
        <v>115.04415584416</v>
      </c>
      <c r="I268" s="9">
        <f t="shared" si="26"/>
        <v>320.82970036499</v>
      </c>
      <c r="J268" s="9">
        <f t="shared" si="27"/>
        <v>842.70388337152997</v>
      </c>
      <c r="K268" s="9">
        <f t="shared" si="31"/>
        <v>320.82970036499</v>
      </c>
      <c r="L268" s="10">
        <f t="shared" si="30"/>
        <v>0.38071463380636056</v>
      </c>
      <c r="M268" s="10">
        <f t="shared" si="28"/>
        <v>0.44394614096845525</v>
      </c>
      <c r="P268" s="8">
        <f t="shared" si="29"/>
        <v>-0.4078901792221164</v>
      </c>
    </row>
    <row r="269" spans="1:16" x14ac:dyDescent="0.2">
      <c r="A269" s="8">
        <v>133.5</v>
      </c>
      <c r="B269" s="8">
        <v>267</v>
      </c>
      <c r="D269">
        <v>976.44052287581997</v>
      </c>
      <c r="E269">
        <v>437.69411764706001</v>
      </c>
      <c r="F269" s="16">
        <v>133.32662337662001</v>
      </c>
      <c r="G269" s="16">
        <v>115.34415584416</v>
      </c>
      <c r="I269" s="9">
        <f t="shared" si="26"/>
        <v>322.3499618029</v>
      </c>
      <c r="J269" s="9">
        <f t="shared" si="27"/>
        <v>843.11389949919999</v>
      </c>
      <c r="K269" s="9">
        <f t="shared" si="31"/>
        <v>322.3499618029</v>
      </c>
      <c r="L269" s="10">
        <f t="shared" si="30"/>
        <v>0.38233263856090166</v>
      </c>
      <c r="M269" s="10">
        <f t="shared" si="28"/>
        <v>0.44580185815593654</v>
      </c>
      <c r="P269" s="8">
        <f t="shared" si="29"/>
        <v>8.4098465620327124E-3</v>
      </c>
    </row>
    <row r="270" spans="1:16" x14ac:dyDescent="0.2">
      <c r="A270" s="8">
        <v>134</v>
      </c>
      <c r="B270" s="8">
        <v>268</v>
      </c>
      <c r="D270">
        <v>979.70261437909005</v>
      </c>
      <c r="E270">
        <v>440.45882352940998</v>
      </c>
      <c r="F270" s="16">
        <v>132.93441558442001</v>
      </c>
      <c r="G270" s="16">
        <v>115.15454545455</v>
      </c>
      <c r="I270" s="9">
        <f t="shared" si="26"/>
        <v>325.30427807486001</v>
      </c>
      <c r="J270" s="9">
        <f t="shared" si="27"/>
        <v>846.76819879467007</v>
      </c>
      <c r="K270" s="9">
        <f t="shared" si="31"/>
        <v>325.30427807486001</v>
      </c>
      <c r="L270" s="10">
        <f t="shared" si="30"/>
        <v>0.38417158147638697</v>
      </c>
      <c r="M270" s="10">
        <f t="shared" si="28"/>
        <v>0.44787851350436209</v>
      </c>
      <c r="P270" s="8">
        <f t="shared" si="29"/>
        <v>0.47427376210173011</v>
      </c>
    </row>
    <row r="271" spans="1:16" x14ac:dyDescent="0.2">
      <c r="A271" s="8">
        <v>134.5</v>
      </c>
      <c r="B271" s="8">
        <v>269</v>
      </c>
      <c r="D271">
        <v>973.58562091502995</v>
      </c>
      <c r="E271">
        <v>441.33529411764999</v>
      </c>
      <c r="F271" s="16">
        <v>133.27597402596999</v>
      </c>
      <c r="G271" s="16">
        <v>115.24285714286</v>
      </c>
      <c r="I271" s="9">
        <f t="shared" si="26"/>
        <v>326.09243697478996</v>
      </c>
      <c r="J271" s="9">
        <f t="shared" si="27"/>
        <v>840.30964688905999</v>
      </c>
      <c r="K271" s="9">
        <f t="shared" si="31"/>
        <v>326.09243697478996</v>
      </c>
      <c r="L271" s="10">
        <f t="shared" si="30"/>
        <v>0.3880622317999422</v>
      </c>
      <c r="M271" s="10">
        <f t="shared" si="28"/>
        <v>0.4520068762608575</v>
      </c>
      <c r="P271" s="8">
        <f t="shared" si="29"/>
        <v>1.4004049277606643</v>
      </c>
    </row>
    <row r="272" spans="1:16" x14ac:dyDescent="0.2">
      <c r="A272" s="8">
        <v>135</v>
      </c>
      <c r="B272" s="8">
        <v>270</v>
      </c>
      <c r="D272">
        <v>950.33071895424996</v>
      </c>
      <c r="E272">
        <v>435.01045751634001</v>
      </c>
      <c r="F272" s="16">
        <v>133.01298701299001</v>
      </c>
      <c r="G272" s="16">
        <v>115.3</v>
      </c>
      <c r="I272" s="9">
        <f t="shared" si="26"/>
        <v>319.71045751634</v>
      </c>
      <c r="J272" s="9">
        <f t="shared" si="27"/>
        <v>817.31773194125992</v>
      </c>
      <c r="K272" s="9">
        <f t="shared" si="31"/>
        <v>319.71045751634</v>
      </c>
      <c r="L272" s="10">
        <f t="shared" si="30"/>
        <v>0.391170342966837</v>
      </c>
      <c r="M272" s="10">
        <f t="shared" si="28"/>
        <v>0.45535269986069249</v>
      </c>
      <c r="P272" s="8">
        <f t="shared" si="29"/>
        <v>2.1509861371587502</v>
      </c>
    </row>
    <row r="273" spans="1:16" x14ac:dyDescent="0.2">
      <c r="A273" s="8">
        <v>135.5</v>
      </c>
      <c r="B273" s="8">
        <v>271</v>
      </c>
      <c r="D273">
        <v>960.18169934641003</v>
      </c>
      <c r="E273">
        <v>434.81437908497003</v>
      </c>
      <c r="F273" s="16">
        <v>133.40454545455</v>
      </c>
      <c r="G273" s="16">
        <v>115.2012987013</v>
      </c>
      <c r="I273" s="9">
        <f t="shared" si="26"/>
        <v>319.61308038367002</v>
      </c>
      <c r="J273" s="9">
        <f t="shared" si="27"/>
        <v>826.77715389186005</v>
      </c>
      <c r="K273" s="9">
        <f t="shared" si="31"/>
        <v>319.61308038367002</v>
      </c>
      <c r="L273" s="10">
        <f t="shared" si="30"/>
        <v>0.3865770587384596</v>
      </c>
      <c r="M273" s="10">
        <f t="shared" si="28"/>
        <v>0.45099712806525533</v>
      </c>
      <c r="P273" s="8">
        <f t="shared" si="29"/>
        <v>1.1738843120653251</v>
      </c>
    </row>
    <row r="274" spans="1:16" x14ac:dyDescent="0.2">
      <c r="A274" s="8">
        <v>136</v>
      </c>
      <c r="B274" s="8">
        <v>272</v>
      </c>
      <c r="D274">
        <v>960.86013071895002</v>
      </c>
      <c r="E274">
        <v>440.84771241829998</v>
      </c>
      <c r="F274" s="16">
        <v>132.88506493507001</v>
      </c>
      <c r="G274" s="16">
        <v>115.43051948052</v>
      </c>
      <c r="I274" s="9">
        <f t="shared" si="26"/>
        <v>325.41719293777999</v>
      </c>
      <c r="J274" s="9">
        <f t="shared" si="27"/>
        <v>827.97506578388004</v>
      </c>
      <c r="K274" s="9">
        <f t="shared" si="31"/>
        <v>325.41719293777999</v>
      </c>
      <c r="L274" s="10">
        <f t="shared" si="30"/>
        <v>0.39302776905448639</v>
      </c>
      <c r="M274" s="10">
        <f t="shared" si="28"/>
        <v>0.4576855508142223</v>
      </c>
      <c r="P274" s="8">
        <f t="shared" si="29"/>
        <v>2.6743233776911679</v>
      </c>
    </row>
    <row r="275" spans="1:16" x14ac:dyDescent="0.2">
      <c r="A275" s="8">
        <v>136.5</v>
      </c>
      <c r="B275" s="8">
        <v>273</v>
      </c>
      <c r="D275">
        <v>966.85294117647004</v>
      </c>
      <c r="E275">
        <v>447.61764705882001</v>
      </c>
      <c r="F275" s="16">
        <v>133.22467532467999</v>
      </c>
      <c r="G275" s="16">
        <v>114.82012987013</v>
      </c>
      <c r="I275" s="9">
        <f>E275-G275</f>
        <v>332.79751718868999</v>
      </c>
      <c r="J275" s="9">
        <f>D275-F275</f>
        <v>833.62826585179005</v>
      </c>
      <c r="K275" s="9">
        <f t="shared" si="31"/>
        <v>332.79751718868999</v>
      </c>
      <c r="L275" s="10">
        <f t="shared" si="30"/>
        <v>0.39921573058543308</v>
      </c>
      <c r="M275" s="10">
        <f>L275+ABS($N$2)*A275</f>
        <v>0.46411122477810923</v>
      </c>
      <c r="O275" s="11"/>
      <c r="P275" s="8">
        <f>(M275-$O$2)/$O$2*100</f>
        <v>4.1158190187793338</v>
      </c>
    </row>
    <row r="276" spans="1:16" x14ac:dyDescent="0.2">
      <c r="A276" s="8">
        <v>137</v>
      </c>
      <c r="B276" s="8">
        <v>274</v>
      </c>
      <c r="D276">
        <v>958.61699346404998</v>
      </c>
      <c r="E276">
        <v>441.91960784314</v>
      </c>
      <c r="F276" s="16">
        <v>132.57792207791999</v>
      </c>
      <c r="G276" s="16">
        <v>114.87922077922001</v>
      </c>
      <c r="I276" s="9">
        <f t="shared" ref="I276:I291" si="32">E276-G276</f>
        <v>327.04038706391998</v>
      </c>
      <c r="J276" s="9">
        <f t="shared" ref="J276:J291" si="33">D276-F276</f>
        <v>826.03907138612999</v>
      </c>
      <c r="K276" s="9">
        <f t="shared" si="31"/>
        <v>327.04038706391998</v>
      </c>
      <c r="L276" s="10">
        <f t="shared" si="30"/>
        <v>0.39591394450038758</v>
      </c>
      <c r="M276" s="10">
        <f t="shared" ref="M276:M291" si="34">L276+ABS($N$2)*A276</f>
        <v>0.46104715112600392</v>
      </c>
      <c r="P276" s="8">
        <f t="shared" ref="P276:P291" si="35">(M276-$O$2)/$O$2*100</f>
        <v>3.4284438362994676</v>
      </c>
    </row>
    <row r="277" spans="1:16" x14ac:dyDescent="0.2">
      <c r="A277" s="8">
        <v>137.5</v>
      </c>
      <c r="B277" s="8">
        <v>275</v>
      </c>
      <c r="D277">
        <v>962.10326797386006</v>
      </c>
      <c r="E277">
        <v>437.61372549020001</v>
      </c>
      <c r="F277" s="16">
        <v>132.87207792208</v>
      </c>
      <c r="G277" s="16">
        <v>115.26493506494</v>
      </c>
      <c r="I277" s="9">
        <f t="shared" si="32"/>
        <v>322.34879042526001</v>
      </c>
      <c r="J277" s="9">
        <f t="shared" si="33"/>
        <v>829.23119005178</v>
      </c>
      <c r="K277" s="9">
        <f t="shared" si="31"/>
        <v>322.34879042526001</v>
      </c>
      <c r="L277" s="10">
        <f t="shared" si="30"/>
        <v>0.38873211028776117</v>
      </c>
      <c r="M277" s="10">
        <f t="shared" si="34"/>
        <v>0.45410302934631774</v>
      </c>
      <c r="N277" s="1"/>
      <c r="P277" s="8">
        <f t="shared" si="35"/>
        <v>1.8706428440829332</v>
      </c>
    </row>
    <row r="278" spans="1:16" x14ac:dyDescent="0.2">
      <c r="A278" s="8">
        <v>138</v>
      </c>
      <c r="B278" s="8">
        <v>276</v>
      </c>
      <c r="D278">
        <v>966.40849673203002</v>
      </c>
      <c r="E278">
        <v>437.71176470588</v>
      </c>
      <c r="F278" s="16">
        <v>132.79350649350999</v>
      </c>
      <c r="G278" s="16">
        <v>115.03701298701</v>
      </c>
      <c r="I278" s="9">
        <f t="shared" si="32"/>
        <v>322.67475171886997</v>
      </c>
      <c r="J278" s="9">
        <f t="shared" si="33"/>
        <v>833.61499023852002</v>
      </c>
      <c r="K278" s="9">
        <f t="shared" si="31"/>
        <v>322.67475171886997</v>
      </c>
      <c r="L278" s="10">
        <f t="shared" si="30"/>
        <v>0.38707887393740831</v>
      </c>
      <c r="M278" s="10">
        <f t="shared" si="34"/>
        <v>0.45268750542890507</v>
      </c>
      <c r="P278" s="8">
        <f t="shared" si="35"/>
        <v>1.5530930324563061</v>
      </c>
    </row>
    <row r="279" spans="1:16" x14ac:dyDescent="0.2">
      <c r="A279" s="8">
        <v>138.5</v>
      </c>
      <c r="B279" s="8">
        <v>277</v>
      </c>
      <c r="D279">
        <v>958.41960784314006</v>
      </c>
      <c r="E279">
        <v>431.79869281046001</v>
      </c>
      <c r="F279" s="16">
        <v>133.1474025974</v>
      </c>
      <c r="G279" s="16">
        <v>115.21168831169</v>
      </c>
      <c r="I279" s="9">
        <f t="shared" si="32"/>
        <v>316.58700449877</v>
      </c>
      <c r="J279" s="9">
        <f t="shared" si="33"/>
        <v>825.27220524574</v>
      </c>
      <c r="K279" s="9">
        <f t="shared" si="31"/>
        <v>316.58700449877</v>
      </c>
      <c r="L279" s="10">
        <f t="shared" si="30"/>
        <v>0.38361525141210878</v>
      </c>
      <c r="M279" s="10">
        <f t="shared" si="34"/>
        <v>0.44946159533654573</v>
      </c>
      <c r="P279" s="8">
        <f t="shared" si="35"/>
        <v>0.82941247181587596</v>
      </c>
    </row>
    <row r="280" spans="1:16" x14ac:dyDescent="0.2">
      <c r="A280" s="8">
        <v>139</v>
      </c>
      <c r="B280" s="8">
        <v>278</v>
      </c>
      <c r="D280">
        <v>967.82549019607995</v>
      </c>
      <c r="E280">
        <v>442.56535947712001</v>
      </c>
      <c r="F280" s="16">
        <v>132.97337662338001</v>
      </c>
      <c r="G280" s="16">
        <v>115.24220779221</v>
      </c>
      <c r="I280" s="9">
        <f t="shared" si="32"/>
        <v>327.32315168491004</v>
      </c>
      <c r="J280" s="9">
        <f t="shared" si="33"/>
        <v>834.85211357269998</v>
      </c>
      <c r="K280" s="9">
        <f t="shared" si="31"/>
        <v>327.32315168491004</v>
      </c>
      <c r="L280" s="10">
        <f t="shared" si="30"/>
        <v>0.39207321436146347</v>
      </c>
      <c r="M280" s="10">
        <f t="shared" si="34"/>
        <v>0.4581572707188406</v>
      </c>
      <c r="P280" s="8">
        <f t="shared" si="35"/>
        <v>2.7801460805147773</v>
      </c>
    </row>
    <row r="281" spans="1:16" x14ac:dyDescent="0.2">
      <c r="A281" s="8">
        <v>139.5</v>
      </c>
      <c r="B281" s="8">
        <v>279</v>
      </c>
      <c r="D281">
        <v>969.33202614379002</v>
      </c>
      <c r="E281">
        <v>444.99869281046</v>
      </c>
      <c r="F281" s="16">
        <v>132.96883116883001</v>
      </c>
      <c r="G281" s="16">
        <v>114.95194805195</v>
      </c>
      <c r="I281" s="9">
        <f t="shared" si="32"/>
        <v>330.04674475850999</v>
      </c>
      <c r="J281" s="9">
        <f t="shared" si="33"/>
        <v>836.36319497496004</v>
      </c>
      <c r="K281" s="9">
        <f t="shared" si="31"/>
        <v>330.04674475850999</v>
      </c>
      <c r="L281" s="10">
        <f t="shared" si="30"/>
        <v>0.39462131612378193</v>
      </c>
      <c r="M281" s="10">
        <f t="shared" si="34"/>
        <v>0.4609430849140993</v>
      </c>
      <c r="P281" s="8">
        <f t="shared" si="35"/>
        <v>3.4050982710423212</v>
      </c>
    </row>
    <row r="282" spans="1:16" x14ac:dyDescent="0.2">
      <c r="A282" s="8">
        <v>140</v>
      </c>
      <c r="B282" s="8">
        <v>280</v>
      </c>
      <c r="D282">
        <v>969.46928104574999</v>
      </c>
      <c r="E282">
        <v>450.65751633987003</v>
      </c>
      <c r="F282" s="16">
        <v>132.80844155843999</v>
      </c>
      <c r="G282" s="16">
        <v>115.02922077922</v>
      </c>
      <c r="I282" s="9">
        <f t="shared" si="32"/>
        <v>335.62829556065003</v>
      </c>
      <c r="J282" s="9">
        <f t="shared" si="33"/>
        <v>836.66083948731</v>
      </c>
      <c r="K282" s="9">
        <f t="shared" si="31"/>
        <v>335.62829556065003</v>
      </c>
      <c r="L282" s="10">
        <f t="shared" si="30"/>
        <v>0.4011521511707381</v>
      </c>
      <c r="M282" s="10">
        <f t="shared" si="34"/>
        <v>0.46771163239399566</v>
      </c>
      <c r="P282" s="8">
        <f t="shared" si="35"/>
        <v>4.9235120193282551</v>
      </c>
    </row>
    <row r="283" spans="1:16" x14ac:dyDescent="0.2">
      <c r="A283" s="8">
        <v>140.5</v>
      </c>
      <c r="B283" s="8">
        <v>281</v>
      </c>
      <c r="D283">
        <v>962.33986928105003</v>
      </c>
      <c r="E283">
        <v>445.65032679738999</v>
      </c>
      <c r="F283" s="16">
        <v>133.13896103895999</v>
      </c>
      <c r="G283" s="16">
        <v>115.38636363636</v>
      </c>
      <c r="I283" s="9">
        <f t="shared" si="32"/>
        <v>330.26396316103001</v>
      </c>
      <c r="J283" s="9">
        <f t="shared" si="33"/>
        <v>829.20090824209001</v>
      </c>
      <c r="K283" s="9">
        <f t="shared" si="31"/>
        <v>330.26396316103001</v>
      </c>
      <c r="L283" s="10">
        <f t="shared" si="30"/>
        <v>0.39829184927111477</v>
      </c>
      <c r="M283" s="10">
        <f t="shared" si="34"/>
        <v>0.46508904292731257</v>
      </c>
      <c r="P283" s="8">
        <f t="shared" si="35"/>
        <v>4.3351766469091118</v>
      </c>
    </row>
    <row r="284" spans="1:16" x14ac:dyDescent="0.2">
      <c r="A284" s="8">
        <v>141</v>
      </c>
      <c r="B284" s="8">
        <v>282</v>
      </c>
      <c r="D284">
        <v>958.02287581698999</v>
      </c>
      <c r="E284">
        <v>446.07647058824</v>
      </c>
      <c r="F284" s="16">
        <v>133.23961038960999</v>
      </c>
      <c r="G284" s="16">
        <v>114.94675324675001</v>
      </c>
      <c r="I284" s="9">
        <f t="shared" si="32"/>
        <v>331.12971734148999</v>
      </c>
      <c r="J284" s="9">
        <f t="shared" si="33"/>
        <v>824.78326542738</v>
      </c>
      <c r="K284" s="9">
        <f t="shared" si="31"/>
        <v>331.12971734148999</v>
      </c>
      <c r="L284" s="10">
        <f t="shared" si="30"/>
        <v>0.40147482523170214</v>
      </c>
      <c r="M284" s="10">
        <f t="shared" si="34"/>
        <v>0.46850973132084012</v>
      </c>
      <c r="P284" s="8">
        <f t="shared" si="35"/>
        <v>5.1025525574366517</v>
      </c>
    </row>
    <row r="285" spans="1:16" x14ac:dyDescent="0.2">
      <c r="A285" s="8">
        <v>141.5</v>
      </c>
      <c r="B285" s="8">
        <v>283</v>
      </c>
      <c r="D285">
        <v>963.56470588235004</v>
      </c>
      <c r="E285">
        <v>441.42614379085001</v>
      </c>
      <c r="F285" s="16">
        <v>133.07597402597</v>
      </c>
      <c r="G285" s="16">
        <v>115.03506493507</v>
      </c>
      <c r="I285" s="9">
        <f t="shared" si="32"/>
        <v>326.39107885577999</v>
      </c>
      <c r="J285" s="9">
        <f t="shared" si="33"/>
        <v>830.48873185638001</v>
      </c>
      <c r="K285" s="9">
        <f t="shared" si="31"/>
        <v>326.39107885577999</v>
      </c>
      <c r="L285" s="10">
        <f t="shared" si="30"/>
        <v>0.39301084570551909</v>
      </c>
      <c r="M285" s="10">
        <f t="shared" si="34"/>
        <v>0.46028346422759725</v>
      </c>
      <c r="P285" s="8">
        <f t="shared" si="35"/>
        <v>3.2571230781352232</v>
      </c>
    </row>
    <row r="286" spans="1:16" x14ac:dyDescent="0.2">
      <c r="A286" s="8">
        <v>142</v>
      </c>
      <c r="B286" s="8">
        <v>284</v>
      </c>
      <c r="D286">
        <v>966.57189542484002</v>
      </c>
      <c r="E286">
        <v>444.1568627451</v>
      </c>
      <c r="F286" s="16">
        <v>133.02727272727</v>
      </c>
      <c r="G286" s="16">
        <v>115.30324675324999</v>
      </c>
      <c r="I286" s="9">
        <f t="shared" si="32"/>
        <v>328.85361599185001</v>
      </c>
      <c r="J286" s="9">
        <f t="shared" si="33"/>
        <v>833.54462269757005</v>
      </c>
      <c r="K286" s="9">
        <f t="shared" si="31"/>
        <v>328.85361599185001</v>
      </c>
      <c r="L286" s="10">
        <f t="shared" si="30"/>
        <v>0.39452430864180138</v>
      </c>
      <c r="M286" s="10">
        <f t="shared" si="34"/>
        <v>0.46203463959681979</v>
      </c>
      <c r="P286" s="8">
        <f t="shared" si="35"/>
        <v>3.6499708440975462</v>
      </c>
    </row>
    <row r="287" spans="1:16" x14ac:dyDescent="0.2">
      <c r="A287" s="8">
        <v>142.5</v>
      </c>
      <c r="B287" s="8">
        <v>285</v>
      </c>
      <c r="D287">
        <v>967.30261437908996</v>
      </c>
      <c r="E287">
        <v>441.59542483659999</v>
      </c>
      <c r="F287" s="16">
        <v>132.50714285714</v>
      </c>
      <c r="G287" s="16">
        <v>114.9974025974</v>
      </c>
      <c r="I287" s="9">
        <f t="shared" si="32"/>
        <v>326.59802223919996</v>
      </c>
      <c r="J287" s="9">
        <f t="shared" si="33"/>
        <v>834.79547152194993</v>
      </c>
      <c r="K287" s="9">
        <f t="shared" si="31"/>
        <v>326.59802223919996</v>
      </c>
      <c r="L287" s="10">
        <f t="shared" si="30"/>
        <v>0.39123118581820487</v>
      </c>
      <c r="M287" s="10">
        <f t="shared" si="34"/>
        <v>0.45897922920616346</v>
      </c>
      <c r="P287" s="8">
        <f t="shared" si="35"/>
        <v>2.9645391236866416</v>
      </c>
    </row>
    <row r="288" spans="1:16" x14ac:dyDescent="0.2">
      <c r="A288" s="8">
        <v>143</v>
      </c>
      <c r="B288" s="8">
        <v>286</v>
      </c>
      <c r="D288">
        <v>961.98954248365999</v>
      </c>
      <c r="E288">
        <v>442.06274509804001</v>
      </c>
      <c r="F288" s="16">
        <v>132.70714285714001</v>
      </c>
      <c r="G288" s="16">
        <v>115.22142857143</v>
      </c>
      <c r="I288" s="9">
        <f t="shared" si="32"/>
        <v>326.84131652661</v>
      </c>
      <c r="J288" s="9">
        <f t="shared" si="33"/>
        <v>829.28239962651992</v>
      </c>
      <c r="K288" s="9">
        <f t="shared" si="31"/>
        <v>326.84131652661</v>
      </c>
      <c r="L288" s="10">
        <f t="shared" si="30"/>
        <v>0.39412547121922281</v>
      </c>
      <c r="M288" s="10">
        <f t="shared" si="34"/>
        <v>0.46211122704012164</v>
      </c>
      <c r="P288" s="8">
        <f t="shared" si="35"/>
        <v>3.6671519937018018</v>
      </c>
    </row>
    <row r="289" spans="1:16" x14ac:dyDescent="0.2">
      <c r="A289" s="8">
        <v>143.5</v>
      </c>
      <c r="B289" s="8">
        <v>287</v>
      </c>
      <c r="D289">
        <v>958.11895424836996</v>
      </c>
      <c r="E289">
        <v>439.79150326796997</v>
      </c>
      <c r="F289" s="16">
        <v>132.88896103895999</v>
      </c>
      <c r="G289" s="16">
        <v>114.81688311688001</v>
      </c>
      <c r="I289" s="9">
        <f t="shared" si="32"/>
        <v>324.97462015108999</v>
      </c>
      <c r="J289" s="9">
        <f t="shared" si="33"/>
        <v>825.22999320940994</v>
      </c>
      <c r="K289" s="9">
        <f t="shared" si="31"/>
        <v>324.97462015108999</v>
      </c>
      <c r="L289" s="10">
        <f t="shared" si="30"/>
        <v>0.39379884738220439</v>
      </c>
      <c r="M289" s="10">
        <f t="shared" si="34"/>
        <v>0.4620223156360434</v>
      </c>
      <c r="P289" s="8">
        <f t="shared" si="35"/>
        <v>3.6472061635613193</v>
      </c>
    </row>
    <row r="290" spans="1:16" x14ac:dyDescent="0.2">
      <c r="A290" s="8">
        <v>144</v>
      </c>
      <c r="B290" s="8">
        <v>288</v>
      </c>
      <c r="D290">
        <v>947.18104575162999</v>
      </c>
      <c r="E290">
        <v>437.64771241829999</v>
      </c>
      <c r="F290" s="16">
        <v>132.74220779221</v>
      </c>
      <c r="G290" s="16">
        <v>115.05064935065</v>
      </c>
      <c r="I290" s="9">
        <f t="shared" si="32"/>
        <v>322.59706306764997</v>
      </c>
      <c r="J290" s="9">
        <f t="shared" si="33"/>
        <v>814.43883795941997</v>
      </c>
      <c r="K290" s="9">
        <f t="shared" si="31"/>
        <v>322.59706306764997</v>
      </c>
      <c r="L290" s="10">
        <f t="shared" si="30"/>
        <v>0.39609734707141214</v>
      </c>
      <c r="M290" s="10">
        <f t="shared" si="34"/>
        <v>0.46455852775819134</v>
      </c>
      <c r="P290" s="8">
        <f t="shared" si="35"/>
        <v>4.2161641809612123</v>
      </c>
    </row>
    <row r="291" spans="1:16" x14ac:dyDescent="0.2">
      <c r="A291" s="8">
        <v>144.5</v>
      </c>
      <c r="B291" s="8">
        <v>289</v>
      </c>
      <c r="D291">
        <v>955.53464052287995</v>
      </c>
      <c r="E291">
        <v>442.7385620915</v>
      </c>
      <c r="F291" s="16">
        <v>132.95064935065</v>
      </c>
      <c r="G291" s="16">
        <v>115.07402597402999</v>
      </c>
      <c r="I291" s="9">
        <f t="shared" si="32"/>
        <v>327.66453611746999</v>
      </c>
      <c r="J291" s="9">
        <f t="shared" si="33"/>
        <v>822.58399117222996</v>
      </c>
      <c r="K291" s="9">
        <f t="shared" si="31"/>
        <v>327.66453611746999</v>
      </c>
      <c r="L291" s="10">
        <f t="shared" si="30"/>
        <v>0.39833565889184036</v>
      </c>
      <c r="M291" s="10">
        <f t="shared" si="34"/>
        <v>0.4670345520115598</v>
      </c>
      <c r="P291" s="8">
        <f t="shared" si="35"/>
        <v>4.771620027074543</v>
      </c>
    </row>
    <row r="292" spans="1:16" x14ac:dyDescent="0.2">
      <c r="A292" s="8">
        <v>145</v>
      </c>
      <c r="B292" s="8">
        <v>290</v>
      </c>
      <c r="D292">
        <v>952.60392156862997</v>
      </c>
      <c r="E292">
        <v>440.85686274509999</v>
      </c>
      <c r="F292" s="16">
        <v>133.03376623377</v>
      </c>
      <c r="G292" s="16">
        <v>115.13636363636</v>
      </c>
      <c r="I292" s="9">
        <f>E292-G292</f>
        <v>325.72049910874</v>
      </c>
      <c r="J292" s="9">
        <f>D292-F292</f>
        <v>819.57015533485992</v>
      </c>
      <c r="K292" s="9">
        <f t="shared" si="31"/>
        <v>325.72049910874</v>
      </c>
      <c r="L292" s="10">
        <f t="shared" si="30"/>
        <v>0.39742845318184766</v>
      </c>
      <c r="M292" s="10">
        <f>L292+ABS($N$2)*A292</f>
        <v>0.46636505873450729</v>
      </c>
      <c r="O292" s="11"/>
      <c r="P292" s="8">
        <f>(M292-$O$2)/$O$2*100</f>
        <v>4.6214300787464992</v>
      </c>
    </row>
    <row r="293" spans="1:16" x14ac:dyDescent="0.2">
      <c r="A293" s="8">
        <v>145.5</v>
      </c>
      <c r="B293" s="8">
        <v>291</v>
      </c>
      <c r="D293">
        <v>953.64967320260996</v>
      </c>
      <c r="E293">
        <v>440.07647058824</v>
      </c>
      <c r="F293" s="16">
        <v>132.92402597403</v>
      </c>
      <c r="G293" s="16">
        <v>115.00844155844</v>
      </c>
      <c r="I293" s="9">
        <f t="shared" ref="I293:I301" si="36">E293-G293</f>
        <v>325.06802902980002</v>
      </c>
      <c r="J293" s="9">
        <f t="shared" ref="J293:J301" si="37">D293-F293</f>
        <v>820.72564722857999</v>
      </c>
      <c r="K293" s="9">
        <f t="shared" si="31"/>
        <v>325.06802902980002</v>
      </c>
      <c r="L293" s="10">
        <f t="shared" si="30"/>
        <v>0.3960739257113351</v>
      </c>
      <c r="M293" s="10">
        <f t="shared" ref="M293:M301" si="38">L293+ABS($N$2)*A293</f>
        <v>0.46524824369693496</v>
      </c>
      <c r="P293" s="8">
        <f t="shared" ref="P293:P301" si="39">(M293-$O$2)/$O$2*100</f>
        <v>4.3708907551502554</v>
      </c>
    </row>
    <row r="294" spans="1:16" x14ac:dyDescent="0.2">
      <c r="A294" s="8">
        <v>146</v>
      </c>
      <c r="B294" s="8">
        <v>292</v>
      </c>
      <c r="D294">
        <v>946.80718954248005</v>
      </c>
      <c r="E294">
        <v>436.21699346405001</v>
      </c>
      <c r="F294" s="16">
        <v>132.78311688311999</v>
      </c>
      <c r="G294" s="16">
        <v>114.96623376623</v>
      </c>
      <c r="I294" s="9">
        <f t="shared" si="36"/>
        <v>321.25075969782</v>
      </c>
      <c r="J294" s="9">
        <f t="shared" si="37"/>
        <v>814.02407265936006</v>
      </c>
      <c r="K294" s="9">
        <f t="shared" si="31"/>
        <v>321.25075969782</v>
      </c>
      <c r="L294" s="10">
        <f t="shared" si="30"/>
        <v>0.39464528198572324</v>
      </c>
      <c r="M294" s="10">
        <f t="shared" si="38"/>
        <v>0.46405731240426329</v>
      </c>
      <c r="N294" s="1"/>
      <c r="P294" s="8">
        <f t="shared" si="39"/>
        <v>4.1037246529063678</v>
      </c>
    </row>
    <row r="295" spans="1:16" x14ac:dyDescent="0.2">
      <c r="A295" s="8">
        <v>146.5</v>
      </c>
      <c r="B295" s="8">
        <v>293</v>
      </c>
      <c r="D295">
        <v>961.29477124182995</v>
      </c>
      <c r="E295">
        <v>443.04967320260999</v>
      </c>
      <c r="F295" s="16">
        <v>132.97532467533</v>
      </c>
      <c r="G295" s="16">
        <v>114.78376623377</v>
      </c>
      <c r="I295" s="9">
        <f t="shared" si="36"/>
        <v>328.26590696884</v>
      </c>
      <c r="J295" s="9">
        <f t="shared" si="37"/>
        <v>828.31944656649989</v>
      </c>
      <c r="K295" s="9">
        <f t="shared" si="31"/>
        <v>328.26590696884</v>
      </c>
      <c r="L295" s="10">
        <f t="shared" si="30"/>
        <v>0.39630351349295029</v>
      </c>
      <c r="M295" s="10">
        <f t="shared" si="38"/>
        <v>0.46595325634443052</v>
      </c>
      <c r="P295" s="8">
        <f t="shared" si="39"/>
        <v>4.5290488976250307</v>
      </c>
    </row>
    <row r="296" spans="1:16" x14ac:dyDescent="0.2">
      <c r="A296" s="8">
        <v>147</v>
      </c>
      <c r="B296" s="8">
        <v>294</v>
      </c>
      <c r="D296">
        <v>964.36470588234999</v>
      </c>
      <c r="E296">
        <v>449.81437908497003</v>
      </c>
      <c r="F296" s="16">
        <v>133.16558441558001</v>
      </c>
      <c r="G296" s="16">
        <v>115.11688311688</v>
      </c>
      <c r="I296" s="9">
        <f t="shared" si="36"/>
        <v>334.69749596809004</v>
      </c>
      <c r="J296" s="9">
        <f t="shared" si="37"/>
        <v>831.19912146676995</v>
      </c>
      <c r="K296" s="9">
        <f t="shared" si="31"/>
        <v>334.69749596809004</v>
      </c>
      <c r="L296" s="10">
        <f t="shared" si="30"/>
        <v>0.40266825039163701</v>
      </c>
      <c r="M296" s="10">
        <f t="shared" si="38"/>
        <v>0.47255570567605742</v>
      </c>
      <c r="P296" s="8">
        <f t="shared" si="39"/>
        <v>6.0102012227405917</v>
      </c>
    </row>
    <row r="297" spans="1:16" x14ac:dyDescent="0.2">
      <c r="A297" s="8">
        <v>147.5</v>
      </c>
      <c r="B297" s="8">
        <v>295</v>
      </c>
      <c r="D297">
        <v>959.07647058824</v>
      </c>
      <c r="E297">
        <v>449.72418300653999</v>
      </c>
      <c r="F297" s="16">
        <v>132.79675324675</v>
      </c>
      <c r="G297" s="16">
        <v>114.9</v>
      </c>
      <c r="I297" s="9">
        <f t="shared" si="36"/>
        <v>334.82418300654001</v>
      </c>
      <c r="J297" s="9">
        <f t="shared" si="37"/>
        <v>826.27971734149003</v>
      </c>
      <c r="K297" s="9">
        <f t="shared" si="31"/>
        <v>334.82418300654001</v>
      </c>
      <c r="L297" s="10">
        <f t="shared" si="30"/>
        <v>0.40521893007832577</v>
      </c>
      <c r="M297" s="10">
        <f t="shared" si="38"/>
        <v>0.47534409779568643</v>
      </c>
      <c r="P297" s="8">
        <f t="shared" si="39"/>
        <v>6.6357317287512636</v>
      </c>
    </row>
    <row r="298" spans="1:16" x14ac:dyDescent="0.2">
      <c r="A298" s="8">
        <v>148</v>
      </c>
      <c r="B298" s="8">
        <v>296</v>
      </c>
      <c r="D298">
        <v>950.48169934640998</v>
      </c>
      <c r="E298">
        <v>455.53267973855998</v>
      </c>
      <c r="F298" s="16">
        <v>133.02077922078001</v>
      </c>
      <c r="G298" s="16">
        <v>115.12402597403</v>
      </c>
      <c r="I298" s="9">
        <f t="shared" si="36"/>
        <v>340.40865376452996</v>
      </c>
      <c r="J298" s="9">
        <f t="shared" si="37"/>
        <v>817.46092012562997</v>
      </c>
      <c r="K298" s="9">
        <f t="shared" si="31"/>
        <v>340.40865376452996</v>
      </c>
      <c r="L298" s="10">
        <f t="shared" si="30"/>
        <v>0.41642192964064251</v>
      </c>
      <c r="M298" s="10">
        <f t="shared" si="38"/>
        <v>0.48678480979094335</v>
      </c>
      <c r="P298" s="8">
        <f t="shared" si="39"/>
        <v>9.2022697393620589</v>
      </c>
    </row>
    <row r="299" spans="1:16" x14ac:dyDescent="0.2">
      <c r="A299" s="8">
        <v>148.5</v>
      </c>
      <c r="B299" s="8">
        <v>297</v>
      </c>
      <c r="D299">
        <v>954.84117647058997</v>
      </c>
      <c r="E299">
        <v>450.97908496731998</v>
      </c>
      <c r="F299" s="16">
        <v>132.98571428571</v>
      </c>
      <c r="G299" s="16">
        <v>114.82597402597</v>
      </c>
      <c r="I299" s="9">
        <f t="shared" si="36"/>
        <v>336.15311094134995</v>
      </c>
      <c r="J299" s="9">
        <f t="shared" si="37"/>
        <v>821.85546218488003</v>
      </c>
      <c r="K299" s="9">
        <f t="shared" si="31"/>
        <v>336.15311094134995</v>
      </c>
      <c r="L299" s="10">
        <f t="shared" si="30"/>
        <v>0.4090173107175028</v>
      </c>
      <c r="M299" s="10">
        <f t="shared" si="38"/>
        <v>0.47961790330074389</v>
      </c>
      <c r="P299" s="8">
        <f t="shared" si="39"/>
        <v>7.5944906139705672</v>
      </c>
    </row>
    <row r="300" spans="1:16" x14ac:dyDescent="0.2">
      <c r="A300" s="8">
        <v>149</v>
      </c>
      <c r="B300" s="8">
        <v>298</v>
      </c>
      <c r="D300">
        <v>963.12549019608002</v>
      </c>
      <c r="E300">
        <v>447.25882352940999</v>
      </c>
      <c r="F300" s="16">
        <v>132.80584415583999</v>
      </c>
      <c r="G300" s="16">
        <v>114.72987012986999</v>
      </c>
      <c r="I300" s="9">
        <f t="shared" si="36"/>
        <v>332.52895339954</v>
      </c>
      <c r="J300" s="9">
        <f t="shared" si="37"/>
        <v>830.31964604024006</v>
      </c>
      <c r="K300" s="9">
        <f t="shared" si="31"/>
        <v>332.52895339954</v>
      </c>
      <c r="L300" s="10">
        <f t="shared" si="30"/>
        <v>0.40048306093364983</v>
      </c>
      <c r="M300" s="10">
        <f t="shared" si="38"/>
        <v>0.47132136594983109</v>
      </c>
      <c r="P300" s="8">
        <f t="shared" si="39"/>
        <v>5.7332971431098683</v>
      </c>
    </row>
    <row r="301" spans="1:16" x14ac:dyDescent="0.2">
      <c r="A301" s="8">
        <v>149.5</v>
      </c>
      <c r="B301" s="8">
        <v>299</v>
      </c>
      <c r="D301">
        <v>955.44444444444002</v>
      </c>
      <c r="E301">
        <v>442.20522875816999</v>
      </c>
      <c r="F301" s="16">
        <v>133.08636363636001</v>
      </c>
      <c r="G301" s="16">
        <v>114.96623376623</v>
      </c>
      <c r="I301" s="9">
        <f t="shared" si="36"/>
        <v>327.23899499193999</v>
      </c>
      <c r="J301" s="9">
        <f t="shared" si="37"/>
        <v>822.35808080807999</v>
      </c>
      <c r="K301" s="9">
        <f t="shared" si="31"/>
        <v>327.23899499193999</v>
      </c>
      <c r="L301" s="10">
        <f t="shared" si="30"/>
        <v>0.39792762134760401</v>
      </c>
      <c r="M301" s="10">
        <f t="shared" si="38"/>
        <v>0.46900363879672546</v>
      </c>
      <c r="P301" s="8">
        <f t="shared" si="39"/>
        <v>5.2133526816867954</v>
      </c>
    </row>
    <row r="302" spans="1:16" x14ac:dyDescent="0.2">
      <c r="A302" s="8">
        <v>150</v>
      </c>
      <c r="B302" s="8">
        <v>300</v>
      </c>
      <c r="D302">
        <v>953.61699346404998</v>
      </c>
      <c r="E302">
        <v>438.13202614378997</v>
      </c>
      <c r="F302" s="16">
        <v>132.66428571429</v>
      </c>
      <c r="G302" s="16">
        <v>115.16948051948</v>
      </c>
      <c r="I302" s="9">
        <f>E302-G302</f>
        <v>322.96254562431</v>
      </c>
      <c r="J302" s="9">
        <f>D302-F302</f>
        <v>820.95270774975995</v>
      </c>
      <c r="K302" s="9">
        <f t="shared" si="31"/>
        <v>322.96254562431</v>
      </c>
      <c r="L302" s="10">
        <f t="shared" si="30"/>
        <v>0.39339969595758295</v>
      </c>
      <c r="M302" s="10">
        <f>L302+ABS($N$2)*A302</f>
        <v>0.46471342583964464</v>
      </c>
      <c r="O302" s="11"/>
      <c r="P302" s="8">
        <f>(M302-$O$2)/$O$2*100</f>
        <v>4.2509130509603352</v>
      </c>
    </row>
    <row r="303" spans="1:16" x14ac:dyDescent="0.2">
      <c r="A303" s="8">
        <v>150.5</v>
      </c>
      <c r="B303" s="8">
        <v>301</v>
      </c>
      <c r="D303">
        <v>955.11895424836996</v>
      </c>
      <c r="E303">
        <v>441.26601307189998</v>
      </c>
      <c r="F303" s="16">
        <v>133.01688311688</v>
      </c>
      <c r="G303" s="16">
        <v>114.78311688312</v>
      </c>
      <c r="I303" s="9">
        <f t="shared" ref="I303:I309" si="40">E303-G303</f>
        <v>326.48289618877999</v>
      </c>
      <c r="J303" s="9">
        <f t="shared" ref="J303:J309" si="41">D303-F303</f>
        <v>822.10207113148999</v>
      </c>
      <c r="K303" s="9">
        <f t="shared" si="31"/>
        <v>326.48289618877999</v>
      </c>
      <c r="L303" s="10">
        <f t="shared" si="30"/>
        <v>0.39713182541850223</v>
      </c>
      <c r="M303" s="10">
        <f t="shared" ref="M303:M309" si="42">L303+ABS($N$2)*A303</f>
        <v>0.46868326773350411</v>
      </c>
      <c r="P303" s="8">
        <f t="shared" ref="P303:P309" si="43">(M303-$O$2)/$O$2*100</f>
        <v>5.1414826344730997</v>
      </c>
    </row>
    <row r="304" spans="1:16" x14ac:dyDescent="0.2">
      <c r="A304" s="8">
        <v>151</v>
      </c>
      <c r="B304" s="8">
        <v>302</v>
      </c>
      <c r="D304">
        <v>957.31960784314003</v>
      </c>
      <c r="E304">
        <v>442.88366013071999</v>
      </c>
      <c r="F304" s="16">
        <v>132.75714285714</v>
      </c>
      <c r="G304" s="16">
        <v>114.92662337662</v>
      </c>
      <c r="I304" s="9">
        <f t="shared" si="40"/>
        <v>327.95703675409999</v>
      </c>
      <c r="J304" s="9">
        <f t="shared" si="41"/>
        <v>824.56246498600001</v>
      </c>
      <c r="K304" s="9">
        <f t="shared" si="31"/>
        <v>327.95703675409999</v>
      </c>
      <c r="L304" s="10">
        <f t="shared" si="30"/>
        <v>0.39773461766740531</v>
      </c>
      <c r="M304" s="10">
        <f t="shared" si="42"/>
        <v>0.46952377241534737</v>
      </c>
      <c r="N304" s="1"/>
      <c r="P304" s="8">
        <f t="shared" si="43"/>
        <v>5.3300362153115479</v>
      </c>
    </row>
    <row r="305" spans="1:16" x14ac:dyDescent="0.2">
      <c r="A305" s="8">
        <v>151.5</v>
      </c>
      <c r="B305" s="8">
        <v>303</v>
      </c>
      <c r="D305">
        <v>951.46405228757999</v>
      </c>
      <c r="E305">
        <v>437.96274509803999</v>
      </c>
      <c r="F305" s="16">
        <v>132.5487012987</v>
      </c>
      <c r="G305" s="16">
        <v>115.05324675324999</v>
      </c>
      <c r="I305" s="9">
        <f t="shared" si="40"/>
        <v>322.90949834478999</v>
      </c>
      <c r="J305" s="9">
        <f t="shared" si="41"/>
        <v>818.91535098887994</v>
      </c>
      <c r="K305" s="9">
        <f t="shared" si="31"/>
        <v>322.90949834478999</v>
      </c>
      <c r="L305" s="10">
        <f t="shared" si="30"/>
        <v>0.39431364664841262</v>
      </c>
      <c r="M305" s="10">
        <f t="shared" si="42"/>
        <v>0.46634051382929492</v>
      </c>
      <c r="P305" s="8">
        <f t="shared" si="43"/>
        <v>4.6159238277176744</v>
      </c>
    </row>
    <row r="306" spans="1:16" x14ac:dyDescent="0.2">
      <c r="A306" s="8">
        <v>152</v>
      </c>
      <c r="B306" s="8">
        <v>304</v>
      </c>
      <c r="D306">
        <v>946.89673202613994</v>
      </c>
      <c r="E306">
        <v>435.85947712417999</v>
      </c>
      <c r="F306" s="16">
        <v>132.82467532467999</v>
      </c>
      <c r="G306" s="16">
        <v>114.92337662337999</v>
      </c>
      <c r="I306" s="9">
        <f t="shared" si="40"/>
        <v>320.93610050079997</v>
      </c>
      <c r="J306" s="9">
        <f t="shared" si="41"/>
        <v>814.07205670145993</v>
      </c>
      <c r="K306" s="9">
        <f t="shared" si="31"/>
        <v>320.93610050079997</v>
      </c>
      <c r="L306" s="10">
        <f t="shared" si="30"/>
        <v>0.39423549532114094</v>
      </c>
      <c r="M306" s="10">
        <f t="shared" si="42"/>
        <v>0.46650007493496343</v>
      </c>
      <c r="P306" s="8">
        <f t="shared" si="43"/>
        <v>4.6517187715011632</v>
      </c>
    </row>
    <row r="307" spans="1:16" x14ac:dyDescent="0.2">
      <c r="A307" s="8">
        <v>152.5</v>
      </c>
      <c r="B307" s="8">
        <v>305</v>
      </c>
      <c r="D307">
        <v>965.97908496731998</v>
      </c>
      <c r="E307">
        <v>442.64575163399002</v>
      </c>
      <c r="F307" s="16">
        <v>132.32987012986999</v>
      </c>
      <c r="G307" s="16">
        <v>114.82792207791999</v>
      </c>
      <c r="I307" s="9">
        <f t="shared" si="40"/>
        <v>327.81782955607002</v>
      </c>
      <c r="J307" s="9">
        <f t="shared" si="41"/>
        <v>833.64921483745002</v>
      </c>
      <c r="K307" s="9">
        <f t="shared" si="31"/>
        <v>327.81782955607002</v>
      </c>
      <c r="L307" s="10">
        <f t="shared" si="30"/>
        <v>0.3932323376805314</v>
      </c>
      <c r="M307" s="10">
        <f t="shared" si="42"/>
        <v>0.46573462972729412</v>
      </c>
      <c r="P307" s="8">
        <f t="shared" si="43"/>
        <v>4.4800035651977792</v>
      </c>
    </row>
    <row r="308" spans="1:16" x14ac:dyDescent="0.2">
      <c r="A308" s="8">
        <v>153</v>
      </c>
      <c r="B308" s="8">
        <v>306</v>
      </c>
      <c r="D308">
        <v>952.53594771242001</v>
      </c>
      <c r="E308">
        <v>433.62875816994</v>
      </c>
      <c r="F308" s="16">
        <v>133.01428571429</v>
      </c>
      <c r="G308" s="16">
        <v>114.73506493507</v>
      </c>
      <c r="I308" s="9">
        <f t="shared" si="40"/>
        <v>318.89369323487</v>
      </c>
      <c r="J308" s="9">
        <f t="shared" si="41"/>
        <v>819.52166199812996</v>
      </c>
      <c r="K308" s="9">
        <f t="shared" si="31"/>
        <v>318.89369323487</v>
      </c>
      <c r="L308" s="10">
        <f t="shared" si="30"/>
        <v>0.38912173774315395</v>
      </c>
      <c r="M308" s="10">
        <f t="shared" si="42"/>
        <v>0.46186174222285686</v>
      </c>
      <c r="P308" s="8">
        <f t="shared" si="43"/>
        <v>3.6111841250196952</v>
      </c>
    </row>
    <row r="309" spans="1:16" x14ac:dyDescent="0.2">
      <c r="A309" s="8">
        <v>153.5</v>
      </c>
      <c r="B309" s="8">
        <v>307</v>
      </c>
      <c r="D309">
        <v>948.01764705881999</v>
      </c>
      <c r="E309">
        <v>430.62745098038999</v>
      </c>
      <c r="F309" s="16">
        <v>132.96168831169001</v>
      </c>
      <c r="G309" s="16">
        <v>114.93766233766</v>
      </c>
      <c r="I309" s="9">
        <f t="shared" si="40"/>
        <v>315.68978864272998</v>
      </c>
      <c r="J309" s="9">
        <f t="shared" si="41"/>
        <v>815.05595874713003</v>
      </c>
      <c r="K309" s="9">
        <f t="shared" si="31"/>
        <v>315.68978864272998</v>
      </c>
      <c r="L309" s="10">
        <f t="shared" si="30"/>
        <v>0.38732283992867816</v>
      </c>
      <c r="M309" s="10">
        <f t="shared" si="42"/>
        <v>0.46030055684132132</v>
      </c>
      <c r="P309" s="8">
        <f t="shared" si="43"/>
        <v>3.2609575285471988</v>
      </c>
    </row>
    <row r="310" spans="1:16" x14ac:dyDescent="0.2">
      <c r="A310" s="8">
        <v>154</v>
      </c>
      <c r="B310" s="8">
        <v>308</v>
      </c>
      <c r="D310">
        <v>949.52091503268002</v>
      </c>
      <c r="E310">
        <v>429.99019607843002</v>
      </c>
      <c r="F310" s="16">
        <v>132.85779220779</v>
      </c>
      <c r="G310" s="16">
        <v>114.52467532468</v>
      </c>
      <c r="I310" s="9">
        <f>E310-G310</f>
        <v>315.46552075375001</v>
      </c>
      <c r="J310" s="9">
        <f>D310-F310</f>
        <v>816.66312282489002</v>
      </c>
      <c r="K310" s="9">
        <f t="shared" si="31"/>
        <v>315.46552075375001</v>
      </c>
      <c r="L310" s="10">
        <f t="shared" si="30"/>
        <v>0.38628598737571812</v>
      </c>
      <c r="M310" s="10">
        <f>L310+ABS($N$2)*A310</f>
        <v>0.45950141672130146</v>
      </c>
      <c r="O310" s="11"/>
      <c r="P310" s="8">
        <f>(M310-$O$2)/$O$2*100</f>
        <v>3.0816834156523591</v>
      </c>
    </row>
    <row r="311" spans="1:16" x14ac:dyDescent="0.2">
      <c r="A311" s="8">
        <v>154.5</v>
      </c>
      <c r="B311" s="8">
        <v>309</v>
      </c>
      <c r="D311">
        <v>950.60849673202995</v>
      </c>
      <c r="E311">
        <v>428.60849673203001</v>
      </c>
      <c r="F311" s="16">
        <v>132.75714285714</v>
      </c>
      <c r="G311" s="16">
        <v>114.78051948052</v>
      </c>
      <c r="I311" s="9">
        <f t="shared" ref="I311:I319" si="44">E311-G311</f>
        <v>313.82797725150999</v>
      </c>
      <c r="J311" s="9">
        <f t="shared" ref="J311:J319" si="45">D311-F311</f>
        <v>817.85135387488992</v>
      </c>
      <c r="K311" s="9">
        <f t="shared" si="31"/>
        <v>313.82797725150999</v>
      </c>
      <c r="L311" s="10">
        <f t="shared" si="30"/>
        <v>0.38372251358957526</v>
      </c>
      <c r="M311" s="10">
        <f t="shared" ref="M311:M319" si="46">L311+ABS($N$2)*A311</f>
        <v>0.45717565536809879</v>
      </c>
      <c r="P311" s="8">
        <f t="shared" ref="P311:P319" si="47">(M311-$O$2)/$O$2*100</f>
        <v>2.5599366118626179</v>
      </c>
    </row>
    <row r="312" spans="1:16" x14ac:dyDescent="0.2">
      <c r="A312" s="8">
        <v>155</v>
      </c>
      <c r="B312" s="8">
        <v>310</v>
      </c>
      <c r="D312">
        <v>951.85620915032996</v>
      </c>
      <c r="E312">
        <v>422.56993464051999</v>
      </c>
      <c r="F312" s="16">
        <v>132.81753246752999</v>
      </c>
      <c r="G312" s="16">
        <v>114.6987012987</v>
      </c>
      <c r="I312" s="9">
        <f t="shared" si="44"/>
        <v>307.87123334182002</v>
      </c>
      <c r="J312" s="9">
        <f t="shared" si="45"/>
        <v>819.03867668279997</v>
      </c>
      <c r="K312" s="9">
        <f t="shared" si="31"/>
        <v>307.87123334182002</v>
      </c>
      <c r="L312" s="10">
        <f t="shared" si="30"/>
        <v>0.375893400527474</v>
      </c>
      <c r="M312" s="10">
        <f t="shared" si="46"/>
        <v>0.44958425473893771</v>
      </c>
      <c r="N312" s="1"/>
      <c r="P312" s="8">
        <f t="shared" si="47"/>
        <v>0.85692911752187129</v>
      </c>
    </row>
    <row r="313" spans="1:16" x14ac:dyDescent="0.2">
      <c r="A313" s="8">
        <v>155.5</v>
      </c>
      <c r="B313" s="8">
        <v>311</v>
      </c>
      <c r="D313">
        <v>950.65424836601005</v>
      </c>
      <c r="E313">
        <v>416.78039215685999</v>
      </c>
      <c r="F313" s="16">
        <v>132.67467532468001</v>
      </c>
      <c r="G313" s="16">
        <v>114.46233766234</v>
      </c>
      <c r="I313" s="9">
        <f t="shared" si="44"/>
        <v>302.31805449451997</v>
      </c>
      <c r="J313" s="9">
        <f t="shared" si="45"/>
        <v>817.97957304133001</v>
      </c>
      <c r="K313" s="9">
        <f t="shared" si="31"/>
        <v>302.31805449451997</v>
      </c>
      <c r="L313" s="10">
        <f t="shared" si="30"/>
        <v>0.36959120307915655</v>
      </c>
      <c r="M313" s="10">
        <f t="shared" si="46"/>
        <v>0.4435197697235605</v>
      </c>
      <c r="P313" s="8">
        <f t="shared" si="47"/>
        <v>-0.50353964641502336</v>
      </c>
    </row>
    <row r="314" spans="1:16" x14ac:dyDescent="0.2">
      <c r="A314" s="8">
        <v>156</v>
      </c>
      <c r="B314" s="8">
        <v>312</v>
      </c>
      <c r="D314">
        <v>949.42614379085001</v>
      </c>
      <c r="E314">
        <v>412.15032679738999</v>
      </c>
      <c r="F314" s="16">
        <v>132.31883116883</v>
      </c>
      <c r="G314" s="16">
        <v>114.70389610389999</v>
      </c>
      <c r="I314" s="9">
        <f t="shared" si="44"/>
        <v>297.44643069349002</v>
      </c>
      <c r="J314" s="9">
        <f t="shared" si="45"/>
        <v>817.10731262202</v>
      </c>
      <c r="K314" s="9">
        <f t="shared" si="31"/>
        <v>297.44643069349002</v>
      </c>
      <c r="L314" s="10">
        <f t="shared" si="30"/>
        <v>0.36402370422926772</v>
      </c>
      <c r="M314" s="10">
        <f t="shared" si="46"/>
        <v>0.43818998330661185</v>
      </c>
      <c r="P314" s="8">
        <f t="shared" si="47"/>
        <v>-1.6991907066992848</v>
      </c>
    </row>
    <row r="315" spans="1:16" x14ac:dyDescent="0.2">
      <c r="A315" s="8">
        <v>156.5</v>
      </c>
      <c r="B315" s="8">
        <v>313</v>
      </c>
      <c r="D315">
        <v>947.43398692811002</v>
      </c>
      <c r="E315">
        <v>405.96209150327002</v>
      </c>
      <c r="F315" s="16">
        <v>132.87207792208</v>
      </c>
      <c r="G315" s="16">
        <v>114.71233766234</v>
      </c>
      <c r="I315" s="9">
        <f t="shared" si="44"/>
        <v>291.24975384093</v>
      </c>
      <c r="J315" s="9">
        <f t="shared" si="45"/>
        <v>814.56190900602996</v>
      </c>
      <c r="K315" s="9">
        <f t="shared" si="31"/>
        <v>291.24975384093</v>
      </c>
      <c r="L315" s="10">
        <f t="shared" si="30"/>
        <v>0.35755385885442131</v>
      </c>
      <c r="M315" s="10">
        <f t="shared" si="46"/>
        <v>0.43195785036470569</v>
      </c>
      <c r="P315" s="8">
        <f t="shared" si="47"/>
        <v>-3.097268561400377</v>
      </c>
    </row>
    <row r="316" spans="1:16" x14ac:dyDescent="0.2">
      <c r="A316" s="8">
        <v>157</v>
      </c>
      <c r="B316" s="8">
        <v>314</v>
      </c>
      <c r="D316">
        <v>943.42745098038995</v>
      </c>
      <c r="E316">
        <v>398.97254901961003</v>
      </c>
      <c r="F316" s="16">
        <v>132.45454545454999</v>
      </c>
      <c r="G316" s="16">
        <v>114.55194805195001</v>
      </c>
      <c r="I316" s="9">
        <f t="shared" si="44"/>
        <v>284.42060096765999</v>
      </c>
      <c r="J316" s="9">
        <f t="shared" si="45"/>
        <v>810.97290552583991</v>
      </c>
      <c r="K316" s="9">
        <f t="shared" si="31"/>
        <v>284.42060096765999</v>
      </c>
      <c r="L316" s="10">
        <f t="shared" si="30"/>
        <v>0.35071529397549961</v>
      </c>
      <c r="M316" s="10">
        <f t="shared" si="46"/>
        <v>0.42535699791872417</v>
      </c>
      <c r="P316" s="8">
        <f t="shared" si="47"/>
        <v>-4.578062651144819</v>
      </c>
    </row>
    <row r="317" spans="1:16" x14ac:dyDescent="0.2">
      <c r="A317" s="8">
        <v>157.5</v>
      </c>
      <c r="B317" s="8">
        <v>315</v>
      </c>
      <c r="D317">
        <v>931.79215686274995</v>
      </c>
      <c r="E317">
        <v>395.74379084967001</v>
      </c>
      <c r="F317" s="16">
        <v>132.86038961039</v>
      </c>
      <c r="G317" s="16">
        <v>114.68116883117</v>
      </c>
      <c r="I317" s="9">
        <f t="shared" si="44"/>
        <v>281.06262201850001</v>
      </c>
      <c r="J317" s="9">
        <f t="shared" si="45"/>
        <v>798.93176725235992</v>
      </c>
      <c r="K317" s="9">
        <f t="shared" si="31"/>
        <v>281.06262201850001</v>
      </c>
      <c r="L317" s="10">
        <f t="shared" si="30"/>
        <v>0.35179803024370199</v>
      </c>
      <c r="M317" s="10">
        <f t="shared" si="46"/>
        <v>0.42667744661986673</v>
      </c>
      <c r="P317" s="8">
        <f t="shared" si="47"/>
        <v>-4.2818414208622073</v>
      </c>
    </row>
    <row r="318" spans="1:16" x14ac:dyDescent="0.2">
      <c r="A318" s="8">
        <v>158</v>
      </c>
      <c r="B318" s="8">
        <v>316</v>
      </c>
      <c r="D318">
        <v>935.29346405229001</v>
      </c>
      <c r="E318">
        <v>393.59477124183002</v>
      </c>
      <c r="F318" s="16">
        <v>132.55000000000001</v>
      </c>
      <c r="G318" s="16">
        <v>114.86428571429001</v>
      </c>
      <c r="I318" s="9">
        <f t="shared" si="44"/>
        <v>278.73048552754</v>
      </c>
      <c r="J318" s="9">
        <f t="shared" si="45"/>
        <v>802.74346405228994</v>
      </c>
      <c r="K318" s="9">
        <f t="shared" si="31"/>
        <v>278.73048552754</v>
      </c>
      <c r="L318" s="10">
        <f t="shared" si="30"/>
        <v>0.34722236680756552</v>
      </c>
      <c r="M318" s="10">
        <f t="shared" si="46"/>
        <v>0.4223394956166705</v>
      </c>
      <c r="P318" s="8">
        <f t="shared" si="47"/>
        <v>-5.2549903072677102</v>
      </c>
    </row>
    <row r="319" spans="1:16" x14ac:dyDescent="0.2">
      <c r="A319" s="8">
        <v>158.5</v>
      </c>
      <c r="B319" s="8">
        <v>317</v>
      </c>
      <c r="D319">
        <v>939.89477124182997</v>
      </c>
      <c r="E319">
        <v>394.23398692811003</v>
      </c>
      <c r="F319" s="16">
        <v>132.38506493507001</v>
      </c>
      <c r="G319" s="16">
        <v>114.75064935064999</v>
      </c>
      <c r="I319" s="9">
        <f t="shared" si="44"/>
        <v>279.48333757746002</v>
      </c>
      <c r="J319" s="9">
        <f t="shared" si="45"/>
        <v>807.50970630675999</v>
      </c>
      <c r="K319" s="9">
        <f t="shared" si="31"/>
        <v>279.48333757746002</v>
      </c>
      <c r="L319" s="10">
        <f t="shared" si="30"/>
        <v>0.34610523612862776</v>
      </c>
      <c r="M319" s="10">
        <f t="shared" si="46"/>
        <v>0.42146007737067293</v>
      </c>
      <c r="P319" s="8">
        <f t="shared" si="47"/>
        <v>-5.4522735145115586</v>
      </c>
    </row>
    <row r="320" spans="1:16" x14ac:dyDescent="0.2">
      <c r="A320" s="8">
        <v>159</v>
      </c>
      <c r="B320" s="8">
        <v>318</v>
      </c>
      <c r="D320">
        <v>935.36013071895002</v>
      </c>
      <c r="E320">
        <v>389.68366013072</v>
      </c>
      <c r="F320" s="16">
        <v>132.86818181818001</v>
      </c>
      <c r="G320" s="16">
        <v>114.65584415584</v>
      </c>
      <c r="I320" s="9">
        <f>E320-G320</f>
        <v>275.02781597488001</v>
      </c>
      <c r="J320" s="9">
        <f>D320-F320</f>
        <v>802.49194890077001</v>
      </c>
      <c r="K320" s="9">
        <f t="shared" si="31"/>
        <v>275.02781597488001</v>
      </c>
      <c r="L320" s="10">
        <f t="shared" si="30"/>
        <v>0.34271722769506296</v>
      </c>
      <c r="M320" s="10">
        <f>L320+ABS($N$2)*A320</f>
        <v>0.41830978137004837</v>
      </c>
      <c r="O320" s="11"/>
      <c r="P320" s="8">
        <f>(M320-$O$2)/$O$2*100</f>
        <v>-6.1589912811706702</v>
      </c>
    </row>
    <row r="321" spans="1:16" x14ac:dyDescent="0.2">
      <c r="A321" s="8">
        <v>159.5</v>
      </c>
      <c r="B321" s="8">
        <v>319</v>
      </c>
      <c r="D321">
        <v>932.43594771241999</v>
      </c>
      <c r="E321">
        <v>383.47843137255001</v>
      </c>
      <c r="F321" s="16">
        <v>132.94480519480999</v>
      </c>
      <c r="G321" s="16">
        <v>114.70259740260001</v>
      </c>
      <c r="I321" s="9">
        <f t="shared" ref="I321" si="48">E321-G321</f>
        <v>268.77583396994999</v>
      </c>
      <c r="J321" s="9">
        <f t="shared" ref="J321" si="49">D321-F321</f>
        <v>799.49114251761</v>
      </c>
      <c r="K321" s="9">
        <f t="shared" si="31"/>
        <v>268.77583396994999</v>
      </c>
      <c r="L321" s="10">
        <f t="shared" si="30"/>
        <v>0.33618362940653818</v>
      </c>
      <c r="M321" s="10">
        <f t="shared" ref="M321" si="50">L321+ABS($N$2)*A321</f>
        <v>0.41201389551446377</v>
      </c>
      <c r="P321" s="8">
        <f t="shared" ref="P321" si="51">(M321-$O$2)/$O$2*100</f>
        <v>-7.5713710671073988</v>
      </c>
    </row>
    <row r="322" spans="1:16" x14ac:dyDescent="0.2">
      <c r="A322" s="8">
        <v>160</v>
      </c>
      <c r="B322" s="8">
        <v>320</v>
      </c>
      <c r="D322">
        <v>931.86078431373005</v>
      </c>
      <c r="E322">
        <v>384.21830065360001</v>
      </c>
      <c r="F322" s="16">
        <v>132.58441558441999</v>
      </c>
      <c r="G322" s="16">
        <v>114.62337662338</v>
      </c>
      <c r="I322" s="9">
        <f>E322-G322</f>
        <v>269.59492403022</v>
      </c>
      <c r="J322" s="9">
        <f>D322-F322</f>
        <v>799.27636872931009</v>
      </c>
      <c r="K322" s="9">
        <f t="shared" si="31"/>
        <v>269.59492403022</v>
      </c>
      <c r="L322" s="10">
        <f t="shared" ref="L322" si="52">K322/J322</f>
        <v>0.33729875494607969</v>
      </c>
      <c r="M322" s="10">
        <f>L322+ABS($N$2)*A322</f>
        <v>0.41336673348694547</v>
      </c>
      <c r="O322" s="11"/>
      <c r="P322" s="8">
        <f>(M322-$O$2)/$O$2*100</f>
        <v>-7.2678838295988077</v>
      </c>
    </row>
    <row r="323" spans="1:16" x14ac:dyDescent="0.2">
      <c r="I323" s="9"/>
      <c r="J323" s="9"/>
      <c r="K323" s="9"/>
      <c r="L323" s="9"/>
    </row>
    <row r="324" spans="1:16" x14ac:dyDescent="0.2">
      <c r="I324" s="9"/>
      <c r="J324" s="9"/>
      <c r="K324" s="9"/>
      <c r="L324" s="9"/>
    </row>
    <row r="325" spans="1:16" x14ac:dyDescent="0.2">
      <c r="I325" s="9"/>
      <c r="J325" s="9"/>
      <c r="K325" s="9"/>
      <c r="L325" s="9"/>
    </row>
    <row r="326" spans="1:16" x14ac:dyDescent="0.2">
      <c r="I326" s="9"/>
      <c r="J326" s="9"/>
      <c r="K326" s="9"/>
      <c r="L326" s="9"/>
    </row>
    <row r="327" spans="1:16" x14ac:dyDescent="0.2">
      <c r="I327" s="9"/>
      <c r="J327" s="9"/>
      <c r="K327" s="9"/>
      <c r="L327" s="9"/>
    </row>
    <row r="328" spans="1:16" x14ac:dyDescent="0.2">
      <c r="I328" s="9"/>
      <c r="J328" s="9"/>
      <c r="K328" s="9"/>
      <c r="L328" s="9"/>
    </row>
    <row r="329" spans="1:16" x14ac:dyDescent="0.2">
      <c r="I329" s="9"/>
      <c r="J329" s="9"/>
      <c r="K329" s="9"/>
      <c r="L329" s="9"/>
    </row>
    <row r="330" spans="1:16" x14ac:dyDescent="0.2">
      <c r="I330" s="9"/>
      <c r="J330" s="9"/>
      <c r="K330" s="9"/>
      <c r="L330" s="9"/>
    </row>
    <row r="331" spans="1:16" x14ac:dyDescent="0.2">
      <c r="I331" s="9"/>
      <c r="J331" s="9"/>
      <c r="K331" s="9"/>
      <c r="L331" s="9"/>
    </row>
    <row r="332" spans="1:16" x14ac:dyDescent="0.2">
      <c r="I332" s="9"/>
      <c r="J332" s="9"/>
      <c r="K332" s="9"/>
      <c r="L332" s="9"/>
    </row>
    <row r="333" spans="1:16" x14ac:dyDescent="0.2">
      <c r="I333" s="9"/>
      <c r="J333" s="9"/>
      <c r="K333" s="9"/>
      <c r="L333" s="9"/>
    </row>
    <row r="334" spans="1:16" x14ac:dyDescent="0.2">
      <c r="I334" s="9"/>
      <c r="J334" s="9"/>
      <c r="K334" s="9"/>
      <c r="L334" s="9"/>
    </row>
    <row r="335" spans="1:16" x14ac:dyDescent="0.2">
      <c r="I335" s="9"/>
      <c r="J335" s="9"/>
      <c r="K335" s="9"/>
      <c r="L335" s="9"/>
    </row>
    <row r="336" spans="1:16" x14ac:dyDescent="0.2">
      <c r="I336" s="9"/>
      <c r="J336" s="9"/>
      <c r="K336" s="9"/>
      <c r="L336" s="9"/>
    </row>
    <row r="337" spans="9:12" x14ac:dyDescent="0.2">
      <c r="I337" s="9"/>
      <c r="J337" s="9"/>
      <c r="K337" s="9"/>
      <c r="L337" s="9"/>
    </row>
    <row r="338" spans="9:12" x14ac:dyDescent="0.2">
      <c r="I338" s="9"/>
      <c r="J338" s="9"/>
      <c r="K338" s="9"/>
      <c r="L338" s="9"/>
    </row>
    <row r="339" spans="9:12" x14ac:dyDescent="0.2">
      <c r="I339" s="9"/>
      <c r="J339" s="9"/>
      <c r="K339" s="9"/>
      <c r="L339" s="9"/>
    </row>
    <row r="340" spans="9:12" x14ac:dyDescent="0.2">
      <c r="I340" s="9"/>
      <c r="J340" s="9"/>
      <c r="K340" s="9"/>
      <c r="L340" s="9"/>
    </row>
    <row r="341" spans="9:12" x14ac:dyDescent="0.2">
      <c r="I341" s="9"/>
      <c r="J341" s="9"/>
      <c r="K341" s="9"/>
      <c r="L341" s="9"/>
    </row>
    <row r="342" spans="9:12" x14ac:dyDescent="0.2">
      <c r="I342" s="9"/>
      <c r="J342" s="9"/>
      <c r="K342" s="9"/>
      <c r="L342" s="9"/>
    </row>
    <row r="343" spans="9:12" x14ac:dyDescent="0.2">
      <c r="I343" s="9"/>
      <c r="J343" s="9"/>
      <c r="K343" s="9"/>
      <c r="L343" s="9"/>
    </row>
    <row r="344" spans="9:12" x14ac:dyDescent="0.2">
      <c r="I344" s="9"/>
      <c r="J344" s="9"/>
      <c r="K344" s="9"/>
      <c r="L344" s="9"/>
    </row>
    <row r="345" spans="9:12" x14ac:dyDescent="0.2">
      <c r="I345" s="9"/>
      <c r="J345" s="9"/>
      <c r="K345" s="9"/>
      <c r="L345" s="9"/>
    </row>
    <row r="346" spans="9:12" x14ac:dyDescent="0.2">
      <c r="I346" s="9"/>
      <c r="J346" s="9"/>
      <c r="K346" s="9"/>
      <c r="L346" s="9"/>
    </row>
    <row r="347" spans="9:12" x14ac:dyDescent="0.2">
      <c r="I347" s="9"/>
      <c r="J347" s="9"/>
      <c r="K347" s="9"/>
      <c r="L347" s="9"/>
    </row>
    <row r="348" spans="9:12" x14ac:dyDescent="0.2">
      <c r="I348" s="9"/>
      <c r="J348" s="9"/>
      <c r="K348" s="9"/>
      <c r="L348" s="9"/>
    </row>
    <row r="349" spans="9:12" x14ac:dyDescent="0.2">
      <c r="I349" s="9"/>
      <c r="J349" s="9"/>
      <c r="K349" s="9"/>
      <c r="L349" s="9"/>
    </row>
    <row r="350" spans="9:12" x14ac:dyDescent="0.2">
      <c r="I350" s="9"/>
      <c r="J350" s="9"/>
      <c r="K350" s="9"/>
      <c r="L350" s="9"/>
    </row>
    <row r="351" spans="9:12" x14ac:dyDescent="0.2">
      <c r="I351" s="9"/>
      <c r="J351" s="9"/>
      <c r="K351" s="9"/>
      <c r="L351" s="9"/>
    </row>
    <row r="352" spans="9:12" x14ac:dyDescent="0.2">
      <c r="I352" s="9"/>
      <c r="J352" s="9"/>
      <c r="K352" s="9"/>
      <c r="L352" s="9"/>
    </row>
    <row r="353" spans="9:12" x14ac:dyDescent="0.2">
      <c r="I353" s="9"/>
      <c r="J353" s="9"/>
      <c r="K353" s="9"/>
      <c r="L353" s="9"/>
    </row>
    <row r="354" spans="9:12" x14ac:dyDescent="0.2">
      <c r="I354" s="9"/>
      <c r="J354" s="9"/>
      <c r="K354" s="9"/>
      <c r="L354" s="9"/>
    </row>
    <row r="355" spans="9:12" x14ac:dyDescent="0.2">
      <c r="I355" s="9"/>
      <c r="J355" s="9"/>
      <c r="K355" s="9"/>
      <c r="L355" s="9"/>
    </row>
    <row r="356" spans="9:12" x14ac:dyDescent="0.2">
      <c r="I356" s="9"/>
      <c r="J356" s="9"/>
      <c r="K356" s="9"/>
      <c r="L356" s="9"/>
    </row>
    <row r="357" spans="9:12" x14ac:dyDescent="0.2">
      <c r="I357" s="9"/>
      <c r="J357" s="9"/>
      <c r="K357" s="9"/>
      <c r="L357" s="9"/>
    </row>
    <row r="358" spans="9:12" x14ac:dyDescent="0.2">
      <c r="I358" s="9"/>
      <c r="J358" s="9"/>
      <c r="K358" s="9"/>
      <c r="L358" s="9"/>
    </row>
    <row r="359" spans="9:12" x14ac:dyDescent="0.2">
      <c r="I359" s="9"/>
      <c r="J359" s="9"/>
      <c r="K359" s="9"/>
      <c r="L359" s="9"/>
    </row>
    <row r="360" spans="9:12" x14ac:dyDescent="0.2">
      <c r="I360" s="9"/>
      <c r="J360" s="9"/>
      <c r="K360" s="9"/>
      <c r="L360" s="9"/>
    </row>
    <row r="361" spans="9:12" x14ac:dyDescent="0.2">
      <c r="I361" s="9"/>
      <c r="J361" s="9"/>
      <c r="K361" s="9"/>
      <c r="L361" s="9"/>
    </row>
    <row r="362" spans="9:12" x14ac:dyDescent="0.2">
      <c r="I362" s="9"/>
      <c r="J362" s="9"/>
      <c r="K362" s="9"/>
      <c r="L362" s="9"/>
    </row>
    <row r="363" spans="9:12" x14ac:dyDescent="0.2">
      <c r="I363" s="9"/>
      <c r="J363" s="9"/>
      <c r="K363" s="9"/>
      <c r="L363" s="9"/>
    </row>
    <row r="364" spans="9:12" x14ac:dyDescent="0.2">
      <c r="I364" s="9"/>
      <c r="J364" s="9"/>
      <c r="K364" s="9"/>
      <c r="L364" s="9"/>
    </row>
    <row r="365" spans="9:12" x14ac:dyDescent="0.2">
      <c r="I365" s="9"/>
      <c r="J365" s="9"/>
      <c r="K365" s="9"/>
      <c r="L365" s="9"/>
    </row>
    <row r="366" spans="9:12" x14ac:dyDescent="0.2">
      <c r="I366" s="9"/>
      <c r="J366" s="9"/>
      <c r="K366" s="9"/>
      <c r="L366" s="9"/>
    </row>
    <row r="367" spans="9:12" x14ac:dyDescent="0.2">
      <c r="I367" s="9"/>
      <c r="J367" s="9"/>
      <c r="K367" s="9"/>
      <c r="L367" s="9"/>
    </row>
    <row r="368" spans="9:12" x14ac:dyDescent="0.2">
      <c r="I368" s="9"/>
      <c r="J368" s="9"/>
      <c r="K368" s="9"/>
      <c r="L368" s="9"/>
    </row>
    <row r="369" spans="9:12" x14ac:dyDescent="0.2">
      <c r="I369" s="9"/>
      <c r="J369" s="9"/>
      <c r="K369" s="9"/>
      <c r="L369" s="9"/>
    </row>
    <row r="370" spans="9:12" x14ac:dyDescent="0.2">
      <c r="I370" s="9"/>
      <c r="J370" s="9"/>
      <c r="K370" s="9"/>
      <c r="L370" s="9"/>
    </row>
    <row r="371" spans="9:12" x14ac:dyDescent="0.2">
      <c r="I371" s="9"/>
      <c r="J371" s="9"/>
      <c r="K371" s="9"/>
      <c r="L371" s="9"/>
    </row>
    <row r="372" spans="9:12" x14ac:dyDescent="0.2">
      <c r="I372" s="9"/>
      <c r="J372" s="9"/>
      <c r="K372" s="9"/>
      <c r="L372" s="9"/>
    </row>
    <row r="373" spans="9:12" x14ac:dyDescent="0.2">
      <c r="I373" s="9"/>
      <c r="J373" s="9"/>
      <c r="K373" s="9"/>
      <c r="L373" s="9"/>
    </row>
    <row r="374" spans="9:12" x14ac:dyDescent="0.2">
      <c r="I374" s="9"/>
      <c r="J374" s="9"/>
      <c r="K374" s="9"/>
      <c r="L374" s="9"/>
    </row>
    <row r="375" spans="9:12" x14ac:dyDescent="0.2">
      <c r="I375" s="9"/>
      <c r="J375" s="9"/>
      <c r="K375" s="9"/>
      <c r="L375" s="9"/>
    </row>
    <row r="376" spans="9:12" x14ac:dyDescent="0.2">
      <c r="I376" s="9"/>
      <c r="J376" s="9"/>
      <c r="K376" s="9"/>
      <c r="L376" s="9"/>
    </row>
    <row r="377" spans="9:12" x14ac:dyDescent="0.2">
      <c r="I377" s="9"/>
      <c r="J377" s="9"/>
      <c r="K377" s="9"/>
      <c r="L377" s="9"/>
    </row>
    <row r="378" spans="9:12" x14ac:dyDescent="0.2">
      <c r="I378" s="9"/>
      <c r="J378" s="9"/>
      <c r="K378" s="9"/>
      <c r="L378" s="9"/>
    </row>
    <row r="379" spans="9:12" x14ac:dyDescent="0.2">
      <c r="I379" s="9"/>
      <c r="J379" s="9"/>
      <c r="K379" s="9"/>
      <c r="L379" s="9"/>
    </row>
    <row r="380" spans="9:12" x14ac:dyDescent="0.2">
      <c r="I380" s="9"/>
      <c r="J380" s="9"/>
      <c r="K380" s="9"/>
      <c r="L380" s="9"/>
    </row>
    <row r="381" spans="9:12" x14ac:dyDescent="0.2">
      <c r="I381" s="9"/>
      <c r="J381" s="9"/>
      <c r="K381" s="9"/>
      <c r="L381" s="9"/>
    </row>
    <row r="382" spans="9:12" x14ac:dyDescent="0.2">
      <c r="I382" s="9"/>
      <c r="J382" s="9"/>
      <c r="K382" s="9"/>
      <c r="L382" s="9"/>
    </row>
    <row r="383" spans="9:12" x14ac:dyDescent="0.2">
      <c r="I383" s="9"/>
      <c r="J383" s="9"/>
      <c r="K383" s="9"/>
      <c r="L383" s="9"/>
    </row>
    <row r="384" spans="9:12" x14ac:dyDescent="0.2">
      <c r="I384" s="9"/>
      <c r="J384" s="9"/>
      <c r="K384" s="9"/>
      <c r="L384" s="9"/>
    </row>
    <row r="385" spans="9:12" x14ac:dyDescent="0.2">
      <c r="I385" s="9"/>
      <c r="J385" s="9"/>
      <c r="K385" s="9"/>
      <c r="L385" s="9"/>
    </row>
    <row r="386" spans="9:12" x14ac:dyDescent="0.2">
      <c r="I386" s="9"/>
      <c r="J386" s="9"/>
      <c r="K386" s="9"/>
      <c r="L386" s="9"/>
    </row>
    <row r="387" spans="9:12" x14ac:dyDescent="0.2">
      <c r="I387" s="9"/>
      <c r="J387" s="9"/>
      <c r="K387" s="9"/>
      <c r="L387" s="9"/>
    </row>
    <row r="388" spans="9:12" x14ac:dyDescent="0.2">
      <c r="I388" s="9"/>
      <c r="J388" s="9"/>
      <c r="K388" s="9"/>
      <c r="L388" s="9"/>
    </row>
    <row r="389" spans="9:12" x14ac:dyDescent="0.2">
      <c r="I389" s="9"/>
      <c r="J389" s="9"/>
      <c r="K389" s="9"/>
      <c r="L389" s="9"/>
    </row>
    <row r="390" spans="9:12" x14ac:dyDescent="0.2">
      <c r="I390" s="9"/>
      <c r="J390" s="9"/>
      <c r="K390" s="9"/>
      <c r="L390" s="9"/>
    </row>
    <row r="391" spans="9:12" x14ac:dyDescent="0.2">
      <c r="I391" s="9"/>
      <c r="J391" s="9"/>
      <c r="K391" s="9"/>
      <c r="L391" s="9"/>
    </row>
    <row r="392" spans="9:12" x14ac:dyDescent="0.2">
      <c r="I392" s="9"/>
      <c r="J392" s="9"/>
      <c r="K392" s="9"/>
      <c r="L392" s="9"/>
    </row>
    <row r="393" spans="9:12" x14ac:dyDescent="0.2">
      <c r="I393" s="9"/>
      <c r="J393" s="9"/>
      <c r="K393" s="9"/>
      <c r="L393" s="9"/>
    </row>
    <row r="394" spans="9:12" x14ac:dyDescent="0.2">
      <c r="I394" s="9"/>
      <c r="J394" s="9"/>
      <c r="K394" s="9"/>
      <c r="L394" s="9"/>
    </row>
    <row r="395" spans="9:12" x14ac:dyDescent="0.2">
      <c r="I395" s="9"/>
      <c r="J395" s="9"/>
      <c r="K395" s="9"/>
      <c r="L395" s="9"/>
    </row>
    <row r="396" spans="9:12" x14ac:dyDescent="0.2">
      <c r="I396" s="9"/>
      <c r="J396" s="9"/>
      <c r="K396" s="9"/>
      <c r="L396" s="9"/>
    </row>
    <row r="397" spans="9:12" x14ac:dyDescent="0.2">
      <c r="I397" s="9"/>
      <c r="J397" s="9"/>
      <c r="K397" s="9"/>
      <c r="L397" s="9"/>
    </row>
    <row r="398" spans="9:12" x14ac:dyDescent="0.2">
      <c r="I398" s="9"/>
      <c r="J398" s="9"/>
      <c r="K398" s="9"/>
      <c r="L398" s="9"/>
    </row>
    <row r="399" spans="9:12" x14ac:dyDescent="0.2">
      <c r="I399" s="9"/>
      <c r="J399" s="9"/>
      <c r="K399" s="9"/>
      <c r="L399" s="9"/>
    </row>
    <row r="400" spans="9:12" x14ac:dyDescent="0.2">
      <c r="I400" s="9"/>
      <c r="J400" s="9"/>
      <c r="K400" s="9"/>
      <c r="L400" s="9"/>
    </row>
    <row r="401" spans="9:12" x14ac:dyDescent="0.2">
      <c r="I401" s="9"/>
      <c r="J401" s="9"/>
      <c r="K401" s="9"/>
      <c r="L401" s="9"/>
    </row>
    <row r="402" spans="9:12" x14ac:dyDescent="0.2">
      <c r="I402" s="9"/>
      <c r="J402" s="9"/>
      <c r="K402" s="9"/>
      <c r="L402" s="9"/>
    </row>
    <row r="403" spans="9:12" x14ac:dyDescent="0.2">
      <c r="I403" s="9"/>
      <c r="J403" s="9"/>
      <c r="K403" s="9"/>
      <c r="L403" s="9"/>
    </row>
    <row r="404" spans="9:12" x14ac:dyDescent="0.2">
      <c r="I404" s="9"/>
      <c r="J404" s="9"/>
      <c r="K404" s="9"/>
      <c r="L404" s="9"/>
    </row>
    <row r="405" spans="9:12" x14ac:dyDescent="0.2">
      <c r="I405" s="9"/>
      <c r="J405" s="9"/>
      <c r="K405" s="9"/>
      <c r="L405" s="9"/>
    </row>
    <row r="406" spans="9:12" x14ac:dyDescent="0.2">
      <c r="I406" s="9"/>
      <c r="J406" s="9"/>
      <c r="K406" s="9"/>
      <c r="L406" s="9"/>
    </row>
    <row r="407" spans="9:12" x14ac:dyDescent="0.2">
      <c r="I407" s="9"/>
      <c r="J407" s="9"/>
      <c r="K407" s="9"/>
      <c r="L407" s="9"/>
    </row>
    <row r="408" spans="9:12" x14ac:dyDescent="0.2">
      <c r="I408" s="9"/>
      <c r="J408" s="9"/>
      <c r="K408" s="9"/>
      <c r="L408" s="9"/>
    </row>
    <row r="409" spans="9:12" x14ac:dyDescent="0.2">
      <c r="I409" s="9"/>
      <c r="J409" s="9"/>
      <c r="K409" s="9"/>
      <c r="L409" s="9"/>
    </row>
    <row r="410" spans="9:12" x14ac:dyDescent="0.2">
      <c r="I410" s="9"/>
      <c r="J410" s="9"/>
      <c r="K410" s="9"/>
      <c r="L410" s="9"/>
    </row>
    <row r="411" spans="9:12" x14ac:dyDescent="0.2">
      <c r="I411" s="9"/>
      <c r="J411" s="9"/>
      <c r="K411" s="9"/>
      <c r="L411" s="9"/>
    </row>
    <row r="412" spans="9:12" x14ac:dyDescent="0.2">
      <c r="I412" s="9"/>
      <c r="J412" s="9"/>
      <c r="K412" s="9"/>
      <c r="L412" s="9"/>
    </row>
    <row r="413" spans="9:12" x14ac:dyDescent="0.2">
      <c r="I413" s="9"/>
      <c r="J413" s="9"/>
      <c r="K413" s="9"/>
      <c r="L413" s="9"/>
    </row>
    <row r="414" spans="9:12" x14ac:dyDescent="0.2">
      <c r="I414" s="9"/>
      <c r="J414" s="9"/>
      <c r="K414" s="9"/>
      <c r="L414" s="9"/>
    </row>
    <row r="415" spans="9:12" x14ac:dyDescent="0.2">
      <c r="I415" s="9"/>
      <c r="J415" s="9"/>
      <c r="K415" s="9"/>
      <c r="L415" s="9"/>
    </row>
    <row r="416" spans="9:12" x14ac:dyDescent="0.2">
      <c r="I416" s="9"/>
      <c r="J416" s="9"/>
      <c r="K416" s="9"/>
      <c r="L416" s="9"/>
    </row>
    <row r="417" spans="9:12" x14ac:dyDescent="0.2">
      <c r="I417" s="9"/>
      <c r="J417" s="9"/>
      <c r="K417" s="9"/>
      <c r="L417" s="9"/>
    </row>
    <row r="418" spans="9:12" x14ac:dyDescent="0.2">
      <c r="I418" s="9"/>
      <c r="J418" s="9"/>
      <c r="K418" s="9"/>
      <c r="L418" s="9"/>
    </row>
    <row r="419" spans="9:12" x14ac:dyDescent="0.2">
      <c r="I419" s="9"/>
      <c r="J419" s="9"/>
      <c r="K419" s="9"/>
      <c r="L419" s="9"/>
    </row>
    <row r="420" spans="9:12" x14ac:dyDescent="0.2">
      <c r="I420" s="9"/>
      <c r="J420" s="9"/>
      <c r="K420" s="9"/>
      <c r="L420" s="9"/>
    </row>
    <row r="421" spans="9:12" x14ac:dyDescent="0.2">
      <c r="I421" s="9"/>
      <c r="J421" s="9"/>
      <c r="K421" s="9"/>
      <c r="L421" s="9"/>
    </row>
    <row r="422" spans="9:12" x14ac:dyDescent="0.2">
      <c r="I422" s="9"/>
      <c r="J422" s="9"/>
      <c r="K422" s="9"/>
      <c r="L422" s="9"/>
    </row>
    <row r="423" spans="9:12" x14ac:dyDescent="0.2">
      <c r="I423" s="9"/>
      <c r="J423" s="9"/>
      <c r="K423" s="9"/>
      <c r="L423" s="9"/>
    </row>
    <row r="424" spans="9:12" x14ac:dyDescent="0.2">
      <c r="I424" s="9"/>
      <c r="J424" s="9"/>
      <c r="K424" s="9"/>
      <c r="L424" s="9"/>
    </row>
    <row r="425" spans="9:12" x14ac:dyDescent="0.2">
      <c r="I425" s="9"/>
      <c r="J425" s="9"/>
      <c r="K425" s="9"/>
      <c r="L425" s="9"/>
    </row>
    <row r="426" spans="9:12" x14ac:dyDescent="0.2">
      <c r="I426" s="9"/>
      <c r="J426" s="9"/>
      <c r="K426" s="9"/>
      <c r="L426" s="9"/>
    </row>
    <row r="427" spans="9:12" x14ac:dyDescent="0.2">
      <c r="I427" s="9"/>
      <c r="J427" s="9"/>
      <c r="K427" s="9"/>
      <c r="L427" s="9"/>
    </row>
    <row r="428" spans="9:12" x14ac:dyDescent="0.2">
      <c r="I428" s="9"/>
      <c r="J428" s="9"/>
      <c r="K428" s="9"/>
      <c r="L428" s="9"/>
    </row>
    <row r="429" spans="9:12" x14ac:dyDescent="0.2">
      <c r="I429" s="9"/>
      <c r="J429" s="9"/>
      <c r="K429" s="9"/>
      <c r="L429" s="9"/>
    </row>
    <row r="430" spans="9:12" x14ac:dyDescent="0.2">
      <c r="I430" s="9"/>
      <c r="J430" s="9"/>
      <c r="K430" s="9"/>
      <c r="L430" s="9"/>
    </row>
    <row r="431" spans="9:12" x14ac:dyDescent="0.2">
      <c r="I431" s="9"/>
      <c r="J431" s="9"/>
      <c r="K431" s="9"/>
      <c r="L431" s="9"/>
    </row>
    <row r="432" spans="9:12" x14ac:dyDescent="0.2">
      <c r="I432" s="9"/>
      <c r="J432" s="9"/>
      <c r="K432" s="9"/>
      <c r="L432" s="9"/>
    </row>
    <row r="433" spans="9:12" x14ac:dyDescent="0.2">
      <c r="I433" s="9"/>
      <c r="J433" s="9"/>
      <c r="K433" s="9"/>
      <c r="L433" s="9"/>
    </row>
    <row r="434" spans="9:12" x14ac:dyDescent="0.2">
      <c r="I434" s="9"/>
      <c r="J434" s="9"/>
      <c r="K434" s="9"/>
      <c r="L434" s="9"/>
    </row>
    <row r="435" spans="9:12" x14ac:dyDescent="0.2">
      <c r="I435" s="9"/>
      <c r="J435" s="9"/>
      <c r="K435" s="9"/>
      <c r="L435" s="9"/>
    </row>
    <row r="436" spans="9:12" x14ac:dyDescent="0.2">
      <c r="I436" s="9"/>
      <c r="J436" s="9"/>
      <c r="K436" s="9"/>
      <c r="L436" s="9"/>
    </row>
    <row r="437" spans="9:12" x14ac:dyDescent="0.2">
      <c r="I437" s="9"/>
      <c r="J437" s="9"/>
      <c r="K437" s="9"/>
      <c r="L437" s="9"/>
    </row>
    <row r="438" spans="9:12" x14ac:dyDescent="0.2">
      <c r="I438" s="9"/>
      <c r="J438" s="9"/>
      <c r="K438" s="9"/>
      <c r="L438" s="9"/>
    </row>
    <row r="439" spans="9:12" x14ac:dyDescent="0.2">
      <c r="I439" s="9"/>
      <c r="J439" s="9"/>
      <c r="K439" s="9"/>
      <c r="L439" s="9"/>
    </row>
    <row r="440" spans="9:12" x14ac:dyDescent="0.2">
      <c r="I440" s="9"/>
      <c r="J440" s="9"/>
      <c r="K440" s="9"/>
      <c r="L440" s="9"/>
    </row>
    <row r="441" spans="9:12" x14ac:dyDescent="0.2">
      <c r="I441" s="9"/>
      <c r="J441" s="9"/>
      <c r="K441" s="9"/>
      <c r="L441" s="9"/>
    </row>
    <row r="442" spans="9:12" x14ac:dyDescent="0.2">
      <c r="I442" s="9"/>
      <c r="J442" s="9"/>
      <c r="K442" s="9"/>
      <c r="L442" s="9"/>
    </row>
    <row r="443" spans="9:12" x14ac:dyDescent="0.2">
      <c r="I443" s="9"/>
      <c r="J443" s="9"/>
      <c r="K443" s="9"/>
      <c r="L443" s="9"/>
    </row>
    <row r="444" spans="9:12" x14ac:dyDescent="0.2">
      <c r="I444" s="9"/>
      <c r="J444" s="9"/>
      <c r="K444" s="9"/>
      <c r="L444" s="9"/>
    </row>
    <row r="445" spans="9:12" x14ac:dyDescent="0.2">
      <c r="I445" s="9"/>
      <c r="J445" s="9"/>
      <c r="K445" s="9"/>
      <c r="L445" s="9"/>
    </row>
    <row r="446" spans="9:12" x14ac:dyDescent="0.2">
      <c r="I446" s="9"/>
      <c r="J446" s="9"/>
      <c r="K446" s="9"/>
      <c r="L446" s="9"/>
    </row>
    <row r="447" spans="9:12" x14ac:dyDescent="0.2">
      <c r="I447" s="9"/>
      <c r="J447" s="9"/>
      <c r="K447" s="9"/>
      <c r="L447" s="9"/>
    </row>
    <row r="448" spans="9:12" x14ac:dyDescent="0.2">
      <c r="I448" s="9"/>
      <c r="J448" s="9"/>
      <c r="K448" s="9"/>
      <c r="L448" s="9"/>
    </row>
    <row r="449" spans="9:12" x14ac:dyDescent="0.2">
      <c r="I449" s="9"/>
      <c r="J449" s="9"/>
      <c r="K449" s="9"/>
      <c r="L449" s="9"/>
    </row>
    <row r="450" spans="9:12" x14ac:dyDescent="0.2">
      <c r="I450" s="9"/>
      <c r="J450" s="9"/>
      <c r="K450" s="9"/>
      <c r="L450" s="9"/>
    </row>
    <row r="451" spans="9:12" x14ac:dyDescent="0.2">
      <c r="I451" s="9"/>
      <c r="J451" s="9"/>
      <c r="K451" s="9"/>
      <c r="L451" s="9"/>
    </row>
    <row r="452" spans="9:12" x14ac:dyDescent="0.2">
      <c r="I452" s="9"/>
      <c r="J452" s="9"/>
      <c r="K452" s="9"/>
      <c r="L452" s="9"/>
    </row>
    <row r="453" spans="9:12" x14ac:dyDescent="0.2">
      <c r="I453" s="9"/>
      <c r="J453" s="9"/>
      <c r="K453" s="9"/>
      <c r="L453" s="9"/>
    </row>
    <row r="454" spans="9:12" x14ac:dyDescent="0.2">
      <c r="I454" s="9"/>
      <c r="J454" s="9"/>
      <c r="K454" s="9"/>
      <c r="L454" s="9"/>
    </row>
    <row r="455" spans="9:12" x14ac:dyDescent="0.2">
      <c r="I455" s="9"/>
      <c r="J455" s="9"/>
      <c r="K455" s="9"/>
      <c r="L455" s="9"/>
    </row>
    <row r="456" spans="9:12" x14ac:dyDescent="0.2">
      <c r="I456" s="9"/>
      <c r="J456" s="9"/>
      <c r="K456" s="9"/>
      <c r="L456" s="9"/>
    </row>
    <row r="457" spans="9:12" x14ac:dyDescent="0.2">
      <c r="I457" s="9"/>
      <c r="J457" s="9"/>
      <c r="K457" s="9"/>
      <c r="L457" s="9"/>
    </row>
    <row r="458" spans="9:12" x14ac:dyDescent="0.2">
      <c r="I458" s="9"/>
      <c r="J458" s="9"/>
      <c r="K458" s="9"/>
      <c r="L458" s="9"/>
    </row>
    <row r="459" spans="9:12" x14ac:dyDescent="0.2">
      <c r="I459" s="9"/>
      <c r="J459" s="9"/>
      <c r="K459" s="9"/>
      <c r="L459" s="9"/>
    </row>
    <row r="460" spans="9:12" x14ac:dyDescent="0.2">
      <c r="I460" s="9"/>
      <c r="J460" s="9"/>
      <c r="K460" s="9"/>
      <c r="L460" s="9"/>
    </row>
    <row r="461" spans="9:12" x14ac:dyDescent="0.2">
      <c r="I461" s="9"/>
      <c r="J461" s="9"/>
      <c r="K461" s="9"/>
      <c r="L461" s="9"/>
    </row>
    <row r="462" spans="9:12" x14ac:dyDescent="0.2">
      <c r="I462" s="9"/>
      <c r="J462" s="9"/>
      <c r="K462" s="9"/>
      <c r="L462" s="9"/>
    </row>
    <row r="463" spans="9:12" x14ac:dyDescent="0.2">
      <c r="I463" s="9"/>
      <c r="J463" s="9"/>
      <c r="K463" s="9"/>
      <c r="L463" s="9"/>
    </row>
    <row r="464" spans="9:12" x14ac:dyDescent="0.2">
      <c r="I464" s="9"/>
      <c r="J464" s="9"/>
      <c r="K464" s="9"/>
      <c r="L464" s="9"/>
    </row>
    <row r="465" spans="9:12" x14ac:dyDescent="0.2">
      <c r="I465" s="9"/>
      <c r="J465" s="9"/>
      <c r="K465" s="9"/>
      <c r="L465" s="9"/>
    </row>
    <row r="466" spans="9:12" x14ac:dyDescent="0.2">
      <c r="I466" s="9"/>
      <c r="J466" s="9"/>
      <c r="K466" s="9"/>
      <c r="L466" s="9"/>
    </row>
    <row r="467" spans="9:12" x14ac:dyDescent="0.2">
      <c r="I467" s="9"/>
      <c r="J467" s="9"/>
      <c r="K467" s="9"/>
      <c r="L467" s="9"/>
    </row>
    <row r="468" spans="9:12" x14ac:dyDescent="0.2">
      <c r="I468" s="9"/>
      <c r="J468" s="9"/>
      <c r="K468" s="9"/>
      <c r="L468" s="9"/>
    </row>
    <row r="469" spans="9:12" x14ac:dyDescent="0.2">
      <c r="I469" s="9"/>
      <c r="J469" s="9"/>
      <c r="K469" s="9"/>
      <c r="L469" s="9"/>
    </row>
    <row r="470" spans="9:12" x14ac:dyDescent="0.2">
      <c r="I470" s="9"/>
      <c r="J470" s="9"/>
      <c r="K470" s="9"/>
      <c r="L470" s="9"/>
    </row>
    <row r="471" spans="9:12" x14ac:dyDescent="0.2">
      <c r="I471" s="9"/>
      <c r="J471" s="9"/>
      <c r="K471" s="9"/>
      <c r="L471" s="9"/>
    </row>
    <row r="472" spans="9:12" x14ac:dyDescent="0.2">
      <c r="I472" s="9"/>
      <c r="J472" s="9"/>
      <c r="K472" s="9"/>
      <c r="L472" s="9"/>
    </row>
    <row r="473" spans="9:12" x14ac:dyDescent="0.2">
      <c r="I473" s="9"/>
      <c r="J473" s="9"/>
      <c r="K473" s="9"/>
      <c r="L473" s="9"/>
    </row>
    <row r="474" spans="9:12" x14ac:dyDescent="0.2">
      <c r="I474" s="9"/>
      <c r="J474" s="9"/>
      <c r="K474" s="9"/>
      <c r="L474" s="9"/>
    </row>
    <row r="475" spans="9:12" x14ac:dyDescent="0.2">
      <c r="I475" s="9"/>
      <c r="J475" s="9"/>
      <c r="K475" s="9"/>
      <c r="L475" s="9"/>
    </row>
    <row r="476" spans="9:12" x14ac:dyDescent="0.2">
      <c r="I476" s="9"/>
      <c r="J476" s="9"/>
      <c r="K476" s="9"/>
      <c r="L476" s="9"/>
    </row>
    <row r="477" spans="9:12" x14ac:dyDescent="0.2">
      <c r="I477" s="9"/>
      <c r="J477" s="9"/>
      <c r="K477" s="9"/>
      <c r="L477" s="9"/>
    </row>
    <row r="478" spans="9:12" x14ac:dyDescent="0.2">
      <c r="I478" s="9"/>
      <c r="J478" s="9"/>
      <c r="K478" s="9"/>
      <c r="L478" s="9"/>
    </row>
    <row r="479" spans="9:12" x14ac:dyDescent="0.2">
      <c r="I479" s="9"/>
      <c r="J479" s="9"/>
      <c r="K479" s="9"/>
      <c r="L479" s="9"/>
    </row>
    <row r="480" spans="9:12" x14ac:dyDescent="0.2">
      <c r="I480" s="9"/>
      <c r="J480" s="9"/>
      <c r="K480" s="9"/>
      <c r="L480" s="9"/>
    </row>
    <row r="481" spans="9:12" x14ac:dyDescent="0.2">
      <c r="I481" s="9"/>
      <c r="J481" s="9"/>
      <c r="K481" s="9"/>
      <c r="L481" s="9"/>
    </row>
    <row r="482" spans="9:12" x14ac:dyDescent="0.2">
      <c r="I482" s="9"/>
      <c r="J482" s="9"/>
      <c r="K482" s="9"/>
      <c r="L482" s="9"/>
    </row>
    <row r="483" spans="9:12" x14ac:dyDescent="0.2">
      <c r="I483" s="9"/>
      <c r="J483" s="9"/>
      <c r="K483" s="9"/>
      <c r="L483" s="9"/>
    </row>
    <row r="484" spans="9:12" x14ac:dyDescent="0.2">
      <c r="I484" s="9"/>
      <c r="J484" s="9"/>
      <c r="K484" s="9"/>
      <c r="L484" s="9"/>
    </row>
    <row r="485" spans="9:12" x14ac:dyDescent="0.2">
      <c r="I485" s="9"/>
      <c r="J485" s="9"/>
      <c r="K485" s="9"/>
      <c r="L485" s="9"/>
    </row>
    <row r="486" spans="9:12" x14ac:dyDescent="0.2">
      <c r="I486" s="9"/>
      <c r="J486" s="9"/>
      <c r="K486" s="9"/>
      <c r="L486" s="9"/>
    </row>
    <row r="487" spans="9:12" x14ac:dyDescent="0.2">
      <c r="I487" s="9"/>
      <c r="J487" s="9"/>
      <c r="K487" s="9"/>
      <c r="L487" s="9"/>
    </row>
    <row r="488" spans="9:12" x14ac:dyDescent="0.2">
      <c r="I488" s="9"/>
      <c r="J488" s="9"/>
      <c r="K488" s="9"/>
      <c r="L488" s="9"/>
    </row>
    <row r="489" spans="9:12" x14ac:dyDescent="0.2">
      <c r="I489" s="9"/>
      <c r="J489" s="9"/>
      <c r="K489" s="9"/>
      <c r="L489" s="9"/>
    </row>
    <row r="490" spans="9:12" x14ac:dyDescent="0.2">
      <c r="I490" s="9"/>
      <c r="J490" s="9"/>
      <c r="K490" s="9"/>
      <c r="L490" s="9"/>
    </row>
    <row r="491" spans="9:12" x14ac:dyDescent="0.2">
      <c r="I491" s="9"/>
      <c r="J491" s="9"/>
      <c r="K491" s="9"/>
      <c r="L491" s="9"/>
    </row>
    <row r="492" spans="9:12" x14ac:dyDescent="0.2">
      <c r="I492" s="9"/>
      <c r="J492" s="9"/>
      <c r="K492" s="9"/>
      <c r="L492" s="9"/>
    </row>
    <row r="493" spans="9:12" x14ac:dyDescent="0.2">
      <c r="I493" s="9"/>
      <c r="J493" s="9"/>
      <c r="K493" s="9"/>
      <c r="L493" s="9"/>
    </row>
    <row r="494" spans="9:12" x14ac:dyDescent="0.2">
      <c r="I494" s="9"/>
      <c r="J494" s="9"/>
      <c r="K494" s="9"/>
      <c r="L494" s="9"/>
    </row>
    <row r="495" spans="9:12" x14ac:dyDescent="0.2">
      <c r="I495" s="9"/>
      <c r="J495" s="9"/>
      <c r="K495" s="9"/>
      <c r="L495" s="9"/>
    </row>
    <row r="496" spans="9:12" x14ac:dyDescent="0.2">
      <c r="I496" s="9"/>
      <c r="J496" s="9"/>
      <c r="K496" s="9"/>
      <c r="L496" s="9"/>
    </row>
    <row r="497" spans="9:12" x14ac:dyDescent="0.2">
      <c r="I497" s="9"/>
      <c r="J497" s="9"/>
      <c r="K497" s="9"/>
      <c r="L497" s="9"/>
    </row>
    <row r="498" spans="9:12" x14ac:dyDescent="0.2">
      <c r="I498" s="9"/>
      <c r="J498" s="9"/>
      <c r="K498" s="9"/>
      <c r="L498" s="9"/>
    </row>
    <row r="499" spans="9:12" x14ac:dyDescent="0.2">
      <c r="I499" s="9"/>
      <c r="J499" s="9"/>
      <c r="K499" s="9"/>
      <c r="L499" s="9"/>
    </row>
    <row r="500" spans="9:12" x14ac:dyDescent="0.2">
      <c r="I500" s="9"/>
      <c r="J500" s="9"/>
      <c r="K500" s="9"/>
      <c r="L500" s="9"/>
    </row>
    <row r="501" spans="9:12" x14ac:dyDescent="0.2">
      <c r="I501" s="9"/>
      <c r="J501" s="9"/>
      <c r="K501" s="9"/>
      <c r="L501" s="9"/>
    </row>
    <row r="502" spans="9:12" x14ac:dyDescent="0.2">
      <c r="I502" s="9"/>
      <c r="J502" s="9"/>
      <c r="K502" s="9"/>
      <c r="L502" s="9"/>
    </row>
    <row r="503" spans="9:12" x14ac:dyDescent="0.2">
      <c r="I503" s="9"/>
      <c r="J503" s="9"/>
      <c r="K503" s="9"/>
      <c r="L503" s="9"/>
    </row>
    <row r="504" spans="9:12" x14ac:dyDescent="0.2">
      <c r="I504" s="9"/>
      <c r="J504" s="9"/>
      <c r="K504" s="9"/>
      <c r="L504" s="9"/>
    </row>
    <row r="505" spans="9:12" x14ac:dyDescent="0.2">
      <c r="I505" s="9"/>
      <c r="J505" s="9"/>
      <c r="K505" s="9"/>
      <c r="L505" s="9"/>
    </row>
    <row r="506" spans="9:12" x14ac:dyDescent="0.2">
      <c r="I506" s="9"/>
      <c r="J506" s="9"/>
      <c r="K506" s="9"/>
      <c r="L506" s="9"/>
    </row>
    <row r="507" spans="9:12" x14ac:dyDescent="0.2">
      <c r="I507" s="9"/>
      <c r="J507" s="9"/>
      <c r="K507" s="9"/>
      <c r="L507" s="9"/>
    </row>
    <row r="508" spans="9:12" x14ac:dyDescent="0.2">
      <c r="I508" s="9"/>
      <c r="J508" s="9"/>
      <c r="K508" s="9"/>
      <c r="L508" s="9"/>
    </row>
    <row r="509" spans="9:12" x14ac:dyDescent="0.2">
      <c r="I509" s="9"/>
      <c r="J509" s="9"/>
      <c r="K509" s="9"/>
      <c r="L509" s="9"/>
    </row>
    <row r="510" spans="9:12" x14ac:dyDescent="0.2">
      <c r="I510" s="9"/>
      <c r="J510" s="9"/>
      <c r="K510" s="9"/>
      <c r="L510" s="9"/>
    </row>
    <row r="511" spans="9:12" x14ac:dyDescent="0.2">
      <c r="I511" s="9"/>
      <c r="J511" s="9"/>
      <c r="K511" s="9"/>
      <c r="L511" s="9"/>
    </row>
    <row r="512" spans="9:12" x14ac:dyDescent="0.2">
      <c r="I512" s="9"/>
      <c r="J512" s="9"/>
      <c r="K512" s="9"/>
      <c r="L512" s="9"/>
    </row>
    <row r="513" spans="9:12" x14ac:dyDescent="0.2">
      <c r="I513" s="9"/>
      <c r="J513" s="9"/>
      <c r="K513" s="9"/>
      <c r="L513" s="9"/>
    </row>
    <row r="514" spans="9:12" x14ac:dyDescent="0.2">
      <c r="I514" s="9"/>
      <c r="J514" s="9"/>
      <c r="K514" s="9"/>
      <c r="L514" s="9"/>
    </row>
    <row r="515" spans="9:12" x14ac:dyDescent="0.2">
      <c r="I515" s="9"/>
      <c r="J515" s="9"/>
      <c r="K515" s="9"/>
      <c r="L515" s="9"/>
    </row>
    <row r="516" spans="9:12" x14ac:dyDescent="0.2">
      <c r="I516" s="9"/>
      <c r="J516" s="9"/>
      <c r="K516" s="9"/>
      <c r="L516" s="9"/>
    </row>
    <row r="517" spans="9:12" x14ac:dyDescent="0.2">
      <c r="I517" s="9"/>
      <c r="J517" s="9"/>
      <c r="K517" s="9"/>
      <c r="L517" s="9"/>
    </row>
    <row r="518" spans="9:12" x14ac:dyDescent="0.2">
      <c r="I518" s="9"/>
      <c r="J518" s="9"/>
      <c r="K518" s="9"/>
      <c r="L518" s="9"/>
    </row>
    <row r="519" spans="9:12" x14ac:dyDescent="0.2">
      <c r="I519" s="9"/>
      <c r="J519" s="9"/>
      <c r="K519" s="9"/>
      <c r="L519" s="9"/>
    </row>
    <row r="520" spans="9:12" x14ac:dyDescent="0.2">
      <c r="I520" s="9"/>
      <c r="J520" s="9"/>
      <c r="K520" s="9"/>
      <c r="L520" s="9"/>
    </row>
    <row r="521" spans="9:12" x14ac:dyDescent="0.2">
      <c r="I521" s="9"/>
      <c r="J521" s="9"/>
      <c r="K521" s="9"/>
      <c r="L521" s="9"/>
    </row>
    <row r="522" spans="9:12" x14ac:dyDescent="0.2">
      <c r="I522" s="9"/>
      <c r="J522" s="9"/>
      <c r="K522" s="9"/>
      <c r="L522" s="9"/>
    </row>
    <row r="523" spans="9:12" x14ac:dyDescent="0.2">
      <c r="I523" s="9"/>
      <c r="J523" s="9"/>
      <c r="K523" s="9"/>
      <c r="L523" s="9"/>
    </row>
    <row r="524" spans="9:12" x14ac:dyDescent="0.2">
      <c r="I524" s="9"/>
      <c r="J524" s="9"/>
      <c r="K524" s="9"/>
      <c r="L524" s="9"/>
    </row>
    <row r="525" spans="9:12" x14ac:dyDescent="0.2">
      <c r="I525" s="9"/>
      <c r="J525" s="9"/>
      <c r="K525" s="9"/>
      <c r="L525" s="9"/>
    </row>
    <row r="526" spans="9:12" x14ac:dyDescent="0.2">
      <c r="I526" s="9"/>
      <c r="J526" s="9"/>
      <c r="K526" s="9"/>
      <c r="L526" s="9"/>
    </row>
    <row r="527" spans="9:12" x14ac:dyDescent="0.2">
      <c r="I527" s="9"/>
      <c r="J527" s="9"/>
      <c r="K527" s="9"/>
      <c r="L527" s="9"/>
    </row>
    <row r="528" spans="9:12" x14ac:dyDescent="0.2">
      <c r="I528" s="9"/>
      <c r="J528" s="9"/>
      <c r="K528" s="9"/>
      <c r="L528" s="9"/>
    </row>
    <row r="529" spans="9:12" x14ac:dyDescent="0.2">
      <c r="I529" s="9"/>
      <c r="J529" s="9"/>
      <c r="K529" s="9"/>
      <c r="L529" s="9"/>
    </row>
    <row r="530" spans="9:12" x14ac:dyDescent="0.2">
      <c r="I530" s="9"/>
      <c r="J530" s="9"/>
      <c r="K530" s="9"/>
      <c r="L530" s="9"/>
    </row>
    <row r="531" spans="9:12" x14ac:dyDescent="0.2">
      <c r="I531" s="9"/>
      <c r="J531" s="9"/>
      <c r="K531" s="9"/>
      <c r="L531" s="9"/>
    </row>
    <row r="532" spans="9:12" x14ac:dyDescent="0.2">
      <c r="I532" s="9"/>
      <c r="J532" s="9"/>
      <c r="K532" s="9"/>
      <c r="L532" s="9"/>
    </row>
    <row r="533" spans="9:12" x14ac:dyDescent="0.2">
      <c r="I533" s="9"/>
      <c r="J533" s="9"/>
      <c r="K533" s="9"/>
      <c r="L533" s="9"/>
    </row>
    <row r="534" spans="9:12" x14ac:dyDescent="0.2">
      <c r="I534" s="9"/>
      <c r="J534" s="9"/>
      <c r="K534" s="9"/>
      <c r="L534" s="9"/>
    </row>
    <row r="535" spans="9:12" x14ac:dyDescent="0.2">
      <c r="I535" s="9"/>
      <c r="J535" s="9"/>
      <c r="K535" s="9"/>
      <c r="L535" s="9"/>
    </row>
    <row r="536" spans="9:12" x14ac:dyDescent="0.2">
      <c r="I536" s="9"/>
      <c r="J536" s="9"/>
      <c r="K536" s="9"/>
      <c r="L536" s="9"/>
    </row>
    <row r="537" spans="9:12" x14ac:dyDescent="0.2">
      <c r="I537" s="9"/>
      <c r="J537" s="9"/>
      <c r="K537" s="9"/>
      <c r="L537" s="9"/>
    </row>
    <row r="538" spans="9:12" x14ac:dyDescent="0.2">
      <c r="I538" s="9"/>
      <c r="J538" s="9"/>
      <c r="K538" s="9"/>
      <c r="L538" s="9"/>
    </row>
    <row r="539" spans="9:12" x14ac:dyDescent="0.2">
      <c r="I539" s="9"/>
      <c r="J539" s="9"/>
      <c r="K539" s="9"/>
      <c r="L539" s="9"/>
    </row>
    <row r="540" spans="9:12" x14ac:dyDescent="0.2">
      <c r="I540" s="9"/>
      <c r="J540" s="9"/>
      <c r="K540" s="9"/>
      <c r="L540" s="9"/>
    </row>
    <row r="541" spans="9:12" x14ac:dyDescent="0.2">
      <c r="I541" s="9"/>
      <c r="J541" s="9"/>
      <c r="K541" s="9"/>
      <c r="L541" s="9"/>
    </row>
    <row r="542" spans="9:12" x14ac:dyDescent="0.2">
      <c r="I542" s="9"/>
      <c r="J542" s="9"/>
      <c r="K542" s="9"/>
      <c r="L542" s="9"/>
    </row>
    <row r="543" spans="9:12" x14ac:dyDescent="0.2">
      <c r="I543" s="9"/>
      <c r="J543" s="9"/>
      <c r="K543" s="9"/>
      <c r="L543" s="9"/>
    </row>
    <row r="544" spans="9:12" x14ac:dyDescent="0.2">
      <c r="I544" s="9"/>
      <c r="J544" s="9"/>
      <c r="K544" s="9"/>
      <c r="L544" s="9"/>
    </row>
    <row r="545" spans="9:12" x14ac:dyDescent="0.2">
      <c r="I545" s="9"/>
      <c r="J545" s="9"/>
      <c r="K545" s="9"/>
      <c r="L545" s="9"/>
    </row>
    <row r="546" spans="9:12" x14ac:dyDescent="0.2">
      <c r="I546" s="9"/>
      <c r="J546" s="9"/>
      <c r="K546" s="9"/>
      <c r="L546" s="9"/>
    </row>
    <row r="547" spans="9:12" x14ac:dyDescent="0.2">
      <c r="I547" s="9"/>
      <c r="J547" s="9"/>
      <c r="K547" s="9"/>
      <c r="L547" s="9"/>
    </row>
    <row r="548" spans="9:12" x14ac:dyDescent="0.2">
      <c r="I548" s="9"/>
      <c r="J548" s="9"/>
      <c r="K548" s="9"/>
      <c r="L548" s="9"/>
    </row>
    <row r="549" spans="9:12" x14ac:dyDescent="0.2">
      <c r="I549" s="9"/>
      <c r="J549" s="9"/>
      <c r="K549" s="9"/>
      <c r="L549" s="9"/>
    </row>
    <row r="550" spans="9:12" x14ac:dyDescent="0.2">
      <c r="I550" s="9"/>
      <c r="J550" s="9"/>
      <c r="K550" s="9"/>
      <c r="L550" s="9"/>
    </row>
    <row r="551" spans="9:12" x14ac:dyDescent="0.2">
      <c r="I551" s="9"/>
      <c r="J551" s="9"/>
      <c r="K551" s="9"/>
      <c r="L551" s="9"/>
    </row>
    <row r="552" spans="9:12" x14ac:dyDescent="0.2">
      <c r="I552" s="9"/>
      <c r="J552" s="9"/>
      <c r="K552" s="9"/>
      <c r="L552" s="9"/>
    </row>
    <row r="553" spans="9:12" x14ac:dyDescent="0.2">
      <c r="I553" s="9"/>
      <c r="J553" s="9"/>
      <c r="K553" s="9"/>
      <c r="L553" s="9"/>
    </row>
    <row r="554" spans="9:12" x14ac:dyDescent="0.2">
      <c r="I554" s="9"/>
      <c r="J554" s="9"/>
      <c r="K554" s="9"/>
      <c r="L554" s="9"/>
    </row>
    <row r="555" spans="9:12" x14ac:dyDescent="0.2">
      <c r="I555" s="9"/>
      <c r="J555" s="9"/>
      <c r="K555" s="9"/>
      <c r="L555" s="9"/>
    </row>
    <row r="556" spans="9:12" x14ac:dyDescent="0.2">
      <c r="I556" s="9"/>
      <c r="J556" s="9"/>
      <c r="K556" s="9"/>
      <c r="L556" s="9"/>
    </row>
    <row r="557" spans="9:12" x14ac:dyDescent="0.2">
      <c r="I557" s="9"/>
      <c r="J557" s="9"/>
      <c r="K557" s="9"/>
      <c r="L557" s="9"/>
    </row>
    <row r="558" spans="9:12" x14ac:dyDescent="0.2">
      <c r="I558" s="9"/>
      <c r="J558" s="9"/>
      <c r="K558" s="9"/>
      <c r="L558" s="9"/>
    </row>
    <row r="559" spans="9:12" x14ac:dyDescent="0.2">
      <c r="I559" s="9"/>
      <c r="J559" s="9"/>
      <c r="K559" s="9"/>
      <c r="L559" s="9"/>
    </row>
    <row r="560" spans="9:12" x14ac:dyDescent="0.2">
      <c r="I560" s="9"/>
      <c r="J560" s="9"/>
      <c r="K560" s="9"/>
      <c r="L560" s="9"/>
    </row>
    <row r="561" spans="9:12" x14ac:dyDescent="0.2">
      <c r="I561" s="9"/>
      <c r="J561" s="9"/>
      <c r="K561" s="9"/>
      <c r="L561" s="9"/>
    </row>
    <row r="562" spans="9:12" x14ac:dyDescent="0.2">
      <c r="I562" s="9"/>
      <c r="J562" s="9"/>
      <c r="K562" s="9"/>
      <c r="L562" s="9"/>
    </row>
    <row r="563" spans="9:12" x14ac:dyDescent="0.2">
      <c r="I563" s="9"/>
      <c r="J563" s="9"/>
      <c r="K563" s="9"/>
      <c r="L563" s="9"/>
    </row>
    <row r="564" spans="9:12" x14ac:dyDescent="0.2">
      <c r="I564" s="9"/>
      <c r="J564" s="9"/>
      <c r="K564" s="9"/>
      <c r="L564" s="9"/>
    </row>
    <row r="565" spans="9:12" x14ac:dyDescent="0.2">
      <c r="I565" s="9"/>
      <c r="J565" s="9"/>
      <c r="K565" s="9"/>
      <c r="L565" s="9"/>
    </row>
    <row r="566" spans="9:12" x14ac:dyDescent="0.2">
      <c r="I566" s="9"/>
      <c r="J566" s="9"/>
      <c r="K566" s="9"/>
      <c r="L566" s="9"/>
    </row>
    <row r="567" spans="9:12" x14ac:dyDescent="0.2">
      <c r="I567" s="9"/>
      <c r="J567" s="9"/>
      <c r="K567" s="9"/>
      <c r="L567" s="9"/>
    </row>
    <row r="568" spans="9:12" x14ac:dyDescent="0.2">
      <c r="I568" s="9"/>
      <c r="J568" s="9"/>
      <c r="K568" s="9"/>
      <c r="L568" s="9"/>
    </row>
    <row r="569" spans="9:12" x14ac:dyDescent="0.2">
      <c r="I569" s="9"/>
      <c r="J569" s="9"/>
      <c r="K569" s="9"/>
      <c r="L569" s="9"/>
    </row>
    <row r="570" spans="9:12" x14ac:dyDescent="0.2">
      <c r="I570" s="9"/>
      <c r="J570" s="9"/>
      <c r="K570" s="9"/>
      <c r="L570" s="9"/>
    </row>
    <row r="571" spans="9:12" x14ac:dyDescent="0.2">
      <c r="I571" s="9"/>
      <c r="J571" s="9"/>
      <c r="K571" s="9"/>
      <c r="L571" s="9"/>
    </row>
    <row r="572" spans="9:12" x14ac:dyDescent="0.2">
      <c r="I572" s="9"/>
      <c r="J572" s="9"/>
      <c r="K572" s="9"/>
      <c r="L572" s="9"/>
    </row>
    <row r="573" spans="9:12" x14ac:dyDescent="0.2">
      <c r="I573" s="9"/>
      <c r="J573" s="9"/>
      <c r="K573" s="9"/>
      <c r="L573" s="9"/>
    </row>
    <row r="574" spans="9:12" x14ac:dyDescent="0.2">
      <c r="I574" s="9"/>
      <c r="J574" s="9"/>
      <c r="K574" s="9"/>
      <c r="L574" s="9"/>
    </row>
    <row r="575" spans="9:12" x14ac:dyDescent="0.2">
      <c r="I575" s="9"/>
      <c r="J575" s="9"/>
      <c r="K575" s="9"/>
      <c r="L575" s="9"/>
    </row>
    <row r="576" spans="9:12" x14ac:dyDescent="0.2">
      <c r="I576" s="9"/>
      <c r="J576" s="9"/>
      <c r="K576" s="9"/>
      <c r="L576" s="9"/>
    </row>
    <row r="577" spans="9:12" x14ac:dyDescent="0.2">
      <c r="I577" s="9"/>
      <c r="J577" s="9"/>
      <c r="K577" s="9"/>
      <c r="L577" s="9"/>
    </row>
    <row r="578" spans="9:12" x14ac:dyDescent="0.2">
      <c r="I578" s="9"/>
      <c r="J578" s="9"/>
      <c r="K578" s="9"/>
      <c r="L578" s="9"/>
    </row>
    <row r="579" spans="9:12" x14ac:dyDescent="0.2">
      <c r="I579" s="9"/>
      <c r="J579" s="9"/>
      <c r="K579" s="9"/>
      <c r="L579" s="9"/>
    </row>
    <row r="580" spans="9:12" x14ac:dyDescent="0.2">
      <c r="I580" s="9"/>
      <c r="J580" s="9"/>
      <c r="K580" s="9"/>
      <c r="L580" s="9"/>
    </row>
    <row r="581" spans="9:12" x14ac:dyDescent="0.2">
      <c r="I581" s="9"/>
      <c r="J581" s="9"/>
      <c r="K581" s="9"/>
      <c r="L581" s="9"/>
    </row>
    <row r="582" spans="9:12" x14ac:dyDescent="0.2">
      <c r="I582" s="9"/>
      <c r="J582" s="9"/>
      <c r="K582" s="9"/>
      <c r="L582" s="9"/>
    </row>
    <row r="583" spans="9:12" x14ac:dyDescent="0.2">
      <c r="I583" s="9"/>
      <c r="J583" s="9"/>
      <c r="K583" s="9"/>
      <c r="L583" s="9"/>
    </row>
    <row r="584" spans="9:12" x14ac:dyDescent="0.2">
      <c r="I584" s="9"/>
      <c r="J584" s="9"/>
      <c r="K584" s="9"/>
      <c r="L584" s="9"/>
    </row>
    <row r="585" spans="9:12" x14ac:dyDescent="0.2">
      <c r="I585" s="9"/>
      <c r="J585" s="9"/>
      <c r="K585" s="9"/>
      <c r="L585" s="9"/>
    </row>
    <row r="586" spans="9:12" x14ac:dyDescent="0.2">
      <c r="I586" s="9"/>
      <c r="J586" s="9"/>
      <c r="K586" s="9"/>
      <c r="L586" s="9"/>
    </row>
    <row r="587" spans="9:12" x14ac:dyDescent="0.2">
      <c r="I587" s="9"/>
      <c r="J587" s="9"/>
      <c r="K587" s="9"/>
      <c r="L587" s="9"/>
    </row>
    <row r="588" spans="9:12" x14ac:dyDescent="0.2">
      <c r="I588" s="9"/>
      <c r="J588" s="9"/>
      <c r="K588" s="9"/>
      <c r="L588" s="9"/>
    </row>
    <row r="589" spans="9:12" x14ac:dyDescent="0.2">
      <c r="I589" s="9"/>
      <c r="J589" s="9"/>
      <c r="K589" s="9"/>
      <c r="L589" s="9"/>
    </row>
    <row r="590" spans="9:12" x14ac:dyDescent="0.2">
      <c r="I590" s="9"/>
      <c r="J590" s="9"/>
      <c r="K590" s="9"/>
      <c r="L590" s="9"/>
    </row>
    <row r="591" spans="9:12" x14ac:dyDescent="0.2">
      <c r="I591" s="9"/>
      <c r="J591" s="9"/>
      <c r="K591" s="9"/>
      <c r="L591" s="9"/>
    </row>
    <row r="592" spans="9:12" x14ac:dyDescent="0.2">
      <c r="I592" s="9"/>
      <c r="J592" s="9"/>
      <c r="K592" s="9"/>
      <c r="L592" s="9"/>
    </row>
    <row r="593" spans="9:12" x14ac:dyDescent="0.2">
      <c r="I593" s="9"/>
      <c r="J593" s="9"/>
      <c r="K593" s="9"/>
      <c r="L593" s="9"/>
    </row>
    <row r="594" spans="9:12" x14ac:dyDescent="0.2">
      <c r="I594" s="9"/>
      <c r="J594" s="9"/>
      <c r="K594" s="9"/>
      <c r="L594" s="9"/>
    </row>
    <row r="595" spans="9:12" x14ac:dyDescent="0.2">
      <c r="I595" s="9"/>
      <c r="J595" s="9"/>
      <c r="K595" s="9"/>
      <c r="L595" s="9"/>
    </row>
    <row r="596" spans="9:12" x14ac:dyDescent="0.2">
      <c r="I596" s="9"/>
      <c r="J596" s="9"/>
      <c r="K596" s="9"/>
      <c r="L596" s="9"/>
    </row>
    <row r="597" spans="9:12" x14ac:dyDescent="0.2">
      <c r="I597" s="9"/>
      <c r="J597" s="9"/>
      <c r="K597" s="9"/>
      <c r="L597" s="9"/>
    </row>
    <row r="598" spans="9:12" x14ac:dyDescent="0.2">
      <c r="I598" s="9"/>
      <c r="J598" s="9"/>
      <c r="K598" s="9"/>
      <c r="L598" s="9"/>
    </row>
    <row r="599" spans="9:12" x14ac:dyDescent="0.2">
      <c r="I599" s="9"/>
      <c r="J599" s="9"/>
      <c r="K599" s="9"/>
      <c r="L599" s="9"/>
    </row>
    <row r="600" spans="9:12" x14ac:dyDescent="0.2">
      <c r="I600" s="9"/>
      <c r="J600" s="9"/>
      <c r="K600" s="9"/>
      <c r="L600" s="9"/>
    </row>
    <row r="601" spans="9:12" x14ac:dyDescent="0.2">
      <c r="I601" s="9"/>
      <c r="J601" s="9"/>
      <c r="K601" s="9"/>
      <c r="L601" s="9"/>
    </row>
    <row r="602" spans="9:12" x14ac:dyDescent="0.2">
      <c r="I602" s="9"/>
      <c r="J602" s="9"/>
      <c r="K602" s="9"/>
      <c r="L602" s="9"/>
    </row>
    <row r="603" spans="9:12" x14ac:dyDescent="0.2">
      <c r="I603" s="9"/>
      <c r="J603" s="9"/>
      <c r="K603" s="9"/>
      <c r="L603" s="9"/>
    </row>
    <row r="604" spans="9:12" x14ac:dyDescent="0.2">
      <c r="I604" s="9"/>
      <c r="J604" s="9"/>
      <c r="K604" s="9"/>
      <c r="L604" s="9"/>
    </row>
    <row r="605" spans="9:12" x14ac:dyDescent="0.2">
      <c r="I605" s="9"/>
      <c r="J605" s="9"/>
      <c r="K605" s="9"/>
      <c r="L605" s="9"/>
    </row>
    <row r="606" spans="9:12" x14ac:dyDescent="0.2">
      <c r="I606" s="9"/>
      <c r="J606" s="9"/>
      <c r="K606" s="9"/>
      <c r="L606" s="9"/>
    </row>
    <row r="607" spans="9:12" x14ac:dyDescent="0.2">
      <c r="I607" s="9"/>
      <c r="J607" s="9"/>
      <c r="K607" s="9"/>
      <c r="L607" s="9"/>
    </row>
    <row r="608" spans="9:12" x14ac:dyDescent="0.2">
      <c r="I608" s="9"/>
      <c r="J608" s="9"/>
      <c r="K608" s="9"/>
      <c r="L608" s="9"/>
    </row>
    <row r="609" spans="9:12" x14ac:dyDescent="0.2">
      <c r="I609" s="9"/>
      <c r="J609" s="9"/>
      <c r="K609" s="9"/>
      <c r="L609" s="9"/>
    </row>
    <row r="610" spans="9:12" x14ac:dyDescent="0.2">
      <c r="I610" s="9"/>
      <c r="J610" s="9"/>
      <c r="K610" s="9"/>
      <c r="L610" s="9"/>
    </row>
    <row r="611" spans="9:12" x14ac:dyDescent="0.2">
      <c r="I611" s="9"/>
      <c r="J611" s="9"/>
      <c r="K611" s="9"/>
      <c r="L611" s="9"/>
    </row>
    <row r="612" spans="9:12" x14ac:dyDescent="0.2">
      <c r="I612" s="9"/>
      <c r="J612" s="9"/>
      <c r="K612" s="9"/>
      <c r="L612" s="9"/>
    </row>
    <row r="613" spans="9:12" x14ac:dyDescent="0.2">
      <c r="I613" s="9"/>
      <c r="J613" s="9"/>
      <c r="K613" s="9"/>
      <c r="L613" s="9"/>
    </row>
    <row r="614" spans="9:12" x14ac:dyDescent="0.2">
      <c r="I614" s="9"/>
      <c r="J614" s="9"/>
      <c r="K614" s="9"/>
      <c r="L614" s="9"/>
    </row>
    <row r="615" spans="9:12" x14ac:dyDescent="0.2">
      <c r="I615" s="9"/>
      <c r="J615" s="9"/>
      <c r="K615" s="9"/>
      <c r="L615" s="9"/>
    </row>
    <row r="616" spans="9:12" x14ac:dyDescent="0.2">
      <c r="I616" s="9"/>
      <c r="J616" s="9"/>
      <c r="K616" s="9"/>
      <c r="L616" s="9"/>
    </row>
    <row r="617" spans="9:12" x14ac:dyDescent="0.2">
      <c r="I617" s="9"/>
      <c r="J617" s="9"/>
      <c r="K617" s="9"/>
      <c r="L617" s="9"/>
    </row>
    <row r="618" spans="9:12" x14ac:dyDescent="0.2">
      <c r="I618" s="9"/>
      <c r="J618" s="9"/>
      <c r="K618" s="9"/>
      <c r="L618" s="9"/>
    </row>
    <row r="619" spans="9:12" x14ac:dyDescent="0.2">
      <c r="I619" s="9"/>
      <c r="J619" s="9"/>
      <c r="K619" s="9"/>
      <c r="L619" s="9"/>
    </row>
    <row r="620" spans="9:12" x14ac:dyDescent="0.2">
      <c r="I620" s="9"/>
      <c r="J620" s="9"/>
      <c r="K620" s="9"/>
      <c r="L620" s="9"/>
    </row>
    <row r="621" spans="9:12" x14ac:dyDescent="0.2">
      <c r="I621" s="9"/>
      <c r="J621" s="9"/>
      <c r="K621" s="9"/>
      <c r="L621" s="9"/>
    </row>
    <row r="622" spans="9:12" x14ac:dyDescent="0.2">
      <c r="I622" s="9"/>
      <c r="J622" s="9"/>
      <c r="K622" s="9"/>
      <c r="L622" s="9"/>
    </row>
    <row r="623" spans="9:12" x14ac:dyDescent="0.2">
      <c r="I623" s="9"/>
      <c r="J623" s="9"/>
      <c r="K623" s="9"/>
      <c r="L623" s="9"/>
    </row>
    <row r="624" spans="9:12" x14ac:dyDescent="0.2">
      <c r="I624" s="9"/>
      <c r="J624" s="9"/>
      <c r="K624" s="9"/>
      <c r="L624" s="9"/>
    </row>
    <row r="625" spans="9:12" x14ac:dyDescent="0.2">
      <c r="I625" s="9"/>
      <c r="J625" s="9"/>
      <c r="K625" s="9"/>
      <c r="L625" s="9"/>
    </row>
    <row r="626" spans="9:12" x14ac:dyDescent="0.2">
      <c r="I626" s="9"/>
      <c r="J626" s="9"/>
      <c r="K626" s="9"/>
      <c r="L626" s="9"/>
    </row>
    <row r="627" spans="9:12" x14ac:dyDescent="0.2">
      <c r="I627" s="9"/>
      <c r="J627" s="9"/>
      <c r="K627" s="9"/>
      <c r="L627" s="9"/>
    </row>
    <row r="628" spans="9:12" x14ac:dyDescent="0.2">
      <c r="I628" s="9"/>
      <c r="J628" s="9"/>
      <c r="K628" s="9"/>
      <c r="L628" s="9"/>
    </row>
    <row r="629" spans="9:12" x14ac:dyDescent="0.2">
      <c r="I629" s="9"/>
      <c r="J629" s="9"/>
      <c r="K629" s="9"/>
      <c r="L629" s="9"/>
    </row>
    <row r="630" spans="9:12" x14ac:dyDescent="0.2">
      <c r="I630" s="9"/>
      <c r="J630" s="9"/>
      <c r="K630" s="9"/>
      <c r="L630" s="9"/>
    </row>
    <row r="631" spans="9:12" x14ac:dyDescent="0.2">
      <c r="I631" s="9"/>
      <c r="J631" s="9"/>
      <c r="K631" s="9"/>
      <c r="L631" s="9"/>
    </row>
    <row r="632" spans="9:12" x14ac:dyDescent="0.2">
      <c r="I632" s="9"/>
      <c r="J632" s="9"/>
      <c r="K632" s="9"/>
      <c r="L632" s="9"/>
    </row>
    <row r="633" spans="9:12" x14ac:dyDescent="0.2">
      <c r="I633" s="9"/>
      <c r="J633" s="9"/>
      <c r="K633" s="9"/>
      <c r="L633" s="9"/>
    </row>
    <row r="634" spans="9:12" x14ac:dyDescent="0.2">
      <c r="I634" s="9"/>
      <c r="J634" s="9"/>
      <c r="K634" s="9"/>
      <c r="L634" s="9"/>
    </row>
    <row r="635" spans="9:12" x14ac:dyDescent="0.2">
      <c r="I635" s="9"/>
      <c r="J635" s="9"/>
      <c r="K635" s="9"/>
      <c r="L635" s="9"/>
    </row>
    <row r="636" spans="9:12" x14ac:dyDescent="0.2">
      <c r="I636" s="9"/>
      <c r="J636" s="9"/>
      <c r="K636" s="9"/>
      <c r="L636" s="9"/>
    </row>
    <row r="637" spans="9:12" x14ac:dyDescent="0.2">
      <c r="I637" s="9"/>
      <c r="J637" s="9"/>
      <c r="K637" s="9"/>
      <c r="L637" s="9"/>
    </row>
    <row r="638" spans="9:12" x14ac:dyDescent="0.2">
      <c r="I638" s="9"/>
      <c r="J638" s="9"/>
      <c r="K638" s="9"/>
      <c r="L638" s="9"/>
    </row>
    <row r="639" spans="9:12" x14ac:dyDescent="0.2">
      <c r="I639" s="9"/>
      <c r="J639" s="9"/>
      <c r="K639" s="9"/>
      <c r="L639" s="9"/>
    </row>
    <row r="640" spans="9:12" x14ac:dyDescent="0.2">
      <c r="I640" s="9"/>
      <c r="J640" s="9"/>
      <c r="K640" s="9"/>
      <c r="L640" s="9"/>
    </row>
    <row r="641" spans="9:12" x14ac:dyDescent="0.2">
      <c r="I641" s="9"/>
      <c r="J641" s="9"/>
      <c r="K641" s="9"/>
      <c r="L641" s="9"/>
    </row>
    <row r="642" spans="9:12" x14ac:dyDescent="0.2">
      <c r="I642" s="9"/>
      <c r="J642" s="9"/>
      <c r="K642" s="9"/>
      <c r="L642" s="9"/>
    </row>
    <row r="643" spans="9:12" x14ac:dyDescent="0.2">
      <c r="I643" s="9"/>
      <c r="J643" s="9"/>
      <c r="K643" s="9"/>
      <c r="L643" s="9"/>
    </row>
    <row r="644" spans="9:12" x14ac:dyDescent="0.2">
      <c r="I644" s="9"/>
      <c r="J644" s="9"/>
      <c r="K644" s="9"/>
      <c r="L644" s="9"/>
    </row>
    <row r="645" spans="9:12" x14ac:dyDescent="0.2">
      <c r="I645" s="9"/>
      <c r="J645" s="9"/>
      <c r="K645" s="9"/>
      <c r="L645" s="9"/>
    </row>
    <row r="646" spans="9:12" x14ac:dyDescent="0.2">
      <c r="I646" s="9"/>
      <c r="J646" s="9"/>
      <c r="K646" s="9"/>
      <c r="L646" s="9"/>
    </row>
    <row r="647" spans="9:12" x14ac:dyDescent="0.2">
      <c r="I647" s="9"/>
      <c r="J647" s="9"/>
      <c r="K647" s="9"/>
      <c r="L647" s="9"/>
    </row>
    <row r="648" spans="9:12" x14ac:dyDescent="0.2">
      <c r="I648" s="9"/>
      <c r="J648" s="9"/>
      <c r="K648" s="9"/>
      <c r="L648" s="9"/>
    </row>
    <row r="649" spans="9:12" x14ac:dyDescent="0.2">
      <c r="I649" s="9"/>
      <c r="J649" s="9"/>
      <c r="K649" s="9"/>
      <c r="L649" s="9"/>
    </row>
    <row r="650" spans="9:12" x14ac:dyDescent="0.2">
      <c r="I650" s="9"/>
      <c r="J650" s="9"/>
      <c r="K650" s="9"/>
      <c r="L650" s="9"/>
    </row>
    <row r="651" spans="9:12" x14ac:dyDescent="0.2">
      <c r="I651" s="9"/>
      <c r="J651" s="9"/>
      <c r="K651" s="9"/>
      <c r="L651" s="9"/>
    </row>
    <row r="652" spans="9:12" x14ac:dyDescent="0.2">
      <c r="I652" s="9"/>
      <c r="J652" s="9"/>
      <c r="K652" s="9"/>
      <c r="L652" s="9"/>
    </row>
    <row r="653" spans="9:12" x14ac:dyDescent="0.2">
      <c r="I653" s="9"/>
      <c r="J653" s="9"/>
      <c r="K653" s="9"/>
      <c r="L653" s="9"/>
    </row>
    <row r="654" spans="9:12" x14ac:dyDescent="0.2">
      <c r="I654" s="9"/>
      <c r="J654" s="9"/>
      <c r="K654" s="9"/>
      <c r="L654" s="9"/>
    </row>
    <row r="655" spans="9:12" x14ac:dyDescent="0.2">
      <c r="I655" s="9"/>
      <c r="J655" s="9"/>
      <c r="K655" s="9"/>
      <c r="L655" s="9"/>
    </row>
    <row r="656" spans="9:12" x14ac:dyDescent="0.2">
      <c r="I656" s="9"/>
      <c r="J656" s="9"/>
      <c r="K656" s="9"/>
      <c r="L656" s="9"/>
    </row>
    <row r="657" spans="9:12" x14ac:dyDescent="0.2">
      <c r="I657" s="9"/>
      <c r="J657" s="9"/>
      <c r="K657" s="9"/>
      <c r="L657" s="9"/>
    </row>
    <row r="658" spans="9:12" x14ac:dyDescent="0.2">
      <c r="I658" s="9"/>
      <c r="J658" s="9"/>
      <c r="K658" s="9"/>
      <c r="L658" s="9"/>
    </row>
    <row r="659" spans="9:12" x14ac:dyDescent="0.2">
      <c r="I659" s="9"/>
      <c r="J659" s="9"/>
      <c r="K659" s="9"/>
      <c r="L659" s="9"/>
    </row>
    <row r="660" spans="9:12" x14ac:dyDescent="0.2">
      <c r="I660" s="9"/>
      <c r="J660" s="9"/>
      <c r="K660" s="9"/>
      <c r="L660" s="9"/>
    </row>
    <row r="661" spans="9:12" x14ac:dyDescent="0.2">
      <c r="I661" s="9"/>
      <c r="J661" s="9"/>
      <c r="K661" s="9"/>
      <c r="L661" s="9"/>
    </row>
    <row r="662" spans="9:12" x14ac:dyDescent="0.2">
      <c r="I662" s="9"/>
      <c r="J662" s="9"/>
      <c r="K662" s="9"/>
      <c r="L662" s="9"/>
    </row>
    <row r="663" spans="9:12" x14ac:dyDescent="0.2">
      <c r="I663" s="9"/>
      <c r="J663" s="9"/>
      <c r="K663" s="9"/>
      <c r="L663" s="9"/>
    </row>
    <row r="664" spans="9:12" x14ac:dyDescent="0.2">
      <c r="I664" s="9"/>
      <c r="J664" s="9"/>
      <c r="K664" s="9"/>
      <c r="L664" s="9"/>
    </row>
    <row r="665" spans="9:12" x14ac:dyDescent="0.2">
      <c r="I665" s="9"/>
      <c r="J665" s="9"/>
      <c r="K665" s="9"/>
      <c r="L665" s="9"/>
    </row>
    <row r="666" spans="9:12" x14ac:dyDescent="0.2">
      <c r="I666" s="9"/>
      <c r="J666" s="9"/>
      <c r="K666" s="9"/>
      <c r="L666" s="9"/>
    </row>
    <row r="667" spans="9:12" x14ac:dyDescent="0.2">
      <c r="I667" s="9"/>
      <c r="J667" s="9"/>
      <c r="K667" s="9"/>
      <c r="L667" s="9"/>
    </row>
    <row r="668" spans="9:12" x14ac:dyDescent="0.2">
      <c r="I668" s="9"/>
      <c r="J668" s="9"/>
      <c r="K668" s="9"/>
      <c r="L668" s="9"/>
    </row>
    <row r="669" spans="9:12" x14ac:dyDescent="0.2">
      <c r="I669" s="9"/>
      <c r="J669" s="9"/>
      <c r="K669" s="9"/>
      <c r="L669" s="9"/>
    </row>
    <row r="670" spans="9:12" x14ac:dyDescent="0.2">
      <c r="I670" s="9"/>
      <c r="J670" s="9"/>
      <c r="K670" s="9"/>
      <c r="L670" s="9"/>
    </row>
    <row r="671" spans="9:12" x14ac:dyDescent="0.2">
      <c r="I671" s="9"/>
      <c r="J671" s="9"/>
      <c r="K671" s="9"/>
      <c r="L671" s="9"/>
    </row>
    <row r="672" spans="9:12" x14ac:dyDescent="0.2">
      <c r="I672" s="9"/>
      <c r="J672" s="9"/>
      <c r="K672" s="9"/>
      <c r="L672" s="9"/>
    </row>
    <row r="673" spans="9:12" x14ac:dyDescent="0.2">
      <c r="I673" s="9"/>
      <c r="J673" s="9"/>
      <c r="K673" s="9"/>
      <c r="L673" s="9"/>
    </row>
    <row r="674" spans="9:12" x14ac:dyDescent="0.2">
      <c r="I674" s="9"/>
      <c r="J674" s="9"/>
      <c r="K674" s="9"/>
      <c r="L674" s="9"/>
    </row>
    <row r="675" spans="9:12" x14ac:dyDescent="0.2">
      <c r="I675" s="9"/>
      <c r="J675" s="9"/>
      <c r="K675" s="9"/>
      <c r="L675" s="9"/>
    </row>
    <row r="676" spans="9:12" x14ac:dyDescent="0.2">
      <c r="I676" s="9"/>
      <c r="J676" s="9"/>
      <c r="K676" s="9"/>
      <c r="L676" s="9"/>
    </row>
    <row r="677" spans="9:12" x14ac:dyDescent="0.2">
      <c r="I677" s="9"/>
      <c r="J677" s="9"/>
      <c r="K677" s="9"/>
      <c r="L677" s="9"/>
    </row>
    <row r="678" spans="9:12" x14ac:dyDescent="0.2">
      <c r="I678" s="9"/>
      <c r="J678" s="9"/>
      <c r="K678" s="9"/>
      <c r="L678" s="9"/>
    </row>
    <row r="679" spans="9:12" x14ac:dyDescent="0.2">
      <c r="I679" s="9"/>
      <c r="J679" s="9"/>
      <c r="K679" s="9"/>
      <c r="L679" s="9"/>
    </row>
    <row r="680" spans="9:12" x14ac:dyDescent="0.2">
      <c r="I680" s="9"/>
      <c r="J680" s="9"/>
      <c r="K680" s="9"/>
      <c r="L680" s="9"/>
    </row>
    <row r="681" spans="9:12" x14ac:dyDescent="0.2">
      <c r="I681" s="9"/>
      <c r="J681" s="9"/>
      <c r="K681" s="9"/>
      <c r="L681" s="9"/>
    </row>
    <row r="682" spans="9:12" x14ac:dyDescent="0.2">
      <c r="I682" s="9"/>
      <c r="J682" s="9"/>
      <c r="K682" s="9"/>
      <c r="L682" s="9"/>
    </row>
    <row r="683" spans="9:12" x14ac:dyDescent="0.2">
      <c r="I683" s="9"/>
      <c r="J683" s="9"/>
      <c r="K683" s="9"/>
      <c r="L683" s="9"/>
    </row>
    <row r="684" spans="9:12" x14ac:dyDescent="0.2">
      <c r="I684" s="9"/>
      <c r="J684" s="9"/>
      <c r="K684" s="9"/>
      <c r="L684" s="9"/>
    </row>
    <row r="685" spans="9:12" x14ac:dyDescent="0.2">
      <c r="I685" s="9"/>
      <c r="J685" s="9"/>
      <c r="K685" s="9"/>
      <c r="L685" s="9"/>
    </row>
    <row r="686" spans="9:12" x14ac:dyDescent="0.2">
      <c r="I686" s="9"/>
      <c r="J686" s="9"/>
      <c r="K686" s="9"/>
      <c r="L686" s="9"/>
    </row>
    <row r="687" spans="9:12" x14ac:dyDescent="0.2">
      <c r="I687" s="9"/>
      <c r="J687" s="9"/>
      <c r="K687" s="9"/>
      <c r="L687" s="9"/>
    </row>
    <row r="688" spans="9:12" x14ac:dyDescent="0.2">
      <c r="I688" s="9"/>
      <c r="J688" s="9"/>
      <c r="K688" s="9"/>
      <c r="L688" s="9"/>
    </row>
    <row r="689" spans="9:12" x14ac:dyDescent="0.2">
      <c r="I689" s="9"/>
      <c r="J689" s="9"/>
      <c r="K689" s="9"/>
      <c r="L689" s="9"/>
    </row>
    <row r="690" spans="9:12" x14ac:dyDescent="0.2">
      <c r="I690" s="9"/>
      <c r="J690" s="9"/>
      <c r="K690" s="9"/>
      <c r="L690" s="9"/>
    </row>
    <row r="691" spans="9:12" x14ac:dyDescent="0.2">
      <c r="I691" s="9"/>
      <c r="J691" s="9"/>
      <c r="K691" s="9"/>
      <c r="L691" s="9"/>
    </row>
    <row r="692" spans="9:12" x14ac:dyDescent="0.2">
      <c r="I692" s="9"/>
      <c r="J692" s="9"/>
      <c r="K692" s="9"/>
      <c r="L692" s="9"/>
    </row>
    <row r="693" spans="9:12" x14ac:dyDescent="0.2">
      <c r="I693" s="9"/>
      <c r="J693" s="9"/>
      <c r="K693" s="9"/>
      <c r="L693" s="9"/>
    </row>
    <row r="694" spans="9:12" x14ac:dyDescent="0.2">
      <c r="I694" s="9"/>
      <c r="J694" s="9"/>
      <c r="K694" s="9"/>
      <c r="L694" s="9"/>
    </row>
    <row r="695" spans="9:12" x14ac:dyDescent="0.2">
      <c r="I695" s="9"/>
      <c r="J695" s="9"/>
      <c r="K695" s="9"/>
      <c r="L695" s="9"/>
    </row>
    <row r="696" spans="9:12" x14ac:dyDescent="0.2">
      <c r="I696" s="9"/>
      <c r="J696" s="9"/>
      <c r="K696" s="9"/>
      <c r="L696" s="9"/>
    </row>
    <row r="697" spans="9:12" x14ac:dyDescent="0.2">
      <c r="I697" s="9"/>
      <c r="J697" s="9"/>
      <c r="K697" s="9"/>
      <c r="L697" s="9"/>
    </row>
    <row r="698" spans="9:12" x14ac:dyDescent="0.2">
      <c r="I698" s="9"/>
      <c r="J698" s="9"/>
      <c r="K698" s="9"/>
      <c r="L698" s="9"/>
    </row>
    <row r="699" spans="9:12" x14ac:dyDescent="0.2">
      <c r="I699" s="9"/>
      <c r="J699" s="9"/>
      <c r="K699" s="9"/>
      <c r="L699" s="9"/>
    </row>
    <row r="700" spans="9:12" x14ac:dyDescent="0.2">
      <c r="I700" s="9"/>
      <c r="J700" s="9"/>
      <c r="K700" s="9"/>
      <c r="L700" s="9"/>
    </row>
    <row r="701" spans="9:12" x14ac:dyDescent="0.2">
      <c r="I701" s="9"/>
      <c r="J701" s="9"/>
      <c r="K701" s="9"/>
      <c r="L701" s="9"/>
    </row>
    <row r="702" spans="9:12" x14ac:dyDescent="0.2">
      <c r="I702" s="9"/>
      <c r="J702" s="9"/>
      <c r="K702" s="9"/>
      <c r="L702" s="9"/>
    </row>
    <row r="703" spans="9:12" x14ac:dyDescent="0.2">
      <c r="I703" s="9"/>
      <c r="J703" s="9"/>
      <c r="K703" s="9"/>
      <c r="L703" s="9"/>
    </row>
    <row r="704" spans="9:12" x14ac:dyDescent="0.2">
      <c r="I704" s="9"/>
      <c r="J704" s="9"/>
      <c r="K704" s="9"/>
      <c r="L704" s="9"/>
    </row>
    <row r="705" spans="9:12" x14ac:dyDescent="0.2">
      <c r="I705" s="9"/>
      <c r="J705" s="9"/>
      <c r="K705" s="9"/>
      <c r="L705" s="9"/>
    </row>
    <row r="706" spans="9:12" x14ac:dyDescent="0.2">
      <c r="I706" s="9"/>
      <c r="J706" s="9"/>
      <c r="K706" s="9"/>
      <c r="L706" s="9"/>
    </row>
    <row r="707" spans="9:12" x14ac:dyDescent="0.2">
      <c r="I707" s="9"/>
      <c r="J707" s="9"/>
      <c r="K707" s="9"/>
      <c r="L707" s="9"/>
    </row>
    <row r="708" spans="9:12" x14ac:dyDescent="0.2">
      <c r="I708" s="9"/>
      <c r="J708" s="9"/>
      <c r="K708" s="9"/>
      <c r="L708" s="9"/>
    </row>
    <row r="709" spans="9:12" x14ac:dyDescent="0.2">
      <c r="I709" s="9"/>
      <c r="J709" s="9"/>
      <c r="K709" s="9"/>
      <c r="L709" s="9"/>
    </row>
    <row r="710" spans="9:12" x14ac:dyDescent="0.2">
      <c r="I710" s="9"/>
      <c r="J710" s="9"/>
      <c r="K710" s="9"/>
      <c r="L710" s="9"/>
    </row>
    <row r="711" spans="9:12" x14ac:dyDescent="0.2">
      <c r="I711" s="9"/>
      <c r="J711" s="9"/>
      <c r="K711" s="9"/>
      <c r="L711" s="9"/>
    </row>
    <row r="712" spans="9:12" x14ac:dyDescent="0.2">
      <c r="I712" s="9"/>
      <c r="J712" s="9"/>
      <c r="K712" s="9"/>
      <c r="L712" s="9"/>
    </row>
    <row r="713" spans="9:12" x14ac:dyDescent="0.2">
      <c r="I713" s="9"/>
      <c r="J713" s="9"/>
      <c r="K713" s="9"/>
      <c r="L713" s="9"/>
    </row>
    <row r="714" spans="9:12" x14ac:dyDescent="0.2">
      <c r="I714" s="9"/>
      <c r="J714" s="9"/>
      <c r="K714" s="9"/>
      <c r="L714" s="9"/>
    </row>
    <row r="715" spans="9:12" x14ac:dyDescent="0.2">
      <c r="I715" s="9"/>
      <c r="J715" s="9"/>
      <c r="K715" s="9"/>
      <c r="L715" s="9"/>
    </row>
    <row r="716" spans="9:12" x14ac:dyDescent="0.2">
      <c r="I716" s="9"/>
      <c r="J716" s="9"/>
      <c r="K716" s="9"/>
      <c r="L716" s="9"/>
    </row>
    <row r="717" spans="9:12" x14ac:dyDescent="0.2">
      <c r="I717" s="9"/>
      <c r="J717" s="9"/>
      <c r="K717" s="9"/>
      <c r="L717" s="9"/>
    </row>
    <row r="718" spans="9:12" x14ac:dyDescent="0.2">
      <c r="I718" s="9"/>
      <c r="J718" s="9"/>
      <c r="K718" s="9"/>
      <c r="L718" s="9"/>
    </row>
    <row r="719" spans="9:12" x14ac:dyDescent="0.2">
      <c r="I719" s="9"/>
      <c r="J719" s="9"/>
      <c r="K719" s="9"/>
      <c r="L719" s="9"/>
    </row>
    <row r="720" spans="9:12" x14ac:dyDescent="0.2">
      <c r="I720" s="9"/>
      <c r="J720" s="9"/>
      <c r="K720" s="9"/>
      <c r="L720" s="9"/>
    </row>
    <row r="721" spans="9:12" x14ac:dyDescent="0.2">
      <c r="I721" s="9"/>
      <c r="J721" s="9"/>
      <c r="K721" s="9"/>
      <c r="L721" s="9"/>
    </row>
    <row r="722" spans="9:12" x14ac:dyDescent="0.2">
      <c r="I722" s="9"/>
      <c r="J722" s="9"/>
      <c r="K722" s="9"/>
      <c r="L722" s="9"/>
    </row>
    <row r="723" spans="9:12" x14ac:dyDescent="0.2">
      <c r="I723" s="9"/>
      <c r="J723" s="9"/>
      <c r="K723" s="9"/>
      <c r="L723" s="9"/>
    </row>
    <row r="724" spans="9:12" x14ac:dyDescent="0.2">
      <c r="I724" s="9"/>
      <c r="J724" s="9"/>
      <c r="K724" s="9"/>
      <c r="L724" s="9"/>
    </row>
    <row r="725" spans="9:12" x14ac:dyDescent="0.2">
      <c r="I725" s="9"/>
      <c r="J725" s="9"/>
      <c r="K725" s="9"/>
      <c r="L725" s="9"/>
    </row>
    <row r="726" spans="9:12" x14ac:dyDescent="0.2">
      <c r="I726" s="9"/>
      <c r="J726" s="9"/>
      <c r="K726" s="9"/>
      <c r="L726" s="9"/>
    </row>
    <row r="727" spans="9:12" x14ac:dyDescent="0.2">
      <c r="I727" s="9"/>
      <c r="J727" s="9"/>
      <c r="K727" s="9"/>
      <c r="L727" s="9"/>
    </row>
    <row r="728" spans="9:12" x14ac:dyDescent="0.2">
      <c r="I728" s="9"/>
      <c r="J728" s="9"/>
      <c r="K728" s="9"/>
      <c r="L728" s="9"/>
    </row>
    <row r="729" spans="9:12" x14ac:dyDescent="0.2">
      <c r="I729" s="9"/>
      <c r="J729" s="9"/>
      <c r="K729" s="9"/>
      <c r="L729" s="9"/>
    </row>
    <row r="730" spans="9:12" x14ac:dyDescent="0.2">
      <c r="I730" s="9"/>
      <c r="J730" s="9"/>
      <c r="K730" s="9"/>
      <c r="L730" s="9"/>
    </row>
    <row r="731" spans="9:12" x14ac:dyDescent="0.2">
      <c r="I731" s="9"/>
      <c r="J731" s="9"/>
      <c r="K731" s="9"/>
      <c r="L731" s="9"/>
    </row>
    <row r="732" spans="9:12" x14ac:dyDescent="0.2">
      <c r="I732" s="9"/>
      <c r="J732" s="9"/>
      <c r="K732" s="9"/>
      <c r="L732" s="9"/>
    </row>
    <row r="733" spans="9:12" x14ac:dyDescent="0.2">
      <c r="I733" s="9"/>
      <c r="J733" s="9"/>
      <c r="K733" s="9"/>
      <c r="L733" s="9"/>
    </row>
    <row r="734" spans="9:12" x14ac:dyDescent="0.2">
      <c r="I734" s="9"/>
      <c r="J734" s="9"/>
      <c r="K734" s="9"/>
      <c r="L734" s="9"/>
    </row>
    <row r="735" spans="9:12" x14ac:dyDescent="0.2">
      <c r="I735" s="9"/>
      <c r="J735" s="9"/>
      <c r="K735" s="9"/>
      <c r="L735" s="9"/>
    </row>
    <row r="736" spans="9:12" x14ac:dyDescent="0.2">
      <c r="I736" s="9"/>
      <c r="J736" s="9"/>
      <c r="K736" s="9"/>
      <c r="L736" s="9"/>
    </row>
    <row r="737" spans="9:12" x14ac:dyDescent="0.2">
      <c r="I737" s="9"/>
      <c r="J737" s="9"/>
      <c r="K737" s="9"/>
      <c r="L737" s="9"/>
    </row>
    <row r="738" spans="9:12" x14ac:dyDescent="0.2">
      <c r="I738" s="9"/>
      <c r="J738" s="9"/>
      <c r="K738" s="9"/>
      <c r="L738" s="9"/>
    </row>
    <row r="739" spans="9:12" x14ac:dyDescent="0.2">
      <c r="I739" s="9"/>
      <c r="J739" s="9"/>
      <c r="K739" s="9"/>
      <c r="L739" s="9"/>
    </row>
    <row r="740" spans="9:12" x14ac:dyDescent="0.2">
      <c r="I740" s="9"/>
      <c r="J740" s="9"/>
      <c r="K740" s="9"/>
      <c r="L740" s="9"/>
    </row>
    <row r="741" spans="9:12" x14ac:dyDescent="0.2">
      <c r="I741" s="9"/>
      <c r="J741" s="9"/>
      <c r="K741" s="9"/>
      <c r="L741" s="9"/>
    </row>
    <row r="742" spans="9:12" x14ac:dyDescent="0.2">
      <c r="I742" s="9"/>
      <c r="J742" s="9"/>
      <c r="K742" s="9"/>
      <c r="L742" s="9"/>
    </row>
    <row r="743" spans="9:12" x14ac:dyDescent="0.2">
      <c r="I743" s="9"/>
      <c r="J743" s="9"/>
      <c r="K743" s="9"/>
      <c r="L743" s="9"/>
    </row>
    <row r="744" spans="9:12" x14ac:dyDescent="0.2">
      <c r="I744" s="9"/>
      <c r="J744" s="9"/>
      <c r="K744" s="9"/>
      <c r="L744" s="9"/>
    </row>
    <row r="745" spans="9:12" x14ac:dyDescent="0.2">
      <c r="I745" s="9"/>
      <c r="J745" s="9"/>
      <c r="K745" s="9"/>
      <c r="L745" s="9"/>
    </row>
    <row r="746" spans="9:12" x14ac:dyDescent="0.2">
      <c r="I746" s="9"/>
      <c r="J746" s="9"/>
      <c r="K746" s="9"/>
      <c r="L746" s="9"/>
    </row>
    <row r="747" spans="9:12" x14ac:dyDescent="0.2">
      <c r="I747" s="9"/>
      <c r="J747" s="9"/>
      <c r="K747" s="9"/>
      <c r="L747" s="9"/>
    </row>
    <row r="748" spans="9:12" x14ac:dyDescent="0.2">
      <c r="I748" s="9"/>
      <c r="J748" s="9"/>
      <c r="K748" s="9"/>
      <c r="L748" s="9"/>
    </row>
    <row r="749" spans="9:12" x14ac:dyDescent="0.2">
      <c r="I749" s="9"/>
      <c r="J749" s="9"/>
      <c r="K749" s="9"/>
      <c r="L749" s="9"/>
    </row>
    <row r="750" spans="9:12" x14ac:dyDescent="0.2">
      <c r="I750" s="9"/>
      <c r="J750" s="9"/>
      <c r="K750" s="9"/>
      <c r="L750" s="9"/>
    </row>
    <row r="751" spans="9:12" x14ac:dyDescent="0.2">
      <c r="I751" s="9"/>
      <c r="J751" s="9"/>
      <c r="K751" s="9"/>
      <c r="L751" s="9"/>
    </row>
    <row r="752" spans="9:12" x14ac:dyDescent="0.2">
      <c r="I752" s="9"/>
      <c r="J752" s="9"/>
      <c r="K752" s="9"/>
      <c r="L752" s="9"/>
    </row>
    <row r="753" spans="9:12" x14ac:dyDescent="0.2">
      <c r="I753" s="9"/>
      <c r="J753" s="9"/>
      <c r="K753" s="9"/>
      <c r="L753" s="9"/>
    </row>
    <row r="754" spans="9:12" x14ac:dyDescent="0.2">
      <c r="I754" s="9"/>
      <c r="J754" s="9"/>
      <c r="K754" s="9"/>
      <c r="L754" s="9"/>
    </row>
    <row r="755" spans="9:12" x14ac:dyDescent="0.2">
      <c r="I755" s="9"/>
      <c r="J755" s="9"/>
      <c r="K755" s="9"/>
      <c r="L755" s="9"/>
    </row>
    <row r="756" spans="9:12" x14ac:dyDescent="0.2">
      <c r="I756" s="9"/>
      <c r="J756" s="9"/>
      <c r="K756" s="9"/>
      <c r="L756" s="9"/>
    </row>
    <row r="757" spans="9:12" x14ac:dyDescent="0.2">
      <c r="I757" s="9"/>
      <c r="J757" s="9"/>
      <c r="K757" s="9"/>
      <c r="L757" s="9"/>
    </row>
    <row r="758" spans="9:12" x14ac:dyDescent="0.2">
      <c r="I758" s="9"/>
      <c r="J758" s="9"/>
      <c r="K758" s="9"/>
      <c r="L758" s="9"/>
    </row>
    <row r="759" spans="9:12" x14ac:dyDescent="0.2">
      <c r="I759" s="9"/>
      <c r="J759" s="9"/>
      <c r="K759" s="9"/>
      <c r="L759" s="9"/>
    </row>
    <row r="760" spans="9:12" x14ac:dyDescent="0.2">
      <c r="I760" s="9"/>
      <c r="J760" s="9"/>
      <c r="K760" s="9"/>
      <c r="L760" s="9"/>
    </row>
    <row r="761" spans="9:12" x14ac:dyDescent="0.2">
      <c r="I761" s="9"/>
      <c r="J761" s="9"/>
      <c r="K761" s="9"/>
      <c r="L761" s="9"/>
    </row>
    <row r="762" spans="9:12" x14ac:dyDescent="0.2">
      <c r="I762" s="9"/>
      <c r="J762" s="9"/>
      <c r="K762" s="9"/>
      <c r="L762" s="9"/>
    </row>
    <row r="763" spans="9:12" x14ac:dyDescent="0.2">
      <c r="I763" s="9"/>
      <c r="J763" s="9"/>
      <c r="K763" s="9"/>
      <c r="L763" s="9"/>
    </row>
    <row r="764" spans="9:12" x14ac:dyDescent="0.2">
      <c r="I764" s="9"/>
      <c r="J764" s="9"/>
      <c r="K764" s="9"/>
      <c r="L764" s="9"/>
    </row>
    <row r="765" spans="9:12" x14ac:dyDescent="0.2">
      <c r="I765" s="9"/>
      <c r="J765" s="9"/>
      <c r="K765" s="9"/>
      <c r="L765" s="9"/>
    </row>
    <row r="766" spans="9:12" x14ac:dyDescent="0.2">
      <c r="I766" s="9"/>
      <c r="J766" s="9"/>
      <c r="K766" s="9"/>
      <c r="L766" s="9"/>
    </row>
    <row r="767" spans="9:12" x14ac:dyDescent="0.2">
      <c r="I767" s="9"/>
      <c r="J767" s="9"/>
      <c r="K767" s="9"/>
      <c r="L767" s="9"/>
    </row>
    <row r="768" spans="9:12" x14ac:dyDescent="0.2">
      <c r="I768" s="9"/>
      <c r="J768" s="9"/>
      <c r="K768" s="9"/>
      <c r="L768" s="9"/>
    </row>
    <row r="769" spans="9:12" x14ac:dyDescent="0.2">
      <c r="I769" s="9"/>
      <c r="J769" s="9"/>
      <c r="K769" s="9"/>
      <c r="L769" s="9"/>
    </row>
    <row r="770" spans="9:12" x14ac:dyDescent="0.2">
      <c r="I770" s="9"/>
      <c r="J770" s="9"/>
      <c r="K770" s="9"/>
      <c r="L770" s="9"/>
    </row>
    <row r="771" spans="9:12" x14ac:dyDescent="0.2">
      <c r="I771" s="9"/>
      <c r="J771" s="9"/>
      <c r="K771" s="9"/>
      <c r="L771" s="9"/>
    </row>
    <row r="772" spans="9:12" x14ac:dyDescent="0.2">
      <c r="I772" s="9"/>
      <c r="J772" s="9"/>
      <c r="K772" s="9"/>
      <c r="L772" s="9"/>
    </row>
    <row r="773" spans="9:12" x14ac:dyDescent="0.2">
      <c r="I773" s="9"/>
      <c r="J773" s="9"/>
      <c r="K773" s="9"/>
      <c r="L773" s="9"/>
    </row>
    <row r="774" spans="9:12" x14ac:dyDescent="0.2">
      <c r="I774" s="9"/>
      <c r="J774" s="9"/>
      <c r="K774" s="9"/>
      <c r="L774" s="9"/>
    </row>
    <row r="775" spans="9:12" x14ac:dyDescent="0.2">
      <c r="I775" s="9"/>
      <c r="J775" s="9"/>
      <c r="K775" s="9"/>
      <c r="L775" s="9"/>
    </row>
    <row r="776" spans="9:12" x14ac:dyDescent="0.2">
      <c r="I776" s="9"/>
      <c r="J776" s="9"/>
      <c r="K776" s="9"/>
      <c r="L776" s="9"/>
    </row>
    <row r="777" spans="9:12" x14ac:dyDescent="0.2">
      <c r="I777" s="9"/>
      <c r="J777" s="9"/>
      <c r="K777" s="9"/>
      <c r="L777" s="9"/>
    </row>
    <row r="778" spans="9:12" x14ac:dyDescent="0.2">
      <c r="I778" s="9"/>
      <c r="J778" s="9"/>
      <c r="K778" s="9"/>
      <c r="L778" s="9"/>
    </row>
    <row r="779" spans="9:12" x14ac:dyDescent="0.2">
      <c r="I779" s="9"/>
      <c r="J779" s="9"/>
      <c r="K779" s="9"/>
      <c r="L779" s="9"/>
    </row>
    <row r="780" spans="9:12" x14ac:dyDescent="0.2">
      <c r="I780" s="9"/>
      <c r="J780" s="9"/>
      <c r="K780" s="9"/>
      <c r="L780" s="9"/>
    </row>
    <row r="781" spans="9:12" x14ac:dyDescent="0.2">
      <c r="I781" s="9"/>
      <c r="J781" s="9"/>
      <c r="K781" s="9"/>
      <c r="L781" s="9"/>
    </row>
    <row r="782" spans="9:12" x14ac:dyDescent="0.2">
      <c r="I782" s="9"/>
      <c r="J782" s="9"/>
      <c r="K782" s="9"/>
      <c r="L782" s="9"/>
    </row>
    <row r="783" spans="9:12" x14ac:dyDescent="0.2">
      <c r="I783" s="9"/>
      <c r="J783" s="9"/>
      <c r="K783" s="9"/>
      <c r="L783" s="9"/>
    </row>
    <row r="784" spans="9:12" x14ac:dyDescent="0.2">
      <c r="I784" s="9"/>
      <c r="J784" s="9"/>
      <c r="K784" s="9"/>
      <c r="L784" s="9"/>
    </row>
    <row r="785" spans="9:12" x14ac:dyDescent="0.2">
      <c r="I785" s="9"/>
      <c r="J785" s="9"/>
      <c r="K785" s="9"/>
      <c r="L785" s="9"/>
    </row>
    <row r="786" spans="9:12" x14ac:dyDescent="0.2">
      <c r="I786" s="9"/>
      <c r="J786" s="9"/>
      <c r="K786" s="9"/>
      <c r="L786" s="9"/>
    </row>
    <row r="787" spans="9:12" x14ac:dyDescent="0.2">
      <c r="I787" s="9"/>
      <c r="J787" s="9"/>
      <c r="K787" s="9"/>
      <c r="L787" s="9"/>
    </row>
    <row r="788" spans="9:12" x14ac:dyDescent="0.2">
      <c r="I788" s="9"/>
      <c r="J788" s="9"/>
      <c r="K788" s="9"/>
      <c r="L788" s="9"/>
    </row>
    <row r="789" spans="9:12" x14ac:dyDescent="0.2">
      <c r="I789" s="9"/>
      <c r="J789" s="9"/>
      <c r="K789" s="9"/>
      <c r="L789" s="9"/>
    </row>
    <row r="790" spans="9:12" x14ac:dyDescent="0.2">
      <c r="I790" s="9"/>
      <c r="J790" s="9"/>
      <c r="K790" s="9"/>
      <c r="L790" s="9"/>
    </row>
    <row r="791" spans="9:12" x14ac:dyDescent="0.2">
      <c r="I791" s="9"/>
      <c r="J791" s="9"/>
      <c r="K791" s="9"/>
      <c r="L791" s="9"/>
    </row>
    <row r="792" spans="9:12" x14ac:dyDescent="0.2">
      <c r="I792" s="9"/>
      <c r="J792" s="9"/>
      <c r="K792" s="9"/>
      <c r="L792" s="9"/>
    </row>
    <row r="793" spans="9:12" x14ac:dyDescent="0.2">
      <c r="I793" s="9"/>
      <c r="J793" s="9"/>
      <c r="K793" s="9"/>
      <c r="L793" s="9"/>
    </row>
    <row r="794" spans="9:12" x14ac:dyDescent="0.2">
      <c r="I794" s="9"/>
      <c r="J794" s="9"/>
      <c r="K794" s="9"/>
      <c r="L794" s="9"/>
    </row>
    <row r="795" spans="9:12" x14ac:dyDescent="0.2">
      <c r="I795" s="9"/>
      <c r="J795" s="9"/>
      <c r="K795" s="9"/>
      <c r="L795" s="9"/>
    </row>
    <row r="796" spans="9:12" x14ac:dyDescent="0.2">
      <c r="I796" s="9"/>
      <c r="J796" s="9"/>
      <c r="K796" s="9"/>
      <c r="L796" s="9"/>
    </row>
    <row r="797" spans="9:12" x14ac:dyDescent="0.2">
      <c r="I797" s="9"/>
      <c r="J797" s="9"/>
      <c r="K797" s="9"/>
      <c r="L797" s="9"/>
    </row>
    <row r="798" spans="9:12" x14ac:dyDescent="0.2">
      <c r="I798" s="9"/>
      <c r="J798" s="9"/>
      <c r="K798" s="9"/>
      <c r="L798" s="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240807B008</vt:lpstr>
      <vt:lpstr>240807B009</vt:lpstr>
      <vt:lpstr>240807B011</vt:lpstr>
      <vt:lpstr>240807B012</vt:lpstr>
      <vt:lpstr>240807B014</vt:lpstr>
      <vt:lpstr>240807B015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Breanna Walsh</cp:lastModifiedBy>
  <dcterms:created xsi:type="dcterms:W3CDTF">2024-07-26T18:06:04Z</dcterms:created>
  <dcterms:modified xsi:type="dcterms:W3CDTF">2024-08-08T06:09:39Z</dcterms:modified>
</cp:coreProperties>
</file>