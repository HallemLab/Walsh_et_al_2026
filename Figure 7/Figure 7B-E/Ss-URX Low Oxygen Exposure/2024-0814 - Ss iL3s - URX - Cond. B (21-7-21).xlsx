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URX/2024-0814/"/>
    </mc:Choice>
  </mc:AlternateContent>
  <xr:revisionPtr revIDLastSave="0" documentId="13_ncr:1_{EFF9D126-D34E-114F-913E-BFB8AE8D6035}" xr6:coauthVersionLast="47" xr6:coauthVersionMax="47" xr10:uidLastSave="{00000000-0000-0000-0000-000000000000}"/>
  <bookViews>
    <workbookView xWindow="740" yWindow="500" windowWidth="28060" windowHeight="15620" activeTab="4" xr2:uid="{703F31A7-3FB6-4B05-8EA8-379C6E25ED1D}"/>
  </bookViews>
  <sheets>
    <sheet name="240814B001" sheetId="1" r:id="rId1"/>
    <sheet name="240814B002" sheetId="2" r:id="rId2"/>
    <sheet name="240814B003" sheetId="3" r:id="rId3"/>
    <sheet name="240814B004" sheetId="4" r:id="rId4"/>
    <sheet name="240814B005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5" l="1"/>
  <c r="I322" i="5"/>
  <c r="K322" i="5" s="1"/>
  <c r="L322" i="5" s="1"/>
  <c r="J321" i="5"/>
  <c r="I321" i="5"/>
  <c r="K321" i="5" s="1"/>
  <c r="J320" i="5"/>
  <c r="I320" i="5"/>
  <c r="K320" i="5" s="1"/>
  <c r="L320" i="5" s="1"/>
  <c r="V102" i="5" s="1"/>
  <c r="J319" i="5"/>
  <c r="I319" i="5"/>
  <c r="K319" i="5" s="1"/>
  <c r="J318" i="5"/>
  <c r="I318" i="5"/>
  <c r="K318" i="5" s="1"/>
  <c r="J317" i="5"/>
  <c r="I317" i="5"/>
  <c r="K317" i="5" s="1"/>
  <c r="J316" i="5"/>
  <c r="I316" i="5"/>
  <c r="K316" i="5" s="1"/>
  <c r="L316" i="5" s="1"/>
  <c r="V98" i="5" s="1"/>
  <c r="J315" i="5"/>
  <c r="I315" i="5"/>
  <c r="K315" i="5" s="1"/>
  <c r="J314" i="5"/>
  <c r="I314" i="5"/>
  <c r="K314" i="5" s="1"/>
  <c r="L314" i="5" s="1"/>
  <c r="J313" i="5"/>
  <c r="I313" i="5"/>
  <c r="K313" i="5" s="1"/>
  <c r="J312" i="5"/>
  <c r="I312" i="5"/>
  <c r="K312" i="5" s="1"/>
  <c r="J311" i="5"/>
  <c r="I311" i="5"/>
  <c r="K311" i="5" s="1"/>
  <c r="J310" i="5"/>
  <c r="I310" i="5"/>
  <c r="K310" i="5" s="1"/>
  <c r="J309" i="5"/>
  <c r="I309" i="5"/>
  <c r="K309" i="5" s="1"/>
  <c r="J308" i="5"/>
  <c r="I308" i="5"/>
  <c r="K308" i="5" s="1"/>
  <c r="L308" i="5" s="1"/>
  <c r="V90" i="5" s="1"/>
  <c r="J307" i="5"/>
  <c r="I307" i="5"/>
  <c r="K307" i="5" s="1"/>
  <c r="J306" i="5"/>
  <c r="I306" i="5"/>
  <c r="K306" i="5" s="1"/>
  <c r="J305" i="5"/>
  <c r="I305" i="5"/>
  <c r="K305" i="5" s="1"/>
  <c r="J304" i="5"/>
  <c r="I304" i="5"/>
  <c r="K304" i="5" s="1"/>
  <c r="J303" i="5"/>
  <c r="I303" i="5"/>
  <c r="K303" i="5" s="1"/>
  <c r="J302" i="5"/>
  <c r="I302" i="5"/>
  <c r="K302" i="5" s="1"/>
  <c r="L302" i="5" s="1"/>
  <c r="J301" i="5"/>
  <c r="I301" i="5"/>
  <c r="K301" i="5" s="1"/>
  <c r="J300" i="5"/>
  <c r="I300" i="5"/>
  <c r="K300" i="5" s="1"/>
  <c r="L300" i="5" s="1"/>
  <c r="J299" i="5"/>
  <c r="I299" i="5"/>
  <c r="K299" i="5" s="1"/>
  <c r="J298" i="5"/>
  <c r="I298" i="5"/>
  <c r="K298" i="5" s="1"/>
  <c r="L298" i="5" s="1"/>
  <c r="J297" i="5"/>
  <c r="I297" i="5"/>
  <c r="K297" i="5" s="1"/>
  <c r="J296" i="5"/>
  <c r="I296" i="5"/>
  <c r="K296" i="5" s="1"/>
  <c r="L296" i="5" s="1"/>
  <c r="J295" i="5"/>
  <c r="I295" i="5"/>
  <c r="K295" i="5" s="1"/>
  <c r="J294" i="5"/>
  <c r="I294" i="5"/>
  <c r="K294" i="5" s="1"/>
  <c r="J293" i="5"/>
  <c r="I293" i="5"/>
  <c r="K293" i="5" s="1"/>
  <c r="J292" i="5"/>
  <c r="I292" i="5"/>
  <c r="K292" i="5" s="1"/>
  <c r="J291" i="5"/>
  <c r="I291" i="5"/>
  <c r="K291" i="5" s="1"/>
  <c r="J290" i="5"/>
  <c r="I290" i="5"/>
  <c r="K290" i="5" s="1"/>
  <c r="J289" i="5"/>
  <c r="I289" i="5"/>
  <c r="K289" i="5" s="1"/>
  <c r="J288" i="5"/>
  <c r="I288" i="5"/>
  <c r="K288" i="5" s="1"/>
  <c r="J287" i="5"/>
  <c r="I287" i="5"/>
  <c r="K287" i="5" s="1"/>
  <c r="J286" i="5"/>
  <c r="I286" i="5"/>
  <c r="K286" i="5" s="1"/>
  <c r="J285" i="5"/>
  <c r="I285" i="5"/>
  <c r="K285" i="5" s="1"/>
  <c r="J284" i="5"/>
  <c r="I284" i="5"/>
  <c r="K284" i="5" s="1"/>
  <c r="J283" i="5"/>
  <c r="I283" i="5"/>
  <c r="K283" i="5" s="1"/>
  <c r="J282" i="5"/>
  <c r="I282" i="5"/>
  <c r="K282" i="5" s="1"/>
  <c r="J281" i="5"/>
  <c r="I281" i="5"/>
  <c r="K281" i="5" s="1"/>
  <c r="J280" i="5"/>
  <c r="I280" i="5"/>
  <c r="K280" i="5" s="1"/>
  <c r="J279" i="5"/>
  <c r="I279" i="5"/>
  <c r="K279" i="5" s="1"/>
  <c r="J278" i="5"/>
  <c r="I278" i="5"/>
  <c r="K278" i="5" s="1"/>
  <c r="J277" i="5"/>
  <c r="I277" i="5"/>
  <c r="K277" i="5" s="1"/>
  <c r="J276" i="5"/>
  <c r="I276" i="5"/>
  <c r="K276" i="5" s="1"/>
  <c r="L276" i="5" s="1"/>
  <c r="J275" i="5"/>
  <c r="I275" i="5"/>
  <c r="K275" i="5" s="1"/>
  <c r="J274" i="5"/>
  <c r="I274" i="5"/>
  <c r="K274" i="5" s="1"/>
  <c r="J273" i="5"/>
  <c r="I273" i="5"/>
  <c r="K273" i="5" s="1"/>
  <c r="J272" i="5"/>
  <c r="I272" i="5"/>
  <c r="K272" i="5" s="1"/>
  <c r="J271" i="5"/>
  <c r="I271" i="5"/>
  <c r="K271" i="5" s="1"/>
  <c r="J270" i="5"/>
  <c r="I270" i="5"/>
  <c r="K270" i="5" s="1"/>
  <c r="L270" i="5" s="1"/>
  <c r="J269" i="5"/>
  <c r="I269" i="5"/>
  <c r="K269" i="5" s="1"/>
  <c r="J268" i="5"/>
  <c r="I268" i="5"/>
  <c r="K268" i="5" s="1"/>
  <c r="L268" i="5" s="1"/>
  <c r="J267" i="5"/>
  <c r="I267" i="5"/>
  <c r="K267" i="5" s="1"/>
  <c r="J266" i="5"/>
  <c r="I266" i="5"/>
  <c r="K266" i="5" s="1"/>
  <c r="L266" i="5" s="1"/>
  <c r="J265" i="5"/>
  <c r="I265" i="5"/>
  <c r="K265" i="5" s="1"/>
  <c r="J264" i="5"/>
  <c r="I264" i="5"/>
  <c r="K264" i="5" s="1"/>
  <c r="L264" i="5" s="1"/>
  <c r="J263" i="5"/>
  <c r="I263" i="5"/>
  <c r="K263" i="5" s="1"/>
  <c r="J262" i="5"/>
  <c r="I262" i="5"/>
  <c r="K262" i="5" s="1"/>
  <c r="J261" i="5"/>
  <c r="I261" i="5"/>
  <c r="K261" i="5" s="1"/>
  <c r="J260" i="5"/>
  <c r="I260" i="5"/>
  <c r="K260" i="5" s="1"/>
  <c r="L260" i="5" s="1"/>
  <c r="J259" i="5"/>
  <c r="I259" i="5"/>
  <c r="K259" i="5" s="1"/>
  <c r="J258" i="5"/>
  <c r="I258" i="5"/>
  <c r="K258" i="5" s="1"/>
  <c r="L258" i="5" s="1"/>
  <c r="J257" i="5"/>
  <c r="I257" i="5"/>
  <c r="K257" i="5" s="1"/>
  <c r="J256" i="5"/>
  <c r="I256" i="5"/>
  <c r="K256" i="5" s="1"/>
  <c r="L256" i="5" s="1"/>
  <c r="J255" i="5"/>
  <c r="I255" i="5"/>
  <c r="K255" i="5" s="1"/>
  <c r="J254" i="5"/>
  <c r="I254" i="5"/>
  <c r="K254" i="5" s="1"/>
  <c r="J253" i="5"/>
  <c r="I253" i="5"/>
  <c r="K253" i="5" s="1"/>
  <c r="J252" i="5"/>
  <c r="I252" i="5"/>
  <c r="K252" i="5" s="1"/>
  <c r="L252" i="5" s="1"/>
  <c r="J251" i="5"/>
  <c r="I251" i="5"/>
  <c r="K251" i="5" s="1"/>
  <c r="J250" i="5"/>
  <c r="I250" i="5"/>
  <c r="K250" i="5" s="1"/>
  <c r="L250" i="5" s="1"/>
  <c r="J249" i="5"/>
  <c r="I249" i="5"/>
  <c r="K249" i="5" s="1"/>
  <c r="J248" i="5"/>
  <c r="I248" i="5"/>
  <c r="K248" i="5" s="1"/>
  <c r="J247" i="5"/>
  <c r="I247" i="5"/>
  <c r="K247" i="5" s="1"/>
  <c r="J246" i="5"/>
  <c r="I246" i="5"/>
  <c r="K246" i="5" s="1"/>
  <c r="J245" i="5"/>
  <c r="I245" i="5"/>
  <c r="K245" i="5" s="1"/>
  <c r="J244" i="5"/>
  <c r="I244" i="5"/>
  <c r="K244" i="5" s="1"/>
  <c r="L244" i="5" s="1"/>
  <c r="J243" i="5"/>
  <c r="I243" i="5"/>
  <c r="K243" i="5" s="1"/>
  <c r="J242" i="5"/>
  <c r="I242" i="5"/>
  <c r="K242" i="5" s="1"/>
  <c r="J241" i="5"/>
  <c r="I241" i="5"/>
  <c r="K241" i="5" s="1"/>
  <c r="J240" i="5"/>
  <c r="I240" i="5"/>
  <c r="K240" i="5" s="1"/>
  <c r="J239" i="5"/>
  <c r="I239" i="5"/>
  <c r="K239" i="5" s="1"/>
  <c r="J238" i="5"/>
  <c r="I238" i="5"/>
  <c r="K238" i="5" s="1"/>
  <c r="L238" i="5" s="1"/>
  <c r="J237" i="5"/>
  <c r="I237" i="5"/>
  <c r="K237" i="5" s="1"/>
  <c r="J236" i="5"/>
  <c r="I236" i="5"/>
  <c r="K236" i="5" s="1"/>
  <c r="L236" i="5" s="1"/>
  <c r="J235" i="5"/>
  <c r="I235" i="5"/>
  <c r="K235" i="5" s="1"/>
  <c r="J234" i="5"/>
  <c r="I234" i="5"/>
  <c r="K234" i="5" s="1"/>
  <c r="L234" i="5" s="1"/>
  <c r="J233" i="5"/>
  <c r="I233" i="5"/>
  <c r="K233" i="5" s="1"/>
  <c r="J232" i="5"/>
  <c r="I232" i="5"/>
  <c r="K232" i="5" s="1"/>
  <c r="L232" i="5" s="1"/>
  <c r="J231" i="5"/>
  <c r="I231" i="5"/>
  <c r="K231" i="5" s="1"/>
  <c r="J230" i="5"/>
  <c r="I230" i="5"/>
  <c r="K230" i="5" s="1"/>
  <c r="J229" i="5"/>
  <c r="I229" i="5"/>
  <c r="K229" i="5" s="1"/>
  <c r="J228" i="5"/>
  <c r="I228" i="5"/>
  <c r="K228" i="5" s="1"/>
  <c r="L228" i="5" s="1"/>
  <c r="J227" i="5"/>
  <c r="I227" i="5"/>
  <c r="K227" i="5" s="1"/>
  <c r="J226" i="5"/>
  <c r="I226" i="5"/>
  <c r="K226" i="5" s="1"/>
  <c r="J225" i="5"/>
  <c r="I225" i="5"/>
  <c r="K225" i="5" s="1"/>
  <c r="J224" i="5"/>
  <c r="I224" i="5"/>
  <c r="K224" i="5" s="1"/>
  <c r="L224" i="5" s="1"/>
  <c r="J223" i="5"/>
  <c r="I223" i="5"/>
  <c r="K223" i="5" s="1"/>
  <c r="J222" i="5"/>
  <c r="I222" i="5"/>
  <c r="K222" i="5" s="1"/>
  <c r="J221" i="5"/>
  <c r="I221" i="5"/>
  <c r="K221" i="5" s="1"/>
  <c r="J220" i="5"/>
  <c r="I220" i="5"/>
  <c r="K220" i="5" s="1"/>
  <c r="L220" i="5" s="1"/>
  <c r="J219" i="5"/>
  <c r="I219" i="5"/>
  <c r="K219" i="5" s="1"/>
  <c r="J218" i="5"/>
  <c r="I218" i="5"/>
  <c r="K218" i="5" s="1"/>
  <c r="L218" i="5" s="1"/>
  <c r="J217" i="5"/>
  <c r="I217" i="5"/>
  <c r="K217" i="5" s="1"/>
  <c r="J216" i="5"/>
  <c r="I216" i="5"/>
  <c r="K216" i="5" s="1"/>
  <c r="J215" i="5"/>
  <c r="I215" i="5"/>
  <c r="K215" i="5" s="1"/>
  <c r="J214" i="5"/>
  <c r="I214" i="5"/>
  <c r="K214" i="5" s="1"/>
  <c r="J213" i="5"/>
  <c r="I213" i="5"/>
  <c r="K213" i="5" s="1"/>
  <c r="J212" i="5"/>
  <c r="I212" i="5"/>
  <c r="K212" i="5" s="1"/>
  <c r="L212" i="5" s="1"/>
  <c r="J211" i="5"/>
  <c r="I211" i="5"/>
  <c r="K211" i="5" s="1"/>
  <c r="J210" i="5"/>
  <c r="I210" i="5"/>
  <c r="K210" i="5" s="1"/>
  <c r="L210" i="5" s="1"/>
  <c r="J209" i="5"/>
  <c r="I209" i="5"/>
  <c r="K209" i="5" s="1"/>
  <c r="J208" i="5"/>
  <c r="I208" i="5"/>
  <c r="K208" i="5" s="1"/>
  <c r="J207" i="5"/>
  <c r="I207" i="5"/>
  <c r="K207" i="5" s="1"/>
  <c r="J206" i="5"/>
  <c r="I206" i="5"/>
  <c r="K206" i="5" s="1"/>
  <c r="J205" i="5"/>
  <c r="I205" i="5"/>
  <c r="K205" i="5" s="1"/>
  <c r="J204" i="5"/>
  <c r="I204" i="5"/>
  <c r="K204" i="5" s="1"/>
  <c r="J203" i="5"/>
  <c r="I203" i="5"/>
  <c r="K203" i="5" s="1"/>
  <c r="J202" i="5"/>
  <c r="I202" i="5"/>
  <c r="K202" i="5" s="1"/>
  <c r="J201" i="5"/>
  <c r="I201" i="5"/>
  <c r="K201" i="5" s="1"/>
  <c r="J200" i="5"/>
  <c r="I200" i="5"/>
  <c r="K200" i="5" s="1"/>
  <c r="J199" i="5"/>
  <c r="I199" i="5"/>
  <c r="K199" i="5" s="1"/>
  <c r="J198" i="5"/>
  <c r="I198" i="5"/>
  <c r="K198" i="5" s="1"/>
  <c r="J197" i="5"/>
  <c r="I197" i="5"/>
  <c r="K197" i="5" s="1"/>
  <c r="J196" i="5"/>
  <c r="I196" i="5"/>
  <c r="K196" i="5" s="1"/>
  <c r="J195" i="5"/>
  <c r="I195" i="5"/>
  <c r="K195" i="5" s="1"/>
  <c r="J194" i="5"/>
  <c r="I194" i="5"/>
  <c r="K194" i="5" s="1"/>
  <c r="J193" i="5"/>
  <c r="I193" i="5"/>
  <c r="K193" i="5" s="1"/>
  <c r="J192" i="5"/>
  <c r="I192" i="5"/>
  <c r="K192" i="5" s="1"/>
  <c r="J191" i="5"/>
  <c r="I191" i="5"/>
  <c r="K191" i="5" s="1"/>
  <c r="J190" i="5"/>
  <c r="I190" i="5"/>
  <c r="K190" i="5" s="1"/>
  <c r="J189" i="5"/>
  <c r="I189" i="5"/>
  <c r="K189" i="5" s="1"/>
  <c r="J188" i="5"/>
  <c r="I188" i="5"/>
  <c r="K188" i="5" s="1"/>
  <c r="J187" i="5"/>
  <c r="I187" i="5"/>
  <c r="K187" i="5" s="1"/>
  <c r="J186" i="5"/>
  <c r="I186" i="5"/>
  <c r="K186" i="5" s="1"/>
  <c r="J185" i="5"/>
  <c r="I185" i="5"/>
  <c r="K185" i="5" s="1"/>
  <c r="J184" i="5"/>
  <c r="I184" i="5"/>
  <c r="K184" i="5" s="1"/>
  <c r="L184" i="5" s="1"/>
  <c r="J183" i="5"/>
  <c r="I183" i="5"/>
  <c r="K183" i="5" s="1"/>
  <c r="J182" i="5"/>
  <c r="I182" i="5"/>
  <c r="K182" i="5" s="1"/>
  <c r="J181" i="5"/>
  <c r="I181" i="5"/>
  <c r="K181" i="5" s="1"/>
  <c r="J180" i="5"/>
  <c r="I180" i="5"/>
  <c r="K180" i="5" s="1"/>
  <c r="L180" i="5" s="1"/>
  <c r="J179" i="5"/>
  <c r="I179" i="5"/>
  <c r="K179" i="5" s="1"/>
  <c r="J178" i="5"/>
  <c r="I178" i="5"/>
  <c r="K178" i="5" s="1"/>
  <c r="J177" i="5"/>
  <c r="I177" i="5"/>
  <c r="K177" i="5" s="1"/>
  <c r="J176" i="5"/>
  <c r="I176" i="5"/>
  <c r="K176" i="5" s="1"/>
  <c r="L176" i="5" s="1"/>
  <c r="J175" i="5"/>
  <c r="I175" i="5"/>
  <c r="K175" i="5" s="1"/>
  <c r="J174" i="5"/>
  <c r="I174" i="5"/>
  <c r="K174" i="5" s="1"/>
  <c r="J173" i="5"/>
  <c r="I173" i="5"/>
  <c r="K173" i="5" s="1"/>
  <c r="J172" i="5"/>
  <c r="I172" i="5"/>
  <c r="K172" i="5" s="1"/>
  <c r="J171" i="5"/>
  <c r="I171" i="5"/>
  <c r="K171" i="5" s="1"/>
  <c r="J170" i="5"/>
  <c r="I170" i="5"/>
  <c r="K170" i="5" s="1"/>
  <c r="J169" i="5"/>
  <c r="I169" i="5"/>
  <c r="K169" i="5" s="1"/>
  <c r="J168" i="5"/>
  <c r="I168" i="5"/>
  <c r="K168" i="5" s="1"/>
  <c r="L168" i="5" s="1"/>
  <c r="J167" i="5"/>
  <c r="I167" i="5"/>
  <c r="K167" i="5" s="1"/>
  <c r="J166" i="5"/>
  <c r="I166" i="5"/>
  <c r="K166" i="5" s="1"/>
  <c r="J165" i="5"/>
  <c r="I165" i="5"/>
  <c r="K165" i="5" s="1"/>
  <c r="J164" i="5"/>
  <c r="I164" i="5"/>
  <c r="K164" i="5" s="1"/>
  <c r="J163" i="5"/>
  <c r="I163" i="5"/>
  <c r="K163" i="5" s="1"/>
  <c r="J162" i="5"/>
  <c r="I162" i="5"/>
  <c r="K162" i="5" s="1"/>
  <c r="J161" i="5"/>
  <c r="I161" i="5"/>
  <c r="K161" i="5" s="1"/>
  <c r="J160" i="5"/>
  <c r="I160" i="5"/>
  <c r="K160" i="5" s="1"/>
  <c r="J159" i="5"/>
  <c r="I159" i="5"/>
  <c r="K159" i="5" s="1"/>
  <c r="J158" i="5"/>
  <c r="I158" i="5"/>
  <c r="K158" i="5" s="1"/>
  <c r="J157" i="5"/>
  <c r="I157" i="5"/>
  <c r="K157" i="5" s="1"/>
  <c r="J156" i="5"/>
  <c r="I156" i="5"/>
  <c r="K156" i="5" s="1"/>
  <c r="L156" i="5" s="1"/>
  <c r="J155" i="5"/>
  <c r="I155" i="5"/>
  <c r="K155" i="5" s="1"/>
  <c r="J154" i="5"/>
  <c r="I154" i="5"/>
  <c r="K154" i="5" s="1"/>
  <c r="J153" i="5"/>
  <c r="I153" i="5"/>
  <c r="K153" i="5" s="1"/>
  <c r="J152" i="5"/>
  <c r="I152" i="5"/>
  <c r="K152" i="5" s="1"/>
  <c r="L152" i="5" s="1"/>
  <c r="J151" i="5"/>
  <c r="I151" i="5"/>
  <c r="K151" i="5" s="1"/>
  <c r="J150" i="5"/>
  <c r="I150" i="5"/>
  <c r="K150" i="5" s="1"/>
  <c r="J149" i="5"/>
  <c r="I149" i="5"/>
  <c r="K149" i="5" s="1"/>
  <c r="J148" i="5"/>
  <c r="I148" i="5"/>
  <c r="K148" i="5" s="1"/>
  <c r="J147" i="5"/>
  <c r="I147" i="5"/>
  <c r="K147" i="5" s="1"/>
  <c r="J146" i="5"/>
  <c r="I146" i="5"/>
  <c r="K146" i="5" s="1"/>
  <c r="J145" i="5"/>
  <c r="I145" i="5"/>
  <c r="K145" i="5" s="1"/>
  <c r="J144" i="5"/>
  <c r="I144" i="5"/>
  <c r="K144" i="5" s="1"/>
  <c r="J143" i="5"/>
  <c r="I143" i="5"/>
  <c r="K143" i="5" s="1"/>
  <c r="J142" i="5"/>
  <c r="I142" i="5"/>
  <c r="K142" i="5" s="1"/>
  <c r="J141" i="5"/>
  <c r="I141" i="5"/>
  <c r="K141" i="5" s="1"/>
  <c r="J140" i="5"/>
  <c r="I140" i="5"/>
  <c r="K140" i="5" s="1"/>
  <c r="J139" i="5"/>
  <c r="I139" i="5"/>
  <c r="K139" i="5" s="1"/>
  <c r="J138" i="5"/>
  <c r="I138" i="5"/>
  <c r="K138" i="5" s="1"/>
  <c r="J137" i="5"/>
  <c r="I137" i="5"/>
  <c r="K137" i="5" s="1"/>
  <c r="J136" i="5"/>
  <c r="I136" i="5"/>
  <c r="K136" i="5" s="1"/>
  <c r="J135" i="5"/>
  <c r="I135" i="5"/>
  <c r="K135" i="5" s="1"/>
  <c r="J134" i="5"/>
  <c r="I134" i="5"/>
  <c r="K134" i="5" s="1"/>
  <c r="J133" i="5"/>
  <c r="I133" i="5"/>
  <c r="K133" i="5" s="1"/>
  <c r="J132" i="5"/>
  <c r="I132" i="5"/>
  <c r="K132" i="5" s="1"/>
  <c r="J131" i="5"/>
  <c r="I131" i="5"/>
  <c r="K131" i="5" s="1"/>
  <c r="J130" i="5"/>
  <c r="I130" i="5"/>
  <c r="K130" i="5" s="1"/>
  <c r="J129" i="5"/>
  <c r="I129" i="5"/>
  <c r="K129" i="5" s="1"/>
  <c r="J128" i="5"/>
  <c r="I128" i="5"/>
  <c r="K128" i="5" s="1"/>
  <c r="J127" i="5"/>
  <c r="I127" i="5"/>
  <c r="K127" i="5" s="1"/>
  <c r="J126" i="5"/>
  <c r="I126" i="5"/>
  <c r="K126" i="5" s="1"/>
  <c r="J125" i="5"/>
  <c r="I125" i="5"/>
  <c r="K125" i="5" s="1"/>
  <c r="J124" i="5"/>
  <c r="I124" i="5"/>
  <c r="K124" i="5" s="1"/>
  <c r="J123" i="5"/>
  <c r="I123" i="5"/>
  <c r="K123" i="5" s="1"/>
  <c r="J122" i="5"/>
  <c r="I122" i="5"/>
  <c r="K122" i="5" s="1"/>
  <c r="J121" i="5"/>
  <c r="I121" i="5"/>
  <c r="K121" i="5" s="1"/>
  <c r="J120" i="5"/>
  <c r="I120" i="5"/>
  <c r="K120" i="5" s="1"/>
  <c r="J119" i="5"/>
  <c r="I119" i="5"/>
  <c r="K119" i="5" s="1"/>
  <c r="J118" i="5"/>
  <c r="I118" i="5"/>
  <c r="K118" i="5" s="1"/>
  <c r="J117" i="5"/>
  <c r="I117" i="5"/>
  <c r="K117" i="5" s="1"/>
  <c r="J116" i="5"/>
  <c r="I116" i="5"/>
  <c r="K116" i="5" s="1"/>
  <c r="J115" i="5"/>
  <c r="I115" i="5"/>
  <c r="K115" i="5" s="1"/>
  <c r="J114" i="5"/>
  <c r="I114" i="5"/>
  <c r="K114" i="5" s="1"/>
  <c r="J113" i="5"/>
  <c r="I113" i="5"/>
  <c r="K113" i="5" s="1"/>
  <c r="J112" i="5"/>
  <c r="I112" i="5"/>
  <c r="K112" i="5" s="1"/>
  <c r="J111" i="5"/>
  <c r="I111" i="5"/>
  <c r="K111" i="5" s="1"/>
  <c r="J110" i="5"/>
  <c r="I110" i="5"/>
  <c r="K110" i="5" s="1"/>
  <c r="J109" i="5"/>
  <c r="I109" i="5"/>
  <c r="K109" i="5" s="1"/>
  <c r="J108" i="5"/>
  <c r="I108" i="5"/>
  <c r="K108" i="5" s="1"/>
  <c r="J107" i="5"/>
  <c r="I107" i="5"/>
  <c r="K107" i="5" s="1"/>
  <c r="J106" i="5"/>
  <c r="I106" i="5"/>
  <c r="K106" i="5" s="1"/>
  <c r="J105" i="5"/>
  <c r="I105" i="5"/>
  <c r="K105" i="5" s="1"/>
  <c r="J104" i="5"/>
  <c r="I104" i="5"/>
  <c r="K104" i="5" s="1"/>
  <c r="J103" i="5"/>
  <c r="I103" i="5"/>
  <c r="K103" i="5" s="1"/>
  <c r="J102" i="5"/>
  <c r="I102" i="5"/>
  <c r="K102" i="5" s="1"/>
  <c r="J101" i="5"/>
  <c r="I101" i="5"/>
  <c r="K101" i="5" s="1"/>
  <c r="J100" i="5"/>
  <c r="I100" i="5"/>
  <c r="K100" i="5" s="1"/>
  <c r="J99" i="5"/>
  <c r="I99" i="5"/>
  <c r="K99" i="5" s="1"/>
  <c r="J98" i="5"/>
  <c r="I98" i="5"/>
  <c r="K98" i="5" s="1"/>
  <c r="J97" i="5"/>
  <c r="I97" i="5"/>
  <c r="K97" i="5" s="1"/>
  <c r="V96" i="5"/>
  <c r="J96" i="5"/>
  <c r="I96" i="5"/>
  <c r="K96" i="5" s="1"/>
  <c r="J95" i="5"/>
  <c r="I95" i="5"/>
  <c r="K95" i="5" s="1"/>
  <c r="J94" i="5"/>
  <c r="I94" i="5"/>
  <c r="K94" i="5" s="1"/>
  <c r="J93" i="5"/>
  <c r="I93" i="5"/>
  <c r="K93" i="5" s="1"/>
  <c r="J92" i="5"/>
  <c r="I92" i="5"/>
  <c r="K92" i="5" s="1"/>
  <c r="J91" i="5"/>
  <c r="I91" i="5"/>
  <c r="K91" i="5" s="1"/>
  <c r="J90" i="5"/>
  <c r="I90" i="5"/>
  <c r="K90" i="5" s="1"/>
  <c r="J89" i="5"/>
  <c r="I89" i="5"/>
  <c r="K89" i="5" s="1"/>
  <c r="J88" i="5"/>
  <c r="I88" i="5"/>
  <c r="K88" i="5" s="1"/>
  <c r="J87" i="5"/>
  <c r="I87" i="5"/>
  <c r="K87" i="5" s="1"/>
  <c r="J86" i="5"/>
  <c r="I86" i="5"/>
  <c r="K86" i="5" s="1"/>
  <c r="J85" i="5"/>
  <c r="I85" i="5"/>
  <c r="K85" i="5" s="1"/>
  <c r="V84" i="5"/>
  <c r="J84" i="5"/>
  <c r="I84" i="5"/>
  <c r="K84" i="5" s="1"/>
  <c r="J83" i="5"/>
  <c r="I83" i="5"/>
  <c r="K83" i="5" s="1"/>
  <c r="L83" i="5" s="1"/>
  <c r="J82" i="5"/>
  <c r="I82" i="5"/>
  <c r="K82" i="5" s="1"/>
  <c r="J81" i="5"/>
  <c r="I81" i="5"/>
  <c r="K81" i="5" s="1"/>
  <c r="J80" i="5"/>
  <c r="I80" i="5"/>
  <c r="K80" i="5" s="1"/>
  <c r="J79" i="5"/>
  <c r="I79" i="5"/>
  <c r="K79" i="5" s="1"/>
  <c r="L79" i="5" s="1"/>
  <c r="J78" i="5"/>
  <c r="I78" i="5"/>
  <c r="K78" i="5" s="1"/>
  <c r="J77" i="5"/>
  <c r="I77" i="5"/>
  <c r="K77" i="5" s="1"/>
  <c r="J76" i="5"/>
  <c r="I76" i="5"/>
  <c r="K76" i="5" s="1"/>
  <c r="J75" i="5"/>
  <c r="I75" i="5"/>
  <c r="K75" i="5" s="1"/>
  <c r="J74" i="5"/>
  <c r="I74" i="5"/>
  <c r="K74" i="5" s="1"/>
  <c r="J73" i="5"/>
  <c r="I73" i="5"/>
  <c r="K73" i="5" s="1"/>
  <c r="J72" i="5"/>
  <c r="I72" i="5"/>
  <c r="K72" i="5" s="1"/>
  <c r="J71" i="5"/>
  <c r="I71" i="5"/>
  <c r="K71" i="5" s="1"/>
  <c r="J70" i="5"/>
  <c r="I70" i="5"/>
  <c r="K70" i="5" s="1"/>
  <c r="J69" i="5"/>
  <c r="I69" i="5"/>
  <c r="K69" i="5" s="1"/>
  <c r="L69" i="5" s="1"/>
  <c r="J68" i="5"/>
  <c r="I68" i="5"/>
  <c r="K68" i="5" s="1"/>
  <c r="J67" i="5"/>
  <c r="I67" i="5"/>
  <c r="K67" i="5" s="1"/>
  <c r="J66" i="5"/>
  <c r="I66" i="5"/>
  <c r="K66" i="5" s="1"/>
  <c r="J65" i="5"/>
  <c r="I65" i="5"/>
  <c r="K65" i="5" s="1"/>
  <c r="J64" i="5"/>
  <c r="I64" i="5"/>
  <c r="K64" i="5" s="1"/>
  <c r="J63" i="5"/>
  <c r="I63" i="5"/>
  <c r="K63" i="5" s="1"/>
  <c r="J62" i="5"/>
  <c r="I62" i="5"/>
  <c r="K62" i="5" s="1"/>
  <c r="J61" i="5"/>
  <c r="I61" i="5"/>
  <c r="K61" i="5" s="1"/>
  <c r="J60" i="5"/>
  <c r="I60" i="5"/>
  <c r="K60" i="5" s="1"/>
  <c r="J59" i="5"/>
  <c r="I59" i="5"/>
  <c r="K59" i="5" s="1"/>
  <c r="J58" i="5"/>
  <c r="I58" i="5"/>
  <c r="K58" i="5" s="1"/>
  <c r="J57" i="5"/>
  <c r="I57" i="5"/>
  <c r="K57" i="5" s="1"/>
  <c r="L57" i="5" s="1"/>
  <c r="J56" i="5"/>
  <c r="I56" i="5"/>
  <c r="K56" i="5" s="1"/>
  <c r="J55" i="5"/>
  <c r="I55" i="5"/>
  <c r="K55" i="5" s="1"/>
  <c r="J54" i="5"/>
  <c r="I54" i="5"/>
  <c r="K54" i="5" s="1"/>
  <c r="J53" i="5"/>
  <c r="I53" i="5"/>
  <c r="K53" i="5" s="1"/>
  <c r="J52" i="5"/>
  <c r="I52" i="5"/>
  <c r="K52" i="5" s="1"/>
  <c r="J51" i="5"/>
  <c r="I51" i="5"/>
  <c r="K51" i="5" s="1"/>
  <c r="J50" i="5"/>
  <c r="I50" i="5"/>
  <c r="K50" i="5" s="1"/>
  <c r="J49" i="5"/>
  <c r="I49" i="5"/>
  <c r="K49" i="5" s="1"/>
  <c r="J48" i="5"/>
  <c r="I48" i="5"/>
  <c r="K48" i="5" s="1"/>
  <c r="J47" i="5"/>
  <c r="I47" i="5"/>
  <c r="K47" i="5" s="1"/>
  <c r="J46" i="5"/>
  <c r="I46" i="5"/>
  <c r="K46" i="5" s="1"/>
  <c r="J45" i="5"/>
  <c r="I45" i="5"/>
  <c r="K45" i="5" s="1"/>
  <c r="J44" i="5"/>
  <c r="I44" i="5"/>
  <c r="K44" i="5" s="1"/>
  <c r="J43" i="5"/>
  <c r="I43" i="5"/>
  <c r="K43" i="5" s="1"/>
  <c r="J42" i="5"/>
  <c r="I42" i="5"/>
  <c r="K42" i="5" s="1"/>
  <c r="J41" i="5"/>
  <c r="I41" i="5"/>
  <c r="K41" i="5" s="1"/>
  <c r="L41" i="5" s="1"/>
  <c r="J40" i="5"/>
  <c r="I40" i="5"/>
  <c r="K40" i="5" s="1"/>
  <c r="J39" i="5"/>
  <c r="I39" i="5"/>
  <c r="K39" i="5" s="1"/>
  <c r="J38" i="5"/>
  <c r="I38" i="5"/>
  <c r="K38" i="5" s="1"/>
  <c r="J37" i="5"/>
  <c r="I37" i="5"/>
  <c r="K37" i="5" s="1"/>
  <c r="L37" i="5" s="1"/>
  <c r="J36" i="5"/>
  <c r="I36" i="5"/>
  <c r="K36" i="5" s="1"/>
  <c r="J35" i="5"/>
  <c r="I35" i="5"/>
  <c r="K35" i="5" s="1"/>
  <c r="L35" i="5" s="1"/>
  <c r="J34" i="5"/>
  <c r="I34" i="5"/>
  <c r="K34" i="5" s="1"/>
  <c r="J33" i="5"/>
  <c r="I33" i="5"/>
  <c r="K33" i="5" s="1"/>
  <c r="L33" i="5" s="1"/>
  <c r="J32" i="5"/>
  <c r="I32" i="5"/>
  <c r="K32" i="5" s="1"/>
  <c r="J31" i="5"/>
  <c r="I31" i="5"/>
  <c r="K31" i="5" s="1"/>
  <c r="L31" i="5" s="1"/>
  <c r="J30" i="5"/>
  <c r="I30" i="5"/>
  <c r="K30" i="5" s="1"/>
  <c r="J29" i="5"/>
  <c r="I29" i="5"/>
  <c r="K29" i="5" s="1"/>
  <c r="L29" i="5" s="1"/>
  <c r="J28" i="5"/>
  <c r="I28" i="5"/>
  <c r="K28" i="5" s="1"/>
  <c r="J27" i="5"/>
  <c r="I27" i="5"/>
  <c r="K27" i="5" s="1"/>
  <c r="J26" i="5"/>
  <c r="I26" i="5"/>
  <c r="K26" i="5" s="1"/>
  <c r="J25" i="5"/>
  <c r="I25" i="5"/>
  <c r="K25" i="5" s="1"/>
  <c r="J24" i="5"/>
  <c r="I24" i="5"/>
  <c r="K24" i="5" s="1"/>
  <c r="J23" i="5"/>
  <c r="I23" i="5"/>
  <c r="K23" i="5" s="1"/>
  <c r="J22" i="5"/>
  <c r="I22" i="5"/>
  <c r="K22" i="5" s="1"/>
  <c r="J21" i="5"/>
  <c r="I21" i="5"/>
  <c r="K21" i="5" s="1"/>
  <c r="J20" i="5"/>
  <c r="I20" i="5"/>
  <c r="K20" i="5" s="1"/>
  <c r="J19" i="5"/>
  <c r="I19" i="5"/>
  <c r="K19" i="5" s="1"/>
  <c r="J18" i="5"/>
  <c r="I18" i="5"/>
  <c r="K18" i="5" s="1"/>
  <c r="J17" i="5"/>
  <c r="I17" i="5"/>
  <c r="K17" i="5" s="1"/>
  <c r="J16" i="5"/>
  <c r="I16" i="5"/>
  <c r="K16" i="5" s="1"/>
  <c r="J15" i="5"/>
  <c r="I15" i="5"/>
  <c r="K15" i="5" s="1"/>
  <c r="J14" i="5"/>
  <c r="I14" i="5"/>
  <c r="K14" i="5" s="1"/>
  <c r="J13" i="5"/>
  <c r="I13" i="5"/>
  <c r="K13" i="5" s="1"/>
  <c r="J12" i="5"/>
  <c r="I12" i="5"/>
  <c r="K12" i="5" s="1"/>
  <c r="J11" i="5"/>
  <c r="I11" i="5"/>
  <c r="K11" i="5" s="1"/>
  <c r="J10" i="5"/>
  <c r="I10" i="5"/>
  <c r="K10" i="5" s="1"/>
  <c r="J9" i="5"/>
  <c r="I9" i="5"/>
  <c r="K9" i="5" s="1"/>
  <c r="J8" i="5"/>
  <c r="I8" i="5"/>
  <c r="K8" i="5" s="1"/>
  <c r="J7" i="5"/>
  <c r="I7" i="5"/>
  <c r="K7" i="5" s="1"/>
  <c r="J6" i="5"/>
  <c r="I6" i="5"/>
  <c r="K6" i="5" s="1"/>
  <c r="J5" i="5"/>
  <c r="I5" i="5"/>
  <c r="K5" i="5" s="1"/>
  <c r="L5" i="5" s="1"/>
  <c r="J4" i="5"/>
  <c r="I4" i="5"/>
  <c r="K4" i="5" s="1"/>
  <c r="J3" i="5"/>
  <c r="I3" i="5"/>
  <c r="K3" i="5" s="1"/>
  <c r="L3" i="5" s="1"/>
  <c r="J2" i="5"/>
  <c r="I2" i="5"/>
  <c r="K2" i="5" s="1"/>
  <c r="J322" i="4"/>
  <c r="I322" i="4"/>
  <c r="K322" i="4" s="1"/>
  <c r="L322" i="4" s="1"/>
  <c r="J321" i="4"/>
  <c r="I321" i="4"/>
  <c r="K321" i="4" s="1"/>
  <c r="J320" i="4"/>
  <c r="I320" i="4"/>
  <c r="K320" i="4" s="1"/>
  <c r="J319" i="4"/>
  <c r="I319" i="4"/>
  <c r="K319" i="4" s="1"/>
  <c r="J318" i="4"/>
  <c r="I318" i="4"/>
  <c r="K318" i="4" s="1"/>
  <c r="J317" i="4"/>
  <c r="I317" i="4"/>
  <c r="K317" i="4" s="1"/>
  <c r="J316" i="4"/>
  <c r="I316" i="4"/>
  <c r="K316" i="4" s="1"/>
  <c r="J315" i="4"/>
  <c r="I315" i="4"/>
  <c r="K315" i="4" s="1"/>
  <c r="J314" i="4"/>
  <c r="I314" i="4"/>
  <c r="K314" i="4" s="1"/>
  <c r="J313" i="4"/>
  <c r="I313" i="4"/>
  <c r="K313" i="4" s="1"/>
  <c r="J312" i="4"/>
  <c r="I312" i="4"/>
  <c r="K312" i="4" s="1"/>
  <c r="J311" i="4"/>
  <c r="I311" i="4"/>
  <c r="K311" i="4" s="1"/>
  <c r="J310" i="4"/>
  <c r="I310" i="4"/>
  <c r="K310" i="4" s="1"/>
  <c r="L310" i="4" s="1"/>
  <c r="V92" i="4" s="1"/>
  <c r="J309" i="4"/>
  <c r="I309" i="4"/>
  <c r="K309" i="4" s="1"/>
  <c r="J308" i="4"/>
  <c r="I308" i="4"/>
  <c r="K308" i="4" s="1"/>
  <c r="J307" i="4"/>
  <c r="I307" i="4"/>
  <c r="K307" i="4" s="1"/>
  <c r="J306" i="4"/>
  <c r="I306" i="4"/>
  <c r="K306" i="4" s="1"/>
  <c r="J305" i="4"/>
  <c r="I305" i="4"/>
  <c r="K305" i="4" s="1"/>
  <c r="L305" i="4" s="1"/>
  <c r="V87" i="4" s="1"/>
  <c r="J304" i="4"/>
  <c r="I304" i="4"/>
  <c r="K304" i="4" s="1"/>
  <c r="J303" i="4"/>
  <c r="I303" i="4"/>
  <c r="K303" i="4" s="1"/>
  <c r="J302" i="4"/>
  <c r="I302" i="4"/>
  <c r="K302" i="4" s="1"/>
  <c r="J301" i="4"/>
  <c r="I301" i="4"/>
  <c r="K301" i="4" s="1"/>
  <c r="J300" i="4"/>
  <c r="I300" i="4"/>
  <c r="K300" i="4" s="1"/>
  <c r="J299" i="4"/>
  <c r="I299" i="4"/>
  <c r="K299" i="4" s="1"/>
  <c r="J298" i="4"/>
  <c r="I298" i="4"/>
  <c r="K298" i="4" s="1"/>
  <c r="J297" i="4"/>
  <c r="I297" i="4"/>
  <c r="K297" i="4" s="1"/>
  <c r="J296" i="4"/>
  <c r="I296" i="4"/>
  <c r="K296" i="4" s="1"/>
  <c r="J295" i="4"/>
  <c r="I295" i="4"/>
  <c r="K295" i="4" s="1"/>
  <c r="J294" i="4"/>
  <c r="I294" i="4"/>
  <c r="K294" i="4" s="1"/>
  <c r="J293" i="4"/>
  <c r="I293" i="4"/>
  <c r="K293" i="4" s="1"/>
  <c r="J292" i="4"/>
  <c r="I292" i="4"/>
  <c r="K292" i="4" s="1"/>
  <c r="J291" i="4"/>
  <c r="I291" i="4"/>
  <c r="K291" i="4" s="1"/>
  <c r="J290" i="4"/>
  <c r="I290" i="4"/>
  <c r="K290" i="4" s="1"/>
  <c r="J289" i="4"/>
  <c r="I289" i="4"/>
  <c r="K289" i="4" s="1"/>
  <c r="J288" i="4"/>
  <c r="I288" i="4"/>
  <c r="K288" i="4" s="1"/>
  <c r="J287" i="4"/>
  <c r="I287" i="4"/>
  <c r="K287" i="4" s="1"/>
  <c r="J286" i="4"/>
  <c r="I286" i="4"/>
  <c r="K286" i="4" s="1"/>
  <c r="L286" i="4" s="1"/>
  <c r="J285" i="4"/>
  <c r="I285" i="4"/>
  <c r="K285" i="4" s="1"/>
  <c r="L285" i="4" s="1"/>
  <c r="J284" i="4"/>
  <c r="I284" i="4"/>
  <c r="K284" i="4" s="1"/>
  <c r="J283" i="4"/>
  <c r="I283" i="4"/>
  <c r="K283" i="4" s="1"/>
  <c r="J282" i="4"/>
  <c r="I282" i="4"/>
  <c r="K282" i="4" s="1"/>
  <c r="J281" i="4"/>
  <c r="I281" i="4"/>
  <c r="K281" i="4" s="1"/>
  <c r="J280" i="4"/>
  <c r="I280" i="4"/>
  <c r="K280" i="4" s="1"/>
  <c r="J279" i="4"/>
  <c r="I279" i="4"/>
  <c r="K279" i="4" s="1"/>
  <c r="J278" i="4"/>
  <c r="I278" i="4"/>
  <c r="K278" i="4" s="1"/>
  <c r="J277" i="4"/>
  <c r="I277" i="4"/>
  <c r="K277" i="4" s="1"/>
  <c r="J276" i="4"/>
  <c r="I276" i="4"/>
  <c r="K276" i="4" s="1"/>
  <c r="J275" i="4"/>
  <c r="I275" i="4"/>
  <c r="K275" i="4" s="1"/>
  <c r="J274" i="4"/>
  <c r="I274" i="4"/>
  <c r="K274" i="4" s="1"/>
  <c r="L274" i="4" s="1"/>
  <c r="J273" i="4"/>
  <c r="I273" i="4"/>
  <c r="K273" i="4" s="1"/>
  <c r="J272" i="4"/>
  <c r="I272" i="4"/>
  <c r="K272" i="4" s="1"/>
  <c r="J271" i="4"/>
  <c r="I271" i="4"/>
  <c r="K271" i="4" s="1"/>
  <c r="J270" i="4"/>
  <c r="I270" i="4"/>
  <c r="K270" i="4" s="1"/>
  <c r="J269" i="4"/>
  <c r="I269" i="4"/>
  <c r="K269" i="4" s="1"/>
  <c r="J268" i="4"/>
  <c r="I268" i="4"/>
  <c r="K268" i="4" s="1"/>
  <c r="J267" i="4"/>
  <c r="I267" i="4"/>
  <c r="K267" i="4" s="1"/>
  <c r="J266" i="4"/>
  <c r="I266" i="4"/>
  <c r="K266" i="4" s="1"/>
  <c r="L266" i="4" s="1"/>
  <c r="J265" i="4"/>
  <c r="I265" i="4"/>
  <c r="K265" i="4" s="1"/>
  <c r="L265" i="4" s="1"/>
  <c r="J264" i="4"/>
  <c r="I264" i="4"/>
  <c r="K264" i="4" s="1"/>
  <c r="J263" i="4"/>
  <c r="I263" i="4"/>
  <c r="K263" i="4" s="1"/>
  <c r="J262" i="4"/>
  <c r="I262" i="4"/>
  <c r="K262" i="4" s="1"/>
  <c r="J261" i="4"/>
  <c r="I261" i="4"/>
  <c r="K261" i="4" s="1"/>
  <c r="J260" i="4"/>
  <c r="I260" i="4"/>
  <c r="K260" i="4" s="1"/>
  <c r="J259" i="4"/>
  <c r="I259" i="4"/>
  <c r="K259" i="4" s="1"/>
  <c r="J258" i="4"/>
  <c r="I258" i="4"/>
  <c r="K258" i="4" s="1"/>
  <c r="J257" i="4"/>
  <c r="I257" i="4"/>
  <c r="K257" i="4" s="1"/>
  <c r="J256" i="4"/>
  <c r="I256" i="4"/>
  <c r="K256" i="4" s="1"/>
  <c r="J255" i="4"/>
  <c r="I255" i="4"/>
  <c r="K255" i="4" s="1"/>
  <c r="J254" i="4"/>
  <c r="I254" i="4"/>
  <c r="K254" i="4" s="1"/>
  <c r="J253" i="4"/>
  <c r="I253" i="4"/>
  <c r="K253" i="4" s="1"/>
  <c r="J252" i="4"/>
  <c r="I252" i="4"/>
  <c r="K252" i="4" s="1"/>
  <c r="J251" i="4"/>
  <c r="I251" i="4"/>
  <c r="K251" i="4" s="1"/>
  <c r="J250" i="4"/>
  <c r="I250" i="4"/>
  <c r="K250" i="4" s="1"/>
  <c r="J249" i="4"/>
  <c r="I249" i="4"/>
  <c r="K249" i="4" s="1"/>
  <c r="K248" i="4"/>
  <c r="J248" i="4"/>
  <c r="I248" i="4"/>
  <c r="J247" i="4"/>
  <c r="I247" i="4"/>
  <c r="K247" i="4" s="1"/>
  <c r="J246" i="4"/>
  <c r="I246" i="4"/>
  <c r="K246" i="4" s="1"/>
  <c r="J245" i="4"/>
  <c r="I245" i="4"/>
  <c r="K245" i="4" s="1"/>
  <c r="J244" i="4"/>
  <c r="I244" i="4"/>
  <c r="K244" i="4" s="1"/>
  <c r="J243" i="4"/>
  <c r="I243" i="4"/>
  <c r="K243" i="4" s="1"/>
  <c r="J242" i="4"/>
  <c r="I242" i="4"/>
  <c r="K242" i="4" s="1"/>
  <c r="J241" i="4"/>
  <c r="I241" i="4"/>
  <c r="K241" i="4" s="1"/>
  <c r="J240" i="4"/>
  <c r="I240" i="4"/>
  <c r="K240" i="4" s="1"/>
  <c r="J239" i="4"/>
  <c r="I239" i="4"/>
  <c r="K239" i="4" s="1"/>
  <c r="J238" i="4"/>
  <c r="I238" i="4"/>
  <c r="K238" i="4" s="1"/>
  <c r="J237" i="4"/>
  <c r="I237" i="4"/>
  <c r="K237" i="4" s="1"/>
  <c r="J236" i="4"/>
  <c r="I236" i="4"/>
  <c r="K236" i="4" s="1"/>
  <c r="J235" i="4"/>
  <c r="I235" i="4"/>
  <c r="K235" i="4" s="1"/>
  <c r="J234" i="4"/>
  <c r="I234" i="4"/>
  <c r="K234" i="4" s="1"/>
  <c r="J233" i="4"/>
  <c r="I233" i="4"/>
  <c r="K233" i="4" s="1"/>
  <c r="J232" i="4"/>
  <c r="I232" i="4"/>
  <c r="K232" i="4" s="1"/>
  <c r="J231" i="4"/>
  <c r="I231" i="4"/>
  <c r="K231" i="4" s="1"/>
  <c r="J230" i="4"/>
  <c r="I230" i="4"/>
  <c r="K230" i="4" s="1"/>
  <c r="J229" i="4"/>
  <c r="I229" i="4"/>
  <c r="K229" i="4" s="1"/>
  <c r="J228" i="4"/>
  <c r="I228" i="4"/>
  <c r="K228" i="4" s="1"/>
  <c r="J227" i="4"/>
  <c r="I227" i="4"/>
  <c r="K227" i="4" s="1"/>
  <c r="J226" i="4"/>
  <c r="I226" i="4"/>
  <c r="K226" i="4" s="1"/>
  <c r="J225" i="4"/>
  <c r="I225" i="4"/>
  <c r="K225" i="4" s="1"/>
  <c r="J224" i="4"/>
  <c r="I224" i="4"/>
  <c r="K224" i="4" s="1"/>
  <c r="J223" i="4"/>
  <c r="I223" i="4"/>
  <c r="K223" i="4" s="1"/>
  <c r="J222" i="4"/>
  <c r="I222" i="4"/>
  <c r="K222" i="4" s="1"/>
  <c r="J221" i="4"/>
  <c r="I221" i="4"/>
  <c r="K221" i="4" s="1"/>
  <c r="J220" i="4"/>
  <c r="I220" i="4"/>
  <c r="K220" i="4" s="1"/>
  <c r="J219" i="4"/>
  <c r="I219" i="4"/>
  <c r="K219" i="4" s="1"/>
  <c r="L219" i="4" s="1"/>
  <c r="J218" i="4"/>
  <c r="I218" i="4"/>
  <c r="K218" i="4" s="1"/>
  <c r="J217" i="4"/>
  <c r="I217" i="4"/>
  <c r="K217" i="4" s="1"/>
  <c r="J216" i="4"/>
  <c r="I216" i="4"/>
  <c r="K216" i="4" s="1"/>
  <c r="J215" i="4"/>
  <c r="I215" i="4"/>
  <c r="K215" i="4" s="1"/>
  <c r="L215" i="4" s="1"/>
  <c r="J214" i="4"/>
  <c r="I214" i="4"/>
  <c r="K214" i="4" s="1"/>
  <c r="J213" i="4"/>
  <c r="I213" i="4"/>
  <c r="K213" i="4" s="1"/>
  <c r="J212" i="4"/>
  <c r="I212" i="4"/>
  <c r="K212" i="4" s="1"/>
  <c r="J211" i="4"/>
  <c r="I211" i="4"/>
  <c r="K211" i="4" s="1"/>
  <c r="J210" i="4"/>
  <c r="I210" i="4"/>
  <c r="K210" i="4" s="1"/>
  <c r="J209" i="4"/>
  <c r="I209" i="4"/>
  <c r="K209" i="4" s="1"/>
  <c r="J208" i="4"/>
  <c r="I208" i="4"/>
  <c r="K208" i="4" s="1"/>
  <c r="J207" i="4"/>
  <c r="I207" i="4"/>
  <c r="K207" i="4" s="1"/>
  <c r="L207" i="4" s="1"/>
  <c r="J206" i="4"/>
  <c r="I206" i="4"/>
  <c r="K206" i="4" s="1"/>
  <c r="J205" i="4"/>
  <c r="I205" i="4"/>
  <c r="K205" i="4" s="1"/>
  <c r="J204" i="4"/>
  <c r="I204" i="4"/>
  <c r="K204" i="4" s="1"/>
  <c r="J203" i="4"/>
  <c r="I203" i="4"/>
  <c r="K203" i="4" s="1"/>
  <c r="J202" i="4"/>
  <c r="I202" i="4"/>
  <c r="K202" i="4" s="1"/>
  <c r="J201" i="4"/>
  <c r="I201" i="4"/>
  <c r="K201" i="4" s="1"/>
  <c r="L201" i="4" s="1"/>
  <c r="J200" i="4"/>
  <c r="I200" i="4"/>
  <c r="K200" i="4" s="1"/>
  <c r="J199" i="4"/>
  <c r="I199" i="4"/>
  <c r="K199" i="4" s="1"/>
  <c r="L199" i="4" s="1"/>
  <c r="J198" i="4"/>
  <c r="I198" i="4"/>
  <c r="K198" i="4" s="1"/>
  <c r="J197" i="4"/>
  <c r="I197" i="4"/>
  <c r="K197" i="4" s="1"/>
  <c r="J196" i="4"/>
  <c r="I196" i="4"/>
  <c r="K196" i="4" s="1"/>
  <c r="J195" i="4"/>
  <c r="I195" i="4"/>
  <c r="K195" i="4" s="1"/>
  <c r="J194" i="4"/>
  <c r="I194" i="4"/>
  <c r="K194" i="4" s="1"/>
  <c r="L194" i="4" s="1"/>
  <c r="J193" i="4"/>
  <c r="I193" i="4"/>
  <c r="K193" i="4" s="1"/>
  <c r="J192" i="4"/>
  <c r="I192" i="4"/>
  <c r="K192" i="4" s="1"/>
  <c r="J191" i="4"/>
  <c r="I191" i="4"/>
  <c r="K191" i="4" s="1"/>
  <c r="L191" i="4" s="1"/>
  <c r="J190" i="4"/>
  <c r="I190" i="4"/>
  <c r="K190" i="4" s="1"/>
  <c r="L190" i="4" s="1"/>
  <c r="J189" i="4"/>
  <c r="I189" i="4"/>
  <c r="K189" i="4" s="1"/>
  <c r="L189" i="4" s="1"/>
  <c r="J188" i="4"/>
  <c r="I188" i="4"/>
  <c r="K188" i="4" s="1"/>
  <c r="J187" i="4"/>
  <c r="I187" i="4"/>
  <c r="K187" i="4" s="1"/>
  <c r="J186" i="4"/>
  <c r="I186" i="4"/>
  <c r="K186" i="4" s="1"/>
  <c r="J185" i="4"/>
  <c r="I185" i="4"/>
  <c r="K185" i="4" s="1"/>
  <c r="J184" i="4"/>
  <c r="I184" i="4"/>
  <c r="K184" i="4" s="1"/>
  <c r="J183" i="4"/>
  <c r="I183" i="4"/>
  <c r="K183" i="4" s="1"/>
  <c r="J182" i="4"/>
  <c r="I182" i="4"/>
  <c r="K182" i="4" s="1"/>
  <c r="L182" i="4" s="1"/>
  <c r="J181" i="4"/>
  <c r="I181" i="4"/>
  <c r="K181" i="4" s="1"/>
  <c r="J180" i="4"/>
  <c r="I180" i="4"/>
  <c r="K180" i="4" s="1"/>
  <c r="J179" i="4"/>
  <c r="I179" i="4"/>
  <c r="K179" i="4" s="1"/>
  <c r="J178" i="4"/>
  <c r="I178" i="4"/>
  <c r="K178" i="4" s="1"/>
  <c r="J177" i="4"/>
  <c r="I177" i="4"/>
  <c r="K177" i="4" s="1"/>
  <c r="L177" i="4" s="1"/>
  <c r="J176" i="4"/>
  <c r="I176" i="4"/>
  <c r="K176" i="4" s="1"/>
  <c r="J175" i="4"/>
  <c r="I175" i="4"/>
  <c r="K175" i="4" s="1"/>
  <c r="J174" i="4"/>
  <c r="I174" i="4"/>
  <c r="K174" i="4" s="1"/>
  <c r="J173" i="4"/>
  <c r="I173" i="4"/>
  <c r="K173" i="4" s="1"/>
  <c r="L173" i="4" s="1"/>
  <c r="J172" i="4"/>
  <c r="I172" i="4"/>
  <c r="K172" i="4" s="1"/>
  <c r="J171" i="4"/>
  <c r="I171" i="4"/>
  <c r="K171" i="4" s="1"/>
  <c r="J170" i="4"/>
  <c r="I170" i="4"/>
  <c r="K170" i="4" s="1"/>
  <c r="L170" i="4" s="1"/>
  <c r="J169" i="4"/>
  <c r="I169" i="4"/>
  <c r="K169" i="4" s="1"/>
  <c r="L169" i="4" s="1"/>
  <c r="J168" i="4"/>
  <c r="I168" i="4"/>
  <c r="K168" i="4" s="1"/>
  <c r="J167" i="4"/>
  <c r="I167" i="4"/>
  <c r="K167" i="4" s="1"/>
  <c r="J166" i="4"/>
  <c r="I166" i="4"/>
  <c r="K166" i="4" s="1"/>
  <c r="J165" i="4"/>
  <c r="I165" i="4"/>
  <c r="K165" i="4" s="1"/>
  <c r="L165" i="4" s="1"/>
  <c r="J164" i="4"/>
  <c r="I164" i="4"/>
  <c r="K164" i="4" s="1"/>
  <c r="J163" i="4"/>
  <c r="I163" i="4"/>
  <c r="K163" i="4" s="1"/>
  <c r="J162" i="4"/>
  <c r="I162" i="4"/>
  <c r="K162" i="4" s="1"/>
  <c r="L162" i="4" s="1"/>
  <c r="J161" i="4"/>
  <c r="I161" i="4"/>
  <c r="K161" i="4" s="1"/>
  <c r="L161" i="4" s="1"/>
  <c r="J160" i="4"/>
  <c r="I160" i="4"/>
  <c r="K160" i="4" s="1"/>
  <c r="J159" i="4"/>
  <c r="I159" i="4"/>
  <c r="K159" i="4" s="1"/>
  <c r="J158" i="4"/>
  <c r="I158" i="4"/>
  <c r="K158" i="4" s="1"/>
  <c r="L158" i="4" s="1"/>
  <c r="J157" i="4"/>
  <c r="I157" i="4"/>
  <c r="K157" i="4" s="1"/>
  <c r="L157" i="4" s="1"/>
  <c r="J156" i="4"/>
  <c r="I156" i="4"/>
  <c r="K156" i="4" s="1"/>
  <c r="J155" i="4"/>
  <c r="I155" i="4"/>
  <c r="K155" i="4" s="1"/>
  <c r="J154" i="4"/>
  <c r="I154" i="4"/>
  <c r="K154" i="4" s="1"/>
  <c r="L154" i="4" s="1"/>
  <c r="J153" i="4"/>
  <c r="I153" i="4"/>
  <c r="K153" i="4" s="1"/>
  <c r="L153" i="4" s="1"/>
  <c r="J152" i="4"/>
  <c r="I152" i="4"/>
  <c r="K152" i="4" s="1"/>
  <c r="J151" i="4"/>
  <c r="I151" i="4"/>
  <c r="K151" i="4" s="1"/>
  <c r="J150" i="4"/>
  <c r="I150" i="4"/>
  <c r="K150" i="4" s="1"/>
  <c r="L150" i="4" s="1"/>
  <c r="J149" i="4"/>
  <c r="I149" i="4"/>
  <c r="K149" i="4" s="1"/>
  <c r="J148" i="4"/>
  <c r="I148" i="4"/>
  <c r="K148" i="4" s="1"/>
  <c r="J147" i="4"/>
  <c r="I147" i="4"/>
  <c r="K147" i="4" s="1"/>
  <c r="J146" i="4"/>
  <c r="I146" i="4"/>
  <c r="K146" i="4" s="1"/>
  <c r="J145" i="4"/>
  <c r="I145" i="4"/>
  <c r="K145" i="4" s="1"/>
  <c r="L145" i="4" s="1"/>
  <c r="J144" i="4"/>
  <c r="I144" i="4"/>
  <c r="K144" i="4" s="1"/>
  <c r="J143" i="4"/>
  <c r="I143" i="4"/>
  <c r="K143" i="4" s="1"/>
  <c r="J142" i="4"/>
  <c r="I142" i="4"/>
  <c r="K142" i="4" s="1"/>
  <c r="J141" i="4"/>
  <c r="I141" i="4"/>
  <c r="K141" i="4" s="1"/>
  <c r="J140" i="4"/>
  <c r="I140" i="4"/>
  <c r="K140" i="4" s="1"/>
  <c r="J139" i="4"/>
  <c r="I139" i="4"/>
  <c r="K139" i="4" s="1"/>
  <c r="J138" i="4"/>
  <c r="I138" i="4"/>
  <c r="K138" i="4" s="1"/>
  <c r="J137" i="4"/>
  <c r="I137" i="4"/>
  <c r="K137" i="4" s="1"/>
  <c r="L137" i="4" s="1"/>
  <c r="J136" i="4"/>
  <c r="I136" i="4"/>
  <c r="K136" i="4" s="1"/>
  <c r="J135" i="4"/>
  <c r="I135" i="4"/>
  <c r="K135" i="4" s="1"/>
  <c r="J134" i="4"/>
  <c r="I134" i="4"/>
  <c r="K134" i="4" s="1"/>
  <c r="J133" i="4"/>
  <c r="I133" i="4"/>
  <c r="K133" i="4" s="1"/>
  <c r="J132" i="4"/>
  <c r="I132" i="4"/>
  <c r="K132" i="4" s="1"/>
  <c r="J131" i="4"/>
  <c r="I131" i="4"/>
  <c r="K131" i="4" s="1"/>
  <c r="J130" i="4"/>
  <c r="I130" i="4"/>
  <c r="K130" i="4" s="1"/>
  <c r="J129" i="4"/>
  <c r="I129" i="4"/>
  <c r="K129" i="4" s="1"/>
  <c r="J128" i="4"/>
  <c r="I128" i="4"/>
  <c r="K128" i="4" s="1"/>
  <c r="J127" i="4"/>
  <c r="I127" i="4"/>
  <c r="K127" i="4" s="1"/>
  <c r="J126" i="4"/>
  <c r="I126" i="4"/>
  <c r="K126" i="4" s="1"/>
  <c r="L126" i="4" s="1"/>
  <c r="J125" i="4"/>
  <c r="I125" i="4"/>
  <c r="K125" i="4" s="1"/>
  <c r="J124" i="4"/>
  <c r="I124" i="4"/>
  <c r="K124" i="4" s="1"/>
  <c r="J123" i="4"/>
  <c r="I123" i="4"/>
  <c r="K123" i="4" s="1"/>
  <c r="J122" i="4"/>
  <c r="I122" i="4"/>
  <c r="K122" i="4" s="1"/>
  <c r="J121" i="4"/>
  <c r="I121" i="4"/>
  <c r="K121" i="4" s="1"/>
  <c r="L121" i="4" s="1"/>
  <c r="J120" i="4"/>
  <c r="I120" i="4"/>
  <c r="K120" i="4" s="1"/>
  <c r="J119" i="4"/>
  <c r="I119" i="4"/>
  <c r="K119" i="4" s="1"/>
  <c r="J118" i="4"/>
  <c r="I118" i="4"/>
  <c r="K118" i="4" s="1"/>
  <c r="J117" i="4"/>
  <c r="I117" i="4"/>
  <c r="K117" i="4" s="1"/>
  <c r="J116" i="4"/>
  <c r="I116" i="4"/>
  <c r="K116" i="4" s="1"/>
  <c r="J115" i="4"/>
  <c r="I115" i="4"/>
  <c r="K115" i="4" s="1"/>
  <c r="J114" i="4"/>
  <c r="I114" i="4"/>
  <c r="K114" i="4" s="1"/>
  <c r="J113" i="4"/>
  <c r="I113" i="4"/>
  <c r="K113" i="4" s="1"/>
  <c r="L113" i="4" s="1"/>
  <c r="J112" i="4"/>
  <c r="I112" i="4"/>
  <c r="K112" i="4" s="1"/>
  <c r="J111" i="4"/>
  <c r="I111" i="4"/>
  <c r="K111" i="4" s="1"/>
  <c r="J110" i="4"/>
  <c r="I110" i="4"/>
  <c r="K110" i="4" s="1"/>
  <c r="J109" i="4"/>
  <c r="I109" i="4"/>
  <c r="K109" i="4" s="1"/>
  <c r="J108" i="4"/>
  <c r="I108" i="4"/>
  <c r="K108" i="4" s="1"/>
  <c r="J107" i="4"/>
  <c r="I107" i="4"/>
  <c r="K107" i="4" s="1"/>
  <c r="L107" i="4" s="1"/>
  <c r="J106" i="4"/>
  <c r="I106" i="4"/>
  <c r="K106" i="4" s="1"/>
  <c r="L106" i="4" s="1"/>
  <c r="J105" i="4"/>
  <c r="I105" i="4"/>
  <c r="K105" i="4" s="1"/>
  <c r="J104" i="4"/>
  <c r="I104" i="4"/>
  <c r="K104" i="4" s="1"/>
  <c r="J103" i="4"/>
  <c r="I103" i="4"/>
  <c r="K103" i="4" s="1"/>
  <c r="J102" i="4"/>
  <c r="I102" i="4"/>
  <c r="K102" i="4" s="1"/>
  <c r="J101" i="4"/>
  <c r="I101" i="4"/>
  <c r="K101" i="4" s="1"/>
  <c r="J100" i="4"/>
  <c r="I100" i="4"/>
  <c r="K100" i="4" s="1"/>
  <c r="J99" i="4"/>
  <c r="I99" i="4"/>
  <c r="K99" i="4" s="1"/>
  <c r="J98" i="4"/>
  <c r="I98" i="4"/>
  <c r="K98" i="4" s="1"/>
  <c r="J97" i="4"/>
  <c r="I97" i="4"/>
  <c r="K97" i="4" s="1"/>
  <c r="J96" i="4"/>
  <c r="I96" i="4"/>
  <c r="K96" i="4" s="1"/>
  <c r="J95" i="4"/>
  <c r="I95" i="4"/>
  <c r="K95" i="4" s="1"/>
  <c r="J94" i="4"/>
  <c r="I94" i="4"/>
  <c r="K94" i="4" s="1"/>
  <c r="J93" i="4"/>
  <c r="I93" i="4"/>
  <c r="K93" i="4" s="1"/>
  <c r="J92" i="4"/>
  <c r="I92" i="4"/>
  <c r="K92" i="4" s="1"/>
  <c r="J91" i="4"/>
  <c r="I91" i="4"/>
  <c r="K91" i="4" s="1"/>
  <c r="J90" i="4"/>
  <c r="I90" i="4"/>
  <c r="K90" i="4" s="1"/>
  <c r="J89" i="4"/>
  <c r="I89" i="4"/>
  <c r="K89" i="4" s="1"/>
  <c r="J88" i="4"/>
  <c r="I88" i="4"/>
  <c r="K88" i="4" s="1"/>
  <c r="J87" i="4"/>
  <c r="I87" i="4"/>
  <c r="K87" i="4" s="1"/>
  <c r="J86" i="4"/>
  <c r="I86" i="4"/>
  <c r="K86" i="4" s="1"/>
  <c r="J85" i="4"/>
  <c r="I85" i="4"/>
  <c r="K85" i="4" s="1"/>
  <c r="J84" i="4"/>
  <c r="I84" i="4"/>
  <c r="K84" i="4" s="1"/>
  <c r="J83" i="4"/>
  <c r="I83" i="4"/>
  <c r="K83" i="4" s="1"/>
  <c r="J82" i="4"/>
  <c r="I82" i="4"/>
  <c r="K82" i="4" s="1"/>
  <c r="L82" i="4" s="1"/>
  <c r="J81" i="4"/>
  <c r="I81" i="4"/>
  <c r="K81" i="4" s="1"/>
  <c r="J80" i="4"/>
  <c r="I80" i="4"/>
  <c r="K80" i="4" s="1"/>
  <c r="J79" i="4"/>
  <c r="I79" i="4"/>
  <c r="K79" i="4" s="1"/>
  <c r="L79" i="4" s="1"/>
  <c r="V81" i="4" s="1"/>
  <c r="J78" i="4"/>
  <c r="I78" i="4"/>
  <c r="K78" i="4" s="1"/>
  <c r="L78" i="4" s="1"/>
  <c r="J77" i="4"/>
  <c r="I77" i="4"/>
  <c r="K77" i="4" s="1"/>
  <c r="J76" i="4"/>
  <c r="I76" i="4"/>
  <c r="K76" i="4" s="1"/>
  <c r="J75" i="4"/>
  <c r="I75" i="4"/>
  <c r="K75" i="4" s="1"/>
  <c r="J74" i="4"/>
  <c r="I74" i="4"/>
  <c r="K74" i="4" s="1"/>
  <c r="J73" i="4"/>
  <c r="I73" i="4"/>
  <c r="K73" i="4" s="1"/>
  <c r="J72" i="4"/>
  <c r="I72" i="4"/>
  <c r="K72" i="4" s="1"/>
  <c r="J71" i="4"/>
  <c r="I71" i="4"/>
  <c r="K71" i="4" s="1"/>
  <c r="L71" i="4" s="1"/>
  <c r="J70" i="4"/>
  <c r="I70" i="4"/>
  <c r="K70" i="4" s="1"/>
  <c r="J69" i="4"/>
  <c r="I69" i="4"/>
  <c r="K69" i="4" s="1"/>
  <c r="J68" i="4"/>
  <c r="I68" i="4"/>
  <c r="K68" i="4" s="1"/>
  <c r="J67" i="4"/>
  <c r="I67" i="4"/>
  <c r="K67" i="4" s="1"/>
  <c r="J66" i="4"/>
  <c r="I66" i="4"/>
  <c r="K66" i="4" s="1"/>
  <c r="J65" i="4"/>
  <c r="I65" i="4"/>
  <c r="K65" i="4" s="1"/>
  <c r="J64" i="4"/>
  <c r="I64" i="4"/>
  <c r="K64" i="4" s="1"/>
  <c r="J63" i="4"/>
  <c r="I63" i="4"/>
  <c r="K63" i="4" s="1"/>
  <c r="L63" i="4" s="1"/>
  <c r="J62" i="4"/>
  <c r="I62" i="4"/>
  <c r="K62" i="4" s="1"/>
  <c r="L62" i="4" s="1"/>
  <c r="J61" i="4"/>
  <c r="I61" i="4"/>
  <c r="K61" i="4" s="1"/>
  <c r="J60" i="4"/>
  <c r="I60" i="4"/>
  <c r="K60" i="4" s="1"/>
  <c r="J59" i="4"/>
  <c r="I59" i="4"/>
  <c r="K59" i="4" s="1"/>
  <c r="L59" i="4" s="1"/>
  <c r="J58" i="4"/>
  <c r="I58" i="4"/>
  <c r="K58" i="4" s="1"/>
  <c r="L58" i="4" s="1"/>
  <c r="J57" i="4"/>
  <c r="I57" i="4"/>
  <c r="K57" i="4" s="1"/>
  <c r="J56" i="4"/>
  <c r="I56" i="4"/>
  <c r="K56" i="4" s="1"/>
  <c r="J55" i="4"/>
  <c r="I55" i="4"/>
  <c r="K55" i="4" s="1"/>
  <c r="J54" i="4"/>
  <c r="I54" i="4"/>
  <c r="K54" i="4" s="1"/>
  <c r="L54" i="4" s="1"/>
  <c r="J53" i="4"/>
  <c r="I53" i="4"/>
  <c r="K53" i="4" s="1"/>
  <c r="J52" i="4"/>
  <c r="I52" i="4"/>
  <c r="K52" i="4" s="1"/>
  <c r="J51" i="4"/>
  <c r="I51" i="4"/>
  <c r="K51" i="4" s="1"/>
  <c r="L51" i="4" s="1"/>
  <c r="J50" i="4"/>
  <c r="I50" i="4"/>
  <c r="K50" i="4" s="1"/>
  <c r="L50" i="4" s="1"/>
  <c r="J49" i="4"/>
  <c r="I49" i="4"/>
  <c r="K49" i="4" s="1"/>
  <c r="J48" i="4"/>
  <c r="I48" i="4"/>
  <c r="K48" i="4" s="1"/>
  <c r="J47" i="4"/>
  <c r="I47" i="4"/>
  <c r="K47" i="4" s="1"/>
  <c r="L47" i="4" s="1"/>
  <c r="J46" i="4"/>
  <c r="I46" i="4"/>
  <c r="K46" i="4" s="1"/>
  <c r="J45" i="4"/>
  <c r="I45" i="4"/>
  <c r="K45" i="4" s="1"/>
  <c r="J44" i="4"/>
  <c r="I44" i="4"/>
  <c r="K44" i="4" s="1"/>
  <c r="J43" i="4"/>
  <c r="I43" i="4"/>
  <c r="K43" i="4" s="1"/>
  <c r="J42" i="4"/>
  <c r="I42" i="4"/>
  <c r="K42" i="4" s="1"/>
  <c r="J41" i="4"/>
  <c r="I41" i="4"/>
  <c r="K41" i="4" s="1"/>
  <c r="J40" i="4"/>
  <c r="I40" i="4"/>
  <c r="K40" i="4" s="1"/>
  <c r="J39" i="4"/>
  <c r="I39" i="4"/>
  <c r="K39" i="4" s="1"/>
  <c r="J38" i="4"/>
  <c r="I38" i="4"/>
  <c r="K38" i="4" s="1"/>
  <c r="L38" i="4" s="1"/>
  <c r="J37" i="4"/>
  <c r="I37" i="4"/>
  <c r="K37" i="4" s="1"/>
  <c r="J36" i="4"/>
  <c r="I36" i="4"/>
  <c r="K36" i="4" s="1"/>
  <c r="J35" i="4"/>
  <c r="I35" i="4"/>
  <c r="K35" i="4" s="1"/>
  <c r="L35" i="4" s="1"/>
  <c r="J34" i="4"/>
  <c r="I34" i="4"/>
  <c r="K34" i="4" s="1"/>
  <c r="L34" i="4" s="1"/>
  <c r="J33" i="4"/>
  <c r="I33" i="4"/>
  <c r="K33" i="4" s="1"/>
  <c r="J32" i="4"/>
  <c r="I32" i="4"/>
  <c r="K32" i="4" s="1"/>
  <c r="J31" i="4"/>
  <c r="I31" i="4"/>
  <c r="K31" i="4" s="1"/>
  <c r="L31" i="4" s="1"/>
  <c r="J30" i="4"/>
  <c r="I30" i="4"/>
  <c r="K30" i="4" s="1"/>
  <c r="J29" i="4"/>
  <c r="I29" i="4"/>
  <c r="K29" i="4" s="1"/>
  <c r="J28" i="4"/>
  <c r="I28" i="4"/>
  <c r="K28" i="4" s="1"/>
  <c r="J27" i="4"/>
  <c r="I27" i="4"/>
  <c r="K27" i="4" s="1"/>
  <c r="J26" i="4"/>
  <c r="I26" i="4"/>
  <c r="K26" i="4" s="1"/>
  <c r="L26" i="4" s="1"/>
  <c r="J25" i="4"/>
  <c r="I25" i="4"/>
  <c r="K25" i="4" s="1"/>
  <c r="J24" i="4"/>
  <c r="I24" i="4"/>
  <c r="K24" i="4" s="1"/>
  <c r="J23" i="4"/>
  <c r="I23" i="4"/>
  <c r="K23" i="4" s="1"/>
  <c r="L23" i="4" s="1"/>
  <c r="J22" i="4"/>
  <c r="I22" i="4"/>
  <c r="K22" i="4" s="1"/>
  <c r="L22" i="4" s="1"/>
  <c r="J21" i="4"/>
  <c r="I21" i="4"/>
  <c r="K21" i="4" s="1"/>
  <c r="J20" i="4"/>
  <c r="I20" i="4"/>
  <c r="K20" i="4" s="1"/>
  <c r="J19" i="4"/>
  <c r="I19" i="4"/>
  <c r="K19" i="4" s="1"/>
  <c r="L19" i="4" s="1"/>
  <c r="J18" i="4"/>
  <c r="I18" i="4"/>
  <c r="K18" i="4" s="1"/>
  <c r="L18" i="4" s="1"/>
  <c r="J17" i="4"/>
  <c r="I17" i="4"/>
  <c r="K17" i="4" s="1"/>
  <c r="J16" i="4"/>
  <c r="I16" i="4"/>
  <c r="K16" i="4" s="1"/>
  <c r="J15" i="4"/>
  <c r="I15" i="4"/>
  <c r="K15" i="4" s="1"/>
  <c r="J14" i="4"/>
  <c r="I14" i="4"/>
  <c r="K14" i="4" s="1"/>
  <c r="L14" i="4" s="1"/>
  <c r="J13" i="4"/>
  <c r="I13" i="4"/>
  <c r="K13" i="4" s="1"/>
  <c r="L13" i="4" s="1"/>
  <c r="J12" i="4"/>
  <c r="I12" i="4"/>
  <c r="K12" i="4" s="1"/>
  <c r="J11" i="4"/>
  <c r="I11" i="4"/>
  <c r="K11" i="4" s="1"/>
  <c r="L11" i="4" s="1"/>
  <c r="J10" i="4"/>
  <c r="I10" i="4"/>
  <c r="K10" i="4" s="1"/>
  <c r="J9" i="4"/>
  <c r="I9" i="4"/>
  <c r="K9" i="4" s="1"/>
  <c r="J8" i="4"/>
  <c r="I8" i="4"/>
  <c r="K8" i="4" s="1"/>
  <c r="J7" i="4"/>
  <c r="I7" i="4"/>
  <c r="K7" i="4" s="1"/>
  <c r="J6" i="4"/>
  <c r="I6" i="4"/>
  <c r="K6" i="4" s="1"/>
  <c r="J5" i="4"/>
  <c r="I5" i="4"/>
  <c r="K5" i="4" s="1"/>
  <c r="J4" i="4"/>
  <c r="I4" i="4"/>
  <c r="K4" i="4" s="1"/>
  <c r="J3" i="4"/>
  <c r="I3" i="4"/>
  <c r="K3" i="4" s="1"/>
  <c r="J2" i="4"/>
  <c r="I2" i="4"/>
  <c r="K2" i="4" s="1"/>
  <c r="J322" i="3"/>
  <c r="I322" i="3"/>
  <c r="K322" i="3" s="1"/>
  <c r="J321" i="3"/>
  <c r="I321" i="3"/>
  <c r="K321" i="3" s="1"/>
  <c r="J320" i="3"/>
  <c r="I320" i="3"/>
  <c r="K320" i="3" s="1"/>
  <c r="J319" i="3"/>
  <c r="I319" i="3"/>
  <c r="K319" i="3" s="1"/>
  <c r="J318" i="3"/>
  <c r="I318" i="3"/>
  <c r="K318" i="3" s="1"/>
  <c r="J317" i="3"/>
  <c r="I317" i="3"/>
  <c r="K317" i="3" s="1"/>
  <c r="L317" i="3" s="1"/>
  <c r="V99" i="3" s="1"/>
  <c r="J316" i="3"/>
  <c r="I316" i="3"/>
  <c r="K316" i="3" s="1"/>
  <c r="J315" i="3"/>
  <c r="I315" i="3"/>
  <c r="K315" i="3" s="1"/>
  <c r="J314" i="3"/>
  <c r="I314" i="3"/>
  <c r="K314" i="3" s="1"/>
  <c r="J313" i="3"/>
  <c r="I313" i="3"/>
  <c r="K313" i="3" s="1"/>
  <c r="J312" i="3"/>
  <c r="I312" i="3"/>
  <c r="K312" i="3" s="1"/>
  <c r="J311" i="3"/>
  <c r="I311" i="3"/>
  <c r="K311" i="3" s="1"/>
  <c r="J310" i="3"/>
  <c r="I310" i="3"/>
  <c r="K310" i="3" s="1"/>
  <c r="J309" i="3"/>
  <c r="I309" i="3"/>
  <c r="K309" i="3" s="1"/>
  <c r="L309" i="3" s="1"/>
  <c r="V91" i="3" s="1"/>
  <c r="J308" i="3"/>
  <c r="I308" i="3"/>
  <c r="K308" i="3" s="1"/>
  <c r="J307" i="3"/>
  <c r="I307" i="3"/>
  <c r="K307" i="3" s="1"/>
  <c r="J306" i="3"/>
  <c r="I306" i="3"/>
  <c r="K306" i="3" s="1"/>
  <c r="J305" i="3"/>
  <c r="I305" i="3"/>
  <c r="K305" i="3" s="1"/>
  <c r="L305" i="3" s="1"/>
  <c r="V87" i="3" s="1"/>
  <c r="J304" i="3"/>
  <c r="I304" i="3"/>
  <c r="K304" i="3" s="1"/>
  <c r="J303" i="3"/>
  <c r="I303" i="3"/>
  <c r="K303" i="3" s="1"/>
  <c r="J302" i="3"/>
  <c r="I302" i="3"/>
  <c r="K302" i="3" s="1"/>
  <c r="J301" i="3"/>
  <c r="I301" i="3"/>
  <c r="K301" i="3" s="1"/>
  <c r="J300" i="3"/>
  <c r="I300" i="3"/>
  <c r="K300" i="3" s="1"/>
  <c r="J299" i="3"/>
  <c r="I299" i="3"/>
  <c r="K299" i="3" s="1"/>
  <c r="J298" i="3"/>
  <c r="I298" i="3"/>
  <c r="K298" i="3" s="1"/>
  <c r="J297" i="3"/>
  <c r="I297" i="3"/>
  <c r="K297" i="3" s="1"/>
  <c r="L297" i="3" s="1"/>
  <c r="J296" i="3"/>
  <c r="I296" i="3"/>
  <c r="K296" i="3" s="1"/>
  <c r="J295" i="3"/>
  <c r="I295" i="3"/>
  <c r="K295" i="3" s="1"/>
  <c r="J294" i="3"/>
  <c r="I294" i="3"/>
  <c r="K294" i="3" s="1"/>
  <c r="J293" i="3"/>
  <c r="I293" i="3"/>
  <c r="K293" i="3" s="1"/>
  <c r="J292" i="3"/>
  <c r="I292" i="3"/>
  <c r="K292" i="3" s="1"/>
  <c r="J291" i="3"/>
  <c r="I291" i="3"/>
  <c r="K291" i="3" s="1"/>
  <c r="J290" i="3"/>
  <c r="I290" i="3"/>
  <c r="K290" i="3" s="1"/>
  <c r="J289" i="3"/>
  <c r="I289" i="3"/>
  <c r="K289" i="3" s="1"/>
  <c r="L289" i="3" s="1"/>
  <c r="J288" i="3"/>
  <c r="I288" i="3"/>
  <c r="K288" i="3" s="1"/>
  <c r="J287" i="3"/>
  <c r="I287" i="3"/>
  <c r="K287" i="3" s="1"/>
  <c r="J286" i="3"/>
  <c r="I286" i="3"/>
  <c r="K286" i="3" s="1"/>
  <c r="J285" i="3"/>
  <c r="I285" i="3"/>
  <c r="K285" i="3" s="1"/>
  <c r="L285" i="3" s="1"/>
  <c r="J284" i="3"/>
  <c r="I284" i="3"/>
  <c r="K284" i="3" s="1"/>
  <c r="J283" i="3"/>
  <c r="I283" i="3"/>
  <c r="K283" i="3" s="1"/>
  <c r="J282" i="3"/>
  <c r="I282" i="3"/>
  <c r="K282" i="3" s="1"/>
  <c r="J281" i="3"/>
  <c r="I281" i="3"/>
  <c r="K281" i="3" s="1"/>
  <c r="J280" i="3"/>
  <c r="I280" i="3"/>
  <c r="K280" i="3" s="1"/>
  <c r="J279" i="3"/>
  <c r="I279" i="3"/>
  <c r="K279" i="3" s="1"/>
  <c r="J278" i="3"/>
  <c r="I278" i="3"/>
  <c r="K278" i="3" s="1"/>
  <c r="J277" i="3"/>
  <c r="I277" i="3"/>
  <c r="K277" i="3" s="1"/>
  <c r="K276" i="3"/>
  <c r="J276" i="3"/>
  <c r="I276" i="3"/>
  <c r="J275" i="3"/>
  <c r="I275" i="3"/>
  <c r="K275" i="3" s="1"/>
  <c r="J274" i="3"/>
  <c r="I274" i="3"/>
  <c r="K274" i="3" s="1"/>
  <c r="J273" i="3"/>
  <c r="I273" i="3"/>
  <c r="K273" i="3" s="1"/>
  <c r="J272" i="3"/>
  <c r="I272" i="3"/>
  <c r="K272" i="3" s="1"/>
  <c r="J271" i="3"/>
  <c r="I271" i="3"/>
  <c r="K271" i="3" s="1"/>
  <c r="J270" i="3"/>
  <c r="I270" i="3"/>
  <c r="K270" i="3" s="1"/>
  <c r="J269" i="3"/>
  <c r="I269" i="3"/>
  <c r="K269" i="3" s="1"/>
  <c r="J268" i="3"/>
  <c r="I268" i="3"/>
  <c r="K268" i="3" s="1"/>
  <c r="J267" i="3"/>
  <c r="I267" i="3"/>
  <c r="K267" i="3" s="1"/>
  <c r="J266" i="3"/>
  <c r="I266" i="3"/>
  <c r="K266" i="3" s="1"/>
  <c r="J265" i="3"/>
  <c r="I265" i="3"/>
  <c r="K265" i="3" s="1"/>
  <c r="J264" i="3"/>
  <c r="I264" i="3"/>
  <c r="K264" i="3" s="1"/>
  <c r="J263" i="3"/>
  <c r="I263" i="3"/>
  <c r="K263" i="3" s="1"/>
  <c r="J262" i="3"/>
  <c r="I262" i="3"/>
  <c r="K262" i="3" s="1"/>
  <c r="J261" i="3"/>
  <c r="I261" i="3"/>
  <c r="K261" i="3" s="1"/>
  <c r="J260" i="3"/>
  <c r="I260" i="3"/>
  <c r="K260" i="3" s="1"/>
  <c r="J259" i="3"/>
  <c r="I259" i="3"/>
  <c r="K259" i="3" s="1"/>
  <c r="J258" i="3"/>
  <c r="I258" i="3"/>
  <c r="K258" i="3" s="1"/>
  <c r="J257" i="3"/>
  <c r="I257" i="3"/>
  <c r="K257" i="3" s="1"/>
  <c r="J256" i="3"/>
  <c r="I256" i="3"/>
  <c r="K256" i="3" s="1"/>
  <c r="J255" i="3"/>
  <c r="I255" i="3"/>
  <c r="K255" i="3" s="1"/>
  <c r="J254" i="3"/>
  <c r="I254" i="3"/>
  <c r="K254" i="3" s="1"/>
  <c r="J253" i="3"/>
  <c r="I253" i="3"/>
  <c r="K253" i="3" s="1"/>
  <c r="J252" i="3"/>
  <c r="I252" i="3"/>
  <c r="K252" i="3" s="1"/>
  <c r="J251" i="3"/>
  <c r="I251" i="3"/>
  <c r="K251" i="3" s="1"/>
  <c r="J250" i="3"/>
  <c r="I250" i="3"/>
  <c r="K250" i="3" s="1"/>
  <c r="J249" i="3"/>
  <c r="I249" i="3"/>
  <c r="K249" i="3" s="1"/>
  <c r="J248" i="3"/>
  <c r="I248" i="3"/>
  <c r="K248" i="3" s="1"/>
  <c r="J247" i="3"/>
  <c r="I247" i="3"/>
  <c r="K247" i="3" s="1"/>
  <c r="J246" i="3"/>
  <c r="I246" i="3"/>
  <c r="K246" i="3" s="1"/>
  <c r="J245" i="3"/>
  <c r="I245" i="3"/>
  <c r="K245" i="3" s="1"/>
  <c r="J244" i="3"/>
  <c r="I244" i="3"/>
  <c r="K244" i="3" s="1"/>
  <c r="J243" i="3"/>
  <c r="I243" i="3"/>
  <c r="K243" i="3" s="1"/>
  <c r="J242" i="3"/>
  <c r="I242" i="3"/>
  <c r="K242" i="3" s="1"/>
  <c r="J241" i="3"/>
  <c r="I241" i="3"/>
  <c r="K241" i="3" s="1"/>
  <c r="J240" i="3"/>
  <c r="I240" i="3"/>
  <c r="K240" i="3" s="1"/>
  <c r="J239" i="3"/>
  <c r="I239" i="3"/>
  <c r="K239" i="3" s="1"/>
  <c r="J238" i="3"/>
  <c r="I238" i="3"/>
  <c r="K238" i="3" s="1"/>
  <c r="J237" i="3"/>
  <c r="I237" i="3"/>
  <c r="K237" i="3" s="1"/>
  <c r="J236" i="3"/>
  <c r="I236" i="3"/>
  <c r="K236" i="3" s="1"/>
  <c r="J235" i="3"/>
  <c r="I235" i="3"/>
  <c r="K235" i="3" s="1"/>
  <c r="J234" i="3"/>
  <c r="I234" i="3"/>
  <c r="K234" i="3" s="1"/>
  <c r="J233" i="3"/>
  <c r="I233" i="3"/>
  <c r="K233" i="3" s="1"/>
  <c r="J232" i="3"/>
  <c r="I232" i="3"/>
  <c r="K232" i="3" s="1"/>
  <c r="J231" i="3"/>
  <c r="I231" i="3"/>
  <c r="K231" i="3" s="1"/>
  <c r="J230" i="3"/>
  <c r="I230" i="3"/>
  <c r="K230" i="3" s="1"/>
  <c r="J229" i="3"/>
  <c r="I229" i="3"/>
  <c r="K229" i="3" s="1"/>
  <c r="J228" i="3"/>
  <c r="I228" i="3"/>
  <c r="K228" i="3" s="1"/>
  <c r="J227" i="3"/>
  <c r="I227" i="3"/>
  <c r="K227" i="3" s="1"/>
  <c r="J226" i="3"/>
  <c r="I226" i="3"/>
  <c r="K226" i="3" s="1"/>
  <c r="J225" i="3"/>
  <c r="I225" i="3"/>
  <c r="K225" i="3" s="1"/>
  <c r="J224" i="3"/>
  <c r="I224" i="3"/>
  <c r="K224" i="3" s="1"/>
  <c r="J223" i="3"/>
  <c r="I223" i="3"/>
  <c r="K223" i="3" s="1"/>
  <c r="J222" i="3"/>
  <c r="I222" i="3"/>
  <c r="K222" i="3" s="1"/>
  <c r="J221" i="3"/>
  <c r="I221" i="3"/>
  <c r="K221" i="3" s="1"/>
  <c r="J220" i="3"/>
  <c r="I220" i="3"/>
  <c r="K220" i="3" s="1"/>
  <c r="J219" i="3"/>
  <c r="I219" i="3"/>
  <c r="K219" i="3" s="1"/>
  <c r="L219" i="3" s="1"/>
  <c r="J218" i="3"/>
  <c r="I218" i="3"/>
  <c r="K218" i="3" s="1"/>
  <c r="J217" i="3"/>
  <c r="I217" i="3"/>
  <c r="K217" i="3" s="1"/>
  <c r="J216" i="3"/>
  <c r="I216" i="3"/>
  <c r="K216" i="3" s="1"/>
  <c r="J215" i="3"/>
  <c r="I215" i="3"/>
  <c r="K215" i="3" s="1"/>
  <c r="J214" i="3"/>
  <c r="I214" i="3"/>
  <c r="K214" i="3" s="1"/>
  <c r="J213" i="3"/>
  <c r="I213" i="3"/>
  <c r="K213" i="3" s="1"/>
  <c r="J212" i="3"/>
  <c r="I212" i="3"/>
  <c r="K212" i="3" s="1"/>
  <c r="J211" i="3"/>
  <c r="I211" i="3"/>
  <c r="K211" i="3" s="1"/>
  <c r="L211" i="3" s="1"/>
  <c r="J210" i="3"/>
  <c r="I210" i="3"/>
  <c r="K210" i="3" s="1"/>
  <c r="J209" i="3"/>
  <c r="I209" i="3"/>
  <c r="K209" i="3" s="1"/>
  <c r="J208" i="3"/>
  <c r="I208" i="3"/>
  <c r="K208" i="3" s="1"/>
  <c r="J207" i="3"/>
  <c r="I207" i="3"/>
  <c r="K207" i="3" s="1"/>
  <c r="L207" i="3" s="1"/>
  <c r="J206" i="3"/>
  <c r="I206" i="3"/>
  <c r="K206" i="3" s="1"/>
  <c r="J205" i="3"/>
  <c r="I205" i="3"/>
  <c r="K205" i="3" s="1"/>
  <c r="J204" i="3"/>
  <c r="I204" i="3"/>
  <c r="K204" i="3" s="1"/>
  <c r="J203" i="3"/>
  <c r="I203" i="3"/>
  <c r="K203" i="3" s="1"/>
  <c r="J202" i="3"/>
  <c r="I202" i="3"/>
  <c r="K202" i="3" s="1"/>
  <c r="J201" i="3"/>
  <c r="I201" i="3"/>
  <c r="K201" i="3" s="1"/>
  <c r="J200" i="3"/>
  <c r="I200" i="3"/>
  <c r="K200" i="3" s="1"/>
  <c r="J199" i="3"/>
  <c r="I199" i="3"/>
  <c r="K199" i="3" s="1"/>
  <c r="J198" i="3"/>
  <c r="I198" i="3"/>
  <c r="K198" i="3" s="1"/>
  <c r="J197" i="3"/>
  <c r="I197" i="3"/>
  <c r="K197" i="3" s="1"/>
  <c r="J196" i="3"/>
  <c r="I196" i="3"/>
  <c r="K196" i="3" s="1"/>
  <c r="J195" i="3"/>
  <c r="I195" i="3"/>
  <c r="K195" i="3" s="1"/>
  <c r="J194" i="3"/>
  <c r="I194" i="3"/>
  <c r="K194" i="3" s="1"/>
  <c r="J193" i="3"/>
  <c r="I193" i="3"/>
  <c r="K193" i="3" s="1"/>
  <c r="J192" i="3"/>
  <c r="I192" i="3"/>
  <c r="K192" i="3" s="1"/>
  <c r="J191" i="3"/>
  <c r="I191" i="3"/>
  <c r="K191" i="3" s="1"/>
  <c r="L191" i="3" s="1"/>
  <c r="J190" i="3"/>
  <c r="I190" i="3"/>
  <c r="K190" i="3" s="1"/>
  <c r="J189" i="3"/>
  <c r="I189" i="3"/>
  <c r="K189" i="3" s="1"/>
  <c r="J188" i="3"/>
  <c r="I188" i="3"/>
  <c r="K188" i="3" s="1"/>
  <c r="J187" i="3"/>
  <c r="I187" i="3"/>
  <c r="K187" i="3" s="1"/>
  <c r="J186" i="3"/>
  <c r="I186" i="3"/>
  <c r="K186" i="3" s="1"/>
  <c r="J185" i="3"/>
  <c r="I185" i="3"/>
  <c r="K185" i="3" s="1"/>
  <c r="J184" i="3"/>
  <c r="I184" i="3"/>
  <c r="K184" i="3" s="1"/>
  <c r="J183" i="3"/>
  <c r="I183" i="3"/>
  <c r="K183" i="3" s="1"/>
  <c r="J182" i="3"/>
  <c r="I182" i="3"/>
  <c r="K182" i="3" s="1"/>
  <c r="J181" i="3"/>
  <c r="I181" i="3"/>
  <c r="K181" i="3" s="1"/>
  <c r="J180" i="3"/>
  <c r="I180" i="3"/>
  <c r="K180" i="3" s="1"/>
  <c r="J179" i="3"/>
  <c r="I179" i="3"/>
  <c r="K179" i="3" s="1"/>
  <c r="J178" i="3"/>
  <c r="I178" i="3"/>
  <c r="K178" i="3" s="1"/>
  <c r="J177" i="3"/>
  <c r="I177" i="3"/>
  <c r="K177" i="3" s="1"/>
  <c r="J176" i="3"/>
  <c r="I176" i="3"/>
  <c r="K176" i="3" s="1"/>
  <c r="L176" i="3" s="1"/>
  <c r="J175" i="3"/>
  <c r="I175" i="3"/>
  <c r="K175" i="3" s="1"/>
  <c r="J174" i="3"/>
  <c r="I174" i="3"/>
  <c r="K174" i="3" s="1"/>
  <c r="J173" i="3"/>
  <c r="I173" i="3"/>
  <c r="K173" i="3" s="1"/>
  <c r="J172" i="3"/>
  <c r="I172" i="3"/>
  <c r="K172" i="3" s="1"/>
  <c r="L172" i="3" s="1"/>
  <c r="J171" i="3"/>
  <c r="I171" i="3"/>
  <c r="K171" i="3" s="1"/>
  <c r="J170" i="3"/>
  <c r="I170" i="3"/>
  <c r="K170" i="3" s="1"/>
  <c r="J169" i="3"/>
  <c r="I169" i="3"/>
  <c r="K169" i="3" s="1"/>
  <c r="J168" i="3"/>
  <c r="I168" i="3"/>
  <c r="K168" i="3" s="1"/>
  <c r="J167" i="3"/>
  <c r="I167" i="3"/>
  <c r="K167" i="3" s="1"/>
  <c r="J166" i="3"/>
  <c r="I166" i="3"/>
  <c r="K166" i="3" s="1"/>
  <c r="J165" i="3"/>
  <c r="I165" i="3"/>
  <c r="K165" i="3" s="1"/>
  <c r="J164" i="3"/>
  <c r="I164" i="3"/>
  <c r="K164" i="3" s="1"/>
  <c r="L164" i="3" s="1"/>
  <c r="J163" i="3"/>
  <c r="I163" i="3"/>
  <c r="K163" i="3" s="1"/>
  <c r="L163" i="3" s="1"/>
  <c r="J162" i="3"/>
  <c r="I162" i="3"/>
  <c r="K162" i="3" s="1"/>
  <c r="J161" i="3"/>
  <c r="I161" i="3"/>
  <c r="K161" i="3" s="1"/>
  <c r="J160" i="3"/>
  <c r="I160" i="3"/>
  <c r="K160" i="3" s="1"/>
  <c r="J159" i="3"/>
  <c r="I159" i="3"/>
  <c r="K159" i="3" s="1"/>
  <c r="J158" i="3"/>
  <c r="I158" i="3"/>
  <c r="K158" i="3" s="1"/>
  <c r="J157" i="3"/>
  <c r="I157" i="3"/>
  <c r="K157" i="3" s="1"/>
  <c r="L157" i="3" s="1"/>
  <c r="J156" i="3"/>
  <c r="I156" i="3"/>
  <c r="K156" i="3" s="1"/>
  <c r="J155" i="3"/>
  <c r="I155" i="3"/>
  <c r="K155" i="3" s="1"/>
  <c r="J154" i="3"/>
  <c r="I154" i="3"/>
  <c r="K154" i="3" s="1"/>
  <c r="J153" i="3"/>
  <c r="I153" i="3"/>
  <c r="K153" i="3" s="1"/>
  <c r="J152" i="3"/>
  <c r="I152" i="3"/>
  <c r="K152" i="3" s="1"/>
  <c r="J151" i="3"/>
  <c r="I151" i="3"/>
  <c r="K151" i="3" s="1"/>
  <c r="J150" i="3"/>
  <c r="I150" i="3"/>
  <c r="K150" i="3" s="1"/>
  <c r="J149" i="3"/>
  <c r="I149" i="3"/>
  <c r="K149" i="3" s="1"/>
  <c r="L149" i="3" s="1"/>
  <c r="J148" i="3"/>
  <c r="I148" i="3"/>
  <c r="K148" i="3" s="1"/>
  <c r="J147" i="3"/>
  <c r="I147" i="3"/>
  <c r="K147" i="3" s="1"/>
  <c r="J146" i="3"/>
  <c r="I146" i="3"/>
  <c r="K146" i="3" s="1"/>
  <c r="J145" i="3"/>
  <c r="I145" i="3"/>
  <c r="K145" i="3" s="1"/>
  <c r="L145" i="3" s="1"/>
  <c r="J144" i="3"/>
  <c r="I144" i="3"/>
  <c r="K144" i="3" s="1"/>
  <c r="J143" i="3"/>
  <c r="I143" i="3"/>
  <c r="K143" i="3" s="1"/>
  <c r="J142" i="3"/>
  <c r="I142" i="3"/>
  <c r="K142" i="3" s="1"/>
  <c r="J141" i="3"/>
  <c r="I141" i="3"/>
  <c r="K141" i="3" s="1"/>
  <c r="L141" i="3" s="1"/>
  <c r="J140" i="3"/>
  <c r="I140" i="3"/>
  <c r="K140" i="3" s="1"/>
  <c r="J139" i="3"/>
  <c r="I139" i="3"/>
  <c r="K139" i="3" s="1"/>
  <c r="J138" i="3"/>
  <c r="I138" i="3"/>
  <c r="K138" i="3" s="1"/>
  <c r="J137" i="3"/>
  <c r="I137" i="3"/>
  <c r="K137" i="3" s="1"/>
  <c r="L137" i="3" s="1"/>
  <c r="J136" i="3"/>
  <c r="I136" i="3"/>
  <c r="K136" i="3" s="1"/>
  <c r="J135" i="3"/>
  <c r="I135" i="3"/>
  <c r="K135" i="3" s="1"/>
  <c r="J134" i="3"/>
  <c r="I134" i="3"/>
  <c r="K134" i="3" s="1"/>
  <c r="J133" i="3"/>
  <c r="I133" i="3"/>
  <c r="K133" i="3" s="1"/>
  <c r="J132" i="3"/>
  <c r="I132" i="3"/>
  <c r="K132" i="3" s="1"/>
  <c r="J131" i="3"/>
  <c r="I131" i="3"/>
  <c r="K131" i="3" s="1"/>
  <c r="J130" i="3"/>
  <c r="I130" i="3"/>
  <c r="K130" i="3" s="1"/>
  <c r="J129" i="3"/>
  <c r="I129" i="3"/>
  <c r="K129" i="3" s="1"/>
  <c r="J128" i="3"/>
  <c r="I128" i="3"/>
  <c r="K128" i="3" s="1"/>
  <c r="J127" i="3"/>
  <c r="I127" i="3"/>
  <c r="K127" i="3" s="1"/>
  <c r="J126" i="3"/>
  <c r="I126" i="3"/>
  <c r="K126" i="3" s="1"/>
  <c r="J125" i="3"/>
  <c r="I125" i="3"/>
  <c r="K125" i="3" s="1"/>
  <c r="J124" i="3"/>
  <c r="I124" i="3"/>
  <c r="K124" i="3" s="1"/>
  <c r="J123" i="3"/>
  <c r="I123" i="3"/>
  <c r="K123" i="3" s="1"/>
  <c r="J122" i="3"/>
  <c r="I122" i="3"/>
  <c r="K122" i="3" s="1"/>
  <c r="J121" i="3"/>
  <c r="I121" i="3"/>
  <c r="K121" i="3" s="1"/>
  <c r="J120" i="3"/>
  <c r="I120" i="3"/>
  <c r="K120" i="3" s="1"/>
  <c r="J119" i="3"/>
  <c r="I119" i="3"/>
  <c r="K119" i="3" s="1"/>
  <c r="J118" i="3"/>
  <c r="I118" i="3"/>
  <c r="K118" i="3" s="1"/>
  <c r="J117" i="3"/>
  <c r="I117" i="3"/>
  <c r="K117" i="3" s="1"/>
  <c r="J116" i="3"/>
  <c r="I116" i="3"/>
  <c r="K116" i="3" s="1"/>
  <c r="J115" i="3"/>
  <c r="I115" i="3"/>
  <c r="K115" i="3" s="1"/>
  <c r="J114" i="3"/>
  <c r="I114" i="3"/>
  <c r="K114" i="3" s="1"/>
  <c r="J113" i="3"/>
  <c r="I113" i="3"/>
  <c r="K113" i="3" s="1"/>
  <c r="J112" i="3"/>
  <c r="I112" i="3"/>
  <c r="K112" i="3" s="1"/>
  <c r="J111" i="3"/>
  <c r="I111" i="3"/>
  <c r="K111" i="3" s="1"/>
  <c r="J110" i="3"/>
  <c r="I110" i="3"/>
  <c r="K110" i="3" s="1"/>
  <c r="J109" i="3"/>
  <c r="I109" i="3"/>
  <c r="K109" i="3" s="1"/>
  <c r="J108" i="3"/>
  <c r="I108" i="3"/>
  <c r="K108" i="3" s="1"/>
  <c r="J107" i="3"/>
  <c r="I107" i="3"/>
  <c r="K107" i="3" s="1"/>
  <c r="J106" i="3"/>
  <c r="I106" i="3"/>
  <c r="K106" i="3" s="1"/>
  <c r="J105" i="3"/>
  <c r="I105" i="3"/>
  <c r="K105" i="3" s="1"/>
  <c r="J104" i="3"/>
  <c r="I104" i="3"/>
  <c r="K104" i="3" s="1"/>
  <c r="J103" i="3"/>
  <c r="I103" i="3"/>
  <c r="K103" i="3" s="1"/>
  <c r="J102" i="3"/>
  <c r="I102" i="3"/>
  <c r="K102" i="3" s="1"/>
  <c r="J101" i="3"/>
  <c r="I101" i="3"/>
  <c r="K101" i="3" s="1"/>
  <c r="J100" i="3"/>
  <c r="I100" i="3"/>
  <c r="K100" i="3" s="1"/>
  <c r="J99" i="3"/>
  <c r="I99" i="3"/>
  <c r="K99" i="3" s="1"/>
  <c r="J98" i="3"/>
  <c r="I98" i="3"/>
  <c r="K98" i="3" s="1"/>
  <c r="J97" i="3"/>
  <c r="I97" i="3"/>
  <c r="K97" i="3" s="1"/>
  <c r="J96" i="3"/>
  <c r="I96" i="3"/>
  <c r="K96" i="3" s="1"/>
  <c r="L96" i="3" s="1"/>
  <c r="J95" i="3"/>
  <c r="I95" i="3"/>
  <c r="K95" i="3" s="1"/>
  <c r="J94" i="3"/>
  <c r="I94" i="3"/>
  <c r="K94" i="3" s="1"/>
  <c r="J93" i="3"/>
  <c r="I93" i="3"/>
  <c r="K93" i="3" s="1"/>
  <c r="J92" i="3"/>
  <c r="I92" i="3"/>
  <c r="K92" i="3" s="1"/>
  <c r="L92" i="3" s="1"/>
  <c r="J91" i="3"/>
  <c r="I91" i="3"/>
  <c r="K91" i="3" s="1"/>
  <c r="J90" i="3"/>
  <c r="I90" i="3"/>
  <c r="K90" i="3" s="1"/>
  <c r="J89" i="3"/>
  <c r="I89" i="3"/>
  <c r="K89" i="3" s="1"/>
  <c r="J88" i="3"/>
  <c r="I88" i="3"/>
  <c r="K88" i="3" s="1"/>
  <c r="J87" i="3"/>
  <c r="I87" i="3"/>
  <c r="K87" i="3" s="1"/>
  <c r="J86" i="3"/>
  <c r="I86" i="3"/>
  <c r="K86" i="3" s="1"/>
  <c r="J85" i="3"/>
  <c r="I85" i="3"/>
  <c r="K85" i="3" s="1"/>
  <c r="J84" i="3"/>
  <c r="I84" i="3"/>
  <c r="K84" i="3" s="1"/>
  <c r="L84" i="3" s="1"/>
  <c r="J83" i="3"/>
  <c r="I83" i="3"/>
  <c r="K83" i="3" s="1"/>
  <c r="J82" i="3"/>
  <c r="I82" i="3"/>
  <c r="K82" i="3" s="1"/>
  <c r="J81" i="3"/>
  <c r="I81" i="3"/>
  <c r="K81" i="3" s="1"/>
  <c r="J80" i="3"/>
  <c r="I80" i="3"/>
  <c r="K80" i="3" s="1"/>
  <c r="J79" i="3"/>
  <c r="I79" i="3"/>
  <c r="K79" i="3" s="1"/>
  <c r="J78" i="3"/>
  <c r="I78" i="3"/>
  <c r="K78" i="3" s="1"/>
  <c r="J77" i="3"/>
  <c r="I77" i="3"/>
  <c r="K77" i="3" s="1"/>
  <c r="J76" i="3"/>
  <c r="I76" i="3"/>
  <c r="K76" i="3" s="1"/>
  <c r="L76" i="3" s="1"/>
  <c r="V78" i="3" s="1"/>
  <c r="J75" i="3"/>
  <c r="I75" i="3"/>
  <c r="K75" i="3" s="1"/>
  <c r="L75" i="3" s="1"/>
  <c r="V77" i="3" s="1"/>
  <c r="J74" i="3"/>
  <c r="I74" i="3"/>
  <c r="K74" i="3" s="1"/>
  <c r="J73" i="3"/>
  <c r="I73" i="3"/>
  <c r="K73" i="3" s="1"/>
  <c r="J72" i="3"/>
  <c r="I72" i="3"/>
  <c r="K72" i="3" s="1"/>
  <c r="J71" i="3"/>
  <c r="I71" i="3"/>
  <c r="K71" i="3" s="1"/>
  <c r="J70" i="3"/>
  <c r="I70" i="3"/>
  <c r="K70" i="3" s="1"/>
  <c r="J69" i="3"/>
  <c r="I69" i="3"/>
  <c r="K69" i="3" s="1"/>
  <c r="J68" i="3"/>
  <c r="I68" i="3"/>
  <c r="K68" i="3" s="1"/>
  <c r="J67" i="3"/>
  <c r="I67" i="3"/>
  <c r="K67" i="3" s="1"/>
  <c r="L67" i="3" s="1"/>
  <c r="K66" i="3"/>
  <c r="J66" i="3"/>
  <c r="I66" i="3"/>
  <c r="J65" i="3"/>
  <c r="I65" i="3"/>
  <c r="K65" i="3" s="1"/>
  <c r="J64" i="3"/>
  <c r="I64" i="3"/>
  <c r="K64" i="3" s="1"/>
  <c r="J63" i="3"/>
  <c r="I63" i="3"/>
  <c r="K63" i="3" s="1"/>
  <c r="J62" i="3"/>
  <c r="I62" i="3"/>
  <c r="K62" i="3" s="1"/>
  <c r="J61" i="3"/>
  <c r="I61" i="3"/>
  <c r="K61" i="3" s="1"/>
  <c r="J60" i="3"/>
  <c r="I60" i="3"/>
  <c r="K60" i="3" s="1"/>
  <c r="J59" i="3"/>
  <c r="I59" i="3"/>
  <c r="K59" i="3" s="1"/>
  <c r="J58" i="3"/>
  <c r="I58" i="3"/>
  <c r="K58" i="3" s="1"/>
  <c r="J57" i="3"/>
  <c r="I57" i="3"/>
  <c r="K57" i="3" s="1"/>
  <c r="J56" i="3"/>
  <c r="I56" i="3"/>
  <c r="K56" i="3" s="1"/>
  <c r="J55" i="3"/>
  <c r="I55" i="3"/>
  <c r="K55" i="3" s="1"/>
  <c r="J54" i="3"/>
  <c r="I54" i="3"/>
  <c r="K54" i="3" s="1"/>
  <c r="J53" i="3"/>
  <c r="I53" i="3"/>
  <c r="K53" i="3" s="1"/>
  <c r="J52" i="3"/>
  <c r="I52" i="3"/>
  <c r="K52" i="3" s="1"/>
  <c r="J51" i="3"/>
  <c r="I51" i="3"/>
  <c r="K51" i="3" s="1"/>
  <c r="J50" i="3"/>
  <c r="I50" i="3"/>
  <c r="K50" i="3" s="1"/>
  <c r="J49" i="3"/>
  <c r="I49" i="3"/>
  <c r="K49" i="3" s="1"/>
  <c r="J48" i="3"/>
  <c r="I48" i="3"/>
  <c r="K48" i="3" s="1"/>
  <c r="J47" i="3"/>
  <c r="I47" i="3"/>
  <c r="K47" i="3" s="1"/>
  <c r="J46" i="3"/>
  <c r="I46" i="3"/>
  <c r="K46" i="3" s="1"/>
  <c r="J45" i="3"/>
  <c r="I45" i="3"/>
  <c r="K45" i="3" s="1"/>
  <c r="J44" i="3"/>
  <c r="I44" i="3"/>
  <c r="K44" i="3" s="1"/>
  <c r="J43" i="3"/>
  <c r="I43" i="3"/>
  <c r="K43" i="3" s="1"/>
  <c r="J42" i="3"/>
  <c r="I42" i="3"/>
  <c r="K42" i="3" s="1"/>
  <c r="J41" i="3"/>
  <c r="I41" i="3"/>
  <c r="K41" i="3" s="1"/>
  <c r="J40" i="3"/>
  <c r="I40" i="3"/>
  <c r="K40" i="3" s="1"/>
  <c r="L40" i="3" s="1"/>
  <c r="J39" i="3"/>
  <c r="I39" i="3"/>
  <c r="K39" i="3" s="1"/>
  <c r="J38" i="3"/>
  <c r="I38" i="3"/>
  <c r="K38" i="3" s="1"/>
  <c r="J37" i="3"/>
  <c r="I37" i="3"/>
  <c r="K37" i="3" s="1"/>
  <c r="J36" i="3"/>
  <c r="I36" i="3"/>
  <c r="K36" i="3" s="1"/>
  <c r="L36" i="3" s="1"/>
  <c r="J35" i="3"/>
  <c r="I35" i="3"/>
  <c r="K35" i="3" s="1"/>
  <c r="J34" i="3"/>
  <c r="I34" i="3"/>
  <c r="K34" i="3" s="1"/>
  <c r="J33" i="3"/>
  <c r="I33" i="3"/>
  <c r="K33" i="3" s="1"/>
  <c r="J32" i="3"/>
  <c r="I32" i="3"/>
  <c r="K32" i="3" s="1"/>
  <c r="J31" i="3"/>
  <c r="I31" i="3"/>
  <c r="K31" i="3" s="1"/>
  <c r="J30" i="3"/>
  <c r="I30" i="3"/>
  <c r="K30" i="3" s="1"/>
  <c r="J29" i="3"/>
  <c r="I29" i="3"/>
  <c r="K29" i="3" s="1"/>
  <c r="J28" i="3"/>
  <c r="I28" i="3"/>
  <c r="K28" i="3" s="1"/>
  <c r="J27" i="3"/>
  <c r="I27" i="3"/>
  <c r="K27" i="3" s="1"/>
  <c r="J26" i="3"/>
  <c r="I26" i="3"/>
  <c r="K26" i="3" s="1"/>
  <c r="J25" i="3"/>
  <c r="I25" i="3"/>
  <c r="K25" i="3" s="1"/>
  <c r="J24" i="3"/>
  <c r="I24" i="3"/>
  <c r="K24" i="3" s="1"/>
  <c r="L24" i="3" s="1"/>
  <c r="J23" i="3"/>
  <c r="I23" i="3"/>
  <c r="K23" i="3" s="1"/>
  <c r="J22" i="3"/>
  <c r="I22" i="3"/>
  <c r="K22" i="3" s="1"/>
  <c r="J21" i="3"/>
  <c r="I21" i="3"/>
  <c r="K21" i="3" s="1"/>
  <c r="J20" i="3"/>
  <c r="I20" i="3"/>
  <c r="K20" i="3" s="1"/>
  <c r="L20" i="3" s="1"/>
  <c r="J19" i="3"/>
  <c r="I19" i="3"/>
  <c r="K19" i="3" s="1"/>
  <c r="J18" i="3"/>
  <c r="I18" i="3"/>
  <c r="K18" i="3" s="1"/>
  <c r="J17" i="3"/>
  <c r="I17" i="3"/>
  <c r="K17" i="3" s="1"/>
  <c r="J16" i="3"/>
  <c r="I16" i="3"/>
  <c r="K16" i="3" s="1"/>
  <c r="L16" i="3" s="1"/>
  <c r="J15" i="3"/>
  <c r="I15" i="3"/>
  <c r="K15" i="3" s="1"/>
  <c r="J14" i="3"/>
  <c r="I14" i="3"/>
  <c r="K14" i="3" s="1"/>
  <c r="J13" i="3"/>
  <c r="I13" i="3"/>
  <c r="K13" i="3" s="1"/>
  <c r="J12" i="3"/>
  <c r="I12" i="3"/>
  <c r="K12" i="3" s="1"/>
  <c r="J11" i="3"/>
  <c r="I11" i="3"/>
  <c r="K11" i="3" s="1"/>
  <c r="J10" i="3"/>
  <c r="I10" i="3"/>
  <c r="K10" i="3" s="1"/>
  <c r="J9" i="3"/>
  <c r="I9" i="3"/>
  <c r="K9" i="3" s="1"/>
  <c r="J8" i="3"/>
  <c r="I8" i="3"/>
  <c r="K8" i="3" s="1"/>
  <c r="J7" i="3"/>
  <c r="I7" i="3"/>
  <c r="K7" i="3" s="1"/>
  <c r="J6" i="3"/>
  <c r="I6" i="3"/>
  <c r="K6" i="3" s="1"/>
  <c r="J5" i="3"/>
  <c r="I5" i="3"/>
  <c r="K5" i="3" s="1"/>
  <c r="J4" i="3"/>
  <c r="I4" i="3"/>
  <c r="K4" i="3" s="1"/>
  <c r="J3" i="3"/>
  <c r="I3" i="3"/>
  <c r="K3" i="3" s="1"/>
  <c r="J2" i="3"/>
  <c r="I2" i="3"/>
  <c r="K2" i="3" s="1"/>
  <c r="J322" i="2"/>
  <c r="I322" i="2"/>
  <c r="K322" i="2" s="1"/>
  <c r="J321" i="2"/>
  <c r="I321" i="2"/>
  <c r="K321" i="2" s="1"/>
  <c r="J320" i="2"/>
  <c r="I320" i="2"/>
  <c r="K320" i="2" s="1"/>
  <c r="J319" i="2"/>
  <c r="I319" i="2"/>
  <c r="K319" i="2" s="1"/>
  <c r="J318" i="2"/>
  <c r="I318" i="2"/>
  <c r="K318" i="2" s="1"/>
  <c r="L318" i="2" s="1"/>
  <c r="V100" i="2" s="1"/>
  <c r="J317" i="2"/>
  <c r="I317" i="2"/>
  <c r="K317" i="2" s="1"/>
  <c r="L317" i="2" s="1"/>
  <c r="J316" i="2"/>
  <c r="I316" i="2"/>
  <c r="K316" i="2" s="1"/>
  <c r="J315" i="2"/>
  <c r="I315" i="2"/>
  <c r="K315" i="2" s="1"/>
  <c r="J314" i="2"/>
  <c r="I314" i="2"/>
  <c r="K314" i="2" s="1"/>
  <c r="L314" i="2" s="1"/>
  <c r="V96" i="2" s="1"/>
  <c r="J313" i="2"/>
  <c r="I313" i="2"/>
  <c r="K313" i="2" s="1"/>
  <c r="L313" i="2" s="1"/>
  <c r="V95" i="2" s="1"/>
  <c r="J312" i="2"/>
  <c r="I312" i="2"/>
  <c r="K312" i="2" s="1"/>
  <c r="J311" i="2"/>
  <c r="I311" i="2"/>
  <c r="K311" i="2" s="1"/>
  <c r="J310" i="2"/>
  <c r="I310" i="2"/>
  <c r="K310" i="2" s="1"/>
  <c r="L310" i="2" s="1"/>
  <c r="V92" i="2" s="1"/>
  <c r="J309" i="2"/>
  <c r="I309" i="2"/>
  <c r="K309" i="2" s="1"/>
  <c r="J308" i="2"/>
  <c r="I308" i="2"/>
  <c r="K308" i="2" s="1"/>
  <c r="J307" i="2"/>
  <c r="I307" i="2"/>
  <c r="K307" i="2" s="1"/>
  <c r="L307" i="2" s="1"/>
  <c r="J306" i="2"/>
  <c r="I306" i="2"/>
  <c r="K306" i="2" s="1"/>
  <c r="L306" i="2" s="1"/>
  <c r="V88" i="2" s="1"/>
  <c r="J305" i="2"/>
  <c r="I305" i="2"/>
  <c r="K305" i="2" s="1"/>
  <c r="L305" i="2" s="1"/>
  <c r="V87" i="2" s="1"/>
  <c r="J304" i="2"/>
  <c r="I304" i="2"/>
  <c r="K304" i="2" s="1"/>
  <c r="J303" i="2"/>
  <c r="I303" i="2"/>
  <c r="K303" i="2" s="1"/>
  <c r="L303" i="2" s="1"/>
  <c r="J302" i="2"/>
  <c r="I302" i="2"/>
  <c r="K302" i="2" s="1"/>
  <c r="L302" i="2" s="1"/>
  <c r="V84" i="2" s="1"/>
  <c r="J301" i="2"/>
  <c r="I301" i="2"/>
  <c r="K301" i="2" s="1"/>
  <c r="J300" i="2"/>
  <c r="I300" i="2"/>
  <c r="K300" i="2" s="1"/>
  <c r="J299" i="2"/>
  <c r="I299" i="2"/>
  <c r="K299" i="2" s="1"/>
  <c r="L299" i="2" s="1"/>
  <c r="J298" i="2"/>
  <c r="I298" i="2"/>
  <c r="K298" i="2" s="1"/>
  <c r="L298" i="2" s="1"/>
  <c r="J297" i="2"/>
  <c r="I297" i="2"/>
  <c r="K297" i="2" s="1"/>
  <c r="L297" i="2" s="1"/>
  <c r="J296" i="2"/>
  <c r="I296" i="2"/>
  <c r="K296" i="2" s="1"/>
  <c r="J295" i="2"/>
  <c r="I295" i="2"/>
  <c r="K295" i="2" s="1"/>
  <c r="L295" i="2" s="1"/>
  <c r="J294" i="2"/>
  <c r="I294" i="2"/>
  <c r="K294" i="2" s="1"/>
  <c r="J293" i="2"/>
  <c r="I293" i="2"/>
  <c r="K293" i="2" s="1"/>
  <c r="J292" i="2"/>
  <c r="I292" i="2"/>
  <c r="K292" i="2" s="1"/>
  <c r="J291" i="2"/>
  <c r="I291" i="2"/>
  <c r="K291" i="2" s="1"/>
  <c r="L291" i="2" s="1"/>
  <c r="J290" i="2"/>
  <c r="I290" i="2"/>
  <c r="K290" i="2" s="1"/>
  <c r="L290" i="2" s="1"/>
  <c r="J289" i="2"/>
  <c r="I289" i="2"/>
  <c r="K289" i="2" s="1"/>
  <c r="L289" i="2" s="1"/>
  <c r="J288" i="2"/>
  <c r="I288" i="2"/>
  <c r="K288" i="2" s="1"/>
  <c r="J287" i="2"/>
  <c r="I287" i="2"/>
  <c r="K287" i="2" s="1"/>
  <c r="J286" i="2"/>
  <c r="I286" i="2"/>
  <c r="K286" i="2" s="1"/>
  <c r="J285" i="2"/>
  <c r="I285" i="2"/>
  <c r="K285" i="2" s="1"/>
  <c r="L285" i="2" s="1"/>
  <c r="J284" i="2"/>
  <c r="I284" i="2"/>
  <c r="K284" i="2" s="1"/>
  <c r="J283" i="2"/>
  <c r="I283" i="2"/>
  <c r="K283" i="2" s="1"/>
  <c r="L283" i="2" s="1"/>
  <c r="J282" i="2"/>
  <c r="I282" i="2"/>
  <c r="K282" i="2" s="1"/>
  <c r="L282" i="2" s="1"/>
  <c r="J281" i="2"/>
  <c r="I281" i="2"/>
  <c r="K281" i="2" s="1"/>
  <c r="L281" i="2" s="1"/>
  <c r="J280" i="2"/>
  <c r="I280" i="2"/>
  <c r="K280" i="2" s="1"/>
  <c r="J279" i="2"/>
  <c r="I279" i="2"/>
  <c r="K279" i="2" s="1"/>
  <c r="J278" i="2"/>
  <c r="I278" i="2"/>
  <c r="K278" i="2" s="1"/>
  <c r="J277" i="2"/>
  <c r="I277" i="2"/>
  <c r="K277" i="2" s="1"/>
  <c r="J276" i="2"/>
  <c r="I276" i="2"/>
  <c r="K276" i="2" s="1"/>
  <c r="J275" i="2"/>
  <c r="I275" i="2"/>
  <c r="K275" i="2" s="1"/>
  <c r="J274" i="2"/>
  <c r="I274" i="2"/>
  <c r="K274" i="2" s="1"/>
  <c r="J273" i="2"/>
  <c r="I273" i="2"/>
  <c r="K273" i="2" s="1"/>
  <c r="J272" i="2"/>
  <c r="I272" i="2"/>
  <c r="K272" i="2" s="1"/>
  <c r="J271" i="2"/>
  <c r="I271" i="2"/>
  <c r="K271" i="2" s="1"/>
  <c r="L271" i="2" s="1"/>
  <c r="J270" i="2"/>
  <c r="I270" i="2"/>
  <c r="K270" i="2" s="1"/>
  <c r="J269" i="2"/>
  <c r="I269" i="2"/>
  <c r="K269" i="2" s="1"/>
  <c r="J268" i="2"/>
  <c r="I268" i="2"/>
  <c r="K268" i="2" s="1"/>
  <c r="J267" i="2"/>
  <c r="I267" i="2"/>
  <c r="K267" i="2" s="1"/>
  <c r="L267" i="2" s="1"/>
  <c r="J266" i="2"/>
  <c r="I266" i="2"/>
  <c r="K266" i="2" s="1"/>
  <c r="J265" i="2"/>
  <c r="I265" i="2"/>
  <c r="K265" i="2" s="1"/>
  <c r="J264" i="2"/>
  <c r="I264" i="2"/>
  <c r="K264" i="2" s="1"/>
  <c r="J263" i="2"/>
  <c r="I263" i="2"/>
  <c r="K263" i="2" s="1"/>
  <c r="L263" i="2" s="1"/>
  <c r="J262" i="2"/>
  <c r="I262" i="2"/>
  <c r="K262" i="2" s="1"/>
  <c r="J261" i="2"/>
  <c r="I261" i="2"/>
  <c r="K261" i="2" s="1"/>
  <c r="J260" i="2"/>
  <c r="I260" i="2"/>
  <c r="K260" i="2" s="1"/>
  <c r="J259" i="2"/>
  <c r="I259" i="2"/>
  <c r="K259" i="2" s="1"/>
  <c r="L259" i="2" s="1"/>
  <c r="J258" i="2"/>
  <c r="I258" i="2"/>
  <c r="K258" i="2" s="1"/>
  <c r="J257" i="2"/>
  <c r="I257" i="2"/>
  <c r="K257" i="2" s="1"/>
  <c r="J256" i="2"/>
  <c r="I256" i="2"/>
  <c r="K256" i="2" s="1"/>
  <c r="J255" i="2"/>
  <c r="I255" i="2"/>
  <c r="K255" i="2" s="1"/>
  <c r="J254" i="2"/>
  <c r="I254" i="2"/>
  <c r="K254" i="2" s="1"/>
  <c r="J253" i="2"/>
  <c r="I253" i="2"/>
  <c r="K253" i="2" s="1"/>
  <c r="J252" i="2"/>
  <c r="I252" i="2"/>
  <c r="K252" i="2" s="1"/>
  <c r="J251" i="2"/>
  <c r="I251" i="2"/>
  <c r="K251" i="2" s="1"/>
  <c r="L251" i="2" s="1"/>
  <c r="J250" i="2"/>
  <c r="I250" i="2"/>
  <c r="K250" i="2" s="1"/>
  <c r="J249" i="2"/>
  <c r="I249" i="2"/>
  <c r="K249" i="2" s="1"/>
  <c r="J248" i="2"/>
  <c r="I248" i="2"/>
  <c r="K248" i="2" s="1"/>
  <c r="J247" i="2"/>
  <c r="I247" i="2"/>
  <c r="K247" i="2" s="1"/>
  <c r="J246" i="2"/>
  <c r="I246" i="2"/>
  <c r="K246" i="2" s="1"/>
  <c r="L246" i="2" s="1"/>
  <c r="J245" i="2"/>
  <c r="I245" i="2"/>
  <c r="K245" i="2" s="1"/>
  <c r="J244" i="2"/>
  <c r="I244" i="2"/>
  <c r="K244" i="2" s="1"/>
  <c r="J243" i="2"/>
  <c r="I243" i="2"/>
  <c r="K243" i="2" s="1"/>
  <c r="L243" i="2" s="1"/>
  <c r="J242" i="2"/>
  <c r="I242" i="2"/>
  <c r="K242" i="2" s="1"/>
  <c r="L242" i="2" s="1"/>
  <c r="J241" i="2"/>
  <c r="I241" i="2"/>
  <c r="K241" i="2" s="1"/>
  <c r="J240" i="2"/>
  <c r="I240" i="2"/>
  <c r="K240" i="2" s="1"/>
  <c r="J239" i="2"/>
  <c r="I239" i="2"/>
  <c r="K239" i="2" s="1"/>
  <c r="L239" i="2" s="1"/>
  <c r="J238" i="2"/>
  <c r="I238" i="2"/>
  <c r="K238" i="2" s="1"/>
  <c r="L238" i="2" s="1"/>
  <c r="J237" i="2"/>
  <c r="I237" i="2"/>
  <c r="K237" i="2" s="1"/>
  <c r="J236" i="2"/>
  <c r="I236" i="2"/>
  <c r="K236" i="2" s="1"/>
  <c r="J235" i="2"/>
  <c r="I235" i="2"/>
  <c r="K235" i="2" s="1"/>
  <c r="L235" i="2" s="1"/>
  <c r="J234" i="2"/>
  <c r="I234" i="2"/>
  <c r="K234" i="2" s="1"/>
  <c r="L234" i="2" s="1"/>
  <c r="J233" i="2"/>
  <c r="I233" i="2"/>
  <c r="K233" i="2" s="1"/>
  <c r="J232" i="2"/>
  <c r="I232" i="2"/>
  <c r="K232" i="2" s="1"/>
  <c r="J231" i="2"/>
  <c r="I231" i="2"/>
  <c r="K231" i="2" s="1"/>
  <c r="L231" i="2" s="1"/>
  <c r="J230" i="2"/>
  <c r="I230" i="2"/>
  <c r="K230" i="2" s="1"/>
  <c r="J229" i="2"/>
  <c r="I229" i="2"/>
  <c r="K229" i="2" s="1"/>
  <c r="J228" i="2"/>
  <c r="I228" i="2"/>
  <c r="K228" i="2" s="1"/>
  <c r="J227" i="2"/>
  <c r="I227" i="2"/>
  <c r="K227" i="2" s="1"/>
  <c r="L227" i="2" s="1"/>
  <c r="J226" i="2"/>
  <c r="I226" i="2"/>
  <c r="K226" i="2" s="1"/>
  <c r="L226" i="2" s="1"/>
  <c r="J225" i="2"/>
  <c r="I225" i="2"/>
  <c r="K225" i="2" s="1"/>
  <c r="J224" i="2"/>
  <c r="I224" i="2"/>
  <c r="K224" i="2" s="1"/>
  <c r="J223" i="2"/>
  <c r="I223" i="2"/>
  <c r="K223" i="2" s="1"/>
  <c r="J222" i="2"/>
  <c r="I222" i="2"/>
  <c r="K222" i="2" s="1"/>
  <c r="J221" i="2"/>
  <c r="I221" i="2"/>
  <c r="K221" i="2" s="1"/>
  <c r="J220" i="2"/>
  <c r="I220" i="2"/>
  <c r="K220" i="2" s="1"/>
  <c r="J219" i="2"/>
  <c r="I219" i="2"/>
  <c r="K219" i="2" s="1"/>
  <c r="L219" i="2" s="1"/>
  <c r="J218" i="2"/>
  <c r="I218" i="2"/>
  <c r="K218" i="2" s="1"/>
  <c r="L218" i="2" s="1"/>
  <c r="J217" i="2"/>
  <c r="I217" i="2"/>
  <c r="K217" i="2" s="1"/>
  <c r="J216" i="2"/>
  <c r="I216" i="2"/>
  <c r="K216" i="2" s="1"/>
  <c r="J215" i="2"/>
  <c r="I215" i="2"/>
  <c r="K215" i="2" s="1"/>
  <c r="J214" i="2"/>
  <c r="I214" i="2"/>
  <c r="K214" i="2" s="1"/>
  <c r="J213" i="2"/>
  <c r="I213" i="2"/>
  <c r="K213" i="2" s="1"/>
  <c r="J212" i="2"/>
  <c r="I212" i="2"/>
  <c r="K212" i="2" s="1"/>
  <c r="J211" i="2"/>
  <c r="I211" i="2"/>
  <c r="K211" i="2" s="1"/>
  <c r="L211" i="2" s="1"/>
  <c r="J210" i="2"/>
  <c r="I210" i="2"/>
  <c r="K210" i="2" s="1"/>
  <c r="J209" i="2"/>
  <c r="I209" i="2"/>
  <c r="K209" i="2" s="1"/>
  <c r="J208" i="2"/>
  <c r="I208" i="2"/>
  <c r="K208" i="2" s="1"/>
  <c r="J207" i="2"/>
  <c r="I207" i="2"/>
  <c r="K207" i="2" s="1"/>
  <c r="L207" i="2" s="1"/>
  <c r="J206" i="2"/>
  <c r="I206" i="2"/>
  <c r="K206" i="2" s="1"/>
  <c r="J205" i="2"/>
  <c r="I205" i="2"/>
  <c r="K205" i="2" s="1"/>
  <c r="J204" i="2"/>
  <c r="I204" i="2"/>
  <c r="K204" i="2" s="1"/>
  <c r="J203" i="2"/>
  <c r="I203" i="2"/>
  <c r="K203" i="2" s="1"/>
  <c r="J202" i="2"/>
  <c r="I202" i="2"/>
  <c r="K202" i="2" s="1"/>
  <c r="J201" i="2"/>
  <c r="I201" i="2"/>
  <c r="K201" i="2" s="1"/>
  <c r="J200" i="2"/>
  <c r="I200" i="2"/>
  <c r="K200" i="2" s="1"/>
  <c r="J199" i="2"/>
  <c r="I199" i="2"/>
  <c r="K199" i="2" s="1"/>
  <c r="J198" i="2"/>
  <c r="I198" i="2"/>
  <c r="K198" i="2" s="1"/>
  <c r="J197" i="2"/>
  <c r="I197" i="2"/>
  <c r="K197" i="2" s="1"/>
  <c r="J196" i="2"/>
  <c r="I196" i="2"/>
  <c r="K196" i="2" s="1"/>
  <c r="J195" i="2"/>
  <c r="I195" i="2"/>
  <c r="K195" i="2" s="1"/>
  <c r="J194" i="2"/>
  <c r="I194" i="2"/>
  <c r="K194" i="2" s="1"/>
  <c r="J193" i="2"/>
  <c r="I193" i="2"/>
  <c r="K193" i="2" s="1"/>
  <c r="J192" i="2"/>
  <c r="I192" i="2"/>
  <c r="K192" i="2" s="1"/>
  <c r="J191" i="2"/>
  <c r="I191" i="2"/>
  <c r="K191" i="2" s="1"/>
  <c r="J190" i="2"/>
  <c r="I190" i="2"/>
  <c r="K190" i="2" s="1"/>
  <c r="J189" i="2"/>
  <c r="I189" i="2"/>
  <c r="K189" i="2" s="1"/>
  <c r="J188" i="2"/>
  <c r="I188" i="2"/>
  <c r="K188" i="2" s="1"/>
  <c r="J187" i="2"/>
  <c r="I187" i="2"/>
  <c r="K187" i="2" s="1"/>
  <c r="J186" i="2"/>
  <c r="I186" i="2"/>
  <c r="K186" i="2" s="1"/>
  <c r="J185" i="2"/>
  <c r="I185" i="2"/>
  <c r="K185" i="2" s="1"/>
  <c r="J184" i="2"/>
  <c r="I184" i="2"/>
  <c r="K184" i="2" s="1"/>
  <c r="J183" i="2"/>
  <c r="I183" i="2"/>
  <c r="K183" i="2" s="1"/>
  <c r="J182" i="2"/>
  <c r="I182" i="2"/>
  <c r="K182" i="2" s="1"/>
  <c r="L182" i="2" s="1"/>
  <c r="J181" i="2"/>
  <c r="I181" i="2"/>
  <c r="K181" i="2" s="1"/>
  <c r="J180" i="2"/>
  <c r="I180" i="2"/>
  <c r="K180" i="2" s="1"/>
  <c r="J179" i="2"/>
  <c r="I179" i="2"/>
  <c r="K179" i="2" s="1"/>
  <c r="J178" i="2"/>
  <c r="I178" i="2"/>
  <c r="K178" i="2" s="1"/>
  <c r="J177" i="2"/>
  <c r="I177" i="2"/>
  <c r="K177" i="2" s="1"/>
  <c r="J176" i="2"/>
  <c r="I176" i="2"/>
  <c r="K176" i="2" s="1"/>
  <c r="J175" i="2"/>
  <c r="I175" i="2"/>
  <c r="K175" i="2" s="1"/>
  <c r="J174" i="2"/>
  <c r="I174" i="2"/>
  <c r="K174" i="2" s="1"/>
  <c r="J173" i="2"/>
  <c r="I173" i="2"/>
  <c r="K173" i="2" s="1"/>
  <c r="J172" i="2"/>
  <c r="I172" i="2"/>
  <c r="K172" i="2" s="1"/>
  <c r="J171" i="2"/>
  <c r="I171" i="2"/>
  <c r="K171" i="2" s="1"/>
  <c r="J170" i="2"/>
  <c r="I170" i="2"/>
  <c r="K170" i="2" s="1"/>
  <c r="J169" i="2"/>
  <c r="I169" i="2"/>
  <c r="K169" i="2" s="1"/>
  <c r="J168" i="2"/>
  <c r="I168" i="2"/>
  <c r="K168" i="2" s="1"/>
  <c r="J167" i="2"/>
  <c r="I167" i="2"/>
  <c r="K167" i="2" s="1"/>
  <c r="J166" i="2"/>
  <c r="I166" i="2"/>
  <c r="K166" i="2" s="1"/>
  <c r="J165" i="2"/>
  <c r="I165" i="2"/>
  <c r="K165" i="2" s="1"/>
  <c r="J164" i="2"/>
  <c r="I164" i="2"/>
  <c r="K164" i="2" s="1"/>
  <c r="J163" i="2"/>
  <c r="I163" i="2"/>
  <c r="K163" i="2" s="1"/>
  <c r="J162" i="2"/>
  <c r="I162" i="2"/>
  <c r="K162" i="2" s="1"/>
  <c r="J161" i="2"/>
  <c r="I161" i="2"/>
  <c r="K161" i="2" s="1"/>
  <c r="J160" i="2"/>
  <c r="I160" i="2"/>
  <c r="K160" i="2" s="1"/>
  <c r="J159" i="2"/>
  <c r="I159" i="2"/>
  <c r="K159" i="2" s="1"/>
  <c r="J158" i="2"/>
  <c r="I158" i="2"/>
  <c r="K158" i="2" s="1"/>
  <c r="J157" i="2"/>
  <c r="I157" i="2"/>
  <c r="K157" i="2" s="1"/>
  <c r="J156" i="2"/>
  <c r="I156" i="2"/>
  <c r="K156" i="2" s="1"/>
  <c r="J155" i="2"/>
  <c r="I155" i="2"/>
  <c r="K155" i="2" s="1"/>
  <c r="J154" i="2"/>
  <c r="I154" i="2"/>
  <c r="K154" i="2" s="1"/>
  <c r="J153" i="2"/>
  <c r="I153" i="2"/>
  <c r="K153" i="2" s="1"/>
  <c r="J152" i="2"/>
  <c r="I152" i="2"/>
  <c r="K152" i="2" s="1"/>
  <c r="L152" i="2" s="1"/>
  <c r="J151" i="2"/>
  <c r="I151" i="2"/>
  <c r="K151" i="2" s="1"/>
  <c r="J150" i="2"/>
  <c r="I150" i="2"/>
  <c r="K150" i="2" s="1"/>
  <c r="J149" i="2"/>
  <c r="I149" i="2"/>
  <c r="K149" i="2" s="1"/>
  <c r="J148" i="2"/>
  <c r="I148" i="2"/>
  <c r="K148" i="2" s="1"/>
  <c r="L148" i="2" s="1"/>
  <c r="J147" i="2"/>
  <c r="I147" i="2"/>
  <c r="K147" i="2" s="1"/>
  <c r="L147" i="2" s="1"/>
  <c r="J146" i="2"/>
  <c r="I146" i="2"/>
  <c r="K146" i="2" s="1"/>
  <c r="J145" i="2"/>
  <c r="I145" i="2"/>
  <c r="K145" i="2" s="1"/>
  <c r="J144" i="2"/>
  <c r="I144" i="2"/>
  <c r="K144" i="2" s="1"/>
  <c r="J143" i="2"/>
  <c r="I143" i="2"/>
  <c r="K143" i="2" s="1"/>
  <c r="J142" i="2"/>
  <c r="I142" i="2"/>
  <c r="K142" i="2" s="1"/>
  <c r="J141" i="2"/>
  <c r="I141" i="2"/>
  <c r="K141" i="2" s="1"/>
  <c r="J140" i="2"/>
  <c r="I140" i="2"/>
  <c r="K140" i="2" s="1"/>
  <c r="J139" i="2"/>
  <c r="I139" i="2"/>
  <c r="K139" i="2" s="1"/>
  <c r="J138" i="2"/>
  <c r="I138" i="2"/>
  <c r="K138" i="2" s="1"/>
  <c r="J137" i="2"/>
  <c r="I137" i="2"/>
  <c r="K137" i="2" s="1"/>
  <c r="J136" i="2"/>
  <c r="I136" i="2"/>
  <c r="K136" i="2" s="1"/>
  <c r="J135" i="2"/>
  <c r="I135" i="2"/>
  <c r="K135" i="2" s="1"/>
  <c r="J134" i="2"/>
  <c r="I134" i="2"/>
  <c r="K134" i="2" s="1"/>
  <c r="J133" i="2"/>
  <c r="I133" i="2"/>
  <c r="K133" i="2" s="1"/>
  <c r="J132" i="2"/>
  <c r="I132" i="2"/>
  <c r="K132" i="2" s="1"/>
  <c r="J131" i="2"/>
  <c r="I131" i="2"/>
  <c r="K131" i="2" s="1"/>
  <c r="J130" i="2"/>
  <c r="I130" i="2"/>
  <c r="K130" i="2" s="1"/>
  <c r="J129" i="2"/>
  <c r="I129" i="2"/>
  <c r="K129" i="2" s="1"/>
  <c r="J128" i="2"/>
  <c r="I128" i="2"/>
  <c r="K128" i="2" s="1"/>
  <c r="L128" i="2" s="1"/>
  <c r="J127" i="2"/>
  <c r="I127" i="2"/>
  <c r="K127" i="2" s="1"/>
  <c r="L127" i="2" s="1"/>
  <c r="J126" i="2"/>
  <c r="I126" i="2"/>
  <c r="K126" i="2" s="1"/>
  <c r="J125" i="2"/>
  <c r="I125" i="2"/>
  <c r="K125" i="2" s="1"/>
  <c r="J124" i="2"/>
  <c r="I124" i="2"/>
  <c r="K124" i="2" s="1"/>
  <c r="L124" i="2" s="1"/>
  <c r="J123" i="2"/>
  <c r="I123" i="2"/>
  <c r="K123" i="2" s="1"/>
  <c r="L123" i="2" s="1"/>
  <c r="J122" i="2"/>
  <c r="I122" i="2"/>
  <c r="K122" i="2" s="1"/>
  <c r="J121" i="2"/>
  <c r="I121" i="2"/>
  <c r="K121" i="2" s="1"/>
  <c r="J120" i="2"/>
  <c r="I120" i="2"/>
  <c r="K120" i="2" s="1"/>
  <c r="L120" i="2" s="1"/>
  <c r="J119" i="2"/>
  <c r="I119" i="2"/>
  <c r="K119" i="2" s="1"/>
  <c r="L119" i="2" s="1"/>
  <c r="J118" i="2"/>
  <c r="I118" i="2"/>
  <c r="K118" i="2" s="1"/>
  <c r="J117" i="2"/>
  <c r="I117" i="2"/>
  <c r="K117" i="2" s="1"/>
  <c r="J116" i="2"/>
  <c r="I116" i="2"/>
  <c r="K116" i="2" s="1"/>
  <c r="J115" i="2"/>
  <c r="I115" i="2"/>
  <c r="K115" i="2" s="1"/>
  <c r="J114" i="2"/>
  <c r="I114" i="2"/>
  <c r="K114" i="2" s="1"/>
  <c r="J113" i="2"/>
  <c r="I113" i="2"/>
  <c r="K113" i="2" s="1"/>
  <c r="J112" i="2"/>
  <c r="I112" i="2"/>
  <c r="K112" i="2" s="1"/>
  <c r="J111" i="2"/>
  <c r="I111" i="2"/>
  <c r="K111" i="2" s="1"/>
  <c r="J110" i="2"/>
  <c r="I110" i="2"/>
  <c r="K110" i="2" s="1"/>
  <c r="J109" i="2"/>
  <c r="I109" i="2"/>
  <c r="K109" i="2" s="1"/>
  <c r="J108" i="2"/>
  <c r="I108" i="2"/>
  <c r="K108" i="2" s="1"/>
  <c r="J107" i="2"/>
  <c r="I107" i="2"/>
  <c r="K107" i="2" s="1"/>
  <c r="J106" i="2"/>
  <c r="I106" i="2"/>
  <c r="K106" i="2" s="1"/>
  <c r="J105" i="2"/>
  <c r="I105" i="2"/>
  <c r="K105" i="2" s="1"/>
  <c r="J104" i="2"/>
  <c r="I104" i="2"/>
  <c r="K104" i="2" s="1"/>
  <c r="J103" i="2"/>
  <c r="I103" i="2"/>
  <c r="K103" i="2" s="1"/>
  <c r="J102" i="2"/>
  <c r="I102" i="2"/>
  <c r="K102" i="2" s="1"/>
  <c r="J101" i="2"/>
  <c r="I101" i="2"/>
  <c r="K101" i="2" s="1"/>
  <c r="J100" i="2"/>
  <c r="I100" i="2"/>
  <c r="K100" i="2" s="1"/>
  <c r="J99" i="2"/>
  <c r="I99" i="2"/>
  <c r="K99" i="2" s="1"/>
  <c r="J98" i="2"/>
  <c r="I98" i="2"/>
  <c r="K98" i="2" s="1"/>
  <c r="J97" i="2"/>
  <c r="I97" i="2"/>
  <c r="K97" i="2" s="1"/>
  <c r="J96" i="2"/>
  <c r="I96" i="2"/>
  <c r="K96" i="2" s="1"/>
  <c r="J95" i="2"/>
  <c r="I95" i="2"/>
  <c r="K95" i="2" s="1"/>
  <c r="J94" i="2"/>
  <c r="I94" i="2"/>
  <c r="K94" i="2" s="1"/>
  <c r="J93" i="2"/>
  <c r="I93" i="2"/>
  <c r="K93" i="2" s="1"/>
  <c r="J92" i="2"/>
  <c r="I92" i="2"/>
  <c r="K92" i="2" s="1"/>
  <c r="J91" i="2"/>
  <c r="I91" i="2"/>
  <c r="K91" i="2" s="1"/>
  <c r="J90" i="2"/>
  <c r="I90" i="2"/>
  <c r="K90" i="2" s="1"/>
  <c r="J89" i="2"/>
  <c r="I89" i="2"/>
  <c r="K89" i="2" s="1"/>
  <c r="J88" i="2"/>
  <c r="I88" i="2"/>
  <c r="K88" i="2" s="1"/>
  <c r="J87" i="2"/>
  <c r="I87" i="2"/>
  <c r="K87" i="2" s="1"/>
  <c r="L87" i="2" s="1"/>
  <c r="J86" i="2"/>
  <c r="I86" i="2"/>
  <c r="K86" i="2" s="1"/>
  <c r="J85" i="2"/>
  <c r="I85" i="2"/>
  <c r="K85" i="2" s="1"/>
  <c r="J84" i="2"/>
  <c r="I84" i="2"/>
  <c r="K84" i="2" s="1"/>
  <c r="J83" i="2"/>
  <c r="I83" i="2"/>
  <c r="K83" i="2" s="1"/>
  <c r="J82" i="2"/>
  <c r="I82" i="2"/>
  <c r="K82" i="2" s="1"/>
  <c r="J81" i="2"/>
  <c r="I81" i="2"/>
  <c r="K81" i="2" s="1"/>
  <c r="J80" i="2"/>
  <c r="I80" i="2"/>
  <c r="K80" i="2" s="1"/>
  <c r="J79" i="2"/>
  <c r="I79" i="2"/>
  <c r="K79" i="2" s="1"/>
  <c r="L79" i="2" s="1"/>
  <c r="J78" i="2"/>
  <c r="I78" i="2"/>
  <c r="K78" i="2" s="1"/>
  <c r="J77" i="2"/>
  <c r="I77" i="2"/>
  <c r="K77" i="2" s="1"/>
  <c r="J76" i="2"/>
  <c r="I76" i="2"/>
  <c r="K76" i="2" s="1"/>
  <c r="J75" i="2"/>
  <c r="I75" i="2"/>
  <c r="K75" i="2" s="1"/>
  <c r="L75" i="2" s="1"/>
  <c r="J74" i="2"/>
  <c r="I74" i="2"/>
  <c r="K74" i="2" s="1"/>
  <c r="J73" i="2"/>
  <c r="I73" i="2"/>
  <c r="K73" i="2" s="1"/>
  <c r="J72" i="2"/>
  <c r="I72" i="2"/>
  <c r="K72" i="2" s="1"/>
  <c r="J71" i="2"/>
  <c r="I71" i="2"/>
  <c r="K71" i="2" s="1"/>
  <c r="J70" i="2"/>
  <c r="I70" i="2"/>
  <c r="K70" i="2" s="1"/>
  <c r="J69" i="2"/>
  <c r="I69" i="2"/>
  <c r="K69" i="2" s="1"/>
  <c r="J68" i="2"/>
  <c r="I68" i="2"/>
  <c r="K68" i="2" s="1"/>
  <c r="J67" i="2"/>
  <c r="I67" i="2"/>
  <c r="K67" i="2" s="1"/>
  <c r="J66" i="2"/>
  <c r="I66" i="2"/>
  <c r="K66" i="2" s="1"/>
  <c r="J65" i="2"/>
  <c r="I65" i="2"/>
  <c r="K65" i="2" s="1"/>
  <c r="J64" i="2"/>
  <c r="I64" i="2"/>
  <c r="K64" i="2" s="1"/>
  <c r="J63" i="2"/>
  <c r="I63" i="2"/>
  <c r="K63" i="2" s="1"/>
  <c r="J62" i="2"/>
  <c r="I62" i="2"/>
  <c r="K62" i="2" s="1"/>
  <c r="J61" i="2"/>
  <c r="I61" i="2"/>
  <c r="K61" i="2" s="1"/>
  <c r="J60" i="2"/>
  <c r="I60" i="2"/>
  <c r="K60" i="2" s="1"/>
  <c r="J59" i="2"/>
  <c r="I59" i="2"/>
  <c r="K59" i="2" s="1"/>
  <c r="J58" i="2"/>
  <c r="I58" i="2"/>
  <c r="K58" i="2" s="1"/>
  <c r="J57" i="2"/>
  <c r="I57" i="2"/>
  <c r="K57" i="2" s="1"/>
  <c r="J56" i="2"/>
  <c r="I56" i="2"/>
  <c r="K56" i="2" s="1"/>
  <c r="J55" i="2"/>
  <c r="I55" i="2"/>
  <c r="K55" i="2" s="1"/>
  <c r="J54" i="2"/>
  <c r="I54" i="2"/>
  <c r="K54" i="2" s="1"/>
  <c r="J53" i="2"/>
  <c r="I53" i="2"/>
  <c r="K53" i="2" s="1"/>
  <c r="J52" i="2"/>
  <c r="I52" i="2"/>
  <c r="K52" i="2" s="1"/>
  <c r="J51" i="2"/>
  <c r="I51" i="2"/>
  <c r="K51" i="2" s="1"/>
  <c r="J50" i="2"/>
  <c r="I50" i="2"/>
  <c r="K50" i="2" s="1"/>
  <c r="J49" i="2"/>
  <c r="I49" i="2"/>
  <c r="K49" i="2" s="1"/>
  <c r="J48" i="2"/>
  <c r="I48" i="2"/>
  <c r="K48" i="2" s="1"/>
  <c r="J47" i="2"/>
  <c r="I47" i="2"/>
  <c r="K47" i="2" s="1"/>
  <c r="J46" i="2"/>
  <c r="I46" i="2"/>
  <c r="K46" i="2" s="1"/>
  <c r="J45" i="2"/>
  <c r="I45" i="2"/>
  <c r="K45" i="2" s="1"/>
  <c r="J44" i="2"/>
  <c r="I44" i="2"/>
  <c r="K44" i="2" s="1"/>
  <c r="J43" i="2"/>
  <c r="I43" i="2"/>
  <c r="K43" i="2" s="1"/>
  <c r="J42" i="2"/>
  <c r="I42" i="2"/>
  <c r="K42" i="2" s="1"/>
  <c r="J41" i="2"/>
  <c r="I41" i="2"/>
  <c r="K41" i="2" s="1"/>
  <c r="J40" i="2"/>
  <c r="I40" i="2"/>
  <c r="K40" i="2" s="1"/>
  <c r="J39" i="2"/>
  <c r="I39" i="2"/>
  <c r="K39" i="2" s="1"/>
  <c r="J38" i="2"/>
  <c r="I38" i="2"/>
  <c r="K38" i="2" s="1"/>
  <c r="J37" i="2"/>
  <c r="I37" i="2"/>
  <c r="K37" i="2" s="1"/>
  <c r="J36" i="2"/>
  <c r="I36" i="2"/>
  <c r="K36" i="2" s="1"/>
  <c r="J35" i="2"/>
  <c r="I35" i="2"/>
  <c r="K35" i="2" s="1"/>
  <c r="L35" i="2" s="1"/>
  <c r="J34" i="2"/>
  <c r="I34" i="2"/>
  <c r="K34" i="2" s="1"/>
  <c r="L34" i="2" s="1"/>
  <c r="J33" i="2"/>
  <c r="I33" i="2"/>
  <c r="K33" i="2" s="1"/>
  <c r="J32" i="2"/>
  <c r="I32" i="2"/>
  <c r="K32" i="2" s="1"/>
  <c r="J31" i="2"/>
  <c r="I31" i="2"/>
  <c r="K31" i="2" s="1"/>
  <c r="J30" i="2"/>
  <c r="I30" i="2"/>
  <c r="K30" i="2" s="1"/>
  <c r="J29" i="2"/>
  <c r="I29" i="2"/>
  <c r="K29" i="2" s="1"/>
  <c r="J28" i="2"/>
  <c r="I28" i="2"/>
  <c r="K28" i="2" s="1"/>
  <c r="J27" i="2"/>
  <c r="I27" i="2"/>
  <c r="K27" i="2" s="1"/>
  <c r="J26" i="2"/>
  <c r="I26" i="2"/>
  <c r="K26" i="2" s="1"/>
  <c r="J25" i="2"/>
  <c r="I25" i="2"/>
  <c r="K25" i="2" s="1"/>
  <c r="J24" i="2"/>
  <c r="I24" i="2"/>
  <c r="K24" i="2" s="1"/>
  <c r="J23" i="2"/>
  <c r="I23" i="2"/>
  <c r="K23" i="2" s="1"/>
  <c r="J22" i="2"/>
  <c r="I22" i="2"/>
  <c r="K22" i="2" s="1"/>
  <c r="J21" i="2"/>
  <c r="I21" i="2"/>
  <c r="K21" i="2" s="1"/>
  <c r="J20" i="2"/>
  <c r="I20" i="2"/>
  <c r="K20" i="2" s="1"/>
  <c r="J19" i="2"/>
  <c r="I19" i="2"/>
  <c r="K19" i="2" s="1"/>
  <c r="J18" i="2"/>
  <c r="I18" i="2"/>
  <c r="K18" i="2" s="1"/>
  <c r="J17" i="2"/>
  <c r="I17" i="2"/>
  <c r="K17" i="2" s="1"/>
  <c r="J16" i="2"/>
  <c r="I16" i="2"/>
  <c r="K16" i="2" s="1"/>
  <c r="J15" i="2"/>
  <c r="I15" i="2"/>
  <c r="K15" i="2" s="1"/>
  <c r="J14" i="2"/>
  <c r="I14" i="2"/>
  <c r="K14" i="2" s="1"/>
  <c r="J13" i="2"/>
  <c r="I13" i="2"/>
  <c r="K13" i="2" s="1"/>
  <c r="J12" i="2"/>
  <c r="I12" i="2"/>
  <c r="K12" i="2" s="1"/>
  <c r="L12" i="2" s="1"/>
  <c r="J11" i="2"/>
  <c r="I11" i="2"/>
  <c r="K11" i="2" s="1"/>
  <c r="L11" i="2" s="1"/>
  <c r="J10" i="2"/>
  <c r="I10" i="2"/>
  <c r="K10" i="2" s="1"/>
  <c r="J9" i="2"/>
  <c r="I9" i="2"/>
  <c r="K9" i="2" s="1"/>
  <c r="J8" i="2"/>
  <c r="I8" i="2"/>
  <c r="K8" i="2" s="1"/>
  <c r="J7" i="2"/>
  <c r="I7" i="2"/>
  <c r="K7" i="2" s="1"/>
  <c r="J6" i="2"/>
  <c r="I6" i="2"/>
  <c r="K6" i="2" s="1"/>
  <c r="J5" i="2"/>
  <c r="I5" i="2"/>
  <c r="K5" i="2" s="1"/>
  <c r="J4" i="2"/>
  <c r="I4" i="2"/>
  <c r="K4" i="2" s="1"/>
  <c r="J3" i="2"/>
  <c r="I3" i="2"/>
  <c r="K3" i="2" s="1"/>
  <c r="J2" i="2"/>
  <c r="I2" i="2"/>
  <c r="K2" i="2" s="1"/>
  <c r="I322" i="1"/>
  <c r="K322" i="1" s="1"/>
  <c r="J322" i="1"/>
  <c r="I316" i="1"/>
  <c r="K316" i="1" s="1"/>
  <c r="J316" i="1"/>
  <c r="I317" i="1"/>
  <c r="K317" i="1" s="1"/>
  <c r="J317" i="1"/>
  <c r="I318" i="1"/>
  <c r="K318" i="1" s="1"/>
  <c r="J318" i="1"/>
  <c r="I319" i="1"/>
  <c r="K319" i="1" s="1"/>
  <c r="J319" i="1"/>
  <c r="I320" i="1"/>
  <c r="K320" i="1" s="1"/>
  <c r="J320" i="1"/>
  <c r="I321" i="1"/>
  <c r="K321" i="1" s="1"/>
  <c r="J321" i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L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L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L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L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L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L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L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L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L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L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L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L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L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L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L82" i="1" s="1"/>
  <c r="J81" i="1"/>
  <c r="I81" i="1"/>
  <c r="K81" i="1" s="1"/>
  <c r="J80" i="1"/>
  <c r="I80" i="1"/>
  <c r="K80" i="1" s="1"/>
  <c r="L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L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L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L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90" i="5" l="1"/>
  <c r="L94" i="5"/>
  <c r="L76" i="5"/>
  <c r="V78" i="5" s="1"/>
  <c r="L80" i="5"/>
  <c r="L84" i="5"/>
  <c r="L107" i="5"/>
  <c r="L111" i="5"/>
  <c r="L115" i="5"/>
  <c r="L119" i="5"/>
  <c r="L123" i="5"/>
  <c r="L127" i="5"/>
  <c r="L131" i="5"/>
  <c r="L135" i="5"/>
  <c r="L139" i="5"/>
  <c r="L143" i="5"/>
  <c r="L147" i="5"/>
  <c r="L151" i="5"/>
  <c r="L155" i="5"/>
  <c r="L159" i="5"/>
  <c r="L167" i="5"/>
  <c r="L171" i="5"/>
  <c r="L175" i="5"/>
  <c r="L183" i="5"/>
  <c r="L191" i="5"/>
  <c r="L211" i="5"/>
  <c r="L231" i="5"/>
  <c r="L235" i="5"/>
  <c r="L243" i="5"/>
  <c r="L251" i="5"/>
  <c r="L259" i="5"/>
  <c r="L263" i="5"/>
  <c r="L267" i="5"/>
  <c r="L275" i="5"/>
  <c r="L295" i="5"/>
  <c r="L299" i="5"/>
  <c r="L315" i="5"/>
  <c r="L85" i="5"/>
  <c r="L89" i="5"/>
  <c r="L93" i="5"/>
  <c r="L2" i="5"/>
  <c r="L6" i="5"/>
  <c r="L30" i="5"/>
  <c r="L34" i="5"/>
  <c r="L38" i="5"/>
  <c r="L54" i="5"/>
  <c r="L58" i="5"/>
  <c r="L62" i="5"/>
  <c r="V64" i="5" s="1"/>
  <c r="L66" i="5"/>
  <c r="V68" i="5" s="1"/>
  <c r="L82" i="5"/>
  <c r="L157" i="5"/>
  <c r="L165" i="5"/>
  <c r="L169" i="5"/>
  <c r="L173" i="5"/>
  <c r="L189" i="5"/>
  <c r="L193" i="5"/>
  <c r="L91" i="5"/>
  <c r="L234" i="4"/>
  <c r="L276" i="4"/>
  <c r="L284" i="4"/>
  <c r="L288" i="4"/>
  <c r="L292" i="4"/>
  <c r="L296" i="4"/>
  <c r="L300" i="4"/>
  <c r="L304" i="4"/>
  <c r="V86" i="4" s="1"/>
  <c r="L308" i="4"/>
  <c r="V90" i="4" s="1"/>
  <c r="L316" i="4"/>
  <c r="V98" i="4" s="1"/>
  <c r="L320" i="4"/>
  <c r="V102" i="4" s="1"/>
  <c r="L48" i="3"/>
  <c r="L52" i="3"/>
  <c r="L192" i="3"/>
  <c r="L9" i="3"/>
  <c r="L17" i="3"/>
  <c r="L21" i="3"/>
  <c r="L25" i="3"/>
  <c r="L74" i="3"/>
  <c r="V76" i="3" s="1"/>
  <c r="L110" i="3"/>
  <c r="L130" i="3"/>
  <c r="L180" i="3"/>
  <c r="L184" i="3"/>
  <c r="L94" i="3"/>
  <c r="L83" i="3"/>
  <c r="L238" i="3"/>
  <c r="L242" i="3"/>
  <c r="L246" i="3"/>
  <c r="L254" i="3"/>
  <c r="L258" i="3"/>
  <c r="L262" i="3"/>
  <c r="L266" i="3"/>
  <c r="L270" i="3"/>
  <c r="L151" i="2"/>
  <c r="L155" i="2"/>
  <c r="L13" i="2"/>
  <c r="L103" i="2"/>
  <c r="L167" i="2"/>
  <c r="L171" i="2"/>
  <c r="L275" i="2"/>
  <c r="L69" i="2"/>
  <c r="V71" i="2" s="1"/>
  <c r="L73" i="2"/>
  <c r="L81" i="2"/>
  <c r="V83" i="2" s="1"/>
  <c r="L89" i="2"/>
  <c r="L93" i="2"/>
  <c r="L185" i="2"/>
  <c r="L189" i="2"/>
  <c r="L209" i="2"/>
  <c r="L277" i="2"/>
  <c r="L321" i="2"/>
  <c r="L250" i="2"/>
  <c r="L97" i="1"/>
  <c r="L39" i="5"/>
  <c r="L51" i="5"/>
  <c r="L55" i="5"/>
  <c r="L59" i="5"/>
  <c r="L63" i="5"/>
  <c r="L67" i="5"/>
  <c r="V69" i="5" s="1"/>
  <c r="L105" i="5"/>
  <c r="L145" i="5"/>
  <c r="L149" i="5"/>
  <c r="L197" i="5"/>
  <c r="L201" i="5"/>
  <c r="L4" i="5"/>
  <c r="L24" i="5"/>
  <c r="L40" i="5"/>
  <c r="L48" i="5"/>
  <c r="L56" i="5"/>
  <c r="L60" i="5"/>
  <c r="L106" i="5"/>
  <c r="L138" i="5"/>
  <c r="L142" i="5"/>
  <c r="L146" i="5"/>
  <c r="L158" i="5"/>
  <c r="L162" i="5"/>
  <c r="L166" i="5"/>
  <c r="L170" i="5"/>
  <c r="L174" i="5"/>
  <c r="L178" i="5"/>
  <c r="L182" i="5"/>
  <c r="L186" i="5"/>
  <c r="L190" i="5"/>
  <c r="L209" i="5"/>
  <c r="L213" i="5"/>
  <c r="L217" i="5"/>
  <c r="L225" i="5"/>
  <c r="L233" i="5"/>
  <c r="L241" i="5"/>
  <c r="L245" i="5"/>
  <c r="L249" i="5"/>
  <c r="L257" i="5"/>
  <c r="L273" i="5"/>
  <c r="L277" i="5"/>
  <c r="L297" i="5"/>
  <c r="L305" i="5"/>
  <c r="V87" i="5" s="1"/>
  <c r="L309" i="5"/>
  <c r="V91" i="5" s="1"/>
  <c r="L321" i="5"/>
  <c r="V103" i="5" s="1"/>
  <c r="L96" i="5"/>
  <c r="L20" i="5"/>
  <c r="L101" i="5"/>
  <c r="L112" i="5"/>
  <c r="L120" i="5"/>
  <c r="L194" i="5"/>
  <c r="L198" i="5"/>
  <c r="L202" i="5"/>
  <c r="L206" i="5"/>
  <c r="L289" i="5"/>
  <c r="L17" i="5"/>
  <c r="L21" i="5"/>
  <c r="L87" i="5"/>
  <c r="L98" i="5"/>
  <c r="L102" i="5"/>
  <c r="L117" i="5"/>
  <c r="L121" i="5"/>
  <c r="L129" i="5"/>
  <c r="L133" i="5"/>
  <c r="L199" i="5"/>
  <c r="L203" i="5"/>
  <c r="L282" i="5"/>
  <c r="L290" i="5"/>
  <c r="L14" i="5"/>
  <c r="L73" i="5"/>
  <c r="V75" i="5" s="1"/>
  <c r="L110" i="5"/>
  <c r="L114" i="5"/>
  <c r="L118" i="5"/>
  <c r="L122" i="5"/>
  <c r="L126" i="5"/>
  <c r="L130" i="5"/>
  <c r="L134" i="5"/>
  <c r="L161" i="5"/>
  <c r="L283" i="5"/>
  <c r="L10" i="4"/>
  <c r="L8" i="4"/>
  <c r="L16" i="4"/>
  <c r="L20" i="4"/>
  <c r="L24" i="4"/>
  <c r="L32" i="4"/>
  <c r="L36" i="4"/>
  <c r="L40" i="4"/>
  <c r="L108" i="4"/>
  <c r="L116" i="4"/>
  <c r="L144" i="4"/>
  <c r="L148" i="4"/>
  <c r="L156" i="4"/>
  <c r="L160" i="4"/>
  <c r="L164" i="4"/>
  <c r="L168" i="4"/>
  <c r="L172" i="4"/>
  <c r="L176" i="4"/>
  <c r="L180" i="4"/>
  <c r="L184" i="4"/>
  <c r="L188" i="4"/>
  <c r="L204" i="4"/>
  <c r="L208" i="4"/>
  <c r="L212" i="4"/>
  <c r="L216" i="4"/>
  <c r="L220" i="4"/>
  <c r="L224" i="4"/>
  <c r="L228" i="4"/>
  <c r="L232" i="4"/>
  <c r="L236" i="4"/>
  <c r="L240" i="4"/>
  <c r="L244" i="4"/>
  <c r="L267" i="4"/>
  <c r="L271" i="4"/>
  <c r="L291" i="4"/>
  <c r="L295" i="4"/>
  <c r="L5" i="4"/>
  <c r="L96" i="4"/>
  <c r="L251" i="4"/>
  <c r="L2" i="4"/>
  <c r="L6" i="4"/>
  <c r="L89" i="4"/>
  <c r="L93" i="4"/>
  <c r="L276" i="3"/>
  <c r="L277" i="3"/>
  <c r="L73" i="3"/>
  <c r="V75" i="3" s="1"/>
  <c r="L56" i="3"/>
  <c r="L64" i="3"/>
  <c r="L71" i="3"/>
  <c r="V73" i="3" s="1"/>
  <c r="L321" i="3"/>
  <c r="V103" i="3" s="1"/>
  <c r="L97" i="3"/>
  <c r="L126" i="3"/>
  <c r="L66" i="3"/>
  <c r="V68" i="3" s="1"/>
  <c r="L14" i="3"/>
  <c r="L22" i="3"/>
  <c r="L232" i="3"/>
  <c r="L236" i="3"/>
  <c r="L240" i="3"/>
  <c r="L23" i="3"/>
  <c r="L77" i="3"/>
  <c r="V79" i="3" s="1"/>
  <c r="L81" i="3"/>
  <c r="V83" i="3" s="1"/>
  <c r="L91" i="3"/>
  <c r="L95" i="3"/>
  <c r="L190" i="3"/>
  <c r="L233" i="3"/>
  <c r="L237" i="3"/>
  <c r="L8" i="3"/>
  <c r="L35" i="3"/>
  <c r="L47" i="3"/>
  <c r="L51" i="3"/>
  <c r="L55" i="3"/>
  <c r="L102" i="3"/>
  <c r="L105" i="3"/>
  <c r="L113" i="3"/>
  <c r="L117" i="3"/>
  <c r="L121" i="3"/>
  <c r="L125" i="3"/>
  <c r="L140" i="3"/>
  <c r="L144" i="3"/>
  <c r="L175" i="3"/>
  <c r="L179" i="3"/>
  <c r="L183" i="3"/>
  <c r="L187" i="3"/>
  <c r="L194" i="3"/>
  <c r="L202" i="3"/>
  <c r="L206" i="3"/>
  <c r="L214" i="3"/>
  <c r="L218" i="3"/>
  <c r="L226" i="3"/>
  <c r="L265" i="3"/>
  <c r="L269" i="3"/>
  <c r="L273" i="3"/>
  <c r="L284" i="3"/>
  <c r="L288" i="3"/>
  <c r="L292" i="3"/>
  <c r="L296" i="3"/>
  <c r="L300" i="3"/>
  <c r="L304" i="3"/>
  <c r="V86" i="3" s="1"/>
  <c r="L308" i="3"/>
  <c r="V90" i="3" s="1"/>
  <c r="L316" i="3"/>
  <c r="V98" i="3" s="1"/>
  <c r="L320" i="3"/>
  <c r="V102" i="3" s="1"/>
  <c r="L129" i="3"/>
  <c r="L29" i="3"/>
  <c r="L93" i="3"/>
  <c r="L161" i="3"/>
  <c r="L231" i="3"/>
  <c r="L235" i="3"/>
  <c r="L239" i="3"/>
  <c r="L278" i="3"/>
  <c r="L10" i="3"/>
  <c r="L33" i="3"/>
  <c r="L45" i="3"/>
  <c r="L49" i="3"/>
  <c r="L53" i="3"/>
  <c r="L57" i="3"/>
  <c r="L61" i="3"/>
  <c r="L65" i="3"/>
  <c r="V67" i="3" s="1"/>
  <c r="L72" i="3"/>
  <c r="V74" i="3" s="1"/>
  <c r="L100" i="3"/>
  <c r="L107" i="3"/>
  <c r="L111" i="3"/>
  <c r="L119" i="3"/>
  <c r="L123" i="3"/>
  <c r="L127" i="3"/>
  <c r="L134" i="3"/>
  <c r="L138" i="3"/>
  <c r="L150" i="3"/>
  <c r="L154" i="3"/>
  <c r="L158" i="3"/>
  <c r="L165" i="3"/>
  <c r="L177" i="3"/>
  <c r="L181" i="3"/>
  <c r="L200" i="3"/>
  <c r="L204" i="3"/>
  <c r="L208" i="3"/>
  <c r="L212" i="3"/>
  <c r="L216" i="3"/>
  <c r="L220" i="3"/>
  <c r="L228" i="3"/>
  <c r="L243" i="3"/>
  <c r="L251" i="3"/>
  <c r="L255" i="3"/>
  <c r="L259" i="3"/>
  <c r="L267" i="3"/>
  <c r="L275" i="3"/>
  <c r="L282" i="3"/>
  <c r="L290" i="3"/>
  <c r="L298" i="3"/>
  <c r="L302" i="3"/>
  <c r="V84" i="3" s="1"/>
  <c r="L314" i="3"/>
  <c r="V96" i="3" s="1"/>
  <c r="L322" i="3"/>
  <c r="L3" i="3"/>
  <c r="L7" i="3"/>
  <c r="L11" i="3"/>
  <c r="L34" i="3"/>
  <c r="L42" i="3"/>
  <c r="L46" i="3"/>
  <c r="L54" i="3"/>
  <c r="L58" i="3"/>
  <c r="L62" i="3"/>
  <c r="V64" i="3" s="1"/>
  <c r="L101" i="3"/>
  <c r="L104" i="3"/>
  <c r="L120" i="3"/>
  <c r="L128" i="3"/>
  <c r="L147" i="3"/>
  <c r="L155" i="3"/>
  <c r="L159" i="3"/>
  <c r="L182" i="3"/>
  <c r="L193" i="3"/>
  <c r="L197" i="3"/>
  <c r="L201" i="3"/>
  <c r="L205" i="3"/>
  <c r="L209" i="3"/>
  <c r="L213" i="3"/>
  <c r="L221" i="3"/>
  <c r="L225" i="3"/>
  <c r="L264" i="3"/>
  <c r="L268" i="3"/>
  <c r="L272" i="3"/>
  <c r="L283" i="3"/>
  <c r="L291" i="3"/>
  <c r="L295" i="3"/>
  <c r="L303" i="3"/>
  <c r="V85" i="3" s="1"/>
  <c r="L307" i="3"/>
  <c r="V89" i="3" s="1"/>
  <c r="L315" i="3"/>
  <c r="V97" i="3" s="1"/>
  <c r="L46" i="2"/>
  <c r="L258" i="2"/>
  <c r="L266" i="2"/>
  <c r="L270" i="2"/>
  <c r="L274" i="2"/>
  <c r="L156" i="2"/>
  <c r="L160" i="2"/>
  <c r="L94" i="2"/>
  <c r="L98" i="2"/>
  <c r="L121" i="2"/>
  <c r="L279" i="2"/>
  <c r="L184" i="2"/>
  <c r="L204" i="2"/>
  <c r="L208" i="2"/>
  <c r="L212" i="2"/>
  <c r="L220" i="2"/>
  <c r="L224" i="2"/>
  <c r="L228" i="2"/>
  <c r="L232" i="2"/>
  <c r="L236" i="2"/>
  <c r="L240" i="2"/>
  <c r="L244" i="2"/>
  <c r="L252" i="2"/>
  <c r="L256" i="2"/>
  <c r="L260" i="2"/>
  <c r="L264" i="2"/>
  <c r="L268" i="2"/>
  <c r="L272" i="2"/>
  <c r="L276" i="2"/>
  <c r="L2" i="2"/>
  <c r="L10" i="2"/>
  <c r="L33" i="2"/>
  <c r="L52" i="2"/>
  <c r="L56" i="2"/>
  <c r="L60" i="2"/>
  <c r="L72" i="2"/>
  <c r="L76" i="2"/>
  <c r="L80" i="2"/>
  <c r="V82" i="2" s="1"/>
  <c r="L88" i="2"/>
  <c r="L150" i="2"/>
  <c r="L154" i="2"/>
  <c r="L17" i="2"/>
  <c r="L21" i="2"/>
  <c r="L25" i="2"/>
  <c r="L29" i="2"/>
  <c r="L107" i="2"/>
  <c r="L111" i="2"/>
  <c r="L115" i="2"/>
  <c r="L138" i="2"/>
  <c r="L142" i="2"/>
  <c r="L165" i="2"/>
  <c r="L191" i="2"/>
  <c r="L195" i="2"/>
  <c r="L199" i="2"/>
  <c r="L18" i="2"/>
  <c r="L22" i="2"/>
  <c r="L83" i="2"/>
  <c r="L90" i="2"/>
  <c r="L104" i="2"/>
  <c r="L108" i="2"/>
  <c r="L112" i="2"/>
  <c r="L139" i="2"/>
  <c r="L143" i="2"/>
  <c r="L173" i="2"/>
  <c r="L192" i="2"/>
  <c r="L196" i="2"/>
  <c r="L200" i="2"/>
  <c r="L19" i="2"/>
  <c r="L27" i="2"/>
  <c r="L38" i="2"/>
  <c r="L49" i="2"/>
  <c r="L105" i="2"/>
  <c r="L109" i="2"/>
  <c r="L113" i="2"/>
  <c r="L136" i="2"/>
  <c r="L140" i="2"/>
  <c r="L174" i="2"/>
  <c r="L193" i="2"/>
  <c r="L201" i="2"/>
  <c r="L20" i="2"/>
  <c r="L24" i="2"/>
  <c r="L28" i="2"/>
  <c r="L65" i="2"/>
  <c r="V67" i="2" s="1"/>
  <c r="L106" i="2"/>
  <c r="L110" i="2"/>
  <c r="L114" i="2"/>
  <c r="L137" i="2"/>
  <c r="L141" i="2"/>
  <c r="L164" i="2"/>
  <c r="L194" i="2"/>
  <c r="L198" i="2"/>
  <c r="L202" i="2"/>
  <c r="L9" i="2"/>
  <c r="L54" i="2"/>
  <c r="L70" i="2"/>
  <c r="V72" i="2" s="1"/>
  <c r="L74" i="2"/>
  <c r="V76" i="2" s="1"/>
  <c r="L82" i="2"/>
  <c r="L85" i="2"/>
  <c r="L99" i="2"/>
  <c r="L126" i="2"/>
  <c r="L130" i="2"/>
  <c r="L134" i="2"/>
  <c r="L145" i="2"/>
  <c r="L149" i="2"/>
  <c r="L187" i="2"/>
  <c r="L210" i="2"/>
  <c r="L217" i="2"/>
  <c r="L221" i="2"/>
  <c r="L225" i="2"/>
  <c r="L233" i="2"/>
  <c r="L241" i="2"/>
  <c r="L249" i="2"/>
  <c r="L253" i="2"/>
  <c r="L257" i="2"/>
  <c r="L265" i="2"/>
  <c r="L273" i="2"/>
  <c r="L284" i="2"/>
  <c r="L288" i="2"/>
  <c r="L292" i="2"/>
  <c r="L296" i="2"/>
  <c r="L300" i="2"/>
  <c r="L304" i="2"/>
  <c r="V86" i="2" s="1"/>
  <c r="L308" i="2"/>
  <c r="V90" i="2" s="1"/>
  <c r="L316" i="2"/>
  <c r="V98" i="2" s="1"/>
  <c r="L320" i="2"/>
  <c r="V102" i="2" s="1"/>
  <c r="L322" i="1"/>
  <c r="L316" i="1"/>
  <c r="V98" i="1" s="1"/>
  <c r="L319" i="1"/>
  <c r="L50" i="5"/>
  <c r="L7" i="5"/>
  <c r="L10" i="5"/>
  <c r="L44" i="5"/>
  <c r="L81" i="5"/>
  <c r="V83" i="5" s="1"/>
  <c r="L92" i="5"/>
  <c r="L172" i="5"/>
  <c r="L23" i="5"/>
  <c r="L18" i="5"/>
  <c r="L22" i="5"/>
  <c r="L99" i="5"/>
  <c r="L150" i="5"/>
  <c r="L226" i="5"/>
  <c r="L291" i="5"/>
  <c r="L12" i="5"/>
  <c r="L292" i="5"/>
  <c r="L9" i="5"/>
  <c r="L15" i="5"/>
  <c r="L49" i="5"/>
  <c r="L53" i="5"/>
  <c r="L68" i="5"/>
  <c r="V70" i="5" s="1"/>
  <c r="L86" i="5"/>
  <c r="L100" i="5"/>
  <c r="L144" i="5"/>
  <c r="L148" i="5"/>
  <c r="L177" i="5"/>
  <c r="L181" i="5"/>
  <c r="L185" i="5"/>
  <c r="L196" i="5"/>
  <c r="L200" i="5"/>
  <c r="L204" i="5"/>
  <c r="L219" i="5"/>
  <c r="L227" i="5"/>
  <c r="L242" i="5"/>
  <c r="L265" i="5"/>
  <c r="L284" i="5"/>
  <c r="L288" i="5"/>
  <c r="L307" i="5"/>
  <c r="V89" i="5" s="1"/>
  <c r="L13" i="5"/>
  <c r="L25" i="5"/>
  <c r="L47" i="5"/>
  <c r="L72" i="5"/>
  <c r="V74" i="5" s="1"/>
  <c r="L95" i="5"/>
  <c r="L109" i="5"/>
  <c r="L113" i="5"/>
  <c r="L125" i="5"/>
  <c r="L141" i="5"/>
  <c r="L164" i="5"/>
  <c r="L192" i="5"/>
  <c r="L216" i="5"/>
  <c r="L248" i="5"/>
  <c r="L280" i="5"/>
  <c r="L312" i="5"/>
  <c r="V94" i="5" s="1"/>
  <c r="L274" i="5"/>
  <c r="L281" i="5"/>
  <c r="L306" i="5"/>
  <c r="V88" i="5" s="1"/>
  <c r="L313" i="5"/>
  <c r="V95" i="5" s="1"/>
  <c r="L8" i="5"/>
  <c r="L11" i="5"/>
  <c r="L26" i="5"/>
  <c r="L36" i="5"/>
  <c r="L42" i="5"/>
  <c r="L52" i="5"/>
  <c r="L64" i="5"/>
  <c r="V66" i="5" s="1"/>
  <c r="L70" i="5"/>
  <c r="V72" i="5" s="1"/>
  <c r="L88" i="5"/>
  <c r="L187" i="5"/>
  <c r="L207" i="5"/>
  <c r="L214" i="5"/>
  <c r="L221" i="5"/>
  <c r="L239" i="5"/>
  <c r="L246" i="5"/>
  <c r="L253" i="5"/>
  <c r="L271" i="5"/>
  <c r="L278" i="5"/>
  <c r="L285" i="5"/>
  <c r="L303" i="5"/>
  <c r="V85" i="5" s="1"/>
  <c r="L310" i="5"/>
  <c r="V92" i="5" s="1"/>
  <c r="L317" i="5"/>
  <c r="V99" i="5" s="1"/>
  <c r="L27" i="5"/>
  <c r="L43" i="5"/>
  <c r="L46" i="5"/>
  <c r="L65" i="5"/>
  <c r="V67" i="5" s="1"/>
  <c r="L71" i="5"/>
  <c r="V73" i="5" s="1"/>
  <c r="L108" i="5"/>
  <c r="L163" i="5"/>
  <c r="L215" i="5"/>
  <c r="L222" i="5"/>
  <c r="L229" i="5"/>
  <c r="L247" i="5"/>
  <c r="L254" i="5"/>
  <c r="L261" i="5"/>
  <c r="L279" i="5"/>
  <c r="L286" i="5"/>
  <c r="L293" i="5"/>
  <c r="L311" i="5"/>
  <c r="V93" i="5" s="1"/>
  <c r="L318" i="5"/>
  <c r="V100" i="5" s="1"/>
  <c r="L16" i="5"/>
  <c r="L19" i="5"/>
  <c r="L28" i="5"/>
  <c r="L75" i="5"/>
  <c r="V77" i="5" s="1"/>
  <c r="L78" i="5"/>
  <c r="V80" i="5" s="1"/>
  <c r="L97" i="5"/>
  <c r="L103" i="5"/>
  <c r="L137" i="5"/>
  <c r="L154" i="5"/>
  <c r="L160" i="5"/>
  <c r="L179" i="5"/>
  <c r="L188" i="5"/>
  <c r="L195" i="5"/>
  <c r="L205" i="5"/>
  <c r="L208" i="5"/>
  <c r="L223" i="5"/>
  <c r="L230" i="5"/>
  <c r="L237" i="5"/>
  <c r="L240" i="5"/>
  <c r="L255" i="5"/>
  <c r="L262" i="5"/>
  <c r="L269" i="5"/>
  <c r="L272" i="5"/>
  <c r="L287" i="5"/>
  <c r="L294" i="5"/>
  <c r="L301" i="5"/>
  <c r="L304" i="5"/>
  <c r="V86" i="5" s="1"/>
  <c r="L319" i="5"/>
  <c r="V101" i="5" s="1"/>
  <c r="V65" i="5"/>
  <c r="V82" i="5"/>
  <c r="V97" i="5"/>
  <c r="L61" i="5"/>
  <c r="L153" i="5"/>
  <c r="L32" i="5"/>
  <c r="L77" i="5"/>
  <c r="L74" i="5"/>
  <c r="V81" i="5"/>
  <c r="L45" i="5"/>
  <c r="V71" i="5"/>
  <c r="L116" i="5"/>
  <c r="L104" i="5"/>
  <c r="L124" i="5"/>
  <c r="L128" i="5"/>
  <c r="L132" i="5"/>
  <c r="L136" i="5"/>
  <c r="L140" i="5"/>
  <c r="L242" i="4"/>
  <c r="L249" i="4"/>
  <c r="L253" i="4"/>
  <c r="L261" i="4"/>
  <c r="L264" i="4"/>
  <c r="L235" i="4"/>
  <c r="L254" i="4"/>
  <c r="L258" i="4"/>
  <c r="L114" i="4"/>
  <c r="L193" i="4"/>
  <c r="L200" i="4"/>
  <c r="L45" i="4"/>
  <c r="L49" i="4"/>
  <c r="L53" i="4"/>
  <c r="L61" i="4"/>
  <c r="L69" i="4"/>
  <c r="V71" i="4" s="1"/>
  <c r="L73" i="4"/>
  <c r="V75" i="4" s="1"/>
  <c r="L77" i="4"/>
  <c r="V79" i="4" s="1"/>
  <c r="L81" i="4"/>
  <c r="V83" i="4" s="1"/>
  <c r="L119" i="4"/>
  <c r="L123" i="4"/>
  <c r="L151" i="4"/>
  <c r="L155" i="4"/>
  <c r="L159" i="4"/>
  <c r="L163" i="4"/>
  <c r="L167" i="4"/>
  <c r="L171" i="4"/>
  <c r="L179" i="4"/>
  <c r="L183" i="4"/>
  <c r="L217" i="4"/>
  <c r="L221" i="4"/>
  <c r="L233" i="4"/>
  <c r="L241" i="4"/>
  <c r="L178" i="4"/>
  <c r="L74" i="4"/>
  <c r="V76" i="4" s="1"/>
  <c r="L195" i="4"/>
  <c r="L209" i="4"/>
  <c r="L259" i="4"/>
  <c r="L278" i="4"/>
  <c r="L293" i="4"/>
  <c r="L131" i="4"/>
  <c r="L142" i="4"/>
  <c r="L229" i="4"/>
  <c r="L87" i="4"/>
  <c r="L112" i="4"/>
  <c r="L174" i="4"/>
  <c r="L181" i="4"/>
  <c r="L192" i="4"/>
  <c r="L210" i="4"/>
  <c r="L214" i="4"/>
  <c r="L252" i="4"/>
  <c r="L256" i="4"/>
  <c r="L260" i="4"/>
  <c r="L309" i="4"/>
  <c r="V91" i="4" s="1"/>
  <c r="L3" i="4"/>
  <c r="L21" i="4"/>
  <c r="L29" i="4"/>
  <c r="L33" i="4"/>
  <c r="L37" i="4"/>
  <c r="L41" i="4"/>
  <c r="L48" i="4"/>
  <c r="L52" i="4"/>
  <c r="L56" i="4"/>
  <c r="L60" i="4"/>
  <c r="L64" i="4"/>
  <c r="V66" i="4" s="1"/>
  <c r="L72" i="4"/>
  <c r="V74" i="4" s="1"/>
  <c r="L76" i="4"/>
  <c r="V78" i="4" s="1"/>
  <c r="L80" i="4"/>
  <c r="V82" i="4" s="1"/>
  <c r="L84" i="4"/>
  <c r="L94" i="4"/>
  <c r="L101" i="4"/>
  <c r="L120" i="4"/>
  <c r="L124" i="4"/>
  <c r="L128" i="4"/>
  <c r="L132" i="4"/>
  <c r="L185" i="4"/>
  <c r="L203" i="4"/>
  <c r="L218" i="4"/>
  <c r="L222" i="4"/>
  <c r="L226" i="4"/>
  <c r="L268" i="4"/>
  <c r="L272" i="4"/>
  <c r="L283" i="4"/>
  <c r="L298" i="4"/>
  <c r="L302" i="4"/>
  <c r="V84" i="4" s="1"/>
  <c r="L317" i="4"/>
  <c r="V99" i="4" s="1"/>
  <c r="L88" i="4"/>
  <c r="L133" i="4"/>
  <c r="L186" i="4"/>
  <c r="L197" i="4"/>
  <c r="L223" i="4"/>
  <c r="L227" i="4"/>
  <c r="L246" i="4"/>
  <c r="L273" i="4"/>
  <c r="L318" i="4"/>
  <c r="V100" i="4" s="1"/>
  <c r="L99" i="4"/>
  <c r="L103" i="4"/>
  <c r="L141" i="4"/>
  <c r="L9" i="4"/>
  <c r="L43" i="4"/>
  <c r="L46" i="4"/>
  <c r="L66" i="4"/>
  <c r="V68" i="4" s="1"/>
  <c r="L85" i="4"/>
  <c r="L90" i="4"/>
  <c r="L98" i="4"/>
  <c r="L110" i="4"/>
  <c r="L117" i="4"/>
  <c r="L135" i="4"/>
  <c r="L138" i="4"/>
  <c r="L175" i="4"/>
  <c r="L187" i="4"/>
  <c r="L196" i="4"/>
  <c r="L202" i="4"/>
  <c r="L206" i="4"/>
  <c r="L231" i="4"/>
  <c r="L238" i="4"/>
  <c r="L245" i="4"/>
  <c r="L248" i="4"/>
  <c r="L263" i="4"/>
  <c r="L270" i="4"/>
  <c r="L277" i="4"/>
  <c r="L280" i="4"/>
  <c r="L312" i="4"/>
  <c r="V94" i="4" s="1"/>
  <c r="L281" i="4"/>
  <c r="L299" i="4"/>
  <c r="L306" i="4"/>
  <c r="V88" i="4" s="1"/>
  <c r="L313" i="4"/>
  <c r="V95" i="4" s="1"/>
  <c r="L4" i="4"/>
  <c r="L25" i="4"/>
  <c r="L67" i="4"/>
  <c r="V69" i="4" s="1"/>
  <c r="L70" i="4"/>
  <c r="V72" i="4" s="1"/>
  <c r="L86" i="4"/>
  <c r="L118" i="4"/>
  <c r="L125" i="4"/>
  <c r="L152" i="4"/>
  <c r="L7" i="4"/>
  <c r="L57" i="4"/>
  <c r="L91" i="4"/>
  <c r="L104" i="4"/>
  <c r="L115" i="4"/>
  <c r="L122" i="4"/>
  <c r="L129" i="4"/>
  <c r="L136" i="4"/>
  <c r="L146" i="4"/>
  <c r="L149" i="4"/>
  <c r="L198" i="4"/>
  <c r="L213" i="4"/>
  <c r="L225" i="4"/>
  <c r="L243" i="4"/>
  <c r="L250" i="4"/>
  <c r="L257" i="4"/>
  <c r="L275" i="4"/>
  <c r="L282" i="4"/>
  <c r="L289" i="4"/>
  <c r="L307" i="4"/>
  <c r="V89" i="4" s="1"/>
  <c r="L314" i="4"/>
  <c r="V96" i="4" s="1"/>
  <c r="L321" i="4"/>
  <c r="V103" i="4" s="1"/>
  <c r="L17" i="4"/>
  <c r="L75" i="4"/>
  <c r="V77" i="4" s="1"/>
  <c r="L97" i="4"/>
  <c r="L105" i="4"/>
  <c r="L130" i="4"/>
  <c r="L140" i="4"/>
  <c r="L290" i="4"/>
  <c r="L297" i="4"/>
  <c r="L315" i="4"/>
  <c r="V97" i="4" s="1"/>
  <c r="L27" i="4"/>
  <c r="L30" i="4"/>
  <c r="L39" i="4"/>
  <c r="L42" i="4"/>
  <c r="L55" i="4"/>
  <c r="L65" i="4"/>
  <c r="V67" i="4" s="1"/>
  <c r="L92" i="4"/>
  <c r="L95" i="4"/>
  <c r="L100" i="4"/>
  <c r="L109" i="4"/>
  <c r="L134" i="4"/>
  <c r="L166" i="4"/>
  <c r="L205" i="4"/>
  <c r="L211" i="4"/>
  <c r="L230" i="4"/>
  <c r="L237" i="4"/>
  <c r="L262" i="4"/>
  <c r="L269" i="4"/>
  <c r="L287" i="4"/>
  <c r="L294" i="4"/>
  <c r="L301" i="4"/>
  <c r="L319" i="4"/>
  <c r="V101" i="4" s="1"/>
  <c r="V65" i="4"/>
  <c r="V80" i="4"/>
  <c r="L15" i="4"/>
  <c r="L68" i="4"/>
  <c r="L83" i="4"/>
  <c r="V64" i="4"/>
  <c r="V73" i="4"/>
  <c r="L127" i="4"/>
  <c r="L239" i="4"/>
  <c r="L44" i="4"/>
  <c r="L102" i="4"/>
  <c r="L28" i="4"/>
  <c r="L12" i="4"/>
  <c r="L111" i="4"/>
  <c r="L303" i="4"/>
  <c r="L147" i="4"/>
  <c r="L143" i="4"/>
  <c r="L255" i="4"/>
  <c r="L139" i="4"/>
  <c r="L247" i="4"/>
  <c r="L279" i="4"/>
  <c r="L311" i="4"/>
  <c r="L189" i="3"/>
  <c r="L230" i="3"/>
  <c r="L186" i="3"/>
  <c r="L4" i="3"/>
  <c r="L15" i="3"/>
  <c r="L26" i="3"/>
  <c r="L30" i="3"/>
  <c r="L68" i="3"/>
  <c r="V70" i="3" s="1"/>
  <c r="L88" i="3"/>
  <c r="L98" i="3"/>
  <c r="L108" i="3"/>
  <c r="L151" i="3"/>
  <c r="L5" i="3"/>
  <c r="L86" i="3"/>
  <c r="L89" i="3"/>
  <c r="L99" i="3"/>
  <c r="L112" i="3"/>
  <c r="L166" i="3"/>
  <c r="L170" i="3"/>
  <c r="L195" i="3"/>
  <c r="L222" i="3"/>
  <c r="L229" i="3"/>
  <c r="L244" i="3"/>
  <c r="L248" i="3"/>
  <c r="L252" i="3"/>
  <c r="L256" i="3"/>
  <c r="L310" i="3"/>
  <c r="V92" i="3" s="1"/>
  <c r="L174" i="3"/>
  <c r="L2" i="3"/>
  <c r="L6" i="3"/>
  <c r="L39" i="3"/>
  <c r="L80" i="3"/>
  <c r="V82" i="3" s="1"/>
  <c r="L106" i="3"/>
  <c r="L156" i="3"/>
  <c r="L167" i="3"/>
  <c r="L171" i="3"/>
  <c r="L178" i="3"/>
  <c r="L185" i="3"/>
  <c r="L196" i="3"/>
  <c r="L223" i="3"/>
  <c r="L241" i="3"/>
  <c r="L245" i="3"/>
  <c r="L253" i="3"/>
  <c r="L257" i="3"/>
  <c r="L312" i="3"/>
  <c r="V94" i="3" s="1"/>
  <c r="L261" i="3"/>
  <c r="L271" i="3"/>
  <c r="L274" i="3"/>
  <c r="L281" i="3"/>
  <c r="L299" i="3"/>
  <c r="L306" i="3"/>
  <c r="V88" i="3" s="1"/>
  <c r="L313" i="3"/>
  <c r="V95" i="3" s="1"/>
  <c r="L160" i="3"/>
  <c r="L280" i="3"/>
  <c r="L124" i="3"/>
  <c r="L131" i="3"/>
  <c r="L168" i="3"/>
  <c r="L41" i="3"/>
  <c r="L109" i="3"/>
  <c r="L224" i="3"/>
  <c r="L27" i="3"/>
  <c r="L188" i="3"/>
  <c r="L32" i="3"/>
  <c r="L18" i="3"/>
  <c r="L31" i="3"/>
  <c r="L43" i="3"/>
  <c r="L69" i="3"/>
  <c r="V71" i="3" s="1"/>
  <c r="L114" i="3"/>
  <c r="L135" i="3"/>
  <c r="L142" i="3"/>
  <c r="L249" i="3"/>
  <c r="L279" i="3"/>
  <c r="L286" i="3"/>
  <c r="L293" i="3"/>
  <c r="L311" i="3"/>
  <c r="V93" i="3" s="1"/>
  <c r="L318" i="3"/>
  <c r="V100" i="3" s="1"/>
  <c r="L37" i="3"/>
  <c r="L59" i="3"/>
  <c r="L118" i="3"/>
  <c r="L139" i="3"/>
  <c r="L198" i="3"/>
  <c r="L13" i="3"/>
  <c r="L70" i="3"/>
  <c r="V72" i="3" s="1"/>
  <c r="L103" i="3"/>
  <c r="L133" i="3"/>
  <c r="L173" i="3"/>
  <c r="L260" i="3"/>
  <c r="L19" i="3"/>
  <c r="L38" i="3"/>
  <c r="L50" i="3"/>
  <c r="L63" i="3"/>
  <c r="V65" i="3" s="1"/>
  <c r="L79" i="3"/>
  <c r="V81" i="3" s="1"/>
  <c r="L82" i="3"/>
  <c r="L85" i="3"/>
  <c r="L115" i="3"/>
  <c r="L122" i="3"/>
  <c r="L143" i="3"/>
  <c r="L146" i="3"/>
  <c r="L199" i="3"/>
  <c r="L203" i="3"/>
  <c r="L217" i="3"/>
  <c r="L287" i="3"/>
  <c r="L294" i="3"/>
  <c r="L301" i="3"/>
  <c r="L319" i="3"/>
  <c r="V101" i="3" s="1"/>
  <c r="V66" i="3"/>
  <c r="L12" i="3"/>
  <c r="L28" i="3"/>
  <c r="L44" i="3"/>
  <c r="L60" i="3"/>
  <c r="L162" i="3"/>
  <c r="L90" i="3"/>
  <c r="L153" i="3"/>
  <c r="L234" i="3"/>
  <c r="V69" i="3"/>
  <c r="L78" i="3"/>
  <c r="L116" i="3"/>
  <c r="L148" i="3"/>
  <c r="L250" i="3"/>
  <c r="L169" i="3"/>
  <c r="L263" i="3"/>
  <c r="L87" i="3"/>
  <c r="L132" i="3"/>
  <c r="L227" i="3"/>
  <c r="L215" i="3"/>
  <c r="L136" i="3"/>
  <c r="L152" i="3"/>
  <c r="L210" i="3"/>
  <c r="L247" i="3"/>
  <c r="L23" i="2"/>
  <c r="L45" i="2"/>
  <c r="L42" i="2"/>
  <c r="L53" i="2"/>
  <c r="L6" i="2"/>
  <c r="L39" i="2"/>
  <c r="L43" i="2"/>
  <c r="L50" i="2"/>
  <c r="L61" i="2"/>
  <c r="L91" i="2"/>
  <c r="L101" i="2"/>
  <c r="L131" i="2"/>
  <c r="L146" i="2"/>
  <c r="L161" i="2"/>
  <c r="L168" i="2"/>
  <c r="L179" i="2"/>
  <c r="L183" i="2"/>
  <c r="L205" i="2"/>
  <c r="L278" i="2"/>
  <c r="L309" i="2"/>
  <c r="V91" i="2" s="1"/>
  <c r="L7" i="2"/>
  <c r="L14" i="2"/>
  <c r="L36" i="2"/>
  <c r="L40" i="2"/>
  <c r="L44" i="2"/>
  <c r="L62" i="2"/>
  <c r="V64" i="2" s="1"/>
  <c r="L66" i="2"/>
  <c r="V68" i="2" s="1"/>
  <c r="L92" i="2"/>
  <c r="L102" i="2"/>
  <c r="L117" i="2"/>
  <c r="L132" i="2"/>
  <c r="L135" i="2"/>
  <c r="L158" i="2"/>
  <c r="L162" i="2"/>
  <c r="L169" i="2"/>
  <c r="L176" i="2"/>
  <c r="L180" i="2"/>
  <c r="L190" i="2"/>
  <c r="L213" i="2"/>
  <c r="L322" i="2"/>
  <c r="L15" i="2"/>
  <c r="L26" i="2"/>
  <c r="L30" i="2"/>
  <c r="L37" i="2"/>
  <c r="L41" i="2"/>
  <c r="L51" i="2"/>
  <c r="L55" i="2"/>
  <c r="L59" i="2"/>
  <c r="L63" i="2"/>
  <c r="V65" i="2" s="1"/>
  <c r="L67" i="2"/>
  <c r="L78" i="2"/>
  <c r="V80" i="2" s="1"/>
  <c r="L96" i="2"/>
  <c r="L118" i="2"/>
  <c r="L129" i="2"/>
  <c r="L133" i="2"/>
  <c r="L159" i="2"/>
  <c r="L170" i="2"/>
  <c r="L188" i="2"/>
  <c r="L214" i="2"/>
  <c r="L245" i="2"/>
  <c r="L116" i="2"/>
  <c r="L144" i="2"/>
  <c r="L163" i="2"/>
  <c r="L172" i="2"/>
  <c r="L206" i="2"/>
  <c r="L216" i="2"/>
  <c r="L248" i="2"/>
  <c r="L3" i="2"/>
  <c r="L166" i="2"/>
  <c r="L203" i="2"/>
  <c r="L280" i="2"/>
  <c r="L312" i="2"/>
  <c r="V94" i="2" s="1"/>
  <c r="L4" i="2"/>
  <c r="L31" i="2"/>
  <c r="L47" i="2"/>
  <c r="L86" i="2"/>
  <c r="L97" i="2"/>
  <c r="L100" i="2"/>
  <c r="L177" i="2"/>
  <c r="L215" i="2"/>
  <c r="L222" i="2"/>
  <c r="L229" i="2"/>
  <c r="L247" i="2"/>
  <c r="L254" i="2"/>
  <c r="L261" i="2"/>
  <c r="L286" i="2"/>
  <c r="L293" i="2"/>
  <c r="L311" i="2"/>
  <c r="V93" i="2" s="1"/>
  <c r="L315" i="2"/>
  <c r="V97" i="2" s="1"/>
  <c r="L5" i="2"/>
  <c r="L58" i="2"/>
  <c r="L71" i="2"/>
  <c r="V73" i="2" s="1"/>
  <c r="L122" i="2"/>
  <c r="L125" i="2"/>
  <c r="L153" i="2"/>
  <c r="L178" i="2"/>
  <c r="L181" i="2"/>
  <c r="L223" i="2"/>
  <c r="L230" i="2"/>
  <c r="L237" i="2"/>
  <c r="L255" i="2"/>
  <c r="L262" i="2"/>
  <c r="L269" i="2"/>
  <c r="L287" i="2"/>
  <c r="L294" i="2"/>
  <c r="L301" i="2"/>
  <c r="L319" i="2"/>
  <c r="V101" i="2" s="1"/>
  <c r="L32" i="2"/>
  <c r="V81" i="2"/>
  <c r="L84" i="2"/>
  <c r="L175" i="2"/>
  <c r="L186" i="2"/>
  <c r="V75" i="2"/>
  <c r="V85" i="2"/>
  <c r="L68" i="2"/>
  <c r="V89" i="2"/>
  <c r="L8" i="2"/>
  <c r="V78" i="2"/>
  <c r="L48" i="2"/>
  <c r="V69" i="2"/>
  <c r="L16" i="2"/>
  <c r="V74" i="2"/>
  <c r="V77" i="2"/>
  <c r="L197" i="2"/>
  <c r="L64" i="2"/>
  <c r="L77" i="2"/>
  <c r="L57" i="2"/>
  <c r="L95" i="2"/>
  <c r="V99" i="2"/>
  <c r="V103" i="2"/>
  <c r="L157" i="2"/>
  <c r="L317" i="1"/>
  <c r="V99" i="1" s="1"/>
  <c r="L320" i="1"/>
  <c r="V102" i="1" s="1"/>
  <c r="L318" i="1"/>
  <c r="V100" i="1" s="1"/>
  <c r="L262" i="1"/>
  <c r="L282" i="1"/>
  <c r="L321" i="1"/>
  <c r="V103" i="1" s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176" i="1"/>
  <c r="L258" i="1"/>
  <c r="V101" i="1"/>
  <c r="L161" i="1"/>
  <c r="L212" i="1"/>
  <c r="L222" i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82" i="1"/>
  <c r="V79" i="1"/>
  <c r="V72" i="1"/>
  <c r="V76" i="5" l="1"/>
  <c r="V79" i="5"/>
  <c r="V70" i="4"/>
  <c r="N5" i="4" s="1"/>
  <c r="V93" i="4"/>
  <c r="V85" i="4"/>
  <c r="V80" i="3"/>
  <c r="N2" i="3" s="1"/>
  <c r="V79" i="2"/>
  <c r="V70" i="2"/>
  <c r="V66" i="2"/>
  <c r="N5" i="2"/>
  <c r="N2" i="2"/>
  <c r="M57" i="2" s="1"/>
  <c r="N2" i="1"/>
  <c r="M322" i="1" s="1"/>
  <c r="N5" i="1"/>
  <c r="N2" i="5" l="1"/>
  <c r="M157" i="5" s="1"/>
  <c r="N5" i="5"/>
  <c r="N2" i="4"/>
  <c r="M221" i="4" s="1"/>
  <c r="M297" i="3"/>
  <c r="M253" i="3"/>
  <c r="M313" i="3"/>
  <c r="M239" i="3"/>
  <c r="M164" i="3"/>
  <c r="M4" i="3"/>
  <c r="M244" i="3"/>
  <c r="M33" i="3"/>
  <c r="M26" i="3"/>
  <c r="M268" i="3"/>
  <c r="M110" i="3"/>
  <c r="M97" i="3"/>
  <c r="M58" i="3"/>
  <c r="M49" i="3"/>
  <c r="M42" i="3"/>
  <c r="M17" i="3"/>
  <c r="M10" i="3"/>
  <c r="M281" i="3"/>
  <c r="M150" i="3"/>
  <c r="M84" i="3"/>
  <c r="M237" i="3"/>
  <c r="M183" i="3"/>
  <c r="M255" i="3"/>
  <c r="M205" i="3"/>
  <c r="M138" i="3"/>
  <c r="M221" i="3"/>
  <c r="M176" i="3"/>
  <c r="M100" i="3"/>
  <c r="M66" i="3"/>
  <c r="M154" i="3"/>
  <c r="M74" i="3"/>
  <c r="M134" i="3"/>
  <c r="M70" i="3"/>
  <c r="M19" i="3"/>
  <c r="M41" i="3"/>
  <c r="M109" i="3"/>
  <c r="M248" i="3"/>
  <c r="M94" i="3"/>
  <c r="M192" i="3"/>
  <c r="M15" i="3"/>
  <c r="M75" i="3"/>
  <c r="M186" i="3"/>
  <c r="M24" i="3"/>
  <c r="M101" i="3"/>
  <c r="M196" i="3"/>
  <c r="M3" i="3"/>
  <c r="M172" i="3"/>
  <c r="M22" i="3"/>
  <c r="M93" i="3"/>
  <c r="M194" i="3"/>
  <c r="M50" i="3"/>
  <c r="M120" i="3"/>
  <c r="M201" i="3"/>
  <c r="M104" i="3"/>
  <c r="M187" i="3"/>
  <c r="M307" i="3"/>
  <c r="M254" i="3"/>
  <c r="M140" i="3"/>
  <c r="M220" i="3"/>
  <c r="M226" i="3"/>
  <c r="M301" i="3"/>
  <c r="M252" i="3"/>
  <c r="M286" i="3"/>
  <c r="M280" i="3"/>
  <c r="M322" i="3"/>
  <c r="M80" i="3"/>
  <c r="M141" i="3"/>
  <c r="M260" i="3"/>
  <c r="M79" i="3"/>
  <c r="M129" i="3"/>
  <c r="M5" i="3"/>
  <c r="M112" i="3"/>
  <c r="M198" i="3"/>
  <c r="M21" i="3"/>
  <c r="M86" i="3"/>
  <c r="M40" i="3"/>
  <c r="M105" i="3"/>
  <c r="M216" i="3"/>
  <c r="M38" i="3"/>
  <c r="M184" i="3"/>
  <c r="M11" i="3"/>
  <c r="M111" i="3"/>
  <c r="M207" i="3"/>
  <c r="M211" i="3"/>
  <c r="M258" i="3"/>
  <c r="M238" i="3"/>
  <c r="M317" i="3"/>
  <c r="M256" i="3"/>
  <c r="M230" i="3"/>
  <c r="M115" i="3"/>
  <c r="M231" i="3"/>
  <c r="M304" i="3"/>
  <c r="M262" i="3"/>
  <c r="M287" i="3"/>
  <c r="M146" i="3"/>
  <c r="M68" i="3"/>
  <c r="M126" i="3"/>
  <c r="M224" i="3"/>
  <c r="M240" i="3"/>
  <c r="M320" i="3"/>
  <c r="M270" i="3"/>
  <c r="M168" i="3"/>
  <c r="M233" i="3"/>
  <c r="M119" i="3"/>
  <c r="M236" i="3"/>
  <c r="M206" i="3"/>
  <c r="M265" i="3"/>
  <c r="M290" i="3"/>
  <c r="M67" i="3"/>
  <c r="M316" i="3"/>
  <c r="M235" i="3"/>
  <c r="M311" i="3"/>
  <c r="M273" i="3"/>
  <c r="M246" i="3"/>
  <c r="M193" i="3"/>
  <c r="M302" i="3"/>
  <c r="M249" i="3"/>
  <c r="M83" i="3"/>
  <c r="M285" i="3"/>
  <c r="M89" i="3"/>
  <c r="M158" i="3"/>
  <c r="M212" i="3"/>
  <c r="M289" i="3"/>
  <c r="M312" i="3"/>
  <c r="M73" i="3"/>
  <c r="M8" i="3"/>
  <c r="M181" i="3"/>
  <c r="M6" i="3"/>
  <c r="M191" i="3"/>
  <c r="M182" i="3"/>
  <c r="M217" i="3"/>
  <c r="M291" i="3"/>
  <c r="M283" i="3"/>
  <c r="M319" i="3"/>
  <c r="M157" i="3"/>
  <c r="M199" i="3"/>
  <c r="M137" i="3"/>
  <c r="M117" i="3"/>
  <c r="M161" i="3"/>
  <c r="M292" i="3"/>
  <c r="M299" i="3"/>
  <c r="M143" i="3"/>
  <c r="M245" i="3"/>
  <c r="M269" i="3"/>
  <c r="M264" i="3"/>
  <c r="M185" i="3"/>
  <c r="M147" i="3"/>
  <c r="M318" i="3"/>
  <c r="M65" i="3"/>
  <c r="M114" i="3"/>
  <c r="M171" i="3"/>
  <c r="M14" i="3"/>
  <c r="M2" i="3"/>
  <c r="M106" i="3"/>
  <c r="M35" i="3"/>
  <c r="M91" i="3"/>
  <c r="M57" i="3"/>
  <c r="M156" i="3"/>
  <c r="M7" i="3"/>
  <c r="M118" i="3"/>
  <c r="M208" i="3"/>
  <c r="M31" i="3"/>
  <c r="M88" i="3"/>
  <c r="M203" i="3"/>
  <c r="M56" i="3"/>
  <c r="M241" i="3"/>
  <c r="M54" i="3"/>
  <c r="M204" i="3"/>
  <c r="M27" i="3"/>
  <c r="M125" i="3"/>
  <c r="M214" i="3"/>
  <c r="M81" i="3"/>
  <c r="M123" i="3"/>
  <c r="M296" i="3"/>
  <c r="M200" i="3"/>
  <c r="M32" i="3"/>
  <c r="M180" i="3"/>
  <c r="M284" i="3"/>
  <c r="M266" i="3"/>
  <c r="M18" i="3"/>
  <c r="M173" i="3"/>
  <c r="M222" i="3"/>
  <c r="M242" i="3"/>
  <c r="M188" i="3"/>
  <c r="M310" i="3"/>
  <c r="M29" i="3"/>
  <c r="M30" i="3"/>
  <c r="M51" i="3"/>
  <c r="M13" i="3"/>
  <c r="M92" i="3"/>
  <c r="M195" i="3"/>
  <c r="M23" i="3"/>
  <c r="M124" i="3"/>
  <c r="M219" i="3"/>
  <c r="M37" i="3"/>
  <c r="M228" i="3"/>
  <c r="M133" i="3"/>
  <c r="M108" i="3"/>
  <c r="M213" i="3"/>
  <c r="M43" i="3"/>
  <c r="M232" i="3"/>
  <c r="M155" i="3"/>
  <c r="M251" i="3"/>
  <c r="M178" i="3"/>
  <c r="M295" i="3"/>
  <c r="M64" i="3"/>
  <c r="M202" i="3"/>
  <c r="M63" i="3"/>
  <c r="M128" i="3"/>
  <c r="M98" i="3"/>
  <c r="M321" i="3"/>
  <c r="M277" i="3"/>
  <c r="M276" i="3"/>
  <c r="M99" i="3"/>
  <c r="M107" i="3"/>
  <c r="M218" i="3"/>
  <c r="M189" i="3"/>
  <c r="M309" i="3"/>
  <c r="M175" i="3"/>
  <c r="M82" i="3"/>
  <c r="M288" i="3"/>
  <c r="M76" i="3"/>
  <c r="M102" i="3"/>
  <c r="M293" i="3"/>
  <c r="M36" i="3"/>
  <c r="M45" i="3"/>
  <c r="M46" i="3"/>
  <c r="M69" i="3"/>
  <c r="M95" i="3"/>
  <c r="M9" i="3"/>
  <c r="M62" i="3"/>
  <c r="M174" i="3"/>
  <c r="M39" i="3"/>
  <c r="M159" i="3"/>
  <c r="M225" i="3"/>
  <c r="M47" i="3"/>
  <c r="M121" i="3"/>
  <c r="M139" i="3"/>
  <c r="M259" i="3"/>
  <c r="M113" i="3"/>
  <c r="M223" i="3"/>
  <c r="M59" i="3"/>
  <c r="M145" i="3"/>
  <c r="M257" i="3"/>
  <c r="M166" i="3"/>
  <c r="M149" i="3"/>
  <c r="M261" i="3"/>
  <c r="M135" i="3"/>
  <c r="M314" i="3"/>
  <c r="M190" i="3"/>
  <c r="M294" i="3"/>
  <c r="M127" i="3"/>
  <c r="M298" i="3"/>
  <c r="M308" i="3"/>
  <c r="M303" i="3"/>
  <c r="M25" i="3"/>
  <c r="M209" i="3"/>
  <c r="M34" i="3"/>
  <c r="M279" i="3"/>
  <c r="M274" i="3"/>
  <c r="M48" i="3"/>
  <c r="M52" i="3"/>
  <c r="M61" i="3"/>
  <c r="M16" i="3"/>
  <c r="M77" i="3"/>
  <c r="M179" i="3"/>
  <c r="M55" i="3"/>
  <c r="M177" i="3"/>
  <c r="M243" i="3"/>
  <c r="M53" i="3"/>
  <c r="M130" i="3"/>
  <c r="M278" i="3"/>
  <c r="M71" i="3"/>
  <c r="M142" i="3"/>
  <c r="M275" i="3"/>
  <c r="M122" i="3"/>
  <c r="M229" i="3"/>
  <c r="M72" i="3"/>
  <c r="M160" i="3"/>
  <c r="M85" i="3"/>
  <c r="M170" i="3"/>
  <c r="M96" i="3"/>
  <c r="M167" i="3"/>
  <c r="M144" i="3"/>
  <c r="M267" i="3"/>
  <c r="M151" i="3"/>
  <c r="M197" i="3"/>
  <c r="M300" i="3"/>
  <c r="M131" i="3"/>
  <c r="M271" i="3"/>
  <c r="M282" i="3"/>
  <c r="M305" i="3"/>
  <c r="M315" i="3"/>
  <c r="M306" i="3"/>
  <c r="M20" i="3"/>
  <c r="M272" i="3"/>
  <c r="M103" i="3"/>
  <c r="M163" i="3"/>
  <c r="M165" i="3"/>
  <c r="M215" i="3"/>
  <c r="M60" i="3"/>
  <c r="M227" i="3"/>
  <c r="M210" i="3"/>
  <c r="M169" i="3"/>
  <c r="M263" i="3"/>
  <c r="M116" i="3"/>
  <c r="M12" i="3"/>
  <c r="M78" i="3"/>
  <c r="M148" i="3"/>
  <c r="M28" i="3"/>
  <c r="M132" i="3"/>
  <c r="M153" i="3"/>
  <c r="M87" i="3"/>
  <c r="M250" i="3"/>
  <c r="M152" i="3"/>
  <c r="M234" i="3"/>
  <c r="M90" i="3"/>
  <c r="M136" i="3"/>
  <c r="M247" i="3"/>
  <c r="M162" i="3"/>
  <c r="M44" i="3"/>
  <c r="N5" i="3"/>
  <c r="M8" i="2"/>
  <c r="M197" i="2"/>
  <c r="M68" i="2"/>
  <c r="M157" i="2"/>
  <c r="M32" i="2"/>
  <c r="M175" i="2"/>
  <c r="M16" i="2"/>
  <c r="M77" i="2"/>
  <c r="M64" i="2"/>
  <c r="M48" i="2"/>
  <c r="M95" i="2"/>
  <c r="M161" i="2"/>
  <c r="M185" i="2"/>
  <c r="M169" i="2"/>
  <c r="M193" i="2"/>
  <c r="M179" i="2"/>
  <c r="M49" i="2"/>
  <c r="M181" i="2"/>
  <c r="M85" i="2"/>
  <c r="M103" i="2"/>
  <c r="M201" i="2"/>
  <c r="M177" i="2"/>
  <c r="M172" i="2"/>
  <c r="M20" i="2"/>
  <c r="M35" i="2"/>
  <c r="M107" i="2"/>
  <c r="M13" i="2"/>
  <c r="M52" i="2"/>
  <c r="M115" i="2"/>
  <c r="M74" i="2"/>
  <c r="M291" i="2"/>
  <c r="M50" i="2"/>
  <c r="M91" i="2"/>
  <c r="M284" i="2"/>
  <c r="M203" i="2"/>
  <c r="M109" i="2"/>
  <c r="M221" i="2"/>
  <c r="M60" i="2"/>
  <c r="M24" i="2"/>
  <c r="M153" i="2"/>
  <c r="M243" i="2"/>
  <c r="M148" i="2"/>
  <c r="M59" i="2"/>
  <c r="M187" i="2"/>
  <c r="M264" i="2"/>
  <c r="M116" i="2"/>
  <c r="M46" i="2"/>
  <c r="M83" i="2"/>
  <c r="M171" i="2"/>
  <c r="M283" i="2"/>
  <c r="M259" i="2"/>
  <c r="M87" i="2"/>
  <c r="M97" i="2"/>
  <c r="M240" i="2"/>
  <c r="M245" i="2"/>
  <c r="M182" i="2"/>
  <c r="M257" i="2"/>
  <c r="M321" i="2"/>
  <c r="M222" i="2"/>
  <c r="M254" i="2"/>
  <c r="M286" i="2"/>
  <c r="M318" i="2"/>
  <c r="M82" i="2"/>
  <c r="M26" i="2"/>
  <c r="M6" i="2"/>
  <c r="M29" i="2"/>
  <c r="M3" i="2"/>
  <c r="M143" i="2"/>
  <c r="M131" i="2"/>
  <c r="M63" i="2"/>
  <c r="M66" i="2"/>
  <c r="M98" i="2"/>
  <c r="M180" i="2"/>
  <c r="M299" i="2"/>
  <c r="M244" i="2"/>
  <c r="M118" i="2"/>
  <c r="M224" i="2"/>
  <c r="M137" i="2"/>
  <c r="M28" i="2"/>
  <c r="M162" i="2"/>
  <c r="M260" i="2"/>
  <c r="M200" i="2"/>
  <c r="M94" i="2"/>
  <c r="M196" i="2"/>
  <c r="M279" i="2"/>
  <c r="M227" i="2"/>
  <c r="M56" i="2"/>
  <c r="M62" i="2"/>
  <c r="M101" i="2"/>
  <c r="M191" i="2"/>
  <c r="M300" i="2"/>
  <c r="M308" i="2"/>
  <c r="M110" i="2"/>
  <c r="M102" i="2"/>
  <c r="M255" i="2"/>
  <c r="M253" i="2"/>
  <c r="M309" i="2"/>
  <c r="M158" i="2"/>
  <c r="M265" i="2"/>
  <c r="M226" i="2"/>
  <c r="M258" i="2"/>
  <c r="M290" i="2"/>
  <c r="M322" i="2"/>
  <c r="M36" i="2"/>
  <c r="M9" i="2"/>
  <c r="M34" i="2"/>
  <c r="M15" i="2"/>
  <c r="M7" i="2"/>
  <c r="M168" i="2"/>
  <c r="M106" i="2"/>
  <c r="M316" i="2"/>
  <c r="M70" i="2"/>
  <c r="M120" i="2"/>
  <c r="M239" i="2"/>
  <c r="M188" i="2"/>
  <c r="M165" i="2"/>
  <c r="M275" i="2"/>
  <c r="M276" i="2"/>
  <c r="M112" i="2"/>
  <c r="M199" i="2"/>
  <c r="M296" i="2"/>
  <c r="M76" i="2"/>
  <c r="M67" i="2"/>
  <c r="M113" i="2"/>
  <c r="M194" i="2"/>
  <c r="M315" i="2"/>
  <c r="M47" i="2"/>
  <c r="M184" i="2"/>
  <c r="M272" i="2"/>
  <c r="M261" i="2"/>
  <c r="M209" i="2"/>
  <c r="M273" i="2"/>
  <c r="M198" i="2"/>
  <c r="M230" i="2"/>
  <c r="M262" i="2"/>
  <c r="M294" i="2"/>
  <c r="M133" i="2"/>
  <c r="M72" i="2"/>
  <c r="M122" i="2"/>
  <c r="M78" i="2"/>
  <c r="M27" i="2"/>
  <c r="M125" i="2"/>
  <c r="M269" i="2"/>
  <c r="M317" i="2"/>
  <c r="M217" i="2"/>
  <c r="M281" i="2"/>
  <c r="M234" i="2"/>
  <c r="M266" i="2"/>
  <c r="M298" i="2"/>
  <c r="M304" i="2"/>
  <c r="M289" i="2"/>
  <c r="M302" i="2"/>
  <c r="M128" i="2"/>
  <c r="M136" i="2"/>
  <c r="M319" i="2"/>
  <c r="M297" i="2"/>
  <c r="M242" i="2"/>
  <c r="M96" i="2"/>
  <c r="M30" i="2"/>
  <c r="M164" i="2"/>
  <c r="M12" i="2"/>
  <c r="M232" i="2"/>
  <c r="M14" i="2"/>
  <c r="M154" i="2"/>
  <c r="M90" i="2"/>
  <c r="M208" i="2"/>
  <c r="M241" i="2"/>
  <c r="M45" i="2"/>
  <c r="M267" i="2"/>
  <c r="M228" i="2"/>
  <c r="M176" i="2"/>
  <c r="M313" i="2"/>
  <c r="M41" i="2"/>
  <c r="M105" i="2"/>
  <c r="M211" i="2"/>
  <c r="M213" i="2"/>
  <c r="M246" i="2"/>
  <c r="M55" i="2"/>
  <c r="M151" i="2"/>
  <c r="M280" i="2"/>
  <c r="M163" i="2"/>
  <c r="M320" i="2"/>
  <c r="M42" i="2"/>
  <c r="M37" i="2"/>
  <c r="M104" i="2"/>
  <c r="M270" i="2"/>
  <c r="M4" i="2"/>
  <c r="M214" i="2"/>
  <c r="M306" i="2"/>
  <c r="M192" i="2"/>
  <c r="M61" i="2"/>
  <c r="M252" i="2"/>
  <c r="M189" i="2"/>
  <c r="M159" i="2"/>
  <c r="M251" i="2"/>
  <c r="M312" i="2"/>
  <c r="M92" i="2"/>
  <c r="M93" i="2"/>
  <c r="M114" i="2"/>
  <c r="M80" i="2"/>
  <c r="M237" i="2"/>
  <c r="M250" i="2"/>
  <c r="M18" i="2"/>
  <c r="M33" i="2"/>
  <c r="M31" i="2"/>
  <c r="M10" i="2"/>
  <c r="M111" i="2"/>
  <c r="M19" i="2"/>
  <c r="M40" i="2"/>
  <c r="M86" i="2"/>
  <c r="M71" i="2"/>
  <c r="M108" i="2"/>
  <c r="M195" i="2"/>
  <c r="M44" i="2"/>
  <c r="M178" i="2"/>
  <c r="M141" i="2"/>
  <c r="M256" i="2"/>
  <c r="M212" i="2"/>
  <c r="M53" i="2"/>
  <c r="M202" i="2"/>
  <c r="M292" i="2"/>
  <c r="M205" i="2"/>
  <c r="M311" i="2"/>
  <c r="M287" i="2"/>
  <c r="M99" i="2"/>
  <c r="M238" i="2"/>
  <c r="M236" i="2"/>
  <c r="M285" i="2"/>
  <c r="M274" i="2"/>
  <c r="M17" i="2"/>
  <c r="M140" i="2"/>
  <c r="M132" i="2"/>
  <c r="M54" i="2"/>
  <c r="M146" i="2"/>
  <c r="M305" i="2"/>
  <c r="M2" i="2"/>
  <c r="M173" i="2"/>
  <c r="M88" i="2"/>
  <c r="M268" i="2"/>
  <c r="M301" i="2"/>
  <c r="M314" i="2"/>
  <c r="M69" i="2"/>
  <c r="M139" i="2"/>
  <c r="M127" i="2"/>
  <c r="M39" i="2"/>
  <c r="M22" i="2"/>
  <c r="M38" i="2"/>
  <c r="M167" i="2"/>
  <c r="M129" i="2"/>
  <c r="M220" i="2"/>
  <c r="M295" i="2"/>
  <c r="M150" i="2"/>
  <c r="M271" i="2"/>
  <c r="M121" i="2"/>
  <c r="M204" i="2"/>
  <c r="M307" i="2"/>
  <c r="M126" i="2"/>
  <c r="M142" i="2"/>
  <c r="M215" i="2"/>
  <c r="M117" i="2"/>
  <c r="M89" i="2"/>
  <c r="M124" i="2"/>
  <c r="M219" i="2"/>
  <c r="M81" i="2"/>
  <c r="M183" i="2"/>
  <c r="M51" i="2"/>
  <c r="M134" i="2"/>
  <c r="M277" i="2"/>
  <c r="M206" i="2"/>
  <c r="M225" i="2"/>
  <c r="M174" i="2"/>
  <c r="M145" i="2"/>
  <c r="M210" i="2"/>
  <c r="M23" i="2"/>
  <c r="M100" i="2"/>
  <c r="M303" i="2"/>
  <c r="M216" i="2"/>
  <c r="M75" i="2"/>
  <c r="M278" i="2"/>
  <c r="M170" i="2"/>
  <c r="M135" i="2"/>
  <c r="M248" i="2"/>
  <c r="M218" i="2"/>
  <c r="M5" i="2"/>
  <c r="M155" i="2"/>
  <c r="M147" i="2"/>
  <c r="M25" i="2"/>
  <c r="M58" i="2"/>
  <c r="M65" i="2"/>
  <c r="M263" i="2"/>
  <c r="M79" i="2"/>
  <c r="M138" i="2"/>
  <c r="M235" i="2"/>
  <c r="M73" i="2"/>
  <c r="M11" i="2"/>
  <c r="M152" i="2"/>
  <c r="M288" i="2"/>
  <c r="M149" i="2"/>
  <c r="M130" i="2"/>
  <c r="M207" i="2"/>
  <c r="M160" i="2"/>
  <c r="M144" i="2"/>
  <c r="M229" i="2"/>
  <c r="M21" i="2"/>
  <c r="M190" i="2"/>
  <c r="M119" i="2"/>
  <c r="M233" i="2"/>
  <c r="M43" i="2"/>
  <c r="M293" i="2"/>
  <c r="M310" i="2"/>
  <c r="M123" i="2"/>
  <c r="M166" i="2"/>
  <c r="M231" i="2"/>
  <c r="M247" i="2"/>
  <c r="M156" i="2"/>
  <c r="M223" i="2"/>
  <c r="M249" i="2"/>
  <c r="M282" i="2"/>
  <c r="M186" i="2"/>
  <c r="M84" i="2"/>
  <c r="M319" i="1"/>
  <c r="M320" i="1"/>
  <c r="M317" i="1"/>
  <c r="M316" i="1"/>
  <c r="M321" i="1"/>
  <c r="M318" i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112" i="1"/>
  <c r="M50" i="1"/>
  <c r="M142" i="1"/>
  <c r="M293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184" i="1"/>
  <c r="M270" i="1"/>
  <c r="M296" i="1"/>
  <c r="M109" i="1"/>
  <c r="M147" i="1"/>
  <c r="M100" i="1"/>
  <c r="M264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M154" i="5" l="1"/>
  <c r="M169" i="5"/>
  <c r="M45" i="5"/>
  <c r="M303" i="5"/>
  <c r="M260" i="5"/>
  <c r="M172" i="5"/>
  <c r="M302" i="5"/>
  <c r="M263" i="5"/>
  <c r="M136" i="5"/>
  <c r="M239" i="5"/>
  <c r="M126" i="5"/>
  <c r="M213" i="5"/>
  <c r="M152" i="5"/>
  <c r="M28" i="5"/>
  <c r="M150" i="5"/>
  <c r="M108" i="5"/>
  <c r="M237" i="5"/>
  <c r="M62" i="5"/>
  <c r="M219" i="5"/>
  <c r="M269" i="5"/>
  <c r="M245" i="5"/>
  <c r="M130" i="5"/>
  <c r="M185" i="5"/>
  <c r="M13" i="5"/>
  <c r="M69" i="5"/>
  <c r="M57" i="5"/>
  <c r="M146" i="5"/>
  <c r="M112" i="5"/>
  <c r="M102" i="5"/>
  <c r="M308" i="5"/>
  <c r="M116" i="5"/>
  <c r="M50" i="5"/>
  <c r="M106" i="5"/>
  <c r="M296" i="5"/>
  <c r="M128" i="5"/>
  <c r="M262" i="5"/>
  <c r="M148" i="5"/>
  <c r="M138" i="5"/>
  <c r="M77" i="5"/>
  <c r="M242" i="5"/>
  <c r="M60" i="5"/>
  <c r="M283" i="5"/>
  <c r="M230" i="5"/>
  <c r="M123" i="5"/>
  <c r="M129" i="5"/>
  <c r="M117" i="5"/>
  <c r="M240" i="5"/>
  <c r="M290" i="5"/>
  <c r="M67" i="5"/>
  <c r="M161" i="5"/>
  <c r="M291" i="5"/>
  <c r="M12" i="5"/>
  <c r="M322" i="5"/>
  <c r="M9" i="5"/>
  <c r="M200" i="5"/>
  <c r="M27" i="5"/>
  <c r="M205" i="5"/>
  <c r="M86" i="5"/>
  <c r="M275" i="5"/>
  <c r="M162" i="5"/>
  <c r="M227" i="5"/>
  <c r="M92" i="5"/>
  <c r="M74" i="5"/>
  <c r="M313" i="5"/>
  <c r="M241" i="5"/>
  <c r="M43" i="5"/>
  <c r="M289" i="5"/>
  <c r="M90" i="5"/>
  <c r="M36" i="5"/>
  <c r="M97" i="5"/>
  <c r="M133" i="5"/>
  <c r="M217" i="5"/>
  <c r="M176" i="5"/>
  <c r="M209" i="5"/>
  <c r="M11" i="5"/>
  <c r="M264" i="5"/>
  <c r="M310" i="5"/>
  <c r="M14" i="5"/>
  <c r="M66" i="5"/>
  <c r="M261" i="5"/>
  <c r="M251" i="5"/>
  <c r="M247" i="5"/>
  <c r="M153" i="5"/>
  <c r="M89" i="5"/>
  <c r="M76" i="5"/>
  <c r="M99" i="5"/>
  <c r="M132" i="5"/>
  <c r="M166" i="5"/>
  <c r="M309" i="5"/>
  <c r="M243" i="5"/>
  <c r="M225" i="5"/>
  <c r="M279" i="5"/>
  <c r="M38" i="5"/>
  <c r="M6" i="5"/>
  <c r="M141" i="5"/>
  <c r="M194" i="5"/>
  <c r="M63" i="5"/>
  <c r="M151" i="5"/>
  <c r="M158" i="5"/>
  <c r="M280" i="5"/>
  <c r="M278" i="5"/>
  <c r="M7" i="5"/>
  <c r="M32" i="5"/>
  <c r="M244" i="5"/>
  <c r="M208" i="5"/>
  <c r="M127" i="5"/>
  <c r="M78" i="5"/>
  <c r="M120" i="5"/>
  <c r="M191" i="5"/>
  <c r="M110" i="5"/>
  <c r="M140" i="5"/>
  <c r="M272" i="5"/>
  <c r="M64" i="5"/>
  <c r="M256" i="5"/>
  <c r="M198" i="5"/>
  <c r="M94" i="5"/>
  <c r="M274" i="5"/>
  <c r="M46" i="5"/>
  <c r="M298" i="5"/>
  <c r="M293" i="5"/>
  <c r="M87" i="5"/>
  <c r="M212" i="5"/>
  <c r="M113" i="5"/>
  <c r="M167" i="5"/>
  <c r="M271" i="5"/>
  <c r="M73" i="5"/>
  <c r="M195" i="5"/>
  <c r="M316" i="5"/>
  <c r="M215" i="5"/>
  <c r="M23" i="5"/>
  <c r="M249" i="5"/>
  <c r="M315" i="5"/>
  <c r="M131" i="5"/>
  <c r="M234" i="5"/>
  <c r="M226" i="5"/>
  <c r="M229" i="5"/>
  <c r="M300" i="5"/>
  <c r="M107" i="5"/>
  <c r="M98" i="5"/>
  <c r="M318" i="5"/>
  <c r="M175" i="5"/>
  <c r="M178" i="5"/>
  <c r="M88" i="5"/>
  <c r="M21" i="5"/>
  <c r="M252" i="5"/>
  <c r="M65" i="5"/>
  <c r="M10" i="5"/>
  <c r="M49" i="5"/>
  <c r="M246" i="5"/>
  <c r="M192" i="5"/>
  <c r="M232" i="5"/>
  <c r="M93" i="5"/>
  <c r="M174" i="5"/>
  <c r="M119" i="5"/>
  <c r="M137" i="5"/>
  <c r="M5" i="5"/>
  <c r="M206" i="5"/>
  <c r="M286" i="5"/>
  <c r="M287" i="5"/>
  <c r="M144" i="5"/>
  <c r="M312" i="5"/>
  <c r="M125" i="5"/>
  <c r="M193" i="5"/>
  <c r="M91" i="5"/>
  <c r="M171" i="5"/>
  <c r="M224" i="5"/>
  <c r="M214" i="5"/>
  <c r="M179" i="5"/>
  <c r="M307" i="5"/>
  <c r="M189" i="5"/>
  <c r="M180" i="5"/>
  <c r="M228" i="5"/>
  <c r="M75" i="5"/>
  <c r="M101" i="5"/>
  <c r="M96" i="5"/>
  <c r="M222" i="5"/>
  <c r="M223" i="5"/>
  <c r="M121" i="5"/>
  <c r="M85" i="5"/>
  <c r="M282" i="5"/>
  <c r="M284" i="5"/>
  <c r="M203" i="5"/>
  <c r="M255" i="5"/>
  <c r="M52" i="5"/>
  <c r="M321" i="5"/>
  <c r="M236" i="5"/>
  <c r="M17" i="5"/>
  <c r="M184" i="5"/>
  <c r="M221" i="5"/>
  <c r="M177" i="5"/>
  <c r="M95" i="5"/>
  <c r="M19" i="5"/>
  <c r="M299" i="5"/>
  <c r="M111" i="5"/>
  <c r="M216" i="5"/>
  <c r="M24" i="5"/>
  <c r="M135" i="5"/>
  <c r="M281" i="5"/>
  <c r="M182" i="5"/>
  <c r="M16" i="5"/>
  <c r="M29" i="5"/>
  <c r="M84" i="5"/>
  <c r="M164" i="5"/>
  <c r="M79" i="5"/>
  <c r="M56" i="5"/>
  <c r="M259" i="5"/>
  <c r="M201" i="5"/>
  <c r="M170" i="5"/>
  <c r="M39" i="5"/>
  <c r="M276" i="5"/>
  <c r="M44" i="5"/>
  <c r="M319" i="5"/>
  <c r="M311" i="5"/>
  <c r="M183" i="5"/>
  <c r="M173" i="5"/>
  <c r="M104" i="5"/>
  <c r="M301" i="5"/>
  <c r="M156" i="5"/>
  <c r="M2" i="5"/>
  <c r="M294" i="5"/>
  <c r="M268" i="5"/>
  <c r="M55" i="5"/>
  <c r="M40" i="5"/>
  <c r="M25" i="5"/>
  <c r="M204" i="5"/>
  <c r="M305" i="5"/>
  <c r="M80" i="5"/>
  <c r="M81" i="5"/>
  <c r="M163" i="5"/>
  <c r="M304" i="5"/>
  <c r="M34" i="5"/>
  <c r="M3" i="5"/>
  <c r="M285" i="5"/>
  <c r="M273" i="5"/>
  <c r="M58" i="5"/>
  <c r="M59" i="5"/>
  <c r="M270" i="5"/>
  <c r="M277" i="5"/>
  <c r="M100" i="5"/>
  <c r="M72" i="5"/>
  <c r="M122" i="5"/>
  <c r="M314" i="5"/>
  <c r="M207" i="5"/>
  <c r="M37" i="5"/>
  <c r="M248" i="5"/>
  <c r="M130" i="4"/>
  <c r="M53" i="4"/>
  <c r="M194" i="4"/>
  <c r="M239" i="4"/>
  <c r="M225" i="4"/>
  <c r="M260" i="4"/>
  <c r="M304" i="4"/>
  <c r="M46" i="4"/>
  <c r="M269" i="4"/>
  <c r="M230" i="4"/>
  <c r="M166" i="4"/>
  <c r="M77" i="4"/>
  <c r="M253" i="4"/>
  <c r="M150" i="4"/>
  <c r="M9" i="4"/>
  <c r="M279" i="4"/>
  <c r="M249" i="4"/>
  <c r="M161" i="4"/>
  <c r="M168" i="4"/>
  <c r="M84" i="4"/>
  <c r="M287" i="4"/>
  <c r="M271" i="4"/>
  <c r="M312" i="4"/>
  <c r="M204" i="4"/>
  <c r="M96" i="4"/>
  <c r="M5" i="4"/>
  <c r="M80" i="4"/>
  <c r="M106" i="4"/>
  <c r="M61" i="4"/>
  <c r="M22" i="4"/>
  <c r="M311" i="4"/>
  <c r="M247" i="4"/>
  <c r="M21" i="4"/>
  <c r="M74" i="4"/>
  <c r="M309" i="4"/>
  <c r="M251" i="4"/>
  <c r="M113" i="4"/>
  <c r="M283" i="4"/>
  <c r="M185" i="4"/>
  <c r="M3" i="4"/>
  <c r="M317" i="4"/>
  <c r="M236" i="4"/>
  <c r="M20" i="4"/>
  <c r="M280" i="4"/>
  <c r="M104" i="4"/>
  <c r="M72" i="4"/>
  <c r="M28" i="4"/>
  <c r="M129" i="4"/>
  <c r="M298" i="4"/>
  <c r="M29" i="4"/>
  <c r="M149" i="4"/>
  <c r="M303" i="4"/>
  <c r="M154" i="4"/>
  <c r="M142" i="4"/>
  <c r="M93" i="4"/>
  <c r="M172" i="4"/>
  <c r="M117" i="4"/>
  <c r="M67" i="4"/>
  <c r="M131" i="4"/>
  <c r="M267" i="4"/>
  <c r="M52" i="4"/>
  <c r="M158" i="4"/>
  <c r="M33" i="4"/>
  <c r="M55" i="4"/>
  <c r="M78" i="4"/>
  <c r="M248" i="4"/>
  <c r="M68" i="4"/>
  <c r="M147" i="4"/>
  <c r="M308" i="4"/>
  <c r="M315" i="4"/>
  <c r="M288" i="4"/>
  <c r="M162" i="4"/>
  <c r="M69" i="4"/>
  <c r="M224" i="4"/>
  <c r="M8" i="4"/>
  <c r="M240" i="4"/>
  <c r="M89" i="4"/>
  <c r="M137" i="4"/>
  <c r="M121" i="4"/>
  <c r="M165" i="4"/>
  <c r="M238" i="4"/>
  <c r="M94" i="4"/>
  <c r="M115" i="4"/>
  <c r="M301" i="4"/>
  <c r="M229" i="4"/>
  <c r="M88" i="4"/>
  <c r="M153" i="4"/>
  <c r="M83" i="4"/>
  <c r="M242" i="4"/>
  <c r="M320" i="4"/>
  <c r="M54" i="4"/>
  <c r="M119" i="4"/>
  <c r="M90" i="4"/>
  <c r="M97" i="4"/>
  <c r="M188" i="4"/>
  <c r="M140" i="4"/>
  <c r="M132" i="4"/>
  <c r="M276" i="4"/>
  <c r="M300" i="4"/>
  <c r="M160" i="4"/>
  <c r="M54" i="5"/>
  <c r="M26" i="5"/>
  <c r="M8" i="5"/>
  <c r="M218" i="5"/>
  <c r="M160" i="5"/>
  <c r="M105" i="5"/>
  <c r="M31" i="5"/>
  <c r="M306" i="5"/>
  <c r="M295" i="5"/>
  <c r="M33" i="5"/>
  <c r="M250" i="5"/>
  <c r="M257" i="5"/>
  <c r="M145" i="5"/>
  <c r="M159" i="5"/>
  <c r="M83" i="5"/>
  <c r="M114" i="5"/>
  <c r="M168" i="5"/>
  <c r="M199" i="5"/>
  <c r="M118" i="5"/>
  <c r="M235" i="5"/>
  <c r="M266" i="5"/>
  <c r="M143" i="5"/>
  <c r="M51" i="5"/>
  <c r="M53" i="5"/>
  <c r="M82" i="5"/>
  <c r="M210" i="5"/>
  <c r="M4" i="5"/>
  <c r="M211" i="5"/>
  <c r="M147" i="5"/>
  <c r="M187" i="5"/>
  <c r="M220" i="5"/>
  <c r="M35" i="5"/>
  <c r="M320" i="5"/>
  <c r="M181" i="5"/>
  <c r="M197" i="5"/>
  <c r="M124" i="5"/>
  <c r="M61" i="5"/>
  <c r="M292" i="5"/>
  <c r="M238" i="5"/>
  <c r="M115" i="5"/>
  <c r="M47" i="5"/>
  <c r="M190" i="5"/>
  <c r="M155" i="5"/>
  <c r="M42" i="5"/>
  <c r="M71" i="5"/>
  <c r="M109" i="5"/>
  <c r="M134" i="5"/>
  <c r="M288" i="5"/>
  <c r="M231" i="5"/>
  <c r="M233" i="5"/>
  <c r="M258" i="5"/>
  <c r="M186" i="5"/>
  <c r="M68" i="5"/>
  <c r="M18" i="5"/>
  <c r="M267" i="5"/>
  <c r="M202" i="5"/>
  <c r="M254" i="5"/>
  <c r="M48" i="5"/>
  <c r="M317" i="5"/>
  <c r="M15" i="5"/>
  <c r="M41" i="5"/>
  <c r="M196" i="5"/>
  <c r="M265" i="5"/>
  <c r="M142" i="5"/>
  <c r="M22" i="5"/>
  <c r="M20" i="5"/>
  <c r="M188" i="5"/>
  <c r="M297" i="5"/>
  <c r="M30" i="5"/>
  <c r="M253" i="5"/>
  <c r="M149" i="5"/>
  <c r="M139" i="5"/>
  <c r="M103" i="5"/>
  <c r="M70" i="5"/>
  <c r="M165" i="5"/>
  <c r="M50" i="4"/>
  <c r="M261" i="4"/>
  <c r="M266" i="4"/>
  <c r="M206" i="4"/>
  <c r="M285" i="4"/>
  <c r="M43" i="4"/>
  <c r="M85" i="4"/>
  <c r="M281" i="4"/>
  <c r="M209" i="4"/>
  <c r="M210" i="4"/>
  <c r="M16" i="4"/>
  <c r="M76" i="4"/>
  <c r="M170" i="4"/>
  <c r="M273" i="4"/>
  <c r="M4" i="4"/>
  <c r="M42" i="4"/>
  <c r="M246" i="4"/>
  <c r="M146" i="4"/>
  <c r="M110" i="4"/>
  <c r="M156" i="4"/>
  <c r="M27" i="4"/>
  <c r="M124" i="4"/>
  <c r="M73" i="4"/>
  <c r="M187" i="4"/>
  <c r="M151" i="4"/>
  <c r="M155" i="4"/>
  <c r="M2" i="4"/>
  <c r="M128" i="4"/>
  <c r="M112" i="4"/>
  <c r="M189" i="4"/>
  <c r="M127" i="4"/>
  <c r="M255" i="4"/>
  <c r="M306" i="4"/>
  <c r="M138" i="4"/>
  <c r="M198" i="4"/>
  <c r="M123" i="4"/>
  <c r="M98" i="4"/>
  <c r="M211" i="4"/>
  <c r="M212" i="4"/>
  <c r="M284" i="4"/>
  <c r="M65" i="4"/>
  <c r="M243" i="4"/>
  <c r="M234" i="4"/>
  <c r="M295" i="4"/>
  <c r="M178" i="4"/>
  <c r="M241" i="4"/>
  <c r="M134" i="4"/>
  <c r="M180" i="4"/>
  <c r="M49" i="4"/>
  <c r="M95" i="4"/>
  <c r="M19" i="4"/>
  <c r="M6" i="4"/>
  <c r="M114" i="4"/>
  <c r="M125" i="4"/>
  <c r="M175" i="4"/>
  <c r="M64" i="4"/>
  <c r="M319" i="4"/>
  <c r="M318" i="4"/>
  <c r="M201" i="4"/>
  <c r="M92" i="4"/>
  <c r="M191" i="4"/>
  <c r="M202" i="4"/>
  <c r="M294" i="4"/>
  <c r="M257" i="4"/>
  <c r="M82" i="4"/>
  <c r="M24" i="4"/>
  <c r="M58" i="4"/>
  <c r="M296" i="4"/>
  <c r="M181" i="4"/>
  <c r="M213" i="4"/>
  <c r="M143" i="4"/>
  <c r="M15" i="4"/>
  <c r="M274" i="4"/>
  <c r="M182" i="4"/>
  <c r="M107" i="4"/>
  <c r="M56" i="4"/>
  <c r="M203" i="4"/>
  <c r="M126" i="4"/>
  <c r="M272" i="4"/>
  <c r="M91" i="4"/>
  <c r="M108" i="4"/>
  <c r="M145" i="4"/>
  <c r="M214" i="4"/>
  <c r="M148" i="4"/>
  <c r="M86" i="4"/>
  <c r="M87" i="4"/>
  <c r="M71" i="4"/>
  <c r="M118" i="4"/>
  <c r="M268" i="4"/>
  <c r="M40" i="4"/>
  <c r="M47" i="4"/>
  <c r="M103" i="4"/>
  <c r="M237" i="4"/>
  <c r="M179" i="4"/>
  <c r="M62" i="4"/>
  <c r="M244" i="4"/>
  <c r="M233" i="4"/>
  <c r="M286" i="4"/>
  <c r="M275" i="4"/>
  <c r="M37" i="4"/>
  <c r="M157" i="4"/>
  <c r="M36" i="4"/>
  <c r="M314" i="4"/>
  <c r="M163" i="4"/>
  <c r="M14" i="4"/>
  <c r="M169" i="4"/>
  <c r="M99" i="4"/>
  <c r="M70" i="4"/>
  <c r="M183" i="4"/>
  <c r="M173" i="4"/>
  <c r="M38" i="4"/>
  <c r="M133" i="4"/>
  <c r="M299" i="4"/>
  <c r="M292" i="4"/>
  <c r="M11" i="4"/>
  <c r="M31" i="4"/>
  <c r="M316" i="4"/>
  <c r="M307" i="4"/>
  <c r="M167" i="4"/>
  <c r="M222" i="4"/>
  <c r="M63" i="4"/>
  <c r="M322" i="4"/>
  <c r="M289" i="4"/>
  <c r="M100" i="4"/>
  <c r="M199" i="4"/>
  <c r="M13" i="4"/>
  <c r="M200" i="4"/>
  <c r="M254" i="4"/>
  <c r="M177" i="4"/>
  <c r="M259" i="4"/>
  <c r="M159" i="4"/>
  <c r="M310" i="4"/>
  <c r="M282" i="4"/>
  <c r="M231" i="4"/>
  <c r="M252" i="4"/>
  <c r="M81" i="4"/>
  <c r="M176" i="4"/>
  <c r="M216" i="4"/>
  <c r="M232" i="4"/>
  <c r="M208" i="4"/>
  <c r="M139" i="4"/>
  <c r="M12" i="4"/>
  <c r="M313" i="4"/>
  <c r="M17" i="4"/>
  <c r="M291" i="4"/>
  <c r="M207" i="4"/>
  <c r="M302" i="4"/>
  <c r="M321" i="4"/>
  <c r="M305" i="4"/>
  <c r="M101" i="4"/>
  <c r="M57" i="4"/>
  <c r="M18" i="4"/>
  <c r="M190" i="4"/>
  <c r="M174" i="4"/>
  <c r="M228" i="4"/>
  <c r="M35" i="4"/>
  <c r="M45" i="4"/>
  <c r="M196" i="4"/>
  <c r="M60" i="4"/>
  <c r="M26" i="4"/>
  <c r="M79" i="4"/>
  <c r="M290" i="4"/>
  <c r="M186" i="4"/>
  <c r="M265" i="4"/>
  <c r="M34" i="4"/>
  <c r="M7" i="4"/>
  <c r="M297" i="4"/>
  <c r="M293" i="4"/>
  <c r="M245" i="4"/>
  <c r="M144" i="4"/>
  <c r="M32" i="4"/>
  <c r="M226" i="4"/>
  <c r="M250" i="4"/>
  <c r="M193" i="4"/>
  <c r="M136" i="4"/>
  <c r="M10" i="4"/>
  <c r="M141" i="4"/>
  <c r="M205" i="4"/>
  <c r="M39" i="4"/>
  <c r="M197" i="4"/>
  <c r="M44" i="4"/>
  <c r="M102" i="4"/>
  <c r="M111" i="4"/>
  <c r="M223" i="4"/>
  <c r="M227" i="4"/>
  <c r="M109" i="4"/>
  <c r="M51" i="4"/>
  <c r="M270" i="4"/>
  <c r="M220" i="4"/>
  <c r="M195" i="4"/>
  <c r="M66" i="4"/>
  <c r="M256" i="4"/>
  <c r="M59" i="4"/>
  <c r="M122" i="4"/>
  <c r="M215" i="4"/>
  <c r="M75" i="4"/>
  <c r="M23" i="4"/>
  <c r="M262" i="4"/>
  <c r="M277" i="4"/>
  <c r="M217" i="4"/>
  <c r="M48" i="4"/>
  <c r="M278" i="4"/>
  <c r="M258" i="4"/>
  <c r="M263" i="4"/>
  <c r="M164" i="4"/>
  <c r="M219" i="4"/>
  <c r="M25" i="4"/>
  <c r="M135" i="4"/>
  <c r="M171" i="4"/>
  <c r="M218" i="4"/>
  <c r="M41" i="4"/>
  <c r="M116" i="4"/>
  <c r="M184" i="4"/>
  <c r="M235" i="4"/>
  <c r="M105" i="4"/>
  <c r="M30" i="4"/>
  <c r="M152" i="4"/>
  <c r="M120" i="4"/>
  <c r="M264" i="4"/>
  <c r="M192" i="4"/>
  <c r="O2" i="3"/>
  <c r="P162" i="3" s="1"/>
  <c r="O2" i="2"/>
  <c r="P57" i="2" s="1"/>
  <c r="O2" i="1"/>
  <c r="O2" i="5" l="1"/>
  <c r="O2" i="4"/>
  <c r="P311" i="4" s="1"/>
  <c r="P15" i="2"/>
  <c r="P45" i="5"/>
  <c r="P103" i="5"/>
  <c r="P294" i="5"/>
  <c r="P268" i="5"/>
  <c r="P20" i="5"/>
  <c r="P22" i="5"/>
  <c r="P79" i="5"/>
  <c r="P251" i="5"/>
  <c r="P278" i="5"/>
  <c r="P254" i="5"/>
  <c r="P137" i="5"/>
  <c r="P143" i="5"/>
  <c r="P107" i="5"/>
  <c r="P158" i="5"/>
  <c r="P163" i="5"/>
  <c r="P215" i="5"/>
  <c r="P277" i="5"/>
  <c r="P38" i="5"/>
  <c r="P58" i="5"/>
  <c r="P60" i="5"/>
  <c r="P26" i="5"/>
  <c r="P248" i="5"/>
  <c r="P126" i="5"/>
  <c r="P51" i="5"/>
  <c r="P108" i="5"/>
  <c r="P233" i="5"/>
  <c r="P23" i="5"/>
  <c r="P96" i="5"/>
  <c r="P127" i="5"/>
  <c r="P116" i="5"/>
  <c r="P219" i="5"/>
  <c r="P287" i="5"/>
  <c r="P77" i="5"/>
  <c r="P269" i="5"/>
  <c r="P295" i="5"/>
  <c r="P220" i="5"/>
  <c r="P205" i="5"/>
  <c r="P187" i="5"/>
  <c r="P54" i="5"/>
  <c r="P100" i="5"/>
  <c r="P231" i="5"/>
  <c r="P309" i="5"/>
  <c r="P29" i="5"/>
  <c r="P264" i="5"/>
  <c r="P168" i="5"/>
  <c r="P55" i="5"/>
  <c r="P7" i="5"/>
  <c r="P174" i="5"/>
  <c r="P47" i="5"/>
  <c r="P2" i="5"/>
  <c r="P146" i="5"/>
  <c r="P81" i="5"/>
  <c r="P166" i="5"/>
  <c r="P48" i="5"/>
  <c r="P212" i="5"/>
  <c r="P273" i="5"/>
  <c r="P70" i="5"/>
  <c r="P190" i="5"/>
  <c r="P192" i="5"/>
  <c r="P111" i="5"/>
  <c r="P89" i="5"/>
  <c r="P33" i="5"/>
  <c r="P232" i="5"/>
  <c r="P167" i="5"/>
  <c r="P296" i="5"/>
  <c r="P281" i="5"/>
  <c r="P179" i="5"/>
  <c r="P208" i="5"/>
  <c r="P306" i="5"/>
  <c r="P180" i="5"/>
  <c r="P247" i="5"/>
  <c r="P106" i="5"/>
  <c r="P97" i="5"/>
  <c r="P134" i="5"/>
  <c r="P150" i="5"/>
  <c r="P241" i="5"/>
  <c r="P211" i="5"/>
  <c r="P235" i="5"/>
  <c r="P90" i="5"/>
  <c r="P184" i="5"/>
  <c r="P249" i="5"/>
  <c r="P144" i="5"/>
  <c r="P52" i="5"/>
  <c r="P225" i="5"/>
  <c r="P63" i="5"/>
  <c r="P83" i="5"/>
  <c r="P31" i="5"/>
  <c r="P151" i="5"/>
  <c r="P298" i="5"/>
  <c r="P230" i="5"/>
  <c r="P291" i="5"/>
  <c r="P14" i="5"/>
  <c r="P305" i="5"/>
  <c r="P85" i="5"/>
  <c r="P17" i="5"/>
  <c r="P216" i="5"/>
  <c r="P308" i="5"/>
  <c r="P86" i="5"/>
  <c r="P98" i="5"/>
  <c r="P315" i="5"/>
  <c r="P130" i="5"/>
  <c r="P95" i="5"/>
  <c r="P176" i="5"/>
  <c r="P122" i="5"/>
  <c r="P156" i="5"/>
  <c r="P226" i="5"/>
  <c r="P72" i="5"/>
  <c r="P10" i="5"/>
  <c r="P307" i="5"/>
  <c r="P141" i="5"/>
  <c r="P262" i="5"/>
  <c r="P204" i="5"/>
  <c r="P142" i="5"/>
  <c r="P115" i="5"/>
  <c r="P147" i="5"/>
  <c r="P21" i="5"/>
  <c r="P263" i="5"/>
  <c r="P154" i="5"/>
  <c r="P62" i="5"/>
  <c r="P293" i="5"/>
  <c r="P227" i="5"/>
  <c r="P244" i="5"/>
  <c r="P43" i="5"/>
  <c r="P239" i="5"/>
  <c r="P260" i="5"/>
  <c r="P256" i="5"/>
  <c r="P94" i="5"/>
  <c r="P310" i="5"/>
  <c r="P279" i="5"/>
  <c r="P321" i="5"/>
  <c r="P282" i="5"/>
  <c r="P5" i="5"/>
  <c r="P200" i="5"/>
  <c r="P64" i="5"/>
  <c r="P133" i="5"/>
  <c r="P12" i="5"/>
  <c r="P37" i="5"/>
  <c r="P240" i="5"/>
  <c r="P283" i="5"/>
  <c r="P91" i="5"/>
  <c r="P92" i="5"/>
  <c r="P202" i="5"/>
  <c r="P169" i="5"/>
  <c r="P40" i="5"/>
  <c r="P274" i="5"/>
  <c r="P303" i="5"/>
  <c r="P136" i="5"/>
  <c r="P161" i="5"/>
  <c r="P171" i="5"/>
  <c r="P99" i="5"/>
  <c r="P266" i="5"/>
  <c r="P34" i="5"/>
  <c r="P87" i="5"/>
  <c r="P84" i="5"/>
  <c r="P209" i="5"/>
  <c r="P222" i="5"/>
  <c r="P139" i="5"/>
  <c r="P288" i="5"/>
  <c r="P69" i="5"/>
  <c r="P25" i="5"/>
  <c r="P191" i="5"/>
  <c r="P104" i="5"/>
  <c r="P93" i="5"/>
  <c r="P114" i="5"/>
  <c r="P76" i="5"/>
  <c r="P213" i="5"/>
  <c r="P193" i="5"/>
  <c r="P138" i="5"/>
  <c r="P243" i="5"/>
  <c r="P271" i="5"/>
  <c r="P149" i="5"/>
  <c r="P265" i="5"/>
  <c r="P267" i="5"/>
  <c r="P238" i="5"/>
  <c r="P322" i="5"/>
  <c r="P102" i="5"/>
  <c r="P304" i="5"/>
  <c r="P253" i="5"/>
  <c r="P196" i="5"/>
  <c r="P18" i="5"/>
  <c r="P109" i="5"/>
  <c r="P292" i="5"/>
  <c r="P255" i="5"/>
  <c r="P24" i="5"/>
  <c r="P197" i="5"/>
  <c r="P4" i="5"/>
  <c r="P118" i="5"/>
  <c r="P194" i="5"/>
  <c r="P214" i="5"/>
  <c r="P198" i="5"/>
  <c r="P285" i="5"/>
  <c r="P39" i="5"/>
  <c r="P272" i="5"/>
  <c r="P159" i="5"/>
  <c r="P105" i="5"/>
  <c r="P318" i="5"/>
  <c r="P131" i="5"/>
  <c r="P13" i="5"/>
  <c r="P246" i="5"/>
  <c r="P223" i="5"/>
  <c r="P112" i="5"/>
  <c r="P30" i="5"/>
  <c r="P41" i="5"/>
  <c r="P68" i="5"/>
  <c r="P71" i="5"/>
  <c r="P61" i="5"/>
  <c r="P65" i="5"/>
  <c r="P74" i="5"/>
  <c r="P162" i="5"/>
  <c r="P181" i="5"/>
  <c r="P210" i="5"/>
  <c r="P199" i="5"/>
  <c r="P290" i="5"/>
  <c r="P195" i="5"/>
  <c r="P110" i="5"/>
  <c r="P153" i="5"/>
  <c r="P300" i="5"/>
  <c r="P172" i="5"/>
  <c r="P73" i="5"/>
  <c r="P120" i="5"/>
  <c r="P145" i="5"/>
  <c r="P160" i="5"/>
  <c r="P206" i="5"/>
  <c r="P6" i="5"/>
  <c r="P275" i="5"/>
  <c r="P228" i="5"/>
  <c r="P50" i="5"/>
  <c r="P3" i="5"/>
  <c r="P237" i="5"/>
  <c r="P152" i="5"/>
  <c r="P314" i="5"/>
  <c r="P270" i="5"/>
  <c r="P75" i="5"/>
  <c r="P36" i="5"/>
  <c r="P242" i="5"/>
  <c r="P189" i="5"/>
  <c r="P185" i="5"/>
  <c r="P113" i="5"/>
  <c r="P224" i="5"/>
  <c r="P27" i="5"/>
  <c r="P157" i="5"/>
  <c r="P297" i="5"/>
  <c r="P15" i="5"/>
  <c r="P186" i="5"/>
  <c r="P42" i="5"/>
  <c r="P124" i="5"/>
  <c r="P125" i="5"/>
  <c r="P236" i="5"/>
  <c r="P221" i="5"/>
  <c r="P320" i="5"/>
  <c r="P82" i="5"/>
  <c r="P175" i="5"/>
  <c r="P234" i="5"/>
  <c r="P57" i="5"/>
  <c r="P170" i="5"/>
  <c r="P9" i="5"/>
  <c r="P135" i="5"/>
  <c r="P59" i="5"/>
  <c r="P319" i="5"/>
  <c r="P316" i="5"/>
  <c r="P257" i="5"/>
  <c r="P218" i="5"/>
  <c r="P101" i="5"/>
  <c r="P261" i="5"/>
  <c r="P313" i="5"/>
  <c r="P80" i="5"/>
  <c r="P284" i="5"/>
  <c r="P32" i="5"/>
  <c r="P229" i="5"/>
  <c r="P252" i="5"/>
  <c r="P301" i="5"/>
  <c r="P49" i="5"/>
  <c r="P88" i="5"/>
  <c r="P182" i="5"/>
  <c r="P19" i="5"/>
  <c r="P132" i="5"/>
  <c r="P44" i="5"/>
  <c r="P177" i="5"/>
  <c r="P178" i="5"/>
  <c r="P203" i="5"/>
  <c r="P289" i="5"/>
  <c r="P165" i="5"/>
  <c r="P188" i="5"/>
  <c r="P317" i="5"/>
  <c r="P258" i="5"/>
  <c r="P155" i="5"/>
  <c r="P46" i="5"/>
  <c r="P121" i="5"/>
  <c r="P119" i="5"/>
  <c r="P128" i="5"/>
  <c r="P35" i="5"/>
  <c r="P53" i="5"/>
  <c r="P286" i="5"/>
  <c r="P148" i="5"/>
  <c r="P66" i="5"/>
  <c r="P11" i="5"/>
  <c r="P207" i="5"/>
  <c r="P117" i="5"/>
  <c r="P164" i="5"/>
  <c r="P245" i="5"/>
  <c r="P78" i="5"/>
  <c r="P250" i="5"/>
  <c r="P8" i="5"/>
  <c r="P16" i="5"/>
  <c r="P299" i="5"/>
  <c r="P140" i="5"/>
  <c r="P129" i="5"/>
  <c r="P259" i="5"/>
  <c r="P183" i="5"/>
  <c r="P302" i="5"/>
  <c r="P312" i="5"/>
  <c r="P173" i="5"/>
  <c r="P276" i="5"/>
  <c r="P56" i="5"/>
  <c r="P217" i="5"/>
  <c r="P123" i="5"/>
  <c r="P311" i="5"/>
  <c r="P280" i="5"/>
  <c r="P28" i="5"/>
  <c r="P67" i="5"/>
  <c r="P201" i="5"/>
  <c r="P244" i="4"/>
  <c r="P215" i="4"/>
  <c r="P24" i="4"/>
  <c r="P266" i="4"/>
  <c r="P264" i="4"/>
  <c r="P48" i="4"/>
  <c r="P308" i="4"/>
  <c r="P188" i="4"/>
  <c r="P172" i="4"/>
  <c r="P82" i="4"/>
  <c r="P11" i="4"/>
  <c r="P111" i="4"/>
  <c r="P26" i="4"/>
  <c r="P18" i="4"/>
  <c r="P125" i="4"/>
  <c r="P241" i="4"/>
  <c r="P211" i="4"/>
  <c r="P89" i="4"/>
  <c r="P8" i="4"/>
  <c r="P69" i="4"/>
  <c r="P317" i="4"/>
  <c r="P171" i="4"/>
  <c r="P300" i="4"/>
  <c r="P46" i="4"/>
  <c r="P33" i="4"/>
  <c r="P131" i="4"/>
  <c r="P191" i="4"/>
  <c r="P189" i="4"/>
  <c r="P124" i="4"/>
  <c r="P236" i="4"/>
  <c r="P3" i="4"/>
  <c r="P283" i="4"/>
  <c r="P152" i="4"/>
  <c r="P205" i="4"/>
  <c r="P159" i="4"/>
  <c r="P142" i="4"/>
  <c r="P187" i="4"/>
  <c r="P10" i="4"/>
  <c r="P184" i="4"/>
  <c r="P164" i="4"/>
  <c r="P23" i="4"/>
  <c r="P200" i="4"/>
  <c r="P169" i="4"/>
  <c r="P286" i="4"/>
  <c r="P112" i="4"/>
  <c r="P27" i="4"/>
  <c r="P170" i="4"/>
  <c r="P279" i="4"/>
  <c r="P137" i="4"/>
  <c r="P120" i="4"/>
  <c r="P289" i="4"/>
  <c r="P36" i="4"/>
  <c r="P135" i="4"/>
  <c r="P293" i="4"/>
  <c r="P219" i="4"/>
  <c r="P195" i="4"/>
  <c r="P75" i="4"/>
  <c r="P34" i="4"/>
  <c r="P45" i="4"/>
  <c r="P233" i="4"/>
  <c r="P40" i="4"/>
  <c r="P145" i="4"/>
  <c r="P55" i="4"/>
  <c r="P158" i="4"/>
  <c r="P267" i="4"/>
  <c r="P236" i="3"/>
  <c r="P190" i="3"/>
  <c r="P111" i="3"/>
  <c r="P217" i="3"/>
  <c r="P255" i="3"/>
  <c r="P200" i="3"/>
  <c r="P95" i="3"/>
  <c r="P319" i="3"/>
  <c r="P273" i="3"/>
  <c r="P179" i="3"/>
  <c r="P135" i="3"/>
  <c r="P176" i="3"/>
  <c r="P38" i="3"/>
  <c r="P257" i="3"/>
  <c r="P67" i="3"/>
  <c r="P143" i="3"/>
  <c r="P264" i="3"/>
  <c r="P142" i="3"/>
  <c r="P206" i="3"/>
  <c r="P41" i="3"/>
  <c r="P235" i="3"/>
  <c r="P127" i="3"/>
  <c r="P249" i="3"/>
  <c r="P114" i="3"/>
  <c r="P75" i="3"/>
  <c r="P125" i="3"/>
  <c r="P246" i="3"/>
  <c r="P35" i="3"/>
  <c r="P120" i="3"/>
  <c r="P106" i="3"/>
  <c r="P10" i="3"/>
  <c r="P263" i="3"/>
  <c r="P293" i="3"/>
  <c r="P150" i="3"/>
  <c r="P302" i="3"/>
  <c r="P63" i="3"/>
  <c r="P4" i="3"/>
  <c r="P138" i="3"/>
  <c r="P185" i="3"/>
  <c r="P115" i="3"/>
  <c r="P46" i="3"/>
  <c r="P312" i="3"/>
  <c r="P113" i="3"/>
  <c r="P53" i="3"/>
  <c r="P39" i="3"/>
  <c r="P268" i="3"/>
  <c r="P147" i="3"/>
  <c r="P101" i="3"/>
  <c r="P62" i="3"/>
  <c r="P183" i="3"/>
  <c r="P2" i="3"/>
  <c r="P250" i="3"/>
  <c r="P281" i="3"/>
  <c r="P141" i="3"/>
  <c r="P171" i="3"/>
  <c r="P203" i="3"/>
  <c r="P153" i="3"/>
  <c r="P154" i="3"/>
  <c r="P93" i="3"/>
  <c r="P71" i="3"/>
  <c r="P243" i="3"/>
  <c r="P221" i="3"/>
  <c r="P86" i="3"/>
  <c r="P275" i="3"/>
  <c r="P226" i="3"/>
  <c r="P215" i="3"/>
  <c r="P248" i="3"/>
  <c r="P90" i="3"/>
  <c r="P108" i="3"/>
  <c r="P11" i="3"/>
  <c r="P219" i="3"/>
  <c r="P89" i="3"/>
  <c r="P284" i="3"/>
  <c r="P205" i="3"/>
  <c r="P207" i="3"/>
  <c r="P37" i="3"/>
  <c r="P167" i="3"/>
  <c r="P269" i="3"/>
  <c r="P260" i="3"/>
  <c r="P18" i="3"/>
  <c r="P78" i="3"/>
  <c r="P307" i="3"/>
  <c r="P196" i="3"/>
  <c r="P123" i="3"/>
  <c r="P172" i="3"/>
  <c r="P216" i="3"/>
  <c r="P64" i="3"/>
  <c r="P202" i="3"/>
  <c r="P73" i="3"/>
  <c r="P156" i="3"/>
  <c r="P208" i="3"/>
  <c r="P29" i="3"/>
  <c r="P17" i="3"/>
  <c r="P61" i="3"/>
  <c r="P88" i="3"/>
  <c r="P134" i="3"/>
  <c r="P81" i="3"/>
  <c r="P33" i="3"/>
  <c r="P56" i="3"/>
  <c r="P129" i="3"/>
  <c r="P192" i="3"/>
  <c r="P27" i="3"/>
  <c r="P170" i="3"/>
  <c r="P42" i="3"/>
  <c r="P19" i="3"/>
  <c r="P230" i="3"/>
  <c r="P180" i="3"/>
  <c r="P131" i="3"/>
  <c r="P159" i="3"/>
  <c r="P187" i="3"/>
  <c r="P204" i="3"/>
  <c r="P186" i="3"/>
  <c r="P309" i="3"/>
  <c r="P313" i="3"/>
  <c r="P231" i="3"/>
  <c r="P251" i="3"/>
  <c r="P282" i="3"/>
  <c r="P174" i="3"/>
  <c r="P320" i="3"/>
  <c r="P51" i="3"/>
  <c r="P234" i="3"/>
  <c r="P112" i="3"/>
  <c r="P201" i="3"/>
  <c r="P173" i="3"/>
  <c r="P107" i="3"/>
  <c r="P238" i="3"/>
  <c r="P99" i="3"/>
  <c r="P20" i="3"/>
  <c r="P189" i="3"/>
  <c r="P242" i="3"/>
  <c r="P163" i="3"/>
  <c r="P175" i="3"/>
  <c r="P239" i="3"/>
  <c r="P47" i="3"/>
  <c r="P270" i="3"/>
  <c r="P52" i="3"/>
  <c r="P36" i="3"/>
  <c r="P259" i="3"/>
  <c r="P181" i="3"/>
  <c r="P161" i="3"/>
  <c r="P109" i="3"/>
  <c r="P195" i="3"/>
  <c r="P121" i="3"/>
  <c r="P49" i="3"/>
  <c r="P70" i="3"/>
  <c r="P31" i="3"/>
  <c r="P160" i="3"/>
  <c r="P54" i="3"/>
  <c r="P279" i="3"/>
  <c r="P291" i="3"/>
  <c r="P278" i="3"/>
  <c r="P166" i="3"/>
  <c r="P72" i="3"/>
  <c r="P223" i="3"/>
  <c r="P132" i="3"/>
  <c r="P102" i="3"/>
  <c r="P55" i="3"/>
  <c r="P305" i="3"/>
  <c r="P298" i="3"/>
  <c r="P151" i="3"/>
  <c r="P126" i="3"/>
  <c r="P128" i="3"/>
  <c r="P103" i="3"/>
  <c r="P59" i="3"/>
  <c r="P317" i="3"/>
  <c r="P188" i="3"/>
  <c r="P21" i="3"/>
  <c r="P34" i="3"/>
  <c r="P110" i="3"/>
  <c r="P240" i="3"/>
  <c r="P321" i="3"/>
  <c r="P315" i="3"/>
  <c r="P300" i="3"/>
  <c r="P290" i="3"/>
  <c r="P69" i="3"/>
  <c r="P245" i="3"/>
  <c r="P184" i="3"/>
  <c r="P301" i="3"/>
  <c r="P13" i="3"/>
  <c r="P197" i="3"/>
  <c r="P287" i="3"/>
  <c r="P76" i="3"/>
  <c r="P22" i="3"/>
  <c r="P228" i="3"/>
  <c r="P274" i="3"/>
  <c r="P244" i="3"/>
  <c r="P96" i="3"/>
  <c r="P97" i="3"/>
  <c r="P23" i="3"/>
  <c r="P297" i="3"/>
  <c r="P68" i="3"/>
  <c r="P164" i="3"/>
  <c r="P79" i="3"/>
  <c r="P283" i="3"/>
  <c r="P133" i="3"/>
  <c r="P48" i="3"/>
  <c r="P15" i="3"/>
  <c r="P94" i="3"/>
  <c r="P168" i="3"/>
  <c r="P241" i="3"/>
  <c r="P9" i="3"/>
  <c r="P306" i="3"/>
  <c r="P6" i="3"/>
  <c r="P254" i="3"/>
  <c r="P158" i="3"/>
  <c r="P310" i="3"/>
  <c r="P314" i="3"/>
  <c r="P87" i="3"/>
  <c r="P155" i="3"/>
  <c r="P233" i="3"/>
  <c r="P280" i="3"/>
  <c r="P85" i="3"/>
  <c r="P194" i="3"/>
  <c r="P212" i="3"/>
  <c r="P267" i="3"/>
  <c r="P14" i="3"/>
  <c r="P24" i="3"/>
  <c r="P265" i="3"/>
  <c r="P214" i="3"/>
  <c r="P225" i="3"/>
  <c r="P165" i="3"/>
  <c r="P213" i="3"/>
  <c r="P40" i="3"/>
  <c r="P292" i="3"/>
  <c r="P178" i="3"/>
  <c r="P177" i="3"/>
  <c r="P286" i="3"/>
  <c r="P261" i="3"/>
  <c r="P311" i="3"/>
  <c r="P58" i="3"/>
  <c r="P105" i="3"/>
  <c r="P299" i="3"/>
  <c r="P295" i="3"/>
  <c r="P229" i="3"/>
  <c r="P199" i="3"/>
  <c r="P3" i="3"/>
  <c r="P316" i="3"/>
  <c r="P296" i="3"/>
  <c r="P139" i="3"/>
  <c r="P227" i="3"/>
  <c r="P322" i="3"/>
  <c r="P191" i="3"/>
  <c r="P124" i="3"/>
  <c r="P209" i="3"/>
  <c r="P44" i="3"/>
  <c r="P98" i="3"/>
  <c r="P271" i="3"/>
  <c r="P157" i="3"/>
  <c r="P256" i="3"/>
  <c r="P169" i="3"/>
  <c r="P140" i="3"/>
  <c r="P182" i="3"/>
  <c r="P74" i="3"/>
  <c r="P218" i="3"/>
  <c r="P50" i="3"/>
  <c r="P193" i="3"/>
  <c r="P266" i="3"/>
  <c r="P145" i="3"/>
  <c r="P12" i="3"/>
  <c r="P303" i="3"/>
  <c r="P84" i="3"/>
  <c r="P211" i="3"/>
  <c r="P318" i="3"/>
  <c r="P277" i="3"/>
  <c r="P122" i="3"/>
  <c r="P146" i="3"/>
  <c r="P130" i="3"/>
  <c r="P118" i="3"/>
  <c r="P237" i="3"/>
  <c r="P258" i="3"/>
  <c r="P65" i="3"/>
  <c r="P276" i="3"/>
  <c r="P60" i="3"/>
  <c r="P43" i="3"/>
  <c r="P104" i="3"/>
  <c r="P83" i="3"/>
  <c r="P222" i="3"/>
  <c r="P149" i="3"/>
  <c r="P28" i="3"/>
  <c r="P25" i="3"/>
  <c r="P26" i="3"/>
  <c r="P198" i="3"/>
  <c r="P137" i="3"/>
  <c r="P232" i="3"/>
  <c r="P77" i="3"/>
  <c r="P224" i="3"/>
  <c r="P45" i="3"/>
  <c r="P116" i="3"/>
  <c r="P7" i="3"/>
  <c r="P119" i="3"/>
  <c r="P253" i="3"/>
  <c r="P80" i="3"/>
  <c r="P117" i="3"/>
  <c r="P5" i="3"/>
  <c r="P272" i="3"/>
  <c r="P220" i="3"/>
  <c r="P289" i="3"/>
  <c r="P30" i="3"/>
  <c r="P294" i="3"/>
  <c r="P152" i="3"/>
  <c r="P247" i="3"/>
  <c r="P100" i="3"/>
  <c r="P304" i="3"/>
  <c r="P91" i="3"/>
  <c r="P82" i="3"/>
  <c r="P144" i="3"/>
  <c r="P285" i="3"/>
  <c r="P210" i="3"/>
  <c r="P32" i="3"/>
  <c r="P66" i="3"/>
  <c r="P262" i="3"/>
  <c r="P57" i="3"/>
  <c r="P288" i="3"/>
  <c r="P148" i="3"/>
  <c r="P16" i="3"/>
  <c r="P252" i="3"/>
  <c r="P8" i="3"/>
  <c r="P92" i="3"/>
  <c r="P308" i="3"/>
  <c r="P136" i="3"/>
  <c r="P228" i="2"/>
  <c r="P109" i="2"/>
  <c r="P267" i="2"/>
  <c r="P294" i="2"/>
  <c r="P202" i="2"/>
  <c r="P288" i="2"/>
  <c r="P51" i="2"/>
  <c r="P317" i="2"/>
  <c r="P150" i="2"/>
  <c r="P23" i="2"/>
  <c r="P74" i="2"/>
  <c r="P80" i="2"/>
  <c r="P227" i="2"/>
  <c r="P295" i="2"/>
  <c r="P140" i="2"/>
  <c r="P19" i="2"/>
  <c r="P282" i="2"/>
  <c r="P7" i="2"/>
  <c r="P59" i="2"/>
  <c r="P38" i="2"/>
  <c r="P284" i="2"/>
  <c r="P305" i="2"/>
  <c r="P179" i="2"/>
  <c r="P81" i="2"/>
  <c r="P172" i="2"/>
  <c r="P225" i="2"/>
  <c r="P20" i="2"/>
  <c r="P119" i="2"/>
  <c r="P62" i="2"/>
  <c r="P161" i="2"/>
  <c r="P278" i="2"/>
  <c r="P158" i="2"/>
  <c r="P320" i="2"/>
  <c r="P32" i="2"/>
  <c r="P194" i="2"/>
  <c r="P243" i="2"/>
  <c r="P97" i="2"/>
  <c r="P113" i="2"/>
  <c r="P162" i="2"/>
  <c r="P145" i="2"/>
  <c r="P242" i="2"/>
  <c r="P9" i="2"/>
  <c r="P160" i="2"/>
  <c r="P224" i="2"/>
  <c r="P39" i="2"/>
  <c r="P209" i="2"/>
  <c r="P106" i="2"/>
  <c r="P54" i="2"/>
  <c r="P111" i="2"/>
  <c r="P121" i="2"/>
  <c r="P255" i="2"/>
  <c r="P314" i="2"/>
  <c r="P177" i="2"/>
  <c r="P266" i="2"/>
  <c r="P259" i="2"/>
  <c r="P221" i="2"/>
  <c r="P170" i="2"/>
  <c r="P257" i="2"/>
  <c r="P149" i="2"/>
  <c r="P168" i="2"/>
  <c r="P174" i="2"/>
  <c r="P283" i="2"/>
  <c r="P239" i="2"/>
  <c r="P270" i="2"/>
  <c r="P71" i="2"/>
  <c r="P280" i="2"/>
  <c r="P298" i="2"/>
  <c r="P63" i="2"/>
  <c r="P16" i="2"/>
  <c r="P11" i="2"/>
  <c r="P222" i="2"/>
  <c r="P67" i="2"/>
  <c r="P254" i="2"/>
  <c r="P286" i="2"/>
  <c r="P293" i="2"/>
  <c r="P22" i="2"/>
  <c r="P30" i="2"/>
  <c r="P190" i="2"/>
  <c r="P144" i="2"/>
  <c r="P116" i="2"/>
  <c r="P47" i="2"/>
  <c r="P287" i="2"/>
  <c r="P247" i="2"/>
  <c r="P218" i="2"/>
  <c r="P68" i="2"/>
  <c r="P234" i="2"/>
  <c r="P110" i="2"/>
  <c r="P175" i="2"/>
  <c r="P75" i="2"/>
  <c r="P61" i="2"/>
  <c r="P248" i="2"/>
  <c r="P268" i="2"/>
  <c r="P275" i="2"/>
  <c r="P100" i="2"/>
  <c r="P302" i="2"/>
  <c r="P5" i="2"/>
  <c r="P296" i="2"/>
  <c r="P297" i="2"/>
  <c r="P164" i="2"/>
  <c r="P43" i="2"/>
  <c r="P6" i="2"/>
  <c r="P312" i="2"/>
  <c r="P82" i="2"/>
  <c r="P132" i="2"/>
  <c r="P316" i="2"/>
  <c r="P197" i="2"/>
  <c r="P311" i="2"/>
  <c r="P92" i="2"/>
  <c r="P104" i="2"/>
  <c r="P130" i="2"/>
  <c r="P153" i="2"/>
  <c r="P308" i="2"/>
  <c r="P272" i="2"/>
  <c r="P102" i="2"/>
  <c r="P290" i="2"/>
  <c r="P213" i="2"/>
  <c r="P120" i="2"/>
  <c r="P134" i="2"/>
  <c r="P279" i="2"/>
  <c r="P34" i="2"/>
  <c r="P55" i="2"/>
  <c r="P73" i="2"/>
  <c r="P188" i="2"/>
  <c r="P216" i="2"/>
  <c r="P4" i="2"/>
  <c r="P46" i="2"/>
  <c r="P129" i="2"/>
  <c r="P193" i="2"/>
  <c r="P53" i="2"/>
  <c r="P105" i="2"/>
  <c r="P8" i="2"/>
  <c r="P126" i="2"/>
  <c r="P156" i="2"/>
  <c r="P245" i="2"/>
  <c r="P76" i="2"/>
  <c r="P33" i="2"/>
  <c r="P313" i="2"/>
  <c r="P36" i="2"/>
  <c r="P152" i="2"/>
  <c r="P185" i="2"/>
  <c r="P10" i="2"/>
  <c r="P180" i="2"/>
  <c r="P237" i="2"/>
  <c r="P212" i="2"/>
  <c r="P285" i="2"/>
  <c r="P230" i="2"/>
  <c r="P29" i="2"/>
  <c r="P250" i="2"/>
  <c r="P2" i="2"/>
  <c r="P315" i="2"/>
  <c r="P244" i="2"/>
  <c r="P310" i="2"/>
  <c r="P70" i="2"/>
  <c r="P21" i="2"/>
  <c r="P78" i="2"/>
  <c r="P88" i="2"/>
  <c r="P260" i="2"/>
  <c r="P146" i="2"/>
  <c r="P37" i="2"/>
  <c r="P181" i="2"/>
  <c r="P24" i="2"/>
  <c r="P171" i="2"/>
  <c r="P246" i="2"/>
  <c r="P273" i="2"/>
  <c r="P148" i="2"/>
  <c r="P263" i="2"/>
  <c r="P219" i="2"/>
  <c r="P44" i="2"/>
  <c r="P50" i="2"/>
  <c r="P141" i="2"/>
  <c r="P143" i="2"/>
  <c r="P125" i="2"/>
  <c r="P229" i="2"/>
  <c r="P231" i="2"/>
  <c r="P318" i="2"/>
  <c r="P253" i="2"/>
  <c r="P58" i="2"/>
  <c r="P274" i="2"/>
  <c r="P28" i="2"/>
  <c r="P189" i="2"/>
  <c r="P232" i="2"/>
  <c r="P27" i="2"/>
  <c r="P123" i="2"/>
  <c r="P321" i="2"/>
  <c r="P159" i="2"/>
  <c r="P163" i="2"/>
  <c r="P3" i="2"/>
  <c r="P83" i="2"/>
  <c r="P45" i="2"/>
  <c r="P139" i="2"/>
  <c r="P165" i="2"/>
  <c r="P89" i="2"/>
  <c r="P64" i="2"/>
  <c r="P133" i="2"/>
  <c r="P183" i="2"/>
  <c r="P122" i="2"/>
  <c r="P103" i="2"/>
  <c r="P41" i="2"/>
  <c r="P56" i="2"/>
  <c r="P261" i="2"/>
  <c r="P157" i="2"/>
  <c r="P292" i="2"/>
  <c r="P322" i="2"/>
  <c r="P95" i="2"/>
  <c r="P319" i="2"/>
  <c r="P108" i="2"/>
  <c r="P198" i="2"/>
  <c r="P60" i="2"/>
  <c r="P182" i="2"/>
  <c r="P301" i="2"/>
  <c r="P215" i="2"/>
  <c r="P264" i="2"/>
  <c r="P235" i="2"/>
  <c r="P269" i="2"/>
  <c r="P49" i="2"/>
  <c r="P217" i="2"/>
  <c r="P40" i="2"/>
  <c r="P210" i="2"/>
  <c r="P151" i="2"/>
  <c r="P52" i="2"/>
  <c r="P117" i="2"/>
  <c r="P31" i="2"/>
  <c r="P96" i="2"/>
  <c r="P112" i="2"/>
  <c r="P48" i="2"/>
  <c r="P299" i="2"/>
  <c r="P72" i="2"/>
  <c r="P86" i="2"/>
  <c r="P187" i="2"/>
  <c r="P303" i="2"/>
  <c r="P271" i="2"/>
  <c r="P208" i="2"/>
  <c r="P262" i="2"/>
  <c r="P85" i="2"/>
  <c r="P94" i="2"/>
  <c r="P14" i="2"/>
  <c r="P127" i="2"/>
  <c r="P90" i="2"/>
  <c r="P137" i="2"/>
  <c r="P291" i="2"/>
  <c r="P204" i="2"/>
  <c r="P26" i="2"/>
  <c r="P199" i="2"/>
  <c r="P167" i="2"/>
  <c r="P166" i="2"/>
  <c r="P79" i="2"/>
  <c r="P154" i="2"/>
  <c r="P131" i="2"/>
  <c r="P169" i="2"/>
  <c r="P124" i="2"/>
  <c r="P42" i="2"/>
  <c r="P35" i="2"/>
  <c r="P101" i="2"/>
  <c r="P128" i="2"/>
  <c r="P256" i="2"/>
  <c r="P135" i="2"/>
  <c r="P220" i="2"/>
  <c r="P18" i="2"/>
  <c r="P87" i="2"/>
  <c r="P138" i="2"/>
  <c r="P173" i="2"/>
  <c r="P192" i="2"/>
  <c r="P289" i="2"/>
  <c r="P200" i="2"/>
  <c r="P281" i="2"/>
  <c r="P238" i="2"/>
  <c r="P118" i="2"/>
  <c r="P223" i="2"/>
  <c r="P155" i="2"/>
  <c r="P93" i="2"/>
  <c r="P241" i="2"/>
  <c r="P13" i="2"/>
  <c r="P300" i="2"/>
  <c r="P176" i="2"/>
  <c r="P277" i="2"/>
  <c r="P306" i="2"/>
  <c r="P276" i="2"/>
  <c r="P25" i="2"/>
  <c r="P77" i="2"/>
  <c r="P98" i="2"/>
  <c r="P184" i="2"/>
  <c r="P252" i="2"/>
  <c r="P307" i="2"/>
  <c r="P84" i="2"/>
  <c r="P233" i="2"/>
  <c r="P214" i="2"/>
  <c r="P258" i="2"/>
  <c r="P240" i="2"/>
  <c r="P147" i="2"/>
  <c r="P178" i="2"/>
  <c r="P91" i="2"/>
  <c r="P309" i="2"/>
  <c r="P12" i="2"/>
  <c r="P99" i="2"/>
  <c r="P65" i="2"/>
  <c r="P142" i="2"/>
  <c r="P236" i="2"/>
  <c r="P196" i="2"/>
  <c r="P201" i="2"/>
  <c r="P206" i="2"/>
  <c r="P17" i="2"/>
  <c r="P211" i="2"/>
  <c r="P107" i="2"/>
  <c r="P191" i="2"/>
  <c r="P136" i="2"/>
  <c r="P69" i="2"/>
  <c r="P226" i="2"/>
  <c r="P115" i="2"/>
  <c r="P249" i="2"/>
  <c r="P205" i="2"/>
  <c r="P114" i="2"/>
  <c r="P203" i="2"/>
  <c r="P265" i="2"/>
  <c r="P251" i="2"/>
  <c r="P207" i="2"/>
  <c r="P195" i="2"/>
  <c r="P304" i="2"/>
  <c r="P66" i="2"/>
  <c r="P186" i="2"/>
  <c r="P55" i="1"/>
  <c r="P322" i="1"/>
  <c r="P319" i="1"/>
  <c r="P320" i="1"/>
  <c r="P318" i="1"/>
  <c r="P317" i="1"/>
  <c r="P316" i="1"/>
  <c r="P321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272" i="1"/>
  <c r="P258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108" i="1"/>
  <c r="P46" i="1"/>
  <c r="P253" i="1"/>
  <c r="P233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  <c r="P41" i="4" l="1"/>
  <c r="P156" i="4"/>
  <c r="P263" i="4"/>
  <c r="P207" i="4"/>
  <c r="P123" i="4"/>
  <c r="P221" i="4"/>
  <c r="P91" i="4"/>
  <c r="P181" i="4"/>
  <c r="P225" i="4"/>
  <c r="P202" i="4"/>
  <c r="P208" i="4"/>
  <c r="P321" i="4"/>
  <c r="P68" i="4"/>
  <c r="P294" i="4"/>
  <c r="P295" i="4"/>
  <c r="P60" i="4"/>
  <c r="P31" i="4"/>
  <c r="P56" i="4"/>
  <c r="P49" i="4"/>
  <c r="P213" i="4"/>
  <c r="P144" i="4"/>
  <c r="P161" i="4"/>
  <c r="P309" i="4"/>
  <c r="P198" i="4"/>
  <c r="P231" i="4"/>
  <c r="P192" i="4"/>
  <c r="P84" i="4"/>
  <c r="P113" i="4"/>
  <c r="P97" i="4"/>
  <c r="P107" i="4"/>
  <c r="P101" i="4"/>
  <c r="P102" i="4"/>
  <c r="P223" i="4"/>
  <c r="P186" i="4"/>
  <c r="P304" i="4"/>
  <c r="P148" i="4"/>
  <c r="P79" i="4"/>
  <c r="P118" i="4"/>
  <c r="P147" i="4"/>
  <c r="P37" i="4"/>
  <c r="P87" i="4"/>
  <c r="P74" i="4"/>
  <c r="P312" i="4"/>
  <c r="P316" i="4"/>
  <c r="P303" i="4"/>
  <c r="P234" i="4"/>
  <c r="P139" i="4"/>
  <c r="P275" i="4"/>
  <c r="P216" i="4"/>
  <c r="P310" i="4"/>
  <c r="P140" i="4"/>
  <c r="P214" i="4"/>
  <c r="P196" i="4"/>
  <c r="P262" i="4"/>
  <c r="P71" i="4"/>
  <c r="P278" i="4"/>
  <c r="P43" i="4"/>
  <c r="P103" i="4"/>
  <c r="P256" i="4"/>
  <c r="P224" i="4"/>
  <c r="P162" i="4"/>
  <c r="P70" i="4"/>
  <c r="P132" i="4"/>
  <c r="P306" i="4"/>
  <c r="P210" i="4"/>
  <c r="P2" i="4"/>
  <c r="P14" i="4"/>
  <c r="P66" i="4"/>
  <c r="P150" i="4"/>
  <c r="P252" i="4"/>
  <c r="P292" i="4"/>
  <c r="P154" i="4"/>
  <c r="P127" i="4"/>
  <c r="P5" i="4"/>
  <c r="P212" i="4"/>
  <c r="P298" i="4"/>
  <c r="P16" i="4"/>
  <c r="P128" i="4"/>
  <c r="P116" i="4"/>
  <c r="P227" i="4"/>
  <c r="P28" i="4"/>
  <c r="P12" i="4"/>
  <c r="P190" i="4"/>
  <c r="P88" i="4"/>
  <c r="P322" i="4"/>
  <c r="P106" i="4"/>
  <c r="P175" i="4"/>
  <c r="P274" i="4"/>
  <c r="P67" i="4"/>
  <c r="P19" i="4"/>
  <c r="P305" i="4"/>
  <c r="P136" i="4"/>
  <c r="P141" i="4"/>
  <c r="P39" i="4"/>
  <c r="P276" i="4"/>
  <c r="P47" i="4"/>
  <c r="P220" i="4"/>
  <c r="P235" i="4"/>
  <c r="P173" i="4"/>
  <c r="P165" i="4"/>
  <c r="P273" i="4"/>
  <c r="P249" i="4"/>
  <c r="P30" i="4"/>
  <c r="P130" i="4"/>
  <c r="P85" i="4"/>
  <c r="P320" i="4"/>
  <c r="P272" i="4"/>
  <c r="P117" i="4"/>
  <c r="P238" i="4"/>
  <c r="P282" i="4"/>
  <c r="P299" i="4"/>
  <c r="P78" i="4"/>
  <c r="P183" i="4"/>
  <c r="P174" i="4"/>
  <c r="P228" i="4"/>
  <c r="P280" i="4"/>
  <c r="P246" i="4"/>
  <c r="P155" i="4"/>
  <c r="P96" i="4"/>
  <c r="P315" i="4"/>
  <c r="P197" i="4"/>
  <c r="P138" i="4"/>
  <c r="P226" i="4"/>
  <c r="P63" i="4"/>
  <c r="P93" i="4"/>
  <c r="P259" i="4"/>
  <c r="P59" i="4"/>
  <c r="P109" i="4"/>
  <c r="P269" i="4"/>
  <c r="P151" i="4"/>
  <c r="P15" i="4"/>
  <c r="P80" i="4"/>
  <c r="P318" i="4"/>
  <c r="P110" i="4"/>
  <c r="P268" i="4"/>
  <c r="P22" i="4"/>
  <c r="P260" i="4"/>
  <c r="P201" i="4"/>
  <c r="P271" i="4"/>
  <c r="P250" i="4"/>
  <c r="P222" i="4"/>
  <c r="P105" i="4"/>
  <c r="P50" i="4"/>
  <c r="P261" i="4"/>
  <c r="P104" i="4"/>
  <c r="P160" i="4"/>
  <c r="P6" i="4"/>
  <c r="P242" i="4"/>
  <c r="P7" i="4"/>
  <c r="P99" i="4"/>
  <c r="P277" i="4"/>
  <c r="P209" i="4"/>
  <c r="P185" i="4"/>
  <c r="P61" i="4"/>
  <c r="P194" i="4"/>
  <c r="P98" i="4"/>
  <c r="P168" i="4"/>
  <c r="P134" i="4"/>
  <c r="P257" i="4"/>
  <c r="P100" i="4"/>
  <c r="P121" i="4"/>
  <c r="P4" i="4"/>
  <c r="P203" i="4"/>
  <c r="P177" i="4"/>
  <c r="P52" i="4"/>
  <c r="P291" i="4"/>
  <c r="P20" i="4"/>
  <c r="P240" i="4"/>
  <c r="P166" i="4"/>
  <c r="P180" i="4"/>
  <c r="P287" i="4"/>
  <c r="P95" i="4"/>
  <c r="P83" i="4"/>
  <c r="P108" i="4"/>
  <c r="P229" i="4"/>
  <c r="P53" i="4"/>
  <c r="P206" i="4"/>
  <c r="P58" i="4"/>
  <c r="P307" i="4"/>
  <c r="P248" i="4"/>
  <c r="P313" i="4"/>
  <c r="P21" i="4"/>
  <c r="P284" i="4"/>
  <c r="P319" i="4"/>
  <c r="P230" i="4"/>
  <c r="P288" i="4"/>
  <c r="P92" i="4"/>
  <c r="P38" i="4"/>
  <c r="P193" i="4"/>
  <c r="P133" i="4"/>
  <c r="P25" i="4"/>
  <c r="P255" i="4"/>
  <c r="P153" i="4"/>
  <c r="P247" i="4"/>
  <c r="P149" i="4"/>
  <c r="P178" i="4"/>
  <c r="P254" i="4"/>
  <c r="P126" i="4"/>
  <c r="P54" i="4"/>
  <c r="P32" i="4"/>
  <c r="P301" i="4"/>
  <c r="P73" i="4"/>
  <c r="P86" i="4"/>
  <c r="P176" i="4"/>
  <c r="P239" i="4"/>
  <c r="P245" i="4"/>
  <c r="P29" i="4"/>
  <c r="P72" i="4"/>
  <c r="P253" i="4"/>
  <c r="P62" i="4"/>
  <c r="P302" i="4"/>
  <c r="P163" i="4"/>
  <c r="P265" i="4"/>
  <c r="P199" i="4"/>
  <c r="P258" i="4"/>
  <c r="P115" i="4"/>
  <c r="P76" i="4"/>
  <c r="P182" i="4"/>
  <c r="P13" i="4"/>
  <c r="P270" i="4"/>
  <c r="P57" i="4"/>
  <c r="P42" i="4"/>
  <c r="P143" i="4"/>
  <c r="P314" i="4"/>
  <c r="P77" i="4"/>
  <c r="P285" i="4"/>
  <c r="P296" i="4"/>
  <c r="P167" i="4"/>
  <c r="P44" i="4"/>
  <c r="P81" i="4"/>
  <c r="P94" i="4"/>
  <c r="P64" i="4"/>
  <c r="P65" i="4"/>
  <c r="P251" i="4"/>
  <c r="P90" i="4"/>
  <c r="P114" i="4"/>
  <c r="P297" i="4"/>
  <c r="P157" i="4"/>
  <c r="P290" i="4"/>
  <c r="P122" i="4"/>
  <c r="P204" i="4"/>
  <c r="P129" i="4"/>
  <c r="P237" i="4"/>
  <c r="P17" i="4"/>
  <c r="P281" i="4"/>
  <c r="P217" i="4"/>
  <c r="P146" i="4"/>
  <c r="P179" i="4"/>
  <c r="P9" i="4"/>
  <c r="P232" i="4"/>
  <c r="P218" i="4"/>
  <c r="P35" i="4"/>
  <c r="P119" i="4"/>
  <c r="P51" i="4"/>
  <c r="P243" i="4"/>
</calcChain>
</file>

<file path=xl/sharedStrings.xml><?xml version="1.0" encoding="utf-8"?>
<sst xmlns="http://schemas.openxmlformats.org/spreadsheetml/2006/main" count="105" uniqueCount="20">
  <si>
    <t>Time (s)</t>
  </si>
  <si>
    <t>Image #</t>
  </si>
  <si>
    <t>Markers</t>
  </si>
  <si>
    <t>YFP adjust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</si>
  <si>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</si>
  <si>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</si>
  <si>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</si>
  <si>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</si>
  <si>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</si>
  <si>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</si>
  <si>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</si>
  <si>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7% O2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</si>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</sst>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'240814B001'!$A$2:$A$321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'240814B001'!$J$2:$J$321</c:f>
              <c:numCache>
                <c:formatCode>0.0</c:formatCode>
                <c:ptCount val="320"/>
                <c:pt idx="0">
                  <c:v>3196.5650611368301</c:v>
                </c:pt>
                <c:pt idx="1">
                  <c:v>3182.2838827053702</c:v>
                </c:pt>
                <c:pt idx="2">
                  <c:v>3180.4727511862998</c:v>
                </c:pt>
                <c:pt idx="3">
                  <c:v>3167.8309409127801</c:v>
                </c:pt>
                <c:pt idx="4">
                  <c:v>3042.3080669006299</c:v>
                </c:pt>
                <c:pt idx="5">
                  <c:v>3033.28796983544</c:v>
                </c:pt>
                <c:pt idx="6">
                  <c:v>3631.6437130345598</c:v>
                </c:pt>
                <c:pt idx="7">
                  <c:v>3381.0192547029501</c:v>
                </c:pt>
                <c:pt idx="8">
                  <c:v>3260.5333647437901</c:v>
                </c:pt>
                <c:pt idx="9">
                  <c:v>3347.67588584335</c:v>
                </c:pt>
                <c:pt idx="10">
                  <c:v>3277.43982495711</c:v>
                </c:pt>
                <c:pt idx="11">
                  <c:v>3271.7250124843299</c:v>
                </c:pt>
                <c:pt idx="12">
                  <c:v>3378.1027155453003</c:v>
                </c:pt>
                <c:pt idx="13">
                  <c:v>3348.9847564133797</c:v>
                </c:pt>
                <c:pt idx="14">
                  <c:v>3310.2346845905599</c:v>
                </c:pt>
                <c:pt idx="15">
                  <c:v>3303.6543536128002</c:v>
                </c:pt>
                <c:pt idx="16">
                  <c:v>3201.3309377651499</c:v>
                </c:pt>
                <c:pt idx="17">
                  <c:v>3235.7265882976203</c:v>
                </c:pt>
                <c:pt idx="18">
                  <c:v>3430.8288562960297</c:v>
                </c:pt>
                <c:pt idx="19">
                  <c:v>3479.4824765931398</c:v>
                </c:pt>
                <c:pt idx="20">
                  <c:v>3262.06075635457</c:v>
                </c:pt>
                <c:pt idx="21">
                  <c:v>3349.2076875387302</c:v>
                </c:pt>
                <c:pt idx="22">
                  <c:v>3347.7501549906901</c:v>
                </c:pt>
                <c:pt idx="23">
                  <c:v>3417.6738995660203</c:v>
                </c:pt>
                <c:pt idx="24">
                  <c:v>3427.1097632476199</c:v>
                </c:pt>
                <c:pt idx="25">
                  <c:v>3501.2003771920099</c:v>
                </c:pt>
                <c:pt idx="26">
                  <c:v>3285.32759375249</c:v>
                </c:pt>
                <c:pt idx="27">
                  <c:v>3410.47298455185</c:v>
                </c:pt>
                <c:pt idx="28">
                  <c:v>3498.7264285860797</c:v>
                </c:pt>
                <c:pt idx="29">
                  <c:v>3467.39632513692</c:v>
                </c:pt>
                <c:pt idx="30">
                  <c:v>3562.14168884026</c:v>
                </c:pt>
                <c:pt idx="31">
                  <c:v>3424.8899930142998</c:v>
                </c:pt>
                <c:pt idx="32">
                  <c:v>3691.0223598890202</c:v>
                </c:pt>
                <c:pt idx="33">
                  <c:v>3562.42699199037</c:v>
                </c:pt>
                <c:pt idx="34">
                  <c:v>3653.0062399352396</c:v>
                </c:pt>
                <c:pt idx="35">
                  <c:v>3726.0977422221404</c:v>
                </c:pt>
                <c:pt idx="36">
                  <c:v>3735.1012216914501</c:v>
                </c:pt>
                <c:pt idx="37">
                  <c:v>3822.64381886315</c:v>
                </c:pt>
                <c:pt idx="38">
                  <c:v>3604.9895060142999</c:v>
                </c:pt>
                <c:pt idx="39">
                  <c:v>3371.7018254460099</c:v>
                </c:pt>
                <c:pt idx="40">
                  <c:v>3289.11751371844</c:v>
                </c:pt>
                <c:pt idx="41">
                  <c:v>3234.1960678512801</c:v>
                </c:pt>
                <c:pt idx="42">
                  <c:v>3237.9099038673503</c:v>
                </c:pt>
                <c:pt idx="43">
                  <c:v>3357.85544322339</c:v>
                </c:pt>
                <c:pt idx="44">
                  <c:v>3335.3029047431401</c:v>
                </c:pt>
                <c:pt idx="45">
                  <c:v>3252.53998760077</c:v>
                </c:pt>
                <c:pt idx="46">
                  <c:v>3572.79045257286</c:v>
                </c:pt>
                <c:pt idx="47">
                  <c:v>3452.8842172499999</c:v>
                </c:pt>
                <c:pt idx="48">
                  <c:v>3400.6608830493797</c:v>
                </c:pt>
                <c:pt idx="49">
                  <c:v>3513.7528394373999</c:v>
                </c:pt>
                <c:pt idx="50">
                  <c:v>3474.1556106634002</c:v>
                </c:pt>
                <c:pt idx="51">
                  <c:v>3709.7805331679897</c:v>
                </c:pt>
                <c:pt idx="52">
                  <c:v>3657.2778811048997</c:v>
                </c:pt>
                <c:pt idx="53">
                  <c:v>3757.5867890377003</c:v>
                </c:pt>
                <c:pt idx="54">
                  <c:v>3599.8920232732098</c:v>
                </c:pt>
                <c:pt idx="55">
                  <c:v>3540.1775116569602</c:v>
                </c:pt>
                <c:pt idx="56">
                  <c:v>3411.3255816189799</c:v>
                </c:pt>
                <c:pt idx="57">
                  <c:v>3173.98873932576</c:v>
                </c:pt>
                <c:pt idx="58">
                  <c:v>3234.0711570614399</c:v>
                </c:pt>
                <c:pt idx="59">
                  <c:v>3201.8977092067398</c:v>
                </c:pt>
                <c:pt idx="60">
                  <c:v>3232.37780556184</c:v>
                </c:pt>
                <c:pt idx="61">
                  <c:v>3312.2308509374902</c:v>
                </c:pt>
                <c:pt idx="62">
                  <c:v>3337.422213631</c:v>
                </c:pt>
                <c:pt idx="63">
                  <c:v>3229.8871855800498</c:v>
                </c:pt>
                <c:pt idx="64">
                  <c:v>3170.0185988840999</c:v>
                </c:pt>
                <c:pt idx="65">
                  <c:v>3250.3924364537897</c:v>
                </c:pt>
                <c:pt idx="66">
                  <c:v>3025.1518908865801</c:v>
                </c:pt>
                <c:pt idx="67">
                  <c:v>3150.86816531264</c:v>
                </c:pt>
                <c:pt idx="68">
                  <c:v>3212.70875435785</c:v>
                </c:pt>
                <c:pt idx="69">
                  <c:v>3370.9764655679501</c:v>
                </c:pt>
                <c:pt idx="70">
                  <c:v>3474.1535541449798</c:v>
                </c:pt>
                <c:pt idx="71">
                  <c:v>3382.6449073466101</c:v>
                </c:pt>
                <c:pt idx="72">
                  <c:v>3377.2851223954099</c:v>
                </c:pt>
                <c:pt idx="73">
                  <c:v>3246.6604090528299</c:v>
                </c:pt>
                <c:pt idx="74">
                  <c:v>3172.9676783740397</c:v>
                </c:pt>
                <c:pt idx="75">
                  <c:v>3127.6596947164699</c:v>
                </c:pt>
                <c:pt idx="76">
                  <c:v>3198.62572514879</c:v>
                </c:pt>
                <c:pt idx="77">
                  <c:v>3509.2244265344098</c:v>
                </c:pt>
                <c:pt idx="78">
                  <c:v>3667.3738213262104</c:v>
                </c:pt>
                <c:pt idx="79">
                  <c:v>3280.5930456983901</c:v>
                </c:pt>
                <c:pt idx="80">
                  <c:v>3171.7643998521198</c:v>
                </c:pt>
                <c:pt idx="81">
                  <c:v>3263.6449836670799</c:v>
                </c:pt>
                <c:pt idx="82">
                  <c:v>3234.4126121663303</c:v>
                </c:pt>
                <c:pt idx="83">
                  <c:v>3314.0113558571002</c:v>
                </c:pt>
                <c:pt idx="84">
                  <c:v>3128.9348854796099</c:v>
                </c:pt>
                <c:pt idx="85">
                  <c:v>3124.1497265829498</c:v>
                </c:pt>
                <c:pt idx="86">
                  <c:v>3280.4903663922901</c:v>
                </c:pt>
                <c:pt idx="87">
                  <c:v>3380.8402374410998</c:v>
                </c:pt>
                <c:pt idx="88">
                  <c:v>3276.4836182579002</c:v>
                </c:pt>
                <c:pt idx="89">
                  <c:v>3248.6202225372599</c:v>
                </c:pt>
                <c:pt idx="90">
                  <c:v>3313.5578324028897</c:v>
                </c:pt>
                <c:pt idx="91">
                  <c:v>3427.1675851443797</c:v>
                </c:pt>
                <c:pt idx="92">
                  <c:v>3545.9981401116397</c:v>
                </c:pt>
                <c:pt idx="93">
                  <c:v>3629.4804711717002</c:v>
                </c:pt>
                <c:pt idx="94">
                  <c:v>3552.02476880632</c:v>
                </c:pt>
                <c:pt idx="95">
                  <c:v>3539.9078971379099</c:v>
                </c:pt>
                <c:pt idx="96">
                  <c:v>3051.0290967157498</c:v>
                </c:pt>
                <c:pt idx="97">
                  <c:v>3084.1790436339297</c:v>
                </c:pt>
                <c:pt idx="98">
                  <c:v>3051.18738143788</c:v>
                </c:pt>
                <c:pt idx="99">
                  <c:v>3040.8548180376702</c:v>
                </c:pt>
                <c:pt idx="100">
                  <c:v>2963.4777692213997</c:v>
                </c:pt>
                <c:pt idx="101">
                  <c:v>3224.1076089845001</c:v>
                </c:pt>
                <c:pt idx="102">
                  <c:v>3292.0734390222201</c:v>
                </c:pt>
                <c:pt idx="103">
                  <c:v>3129.1571507082099</c:v>
                </c:pt>
                <c:pt idx="104">
                  <c:v>3189.2770987281401</c:v>
                </c:pt>
                <c:pt idx="105">
                  <c:v>3111.6297478176298</c:v>
                </c:pt>
                <c:pt idx="106">
                  <c:v>3327.06845179634</c:v>
                </c:pt>
                <c:pt idx="107">
                  <c:v>3459.0304775402001</c:v>
                </c:pt>
                <c:pt idx="108">
                  <c:v>3347.6910250270303</c:v>
                </c:pt>
                <c:pt idx="109">
                  <c:v>3282.2465475148301</c:v>
                </c:pt>
                <c:pt idx="110">
                  <c:v>3416.6459797027501</c:v>
                </c:pt>
                <c:pt idx="111">
                  <c:v>3480.18390896544</c:v>
                </c:pt>
                <c:pt idx="112">
                  <c:v>3372.9218678484499</c:v>
                </c:pt>
                <c:pt idx="113">
                  <c:v>3479.1259566733497</c:v>
                </c:pt>
                <c:pt idx="114">
                  <c:v>3376.4655393753801</c:v>
                </c:pt>
                <c:pt idx="115">
                  <c:v>3317.2802647225703</c:v>
                </c:pt>
                <c:pt idx="116">
                  <c:v>3508.9910487351799</c:v>
                </c:pt>
                <c:pt idx="117">
                  <c:v>3553.8698093470402</c:v>
                </c:pt>
                <c:pt idx="118">
                  <c:v>3580.6639387023702</c:v>
                </c:pt>
                <c:pt idx="119">
                  <c:v>3574.2411056450901</c:v>
                </c:pt>
                <c:pt idx="120">
                  <c:v>3576.8471179407702</c:v>
                </c:pt>
                <c:pt idx="121">
                  <c:v>3575.5151499331396</c:v>
                </c:pt>
                <c:pt idx="122">
                  <c:v>3588.9879957542998</c:v>
                </c:pt>
                <c:pt idx="123">
                  <c:v>3587.2405893293899</c:v>
                </c:pt>
                <c:pt idx="124">
                  <c:v>3582.6051286087099</c:v>
                </c:pt>
                <c:pt idx="125">
                  <c:v>3543.1470570960901</c:v>
                </c:pt>
                <c:pt idx="126">
                  <c:v>3540.9433104477998</c:v>
                </c:pt>
                <c:pt idx="127">
                  <c:v>3517.3004086379901</c:v>
                </c:pt>
                <c:pt idx="128">
                  <c:v>3496.2541041345798</c:v>
                </c:pt>
                <c:pt idx="129">
                  <c:v>3507.3357495888199</c:v>
                </c:pt>
                <c:pt idx="130">
                  <c:v>3517.9830226161498</c:v>
                </c:pt>
                <c:pt idx="131">
                  <c:v>3513.0348261705403</c:v>
                </c:pt>
                <c:pt idx="132">
                  <c:v>3546.01066144079</c:v>
                </c:pt>
                <c:pt idx="133">
                  <c:v>3563.1216578150597</c:v>
                </c:pt>
                <c:pt idx="134">
                  <c:v>3176.0757359651798</c:v>
                </c:pt>
                <c:pt idx="135">
                  <c:v>3248.5716091692498</c:v>
                </c:pt>
                <c:pt idx="136">
                  <c:v>3286.0606262009701</c:v>
                </c:pt>
                <c:pt idx="137">
                  <c:v>3297.7146326624302</c:v>
                </c:pt>
                <c:pt idx="138">
                  <c:v>3260.85499108566</c:v>
                </c:pt>
                <c:pt idx="139">
                  <c:v>3291.6731706284299</c:v>
                </c:pt>
                <c:pt idx="140">
                  <c:v>3241.7525736157299</c:v>
                </c:pt>
                <c:pt idx="141">
                  <c:v>3393.1275394407899</c:v>
                </c:pt>
                <c:pt idx="142">
                  <c:v>3341.9401674285</c:v>
                </c:pt>
                <c:pt idx="143">
                  <c:v>3396.6169357664799</c:v>
                </c:pt>
                <c:pt idx="144">
                  <c:v>3423.4206782624497</c:v>
                </c:pt>
                <c:pt idx="145">
                  <c:v>3383.6849383695003</c:v>
                </c:pt>
                <c:pt idx="146">
                  <c:v>3318.4444779027699</c:v>
                </c:pt>
                <c:pt idx="147">
                  <c:v>3432.4759542998599</c:v>
                </c:pt>
                <c:pt idx="148">
                  <c:v>3365.5590377869398</c:v>
                </c:pt>
                <c:pt idx="149">
                  <c:v>3221.6911626420697</c:v>
                </c:pt>
                <c:pt idx="150">
                  <c:v>3379.7094400229803</c:v>
                </c:pt>
                <c:pt idx="151">
                  <c:v>3388.3975608935398</c:v>
                </c:pt>
                <c:pt idx="152">
                  <c:v>3366.8945868303099</c:v>
                </c:pt>
                <c:pt idx="153">
                  <c:v>3344.2710575219598</c:v>
                </c:pt>
                <c:pt idx="154">
                  <c:v>3332.7456229938598</c:v>
                </c:pt>
                <c:pt idx="155">
                  <c:v>3330.0942370215398</c:v>
                </c:pt>
                <c:pt idx="156">
                  <c:v>3289.20335735464</c:v>
                </c:pt>
                <c:pt idx="157">
                  <c:v>3265.8263255623201</c:v>
                </c:pt>
                <c:pt idx="158">
                  <c:v>3260.9653417096101</c:v>
                </c:pt>
                <c:pt idx="159">
                  <c:v>3278.2558321223801</c:v>
                </c:pt>
                <c:pt idx="160">
                  <c:v>3253.7252804165601</c:v>
                </c:pt>
                <c:pt idx="161">
                  <c:v>3181.7994427978801</c:v>
                </c:pt>
                <c:pt idx="162">
                  <c:v>3287.8620747120099</c:v>
                </c:pt>
                <c:pt idx="163">
                  <c:v>3292.5426032496198</c:v>
                </c:pt>
                <c:pt idx="164">
                  <c:v>3408.8879020836798</c:v>
                </c:pt>
                <c:pt idx="165">
                  <c:v>3199.6608343524099</c:v>
                </c:pt>
                <c:pt idx="166">
                  <c:v>3356.3728813428602</c:v>
                </c:pt>
                <c:pt idx="167">
                  <c:v>3125.8004291812404</c:v>
                </c:pt>
                <c:pt idx="168">
                  <c:v>3274.0153131584698</c:v>
                </c:pt>
                <c:pt idx="169">
                  <c:v>3501.9901459154198</c:v>
                </c:pt>
                <c:pt idx="170">
                  <c:v>3499.4460651688</c:v>
                </c:pt>
                <c:pt idx="171">
                  <c:v>3540.9612496192599</c:v>
                </c:pt>
                <c:pt idx="172">
                  <c:v>3517.1670158144398</c:v>
                </c:pt>
                <c:pt idx="173">
                  <c:v>3623.2755703734902</c:v>
                </c:pt>
                <c:pt idx="174">
                  <c:v>3303.4803942561798</c:v>
                </c:pt>
                <c:pt idx="175">
                  <c:v>3514.4983676368101</c:v>
                </c:pt>
                <c:pt idx="176">
                  <c:v>3560.6965915916699</c:v>
                </c:pt>
                <c:pt idx="177">
                  <c:v>3719.28783112049</c:v>
                </c:pt>
                <c:pt idx="178">
                  <c:v>3425.0934210780097</c:v>
                </c:pt>
                <c:pt idx="179">
                  <c:v>3413.0353417256997</c:v>
                </c:pt>
                <c:pt idx="180">
                  <c:v>3468.38078771968</c:v>
                </c:pt>
                <c:pt idx="181">
                  <c:v>3326.2629016962696</c:v>
                </c:pt>
                <c:pt idx="182">
                  <c:v>3383.5739314332304</c:v>
                </c:pt>
                <c:pt idx="183">
                  <c:v>3553.9032858028504</c:v>
                </c:pt>
                <c:pt idx="184">
                  <c:v>3629.0669559826097</c:v>
                </c:pt>
                <c:pt idx="185">
                  <c:v>3395.1512928726997</c:v>
                </c:pt>
                <c:pt idx="186">
                  <c:v>3249.9487687384803</c:v>
                </c:pt>
                <c:pt idx="187">
                  <c:v>3135.0367233618499</c:v>
                </c:pt>
                <c:pt idx="188">
                  <c:v>3306.0420245660298</c:v>
                </c:pt>
                <c:pt idx="189">
                  <c:v>3283.05934710167</c:v>
                </c:pt>
                <c:pt idx="190">
                  <c:v>3408.4893122287699</c:v>
                </c:pt>
                <c:pt idx="191">
                  <c:v>3431.43591522009</c:v>
                </c:pt>
                <c:pt idx="192">
                  <c:v>3489.4035519993799</c:v>
                </c:pt>
                <c:pt idx="193">
                  <c:v>3393.0991467761896</c:v>
                </c:pt>
                <c:pt idx="194">
                  <c:v>3370.6391363143202</c:v>
                </c:pt>
                <c:pt idx="195">
                  <c:v>3388.5324364538101</c:v>
                </c:pt>
                <c:pt idx="196">
                  <c:v>3251.48121280949</c:v>
                </c:pt>
                <c:pt idx="197">
                  <c:v>3380.9623356181</c:v>
                </c:pt>
                <c:pt idx="198">
                  <c:v>3371.3009712750204</c:v>
                </c:pt>
                <c:pt idx="199">
                  <c:v>3224.1951466649102</c:v>
                </c:pt>
                <c:pt idx="200">
                  <c:v>2908.9831059173898</c:v>
                </c:pt>
                <c:pt idx="201">
                  <c:v>3215.79917479489</c:v>
                </c:pt>
                <c:pt idx="202">
                  <c:v>3487.5075450628201</c:v>
                </c:pt>
                <c:pt idx="203">
                  <c:v>3396.3273403596199</c:v>
                </c:pt>
                <c:pt idx="204">
                  <c:v>3283.5306881587499</c:v>
                </c:pt>
                <c:pt idx="205">
                  <c:v>3156.93278499184</c:v>
                </c:pt>
                <c:pt idx="206">
                  <c:v>3094.08622281425</c:v>
                </c:pt>
                <c:pt idx="207">
                  <c:v>3252.45057783223</c:v>
                </c:pt>
                <c:pt idx="208">
                  <c:v>3117.0067590219801</c:v>
                </c:pt>
                <c:pt idx="209">
                  <c:v>3248.5355375255299</c:v>
                </c:pt>
                <c:pt idx="210">
                  <c:v>3170.95087063343</c:v>
                </c:pt>
                <c:pt idx="211">
                  <c:v>2879.43201279206</c:v>
                </c:pt>
                <c:pt idx="212">
                  <c:v>3044.34948446412</c:v>
                </c:pt>
                <c:pt idx="213">
                  <c:v>2944.8210912419599</c:v>
                </c:pt>
                <c:pt idx="214">
                  <c:v>3012.0331008569101</c:v>
                </c:pt>
                <c:pt idx="215">
                  <c:v>3060.8257724548503</c:v>
                </c:pt>
                <c:pt idx="216">
                  <c:v>3264.4426871386299</c:v>
                </c:pt>
                <c:pt idx="217">
                  <c:v>3117.6975901001601</c:v>
                </c:pt>
                <c:pt idx="218">
                  <c:v>3007.25887520164</c:v>
                </c:pt>
                <c:pt idx="219">
                  <c:v>3064.9727216367301</c:v>
                </c:pt>
                <c:pt idx="220">
                  <c:v>3022.8357098574502</c:v>
                </c:pt>
                <c:pt idx="221">
                  <c:v>3347.7693738376101</c:v>
                </c:pt>
                <c:pt idx="222">
                  <c:v>3479.0546140308602</c:v>
                </c:pt>
                <c:pt idx="223">
                  <c:v>3434.1065416844203</c:v>
                </c:pt>
                <c:pt idx="224">
                  <c:v>3501.1399908312997</c:v>
                </c:pt>
                <c:pt idx="225">
                  <c:v>3472.6545084218596</c:v>
                </c:pt>
                <c:pt idx="226">
                  <c:v>3439.4615173089201</c:v>
                </c:pt>
                <c:pt idx="227">
                  <c:v>3455.2515451928698</c:v>
                </c:pt>
                <c:pt idx="228">
                  <c:v>3390.3077293698502</c:v>
                </c:pt>
                <c:pt idx="229">
                  <c:v>3351.5909038257</c:v>
                </c:pt>
                <c:pt idx="230">
                  <c:v>3422.6094234345696</c:v>
                </c:pt>
                <c:pt idx="231">
                  <c:v>3334.3261004339402</c:v>
                </c:pt>
                <c:pt idx="232">
                  <c:v>3507.0025564844</c:v>
                </c:pt>
                <c:pt idx="233">
                  <c:v>3269.4466540784101</c:v>
                </c:pt>
                <c:pt idx="234">
                  <c:v>3528.9622455305598</c:v>
                </c:pt>
                <c:pt idx="235">
                  <c:v>3444.64217104305</c:v>
                </c:pt>
                <c:pt idx="236">
                  <c:v>3532.5532537311501</c:v>
                </c:pt>
                <c:pt idx="237">
                  <c:v>3562.42115411231</c:v>
                </c:pt>
                <c:pt idx="238">
                  <c:v>3537.7761562383398</c:v>
                </c:pt>
                <c:pt idx="239">
                  <c:v>3548.3394003039302</c:v>
                </c:pt>
                <c:pt idx="240">
                  <c:v>3620.9468116390899</c:v>
                </c:pt>
                <c:pt idx="241">
                  <c:v>3675.01735627466</c:v>
                </c:pt>
                <c:pt idx="242">
                  <c:v>3119.86273355193</c:v>
                </c:pt>
                <c:pt idx="243">
                  <c:v>3131.04407228748</c:v>
                </c:pt>
                <c:pt idx="244">
                  <c:v>3138.2119946285698</c:v>
                </c:pt>
                <c:pt idx="245">
                  <c:v>3085.6923152269301</c:v>
                </c:pt>
                <c:pt idx="246">
                  <c:v>2946.7720134809101</c:v>
                </c:pt>
                <c:pt idx="247">
                  <c:v>3068.77943551</c:v>
                </c:pt>
                <c:pt idx="248">
                  <c:v>3244.6205133662102</c:v>
                </c:pt>
                <c:pt idx="249">
                  <c:v>3091.3762086961001</c:v>
                </c:pt>
                <c:pt idx="250">
                  <c:v>2999.00996798402</c:v>
                </c:pt>
                <c:pt idx="251">
                  <c:v>3199.89407735035</c:v>
                </c:pt>
                <c:pt idx="252">
                  <c:v>3137.1176834364901</c:v>
                </c:pt>
                <c:pt idx="253">
                  <c:v>3090.4397109308197</c:v>
                </c:pt>
                <c:pt idx="254">
                  <c:v>3093.3192627223898</c:v>
                </c:pt>
                <c:pt idx="255">
                  <c:v>2954.7847907856999</c:v>
                </c:pt>
                <c:pt idx="256">
                  <c:v>2907.9796106263502</c:v>
                </c:pt>
                <c:pt idx="257">
                  <c:v>3087.98998575013</c:v>
                </c:pt>
                <c:pt idx="258">
                  <c:v>3040.4160925842002</c:v>
                </c:pt>
                <c:pt idx="259">
                  <c:v>3182.0991096130901</c:v>
                </c:pt>
                <c:pt idx="260">
                  <c:v>3072.7983324234397</c:v>
                </c:pt>
                <c:pt idx="261">
                  <c:v>3139.8414761283702</c:v>
                </c:pt>
                <c:pt idx="262">
                  <c:v>3113.21217610033</c:v>
                </c:pt>
                <c:pt idx="263">
                  <c:v>3012.7402621557103</c:v>
                </c:pt>
                <c:pt idx="264">
                  <c:v>2990.4282344922499</c:v>
                </c:pt>
                <c:pt idx="265">
                  <c:v>3080.32829456323</c:v>
                </c:pt>
                <c:pt idx="266">
                  <c:v>3044.9400095496999</c:v>
                </c:pt>
                <c:pt idx="267">
                  <c:v>3007.4011282553201</c:v>
                </c:pt>
                <c:pt idx="268">
                  <c:v>2939.4867301005402</c:v>
                </c:pt>
                <c:pt idx="269">
                  <c:v>2825.24022287859</c:v>
                </c:pt>
                <c:pt idx="270">
                  <c:v>2947.07068731153</c:v>
                </c:pt>
                <c:pt idx="271">
                  <c:v>2998.6564851574699</c:v>
                </c:pt>
                <c:pt idx="272">
                  <c:v>2885.98137647148</c:v>
                </c:pt>
                <c:pt idx="273">
                  <c:v>2934.1020200776002</c:v>
                </c:pt>
                <c:pt idx="274">
                  <c:v>2886.9869384234298</c:v>
                </c:pt>
                <c:pt idx="275">
                  <c:v>2939.0907109548498</c:v>
                </c:pt>
                <c:pt idx="276">
                  <c:v>2919.1196797757802</c:v>
                </c:pt>
                <c:pt idx="277">
                  <c:v>2972.0523290962997</c:v>
                </c:pt>
                <c:pt idx="278">
                  <c:v>2955.14542616571</c:v>
                </c:pt>
                <c:pt idx="279">
                  <c:v>2972.68875093102</c:v>
                </c:pt>
                <c:pt idx="280">
                  <c:v>2990.7891509977298</c:v>
                </c:pt>
                <c:pt idx="281">
                  <c:v>2871.4074276860997</c:v>
                </c:pt>
                <c:pt idx="282">
                  <c:v>2838.9618894338901</c:v>
                </c:pt>
                <c:pt idx="283">
                  <c:v>2915.6077195964599</c:v>
                </c:pt>
                <c:pt idx="284">
                  <c:v>3204.4824686156398</c:v>
                </c:pt>
                <c:pt idx="285">
                  <c:v>3131.6528531967001</c:v>
                </c:pt>
                <c:pt idx="286">
                  <c:v>3061.55582612841</c:v>
                </c:pt>
                <c:pt idx="287">
                  <c:v>3095.1639536900398</c:v>
                </c:pt>
                <c:pt idx="288">
                  <c:v>2976.8540108522097</c:v>
                </c:pt>
                <c:pt idx="289">
                  <c:v>2850.1038973203299</c:v>
                </c:pt>
                <c:pt idx="290">
                  <c:v>2900.3711953381599</c:v>
                </c:pt>
                <c:pt idx="291">
                  <c:v>3002.6974466432898</c:v>
                </c:pt>
                <c:pt idx="292">
                  <c:v>2932.2399712576498</c:v>
                </c:pt>
                <c:pt idx="293">
                  <c:v>3092.94069689977</c:v>
                </c:pt>
                <c:pt idx="294">
                  <c:v>3178.9459199901803</c:v>
                </c:pt>
                <c:pt idx="295">
                  <c:v>3260.0735306689403</c:v>
                </c:pt>
                <c:pt idx="296">
                  <c:v>3122.06656013061</c:v>
                </c:pt>
                <c:pt idx="297">
                  <c:v>3116.7939686475502</c:v>
                </c:pt>
                <c:pt idx="298">
                  <c:v>3138.7942405070298</c:v>
                </c:pt>
                <c:pt idx="299">
                  <c:v>3025.2309892835301</c:v>
                </c:pt>
                <c:pt idx="300">
                  <c:v>2917.77319328559</c:v>
                </c:pt>
                <c:pt idx="301">
                  <c:v>2968.58332265428</c:v>
                </c:pt>
                <c:pt idx="302">
                  <c:v>2927.6437311273298</c:v>
                </c:pt>
                <c:pt idx="303">
                  <c:v>2951.34649057871</c:v>
                </c:pt>
                <c:pt idx="304">
                  <c:v>3057.6236116380701</c:v>
                </c:pt>
                <c:pt idx="305">
                  <c:v>3093.0479518866</c:v>
                </c:pt>
                <c:pt idx="306">
                  <c:v>3070.0194281999502</c:v>
                </c:pt>
                <c:pt idx="307">
                  <c:v>3049.0707943777002</c:v>
                </c:pt>
                <c:pt idx="308">
                  <c:v>2914.7912982891603</c:v>
                </c:pt>
                <c:pt idx="309">
                  <c:v>2930.2669726843301</c:v>
                </c:pt>
                <c:pt idx="310">
                  <c:v>2850.9966207987</c:v>
                </c:pt>
                <c:pt idx="311">
                  <c:v>3070.4124275619997</c:v>
                </c:pt>
                <c:pt idx="312">
                  <c:v>3040.3665233931897</c:v>
                </c:pt>
                <c:pt idx="313">
                  <c:v>3043.3238313393399</c:v>
                </c:pt>
                <c:pt idx="314">
                  <c:v>2970.2926505178898</c:v>
                </c:pt>
                <c:pt idx="315">
                  <c:v>2912.0449100281598</c:v>
                </c:pt>
                <c:pt idx="316">
                  <c:v>3002.1988713200103</c:v>
                </c:pt>
                <c:pt idx="317">
                  <c:v>3011.5778798817801</c:v>
                </c:pt>
                <c:pt idx="318">
                  <c:v>2915.6492424286298</c:v>
                </c:pt>
                <c:pt idx="319">
                  <c:v>2852.5063276763999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'240814B001'!$A$2:$A$321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'240814B001'!$P$2:$P$321</c:f>
              <c:numCache>
                <c:formatCode>General</c:formatCode>
                <c:ptCount val="320"/>
                <c:pt idx="0">
                  <c:v>2.4040694862539622</c:v>
                </c:pt>
                <c:pt idx="1">
                  <c:v>2.6121287734758454</c:v>
                </c:pt>
                <c:pt idx="2">
                  <c:v>2.7231411337383911</c:v>
                </c:pt>
                <c:pt idx="3">
                  <c:v>5.0179101751866479</c:v>
                </c:pt>
                <c:pt idx="4">
                  <c:v>8.0605268637066576</c:v>
                </c:pt>
                <c:pt idx="5">
                  <c:v>4.7317024949636046</c:v>
                </c:pt>
                <c:pt idx="6">
                  <c:v>4.632822608321848</c:v>
                </c:pt>
                <c:pt idx="7">
                  <c:v>7.8169073850598885</c:v>
                </c:pt>
                <c:pt idx="8">
                  <c:v>12.300506805458644</c:v>
                </c:pt>
                <c:pt idx="9">
                  <c:v>11.989979195436391</c:v>
                </c:pt>
                <c:pt idx="10">
                  <c:v>13.733755463099421</c:v>
                </c:pt>
                <c:pt idx="11">
                  <c:v>13.963320388183517</c:v>
                </c:pt>
                <c:pt idx="12">
                  <c:v>12.176729766334113</c:v>
                </c:pt>
                <c:pt idx="13">
                  <c:v>11.977376016037219</c:v>
                </c:pt>
                <c:pt idx="14">
                  <c:v>9.9104536287546434</c:v>
                </c:pt>
                <c:pt idx="15">
                  <c:v>10.022265285065252</c:v>
                </c:pt>
                <c:pt idx="16">
                  <c:v>14.162140369788087</c:v>
                </c:pt>
                <c:pt idx="17">
                  <c:v>14.17831761030607</c:v>
                </c:pt>
                <c:pt idx="18">
                  <c:v>12.521713301816822</c:v>
                </c:pt>
                <c:pt idx="19">
                  <c:v>12.000947250211762</c:v>
                </c:pt>
                <c:pt idx="20">
                  <c:v>13.959915938681529</c:v>
                </c:pt>
                <c:pt idx="21">
                  <c:v>14.066532499231037</c:v>
                </c:pt>
                <c:pt idx="22">
                  <c:v>13.809038782828836</c:v>
                </c:pt>
                <c:pt idx="23">
                  <c:v>12.336811610383759</c:v>
                </c:pt>
                <c:pt idx="24">
                  <c:v>11.473498136955286</c:v>
                </c:pt>
                <c:pt idx="25">
                  <c:v>8.0413247331216873</c:v>
                </c:pt>
                <c:pt idx="26">
                  <c:v>11.989847037349154</c:v>
                </c:pt>
                <c:pt idx="27">
                  <c:v>11.398579897809153</c:v>
                </c:pt>
                <c:pt idx="28">
                  <c:v>7.9566962899833147</c:v>
                </c:pt>
                <c:pt idx="29">
                  <c:v>7.3480320191214394</c:v>
                </c:pt>
                <c:pt idx="30">
                  <c:v>6.7651773763292375</c:v>
                </c:pt>
                <c:pt idx="31">
                  <c:v>6.8692781691082923</c:v>
                </c:pt>
                <c:pt idx="32">
                  <c:v>4.3830985854170672</c:v>
                </c:pt>
                <c:pt idx="33">
                  <c:v>5.6820950305119737</c:v>
                </c:pt>
                <c:pt idx="34">
                  <c:v>4.3268639292191899</c:v>
                </c:pt>
                <c:pt idx="35">
                  <c:v>5.7303429265993922</c:v>
                </c:pt>
                <c:pt idx="36">
                  <c:v>6.3728078864166555</c:v>
                </c:pt>
                <c:pt idx="37">
                  <c:v>6.8247185720948584</c:v>
                </c:pt>
                <c:pt idx="38">
                  <c:v>7.7646120697145413</c:v>
                </c:pt>
                <c:pt idx="39">
                  <c:v>10.067110777843629</c:v>
                </c:pt>
                <c:pt idx="40">
                  <c:v>9.4582818266917865</c:v>
                </c:pt>
                <c:pt idx="41">
                  <c:v>11.591413746474476</c:v>
                </c:pt>
                <c:pt idx="42">
                  <c:v>10.927401920604119</c:v>
                </c:pt>
                <c:pt idx="43">
                  <c:v>8.4749546155771824</c:v>
                </c:pt>
                <c:pt idx="44">
                  <c:v>8.4691418394894917</c:v>
                </c:pt>
                <c:pt idx="45">
                  <c:v>10.635145898469398</c:v>
                </c:pt>
                <c:pt idx="46">
                  <c:v>5.8025872005309047</c:v>
                </c:pt>
                <c:pt idx="47">
                  <c:v>6.4139619422270338</c:v>
                </c:pt>
                <c:pt idx="48">
                  <c:v>7.0908896377061508</c:v>
                </c:pt>
                <c:pt idx="49">
                  <c:v>4.8197061069880895</c:v>
                </c:pt>
                <c:pt idx="50">
                  <c:v>7.3605743555115843</c:v>
                </c:pt>
                <c:pt idx="51">
                  <c:v>5.1823027650326123</c:v>
                </c:pt>
                <c:pt idx="52">
                  <c:v>4.2784852772035933</c:v>
                </c:pt>
                <c:pt idx="53">
                  <c:v>2.8368804554093834</c:v>
                </c:pt>
                <c:pt idx="54">
                  <c:v>3.49436184273485</c:v>
                </c:pt>
                <c:pt idx="55">
                  <c:v>2.8434690450140532</c:v>
                </c:pt>
                <c:pt idx="56">
                  <c:v>3.7491203279265779</c:v>
                </c:pt>
                <c:pt idx="57">
                  <c:v>6.2168758859099738</c:v>
                </c:pt>
                <c:pt idx="58">
                  <c:v>4.0990206408209335</c:v>
                </c:pt>
                <c:pt idx="59">
                  <c:v>3.6853150384511464</c:v>
                </c:pt>
                <c:pt idx="60">
                  <c:v>3.3654646564298507</c:v>
                </c:pt>
                <c:pt idx="61">
                  <c:v>3.4314873618574917</c:v>
                </c:pt>
                <c:pt idx="62">
                  <c:v>2.1366310709834964</c:v>
                </c:pt>
                <c:pt idx="63">
                  <c:v>2.5300251809842482</c:v>
                </c:pt>
                <c:pt idx="64">
                  <c:v>2.8649231966078723</c:v>
                </c:pt>
                <c:pt idx="65">
                  <c:v>1.3046983991445928</c:v>
                </c:pt>
                <c:pt idx="66">
                  <c:v>4.4127731159631081</c:v>
                </c:pt>
                <c:pt idx="67">
                  <c:v>3.093277716749153</c:v>
                </c:pt>
                <c:pt idx="68">
                  <c:v>2.093668943179424</c:v>
                </c:pt>
                <c:pt idx="69">
                  <c:v>-0.5138402603736143</c:v>
                </c:pt>
                <c:pt idx="70">
                  <c:v>-1.6087833270308172</c:v>
                </c:pt>
                <c:pt idx="71">
                  <c:v>-1.9156995503369432</c:v>
                </c:pt>
                <c:pt idx="72">
                  <c:v>-2.35100683390956</c:v>
                </c:pt>
                <c:pt idx="73">
                  <c:v>-0.78785393035002926</c:v>
                </c:pt>
                <c:pt idx="74">
                  <c:v>-3.1985047457161686</c:v>
                </c:pt>
                <c:pt idx="75">
                  <c:v>-1.5543571275688917</c:v>
                </c:pt>
                <c:pt idx="76">
                  <c:v>-1.7901864085326384</c:v>
                </c:pt>
                <c:pt idx="77">
                  <c:v>-4.2786535890905597</c:v>
                </c:pt>
                <c:pt idx="78">
                  <c:v>-4.8347123924663382</c:v>
                </c:pt>
                <c:pt idx="79">
                  <c:v>-2.3993514765238402</c:v>
                </c:pt>
                <c:pt idx="80">
                  <c:v>-2.8261330103753433</c:v>
                </c:pt>
                <c:pt idx="81">
                  <c:v>-4.3889104483629922</c:v>
                </c:pt>
                <c:pt idx="82">
                  <c:v>-3.5799833536764898</c:v>
                </c:pt>
                <c:pt idx="83">
                  <c:v>-6.2523399327491198</c:v>
                </c:pt>
                <c:pt idx="84">
                  <c:v>-5.0521577004934874</c:v>
                </c:pt>
                <c:pt idx="85">
                  <c:v>-4.5478795971787678</c:v>
                </c:pt>
                <c:pt idx="86">
                  <c:v>-8.1733625447069578</c:v>
                </c:pt>
                <c:pt idx="87">
                  <c:v>-6.4560268760496111</c:v>
                </c:pt>
                <c:pt idx="88">
                  <c:v>-6.6354028202569397</c:v>
                </c:pt>
                <c:pt idx="89">
                  <c:v>-7.481344482571779</c:v>
                </c:pt>
                <c:pt idx="90">
                  <c:v>-9.7995533836544286</c:v>
                </c:pt>
                <c:pt idx="91">
                  <c:v>-10.290833369520319</c:v>
                </c:pt>
                <c:pt idx="92">
                  <c:v>-9.6702050817739522</c:v>
                </c:pt>
                <c:pt idx="93">
                  <c:v>-13.036895814834912</c:v>
                </c:pt>
                <c:pt idx="94">
                  <c:v>-10.781183247839206</c:v>
                </c:pt>
                <c:pt idx="95">
                  <c:v>-12.630373148775037</c:v>
                </c:pt>
                <c:pt idx="96">
                  <c:v>-9.8353714100287988</c:v>
                </c:pt>
                <c:pt idx="97">
                  <c:v>-13.409437170521068</c:v>
                </c:pt>
                <c:pt idx="98">
                  <c:v>-13.859286681337011</c:v>
                </c:pt>
                <c:pt idx="99">
                  <c:v>-13.62344134721366</c:v>
                </c:pt>
                <c:pt idx="100">
                  <c:v>-15.650398292532246</c:v>
                </c:pt>
                <c:pt idx="101">
                  <c:v>-11.642209610435431</c:v>
                </c:pt>
                <c:pt idx="102">
                  <c:v>-11.304045254444739</c:v>
                </c:pt>
                <c:pt idx="103">
                  <c:v>-11.34823898646574</c:v>
                </c:pt>
                <c:pt idx="104">
                  <c:v>-10.243396078760874</c:v>
                </c:pt>
                <c:pt idx="105">
                  <c:v>-9.283466596611726</c:v>
                </c:pt>
                <c:pt idx="106">
                  <c:v>-9.3044943977321282</c:v>
                </c:pt>
                <c:pt idx="107">
                  <c:v>-11.609043373263352</c:v>
                </c:pt>
                <c:pt idx="108">
                  <c:v>-10.866399679800802</c:v>
                </c:pt>
                <c:pt idx="109">
                  <c:v>-10.923608435779881</c:v>
                </c:pt>
                <c:pt idx="110">
                  <c:v>-12.732440308531102</c:v>
                </c:pt>
                <c:pt idx="111">
                  <c:v>-12.941091063584709</c:v>
                </c:pt>
                <c:pt idx="112">
                  <c:v>-9.2708252268918816</c:v>
                </c:pt>
                <c:pt idx="113">
                  <c:v>-10.521902548470322</c:v>
                </c:pt>
                <c:pt idx="114">
                  <c:v>-9.4645094142322694</c:v>
                </c:pt>
                <c:pt idx="115">
                  <c:v>-8.265552467966101</c:v>
                </c:pt>
                <c:pt idx="116">
                  <c:v>-10.541818529244454</c:v>
                </c:pt>
                <c:pt idx="117">
                  <c:v>-11.159377015924019</c:v>
                </c:pt>
                <c:pt idx="118">
                  <c:v>-11.349387856633788</c:v>
                </c:pt>
                <c:pt idx="119">
                  <c:v>-11.218062274660761</c:v>
                </c:pt>
                <c:pt idx="120">
                  <c:v>-11.581925961499978</c:v>
                </c:pt>
                <c:pt idx="121">
                  <c:v>-11.096175500399005</c:v>
                </c:pt>
                <c:pt idx="122">
                  <c:v>-11.291090553590784</c:v>
                </c:pt>
                <c:pt idx="123">
                  <c:v>-11.138443531633936</c:v>
                </c:pt>
                <c:pt idx="124">
                  <c:v>-10.906229885500023</c:v>
                </c:pt>
                <c:pt idx="125">
                  <c:v>-9.9545100536246185</c:v>
                </c:pt>
                <c:pt idx="126">
                  <c:v>-9.4758656668505683</c:v>
                </c:pt>
                <c:pt idx="127">
                  <c:v>-9.1493202602735266</c:v>
                </c:pt>
                <c:pt idx="128">
                  <c:v>-8.9469376222208226</c:v>
                </c:pt>
                <c:pt idx="129">
                  <c:v>-8.4815641756348246</c:v>
                </c:pt>
                <c:pt idx="130">
                  <c:v>-8.6295253926191027</c:v>
                </c:pt>
                <c:pt idx="131">
                  <c:v>-7.8744413270851243</c:v>
                </c:pt>
                <c:pt idx="132">
                  <c:v>-8.4657941520284616</c:v>
                </c:pt>
                <c:pt idx="133">
                  <c:v>-10.082952458929006</c:v>
                </c:pt>
                <c:pt idx="134">
                  <c:v>-6.2504484002870608</c:v>
                </c:pt>
                <c:pt idx="135">
                  <c:v>-7.3694828848687273</c:v>
                </c:pt>
                <c:pt idx="136">
                  <c:v>-7.6042663150066403</c:v>
                </c:pt>
                <c:pt idx="137">
                  <c:v>-7.2000793837878083</c:v>
                </c:pt>
                <c:pt idx="138">
                  <c:v>-6.1115201995130608</c:v>
                </c:pt>
                <c:pt idx="139">
                  <c:v>-6.7147523969873824</c:v>
                </c:pt>
                <c:pt idx="140">
                  <c:v>-5.4916675136862336</c:v>
                </c:pt>
                <c:pt idx="141">
                  <c:v>-5.4253760956710551</c:v>
                </c:pt>
                <c:pt idx="142">
                  <c:v>-4.8716311573385491</c:v>
                </c:pt>
                <c:pt idx="143">
                  <c:v>-5.1151011481721094</c:v>
                </c:pt>
                <c:pt idx="144">
                  <c:v>-4.8729709024170687</c:v>
                </c:pt>
                <c:pt idx="145">
                  <c:v>-4.1981160086786717</c:v>
                </c:pt>
                <c:pt idx="146">
                  <c:v>-3.1860303963071877</c:v>
                </c:pt>
                <c:pt idx="147">
                  <c:v>-4.3466247036911616</c:v>
                </c:pt>
                <c:pt idx="148">
                  <c:v>-4.1226396831388552</c:v>
                </c:pt>
                <c:pt idx="149">
                  <c:v>-3.2322689954734418</c:v>
                </c:pt>
                <c:pt idx="150">
                  <c:v>-3.5590635049134152</c:v>
                </c:pt>
                <c:pt idx="151">
                  <c:v>-3.7866007803672059</c:v>
                </c:pt>
                <c:pt idx="152">
                  <c:v>-3.3391289089209506</c:v>
                </c:pt>
                <c:pt idx="153">
                  <c:v>-3.0055572455040021</c:v>
                </c:pt>
                <c:pt idx="154">
                  <c:v>-2.87840907297953</c:v>
                </c:pt>
                <c:pt idx="155">
                  <c:v>-2.5214316839670277</c:v>
                </c:pt>
                <c:pt idx="156">
                  <c:v>-2.0830151158067136</c:v>
                </c:pt>
                <c:pt idx="157">
                  <c:v>-1.4461749921831881</c:v>
                </c:pt>
                <c:pt idx="158">
                  <c:v>-2.0517565473789845</c:v>
                </c:pt>
                <c:pt idx="159">
                  <c:v>-1.6144847170431358</c:v>
                </c:pt>
                <c:pt idx="160">
                  <c:v>-1.1056447394119504</c:v>
                </c:pt>
                <c:pt idx="161">
                  <c:v>0.97829851705812965</c:v>
                </c:pt>
                <c:pt idx="162">
                  <c:v>42.176050783283493</c:v>
                </c:pt>
                <c:pt idx="163">
                  <c:v>49.669737596647998</c:v>
                </c:pt>
                <c:pt idx="164">
                  <c:v>59.779006825702787</c:v>
                </c:pt>
                <c:pt idx="165">
                  <c:v>63.278657154722175</c:v>
                </c:pt>
                <c:pt idx="166">
                  <c:v>68.947017117778159</c:v>
                </c:pt>
                <c:pt idx="167">
                  <c:v>60.149050883516033</c:v>
                </c:pt>
                <c:pt idx="168">
                  <c:v>68.147384974091423</c:v>
                </c:pt>
                <c:pt idx="169">
                  <c:v>81.602785789446031</c:v>
                </c:pt>
                <c:pt idx="170">
                  <c:v>81.379091237211</c:v>
                </c:pt>
                <c:pt idx="171">
                  <c:v>88.178288033881628</c:v>
                </c:pt>
                <c:pt idx="172">
                  <c:v>92.138012968994218</c:v>
                </c:pt>
                <c:pt idx="173">
                  <c:v>94.835859706882886</c:v>
                </c:pt>
                <c:pt idx="174">
                  <c:v>86.142932998825671</c:v>
                </c:pt>
                <c:pt idx="175">
                  <c:v>88.926688976176024</c:v>
                </c:pt>
                <c:pt idx="176">
                  <c:v>94.036682086113373</c:v>
                </c:pt>
                <c:pt idx="177">
                  <c:v>94.462818870418957</c:v>
                </c:pt>
                <c:pt idx="178">
                  <c:v>93.773638191797517</c:v>
                </c:pt>
                <c:pt idx="179">
                  <c:v>94.005761436647077</c:v>
                </c:pt>
                <c:pt idx="180">
                  <c:v>92.863747272989571</c:v>
                </c:pt>
                <c:pt idx="181">
                  <c:v>93.379124769954331</c:v>
                </c:pt>
                <c:pt idx="182">
                  <c:v>93.807543724643963</c:v>
                </c:pt>
                <c:pt idx="183">
                  <c:v>88.85080966832389</c:v>
                </c:pt>
                <c:pt idx="184">
                  <c:v>89.829546051142984</c:v>
                </c:pt>
                <c:pt idx="185">
                  <c:v>88.138045120681056</c:v>
                </c:pt>
                <c:pt idx="186">
                  <c:v>90.234173295456387</c:v>
                </c:pt>
                <c:pt idx="187">
                  <c:v>89.042750794496868</c:v>
                </c:pt>
                <c:pt idx="188">
                  <c:v>86.60953941711108</c:v>
                </c:pt>
                <c:pt idx="189">
                  <c:v>85.264149727757768</c:v>
                </c:pt>
                <c:pt idx="190">
                  <c:v>80.831119636409838</c:v>
                </c:pt>
                <c:pt idx="191">
                  <c:v>77.608308164298606</c:v>
                </c:pt>
                <c:pt idx="192">
                  <c:v>76.205975147162505</c:v>
                </c:pt>
                <c:pt idx="193">
                  <c:v>80.281325737490491</c:v>
                </c:pt>
                <c:pt idx="194">
                  <c:v>81.565206209915416</c:v>
                </c:pt>
                <c:pt idx="195">
                  <c:v>80.915166810101368</c:v>
                </c:pt>
                <c:pt idx="196">
                  <c:v>78.348246969441249</c:v>
                </c:pt>
                <c:pt idx="197">
                  <c:v>77.160283158709888</c:v>
                </c:pt>
                <c:pt idx="198">
                  <c:v>75.667376863615218</c:v>
                </c:pt>
                <c:pt idx="199">
                  <c:v>74.964826054902332</c:v>
                </c:pt>
                <c:pt idx="200">
                  <c:v>81.492601947199077</c:v>
                </c:pt>
                <c:pt idx="201">
                  <c:v>79.160900043277238</c:v>
                </c:pt>
                <c:pt idx="202">
                  <c:v>76.58666826469873</c:v>
                </c:pt>
                <c:pt idx="203">
                  <c:v>73.176532945505315</c:v>
                </c:pt>
                <c:pt idx="204">
                  <c:v>77.384403351792798</c:v>
                </c:pt>
                <c:pt idx="205">
                  <c:v>80.584251750100933</c:v>
                </c:pt>
                <c:pt idx="206">
                  <c:v>80.005285961867656</c:v>
                </c:pt>
                <c:pt idx="207">
                  <c:v>82.671592505079616</c:v>
                </c:pt>
                <c:pt idx="208">
                  <c:v>74.620499902581386</c:v>
                </c:pt>
                <c:pt idx="209">
                  <c:v>74.84663526389906</c:v>
                </c:pt>
                <c:pt idx="210">
                  <c:v>74.635739458382105</c:v>
                </c:pt>
                <c:pt idx="211">
                  <c:v>80.438647371707262</c:v>
                </c:pt>
                <c:pt idx="212">
                  <c:v>77.10096162494051</c:v>
                </c:pt>
                <c:pt idx="213">
                  <c:v>77.549442541374873</c:v>
                </c:pt>
                <c:pt idx="214">
                  <c:v>78.565861120836317</c:v>
                </c:pt>
                <c:pt idx="215">
                  <c:v>74.234834634174831</c:v>
                </c:pt>
                <c:pt idx="216">
                  <c:v>74.722979131036396</c:v>
                </c:pt>
                <c:pt idx="217">
                  <c:v>71.224500940847818</c:v>
                </c:pt>
                <c:pt idx="218">
                  <c:v>70.597180987936142</c:v>
                </c:pt>
                <c:pt idx="219">
                  <c:v>71.455732603216333</c:v>
                </c:pt>
                <c:pt idx="220">
                  <c:v>70.149429724967021</c:v>
                </c:pt>
                <c:pt idx="221">
                  <c:v>67.01172395354304</c:v>
                </c:pt>
                <c:pt idx="222">
                  <c:v>68.589637481716636</c:v>
                </c:pt>
                <c:pt idx="223">
                  <c:v>67.524523306204188</c:v>
                </c:pt>
                <c:pt idx="224">
                  <c:v>68.082311356185329</c:v>
                </c:pt>
                <c:pt idx="225">
                  <c:v>67.683891015361425</c:v>
                </c:pt>
                <c:pt idx="226">
                  <c:v>69.825410491508549</c:v>
                </c:pt>
                <c:pt idx="227">
                  <c:v>71.101212542670837</c:v>
                </c:pt>
                <c:pt idx="228">
                  <c:v>72.640749501427479</c:v>
                </c:pt>
                <c:pt idx="229">
                  <c:v>71.564204423547409</c:v>
                </c:pt>
                <c:pt idx="230">
                  <c:v>72.057826410144528</c:v>
                </c:pt>
                <c:pt idx="231">
                  <c:v>71.639242709596729</c:v>
                </c:pt>
                <c:pt idx="232">
                  <c:v>72.637690746891309</c:v>
                </c:pt>
                <c:pt idx="233">
                  <c:v>73.832485851476491</c:v>
                </c:pt>
                <c:pt idx="234">
                  <c:v>73.671448883938126</c:v>
                </c:pt>
                <c:pt idx="235">
                  <c:v>73.419377109553793</c:v>
                </c:pt>
                <c:pt idx="236">
                  <c:v>72.06218483134343</c:v>
                </c:pt>
                <c:pt idx="237">
                  <c:v>71.976259392723165</c:v>
                </c:pt>
                <c:pt idx="238">
                  <c:v>69.890760348830113</c:v>
                </c:pt>
                <c:pt idx="239">
                  <c:v>69.173171824904998</c:v>
                </c:pt>
                <c:pt idx="240">
                  <c:v>65.807236863242892</c:v>
                </c:pt>
                <c:pt idx="241">
                  <c:v>66.592206907453928</c:v>
                </c:pt>
                <c:pt idx="242">
                  <c:v>68.603322312307853</c:v>
                </c:pt>
                <c:pt idx="243">
                  <c:v>68.944569980497135</c:v>
                </c:pt>
                <c:pt idx="244">
                  <c:v>69.020387306719059</c:v>
                </c:pt>
                <c:pt idx="245">
                  <c:v>64.888516320405003</c:v>
                </c:pt>
                <c:pt idx="246">
                  <c:v>61.400208502393816</c:v>
                </c:pt>
                <c:pt idx="247">
                  <c:v>60.57254376079765</c:v>
                </c:pt>
                <c:pt idx="248">
                  <c:v>58.007798022321275</c:v>
                </c:pt>
                <c:pt idx="249">
                  <c:v>57.259692275311636</c:v>
                </c:pt>
                <c:pt idx="250">
                  <c:v>56.811994579445738</c:v>
                </c:pt>
                <c:pt idx="251">
                  <c:v>53.536200903520701</c:v>
                </c:pt>
                <c:pt idx="252">
                  <c:v>52.644739311309685</c:v>
                </c:pt>
                <c:pt idx="253">
                  <c:v>51.921145378896583</c:v>
                </c:pt>
                <c:pt idx="254">
                  <c:v>51.191855956811672</c:v>
                </c:pt>
                <c:pt idx="255">
                  <c:v>50.434191583822006</c:v>
                </c:pt>
                <c:pt idx="256">
                  <c:v>50.544387260923294</c:v>
                </c:pt>
                <c:pt idx="257">
                  <c:v>48.74040639427345</c:v>
                </c:pt>
                <c:pt idx="258">
                  <c:v>46.89425528889327</c:v>
                </c:pt>
                <c:pt idx="259">
                  <c:v>44.11964468436512</c:v>
                </c:pt>
                <c:pt idx="260">
                  <c:v>44.742225659191888</c:v>
                </c:pt>
                <c:pt idx="261">
                  <c:v>43.846507047310268</c:v>
                </c:pt>
                <c:pt idx="262">
                  <c:v>43.011088723587591</c:v>
                </c:pt>
                <c:pt idx="263">
                  <c:v>42.834430467400367</c:v>
                </c:pt>
                <c:pt idx="264">
                  <c:v>40.785094756196912</c:v>
                </c:pt>
                <c:pt idx="265">
                  <c:v>39.053098739639026</c:v>
                </c:pt>
                <c:pt idx="266">
                  <c:v>37.751988911357927</c:v>
                </c:pt>
                <c:pt idx="267">
                  <c:v>37.685716241312974</c:v>
                </c:pt>
                <c:pt idx="268">
                  <c:v>36.952261188596843</c:v>
                </c:pt>
                <c:pt idx="269">
                  <c:v>37.172034822455416</c:v>
                </c:pt>
                <c:pt idx="270">
                  <c:v>35.41293152575718</c:v>
                </c:pt>
                <c:pt idx="271">
                  <c:v>34.556570889752066</c:v>
                </c:pt>
                <c:pt idx="272">
                  <c:v>33.421896326191899</c:v>
                </c:pt>
                <c:pt idx="273">
                  <c:v>31.473544382104496</c:v>
                </c:pt>
                <c:pt idx="274">
                  <c:v>30.584413395533833</c:v>
                </c:pt>
                <c:pt idx="275">
                  <c:v>30.022406190945251</c:v>
                </c:pt>
                <c:pt idx="276">
                  <c:v>29.931993075618159</c:v>
                </c:pt>
                <c:pt idx="277">
                  <c:v>28.954172852784136</c:v>
                </c:pt>
                <c:pt idx="278">
                  <c:v>27.822185219396257</c:v>
                </c:pt>
                <c:pt idx="279">
                  <c:v>26.7724913569152</c:v>
                </c:pt>
                <c:pt idx="280">
                  <c:v>26.520166197097851</c:v>
                </c:pt>
                <c:pt idx="281">
                  <c:v>25.422580228456766</c:v>
                </c:pt>
                <c:pt idx="282">
                  <c:v>25.145587426319661</c:v>
                </c:pt>
                <c:pt idx="283">
                  <c:v>22.403430622070406</c:v>
                </c:pt>
                <c:pt idx="284">
                  <c:v>18.99927141871019</c:v>
                </c:pt>
                <c:pt idx="285">
                  <c:v>18.839657422290792</c:v>
                </c:pt>
                <c:pt idx="286">
                  <c:v>18.915548604126236</c:v>
                </c:pt>
                <c:pt idx="287">
                  <c:v>16.992163969476216</c:v>
                </c:pt>
                <c:pt idx="288">
                  <c:v>19.099875445108523</c:v>
                </c:pt>
                <c:pt idx="289">
                  <c:v>19.40340686535118</c:v>
                </c:pt>
                <c:pt idx="290">
                  <c:v>18.780421077310656</c:v>
                </c:pt>
                <c:pt idx="291">
                  <c:v>16.259595046154413</c:v>
                </c:pt>
                <c:pt idx="292">
                  <c:v>16.666175410957781</c:v>
                </c:pt>
                <c:pt idx="293">
                  <c:v>14.434451361867861</c:v>
                </c:pt>
                <c:pt idx="294">
                  <c:v>13.947849677105998</c:v>
                </c:pt>
                <c:pt idx="295">
                  <c:v>13.069599011702222</c:v>
                </c:pt>
                <c:pt idx="296">
                  <c:v>13.567779285487774</c:v>
                </c:pt>
                <c:pt idx="297">
                  <c:v>13.009616837839674</c:v>
                </c:pt>
                <c:pt idx="298">
                  <c:v>12.167242682716331</c:v>
                </c:pt>
                <c:pt idx="299">
                  <c:v>13.347079139597115</c:v>
                </c:pt>
                <c:pt idx="300">
                  <c:v>11.622439910023848</c:v>
                </c:pt>
                <c:pt idx="301">
                  <c:v>10.182699656991376</c:v>
                </c:pt>
                <c:pt idx="302">
                  <c:v>9.5255716207398979</c:v>
                </c:pt>
                <c:pt idx="303">
                  <c:v>9.6204226402309363</c:v>
                </c:pt>
                <c:pt idx="304">
                  <c:v>8.2404118641858268</c:v>
                </c:pt>
                <c:pt idx="305">
                  <c:v>7.0222325940056232</c:v>
                </c:pt>
                <c:pt idx="306">
                  <c:v>6.6814867654963281</c:v>
                </c:pt>
                <c:pt idx="307">
                  <c:v>8.6607582557426266</c:v>
                </c:pt>
                <c:pt idx="308">
                  <c:v>9.3764987939041955</c:v>
                </c:pt>
                <c:pt idx="309">
                  <c:v>8.4509789348498749</c:v>
                </c:pt>
                <c:pt idx="310">
                  <c:v>9.1335471157360875</c:v>
                </c:pt>
                <c:pt idx="311">
                  <c:v>6.7049158411046594</c:v>
                </c:pt>
                <c:pt idx="312">
                  <c:v>6.6854802433222158</c:v>
                </c:pt>
                <c:pt idx="313">
                  <c:v>6.1603431599670513</c:v>
                </c:pt>
                <c:pt idx="314">
                  <c:v>6.5474946613416947</c:v>
                </c:pt>
                <c:pt idx="315">
                  <c:v>7.8234171337487748</c:v>
                </c:pt>
                <c:pt idx="316">
                  <c:v>7.3504066714722498</c:v>
                </c:pt>
                <c:pt idx="317">
                  <c:v>6.6060815709564764</c:v>
                </c:pt>
                <c:pt idx="318">
                  <c:v>6.5018391084527405</c:v>
                </c:pt>
                <c:pt idx="319">
                  <c:v>6.7606658051674247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'240814B002'!$A$2:$A$321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'240814B002'!$J$2:$J$321</c:f>
              <c:numCache>
                <c:formatCode>0.0</c:formatCode>
                <c:ptCount val="320"/>
                <c:pt idx="0">
                  <c:v>979.48002619674003</c:v>
                </c:pt>
                <c:pt idx="1">
                  <c:v>982.09119552272</c:v>
                </c:pt>
                <c:pt idx="2">
                  <c:v>977.24410200121008</c:v>
                </c:pt>
                <c:pt idx="3">
                  <c:v>960.22782329122003</c:v>
                </c:pt>
                <c:pt idx="4">
                  <c:v>988.59744208963002</c:v>
                </c:pt>
                <c:pt idx="5">
                  <c:v>1007.2557597201601</c:v>
                </c:pt>
                <c:pt idx="6">
                  <c:v>1030.64235265406</c:v>
                </c:pt>
                <c:pt idx="7">
                  <c:v>1138.88912851999</c:v>
                </c:pt>
                <c:pt idx="8">
                  <c:v>1198.55186598508</c:v>
                </c:pt>
                <c:pt idx="9">
                  <c:v>1255.9842153262798</c:v>
                </c:pt>
                <c:pt idx="10">
                  <c:v>1254.3028217671899</c:v>
                </c:pt>
                <c:pt idx="11">
                  <c:v>1278.9789336459899</c:v>
                </c:pt>
                <c:pt idx="12">
                  <c:v>1255.4900378739899</c:v>
                </c:pt>
                <c:pt idx="13">
                  <c:v>1293.15170456845</c:v>
                </c:pt>
                <c:pt idx="14">
                  <c:v>1259.0968104089402</c:v>
                </c:pt>
                <c:pt idx="15">
                  <c:v>1252.0320687672099</c:v>
                </c:pt>
                <c:pt idx="16">
                  <c:v>1281.6405864056201</c:v>
                </c:pt>
                <c:pt idx="17">
                  <c:v>1282.56070133713</c:v>
                </c:pt>
                <c:pt idx="18">
                  <c:v>1236.13286102302</c:v>
                </c:pt>
                <c:pt idx="19">
                  <c:v>1247.8456346749201</c:v>
                </c:pt>
                <c:pt idx="20">
                  <c:v>1289.3547324533299</c:v>
                </c:pt>
                <c:pt idx="21">
                  <c:v>1291.4461221598799</c:v>
                </c:pt>
                <c:pt idx="22">
                  <c:v>1263.68654920411</c:v>
                </c:pt>
                <c:pt idx="23">
                  <c:v>1246.43274326196</c:v>
                </c:pt>
                <c:pt idx="24">
                  <c:v>1245.9516161798799</c:v>
                </c:pt>
                <c:pt idx="25">
                  <c:v>1251.61918790193</c:v>
                </c:pt>
                <c:pt idx="26">
                  <c:v>1287.1386330078901</c:v>
                </c:pt>
                <c:pt idx="27">
                  <c:v>1243.2957413772399</c:v>
                </c:pt>
                <c:pt idx="28">
                  <c:v>1257.6088609272499</c:v>
                </c:pt>
                <c:pt idx="29">
                  <c:v>1264.8229082032501</c:v>
                </c:pt>
                <c:pt idx="30">
                  <c:v>1259.62693498456</c:v>
                </c:pt>
                <c:pt idx="31">
                  <c:v>1246.4489164087099</c:v>
                </c:pt>
                <c:pt idx="32">
                  <c:v>1215.8382352941098</c:v>
                </c:pt>
                <c:pt idx="33">
                  <c:v>1226.1429557598401</c:v>
                </c:pt>
                <c:pt idx="34">
                  <c:v>1272.46606591712</c:v>
                </c:pt>
                <c:pt idx="35">
                  <c:v>1209.7901153000198</c:v>
                </c:pt>
                <c:pt idx="36">
                  <c:v>1231.08793953072</c:v>
                </c:pt>
                <c:pt idx="37">
                  <c:v>1258.32791776555</c:v>
                </c:pt>
                <c:pt idx="38">
                  <c:v>1258.38542263882</c:v>
                </c:pt>
                <c:pt idx="39">
                  <c:v>1292.2994902151599</c:v>
                </c:pt>
                <c:pt idx="40">
                  <c:v>1241.29732011336</c:v>
                </c:pt>
                <c:pt idx="41">
                  <c:v>1244.1138098105198</c:v>
                </c:pt>
                <c:pt idx="42">
                  <c:v>1240.6027658650801</c:v>
                </c:pt>
                <c:pt idx="43">
                  <c:v>1280.39746669085</c:v>
                </c:pt>
                <c:pt idx="44">
                  <c:v>1222.44630826966</c:v>
                </c:pt>
                <c:pt idx="45">
                  <c:v>1224.0547128417602</c:v>
                </c:pt>
                <c:pt idx="46">
                  <c:v>1226.8247622009599</c:v>
                </c:pt>
                <c:pt idx="47">
                  <c:v>1262.77215564726</c:v>
                </c:pt>
                <c:pt idx="48">
                  <c:v>1265.75511323004</c:v>
                </c:pt>
                <c:pt idx="49">
                  <c:v>1250.66762282324</c:v>
                </c:pt>
                <c:pt idx="50">
                  <c:v>1245.75786577146</c:v>
                </c:pt>
                <c:pt idx="51">
                  <c:v>1240.8130353853401</c:v>
                </c:pt>
                <c:pt idx="52">
                  <c:v>1210.07974887671</c:v>
                </c:pt>
                <c:pt idx="53">
                  <c:v>1237.0607802955301</c:v>
                </c:pt>
                <c:pt idx="54">
                  <c:v>1301.20678166569</c:v>
                </c:pt>
                <c:pt idx="55">
                  <c:v>1225.8593007357902</c:v>
                </c:pt>
                <c:pt idx="56">
                  <c:v>1240.17261973016</c:v>
                </c:pt>
                <c:pt idx="57">
                  <c:v>1273.5763717855998</c:v>
                </c:pt>
                <c:pt idx="58">
                  <c:v>1216.3958570652201</c:v>
                </c:pt>
                <c:pt idx="59">
                  <c:v>1248.46570740885</c:v>
                </c:pt>
                <c:pt idx="60">
                  <c:v>1259.3614587000102</c:v>
                </c:pt>
                <c:pt idx="61">
                  <c:v>1262.65209726578</c:v>
                </c:pt>
                <c:pt idx="62">
                  <c:v>1257.18831335199</c:v>
                </c:pt>
                <c:pt idx="63">
                  <c:v>1272.8587613944401</c:v>
                </c:pt>
                <c:pt idx="64">
                  <c:v>1208.39941009125</c:v>
                </c:pt>
                <c:pt idx="65">
                  <c:v>1209.4513993136102</c:v>
                </c:pt>
                <c:pt idx="66">
                  <c:v>1180.0775820552001</c:v>
                </c:pt>
                <c:pt idx="67">
                  <c:v>1173.27532353534</c:v>
                </c:pt>
                <c:pt idx="68">
                  <c:v>1228.0482365268399</c:v>
                </c:pt>
                <c:pt idx="69">
                  <c:v>1228.797712629</c:v>
                </c:pt>
                <c:pt idx="70">
                  <c:v>1218.3525491536202</c:v>
                </c:pt>
                <c:pt idx="71">
                  <c:v>1187.0671917402101</c:v>
                </c:pt>
                <c:pt idx="72">
                  <c:v>1188.63653441006</c:v>
                </c:pt>
                <c:pt idx="73">
                  <c:v>1214.0272580687601</c:v>
                </c:pt>
                <c:pt idx="74">
                  <c:v>1202.82827482329</c:v>
                </c:pt>
                <c:pt idx="75">
                  <c:v>1192.6105307318198</c:v>
                </c:pt>
                <c:pt idx="76">
                  <c:v>1202.8606811145701</c:v>
                </c:pt>
                <c:pt idx="77">
                  <c:v>1233.8328173374498</c:v>
                </c:pt>
                <c:pt idx="78">
                  <c:v>1209.7375398317699</c:v>
                </c:pt>
                <c:pt idx="79">
                  <c:v>1179.1549804558899</c:v>
                </c:pt>
                <c:pt idx="80">
                  <c:v>1193.5132465199702</c:v>
                </c:pt>
                <c:pt idx="81">
                  <c:v>1263.7105073801699</c:v>
                </c:pt>
                <c:pt idx="82">
                  <c:v>1258.4469581685998</c:v>
                </c:pt>
                <c:pt idx="83">
                  <c:v>1269.3777888821701</c:v>
                </c:pt>
                <c:pt idx="84">
                  <c:v>1213.82670344179</c:v>
                </c:pt>
                <c:pt idx="85">
                  <c:v>1205.4989290502199</c:v>
                </c:pt>
                <c:pt idx="86">
                  <c:v>1199.0642045156201</c:v>
                </c:pt>
                <c:pt idx="87">
                  <c:v>1195.7818293815801</c:v>
                </c:pt>
                <c:pt idx="88">
                  <c:v>1167.7874543124101</c:v>
                </c:pt>
                <c:pt idx="89">
                  <c:v>1135.9422503425199</c:v>
                </c:pt>
                <c:pt idx="90">
                  <c:v>1146.9383785550599</c:v>
                </c:pt>
                <c:pt idx="91">
                  <c:v>1135.9640977699401</c:v>
                </c:pt>
                <c:pt idx="92">
                  <c:v>1125.59172631005</c:v>
                </c:pt>
                <c:pt idx="93">
                  <c:v>1099.30196543182</c:v>
                </c:pt>
                <c:pt idx="94">
                  <c:v>1109.0138401294701</c:v>
                </c:pt>
                <c:pt idx="95">
                  <c:v>1084.7820614571799</c:v>
                </c:pt>
                <c:pt idx="96">
                  <c:v>1073.3026601791698</c:v>
                </c:pt>
                <c:pt idx="97">
                  <c:v>1063.9880302066301</c:v>
                </c:pt>
                <c:pt idx="98">
                  <c:v>1071.6091331269802</c:v>
                </c:pt>
                <c:pt idx="99">
                  <c:v>1061.33978328172</c:v>
                </c:pt>
                <c:pt idx="100">
                  <c:v>1027.03482972132</c:v>
                </c:pt>
                <c:pt idx="101">
                  <c:v>1023.59442724455</c:v>
                </c:pt>
                <c:pt idx="102">
                  <c:v>1018.3478616559</c:v>
                </c:pt>
                <c:pt idx="103">
                  <c:v>1012.3556313858601</c:v>
                </c:pt>
                <c:pt idx="104">
                  <c:v>1007.7108683269499</c:v>
                </c:pt>
                <c:pt idx="105">
                  <c:v>991.48574870440984</c:v>
                </c:pt>
                <c:pt idx="106">
                  <c:v>1007.07706322584</c:v>
                </c:pt>
                <c:pt idx="107">
                  <c:v>969.09374895322003</c:v>
                </c:pt>
                <c:pt idx="108">
                  <c:v>975.06363815548991</c:v>
                </c:pt>
                <c:pt idx="109">
                  <c:v>992.72490529394008</c:v>
                </c:pt>
                <c:pt idx="110">
                  <c:v>1015.5730606888299</c:v>
                </c:pt>
                <c:pt idx="111">
                  <c:v>984.81578947370008</c:v>
                </c:pt>
                <c:pt idx="112">
                  <c:v>962.66047551130987</c:v>
                </c:pt>
                <c:pt idx="113">
                  <c:v>993.62396780947995</c:v>
                </c:pt>
                <c:pt idx="114">
                  <c:v>980.56125642208008</c:v>
                </c:pt>
                <c:pt idx="115">
                  <c:v>987.18722487167997</c:v>
                </c:pt>
                <c:pt idx="116">
                  <c:v>981.73185825295002</c:v>
                </c:pt>
                <c:pt idx="117">
                  <c:v>986.85384635571006</c:v>
                </c:pt>
                <c:pt idx="118">
                  <c:v>985.28649816097993</c:v>
                </c:pt>
                <c:pt idx="119">
                  <c:v>985.83807787165995</c:v>
                </c:pt>
                <c:pt idx="120">
                  <c:v>1006.68405715427</c:v>
                </c:pt>
                <c:pt idx="121">
                  <c:v>1045.3673082135601</c:v>
                </c:pt>
                <c:pt idx="122">
                  <c:v>1026.2648283422</c:v>
                </c:pt>
                <c:pt idx="123">
                  <c:v>1027.2323657815998</c:v>
                </c:pt>
                <c:pt idx="124">
                  <c:v>1019.5269506783701</c:v>
                </c:pt>
                <c:pt idx="125">
                  <c:v>1024.2788422669901</c:v>
                </c:pt>
                <c:pt idx="126">
                  <c:v>1008.5681613135599</c:v>
                </c:pt>
                <c:pt idx="127">
                  <c:v>1006.723190374</c:v>
                </c:pt>
                <c:pt idx="128">
                  <c:v>1008.8573595890301</c:v>
                </c:pt>
                <c:pt idx="129">
                  <c:v>991.31128084109002</c:v>
                </c:pt>
                <c:pt idx="130">
                  <c:v>1083.79795736807</c:v>
                </c:pt>
                <c:pt idx="131">
                  <c:v>1158.8115500850199</c:v>
                </c:pt>
                <c:pt idx="132">
                  <c:v>1159.96216116201</c:v>
                </c:pt>
                <c:pt idx="133">
                  <c:v>1168.5434006344099</c:v>
                </c:pt>
                <c:pt idx="134">
                  <c:v>1096.83498974342</c:v>
                </c:pt>
                <c:pt idx="135">
                  <c:v>1042.5715688652701</c:v>
                </c:pt>
                <c:pt idx="136">
                  <c:v>1127.4982565893099</c:v>
                </c:pt>
                <c:pt idx="137">
                  <c:v>1152.7462635194502</c:v>
                </c:pt>
                <c:pt idx="138">
                  <c:v>1181.97981570208</c:v>
                </c:pt>
                <c:pt idx="139">
                  <c:v>1121.5349882143698</c:v>
                </c:pt>
                <c:pt idx="140">
                  <c:v>1114.7427269530499</c:v>
                </c:pt>
                <c:pt idx="141">
                  <c:v>1120.5913710069899</c:v>
                </c:pt>
                <c:pt idx="142">
                  <c:v>1152.3317766135001</c:v>
                </c:pt>
                <c:pt idx="143">
                  <c:v>1173.9686353893901</c:v>
                </c:pt>
                <c:pt idx="144">
                  <c:v>1124.85181644819</c:v>
                </c:pt>
                <c:pt idx="145">
                  <c:v>1091.38321491584</c:v>
                </c:pt>
                <c:pt idx="146">
                  <c:v>1126.9580570779801</c:v>
                </c:pt>
                <c:pt idx="147">
                  <c:v>1162.6267272692301</c:v>
                </c:pt>
                <c:pt idx="148">
                  <c:v>1138.2154819177399</c:v>
                </c:pt>
                <c:pt idx="149">
                  <c:v>1093.21082382335</c:v>
                </c:pt>
                <c:pt idx="150">
                  <c:v>1068.86517454572</c:v>
                </c:pt>
                <c:pt idx="151">
                  <c:v>1132.1536303114799</c:v>
                </c:pt>
                <c:pt idx="152">
                  <c:v>1158.26971864098</c:v>
                </c:pt>
                <c:pt idx="153">
                  <c:v>1145.3874021020599</c:v>
                </c:pt>
                <c:pt idx="154">
                  <c:v>1182.9303399605101</c:v>
                </c:pt>
                <c:pt idx="155">
                  <c:v>1133.8600163273202</c:v>
                </c:pt>
                <c:pt idx="156">
                  <c:v>1149.4742375771</c:v>
                </c:pt>
                <c:pt idx="157">
                  <c:v>1117.33489477484</c:v>
                </c:pt>
                <c:pt idx="158">
                  <c:v>1122.31458337295</c:v>
                </c:pt>
                <c:pt idx="159">
                  <c:v>1124.6709837793699</c:v>
                </c:pt>
                <c:pt idx="160">
                  <c:v>1136.6035342366999</c:v>
                </c:pt>
                <c:pt idx="161">
                  <c:v>1102.6705079692399</c:v>
                </c:pt>
                <c:pt idx="162">
                  <c:v>1100.81600447201</c:v>
                </c:pt>
                <c:pt idx="163">
                  <c:v>1191.1176183924301</c:v>
                </c:pt>
                <c:pt idx="164">
                  <c:v>1102.8412706339102</c:v>
                </c:pt>
                <c:pt idx="165">
                  <c:v>1080.26131052653</c:v>
                </c:pt>
                <c:pt idx="166">
                  <c:v>1181.6818885448999</c:v>
                </c:pt>
                <c:pt idx="167">
                  <c:v>1190.9381157584501</c:v>
                </c:pt>
                <c:pt idx="168">
                  <c:v>1221.43599997605</c:v>
                </c:pt>
                <c:pt idx="169">
                  <c:v>1224.7732574680099</c:v>
                </c:pt>
                <c:pt idx="170">
                  <c:v>1198.8880751162301</c:v>
                </c:pt>
                <c:pt idx="171">
                  <c:v>1182.34753038644</c:v>
                </c:pt>
                <c:pt idx="172">
                  <c:v>1183.6835941868999</c:v>
                </c:pt>
                <c:pt idx="173">
                  <c:v>1201.87557472148</c:v>
                </c:pt>
                <c:pt idx="174">
                  <c:v>1236.0461322813201</c:v>
                </c:pt>
                <c:pt idx="175">
                  <c:v>1241.67812872337</c:v>
                </c:pt>
                <c:pt idx="176">
                  <c:v>1185.3874391862</c:v>
                </c:pt>
                <c:pt idx="177">
                  <c:v>1175.7681816878601</c:v>
                </c:pt>
                <c:pt idx="178">
                  <c:v>1099.6169300204501</c:v>
                </c:pt>
                <c:pt idx="179">
                  <c:v>1079.18339353286</c:v>
                </c:pt>
                <c:pt idx="180">
                  <c:v>1063.8469857241</c:v>
                </c:pt>
                <c:pt idx="181">
                  <c:v>1062.7573314413</c:v>
                </c:pt>
                <c:pt idx="182">
                  <c:v>1059.47881550282</c:v>
                </c:pt>
                <c:pt idx="183">
                  <c:v>1049.2026048235998</c:v>
                </c:pt>
                <c:pt idx="184">
                  <c:v>1015.75783071519</c:v>
                </c:pt>
                <c:pt idx="185">
                  <c:v>1074.40030564679</c:v>
                </c:pt>
                <c:pt idx="186">
                  <c:v>1118.2088799289299</c:v>
                </c:pt>
                <c:pt idx="187">
                  <c:v>1188.2169526656301</c:v>
                </c:pt>
                <c:pt idx="188">
                  <c:v>1207.5510871719</c:v>
                </c:pt>
                <c:pt idx="189">
                  <c:v>1202.74504691523</c:v>
                </c:pt>
                <c:pt idx="190">
                  <c:v>1220.71436061688</c:v>
                </c:pt>
                <c:pt idx="191">
                  <c:v>1180.7593414275698</c:v>
                </c:pt>
                <c:pt idx="192">
                  <c:v>1226.29530927629</c:v>
                </c:pt>
                <c:pt idx="193">
                  <c:v>1227.5635097317299</c:v>
                </c:pt>
                <c:pt idx="194">
                  <c:v>1241.7910764046899</c:v>
                </c:pt>
                <c:pt idx="195">
                  <c:v>1232.55718689842</c:v>
                </c:pt>
                <c:pt idx="196">
                  <c:v>1252.16064030289</c:v>
                </c:pt>
                <c:pt idx="197">
                  <c:v>1237.5318491610499</c:v>
                </c:pt>
                <c:pt idx="198">
                  <c:v>1191.9690705887599</c:v>
                </c:pt>
                <c:pt idx="199">
                  <c:v>1246.86277345602</c:v>
                </c:pt>
                <c:pt idx="200">
                  <c:v>1171.71376804702</c:v>
                </c:pt>
                <c:pt idx="201">
                  <c:v>1224.9814223500298</c:v>
                </c:pt>
                <c:pt idx="202">
                  <c:v>1205.59093378069</c:v>
                </c:pt>
                <c:pt idx="203">
                  <c:v>1254.8272243179501</c:v>
                </c:pt>
                <c:pt idx="204">
                  <c:v>1225.5563950350499</c:v>
                </c:pt>
                <c:pt idx="205">
                  <c:v>1179.0362475265201</c:v>
                </c:pt>
                <c:pt idx="206">
                  <c:v>1193.99654215757</c:v>
                </c:pt>
                <c:pt idx="207">
                  <c:v>1191.0903092389601</c:v>
                </c:pt>
                <c:pt idx="208">
                  <c:v>1169.3939628483001</c:v>
                </c:pt>
                <c:pt idx="209">
                  <c:v>1144.9292444114599</c:v>
                </c:pt>
                <c:pt idx="210">
                  <c:v>1185.85534862959</c:v>
                </c:pt>
                <c:pt idx="211">
                  <c:v>1229.05037844973</c:v>
                </c:pt>
                <c:pt idx="212">
                  <c:v>1250.35777032803</c:v>
                </c:pt>
                <c:pt idx="213">
                  <c:v>1242.62475545596</c:v>
                </c:pt>
                <c:pt idx="214">
                  <c:v>1223.9396516849702</c:v>
                </c:pt>
                <c:pt idx="215">
                  <c:v>1196.32990892511</c:v>
                </c:pt>
                <c:pt idx="216">
                  <c:v>1164.1098068655901</c:v>
                </c:pt>
                <c:pt idx="217">
                  <c:v>1212.0577624954699</c:v>
                </c:pt>
                <c:pt idx="218">
                  <c:v>1229.7043343653199</c:v>
                </c:pt>
                <c:pt idx="219">
                  <c:v>1244.2109237559198</c:v>
                </c:pt>
                <c:pt idx="220">
                  <c:v>1244.7333164649699</c:v>
                </c:pt>
                <c:pt idx="221">
                  <c:v>1183.53232751933</c:v>
                </c:pt>
                <c:pt idx="222">
                  <c:v>1181.6315789473601</c:v>
                </c:pt>
                <c:pt idx="223">
                  <c:v>1141.3048039849</c:v>
                </c:pt>
                <c:pt idx="224">
                  <c:v>1144.7335082974798</c:v>
                </c:pt>
                <c:pt idx="225">
                  <c:v>1164.80571678761</c:v>
                </c:pt>
                <c:pt idx="226">
                  <c:v>1190.1856516743098</c:v>
                </c:pt>
                <c:pt idx="227">
                  <c:v>1243.7494658017999</c:v>
                </c:pt>
                <c:pt idx="228">
                  <c:v>1212.06800003791</c:v>
                </c:pt>
                <c:pt idx="229">
                  <c:v>1227.50282098814</c:v>
                </c:pt>
                <c:pt idx="230">
                  <c:v>1167.98993808049</c:v>
                </c:pt>
                <c:pt idx="231">
                  <c:v>1173.7964396285201</c:v>
                </c:pt>
                <c:pt idx="232">
                  <c:v>1155.3568206423902</c:v>
                </c:pt>
                <c:pt idx="233">
                  <c:v>1136.5264226290901</c:v>
                </c:pt>
                <c:pt idx="234">
                  <c:v>1230.4680481770899</c:v>
                </c:pt>
                <c:pt idx="235">
                  <c:v>1172.85619028214</c:v>
                </c:pt>
                <c:pt idx="236">
                  <c:v>1144.3701693961</c:v>
                </c:pt>
                <c:pt idx="237">
                  <c:v>1173.0631936904899</c:v>
                </c:pt>
                <c:pt idx="238">
                  <c:v>1232.1219725989502</c:v>
                </c:pt>
                <c:pt idx="239">
                  <c:v>1252.2035520233301</c:v>
                </c:pt>
                <c:pt idx="240">
                  <c:v>1211.8652824396199</c:v>
                </c:pt>
                <c:pt idx="241">
                  <c:v>1218.9976431105899</c:v>
                </c:pt>
                <c:pt idx="242">
                  <c:v>1171.9591299972299</c:v>
                </c:pt>
                <c:pt idx="243">
                  <c:v>1224.0462723110199</c:v>
                </c:pt>
                <c:pt idx="244">
                  <c:v>1209.1291263841299</c:v>
                </c:pt>
                <c:pt idx="245">
                  <c:v>1190.7593476473999</c:v>
                </c:pt>
                <c:pt idx="246">
                  <c:v>1168.1902002301699</c:v>
                </c:pt>
                <c:pt idx="247">
                  <c:v>1155.97029612851</c:v>
                </c:pt>
                <c:pt idx="248">
                  <c:v>1138.3955429617599</c:v>
                </c:pt>
                <c:pt idx="249">
                  <c:v>1138.0893577629599</c:v>
                </c:pt>
                <c:pt idx="250">
                  <c:v>1188.3542556621301</c:v>
                </c:pt>
                <c:pt idx="251">
                  <c:v>1194.2953550888901</c:v>
                </c:pt>
                <c:pt idx="252">
                  <c:v>1158.96340926524</c:v>
                </c:pt>
                <c:pt idx="253">
                  <c:v>1158.8154154950701</c:v>
                </c:pt>
                <c:pt idx="254">
                  <c:v>1178.08171433712</c:v>
                </c:pt>
                <c:pt idx="255">
                  <c:v>1143.3148568939901</c:v>
                </c:pt>
                <c:pt idx="256">
                  <c:v>1112.48886111663</c:v>
                </c:pt>
                <c:pt idx="257">
                  <c:v>1090.29889995085</c:v>
                </c:pt>
                <c:pt idx="258">
                  <c:v>1139.99265123287</c:v>
                </c:pt>
                <c:pt idx="259">
                  <c:v>1164.4868534611801</c:v>
                </c:pt>
                <c:pt idx="260">
                  <c:v>1126.70100469778</c:v>
                </c:pt>
                <c:pt idx="261">
                  <c:v>1140.0088336899901</c:v>
                </c:pt>
                <c:pt idx="262">
                  <c:v>1156.4155599650499</c:v>
                </c:pt>
                <c:pt idx="263">
                  <c:v>1116.92537750729</c:v>
                </c:pt>
                <c:pt idx="264">
                  <c:v>1110.67693142592</c:v>
                </c:pt>
                <c:pt idx="265">
                  <c:v>1151.3433418739498</c:v>
                </c:pt>
                <c:pt idx="266">
                  <c:v>1127.98586707407</c:v>
                </c:pt>
                <c:pt idx="267">
                  <c:v>1091.2106871456901</c:v>
                </c:pt>
                <c:pt idx="268">
                  <c:v>1132.6408668730598</c:v>
                </c:pt>
                <c:pt idx="269">
                  <c:v>1165.7383900928899</c:v>
                </c:pt>
                <c:pt idx="270">
                  <c:v>1130.06733746127</c:v>
                </c:pt>
                <c:pt idx="271">
                  <c:v>1157.89189965623</c:v>
                </c:pt>
                <c:pt idx="272">
                  <c:v>1184.5849446333</c:v>
                </c:pt>
                <c:pt idx="273">
                  <c:v>1189.5481466884401</c:v>
                </c:pt>
                <c:pt idx="274">
                  <c:v>1179.3122329009002</c:v>
                </c:pt>
                <c:pt idx="275">
                  <c:v>1160.03603045769</c:v>
                </c:pt>
                <c:pt idx="276">
                  <c:v>1175.28463726883</c:v>
                </c:pt>
                <c:pt idx="277">
                  <c:v>1173.9571249268199</c:v>
                </c:pt>
                <c:pt idx="278">
                  <c:v>1118.6477453637399</c:v>
                </c:pt>
                <c:pt idx="279">
                  <c:v>1089.1223910455401</c:v>
                </c:pt>
                <c:pt idx="280">
                  <c:v>1052.6243629435698</c:v>
                </c:pt>
                <c:pt idx="281">
                  <c:v>1011.8095618004601</c:v>
                </c:pt>
                <c:pt idx="282">
                  <c:v>1003.70246303359</c:v>
                </c:pt>
                <c:pt idx="283">
                  <c:v>986.27230118224986</c:v>
                </c:pt>
                <c:pt idx="284">
                  <c:v>942.30705081461997</c:v>
                </c:pt>
                <c:pt idx="285">
                  <c:v>952.90537347420991</c:v>
                </c:pt>
                <c:pt idx="286">
                  <c:v>971.74545449155005</c:v>
                </c:pt>
                <c:pt idx="287">
                  <c:v>985.8536439984</c:v>
                </c:pt>
                <c:pt idx="288">
                  <c:v>962.46127006157008</c:v>
                </c:pt>
                <c:pt idx="289">
                  <c:v>963.62190254207007</c:v>
                </c:pt>
                <c:pt idx="290">
                  <c:v>956.1795991839</c:v>
                </c:pt>
                <c:pt idx="291">
                  <c:v>953.24003534869996</c:v>
                </c:pt>
                <c:pt idx="292">
                  <c:v>958.07497657258</c:v>
                </c:pt>
                <c:pt idx="293">
                  <c:v>964.25486578178015</c:v>
                </c:pt>
                <c:pt idx="294">
                  <c:v>923.73520732574991</c:v>
                </c:pt>
                <c:pt idx="295">
                  <c:v>887.81449829508006</c:v>
                </c:pt>
                <c:pt idx="296">
                  <c:v>944.41879584109006</c:v>
                </c:pt>
                <c:pt idx="297">
                  <c:v>934.30600491182986</c:v>
                </c:pt>
                <c:pt idx="298">
                  <c:v>926.89093087867013</c:v>
                </c:pt>
                <c:pt idx="299">
                  <c:v>927.51537675597001</c:v>
                </c:pt>
                <c:pt idx="300">
                  <c:v>925.06834969817987</c:v>
                </c:pt>
                <c:pt idx="301">
                  <c:v>928.90119785321997</c:v>
                </c:pt>
                <c:pt idx="302">
                  <c:v>911.94760903479005</c:v>
                </c:pt>
                <c:pt idx="303">
                  <c:v>907.83129661152998</c:v>
                </c:pt>
                <c:pt idx="304">
                  <c:v>923.38444971764989</c:v>
                </c:pt>
                <c:pt idx="305">
                  <c:v>902.14876208403984</c:v>
                </c:pt>
                <c:pt idx="306">
                  <c:v>896.75894182132015</c:v>
                </c:pt>
                <c:pt idx="307">
                  <c:v>905.88542758116989</c:v>
                </c:pt>
                <c:pt idx="308">
                  <c:v>904.29754668854002</c:v>
                </c:pt>
                <c:pt idx="309">
                  <c:v>887.43868854870004</c:v>
                </c:pt>
                <c:pt idx="310">
                  <c:v>906.75374669895007</c:v>
                </c:pt>
                <c:pt idx="311">
                  <c:v>888.84961051394998</c:v>
                </c:pt>
                <c:pt idx="312">
                  <c:v>889.53423707679997</c:v>
                </c:pt>
                <c:pt idx="313">
                  <c:v>886.73210568989998</c:v>
                </c:pt>
                <c:pt idx="314">
                  <c:v>880.67520351415988</c:v>
                </c:pt>
                <c:pt idx="315">
                  <c:v>919.62026974126002</c:v>
                </c:pt>
                <c:pt idx="316">
                  <c:v>930.82173410198993</c:v>
                </c:pt>
                <c:pt idx="317">
                  <c:v>928.45490255391996</c:v>
                </c:pt>
                <c:pt idx="318">
                  <c:v>929.15931224271992</c:v>
                </c:pt>
                <c:pt idx="319">
                  <c:v>927.21515070641988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D-064E-A0E3-E608B59F5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2-9A41-8A4E-64EAF75B560C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'240814B002'!$A$2:$A$321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'240814B002'!$P$2:$P$321</c:f>
              <c:numCache>
                <c:formatCode>General</c:formatCode>
                <c:ptCount val="320"/>
                <c:pt idx="0">
                  <c:v>-30.448462108249363</c:v>
                </c:pt>
                <c:pt idx="1">
                  <c:v>-29.740227095239792</c:v>
                </c:pt>
                <c:pt idx="2">
                  <c:v>-30.385848162050866</c:v>
                </c:pt>
                <c:pt idx="3">
                  <c:v>-26.403914520140958</c:v>
                </c:pt>
                <c:pt idx="4">
                  <c:v>-24.250605968780917</c:v>
                </c:pt>
                <c:pt idx="5">
                  <c:v>-21.87462203762966</c:v>
                </c:pt>
                <c:pt idx="6">
                  <c:v>-19.215254897950789</c:v>
                </c:pt>
                <c:pt idx="7">
                  <c:v>-20.190862091142247</c:v>
                </c:pt>
                <c:pt idx="8">
                  <c:v>-18.754754631755048</c:v>
                </c:pt>
                <c:pt idx="9">
                  <c:v>-13.487418619913417</c:v>
                </c:pt>
                <c:pt idx="10">
                  <c:v>-15.06367701221675</c:v>
                </c:pt>
                <c:pt idx="11">
                  <c:v>-14.304415903199565</c:v>
                </c:pt>
                <c:pt idx="12">
                  <c:v>-13.815933150909354</c:v>
                </c:pt>
                <c:pt idx="13">
                  <c:v>-11.865706675056002</c:v>
                </c:pt>
                <c:pt idx="14">
                  <c:v>-9.7771186484398083</c:v>
                </c:pt>
                <c:pt idx="15">
                  <c:v>-6.7090414202894033</c:v>
                </c:pt>
                <c:pt idx="16">
                  <c:v>-5.6659352661043556</c:v>
                </c:pt>
                <c:pt idx="17">
                  <c:v>-4.8794834483194949</c:v>
                </c:pt>
                <c:pt idx="18">
                  <c:v>-3.3792011454324351</c:v>
                </c:pt>
                <c:pt idx="19">
                  <c:v>-3.400498809398147</c:v>
                </c:pt>
                <c:pt idx="20">
                  <c:v>-2.8602932032062371</c:v>
                </c:pt>
                <c:pt idx="21">
                  <c:v>-2.1457299376580008</c:v>
                </c:pt>
                <c:pt idx="22">
                  <c:v>-1.6604356606915898</c:v>
                </c:pt>
                <c:pt idx="23">
                  <c:v>-0.57545914089411021</c:v>
                </c:pt>
                <c:pt idx="24">
                  <c:v>0.19710089527347355</c:v>
                </c:pt>
                <c:pt idx="25">
                  <c:v>-0.59506190690774508</c:v>
                </c:pt>
                <c:pt idx="26">
                  <c:v>0.56853186993350269</c:v>
                </c:pt>
                <c:pt idx="27">
                  <c:v>-0.33770524476994096</c:v>
                </c:pt>
                <c:pt idx="28">
                  <c:v>-1.8447189391779113</c:v>
                </c:pt>
                <c:pt idx="29">
                  <c:v>-1.6322227768672661</c:v>
                </c:pt>
                <c:pt idx="30">
                  <c:v>-0.962550452662011</c:v>
                </c:pt>
                <c:pt idx="31">
                  <c:v>-1.0021887564875407</c:v>
                </c:pt>
                <c:pt idx="32">
                  <c:v>5.675540356456861E-2</c:v>
                </c:pt>
                <c:pt idx="33">
                  <c:v>0.99650583550162197</c:v>
                </c:pt>
                <c:pt idx="34">
                  <c:v>0.30909532522165789</c:v>
                </c:pt>
                <c:pt idx="35">
                  <c:v>0.93203064628157173</c:v>
                </c:pt>
                <c:pt idx="36">
                  <c:v>0.27487126399386591</c:v>
                </c:pt>
                <c:pt idx="37">
                  <c:v>0.60734785752652132</c:v>
                </c:pt>
                <c:pt idx="38">
                  <c:v>1.5350391433324191</c:v>
                </c:pt>
                <c:pt idx="39">
                  <c:v>2.513449050964049</c:v>
                </c:pt>
                <c:pt idx="40">
                  <c:v>2.1292827969957409</c:v>
                </c:pt>
                <c:pt idx="41">
                  <c:v>1.461940308953035</c:v>
                </c:pt>
                <c:pt idx="42">
                  <c:v>0.38411166607115915</c:v>
                </c:pt>
                <c:pt idx="43">
                  <c:v>-7.4467703164331073E-3</c:v>
                </c:pt>
                <c:pt idx="44">
                  <c:v>0.13999978308161765</c:v>
                </c:pt>
                <c:pt idx="45">
                  <c:v>0.57713151735890533</c:v>
                </c:pt>
                <c:pt idx="46">
                  <c:v>0.93391972159091541</c:v>
                </c:pt>
                <c:pt idx="47">
                  <c:v>0.98872096388719044</c:v>
                </c:pt>
                <c:pt idx="48">
                  <c:v>0.51889021394683499</c:v>
                </c:pt>
                <c:pt idx="49">
                  <c:v>1.1838262312244889</c:v>
                </c:pt>
                <c:pt idx="50">
                  <c:v>0.53033527875767916</c:v>
                </c:pt>
                <c:pt idx="51">
                  <c:v>0.31932371980447671</c:v>
                </c:pt>
                <c:pt idx="52">
                  <c:v>1.1376557094758526</c:v>
                </c:pt>
                <c:pt idx="53">
                  <c:v>2.1994849039823219</c:v>
                </c:pt>
                <c:pt idx="54">
                  <c:v>2.8842680300758259</c:v>
                </c:pt>
                <c:pt idx="55">
                  <c:v>2.2733560322568089</c:v>
                </c:pt>
                <c:pt idx="56">
                  <c:v>2.9005871962758043</c:v>
                </c:pt>
                <c:pt idx="57">
                  <c:v>3.0326949062793478</c:v>
                </c:pt>
                <c:pt idx="58">
                  <c:v>4.6691990632304829</c:v>
                </c:pt>
                <c:pt idx="59">
                  <c:v>3.5385285132919497</c:v>
                </c:pt>
                <c:pt idx="60">
                  <c:v>2.8526736607705825</c:v>
                </c:pt>
                <c:pt idx="61">
                  <c:v>3.1327848765605135</c:v>
                </c:pt>
                <c:pt idx="62">
                  <c:v>2.7412513064696871</c:v>
                </c:pt>
                <c:pt idx="63">
                  <c:v>2.9042870391488731</c:v>
                </c:pt>
                <c:pt idx="64">
                  <c:v>2.6653605621910925</c:v>
                </c:pt>
                <c:pt idx="65">
                  <c:v>3.0768389309415021</c:v>
                </c:pt>
                <c:pt idx="66">
                  <c:v>2.7970808121427986</c:v>
                </c:pt>
                <c:pt idx="67">
                  <c:v>1.8531533901665727</c:v>
                </c:pt>
                <c:pt idx="68">
                  <c:v>0.89217821789381035</c:v>
                </c:pt>
                <c:pt idx="69">
                  <c:v>-0.62671474195212995</c:v>
                </c:pt>
                <c:pt idx="70">
                  <c:v>0.4304881334024066</c:v>
                </c:pt>
                <c:pt idx="71">
                  <c:v>-0.17924949011765104</c:v>
                </c:pt>
                <c:pt idx="72">
                  <c:v>-0.97546226937825586</c:v>
                </c:pt>
                <c:pt idx="73">
                  <c:v>-2.3274405981396131</c:v>
                </c:pt>
                <c:pt idx="74">
                  <c:v>-1.7434656271767903</c:v>
                </c:pt>
                <c:pt idx="75">
                  <c:v>-0.75361069508271705</c:v>
                </c:pt>
                <c:pt idx="76">
                  <c:v>-1.9547840872504108</c:v>
                </c:pt>
                <c:pt idx="77">
                  <c:v>-4.4699656967163994</c:v>
                </c:pt>
                <c:pt idx="78">
                  <c:v>-5.1269769696972762</c:v>
                </c:pt>
                <c:pt idx="79">
                  <c:v>-5.1884267541765947</c:v>
                </c:pt>
                <c:pt idx="80">
                  <c:v>-6.087147348370368</c:v>
                </c:pt>
                <c:pt idx="81">
                  <c:v>-7.3571642384306246</c:v>
                </c:pt>
                <c:pt idx="82">
                  <c:v>-7.6055267221237859</c:v>
                </c:pt>
                <c:pt idx="83">
                  <c:v>-5.8634004253195275</c:v>
                </c:pt>
                <c:pt idx="84">
                  <c:v>-6.1571670293442251</c:v>
                </c:pt>
                <c:pt idx="85">
                  <c:v>-5.8622179288807876</c:v>
                </c:pt>
                <c:pt idx="86">
                  <c:v>-8.1124905676586714</c:v>
                </c:pt>
                <c:pt idx="87">
                  <c:v>-9.1385816667862532</c:v>
                </c:pt>
                <c:pt idx="88">
                  <c:v>-10.439230029629664</c:v>
                </c:pt>
                <c:pt idx="89">
                  <c:v>-11.175387949691039</c:v>
                </c:pt>
                <c:pt idx="90">
                  <c:v>-12.346328315611576</c:v>
                </c:pt>
                <c:pt idx="91">
                  <c:v>-14.058136800713839</c:v>
                </c:pt>
                <c:pt idx="92">
                  <c:v>-14.882229124829049</c:v>
                </c:pt>
                <c:pt idx="93">
                  <c:v>-16.160246617906175</c:v>
                </c:pt>
                <c:pt idx="94">
                  <c:v>-17.221961646941228</c:v>
                </c:pt>
                <c:pt idx="95">
                  <c:v>-17.740185543193455</c:v>
                </c:pt>
                <c:pt idx="96">
                  <c:v>-19.388315290118872</c:v>
                </c:pt>
                <c:pt idx="97">
                  <c:v>-19.996571932000993</c:v>
                </c:pt>
                <c:pt idx="98">
                  <c:v>-21.088927497817693</c:v>
                </c:pt>
                <c:pt idx="99">
                  <c:v>-21.136542351023945</c:v>
                </c:pt>
                <c:pt idx="100">
                  <c:v>-22.045523498422153</c:v>
                </c:pt>
                <c:pt idx="101">
                  <c:v>-21.685992419526677</c:v>
                </c:pt>
                <c:pt idx="102">
                  <c:v>-22.376026658673066</c:v>
                </c:pt>
                <c:pt idx="103">
                  <c:v>-23.395324486733852</c:v>
                </c:pt>
                <c:pt idx="104">
                  <c:v>-23.530491496851166</c:v>
                </c:pt>
                <c:pt idx="105">
                  <c:v>-22.934859720098828</c:v>
                </c:pt>
                <c:pt idx="106">
                  <c:v>-24.400850014165439</c:v>
                </c:pt>
                <c:pt idx="107">
                  <c:v>-24.118233339619835</c:v>
                </c:pt>
                <c:pt idx="108">
                  <c:v>-24.097131681541153</c:v>
                </c:pt>
                <c:pt idx="109">
                  <c:v>-25.049208029746762</c:v>
                </c:pt>
                <c:pt idx="110">
                  <c:v>-26.138989442414999</c:v>
                </c:pt>
                <c:pt idx="111">
                  <c:v>-25.181772542525543</c:v>
                </c:pt>
                <c:pt idx="112">
                  <c:v>-24.686699941777096</c:v>
                </c:pt>
                <c:pt idx="113">
                  <c:v>-25.975283648569679</c:v>
                </c:pt>
                <c:pt idx="114">
                  <c:v>-26.170934145414726</c:v>
                </c:pt>
                <c:pt idx="115">
                  <c:v>-26.422006125990993</c:v>
                </c:pt>
                <c:pt idx="116">
                  <c:v>-25.879425982708799</c:v>
                </c:pt>
                <c:pt idx="117">
                  <c:v>-26.280609099797353</c:v>
                </c:pt>
                <c:pt idx="118">
                  <c:v>-26.872163367808373</c:v>
                </c:pt>
                <c:pt idx="119">
                  <c:v>-26.679213303579491</c:v>
                </c:pt>
                <c:pt idx="120">
                  <c:v>-28.007155592627353</c:v>
                </c:pt>
                <c:pt idx="121">
                  <c:v>-28.32312238678616</c:v>
                </c:pt>
                <c:pt idx="122">
                  <c:v>-27.990199810527667</c:v>
                </c:pt>
                <c:pt idx="123">
                  <c:v>-27.650151237838255</c:v>
                </c:pt>
                <c:pt idx="124">
                  <c:v>-27.631400481112429</c:v>
                </c:pt>
                <c:pt idx="125">
                  <c:v>-27.502747842581876</c:v>
                </c:pt>
                <c:pt idx="126">
                  <c:v>-27.009771598020336</c:v>
                </c:pt>
                <c:pt idx="127">
                  <c:v>-27.451570167018453</c:v>
                </c:pt>
                <c:pt idx="128">
                  <c:v>-26.642923635706179</c:v>
                </c:pt>
                <c:pt idx="129">
                  <c:v>-25.911216549990314</c:v>
                </c:pt>
                <c:pt idx="130">
                  <c:v>-28.102380881399085</c:v>
                </c:pt>
                <c:pt idx="131">
                  <c:v>-29.283897344565052</c:v>
                </c:pt>
                <c:pt idx="132">
                  <c:v>-29.492763963983109</c:v>
                </c:pt>
                <c:pt idx="133">
                  <c:v>-29.070668966376907</c:v>
                </c:pt>
                <c:pt idx="134">
                  <c:v>-28.455844585212098</c:v>
                </c:pt>
                <c:pt idx="135">
                  <c:v>-27.446813972231382</c:v>
                </c:pt>
                <c:pt idx="136">
                  <c:v>-29.613820737582952</c:v>
                </c:pt>
                <c:pt idx="137">
                  <c:v>-29.801835834284834</c:v>
                </c:pt>
                <c:pt idx="138">
                  <c:v>-29.996874644013538</c:v>
                </c:pt>
                <c:pt idx="139">
                  <c:v>-30.382894035190706</c:v>
                </c:pt>
                <c:pt idx="140">
                  <c:v>-30.237840804323891</c:v>
                </c:pt>
                <c:pt idx="141">
                  <c:v>-30.90188249276072</c:v>
                </c:pt>
                <c:pt idx="142">
                  <c:v>-30.665117202324986</c:v>
                </c:pt>
                <c:pt idx="143">
                  <c:v>-30.930031438763844</c:v>
                </c:pt>
                <c:pt idx="144">
                  <c:v>-30.895042247993608</c:v>
                </c:pt>
                <c:pt idx="145">
                  <c:v>-30.41198295303381</c:v>
                </c:pt>
                <c:pt idx="146">
                  <c:v>-30.521036844367273</c:v>
                </c:pt>
                <c:pt idx="147">
                  <c:v>-30.672167068420126</c:v>
                </c:pt>
                <c:pt idx="148">
                  <c:v>-30.483360703895791</c:v>
                </c:pt>
                <c:pt idx="149">
                  <c:v>-30.379058064203303</c:v>
                </c:pt>
                <c:pt idx="150">
                  <c:v>-30.247745705590283</c:v>
                </c:pt>
                <c:pt idx="151">
                  <c:v>-30.784247742028576</c:v>
                </c:pt>
                <c:pt idx="152">
                  <c:v>-30.949590767277009</c:v>
                </c:pt>
                <c:pt idx="153">
                  <c:v>-31.108995717710325</c:v>
                </c:pt>
                <c:pt idx="154">
                  <c:v>-31.050626319132114</c:v>
                </c:pt>
                <c:pt idx="155">
                  <c:v>-30.559934073709254</c:v>
                </c:pt>
                <c:pt idx="156">
                  <c:v>-30.064141999225001</c:v>
                </c:pt>
                <c:pt idx="157">
                  <c:v>-29.61631890418175</c:v>
                </c:pt>
                <c:pt idx="158">
                  <c:v>-29.220787706631789</c:v>
                </c:pt>
                <c:pt idx="159">
                  <c:v>-28.789331445494149</c:v>
                </c:pt>
                <c:pt idx="160">
                  <c:v>-30.353076263924955</c:v>
                </c:pt>
                <c:pt idx="161">
                  <c:v>-30.09799114379171</c:v>
                </c:pt>
                <c:pt idx="162">
                  <c:v>-29.826320762333431</c:v>
                </c:pt>
                <c:pt idx="163">
                  <c:v>-20.012719117806913</c:v>
                </c:pt>
                <c:pt idx="164">
                  <c:v>-13.314684543012097</c:v>
                </c:pt>
                <c:pt idx="165">
                  <c:v>-9.7542268618140113</c:v>
                </c:pt>
                <c:pt idx="166">
                  <c:v>-3.4229915536476661</c:v>
                </c:pt>
                <c:pt idx="167">
                  <c:v>-2.7186033607588627</c:v>
                </c:pt>
                <c:pt idx="168">
                  <c:v>3.1633278338610173</c:v>
                </c:pt>
                <c:pt idx="169">
                  <c:v>7.4814772904850555</c:v>
                </c:pt>
                <c:pt idx="170">
                  <c:v>8.3677730973322628</c:v>
                </c:pt>
                <c:pt idx="171">
                  <c:v>8.823615082419197</c:v>
                </c:pt>
                <c:pt idx="172">
                  <c:v>13.841739659062258</c:v>
                </c:pt>
                <c:pt idx="173">
                  <c:v>17.580079359737695</c:v>
                </c:pt>
                <c:pt idx="174">
                  <c:v>21.727370248460041</c:v>
                </c:pt>
                <c:pt idx="175">
                  <c:v>22.092976444400165</c:v>
                </c:pt>
                <c:pt idx="176">
                  <c:v>20.70691570425954</c:v>
                </c:pt>
                <c:pt idx="177">
                  <c:v>21.888957729830647</c:v>
                </c:pt>
                <c:pt idx="178">
                  <c:v>23.500559628446556</c:v>
                </c:pt>
                <c:pt idx="179">
                  <c:v>25.856402401922534</c:v>
                </c:pt>
                <c:pt idx="180">
                  <c:v>26.727758380744877</c:v>
                </c:pt>
                <c:pt idx="181">
                  <c:v>28.43869416714077</c:v>
                </c:pt>
                <c:pt idx="182">
                  <c:v>30.527282549742985</c:v>
                </c:pt>
                <c:pt idx="183">
                  <c:v>30.733496165126727</c:v>
                </c:pt>
                <c:pt idx="184">
                  <c:v>32.324296501217688</c:v>
                </c:pt>
                <c:pt idx="185">
                  <c:v>30.194688846061581</c:v>
                </c:pt>
                <c:pt idx="186">
                  <c:v>31.817813909430075</c:v>
                </c:pt>
                <c:pt idx="187">
                  <c:v>29.256384596252193</c:v>
                </c:pt>
                <c:pt idx="188">
                  <c:v>30.36434070560939</c:v>
                </c:pt>
                <c:pt idx="189">
                  <c:v>29.386097632288788</c:v>
                </c:pt>
                <c:pt idx="190">
                  <c:v>30.089074222081596</c:v>
                </c:pt>
                <c:pt idx="191">
                  <c:v>28.280293177253039</c:v>
                </c:pt>
                <c:pt idx="192">
                  <c:v>28.022989194111624</c:v>
                </c:pt>
                <c:pt idx="193">
                  <c:v>28.63336754965886</c:v>
                </c:pt>
                <c:pt idx="194">
                  <c:v>27.793694525223433</c:v>
                </c:pt>
                <c:pt idx="195">
                  <c:v>27.195344540202949</c:v>
                </c:pt>
                <c:pt idx="196">
                  <c:v>27.542783031479225</c:v>
                </c:pt>
                <c:pt idx="197">
                  <c:v>24.406213956652685</c:v>
                </c:pt>
                <c:pt idx="198">
                  <c:v>21.953033738187241</c:v>
                </c:pt>
                <c:pt idx="199">
                  <c:v>23.400206744903109</c:v>
                </c:pt>
                <c:pt idx="200">
                  <c:v>21.379405512032008</c:v>
                </c:pt>
                <c:pt idx="201">
                  <c:v>22.440558914643482</c:v>
                </c:pt>
                <c:pt idx="202">
                  <c:v>23.489773141409355</c:v>
                </c:pt>
                <c:pt idx="203">
                  <c:v>25.569476604267592</c:v>
                </c:pt>
                <c:pt idx="204">
                  <c:v>23.91001068474317</c:v>
                </c:pt>
                <c:pt idx="205">
                  <c:v>23.659754269507722</c:v>
                </c:pt>
                <c:pt idx="206">
                  <c:v>25.577337149225915</c:v>
                </c:pt>
                <c:pt idx="207">
                  <c:v>27.581472668564444</c:v>
                </c:pt>
                <c:pt idx="208">
                  <c:v>27.244855417883919</c:v>
                </c:pt>
                <c:pt idx="209">
                  <c:v>27.93895144364787</c:v>
                </c:pt>
                <c:pt idx="210">
                  <c:v>27.257321127795432</c:v>
                </c:pt>
                <c:pt idx="211">
                  <c:v>28.382009205402802</c:v>
                </c:pt>
                <c:pt idx="212">
                  <c:v>29.970066167021141</c:v>
                </c:pt>
                <c:pt idx="213">
                  <c:v>28.055783745660921</c:v>
                </c:pt>
                <c:pt idx="214">
                  <c:v>27.472900678258561</c:v>
                </c:pt>
                <c:pt idx="215">
                  <c:v>26.853237278144558</c:v>
                </c:pt>
                <c:pt idx="216">
                  <c:v>27.556229940488997</c:v>
                </c:pt>
                <c:pt idx="217">
                  <c:v>27.540046001827811</c:v>
                </c:pt>
                <c:pt idx="218">
                  <c:v>26.636980518392299</c:v>
                </c:pt>
                <c:pt idx="219">
                  <c:v>25.109420184863485</c:v>
                </c:pt>
                <c:pt idx="220">
                  <c:v>24.934050292185212</c:v>
                </c:pt>
                <c:pt idx="221">
                  <c:v>22.201670612759301</c:v>
                </c:pt>
                <c:pt idx="222">
                  <c:v>21.171885840739048</c:v>
                </c:pt>
                <c:pt idx="223">
                  <c:v>20.767296066975383</c:v>
                </c:pt>
                <c:pt idx="224">
                  <c:v>21.296555571613606</c:v>
                </c:pt>
                <c:pt idx="225">
                  <c:v>19.332144067368837</c:v>
                </c:pt>
                <c:pt idx="226">
                  <c:v>18.570009806145823</c:v>
                </c:pt>
                <c:pt idx="227">
                  <c:v>21.02910762990426</c:v>
                </c:pt>
                <c:pt idx="228">
                  <c:v>17.285844744088795</c:v>
                </c:pt>
                <c:pt idx="229">
                  <c:v>17.211272759426084</c:v>
                </c:pt>
                <c:pt idx="230">
                  <c:v>16.822197874607799</c:v>
                </c:pt>
                <c:pt idx="231">
                  <c:v>16.685266634880382</c:v>
                </c:pt>
                <c:pt idx="232">
                  <c:v>14.468510779972462</c:v>
                </c:pt>
                <c:pt idx="233">
                  <c:v>13.643726014607013</c:v>
                </c:pt>
                <c:pt idx="234">
                  <c:v>13.594917598953241</c:v>
                </c:pt>
                <c:pt idx="235">
                  <c:v>14.113010787875545</c:v>
                </c:pt>
                <c:pt idx="236">
                  <c:v>14.058143793451791</c:v>
                </c:pt>
                <c:pt idx="237">
                  <c:v>11.137903871836448</c:v>
                </c:pt>
                <c:pt idx="238">
                  <c:v>10.079459072156439</c:v>
                </c:pt>
                <c:pt idx="239">
                  <c:v>9.5060657399244999</c:v>
                </c:pt>
                <c:pt idx="240">
                  <c:v>7.8560497463973675</c:v>
                </c:pt>
                <c:pt idx="241">
                  <c:v>6.6440406275539754</c:v>
                </c:pt>
                <c:pt idx="242">
                  <c:v>6.8782175005961745</c:v>
                </c:pt>
                <c:pt idx="243">
                  <c:v>6.4945803173940444</c:v>
                </c:pt>
                <c:pt idx="244">
                  <c:v>4.6609098208877615</c:v>
                </c:pt>
                <c:pt idx="245">
                  <c:v>4.6682990564559343</c:v>
                </c:pt>
                <c:pt idx="246">
                  <c:v>3.7033869719576504</c:v>
                </c:pt>
                <c:pt idx="247">
                  <c:v>4.4511450243656911</c:v>
                </c:pt>
                <c:pt idx="248">
                  <c:v>4.9763153717686945</c:v>
                </c:pt>
                <c:pt idx="249">
                  <c:v>4.5669968124780675</c:v>
                </c:pt>
                <c:pt idx="250">
                  <c:v>5.9647799481335779</c:v>
                </c:pt>
                <c:pt idx="251">
                  <c:v>5.6512581751319093</c:v>
                </c:pt>
                <c:pt idx="252">
                  <c:v>2.2260367644912091</c:v>
                </c:pt>
                <c:pt idx="253">
                  <c:v>2.8606598373337877</c:v>
                </c:pt>
                <c:pt idx="254">
                  <c:v>3.5076751878593924</c:v>
                </c:pt>
                <c:pt idx="255">
                  <c:v>3.3694615808502992</c:v>
                </c:pt>
                <c:pt idx="256">
                  <c:v>3.2728099880634494</c:v>
                </c:pt>
                <c:pt idx="257">
                  <c:v>4.7240426993280877</c:v>
                </c:pt>
                <c:pt idx="258">
                  <c:v>4.3179699256193889</c:v>
                </c:pt>
                <c:pt idx="259">
                  <c:v>2.8865832768422659</c:v>
                </c:pt>
                <c:pt idx="260">
                  <c:v>2.5831660363339717</c:v>
                </c:pt>
                <c:pt idx="261">
                  <c:v>2.4066915496827228</c:v>
                </c:pt>
                <c:pt idx="262">
                  <c:v>1.168196563736702</c:v>
                </c:pt>
                <c:pt idx="263">
                  <c:v>1.543547435342657</c:v>
                </c:pt>
                <c:pt idx="264">
                  <c:v>1.5473637643488956</c:v>
                </c:pt>
                <c:pt idx="265">
                  <c:v>2.1359538162411531</c:v>
                </c:pt>
                <c:pt idx="266">
                  <c:v>1.0993205255921772</c:v>
                </c:pt>
                <c:pt idx="267">
                  <c:v>1.0089558237819489</c:v>
                </c:pt>
                <c:pt idx="268">
                  <c:v>-1.2685196506166845</c:v>
                </c:pt>
                <c:pt idx="269">
                  <c:v>-2.1718648941834604</c:v>
                </c:pt>
                <c:pt idx="270">
                  <c:v>-2.8420431907539232</c:v>
                </c:pt>
                <c:pt idx="271">
                  <c:v>-2.1730776222036785</c:v>
                </c:pt>
                <c:pt idx="272">
                  <c:v>-1.0385463038123739</c:v>
                </c:pt>
                <c:pt idx="273">
                  <c:v>-0.11861496009488048</c:v>
                </c:pt>
                <c:pt idx="274">
                  <c:v>4.7941126839984242E-2</c:v>
                </c:pt>
                <c:pt idx="275">
                  <c:v>-1.6034515269106546</c:v>
                </c:pt>
                <c:pt idx="276">
                  <c:v>-1.8026792921335597</c:v>
                </c:pt>
                <c:pt idx="277">
                  <c:v>-1.1287404521888662</c:v>
                </c:pt>
                <c:pt idx="278">
                  <c:v>-1.0272467283587083</c:v>
                </c:pt>
                <c:pt idx="279">
                  <c:v>0.74266489196105523</c:v>
                </c:pt>
                <c:pt idx="280">
                  <c:v>2.5306308352801556</c:v>
                </c:pt>
                <c:pt idx="281">
                  <c:v>4.0816197887397809</c:v>
                </c:pt>
                <c:pt idx="282">
                  <c:v>2.9742472675802123</c:v>
                </c:pt>
                <c:pt idx="283">
                  <c:v>2.6615544673238496</c:v>
                </c:pt>
                <c:pt idx="284">
                  <c:v>4.3863604000059908</c:v>
                </c:pt>
                <c:pt idx="285">
                  <c:v>5.509617934431783</c:v>
                </c:pt>
                <c:pt idx="286">
                  <c:v>6.0211897205847897</c:v>
                </c:pt>
                <c:pt idx="287">
                  <c:v>7.8865697609036944</c:v>
                </c:pt>
                <c:pt idx="288">
                  <c:v>7.7925813825965573</c:v>
                </c:pt>
                <c:pt idx="289">
                  <c:v>8.3608979028817707</c:v>
                </c:pt>
                <c:pt idx="290">
                  <c:v>8.6053246812875575</c:v>
                </c:pt>
                <c:pt idx="291">
                  <c:v>9.7349579036903755</c:v>
                </c:pt>
                <c:pt idx="292">
                  <c:v>10.425909102352398</c:v>
                </c:pt>
                <c:pt idx="293">
                  <c:v>11.459624283330387</c:v>
                </c:pt>
                <c:pt idx="294">
                  <c:v>8.2144005042155737</c:v>
                </c:pt>
                <c:pt idx="295">
                  <c:v>9.6907670775317847</c:v>
                </c:pt>
                <c:pt idx="296">
                  <c:v>12.498649936439234</c:v>
                </c:pt>
                <c:pt idx="297">
                  <c:v>13.467109629002794</c:v>
                </c:pt>
                <c:pt idx="298">
                  <c:v>15.131049851448159</c:v>
                </c:pt>
                <c:pt idx="299">
                  <c:v>15.154323965786705</c:v>
                </c:pt>
                <c:pt idx="300">
                  <c:v>15.282096076008214</c:v>
                </c:pt>
                <c:pt idx="301">
                  <c:v>17.817434850185311</c:v>
                </c:pt>
                <c:pt idx="302">
                  <c:v>17.965428224637822</c:v>
                </c:pt>
                <c:pt idx="303">
                  <c:v>18.677629456192388</c:v>
                </c:pt>
                <c:pt idx="304">
                  <c:v>17.674129064121505</c:v>
                </c:pt>
                <c:pt idx="305">
                  <c:v>19.248243193339562</c:v>
                </c:pt>
                <c:pt idx="306">
                  <c:v>19.652582314638661</c:v>
                </c:pt>
                <c:pt idx="307">
                  <c:v>19.690433470093186</c:v>
                </c:pt>
                <c:pt idx="308">
                  <c:v>20.849762540568303</c:v>
                </c:pt>
                <c:pt idx="309">
                  <c:v>19.488558795826538</c:v>
                </c:pt>
                <c:pt idx="310">
                  <c:v>19.902353945226761</c:v>
                </c:pt>
                <c:pt idx="311">
                  <c:v>19.63500417553286</c:v>
                </c:pt>
                <c:pt idx="312">
                  <c:v>20.273125416290746</c:v>
                </c:pt>
                <c:pt idx="313">
                  <c:v>20.481773993051785</c:v>
                </c:pt>
                <c:pt idx="314">
                  <c:v>20.772795994917054</c:v>
                </c:pt>
                <c:pt idx="315">
                  <c:v>22.178674353531491</c:v>
                </c:pt>
                <c:pt idx="316">
                  <c:v>22.221138911404932</c:v>
                </c:pt>
                <c:pt idx="317">
                  <c:v>23.096156307579296</c:v>
                </c:pt>
                <c:pt idx="318">
                  <c:v>22.753993514316612</c:v>
                </c:pt>
                <c:pt idx="319">
                  <c:v>23.930469309150315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32-9A41-8A4E-64EAF75B5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'240814B003'!$A$2:$A$321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'240814B003'!$J$2:$J$321</c:f>
              <c:numCache>
                <c:formatCode>0.0</c:formatCode>
                <c:ptCount val="320"/>
                <c:pt idx="0">
                  <c:v>1404.1834517899301</c:v>
                </c:pt>
                <c:pt idx="1">
                  <c:v>1338.5593722164699</c:v>
                </c:pt>
                <c:pt idx="2">
                  <c:v>1243.16516089576</c:v>
                </c:pt>
                <c:pt idx="3">
                  <c:v>1174.98692779475</c:v>
                </c:pt>
                <c:pt idx="4">
                  <c:v>1178.1167324583198</c:v>
                </c:pt>
                <c:pt idx="5">
                  <c:v>1226.62105538885</c:v>
                </c:pt>
                <c:pt idx="6">
                  <c:v>1147.8782165666998</c:v>
                </c:pt>
                <c:pt idx="7">
                  <c:v>1162.42843326144</c:v>
                </c:pt>
                <c:pt idx="8">
                  <c:v>2099.2800269350701</c:v>
                </c:pt>
                <c:pt idx="9">
                  <c:v>2219.91766879231</c:v>
                </c:pt>
                <c:pt idx="10">
                  <c:v>2587.12452137316</c:v>
                </c:pt>
                <c:pt idx="11">
                  <c:v>2554.1621833203799</c:v>
                </c:pt>
                <c:pt idx="12">
                  <c:v>2681.8932316926298</c:v>
                </c:pt>
                <c:pt idx="13">
                  <c:v>2650.9756131068898</c:v>
                </c:pt>
                <c:pt idx="14">
                  <c:v>2785.4948279558002</c:v>
                </c:pt>
                <c:pt idx="15">
                  <c:v>2964.2838406484602</c:v>
                </c:pt>
                <c:pt idx="16">
                  <c:v>3012.1590038883101</c:v>
                </c:pt>
                <c:pt idx="17">
                  <c:v>3041.2676301718202</c:v>
                </c:pt>
                <c:pt idx="18">
                  <c:v>3028.2452524671298</c:v>
                </c:pt>
                <c:pt idx="19">
                  <c:v>3029.0898114164102</c:v>
                </c:pt>
                <c:pt idx="20">
                  <c:v>2992.3812709703898</c:v>
                </c:pt>
                <c:pt idx="21">
                  <c:v>2969.3514100191801</c:v>
                </c:pt>
                <c:pt idx="22">
                  <c:v>2970.8071610422699</c:v>
                </c:pt>
                <c:pt idx="23">
                  <c:v>2955.61507251081</c:v>
                </c:pt>
                <c:pt idx="24">
                  <c:v>2939.5052720971403</c:v>
                </c:pt>
                <c:pt idx="25">
                  <c:v>2943.3276346411599</c:v>
                </c:pt>
                <c:pt idx="26">
                  <c:v>2924.1059473097503</c:v>
                </c:pt>
                <c:pt idx="27">
                  <c:v>2889.1981956946597</c:v>
                </c:pt>
                <c:pt idx="28">
                  <c:v>2925.7266195940401</c:v>
                </c:pt>
                <c:pt idx="29">
                  <c:v>2967.7901310717002</c:v>
                </c:pt>
                <c:pt idx="30">
                  <c:v>2954.7498606250902</c:v>
                </c:pt>
                <c:pt idx="31">
                  <c:v>2924.4409774035098</c:v>
                </c:pt>
                <c:pt idx="32">
                  <c:v>2937.8068311488</c:v>
                </c:pt>
                <c:pt idx="33">
                  <c:v>2927.9603339066398</c:v>
                </c:pt>
                <c:pt idx="34">
                  <c:v>2910.2747517940697</c:v>
                </c:pt>
                <c:pt idx="35">
                  <c:v>2895.4500112686501</c:v>
                </c:pt>
                <c:pt idx="36">
                  <c:v>2897.41077397546</c:v>
                </c:pt>
                <c:pt idx="37">
                  <c:v>2889.2591246071202</c:v>
                </c:pt>
                <c:pt idx="38">
                  <c:v>2885.4557173358198</c:v>
                </c:pt>
                <c:pt idx="39">
                  <c:v>2858.7967029021997</c:v>
                </c:pt>
                <c:pt idx="40">
                  <c:v>2814.9389689653399</c:v>
                </c:pt>
                <c:pt idx="41">
                  <c:v>2821.7081833003199</c:v>
                </c:pt>
                <c:pt idx="42">
                  <c:v>2843.5522087745899</c:v>
                </c:pt>
                <c:pt idx="43">
                  <c:v>2874.3379206561899</c:v>
                </c:pt>
                <c:pt idx="44">
                  <c:v>2871.5726227141499</c:v>
                </c:pt>
                <c:pt idx="45">
                  <c:v>2885.09329339532</c:v>
                </c:pt>
                <c:pt idx="46">
                  <c:v>2817.80931608639</c:v>
                </c:pt>
                <c:pt idx="47">
                  <c:v>2600.8504346983</c:v>
                </c:pt>
                <c:pt idx="48">
                  <c:v>2515.5629212765703</c:v>
                </c:pt>
                <c:pt idx="49">
                  <c:v>2543.1734695510299</c:v>
                </c:pt>
                <c:pt idx="50">
                  <c:v>2557.1063553423101</c:v>
                </c:pt>
                <c:pt idx="51">
                  <c:v>2529.5952579066798</c:v>
                </c:pt>
                <c:pt idx="52">
                  <c:v>2546.2062182992804</c:v>
                </c:pt>
                <c:pt idx="53">
                  <c:v>2600.7567848881999</c:v>
                </c:pt>
                <c:pt idx="54">
                  <c:v>2511.8421481525297</c:v>
                </c:pt>
                <c:pt idx="55">
                  <c:v>2527.9689693575401</c:v>
                </c:pt>
                <c:pt idx="56">
                  <c:v>2550.37828114986</c:v>
                </c:pt>
                <c:pt idx="57">
                  <c:v>2491.9507233018999</c:v>
                </c:pt>
                <c:pt idx="58">
                  <c:v>2519.9727139257698</c:v>
                </c:pt>
                <c:pt idx="59">
                  <c:v>2450.4894830901003</c:v>
                </c:pt>
                <c:pt idx="60">
                  <c:v>2439.5979422375899</c:v>
                </c:pt>
                <c:pt idx="61">
                  <c:v>2428.5799060468898</c:v>
                </c:pt>
                <c:pt idx="62">
                  <c:v>2447.2615896503198</c:v>
                </c:pt>
                <c:pt idx="63">
                  <c:v>2500.2496541097398</c:v>
                </c:pt>
                <c:pt idx="64">
                  <c:v>2465.1596835609498</c:v>
                </c:pt>
                <c:pt idx="65">
                  <c:v>2444.4444822564801</c:v>
                </c:pt>
                <c:pt idx="66">
                  <c:v>2479.4209401596299</c:v>
                </c:pt>
                <c:pt idx="67">
                  <c:v>2485.3213178358801</c:v>
                </c:pt>
                <c:pt idx="68">
                  <c:v>2454.7584355827998</c:v>
                </c:pt>
                <c:pt idx="69">
                  <c:v>2410.8592067110899</c:v>
                </c:pt>
                <c:pt idx="70">
                  <c:v>2489.9320153352401</c:v>
                </c:pt>
                <c:pt idx="71">
                  <c:v>2477.4494468917901</c:v>
                </c:pt>
                <c:pt idx="72">
                  <c:v>2479.6319920749697</c:v>
                </c:pt>
                <c:pt idx="73">
                  <c:v>2410.7733478104301</c:v>
                </c:pt>
                <c:pt idx="74">
                  <c:v>2372.81400562111</c:v>
                </c:pt>
                <c:pt idx="75">
                  <c:v>2365.5334151500401</c:v>
                </c:pt>
                <c:pt idx="76">
                  <c:v>2383.5596807735801</c:v>
                </c:pt>
                <c:pt idx="77">
                  <c:v>2432.5580105344102</c:v>
                </c:pt>
                <c:pt idx="78">
                  <c:v>2451.1934238008598</c:v>
                </c:pt>
                <c:pt idx="79">
                  <c:v>2395.1299825558099</c:v>
                </c:pt>
                <c:pt idx="80">
                  <c:v>2433.6666656894799</c:v>
                </c:pt>
                <c:pt idx="81">
                  <c:v>2443.7408843456001</c:v>
                </c:pt>
                <c:pt idx="82">
                  <c:v>2373.57288474492</c:v>
                </c:pt>
                <c:pt idx="83">
                  <c:v>2429.6255829316801</c:v>
                </c:pt>
                <c:pt idx="84">
                  <c:v>2451.4294923501598</c:v>
                </c:pt>
                <c:pt idx="85">
                  <c:v>2443.9968935434199</c:v>
                </c:pt>
                <c:pt idx="86">
                  <c:v>2393.5715886050998</c:v>
                </c:pt>
                <c:pt idx="87">
                  <c:v>2354.2131824948801</c:v>
                </c:pt>
                <c:pt idx="88">
                  <c:v>2386.34792508289</c:v>
                </c:pt>
                <c:pt idx="89">
                  <c:v>2406.7754663196101</c:v>
                </c:pt>
                <c:pt idx="90">
                  <c:v>2325.1701389838099</c:v>
                </c:pt>
                <c:pt idx="91">
                  <c:v>2358.7306285203599</c:v>
                </c:pt>
                <c:pt idx="92">
                  <c:v>2418.2992879496201</c:v>
                </c:pt>
                <c:pt idx="93">
                  <c:v>2396.4718039454797</c:v>
                </c:pt>
                <c:pt idx="94">
                  <c:v>2350.44084751027</c:v>
                </c:pt>
                <c:pt idx="95">
                  <c:v>2341.56989420848</c:v>
                </c:pt>
                <c:pt idx="96">
                  <c:v>2310.5896743738203</c:v>
                </c:pt>
                <c:pt idx="97">
                  <c:v>2290.7681814060297</c:v>
                </c:pt>
                <c:pt idx="98">
                  <c:v>2313.8874627607202</c:v>
                </c:pt>
                <c:pt idx="99">
                  <c:v>2320.54726882255</c:v>
                </c:pt>
                <c:pt idx="100">
                  <c:v>2297.88207800497</c:v>
                </c:pt>
                <c:pt idx="101">
                  <c:v>2329.4000266888502</c:v>
                </c:pt>
                <c:pt idx="102">
                  <c:v>2269.05898701143</c:v>
                </c:pt>
                <c:pt idx="103">
                  <c:v>2263.7441077681401</c:v>
                </c:pt>
                <c:pt idx="104">
                  <c:v>2216.6325362668699</c:v>
                </c:pt>
                <c:pt idx="105">
                  <c:v>2328.7430893293599</c:v>
                </c:pt>
                <c:pt idx="106">
                  <c:v>2379.8696993060698</c:v>
                </c:pt>
                <c:pt idx="107">
                  <c:v>2357.99691595988</c:v>
                </c:pt>
                <c:pt idx="108">
                  <c:v>2331.44255975331</c:v>
                </c:pt>
                <c:pt idx="109">
                  <c:v>2333.4919043947602</c:v>
                </c:pt>
                <c:pt idx="110">
                  <c:v>2302.9406322281798</c:v>
                </c:pt>
                <c:pt idx="111">
                  <c:v>2312.2359290671097</c:v>
                </c:pt>
                <c:pt idx="112">
                  <c:v>2349.9367771780903</c:v>
                </c:pt>
                <c:pt idx="113">
                  <c:v>2351.0046260601803</c:v>
                </c:pt>
                <c:pt idx="114">
                  <c:v>2315.7039321511397</c:v>
                </c:pt>
                <c:pt idx="115">
                  <c:v>2256.4636150776596</c:v>
                </c:pt>
                <c:pt idx="116">
                  <c:v>2172.32140598758</c:v>
                </c:pt>
                <c:pt idx="117">
                  <c:v>2288.2112015469602</c:v>
                </c:pt>
                <c:pt idx="118">
                  <c:v>2358.6307188436599</c:v>
                </c:pt>
                <c:pt idx="119">
                  <c:v>2408.64718475161</c:v>
                </c:pt>
                <c:pt idx="120">
                  <c:v>2373.79663858512</c:v>
                </c:pt>
                <c:pt idx="121">
                  <c:v>2359.4118977776202</c:v>
                </c:pt>
                <c:pt idx="122">
                  <c:v>2285.9013990187</c:v>
                </c:pt>
                <c:pt idx="123">
                  <c:v>2236.0626557640398</c:v>
                </c:pt>
                <c:pt idx="124">
                  <c:v>2247.8057520412899</c:v>
                </c:pt>
                <c:pt idx="125">
                  <c:v>2341.2130291146</c:v>
                </c:pt>
                <c:pt idx="126">
                  <c:v>2345.7432512753198</c:v>
                </c:pt>
                <c:pt idx="127">
                  <c:v>2293.5072893865899</c:v>
                </c:pt>
                <c:pt idx="128">
                  <c:v>2343.4001810561003</c:v>
                </c:pt>
                <c:pt idx="129">
                  <c:v>2336.2179832878701</c:v>
                </c:pt>
                <c:pt idx="130">
                  <c:v>2322.6935637036199</c:v>
                </c:pt>
                <c:pt idx="131">
                  <c:v>2264.9171303278999</c:v>
                </c:pt>
                <c:pt idx="132">
                  <c:v>2273.4597551111001</c:v>
                </c:pt>
                <c:pt idx="133">
                  <c:v>2269.79590542202</c:v>
                </c:pt>
                <c:pt idx="134">
                  <c:v>2251.1824926878398</c:v>
                </c:pt>
                <c:pt idx="135">
                  <c:v>2248.0946170719299</c:v>
                </c:pt>
                <c:pt idx="136">
                  <c:v>2217.7486684840701</c:v>
                </c:pt>
                <c:pt idx="137">
                  <c:v>2184.99280765404</c:v>
                </c:pt>
                <c:pt idx="138">
                  <c:v>2145.6368118057399</c:v>
                </c:pt>
                <c:pt idx="139">
                  <c:v>2130.9746652123599</c:v>
                </c:pt>
                <c:pt idx="140">
                  <c:v>2203.5392752033999</c:v>
                </c:pt>
                <c:pt idx="141">
                  <c:v>2185.4981379547999</c:v>
                </c:pt>
                <c:pt idx="142">
                  <c:v>2194.25661301848</c:v>
                </c:pt>
                <c:pt idx="143">
                  <c:v>2173.6808481110202</c:v>
                </c:pt>
                <c:pt idx="144">
                  <c:v>2228.11956577095</c:v>
                </c:pt>
                <c:pt idx="145">
                  <c:v>2265.1853857321003</c:v>
                </c:pt>
                <c:pt idx="146">
                  <c:v>2307.4226978905499</c:v>
                </c:pt>
                <c:pt idx="147">
                  <c:v>2257.1951052725699</c:v>
                </c:pt>
                <c:pt idx="148">
                  <c:v>2288.9621760274899</c:v>
                </c:pt>
                <c:pt idx="149">
                  <c:v>2287.2176288476699</c:v>
                </c:pt>
                <c:pt idx="150">
                  <c:v>2321.3086041639199</c:v>
                </c:pt>
                <c:pt idx="151">
                  <c:v>2290.2280111139198</c:v>
                </c:pt>
                <c:pt idx="152">
                  <c:v>2265.6868899871802</c:v>
                </c:pt>
                <c:pt idx="153">
                  <c:v>2296.19262301864</c:v>
                </c:pt>
                <c:pt idx="154">
                  <c:v>2206.2891660083797</c:v>
                </c:pt>
                <c:pt idx="155">
                  <c:v>2292.1171423607998</c:v>
                </c:pt>
                <c:pt idx="156">
                  <c:v>2266.7575813052003</c:v>
                </c:pt>
                <c:pt idx="157">
                  <c:v>2285.0444281932096</c:v>
                </c:pt>
                <c:pt idx="158">
                  <c:v>2242.15838477844</c:v>
                </c:pt>
                <c:pt idx="159">
                  <c:v>2220.67602788463</c:v>
                </c:pt>
                <c:pt idx="160">
                  <c:v>2193.9525887781701</c:v>
                </c:pt>
                <c:pt idx="161">
                  <c:v>2171.5598511266703</c:v>
                </c:pt>
                <c:pt idx="162">
                  <c:v>2219.5505235901496</c:v>
                </c:pt>
                <c:pt idx="163">
                  <c:v>2269.92151932658</c:v>
                </c:pt>
                <c:pt idx="164">
                  <c:v>2363.0443609942199</c:v>
                </c:pt>
                <c:pt idx="165">
                  <c:v>2396.3852347422403</c:v>
                </c:pt>
                <c:pt idx="166">
                  <c:v>2443.5903604160699</c:v>
                </c:pt>
                <c:pt idx="167">
                  <c:v>2471.0510985557503</c:v>
                </c:pt>
                <c:pt idx="168">
                  <c:v>2491.8950464091099</c:v>
                </c:pt>
                <c:pt idx="169">
                  <c:v>2541.2955735510504</c:v>
                </c:pt>
                <c:pt idx="170">
                  <c:v>2495.9143989668996</c:v>
                </c:pt>
                <c:pt idx="171">
                  <c:v>2533.5942080828299</c:v>
                </c:pt>
                <c:pt idx="172">
                  <c:v>2541.1778449324297</c:v>
                </c:pt>
                <c:pt idx="173">
                  <c:v>2528.26174016494</c:v>
                </c:pt>
                <c:pt idx="174">
                  <c:v>2522.8444055654199</c:v>
                </c:pt>
                <c:pt idx="175">
                  <c:v>2508.3184164967602</c:v>
                </c:pt>
                <c:pt idx="176">
                  <c:v>2521.0078933924697</c:v>
                </c:pt>
                <c:pt idx="177">
                  <c:v>2529.6690888837602</c:v>
                </c:pt>
                <c:pt idx="178">
                  <c:v>2539.6383797437597</c:v>
                </c:pt>
                <c:pt idx="179">
                  <c:v>2534.9105161273401</c:v>
                </c:pt>
                <c:pt idx="180">
                  <c:v>2533.35835883661</c:v>
                </c:pt>
                <c:pt idx="181">
                  <c:v>2519.7584166623701</c:v>
                </c:pt>
                <c:pt idx="182">
                  <c:v>2502.2742785379801</c:v>
                </c:pt>
                <c:pt idx="183">
                  <c:v>2409.3831452715199</c:v>
                </c:pt>
                <c:pt idx="184">
                  <c:v>2444.5464775957698</c:v>
                </c:pt>
                <c:pt idx="185">
                  <c:v>2484.6406969126501</c:v>
                </c:pt>
                <c:pt idx="186">
                  <c:v>2512.6179131922399</c:v>
                </c:pt>
                <c:pt idx="187">
                  <c:v>2460.2187864100501</c:v>
                </c:pt>
                <c:pt idx="188">
                  <c:v>2480.1082975279801</c:v>
                </c:pt>
                <c:pt idx="189">
                  <c:v>2526.9709710868697</c:v>
                </c:pt>
                <c:pt idx="190">
                  <c:v>2560.1813230674597</c:v>
                </c:pt>
                <c:pt idx="191">
                  <c:v>2543.0659850645502</c:v>
                </c:pt>
                <c:pt idx="192">
                  <c:v>2550.4348691948003</c:v>
                </c:pt>
                <c:pt idx="193">
                  <c:v>2539.1720676785999</c:v>
                </c:pt>
                <c:pt idx="194">
                  <c:v>2538.8487720601202</c:v>
                </c:pt>
                <c:pt idx="195">
                  <c:v>2512.5689983018401</c:v>
                </c:pt>
                <c:pt idx="196">
                  <c:v>2500.7602525131902</c:v>
                </c:pt>
                <c:pt idx="197">
                  <c:v>2332.1594875675701</c:v>
                </c:pt>
                <c:pt idx="198">
                  <c:v>2361.61024468493</c:v>
                </c:pt>
                <c:pt idx="199">
                  <c:v>2314.0754268260798</c:v>
                </c:pt>
                <c:pt idx="200">
                  <c:v>2301.90049835011</c:v>
                </c:pt>
                <c:pt idx="201">
                  <c:v>2323.9197440601497</c:v>
                </c:pt>
                <c:pt idx="202">
                  <c:v>2272.0048931072502</c:v>
                </c:pt>
                <c:pt idx="203">
                  <c:v>2274.3922485428702</c:v>
                </c:pt>
                <c:pt idx="204">
                  <c:v>2294.8271430977297</c:v>
                </c:pt>
                <c:pt idx="205">
                  <c:v>2289.1846997344701</c:v>
                </c:pt>
                <c:pt idx="206">
                  <c:v>2328.6181950017503</c:v>
                </c:pt>
                <c:pt idx="207">
                  <c:v>2346.9413871382999</c:v>
                </c:pt>
                <c:pt idx="208">
                  <c:v>2298.0881653813699</c:v>
                </c:pt>
                <c:pt idx="209">
                  <c:v>2239.4486430875299</c:v>
                </c:pt>
                <c:pt idx="210">
                  <c:v>2201.3747443423499</c:v>
                </c:pt>
                <c:pt idx="211">
                  <c:v>2210.9597878597601</c:v>
                </c:pt>
                <c:pt idx="212">
                  <c:v>2197.6347508784697</c:v>
                </c:pt>
                <c:pt idx="213">
                  <c:v>2201.1782809674301</c:v>
                </c:pt>
                <c:pt idx="214">
                  <c:v>2156.20601304917</c:v>
                </c:pt>
                <c:pt idx="215">
                  <c:v>2147.6823438705201</c:v>
                </c:pt>
                <c:pt idx="216">
                  <c:v>2131.0986892829601</c:v>
                </c:pt>
                <c:pt idx="217">
                  <c:v>2148.9312972673001</c:v>
                </c:pt>
                <c:pt idx="218">
                  <c:v>2103.3126626118001</c:v>
                </c:pt>
                <c:pt idx="219">
                  <c:v>2101.93226946184</c:v>
                </c:pt>
                <c:pt idx="220">
                  <c:v>2106.1894145965198</c:v>
                </c:pt>
                <c:pt idx="221">
                  <c:v>2052.5788228463298</c:v>
                </c:pt>
                <c:pt idx="222">
                  <c:v>2081.5649876840598</c:v>
                </c:pt>
                <c:pt idx="223">
                  <c:v>2070.0254588224602</c:v>
                </c:pt>
                <c:pt idx="224">
                  <c:v>2070.6975674454798</c:v>
                </c:pt>
                <c:pt idx="225">
                  <c:v>2082.5407401934199</c:v>
                </c:pt>
                <c:pt idx="226">
                  <c:v>2089.9262183614401</c:v>
                </c:pt>
                <c:pt idx="227">
                  <c:v>2092.0094490116098</c:v>
                </c:pt>
                <c:pt idx="228">
                  <c:v>2112.37619362841</c:v>
                </c:pt>
                <c:pt idx="229">
                  <c:v>2120.5212027756602</c:v>
                </c:pt>
                <c:pt idx="230">
                  <c:v>2147.5890516576701</c:v>
                </c:pt>
                <c:pt idx="231">
                  <c:v>2118.5890516576901</c:v>
                </c:pt>
                <c:pt idx="232">
                  <c:v>2065.4153813529501</c:v>
                </c:pt>
                <c:pt idx="233">
                  <c:v>2145.1444788758799</c:v>
                </c:pt>
                <c:pt idx="234">
                  <c:v>2180.3675516614999</c:v>
                </c:pt>
                <c:pt idx="235">
                  <c:v>2209.9087114614003</c:v>
                </c:pt>
                <c:pt idx="236">
                  <c:v>2116.9413127052503</c:v>
                </c:pt>
                <c:pt idx="237">
                  <c:v>2127.5256779473902</c:v>
                </c:pt>
                <c:pt idx="238">
                  <c:v>2068.4974915526</c:v>
                </c:pt>
                <c:pt idx="239">
                  <c:v>2127.7029568411999</c:v>
                </c:pt>
                <c:pt idx="240">
                  <c:v>2120.8583437851798</c:v>
                </c:pt>
                <c:pt idx="241">
                  <c:v>2075.7409406322799</c:v>
                </c:pt>
                <c:pt idx="242">
                  <c:v>2123.3658690510797</c:v>
                </c:pt>
                <c:pt idx="243">
                  <c:v>2192.5014022670498</c:v>
                </c:pt>
                <c:pt idx="244">
                  <c:v>2152.2917688480998</c:v>
                </c:pt>
                <c:pt idx="245">
                  <c:v>2192.1532420794501</c:v>
                </c:pt>
                <c:pt idx="246">
                  <c:v>2255.3569245082799</c:v>
                </c:pt>
                <c:pt idx="247">
                  <c:v>2241.39910867459</c:v>
                </c:pt>
                <c:pt idx="248">
                  <c:v>2254.1080878125099</c:v>
                </c:pt>
                <c:pt idx="249">
                  <c:v>2241.6370154474098</c:v>
                </c:pt>
                <c:pt idx="250">
                  <c:v>2195.6982027897798</c:v>
                </c:pt>
                <c:pt idx="251">
                  <c:v>2152.1832546076002</c:v>
                </c:pt>
                <c:pt idx="252">
                  <c:v>2200.06890545136</c:v>
                </c:pt>
                <c:pt idx="253">
                  <c:v>2157.46260779861</c:v>
                </c:pt>
                <c:pt idx="254">
                  <c:v>2233.8071175154801</c:v>
                </c:pt>
                <c:pt idx="255">
                  <c:v>2247.2606049327296</c:v>
                </c:pt>
                <c:pt idx="256">
                  <c:v>2270.80657101416</c:v>
                </c:pt>
                <c:pt idx="257">
                  <c:v>2276.8149818177199</c:v>
                </c:pt>
                <c:pt idx="258">
                  <c:v>2297.95454940223</c:v>
                </c:pt>
                <c:pt idx="259">
                  <c:v>2267.99480085196</c:v>
                </c:pt>
                <c:pt idx="260">
                  <c:v>2300.3654002605299</c:v>
                </c:pt>
                <c:pt idx="261">
                  <c:v>2323.4253529364701</c:v>
                </c:pt>
                <c:pt idx="262">
                  <c:v>2242.49157413069</c:v>
                </c:pt>
                <c:pt idx="263">
                  <c:v>2215.29349899711</c:v>
                </c:pt>
                <c:pt idx="264">
                  <c:v>2217.8332845913401</c:v>
                </c:pt>
                <c:pt idx="265">
                  <c:v>2216.6603526558501</c:v>
                </c:pt>
                <c:pt idx="266">
                  <c:v>2227.0702731553297</c:v>
                </c:pt>
                <c:pt idx="267">
                  <c:v>2191.9219391081101</c:v>
                </c:pt>
                <c:pt idx="268">
                  <c:v>2212.35503164479</c:v>
                </c:pt>
                <c:pt idx="269">
                  <c:v>2178.5795893692502</c:v>
                </c:pt>
                <c:pt idx="270">
                  <c:v>2099.8896947957401</c:v>
                </c:pt>
                <c:pt idx="271">
                  <c:v>2100.4650980177898</c:v>
                </c:pt>
                <c:pt idx="272">
                  <c:v>2052.30551968501</c:v>
                </c:pt>
                <c:pt idx="273">
                  <c:v>2003.3435469904102</c:v>
                </c:pt>
                <c:pt idx="274">
                  <c:v>1958.48065322773</c:v>
                </c:pt>
                <c:pt idx="275">
                  <c:v>2046.47159816309</c:v>
                </c:pt>
                <c:pt idx="276">
                  <c:v>2022.2353558741902</c:v>
                </c:pt>
                <c:pt idx="277">
                  <c:v>2050.66539474821</c:v>
                </c:pt>
                <c:pt idx="278">
                  <c:v>2099.0803356721804</c:v>
                </c:pt>
                <c:pt idx="279">
                  <c:v>2165.1746991551599</c:v>
                </c:pt>
                <c:pt idx="280">
                  <c:v>2171.9157060600201</c:v>
                </c:pt>
                <c:pt idx="281">
                  <c:v>2174.5665725639401</c:v>
                </c:pt>
                <c:pt idx="282">
                  <c:v>2205.4654243520199</c:v>
                </c:pt>
                <c:pt idx="283">
                  <c:v>2214.67159124609</c:v>
                </c:pt>
                <c:pt idx="284">
                  <c:v>2208.3000367712798</c:v>
                </c:pt>
                <c:pt idx="285">
                  <c:v>2221.6268102945696</c:v>
                </c:pt>
                <c:pt idx="286">
                  <c:v>2218.8538679797502</c:v>
                </c:pt>
                <c:pt idx="287">
                  <c:v>2224.82671771285</c:v>
                </c:pt>
                <c:pt idx="288">
                  <c:v>2249.3815219513499</c:v>
                </c:pt>
                <c:pt idx="289">
                  <c:v>2272.04261142928</c:v>
                </c:pt>
                <c:pt idx="290">
                  <c:v>2322.5775507581297</c:v>
                </c:pt>
                <c:pt idx="291">
                  <c:v>2301.9803807693997</c:v>
                </c:pt>
                <c:pt idx="292">
                  <c:v>2257.4054075545</c:v>
                </c:pt>
                <c:pt idx="293">
                  <c:v>2219.9296438504298</c:v>
                </c:pt>
                <c:pt idx="294">
                  <c:v>2223.5883739053797</c:v>
                </c:pt>
                <c:pt idx="295">
                  <c:v>2224.2176776460501</c:v>
                </c:pt>
                <c:pt idx="296">
                  <c:v>2218.9865552906704</c:v>
                </c:pt>
                <c:pt idx="297">
                  <c:v>2215.4143728822801</c:v>
                </c:pt>
                <c:pt idx="298">
                  <c:v>2219.7927285820001</c:v>
                </c:pt>
                <c:pt idx="299">
                  <c:v>2214.8273062000399</c:v>
                </c:pt>
                <c:pt idx="300">
                  <c:v>2232.7141047387599</c:v>
                </c:pt>
                <c:pt idx="301">
                  <c:v>2230.3426434866301</c:v>
                </c:pt>
                <c:pt idx="302">
                  <c:v>2154.6984082430399</c:v>
                </c:pt>
                <c:pt idx="303">
                  <c:v>2156.6546538840798</c:v>
                </c:pt>
                <c:pt idx="304">
                  <c:v>2157.5024177350997</c:v>
                </c:pt>
                <c:pt idx="305">
                  <c:v>2145.1852583597497</c:v>
                </c:pt>
                <c:pt idx="306">
                  <c:v>2145.08700574452</c:v>
                </c:pt>
                <c:pt idx="307">
                  <c:v>2148.94097073496</c:v>
                </c:pt>
                <c:pt idx="308">
                  <c:v>2125.30467508113</c:v>
                </c:pt>
                <c:pt idx="309">
                  <c:v>2107.5826723825999</c:v>
                </c:pt>
                <c:pt idx="310">
                  <c:v>2103.8707993042203</c:v>
                </c:pt>
                <c:pt idx="311">
                  <c:v>2050.2787825894302</c:v>
                </c:pt>
                <c:pt idx="312">
                  <c:v>2122.1965257102297</c:v>
                </c:pt>
                <c:pt idx="313">
                  <c:v>2075.8451746634701</c:v>
                </c:pt>
                <c:pt idx="314">
                  <c:v>2089.9951860466499</c:v>
                </c:pt>
                <c:pt idx="315">
                  <c:v>2076.09181027145</c:v>
                </c:pt>
                <c:pt idx="316">
                  <c:v>2034.3047381748702</c:v>
                </c:pt>
                <c:pt idx="317">
                  <c:v>2091.6545376521699</c:v>
                </c:pt>
                <c:pt idx="318">
                  <c:v>2145.62011523004</c:v>
                </c:pt>
                <c:pt idx="319">
                  <c:v>2128.4052355082104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3-4B43-AD01-AEF3FA76D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F-7343-BC3B-7B593A74097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'240814B003'!$A$2:$A$321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'240814B003'!$P$2:$P$321</c:f>
              <c:numCache>
                <c:formatCode>General</c:formatCode>
                <c:ptCount val="320"/>
                <c:pt idx="0">
                  <c:v>-52.432987808988663</c:v>
                </c:pt>
                <c:pt idx="1">
                  <c:v>-48.885330783290549</c:v>
                </c:pt>
                <c:pt idx="2">
                  <c:v>-46.264260255585619</c:v>
                </c:pt>
                <c:pt idx="3">
                  <c:v>-39.854340900680654</c:v>
                </c:pt>
                <c:pt idx="4">
                  <c:v>-29.667306985589487</c:v>
                </c:pt>
                <c:pt idx="5">
                  <c:v>-18.736629355617236</c:v>
                </c:pt>
                <c:pt idx="6">
                  <c:v>-6.7850732516735759</c:v>
                </c:pt>
                <c:pt idx="7">
                  <c:v>5.2973904021436242</c:v>
                </c:pt>
                <c:pt idx="8">
                  <c:v>3.909432113738895</c:v>
                </c:pt>
                <c:pt idx="9">
                  <c:v>9.9124481445984785</c:v>
                </c:pt>
                <c:pt idx="10">
                  <c:v>13.062416785388853</c:v>
                </c:pt>
                <c:pt idx="11">
                  <c:v>22.14941193636496</c:v>
                </c:pt>
                <c:pt idx="12">
                  <c:v>25.790157506450644</c:v>
                </c:pt>
                <c:pt idx="13">
                  <c:v>33.789894788421101</c:v>
                </c:pt>
                <c:pt idx="14">
                  <c:v>30.380404057716039</c:v>
                </c:pt>
                <c:pt idx="15">
                  <c:v>31.752267964575264</c:v>
                </c:pt>
                <c:pt idx="16">
                  <c:v>33.938314599864455</c:v>
                </c:pt>
                <c:pt idx="17">
                  <c:v>33.008204315373703</c:v>
                </c:pt>
                <c:pt idx="18">
                  <c:v>34.210449426791548</c:v>
                </c:pt>
                <c:pt idx="19">
                  <c:v>35.888300016543347</c:v>
                </c:pt>
                <c:pt idx="20">
                  <c:v>36.130821333585402</c:v>
                </c:pt>
                <c:pt idx="21">
                  <c:v>34.942828059685574</c:v>
                </c:pt>
                <c:pt idx="22">
                  <c:v>34.205544961777797</c:v>
                </c:pt>
                <c:pt idx="23">
                  <c:v>33.64106010969487</c:v>
                </c:pt>
                <c:pt idx="24">
                  <c:v>32.15370036250188</c:v>
                </c:pt>
                <c:pt idx="25">
                  <c:v>32.631483574629712</c:v>
                </c:pt>
                <c:pt idx="26">
                  <c:v>30.797137724676897</c:v>
                </c:pt>
                <c:pt idx="27">
                  <c:v>28.446175899534726</c:v>
                </c:pt>
                <c:pt idx="28">
                  <c:v>25.412917437187872</c:v>
                </c:pt>
                <c:pt idx="29">
                  <c:v>24.673289939973479</c:v>
                </c:pt>
                <c:pt idx="30">
                  <c:v>23.192141850208884</c:v>
                </c:pt>
                <c:pt idx="31">
                  <c:v>21.647412270224841</c:v>
                </c:pt>
                <c:pt idx="32">
                  <c:v>20.557512919630753</c:v>
                </c:pt>
                <c:pt idx="33">
                  <c:v>19.151715525883255</c:v>
                </c:pt>
                <c:pt idx="34">
                  <c:v>18.391157031917256</c:v>
                </c:pt>
                <c:pt idx="35">
                  <c:v>18.928697861379941</c:v>
                </c:pt>
                <c:pt idx="36">
                  <c:v>16.691236304166409</c:v>
                </c:pt>
                <c:pt idx="37">
                  <c:v>16.819065368006438</c:v>
                </c:pt>
                <c:pt idx="38">
                  <c:v>15.759953619452183</c:v>
                </c:pt>
                <c:pt idx="39">
                  <c:v>16.58954067069747</c:v>
                </c:pt>
                <c:pt idx="40">
                  <c:v>15.777657916419722</c:v>
                </c:pt>
                <c:pt idx="41">
                  <c:v>13.665652054383001</c:v>
                </c:pt>
                <c:pt idx="42">
                  <c:v>14.87517696778376</c:v>
                </c:pt>
                <c:pt idx="43">
                  <c:v>15.92704007249537</c:v>
                </c:pt>
                <c:pt idx="44">
                  <c:v>17.743682031149518</c:v>
                </c:pt>
                <c:pt idx="45">
                  <c:v>17.471650439146249</c:v>
                </c:pt>
                <c:pt idx="46">
                  <c:v>16.539420629978913</c:v>
                </c:pt>
                <c:pt idx="47">
                  <c:v>16.023285877397907</c:v>
                </c:pt>
                <c:pt idx="48">
                  <c:v>16.012793714363767</c:v>
                </c:pt>
                <c:pt idx="49">
                  <c:v>16.469043361409902</c:v>
                </c:pt>
                <c:pt idx="50">
                  <c:v>15.589722641299849</c:v>
                </c:pt>
                <c:pt idx="51">
                  <c:v>13.447311424394595</c:v>
                </c:pt>
                <c:pt idx="52">
                  <c:v>12.907630656372767</c:v>
                </c:pt>
                <c:pt idx="53">
                  <c:v>12.503815596433016</c:v>
                </c:pt>
                <c:pt idx="54">
                  <c:v>13.541311453828905</c:v>
                </c:pt>
                <c:pt idx="55">
                  <c:v>11.10965647205898</c:v>
                </c:pt>
                <c:pt idx="56">
                  <c:v>8.7276012506986014</c:v>
                </c:pt>
                <c:pt idx="57">
                  <c:v>11.586446391272238</c:v>
                </c:pt>
                <c:pt idx="58">
                  <c:v>9.2445761462676099</c:v>
                </c:pt>
                <c:pt idx="59">
                  <c:v>7.0410069347449964</c:v>
                </c:pt>
                <c:pt idx="60">
                  <c:v>4.3508752832240889</c:v>
                </c:pt>
                <c:pt idx="61">
                  <c:v>4.4857839909330917</c:v>
                </c:pt>
                <c:pt idx="62">
                  <c:v>2.8944353999860981</c:v>
                </c:pt>
                <c:pt idx="63">
                  <c:v>3.0599645195806295</c:v>
                </c:pt>
                <c:pt idx="64">
                  <c:v>4.1885312452957226</c:v>
                </c:pt>
                <c:pt idx="65">
                  <c:v>3.9564699014014262</c:v>
                </c:pt>
                <c:pt idx="66">
                  <c:v>1.6284376634457536</c:v>
                </c:pt>
                <c:pt idx="67">
                  <c:v>2.3613448763629878</c:v>
                </c:pt>
                <c:pt idx="68">
                  <c:v>1.980646997693331</c:v>
                </c:pt>
                <c:pt idx="69">
                  <c:v>2.2766681339064068</c:v>
                </c:pt>
                <c:pt idx="70">
                  <c:v>0.75789159387692229</c:v>
                </c:pt>
                <c:pt idx="71">
                  <c:v>-0.11985310389271878</c:v>
                </c:pt>
                <c:pt idx="72">
                  <c:v>-1.478873279847676</c:v>
                </c:pt>
                <c:pt idx="73">
                  <c:v>-2.2313826095616962</c:v>
                </c:pt>
                <c:pt idx="74">
                  <c:v>-4.4817668224712452</c:v>
                </c:pt>
                <c:pt idx="75">
                  <c:v>-5.2549471095948093</c:v>
                </c:pt>
                <c:pt idx="76">
                  <c:v>-5.2408608765014133</c:v>
                </c:pt>
                <c:pt idx="77">
                  <c:v>-5.4355174470205156</c:v>
                </c:pt>
                <c:pt idx="78">
                  <c:v>-3.9305000152251544</c:v>
                </c:pt>
                <c:pt idx="79">
                  <c:v>-3.7673483415915894</c:v>
                </c:pt>
                <c:pt idx="80">
                  <c:v>-3.1747138567632005</c:v>
                </c:pt>
                <c:pt idx="81">
                  <c:v>-3.263261336062969</c:v>
                </c:pt>
                <c:pt idx="82">
                  <c:v>-2.9198548425597668</c:v>
                </c:pt>
                <c:pt idx="83">
                  <c:v>-3.731026972979723</c:v>
                </c:pt>
                <c:pt idx="84">
                  <c:v>-3.9764362970623441</c:v>
                </c:pt>
                <c:pt idx="85">
                  <c:v>-3.994608658749176</c:v>
                </c:pt>
                <c:pt idx="86">
                  <c:v>-5.2446032829048965</c:v>
                </c:pt>
                <c:pt idx="87">
                  <c:v>-4.9111380667605866</c:v>
                </c:pt>
                <c:pt idx="88">
                  <c:v>-4.2097062636177869</c:v>
                </c:pt>
                <c:pt idx="89">
                  <c:v>-6.1142478837152883</c:v>
                </c:pt>
                <c:pt idx="90">
                  <c:v>-7.4755798159866353</c:v>
                </c:pt>
                <c:pt idx="91">
                  <c:v>-8.0075939555952065</c:v>
                </c:pt>
                <c:pt idx="92">
                  <c:v>-10.346423062448181</c:v>
                </c:pt>
                <c:pt idx="93">
                  <c:v>-12.396752254077386</c:v>
                </c:pt>
                <c:pt idx="94">
                  <c:v>-13.189107587765376</c:v>
                </c:pt>
                <c:pt idx="95">
                  <c:v>-15.473739080006817</c:v>
                </c:pt>
                <c:pt idx="96">
                  <c:v>-17.277497923227266</c:v>
                </c:pt>
                <c:pt idx="97">
                  <c:v>-17.916549442135025</c:v>
                </c:pt>
                <c:pt idx="98">
                  <c:v>-18.246129208501618</c:v>
                </c:pt>
                <c:pt idx="99">
                  <c:v>-21.685059072387968</c:v>
                </c:pt>
                <c:pt idx="100">
                  <c:v>-22.499856433443419</c:v>
                </c:pt>
                <c:pt idx="101">
                  <c:v>-22.509130156880889</c:v>
                </c:pt>
                <c:pt idx="102">
                  <c:v>-24.668162596887573</c:v>
                </c:pt>
                <c:pt idx="103">
                  <c:v>-25.532213409465971</c:v>
                </c:pt>
                <c:pt idx="104">
                  <c:v>-24.818465429996646</c:v>
                </c:pt>
                <c:pt idx="105">
                  <c:v>-26.803886141333827</c:v>
                </c:pt>
                <c:pt idx="106">
                  <c:v>-26.842240638157016</c:v>
                </c:pt>
                <c:pt idx="107">
                  <c:v>-27.152658563376491</c:v>
                </c:pt>
                <c:pt idx="108">
                  <c:v>-29.698627326411732</c:v>
                </c:pt>
                <c:pt idx="109">
                  <c:v>-30.258808830252288</c:v>
                </c:pt>
                <c:pt idx="110">
                  <c:v>-32.31469554204476</c:v>
                </c:pt>
                <c:pt idx="111">
                  <c:v>-32.689881946491603</c:v>
                </c:pt>
                <c:pt idx="112">
                  <c:v>-31.087393033471798</c:v>
                </c:pt>
                <c:pt idx="113">
                  <c:v>-31.556304779367895</c:v>
                </c:pt>
                <c:pt idx="114">
                  <c:v>-33.196958378143144</c:v>
                </c:pt>
                <c:pt idx="115">
                  <c:v>-33.306532939735014</c:v>
                </c:pt>
                <c:pt idx="116">
                  <c:v>-33.78365338795377</c:v>
                </c:pt>
                <c:pt idx="117">
                  <c:v>-33.376673959166794</c:v>
                </c:pt>
                <c:pt idx="118">
                  <c:v>-32.752830431259355</c:v>
                </c:pt>
                <c:pt idx="119">
                  <c:v>-34.003697016351992</c:v>
                </c:pt>
                <c:pt idx="120">
                  <c:v>-33.378234789974549</c:v>
                </c:pt>
                <c:pt idx="121">
                  <c:v>-34.499197520439608</c:v>
                </c:pt>
                <c:pt idx="122">
                  <c:v>-35.206844336932996</c:v>
                </c:pt>
                <c:pt idx="123">
                  <c:v>-35.322505708147709</c:v>
                </c:pt>
                <c:pt idx="124">
                  <c:v>-35.675122632254549</c:v>
                </c:pt>
                <c:pt idx="125">
                  <c:v>-36.380836843720957</c:v>
                </c:pt>
                <c:pt idx="126">
                  <c:v>-36.882864021979614</c:v>
                </c:pt>
                <c:pt idx="127">
                  <c:v>-38.050276060225805</c:v>
                </c:pt>
                <c:pt idx="128">
                  <c:v>-37.331773093318127</c:v>
                </c:pt>
                <c:pt idx="129">
                  <c:v>-36.869026962889166</c:v>
                </c:pt>
                <c:pt idx="130">
                  <c:v>-38.148158189389036</c:v>
                </c:pt>
                <c:pt idx="131">
                  <c:v>-36.542469539493979</c:v>
                </c:pt>
                <c:pt idx="132">
                  <c:v>-37.433593342383354</c:v>
                </c:pt>
                <c:pt idx="133">
                  <c:v>-37.557087192795876</c:v>
                </c:pt>
                <c:pt idx="134">
                  <c:v>-37.414441634770284</c:v>
                </c:pt>
                <c:pt idx="135">
                  <c:v>-38.365138309139937</c:v>
                </c:pt>
                <c:pt idx="136">
                  <c:v>-39.099050301083807</c:v>
                </c:pt>
                <c:pt idx="137">
                  <c:v>-39.351463036902096</c:v>
                </c:pt>
                <c:pt idx="138">
                  <c:v>-38.027889937654876</c:v>
                </c:pt>
                <c:pt idx="139">
                  <c:v>-39.276897290211778</c:v>
                </c:pt>
                <c:pt idx="140">
                  <c:v>-38.675911717206063</c:v>
                </c:pt>
                <c:pt idx="141">
                  <c:v>-38.84364666366077</c:v>
                </c:pt>
                <c:pt idx="142">
                  <c:v>-38.349795709314975</c:v>
                </c:pt>
                <c:pt idx="143">
                  <c:v>-38.279910062342054</c:v>
                </c:pt>
                <c:pt idx="144">
                  <c:v>-38.441025389794412</c:v>
                </c:pt>
                <c:pt idx="145">
                  <c:v>-37.034440741295342</c:v>
                </c:pt>
                <c:pt idx="146">
                  <c:v>-37.824330903060002</c:v>
                </c:pt>
                <c:pt idx="147">
                  <c:v>-36.512140528059099</c:v>
                </c:pt>
                <c:pt idx="148">
                  <c:v>-37.092615537885372</c:v>
                </c:pt>
                <c:pt idx="149">
                  <c:v>-36.016065571166834</c:v>
                </c:pt>
                <c:pt idx="150">
                  <c:v>-36.339284696089891</c:v>
                </c:pt>
                <c:pt idx="151">
                  <c:v>-37.367368639955238</c:v>
                </c:pt>
                <c:pt idx="152">
                  <c:v>-36.950268215103819</c:v>
                </c:pt>
                <c:pt idx="153">
                  <c:v>-36.535793835733784</c:v>
                </c:pt>
                <c:pt idx="154">
                  <c:v>-34.294898515246132</c:v>
                </c:pt>
                <c:pt idx="155">
                  <c:v>-35.790624239366878</c:v>
                </c:pt>
                <c:pt idx="156">
                  <c:v>-36.080744155847988</c:v>
                </c:pt>
                <c:pt idx="157">
                  <c:v>-35.488055028618923</c:v>
                </c:pt>
                <c:pt idx="158">
                  <c:v>-34.917186550821825</c:v>
                </c:pt>
                <c:pt idx="159">
                  <c:v>-35.52750945755141</c:v>
                </c:pt>
                <c:pt idx="160">
                  <c:v>-35.597713176433778</c:v>
                </c:pt>
                <c:pt idx="161">
                  <c:v>-36.345081977145995</c:v>
                </c:pt>
                <c:pt idx="162">
                  <c:v>-35.687035507916214</c:v>
                </c:pt>
                <c:pt idx="163">
                  <c:v>-30.062476382037939</c:v>
                </c:pt>
                <c:pt idx="164">
                  <c:v>-20.369798900405229</c:v>
                </c:pt>
                <c:pt idx="165">
                  <c:v>-14.456277302369806</c:v>
                </c:pt>
                <c:pt idx="166">
                  <c:v>-8.4462071056263515</c:v>
                </c:pt>
                <c:pt idx="167">
                  <c:v>-2.0216972559529593</c:v>
                </c:pt>
                <c:pt idx="168">
                  <c:v>2.5197739711120768</c:v>
                </c:pt>
                <c:pt idx="169">
                  <c:v>7.9619281832969406</c:v>
                </c:pt>
                <c:pt idx="170">
                  <c:v>9.9818296271011153</c:v>
                </c:pt>
                <c:pt idx="171">
                  <c:v>14.471001766696032</c:v>
                </c:pt>
                <c:pt idx="172">
                  <c:v>16.220713543138878</c:v>
                </c:pt>
                <c:pt idx="173">
                  <c:v>18.184079770342308</c:v>
                </c:pt>
                <c:pt idx="174">
                  <c:v>19.795805603056078</c:v>
                </c:pt>
                <c:pt idx="175">
                  <c:v>20.605559879563511</c:v>
                </c:pt>
                <c:pt idx="176">
                  <c:v>22.274850777597404</c:v>
                </c:pt>
                <c:pt idx="177">
                  <c:v>22.552718240538542</c:v>
                </c:pt>
                <c:pt idx="178">
                  <c:v>21.786981514048634</c:v>
                </c:pt>
                <c:pt idx="179">
                  <c:v>19.969061705032559</c:v>
                </c:pt>
                <c:pt idx="180">
                  <c:v>19.710713763618141</c:v>
                </c:pt>
                <c:pt idx="181">
                  <c:v>19.306073142932149</c:v>
                </c:pt>
                <c:pt idx="182">
                  <c:v>17.608776460917433</c:v>
                </c:pt>
                <c:pt idx="183">
                  <c:v>17.231690387832028</c:v>
                </c:pt>
                <c:pt idx="184">
                  <c:v>18.043148071777949</c:v>
                </c:pt>
                <c:pt idx="185">
                  <c:v>17.209212399951557</c:v>
                </c:pt>
                <c:pt idx="186">
                  <c:v>16.644165882092715</c:v>
                </c:pt>
                <c:pt idx="187">
                  <c:v>15.533859863020085</c:v>
                </c:pt>
                <c:pt idx="188">
                  <c:v>14.192516671999563</c:v>
                </c:pt>
                <c:pt idx="189">
                  <c:v>13.844374962052342</c:v>
                </c:pt>
                <c:pt idx="190">
                  <c:v>12.157095269030172</c:v>
                </c:pt>
                <c:pt idx="191">
                  <c:v>11.038550609519584</c:v>
                </c:pt>
                <c:pt idx="192">
                  <c:v>9.6667277859857279</c:v>
                </c:pt>
                <c:pt idx="193">
                  <c:v>8.5869060570830342</c:v>
                </c:pt>
                <c:pt idx="194">
                  <c:v>7.2888200610204192</c:v>
                </c:pt>
                <c:pt idx="195">
                  <c:v>6.8604699536962865</c:v>
                </c:pt>
                <c:pt idx="196">
                  <c:v>8.0153215497799764</c:v>
                </c:pt>
                <c:pt idx="197">
                  <c:v>7.0574110515410364</c:v>
                </c:pt>
                <c:pt idx="198">
                  <c:v>6.0869061379151903</c:v>
                </c:pt>
                <c:pt idx="199">
                  <c:v>5.3620585887972023</c:v>
                </c:pt>
                <c:pt idx="200">
                  <c:v>4.7514015856453593</c:v>
                </c:pt>
                <c:pt idx="201">
                  <c:v>4.1950229724250807</c:v>
                </c:pt>
                <c:pt idx="202">
                  <c:v>4.5868370496638668</c:v>
                </c:pt>
                <c:pt idx="203">
                  <c:v>3.6410151125139558</c:v>
                </c:pt>
                <c:pt idx="204">
                  <c:v>2.8087724319360037</c:v>
                </c:pt>
                <c:pt idx="205">
                  <c:v>3.0399316356086845</c:v>
                </c:pt>
                <c:pt idx="206">
                  <c:v>3.6491688597582832</c:v>
                </c:pt>
                <c:pt idx="207">
                  <c:v>3.0958944338035961</c:v>
                </c:pt>
                <c:pt idx="208">
                  <c:v>2.5353781942486484</c:v>
                </c:pt>
                <c:pt idx="209">
                  <c:v>1.9805070898131696</c:v>
                </c:pt>
                <c:pt idx="210">
                  <c:v>0.29811587304019244</c:v>
                </c:pt>
                <c:pt idx="211">
                  <c:v>-1.0348365771449353</c:v>
                </c:pt>
                <c:pt idx="212">
                  <c:v>-1.0814628772165598</c:v>
                </c:pt>
                <c:pt idx="213">
                  <c:v>-1.8448920808130562</c:v>
                </c:pt>
                <c:pt idx="214">
                  <c:v>-2.6157135823903959</c:v>
                </c:pt>
                <c:pt idx="215">
                  <c:v>-2.8992373693542519</c:v>
                </c:pt>
                <c:pt idx="216">
                  <c:v>-3.5188692141916484</c:v>
                </c:pt>
                <c:pt idx="217">
                  <c:v>-2.3505799425279572</c:v>
                </c:pt>
                <c:pt idx="218">
                  <c:v>-2.9078780489032723</c:v>
                </c:pt>
                <c:pt idx="219">
                  <c:v>-3.8435846915283034</c:v>
                </c:pt>
                <c:pt idx="220">
                  <c:v>-4.332476871021516</c:v>
                </c:pt>
                <c:pt idx="221">
                  <c:v>-4.0163241472016633</c:v>
                </c:pt>
                <c:pt idx="222">
                  <c:v>-4.072978761566513</c:v>
                </c:pt>
                <c:pt idx="223">
                  <c:v>-3.2426521291987185</c:v>
                </c:pt>
                <c:pt idx="224">
                  <c:v>-3.5521682293191281</c:v>
                </c:pt>
                <c:pt idx="225">
                  <c:v>-3.5910258309557084</c:v>
                </c:pt>
                <c:pt idx="226">
                  <c:v>-4.485832773747803</c:v>
                </c:pt>
                <c:pt idx="227">
                  <c:v>-5.2576069512846271</c:v>
                </c:pt>
                <c:pt idx="228">
                  <c:v>-5.2944895359585065</c:v>
                </c:pt>
                <c:pt idx="229">
                  <c:v>-4.5735901070279867</c:v>
                </c:pt>
                <c:pt idx="230">
                  <c:v>-4.4391142620224535</c:v>
                </c:pt>
                <c:pt idx="231">
                  <c:v>-4.1177422670208461</c:v>
                </c:pt>
                <c:pt idx="232">
                  <c:v>-4.2608061070970669</c:v>
                </c:pt>
                <c:pt idx="233">
                  <c:v>-4.7169433756279853</c:v>
                </c:pt>
                <c:pt idx="234">
                  <c:v>-5.2797324336473945</c:v>
                </c:pt>
                <c:pt idx="235">
                  <c:v>-5.7934255626576885</c:v>
                </c:pt>
                <c:pt idx="236">
                  <c:v>-4.0763898659581415</c:v>
                </c:pt>
                <c:pt idx="237">
                  <c:v>-4.4140973231562359</c:v>
                </c:pt>
                <c:pt idx="238">
                  <c:v>-3.7302689670640472</c:v>
                </c:pt>
                <c:pt idx="239">
                  <c:v>-3.7896400097553644</c:v>
                </c:pt>
                <c:pt idx="240">
                  <c:v>-4.4756093838504132</c:v>
                </c:pt>
                <c:pt idx="241">
                  <c:v>-5.0406450896193391</c:v>
                </c:pt>
                <c:pt idx="242">
                  <c:v>-5.8259865061439546</c:v>
                </c:pt>
                <c:pt idx="243">
                  <c:v>-3.0557413714964499</c:v>
                </c:pt>
                <c:pt idx="244">
                  <c:v>-2.4649328438173801</c:v>
                </c:pt>
                <c:pt idx="245">
                  <c:v>-1.9845309603363961</c:v>
                </c:pt>
                <c:pt idx="246">
                  <c:v>-2.648384299421874</c:v>
                </c:pt>
                <c:pt idx="247">
                  <c:v>-2.7680393553959979</c:v>
                </c:pt>
                <c:pt idx="248">
                  <c:v>-2.4974239753320311</c:v>
                </c:pt>
                <c:pt idx="249">
                  <c:v>-2.2423102222915228</c:v>
                </c:pt>
                <c:pt idx="250">
                  <c:v>-3.0930130633482702</c:v>
                </c:pt>
                <c:pt idx="251">
                  <c:v>-4.433769788488032</c:v>
                </c:pt>
                <c:pt idx="252">
                  <c:v>-4.3591243936491537</c:v>
                </c:pt>
                <c:pt idx="253">
                  <c:v>-2.3065350658548671</c:v>
                </c:pt>
                <c:pt idx="254">
                  <c:v>-4.2511643956538574</c:v>
                </c:pt>
                <c:pt idx="255">
                  <c:v>-4.5760697860243216</c:v>
                </c:pt>
                <c:pt idx="256">
                  <c:v>-4.3479911770942934</c:v>
                </c:pt>
                <c:pt idx="257">
                  <c:v>-4.5643860069287019</c:v>
                </c:pt>
                <c:pt idx="258">
                  <c:v>-4.4862042664995805</c:v>
                </c:pt>
                <c:pt idx="259">
                  <c:v>-3.2911639809010773</c:v>
                </c:pt>
                <c:pt idx="260">
                  <c:v>-3.6097896378414482</c:v>
                </c:pt>
                <c:pt idx="261">
                  <c:v>-3.9484613519717264</c:v>
                </c:pt>
                <c:pt idx="262">
                  <c:v>-0.84899965797559651</c:v>
                </c:pt>
                <c:pt idx="263">
                  <c:v>0.10786499100424139</c:v>
                </c:pt>
                <c:pt idx="264">
                  <c:v>-0.41857925626389525</c:v>
                </c:pt>
                <c:pt idx="265">
                  <c:v>-0.18496073292476592</c:v>
                </c:pt>
                <c:pt idx="266">
                  <c:v>-0.13861330017537324</c:v>
                </c:pt>
                <c:pt idx="267">
                  <c:v>-0.71519229223556813</c:v>
                </c:pt>
                <c:pt idx="268">
                  <c:v>-0.67114151703525116</c:v>
                </c:pt>
                <c:pt idx="269">
                  <c:v>-1.6039950827170117</c:v>
                </c:pt>
                <c:pt idx="270">
                  <c:v>-2.2128354882101187</c:v>
                </c:pt>
                <c:pt idx="271">
                  <c:v>-3.1232096050625087</c:v>
                </c:pt>
                <c:pt idx="272">
                  <c:v>-3.5994266827164769</c:v>
                </c:pt>
                <c:pt idx="273">
                  <c:v>-3.117764801297819</c:v>
                </c:pt>
                <c:pt idx="274">
                  <c:v>-4.1919793949683575</c:v>
                </c:pt>
                <c:pt idx="275">
                  <c:v>-4.1217140053913113</c:v>
                </c:pt>
                <c:pt idx="276">
                  <c:v>-2.2999785192127837</c:v>
                </c:pt>
                <c:pt idx="277">
                  <c:v>-2.0583836155317994</c:v>
                </c:pt>
                <c:pt idx="278">
                  <c:v>-1.5875541499340506</c:v>
                </c:pt>
                <c:pt idx="279">
                  <c:v>-2.6060593226842572</c:v>
                </c:pt>
                <c:pt idx="280">
                  <c:v>-2.149632215688654</c:v>
                </c:pt>
                <c:pt idx="281">
                  <c:v>-2.7325007289521186</c:v>
                </c:pt>
                <c:pt idx="282">
                  <c:v>-2.5598606392408594</c:v>
                </c:pt>
                <c:pt idx="283">
                  <c:v>-2.6450811195448685</c:v>
                </c:pt>
                <c:pt idx="284">
                  <c:v>-2.3920203692401896</c:v>
                </c:pt>
                <c:pt idx="285">
                  <c:v>-2.703778104436124</c:v>
                </c:pt>
                <c:pt idx="286">
                  <c:v>-2.7713055564317068</c:v>
                </c:pt>
                <c:pt idx="287">
                  <c:v>-2.4905538098324644</c:v>
                </c:pt>
                <c:pt idx="288">
                  <c:v>-2.2418537123821816</c:v>
                </c:pt>
                <c:pt idx="289">
                  <c:v>-1.8616773206258665</c:v>
                </c:pt>
                <c:pt idx="290">
                  <c:v>-1.3527396882576497</c:v>
                </c:pt>
                <c:pt idx="291">
                  <c:v>-1.1132907439562227</c:v>
                </c:pt>
                <c:pt idx="292">
                  <c:v>-1.4635739826903009</c:v>
                </c:pt>
                <c:pt idx="293">
                  <c:v>-0.51034779533746777</c:v>
                </c:pt>
                <c:pt idx="294">
                  <c:v>-0.52565464128582096</c:v>
                </c:pt>
                <c:pt idx="295">
                  <c:v>-1.1020913568988442</c:v>
                </c:pt>
                <c:pt idx="296">
                  <c:v>-2.1349526491933242</c:v>
                </c:pt>
                <c:pt idx="297">
                  <c:v>-2.0396913993431207</c:v>
                </c:pt>
                <c:pt idx="298">
                  <c:v>-1.8154891086538654</c:v>
                </c:pt>
                <c:pt idx="299">
                  <c:v>-1.575583685052304</c:v>
                </c:pt>
                <c:pt idx="300">
                  <c:v>-1.1035197292164833</c:v>
                </c:pt>
                <c:pt idx="301">
                  <c:v>-0.29500931430918925</c:v>
                </c:pt>
                <c:pt idx="302">
                  <c:v>0.36981269033559644</c:v>
                </c:pt>
                <c:pt idx="303">
                  <c:v>1.2222898953702004</c:v>
                </c:pt>
                <c:pt idx="304">
                  <c:v>1.4433202972650785</c:v>
                </c:pt>
                <c:pt idx="305">
                  <c:v>1.6919980406024666</c:v>
                </c:pt>
                <c:pt idx="306">
                  <c:v>1.3323149234245608</c:v>
                </c:pt>
                <c:pt idx="307">
                  <c:v>1.5888566174472905</c:v>
                </c:pt>
                <c:pt idx="308">
                  <c:v>1.1945195223466842</c:v>
                </c:pt>
                <c:pt idx="309">
                  <c:v>-0.15212911731311515</c:v>
                </c:pt>
                <c:pt idx="310">
                  <c:v>0.32819446220247339</c:v>
                </c:pt>
                <c:pt idx="311">
                  <c:v>-0.52362982916497236</c:v>
                </c:pt>
                <c:pt idx="312">
                  <c:v>-1.3321318175402597</c:v>
                </c:pt>
                <c:pt idx="313">
                  <c:v>-0.302199964349044</c:v>
                </c:pt>
                <c:pt idx="314">
                  <c:v>0.65690992060821007</c:v>
                </c:pt>
                <c:pt idx="315">
                  <c:v>0.89776166684023029</c:v>
                </c:pt>
                <c:pt idx="316">
                  <c:v>7.8122381625727239E-2</c:v>
                </c:pt>
                <c:pt idx="317">
                  <c:v>-0.92550789463921412</c:v>
                </c:pt>
                <c:pt idx="318">
                  <c:v>-1.3369525562985802</c:v>
                </c:pt>
                <c:pt idx="319">
                  <c:v>-1.230855171738265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1F-7343-BC3B-7B593A740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'240814B004'!$A$2:$A$321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'240814B004'!$J$2:$J$321</c:f>
              <c:numCache>
                <c:formatCode>0.0</c:formatCode>
                <c:ptCount val="320"/>
                <c:pt idx="0">
                  <c:v>492.29382048186005</c:v>
                </c:pt>
                <c:pt idx="1">
                  <c:v>490.48541016436002</c:v>
                </c:pt>
                <c:pt idx="2">
                  <c:v>487.91716718008001</c:v>
                </c:pt>
                <c:pt idx="3">
                  <c:v>464.23878699069007</c:v>
                </c:pt>
                <c:pt idx="4">
                  <c:v>498.20213471569002</c:v>
                </c:pt>
                <c:pt idx="5">
                  <c:v>527.60761888527998</c:v>
                </c:pt>
                <c:pt idx="6">
                  <c:v>446.10101229589998</c:v>
                </c:pt>
                <c:pt idx="7">
                  <c:v>494.33192165608</c:v>
                </c:pt>
                <c:pt idx="8">
                  <c:v>558.90229067413998</c:v>
                </c:pt>
                <c:pt idx="9">
                  <c:v>599.27838923198999</c:v>
                </c:pt>
                <c:pt idx="10">
                  <c:v>642.56449934979992</c:v>
                </c:pt>
                <c:pt idx="11">
                  <c:v>642.02840289995004</c:v>
                </c:pt>
                <c:pt idx="12">
                  <c:v>636.61787599588001</c:v>
                </c:pt>
                <c:pt idx="13">
                  <c:v>618.22261769204999</c:v>
                </c:pt>
                <c:pt idx="14">
                  <c:v>617.32656889035002</c:v>
                </c:pt>
                <c:pt idx="15">
                  <c:v>605.91306757311997</c:v>
                </c:pt>
                <c:pt idx="16">
                  <c:v>612.96827435536011</c:v>
                </c:pt>
                <c:pt idx="17">
                  <c:v>599.32755138229993</c:v>
                </c:pt>
                <c:pt idx="18">
                  <c:v>584.80231705874996</c:v>
                </c:pt>
                <c:pt idx="19">
                  <c:v>613.16812693159</c:v>
                </c:pt>
                <c:pt idx="20">
                  <c:v>587.67399219766003</c:v>
                </c:pt>
                <c:pt idx="21">
                  <c:v>615.87791801592994</c:v>
                </c:pt>
                <c:pt idx="22">
                  <c:v>605.67559601212997</c:v>
                </c:pt>
                <c:pt idx="23">
                  <c:v>585.78018073391002</c:v>
                </c:pt>
                <c:pt idx="24">
                  <c:v>592.69291659892997</c:v>
                </c:pt>
                <c:pt idx="25">
                  <c:v>625.94856395399995</c:v>
                </c:pt>
                <c:pt idx="26">
                  <c:v>614.47950098379999</c:v>
                </c:pt>
                <c:pt idx="27">
                  <c:v>619.18482049851002</c:v>
                </c:pt>
                <c:pt idx="28">
                  <c:v>611.09637439661003</c:v>
                </c:pt>
                <c:pt idx="29">
                  <c:v>592.18262587132006</c:v>
                </c:pt>
                <c:pt idx="30">
                  <c:v>586.08889592465005</c:v>
                </c:pt>
                <c:pt idx="31">
                  <c:v>588.33348441014004</c:v>
                </c:pt>
                <c:pt idx="32">
                  <c:v>580.35941173232004</c:v>
                </c:pt>
                <c:pt idx="33">
                  <c:v>568.70893499320005</c:v>
                </c:pt>
                <c:pt idx="34">
                  <c:v>569.19004206147997</c:v>
                </c:pt>
                <c:pt idx="35">
                  <c:v>570.36915152721997</c:v>
                </c:pt>
                <c:pt idx="36">
                  <c:v>585.36306188249</c:v>
                </c:pt>
                <c:pt idx="37">
                  <c:v>581.8453197686099</c:v>
                </c:pt>
                <c:pt idx="38">
                  <c:v>569.87939300605001</c:v>
                </c:pt>
                <c:pt idx="39">
                  <c:v>564.53240585577998</c:v>
                </c:pt>
                <c:pt idx="40">
                  <c:v>557.77520595096007</c:v>
                </c:pt>
                <c:pt idx="41">
                  <c:v>570.19393659591992</c:v>
                </c:pt>
                <c:pt idx="42">
                  <c:v>572.96895569959997</c:v>
                </c:pt>
                <c:pt idx="43">
                  <c:v>603.0822922796799</c:v>
                </c:pt>
                <c:pt idx="44">
                  <c:v>602.87792955058012</c:v>
                </c:pt>
                <c:pt idx="45">
                  <c:v>606.25576843484998</c:v>
                </c:pt>
                <c:pt idx="46">
                  <c:v>605.25807538904996</c:v>
                </c:pt>
                <c:pt idx="47">
                  <c:v>607.01874442256008</c:v>
                </c:pt>
                <c:pt idx="48">
                  <c:v>611.36279625011002</c:v>
                </c:pt>
                <c:pt idx="49">
                  <c:v>607.93887284972004</c:v>
                </c:pt>
                <c:pt idx="50">
                  <c:v>589.99510317910995</c:v>
                </c:pt>
                <c:pt idx="51">
                  <c:v>575.23371804956992</c:v>
                </c:pt>
                <c:pt idx="52">
                  <c:v>616.24140342296994</c:v>
                </c:pt>
                <c:pt idx="53">
                  <c:v>627.09598647322991</c:v>
                </c:pt>
                <c:pt idx="54">
                  <c:v>604.14729366862002</c:v>
                </c:pt>
                <c:pt idx="55">
                  <c:v>591.65394170198999</c:v>
                </c:pt>
                <c:pt idx="56">
                  <c:v>601.0731690380901</c:v>
                </c:pt>
                <c:pt idx="57">
                  <c:v>606.2579237525299</c:v>
                </c:pt>
                <c:pt idx="58">
                  <c:v>583.64622473642999</c:v>
                </c:pt>
                <c:pt idx="59">
                  <c:v>594.53959582696996</c:v>
                </c:pt>
                <c:pt idx="60">
                  <c:v>602.08084765236003</c:v>
                </c:pt>
                <c:pt idx="61">
                  <c:v>596.12230400511999</c:v>
                </c:pt>
                <c:pt idx="62">
                  <c:v>615.50886414265005</c:v>
                </c:pt>
                <c:pt idx="63">
                  <c:v>614.64905795746006</c:v>
                </c:pt>
                <c:pt idx="64">
                  <c:v>620.65890098845</c:v>
                </c:pt>
                <c:pt idx="65">
                  <c:v>619.59511122692004</c:v>
                </c:pt>
                <c:pt idx="66">
                  <c:v>618.41700170600996</c:v>
                </c:pt>
                <c:pt idx="67">
                  <c:v>619.10302225660996</c:v>
                </c:pt>
                <c:pt idx="68">
                  <c:v>616.56770294522005</c:v>
                </c:pt>
                <c:pt idx="69">
                  <c:v>592.37304930893004</c:v>
                </c:pt>
                <c:pt idx="70">
                  <c:v>594.34917889046994</c:v>
                </c:pt>
                <c:pt idx="71">
                  <c:v>580.78726692943007</c:v>
                </c:pt>
                <c:pt idx="72">
                  <c:v>591.19902353135001</c:v>
                </c:pt>
                <c:pt idx="73">
                  <c:v>629.68765072509996</c:v>
                </c:pt>
                <c:pt idx="74">
                  <c:v>634.47478214631008</c:v>
                </c:pt>
                <c:pt idx="75">
                  <c:v>618.37188583569991</c:v>
                </c:pt>
                <c:pt idx="76">
                  <c:v>619.51247986336</c:v>
                </c:pt>
                <c:pt idx="77">
                  <c:v>623.17198439869992</c:v>
                </c:pt>
                <c:pt idx="78">
                  <c:v>621.88182567683998</c:v>
                </c:pt>
                <c:pt idx="79">
                  <c:v>620.59537816184002</c:v>
                </c:pt>
                <c:pt idx="80">
                  <c:v>611.68499014219992</c:v>
                </c:pt>
                <c:pt idx="81">
                  <c:v>620.57147363564002</c:v>
                </c:pt>
                <c:pt idx="82">
                  <c:v>625.26644322329003</c:v>
                </c:pt>
                <c:pt idx="83">
                  <c:v>603.42600629026003</c:v>
                </c:pt>
                <c:pt idx="84">
                  <c:v>588.16703603817007</c:v>
                </c:pt>
                <c:pt idx="85">
                  <c:v>584.60119994795002</c:v>
                </c:pt>
                <c:pt idx="86">
                  <c:v>597.11964218703997</c:v>
                </c:pt>
                <c:pt idx="87">
                  <c:v>627.6948887538399</c:v>
                </c:pt>
                <c:pt idx="88">
                  <c:v>617.67090805699002</c:v>
                </c:pt>
                <c:pt idx="89">
                  <c:v>590.02637946332004</c:v>
                </c:pt>
                <c:pt idx="90">
                  <c:v>591.93750423303993</c:v>
                </c:pt>
                <c:pt idx="91">
                  <c:v>583.97396087314996</c:v>
                </c:pt>
                <c:pt idx="92">
                  <c:v>585.25656205975997</c:v>
                </c:pt>
                <c:pt idx="93">
                  <c:v>586.03167511135007</c:v>
                </c:pt>
                <c:pt idx="94">
                  <c:v>571.98713759205998</c:v>
                </c:pt>
                <c:pt idx="95">
                  <c:v>610.94931129823999</c:v>
                </c:pt>
                <c:pt idx="96">
                  <c:v>615.25502165213004</c:v>
                </c:pt>
                <c:pt idx="97">
                  <c:v>620.12465101990006</c:v>
                </c:pt>
                <c:pt idx="98">
                  <c:v>631.02665799738998</c:v>
                </c:pt>
                <c:pt idx="99">
                  <c:v>629.69245773732007</c:v>
                </c:pt>
                <c:pt idx="100">
                  <c:v>616.78673602079994</c:v>
                </c:pt>
                <c:pt idx="101">
                  <c:v>618.44603381014008</c:v>
                </c:pt>
                <c:pt idx="102">
                  <c:v>619.96033810143001</c:v>
                </c:pt>
                <c:pt idx="103">
                  <c:v>617.50455136541007</c:v>
                </c:pt>
                <c:pt idx="104">
                  <c:v>589.19229801095003</c:v>
                </c:pt>
                <c:pt idx="105">
                  <c:v>559.37112562339996</c:v>
                </c:pt>
                <c:pt idx="106">
                  <c:v>549.13654642611004</c:v>
                </c:pt>
                <c:pt idx="107">
                  <c:v>587.1190448043501</c:v>
                </c:pt>
                <c:pt idx="108">
                  <c:v>562.68274180749995</c:v>
                </c:pt>
                <c:pt idx="109">
                  <c:v>553.18741355697</c:v>
                </c:pt>
                <c:pt idx="110">
                  <c:v>554.50933057333998</c:v>
                </c:pt>
                <c:pt idx="111">
                  <c:v>548.28114290874009</c:v>
                </c:pt>
                <c:pt idx="112">
                  <c:v>546.37089978388997</c:v>
                </c:pt>
                <c:pt idx="113">
                  <c:v>547.30154620688995</c:v>
                </c:pt>
                <c:pt idx="114">
                  <c:v>546.67161985066002</c:v>
                </c:pt>
                <c:pt idx="115">
                  <c:v>548.67026418761998</c:v>
                </c:pt>
                <c:pt idx="116">
                  <c:v>546.48443413620998</c:v>
                </c:pt>
                <c:pt idx="117">
                  <c:v>545.56025042425006</c:v>
                </c:pt>
                <c:pt idx="118">
                  <c:v>546.44094574900998</c:v>
                </c:pt>
                <c:pt idx="119">
                  <c:v>551.34892437230997</c:v>
                </c:pt>
                <c:pt idx="120">
                  <c:v>552.14192690642994</c:v>
                </c:pt>
                <c:pt idx="121">
                  <c:v>552.07001642998</c:v>
                </c:pt>
                <c:pt idx="122">
                  <c:v>553.29818510770997</c:v>
                </c:pt>
                <c:pt idx="123">
                  <c:v>554.5865054779299</c:v>
                </c:pt>
                <c:pt idx="124">
                  <c:v>546.97358292497995</c:v>
                </c:pt>
                <c:pt idx="125">
                  <c:v>557.31747408714</c:v>
                </c:pt>
                <c:pt idx="126">
                  <c:v>546.36020215155997</c:v>
                </c:pt>
                <c:pt idx="127">
                  <c:v>549.57210240995005</c:v>
                </c:pt>
                <c:pt idx="128">
                  <c:v>547.3535237194501</c:v>
                </c:pt>
                <c:pt idx="129">
                  <c:v>547.43127860436005</c:v>
                </c:pt>
                <c:pt idx="130">
                  <c:v>548.48180129364005</c:v>
                </c:pt>
                <c:pt idx="131">
                  <c:v>547.82495144646998</c:v>
                </c:pt>
                <c:pt idx="132">
                  <c:v>542.31260534004002</c:v>
                </c:pt>
                <c:pt idx="133">
                  <c:v>538.21722341377995</c:v>
                </c:pt>
                <c:pt idx="134">
                  <c:v>531.56967557799999</c:v>
                </c:pt>
                <c:pt idx="135">
                  <c:v>530.62951885565997</c:v>
                </c:pt>
                <c:pt idx="136">
                  <c:v>528.02900207723997</c:v>
                </c:pt>
                <c:pt idx="137">
                  <c:v>541.9341115971099</c:v>
                </c:pt>
                <c:pt idx="138">
                  <c:v>523.24224832384994</c:v>
                </c:pt>
                <c:pt idx="139">
                  <c:v>554.42958606494005</c:v>
                </c:pt>
                <c:pt idx="140">
                  <c:v>547.98070386142001</c:v>
                </c:pt>
                <c:pt idx="141">
                  <c:v>551.60538044833004</c:v>
                </c:pt>
                <c:pt idx="142">
                  <c:v>560.48211372502999</c:v>
                </c:pt>
                <c:pt idx="143">
                  <c:v>536.32186428654995</c:v>
                </c:pt>
                <c:pt idx="144">
                  <c:v>551.68523102033998</c:v>
                </c:pt>
                <c:pt idx="145">
                  <c:v>548.89606598474006</c:v>
                </c:pt>
                <c:pt idx="146">
                  <c:v>540.94482400708989</c:v>
                </c:pt>
                <c:pt idx="147">
                  <c:v>542.86688094057001</c:v>
                </c:pt>
                <c:pt idx="148">
                  <c:v>564.48116243934999</c:v>
                </c:pt>
                <c:pt idx="149">
                  <c:v>573.47809116198005</c:v>
                </c:pt>
                <c:pt idx="150">
                  <c:v>568.92407615489003</c:v>
                </c:pt>
                <c:pt idx="151">
                  <c:v>543.82572252295995</c:v>
                </c:pt>
                <c:pt idx="152">
                  <c:v>534.32971693833997</c:v>
                </c:pt>
                <c:pt idx="153">
                  <c:v>596.38816771571999</c:v>
                </c:pt>
                <c:pt idx="154">
                  <c:v>588.39642152218005</c:v>
                </c:pt>
                <c:pt idx="155">
                  <c:v>559.29498960364992</c:v>
                </c:pt>
                <c:pt idx="156">
                  <c:v>570.7702461033</c:v>
                </c:pt>
                <c:pt idx="157">
                  <c:v>582.04386341926988</c:v>
                </c:pt>
                <c:pt idx="158">
                  <c:v>586.55467349379001</c:v>
                </c:pt>
                <c:pt idx="159">
                  <c:v>585.49075724669001</c:v>
                </c:pt>
                <c:pt idx="160">
                  <c:v>565.33201593917988</c:v>
                </c:pt>
                <c:pt idx="161">
                  <c:v>556.83186081226006</c:v>
                </c:pt>
                <c:pt idx="162">
                  <c:v>538.83725680811006</c:v>
                </c:pt>
                <c:pt idx="163">
                  <c:v>528.68091076251994</c:v>
                </c:pt>
                <c:pt idx="164">
                  <c:v>533.58133556224993</c:v>
                </c:pt>
                <c:pt idx="165">
                  <c:v>565.27503250975008</c:v>
                </c:pt>
                <c:pt idx="166">
                  <c:v>575.3759180541</c:v>
                </c:pt>
                <c:pt idx="167">
                  <c:v>568.37026881834993</c:v>
                </c:pt>
                <c:pt idx="168">
                  <c:v>568.24001705429998</c:v>
                </c:pt>
                <c:pt idx="169">
                  <c:v>633.6738165428601</c:v>
                </c:pt>
                <c:pt idx="170">
                  <c:v>629.17956447144002</c:v>
                </c:pt>
                <c:pt idx="171">
                  <c:v>604.95383615084006</c:v>
                </c:pt>
                <c:pt idx="172">
                  <c:v>607.99284785435998</c:v>
                </c:pt>
                <c:pt idx="173">
                  <c:v>610.53055916774997</c:v>
                </c:pt>
                <c:pt idx="174">
                  <c:v>617.74707412223006</c:v>
                </c:pt>
                <c:pt idx="175">
                  <c:v>609.16970091026997</c:v>
                </c:pt>
                <c:pt idx="176">
                  <c:v>608.43498049414995</c:v>
                </c:pt>
                <c:pt idx="177">
                  <c:v>605.63068920676005</c:v>
                </c:pt>
                <c:pt idx="178">
                  <c:v>607.24837451234998</c:v>
                </c:pt>
                <c:pt idx="179">
                  <c:v>615.26657997399991</c:v>
                </c:pt>
                <c:pt idx="180">
                  <c:v>610.38881664499002</c:v>
                </c:pt>
                <c:pt idx="181">
                  <c:v>612.64499349804998</c:v>
                </c:pt>
                <c:pt idx="182">
                  <c:v>614.99609882965001</c:v>
                </c:pt>
                <c:pt idx="183">
                  <c:v>615.78608582574998</c:v>
                </c:pt>
                <c:pt idx="184">
                  <c:v>613.43433029908999</c:v>
                </c:pt>
                <c:pt idx="185">
                  <c:v>609.01170351104997</c:v>
                </c:pt>
                <c:pt idx="186">
                  <c:v>575.80801834340991</c:v>
                </c:pt>
                <c:pt idx="187">
                  <c:v>574.14294870608001</c:v>
                </c:pt>
                <c:pt idx="188">
                  <c:v>564.54098163471997</c:v>
                </c:pt>
                <c:pt idx="189">
                  <c:v>574.34831445553004</c:v>
                </c:pt>
                <c:pt idx="190">
                  <c:v>582.15081917847999</c:v>
                </c:pt>
                <c:pt idx="191">
                  <c:v>573.56485832481007</c:v>
                </c:pt>
                <c:pt idx="192">
                  <c:v>585.10995997828991</c:v>
                </c:pt>
                <c:pt idx="193">
                  <c:v>576.01553398058002</c:v>
                </c:pt>
                <c:pt idx="194">
                  <c:v>590.08169732473004</c:v>
                </c:pt>
                <c:pt idx="195">
                  <c:v>600.07504260987002</c:v>
                </c:pt>
                <c:pt idx="196">
                  <c:v>609.09966543361008</c:v>
                </c:pt>
                <c:pt idx="197">
                  <c:v>606.79795472622004</c:v>
                </c:pt>
                <c:pt idx="198">
                  <c:v>595.80161966877995</c:v>
                </c:pt>
                <c:pt idx="199">
                  <c:v>586.61974636489992</c:v>
                </c:pt>
                <c:pt idx="200">
                  <c:v>551.50005568315999</c:v>
                </c:pt>
                <c:pt idx="201">
                  <c:v>545.63121296336999</c:v>
                </c:pt>
                <c:pt idx="202">
                  <c:v>546.10916452656011</c:v>
                </c:pt>
                <c:pt idx="203">
                  <c:v>551.62519750774004</c:v>
                </c:pt>
                <c:pt idx="204">
                  <c:v>544.88247389165008</c:v>
                </c:pt>
                <c:pt idx="205">
                  <c:v>550.94672338557996</c:v>
                </c:pt>
                <c:pt idx="206">
                  <c:v>567.11780502270005</c:v>
                </c:pt>
                <c:pt idx="207">
                  <c:v>567.44032842254001</c:v>
                </c:pt>
                <c:pt idx="208">
                  <c:v>570.01076861771003</c:v>
                </c:pt>
                <c:pt idx="209">
                  <c:v>556.74749093546995</c:v>
                </c:pt>
                <c:pt idx="210">
                  <c:v>557.55541601149991</c:v>
                </c:pt>
                <c:pt idx="211">
                  <c:v>537.99700467152002</c:v>
                </c:pt>
                <c:pt idx="212">
                  <c:v>541.18581603313999</c:v>
                </c:pt>
                <c:pt idx="213">
                  <c:v>525.54670752470997</c:v>
                </c:pt>
                <c:pt idx="214">
                  <c:v>548.79351506229</c:v>
                </c:pt>
                <c:pt idx="215">
                  <c:v>550.66948951265999</c:v>
                </c:pt>
                <c:pt idx="216">
                  <c:v>551.87018281955</c:v>
                </c:pt>
                <c:pt idx="217">
                  <c:v>549.43172016965002</c:v>
                </c:pt>
                <c:pt idx="218">
                  <c:v>557.74575078404996</c:v>
                </c:pt>
                <c:pt idx="219">
                  <c:v>569.24902470740994</c:v>
                </c:pt>
                <c:pt idx="220">
                  <c:v>563.97334200260002</c:v>
                </c:pt>
                <c:pt idx="221">
                  <c:v>566.76267880364003</c:v>
                </c:pt>
                <c:pt idx="222">
                  <c:v>567.39076723017001</c:v>
                </c:pt>
                <c:pt idx="223">
                  <c:v>563.15734720416003</c:v>
                </c:pt>
                <c:pt idx="224">
                  <c:v>560.26527958387999</c:v>
                </c:pt>
                <c:pt idx="225">
                  <c:v>557.61248374512002</c:v>
                </c:pt>
                <c:pt idx="226">
                  <c:v>572.57367767685992</c:v>
                </c:pt>
                <c:pt idx="227">
                  <c:v>570.02146402183996</c:v>
                </c:pt>
                <c:pt idx="228">
                  <c:v>599.73944370609001</c:v>
                </c:pt>
                <c:pt idx="229">
                  <c:v>605.65345530424997</c:v>
                </c:pt>
                <c:pt idx="230">
                  <c:v>596.95488666042002</c:v>
                </c:pt>
                <c:pt idx="231">
                  <c:v>594.29650200957997</c:v>
                </c:pt>
                <c:pt idx="232">
                  <c:v>604.04850884946995</c:v>
                </c:pt>
                <c:pt idx="233">
                  <c:v>597.78851468143</c:v>
                </c:pt>
                <c:pt idx="234">
                  <c:v>595.25832001058996</c:v>
                </c:pt>
                <c:pt idx="235">
                  <c:v>596.20086518503001</c:v>
                </c:pt>
                <c:pt idx="236">
                  <c:v>589.39187841900002</c:v>
                </c:pt>
                <c:pt idx="237">
                  <c:v>587.12538440728997</c:v>
                </c:pt>
                <c:pt idx="238">
                  <c:v>588.96608788210006</c:v>
                </c:pt>
                <c:pt idx="239">
                  <c:v>592.27455466062997</c:v>
                </c:pt>
                <c:pt idx="240">
                  <c:v>596.8506800097</c:v>
                </c:pt>
                <c:pt idx="241">
                  <c:v>597.34062388406005</c:v>
                </c:pt>
                <c:pt idx="242">
                  <c:v>582.02835002055008</c:v>
                </c:pt>
                <c:pt idx="243">
                  <c:v>587.56777693930007</c:v>
                </c:pt>
                <c:pt idx="244">
                  <c:v>591.34421595908998</c:v>
                </c:pt>
                <c:pt idx="245">
                  <c:v>595.27741178572001</c:v>
                </c:pt>
                <c:pt idx="246">
                  <c:v>570.59228122563002</c:v>
                </c:pt>
                <c:pt idx="247">
                  <c:v>578.55137343672004</c:v>
                </c:pt>
                <c:pt idx="248">
                  <c:v>577.05198222884997</c:v>
                </c:pt>
                <c:pt idx="249">
                  <c:v>573.63979695838998</c:v>
                </c:pt>
                <c:pt idx="250">
                  <c:v>582.05849998243002</c:v>
                </c:pt>
                <c:pt idx="251">
                  <c:v>577.25816593112006</c:v>
                </c:pt>
                <c:pt idx="252">
                  <c:v>572.98521287403003</c:v>
                </c:pt>
                <c:pt idx="253">
                  <c:v>567.97088682588992</c:v>
                </c:pt>
                <c:pt idx="254">
                  <c:v>564.57285615542992</c:v>
                </c:pt>
                <c:pt idx="255">
                  <c:v>557.29853827448005</c:v>
                </c:pt>
                <c:pt idx="256">
                  <c:v>543.83920098809995</c:v>
                </c:pt>
                <c:pt idx="257">
                  <c:v>540.71966216633996</c:v>
                </c:pt>
                <c:pt idx="258">
                  <c:v>539.61470210690004</c:v>
                </c:pt>
                <c:pt idx="259">
                  <c:v>537.59297873016999</c:v>
                </c:pt>
                <c:pt idx="260">
                  <c:v>539.14260944950001</c:v>
                </c:pt>
                <c:pt idx="261">
                  <c:v>547.43224247839998</c:v>
                </c:pt>
                <c:pt idx="262">
                  <c:v>549.58356071697006</c:v>
                </c:pt>
                <c:pt idx="263">
                  <c:v>555.34269625579998</c:v>
                </c:pt>
                <c:pt idx="264">
                  <c:v>536.96892016823995</c:v>
                </c:pt>
                <c:pt idx="265">
                  <c:v>531.74366144479006</c:v>
                </c:pt>
                <c:pt idx="266">
                  <c:v>529.24106489759004</c:v>
                </c:pt>
                <c:pt idx="267">
                  <c:v>535.41460178939008</c:v>
                </c:pt>
                <c:pt idx="268">
                  <c:v>549.43148606298996</c:v>
                </c:pt>
                <c:pt idx="269">
                  <c:v>562.25653783934001</c:v>
                </c:pt>
                <c:pt idx="270">
                  <c:v>558.01349962768006</c:v>
                </c:pt>
                <c:pt idx="271">
                  <c:v>556.05741948537002</c:v>
                </c:pt>
                <c:pt idx="272">
                  <c:v>561.94780809969006</c:v>
                </c:pt>
                <c:pt idx="273">
                  <c:v>547.09977980507006</c:v>
                </c:pt>
                <c:pt idx="274">
                  <c:v>523.04354882494999</c:v>
                </c:pt>
                <c:pt idx="275">
                  <c:v>512.27638265539997</c:v>
                </c:pt>
                <c:pt idx="276">
                  <c:v>523.02042456024992</c:v>
                </c:pt>
                <c:pt idx="277">
                  <c:v>523.03751337347012</c:v>
                </c:pt>
                <c:pt idx="278">
                  <c:v>524.44556986235</c:v>
                </c:pt>
                <c:pt idx="279">
                  <c:v>532.45009199612002</c:v>
                </c:pt>
                <c:pt idx="280">
                  <c:v>533.82830758027001</c:v>
                </c:pt>
                <c:pt idx="281">
                  <c:v>524.27504712557004</c:v>
                </c:pt>
                <c:pt idx="282">
                  <c:v>539.38159779103</c:v>
                </c:pt>
                <c:pt idx="283">
                  <c:v>534.54531268471999</c:v>
                </c:pt>
                <c:pt idx="284">
                  <c:v>530.40974701502</c:v>
                </c:pt>
                <c:pt idx="285">
                  <c:v>532.3644410855801</c:v>
                </c:pt>
                <c:pt idx="286">
                  <c:v>514.10259318055</c:v>
                </c:pt>
                <c:pt idx="287">
                  <c:v>508.31859305364003</c:v>
                </c:pt>
                <c:pt idx="288">
                  <c:v>510.81932026210001</c:v>
                </c:pt>
                <c:pt idx="289">
                  <c:v>527.75675067866996</c:v>
                </c:pt>
                <c:pt idx="290">
                  <c:v>523.67292108462993</c:v>
                </c:pt>
                <c:pt idx="291">
                  <c:v>525.7824032154499</c:v>
                </c:pt>
                <c:pt idx="292">
                  <c:v>524.32861263310997</c:v>
                </c:pt>
                <c:pt idx="293">
                  <c:v>521.27924000172004</c:v>
                </c:pt>
                <c:pt idx="294">
                  <c:v>515.36439656750997</c:v>
                </c:pt>
                <c:pt idx="295">
                  <c:v>504.68907816132003</c:v>
                </c:pt>
                <c:pt idx="296">
                  <c:v>502.95615730912999</c:v>
                </c:pt>
                <c:pt idx="297">
                  <c:v>500.08525085177007</c:v>
                </c:pt>
                <c:pt idx="298">
                  <c:v>519.72384913789995</c:v>
                </c:pt>
                <c:pt idx="299">
                  <c:v>520.30569618067</c:v>
                </c:pt>
                <c:pt idx="300">
                  <c:v>508.68812674143999</c:v>
                </c:pt>
                <c:pt idx="301">
                  <c:v>508.08362541041004</c:v>
                </c:pt>
                <c:pt idx="302">
                  <c:v>506.96409865503</c:v>
                </c:pt>
                <c:pt idx="303">
                  <c:v>501.72560593226001</c:v>
                </c:pt>
                <c:pt idx="304">
                  <c:v>502.87473859976001</c:v>
                </c:pt>
                <c:pt idx="305">
                  <c:v>491.52319926248998</c:v>
                </c:pt>
                <c:pt idx="306">
                  <c:v>505.98709089284</c:v>
                </c:pt>
                <c:pt idx="307">
                  <c:v>514.96510745131002</c:v>
                </c:pt>
                <c:pt idx="308">
                  <c:v>489.44027373800998</c:v>
                </c:pt>
                <c:pt idx="309">
                  <c:v>490.62897329742998</c:v>
                </c:pt>
                <c:pt idx="310">
                  <c:v>479.82448676539002</c:v>
                </c:pt>
                <c:pt idx="311">
                  <c:v>471.61820023648005</c:v>
                </c:pt>
                <c:pt idx="312">
                  <c:v>482.85307150797007</c:v>
                </c:pt>
                <c:pt idx="313">
                  <c:v>492.64694408322003</c:v>
                </c:pt>
                <c:pt idx="314">
                  <c:v>503.79822724881001</c:v>
                </c:pt>
                <c:pt idx="315">
                  <c:v>504.87628443760997</c:v>
                </c:pt>
                <c:pt idx="316">
                  <c:v>528.18492344832998</c:v>
                </c:pt>
                <c:pt idx="317">
                  <c:v>529.37554045079003</c:v>
                </c:pt>
                <c:pt idx="318">
                  <c:v>492.55548748760998</c:v>
                </c:pt>
                <c:pt idx="319">
                  <c:v>469.03446033809996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8-804B-949F-00F63B880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3-3E43-BDD5-DC63EFB2B83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'240814B004'!$A$2:$A$321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'240814B004'!$P$2:$P$321</c:f>
              <c:numCache>
                <c:formatCode>General</c:formatCode>
                <c:ptCount val="320"/>
                <c:pt idx="0">
                  <c:v>6.4234285306525178</c:v>
                </c:pt>
                <c:pt idx="1">
                  <c:v>3.8367870103169341</c:v>
                </c:pt>
                <c:pt idx="2">
                  <c:v>1.7650449992484007</c:v>
                </c:pt>
                <c:pt idx="3">
                  <c:v>7.6591557544080811</c:v>
                </c:pt>
                <c:pt idx="4">
                  <c:v>12.55828668125463</c:v>
                </c:pt>
                <c:pt idx="5">
                  <c:v>15.786868890717665</c:v>
                </c:pt>
                <c:pt idx="6">
                  <c:v>19.367255483684847</c:v>
                </c:pt>
                <c:pt idx="7">
                  <c:v>17.391967795419433</c:v>
                </c:pt>
                <c:pt idx="8">
                  <c:v>15.424091243636459</c:v>
                </c:pt>
                <c:pt idx="9">
                  <c:v>15.945315877252433</c:v>
                </c:pt>
                <c:pt idx="10">
                  <c:v>13.257588022631028</c:v>
                </c:pt>
                <c:pt idx="11">
                  <c:v>13.364304317866482</c:v>
                </c:pt>
                <c:pt idx="12">
                  <c:v>13.006872200933554</c:v>
                </c:pt>
                <c:pt idx="13">
                  <c:v>13.368251990008497</c:v>
                </c:pt>
                <c:pt idx="14">
                  <c:v>13.92900711451226</c:v>
                </c:pt>
                <c:pt idx="15">
                  <c:v>14.299018034047888</c:v>
                </c:pt>
                <c:pt idx="16">
                  <c:v>15.96509988976657</c:v>
                </c:pt>
                <c:pt idx="17">
                  <c:v>16.463185791453078</c:v>
                </c:pt>
                <c:pt idx="18">
                  <c:v>15.687028538084371</c:v>
                </c:pt>
                <c:pt idx="19">
                  <c:v>15.074595140834216</c:v>
                </c:pt>
                <c:pt idx="20">
                  <c:v>12.601123156189745</c:v>
                </c:pt>
                <c:pt idx="21">
                  <c:v>9.6225139967361351</c:v>
                </c:pt>
                <c:pt idx="22">
                  <c:v>7.6613936087617542</c:v>
                </c:pt>
                <c:pt idx="23">
                  <c:v>7.3894180844419077</c:v>
                </c:pt>
                <c:pt idx="24">
                  <c:v>5.6929697126205818</c:v>
                </c:pt>
                <c:pt idx="25">
                  <c:v>3.3894853381532606</c:v>
                </c:pt>
                <c:pt idx="26">
                  <c:v>2.4103002526581121</c:v>
                </c:pt>
                <c:pt idx="27">
                  <c:v>2.0327595982474507</c:v>
                </c:pt>
                <c:pt idx="28">
                  <c:v>1.8688069475686444</c:v>
                </c:pt>
                <c:pt idx="29">
                  <c:v>0.57276412858358983</c:v>
                </c:pt>
                <c:pt idx="30">
                  <c:v>-0.26463381412652032</c:v>
                </c:pt>
                <c:pt idx="31">
                  <c:v>-0.8593752987027935</c:v>
                </c:pt>
                <c:pt idx="32">
                  <c:v>-0.844842286123762</c:v>
                </c:pt>
                <c:pt idx="33">
                  <c:v>0.49177449709969884</c:v>
                </c:pt>
                <c:pt idx="34">
                  <c:v>0.84064374703079725</c:v>
                </c:pt>
                <c:pt idx="35">
                  <c:v>2.7777148328976584</c:v>
                </c:pt>
                <c:pt idx="36">
                  <c:v>4.884767268514298</c:v>
                </c:pt>
                <c:pt idx="37">
                  <c:v>5.0288830474436041</c:v>
                </c:pt>
                <c:pt idx="38">
                  <c:v>6.277775342949238</c:v>
                </c:pt>
                <c:pt idx="39">
                  <c:v>6.521989847943221</c:v>
                </c:pt>
                <c:pt idx="40">
                  <c:v>6.8569997030302838</c:v>
                </c:pt>
                <c:pt idx="41">
                  <c:v>6.129984623682323</c:v>
                </c:pt>
                <c:pt idx="42">
                  <c:v>5.9242575811680238</c:v>
                </c:pt>
                <c:pt idx="43">
                  <c:v>4.7640465558672513</c:v>
                </c:pt>
                <c:pt idx="44">
                  <c:v>5.6166455648728384</c:v>
                </c:pt>
                <c:pt idx="45">
                  <c:v>5.9032570631299661</c:v>
                </c:pt>
                <c:pt idx="46">
                  <c:v>5.5075632710231073</c:v>
                </c:pt>
                <c:pt idx="47">
                  <c:v>6.5386508535831371</c:v>
                </c:pt>
                <c:pt idx="48">
                  <c:v>6.0087604747961549</c:v>
                </c:pt>
                <c:pt idx="49">
                  <c:v>6.5179442491037953</c:v>
                </c:pt>
                <c:pt idx="50">
                  <c:v>5.3401491997674588</c:v>
                </c:pt>
                <c:pt idx="51">
                  <c:v>6.5035734029950056</c:v>
                </c:pt>
                <c:pt idx="52">
                  <c:v>5.7568891018892758</c:v>
                </c:pt>
                <c:pt idx="53">
                  <c:v>5.4054033692397949</c:v>
                </c:pt>
                <c:pt idx="54">
                  <c:v>4.7405884137804746</c:v>
                </c:pt>
                <c:pt idx="55">
                  <c:v>3.6501431632472285</c:v>
                </c:pt>
                <c:pt idx="56">
                  <c:v>3.356283922459216</c:v>
                </c:pt>
                <c:pt idx="57">
                  <c:v>2.0491368170573363</c:v>
                </c:pt>
                <c:pt idx="58">
                  <c:v>1.2107016461115412</c:v>
                </c:pt>
                <c:pt idx="59">
                  <c:v>1.3598555886419232</c:v>
                </c:pt>
                <c:pt idx="60">
                  <c:v>2.1290457661980686</c:v>
                </c:pt>
                <c:pt idx="61">
                  <c:v>2.42144514469206</c:v>
                </c:pt>
                <c:pt idx="62">
                  <c:v>1.3067108723401111</c:v>
                </c:pt>
                <c:pt idx="63">
                  <c:v>1.3845043889972768</c:v>
                </c:pt>
                <c:pt idx="64">
                  <c:v>0.44029141807609651</c:v>
                </c:pt>
                <c:pt idx="65">
                  <c:v>0.58950437849721971</c:v>
                </c:pt>
                <c:pt idx="66">
                  <c:v>0.48463523424558858</c:v>
                </c:pt>
                <c:pt idx="67">
                  <c:v>0.84276804262335758</c:v>
                </c:pt>
                <c:pt idx="68">
                  <c:v>1.2132062677151649</c:v>
                </c:pt>
                <c:pt idx="69">
                  <c:v>1.6108650322971485</c:v>
                </c:pt>
                <c:pt idx="70">
                  <c:v>0.37011265672511523</c:v>
                </c:pt>
                <c:pt idx="71">
                  <c:v>0.66044496419644649</c:v>
                </c:pt>
                <c:pt idx="72">
                  <c:v>0.45078147595988705</c:v>
                </c:pt>
                <c:pt idx="73">
                  <c:v>-1.3465013337478677</c:v>
                </c:pt>
                <c:pt idx="74">
                  <c:v>-1.0334149539499733</c:v>
                </c:pt>
                <c:pt idx="75">
                  <c:v>-0.69806853009595915</c:v>
                </c:pt>
                <c:pt idx="76">
                  <c:v>-1.7815209494786675</c:v>
                </c:pt>
                <c:pt idx="77">
                  <c:v>-2.6074727761098848</c:v>
                </c:pt>
                <c:pt idx="78">
                  <c:v>-2.7719964844649438</c:v>
                </c:pt>
                <c:pt idx="79">
                  <c:v>-3.6653406147163072</c:v>
                </c:pt>
                <c:pt idx="80">
                  <c:v>-3.6465255027148946</c:v>
                </c:pt>
                <c:pt idx="81">
                  <c:v>-3.5478712936981753</c:v>
                </c:pt>
                <c:pt idx="82">
                  <c:v>-2.7806043569575398</c:v>
                </c:pt>
                <c:pt idx="83">
                  <c:v>-2.8590347379411898</c:v>
                </c:pt>
                <c:pt idx="84">
                  <c:v>-3.0011919319363947</c:v>
                </c:pt>
                <c:pt idx="85">
                  <c:v>-2.2077854041585172</c:v>
                </c:pt>
                <c:pt idx="86">
                  <c:v>-5.5858276373148756</c:v>
                </c:pt>
                <c:pt idx="87">
                  <c:v>-8.6529915689815908</c:v>
                </c:pt>
                <c:pt idx="88">
                  <c:v>-10.526937950295148</c:v>
                </c:pt>
                <c:pt idx="89">
                  <c:v>-11.298302076586781</c:v>
                </c:pt>
                <c:pt idx="90">
                  <c:v>-13.578527437733815</c:v>
                </c:pt>
                <c:pt idx="91">
                  <c:v>-14.235386847030812</c:v>
                </c:pt>
                <c:pt idx="92">
                  <c:v>-15.486083284446147</c:v>
                </c:pt>
                <c:pt idx="93">
                  <c:v>-17.036567982989745</c:v>
                </c:pt>
                <c:pt idx="94">
                  <c:v>-18.26537603954139</c:v>
                </c:pt>
                <c:pt idx="95">
                  <c:v>-21.960138477605661</c:v>
                </c:pt>
                <c:pt idx="96">
                  <c:v>-22.808206791325976</c:v>
                </c:pt>
                <c:pt idx="97">
                  <c:v>-24.403779415211353</c:v>
                </c:pt>
                <c:pt idx="98">
                  <c:v>-25.554489060383279</c:v>
                </c:pt>
                <c:pt idx="99">
                  <c:v>-25.740074641950191</c:v>
                </c:pt>
                <c:pt idx="100">
                  <c:v>-25.622260819636526</c:v>
                </c:pt>
                <c:pt idx="101">
                  <c:v>-26.758441409403734</c:v>
                </c:pt>
                <c:pt idx="102">
                  <c:v>-27.411722340139814</c:v>
                </c:pt>
                <c:pt idx="103">
                  <c:v>-28.473055843604982</c:v>
                </c:pt>
                <c:pt idx="104">
                  <c:v>-26.965106860046404</c:v>
                </c:pt>
                <c:pt idx="105">
                  <c:v>-26.149005777600358</c:v>
                </c:pt>
                <c:pt idx="106">
                  <c:v>-26.335544753667161</c:v>
                </c:pt>
                <c:pt idx="107">
                  <c:v>-29.23860632752956</c:v>
                </c:pt>
                <c:pt idx="108">
                  <c:v>-27.256753804853616</c:v>
                </c:pt>
                <c:pt idx="109">
                  <c:v>-26.346028058758446</c:v>
                </c:pt>
                <c:pt idx="110">
                  <c:v>-27.067709142328962</c:v>
                </c:pt>
                <c:pt idx="111">
                  <c:v>-26.944206483857563</c:v>
                </c:pt>
                <c:pt idx="112">
                  <c:v>-26.83203608044505</c:v>
                </c:pt>
                <c:pt idx="113">
                  <c:v>-27.422620840519507</c:v>
                </c:pt>
                <c:pt idx="114">
                  <c:v>-26.971721202163511</c:v>
                </c:pt>
                <c:pt idx="115">
                  <c:v>-27.9244598966635</c:v>
                </c:pt>
                <c:pt idx="116">
                  <c:v>-27.9996032511118</c:v>
                </c:pt>
                <c:pt idx="117">
                  <c:v>-27.534266035905912</c:v>
                </c:pt>
                <c:pt idx="118">
                  <c:v>-28.118030839564646</c:v>
                </c:pt>
                <c:pt idx="119">
                  <c:v>-28.285064880240778</c:v>
                </c:pt>
                <c:pt idx="120">
                  <c:v>-28.491328838156289</c:v>
                </c:pt>
                <c:pt idx="121">
                  <c:v>-27.631480594456232</c:v>
                </c:pt>
                <c:pt idx="122">
                  <c:v>-28.111580385082775</c:v>
                </c:pt>
                <c:pt idx="123">
                  <c:v>-28.021782114577597</c:v>
                </c:pt>
                <c:pt idx="124">
                  <c:v>-27.76647843140006</c:v>
                </c:pt>
                <c:pt idx="125">
                  <c:v>-27.256579123700554</c:v>
                </c:pt>
                <c:pt idx="126">
                  <c:v>-26.735665379403912</c:v>
                </c:pt>
                <c:pt idx="127">
                  <c:v>-26.2837880653234</c:v>
                </c:pt>
                <c:pt idx="128">
                  <c:v>-25.800963875522648</c:v>
                </c:pt>
                <c:pt idx="129">
                  <c:v>-26.083917129579454</c:v>
                </c:pt>
                <c:pt idx="130">
                  <c:v>-25.675462007659071</c:v>
                </c:pt>
                <c:pt idx="131">
                  <c:v>-25.785877523984237</c:v>
                </c:pt>
                <c:pt idx="132">
                  <c:v>-26.380340716562745</c:v>
                </c:pt>
                <c:pt idx="133">
                  <c:v>-25.241713540613087</c:v>
                </c:pt>
                <c:pt idx="134">
                  <c:v>-25.579821044277278</c:v>
                </c:pt>
                <c:pt idx="135">
                  <c:v>-25.514101289874613</c:v>
                </c:pt>
                <c:pt idx="136">
                  <c:v>-25.188606259834451</c:v>
                </c:pt>
                <c:pt idx="137">
                  <c:v>-25.209503292829609</c:v>
                </c:pt>
                <c:pt idx="138">
                  <c:v>-24.804812068010396</c:v>
                </c:pt>
                <c:pt idx="139">
                  <c:v>-25.646534781498886</c:v>
                </c:pt>
                <c:pt idx="140">
                  <c:v>-25.200633967409015</c:v>
                </c:pt>
                <c:pt idx="141">
                  <c:v>-24.91623772041374</c:v>
                </c:pt>
                <c:pt idx="142">
                  <c:v>-24.905161001835676</c:v>
                </c:pt>
                <c:pt idx="143">
                  <c:v>-24.010543485918319</c:v>
                </c:pt>
                <c:pt idx="144">
                  <c:v>-24.500581774017284</c:v>
                </c:pt>
                <c:pt idx="145">
                  <c:v>-24.508635876483257</c:v>
                </c:pt>
                <c:pt idx="146">
                  <c:v>-23.577144227713326</c:v>
                </c:pt>
                <c:pt idx="147">
                  <c:v>-24.096018946892702</c:v>
                </c:pt>
                <c:pt idx="148">
                  <c:v>-25.464934027449193</c:v>
                </c:pt>
                <c:pt idx="149">
                  <c:v>-25.215329008287068</c:v>
                </c:pt>
                <c:pt idx="150">
                  <c:v>-24.325661805510649</c:v>
                </c:pt>
                <c:pt idx="151">
                  <c:v>-23.661553494913157</c:v>
                </c:pt>
                <c:pt idx="152">
                  <c:v>-22.294479663216141</c:v>
                </c:pt>
                <c:pt idx="153">
                  <c:v>-25.197627119226013</c:v>
                </c:pt>
                <c:pt idx="154">
                  <c:v>-24.65397680012925</c:v>
                </c:pt>
                <c:pt idx="155">
                  <c:v>-23.3328941572296</c:v>
                </c:pt>
                <c:pt idx="156">
                  <c:v>-23.390384723125567</c:v>
                </c:pt>
                <c:pt idx="157">
                  <c:v>-24.411743065878373</c:v>
                </c:pt>
                <c:pt idx="158">
                  <c:v>-24.626869836326566</c:v>
                </c:pt>
                <c:pt idx="159">
                  <c:v>-24.518150752478906</c:v>
                </c:pt>
                <c:pt idx="160">
                  <c:v>-23.083654395682416</c:v>
                </c:pt>
                <c:pt idx="161">
                  <c:v>-22.251289036629618</c:v>
                </c:pt>
                <c:pt idx="162">
                  <c:v>-19.900756392898955</c:v>
                </c:pt>
                <c:pt idx="163">
                  <c:v>-4.0323469254303159</c:v>
                </c:pt>
                <c:pt idx="164">
                  <c:v>11.07880412451869</c:v>
                </c:pt>
                <c:pt idx="165">
                  <c:v>13.30712655837632</c:v>
                </c:pt>
                <c:pt idx="166">
                  <c:v>15.099480343059717</c:v>
                </c:pt>
                <c:pt idx="167">
                  <c:v>15.724022958576848</c:v>
                </c:pt>
                <c:pt idx="168">
                  <c:v>18.87055669750686</c:v>
                </c:pt>
                <c:pt idx="169">
                  <c:v>26.397390781067138</c:v>
                </c:pt>
                <c:pt idx="170">
                  <c:v>28.908306129505917</c:v>
                </c:pt>
                <c:pt idx="171">
                  <c:v>30.263531420980915</c:v>
                </c:pt>
                <c:pt idx="172">
                  <c:v>32.023165640973225</c:v>
                </c:pt>
                <c:pt idx="173">
                  <c:v>35.396712594442761</c:v>
                </c:pt>
                <c:pt idx="174">
                  <c:v>35.799279867417148</c:v>
                </c:pt>
                <c:pt idx="175">
                  <c:v>38.445315316709376</c:v>
                </c:pt>
                <c:pt idx="176">
                  <c:v>40.849642425688756</c:v>
                </c:pt>
                <c:pt idx="177">
                  <c:v>40.746304649758926</c:v>
                </c:pt>
                <c:pt idx="178">
                  <c:v>40.523496341346608</c:v>
                </c:pt>
                <c:pt idx="179">
                  <c:v>38.577653897703698</c:v>
                </c:pt>
                <c:pt idx="180">
                  <c:v>37.743654938702676</c:v>
                </c:pt>
                <c:pt idx="181">
                  <c:v>36.842836243431911</c:v>
                </c:pt>
                <c:pt idx="182">
                  <c:v>36.766754448225697</c:v>
                </c:pt>
                <c:pt idx="183">
                  <c:v>38.147340437746621</c:v>
                </c:pt>
                <c:pt idx="184">
                  <c:v>37.634888496382821</c:v>
                </c:pt>
                <c:pt idx="185">
                  <c:v>37.392012133670825</c:v>
                </c:pt>
                <c:pt idx="186">
                  <c:v>39.020756866927563</c:v>
                </c:pt>
                <c:pt idx="187">
                  <c:v>39.299131289696547</c:v>
                </c:pt>
                <c:pt idx="188">
                  <c:v>37.599846159162951</c:v>
                </c:pt>
                <c:pt idx="189">
                  <c:v>36.598020508960936</c:v>
                </c:pt>
                <c:pt idx="190">
                  <c:v>34.407546467607865</c:v>
                </c:pt>
                <c:pt idx="191">
                  <c:v>35.267151508128499</c:v>
                </c:pt>
                <c:pt idx="192">
                  <c:v>33.649172184687728</c:v>
                </c:pt>
                <c:pt idx="193">
                  <c:v>33.551464152659868</c:v>
                </c:pt>
                <c:pt idx="194">
                  <c:v>33.072468947789645</c:v>
                </c:pt>
                <c:pt idx="195">
                  <c:v>33.673621460980172</c:v>
                </c:pt>
                <c:pt idx="196">
                  <c:v>32.020318652986177</c:v>
                </c:pt>
                <c:pt idx="197">
                  <c:v>32.635740820634233</c:v>
                </c:pt>
                <c:pt idx="198">
                  <c:v>30.330721417999424</c:v>
                </c:pt>
                <c:pt idx="199">
                  <c:v>29.811407560367716</c:v>
                </c:pt>
                <c:pt idx="200">
                  <c:v>29.521867537542036</c:v>
                </c:pt>
                <c:pt idx="201">
                  <c:v>29.695837052687228</c:v>
                </c:pt>
                <c:pt idx="202">
                  <c:v>27.77439223928268</c:v>
                </c:pt>
                <c:pt idx="203">
                  <c:v>28.112732772916011</c:v>
                </c:pt>
                <c:pt idx="204">
                  <c:v>27.345378397068654</c:v>
                </c:pt>
                <c:pt idx="205">
                  <c:v>27.027469170654335</c:v>
                </c:pt>
                <c:pt idx="206">
                  <c:v>23.962209158692101</c:v>
                </c:pt>
                <c:pt idx="207">
                  <c:v>23.103156866529957</c:v>
                </c:pt>
                <c:pt idx="208">
                  <c:v>22.50788251493076</c:v>
                </c:pt>
                <c:pt idx="209">
                  <c:v>20.274756250670109</c:v>
                </c:pt>
                <c:pt idx="210">
                  <c:v>19.170857982779339</c:v>
                </c:pt>
                <c:pt idx="211">
                  <c:v>20.931471076644893</c:v>
                </c:pt>
                <c:pt idx="212">
                  <c:v>21.153305476345068</c:v>
                </c:pt>
                <c:pt idx="213">
                  <c:v>21.463503309058414</c:v>
                </c:pt>
                <c:pt idx="214">
                  <c:v>18.850457230380659</c:v>
                </c:pt>
                <c:pt idx="215">
                  <c:v>18.041086356694873</c:v>
                </c:pt>
                <c:pt idx="216">
                  <c:v>16.504459140423862</c:v>
                </c:pt>
                <c:pt idx="217">
                  <c:v>16.089508184478699</c:v>
                </c:pt>
                <c:pt idx="218">
                  <c:v>17.945765100330657</c:v>
                </c:pt>
                <c:pt idx="219">
                  <c:v>16.67161671653832</c:v>
                </c:pt>
                <c:pt idx="220">
                  <c:v>18.183115866503023</c:v>
                </c:pt>
                <c:pt idx="221">
                  <c:v>18.677139300394273</c:v>
                </c:pt>
                <c:pt idx="222">
                  <c:v>19.890944578964859</c:v>
                </c:pt>
                <c:pt idx="223">
                  <c:v>19.996443203740476</c:v>
                </c:pt>
                <c:pt idx="224">
                  <c:v>23.305260929789494</c:v>
                </c:pt>
                <c:pt idx="225">
                  <c:v>27.597601240584048</c:v>
                </c:pt>
                <c:pt idx="226">
                  <c:v>29.688148412367021</c:v>
                </c:pt>
                <c:pt idx="227">
                  <c:v>30.080368639146837</c:v>
                </c:pt>
                <c:pt idx="228">
                  <c:v>33.881991926649278</c:v>
                </c:pt>
                <c:pt idx="229">
                  <c:v>35.325088601499679</c:v>
                </c:pt>
                <c:pt idx="230">
                  <c:v>34.953718253179346</c:v>
                </c:pt>
                <c:pt idx="231">
                  <c:v>35.445085140913143</c:v>
                </c:pt>
                <c:pt idx="232">
                  <c:v>37.110652707654936</c:v>
                </c:pt>
                <c:pt idx="233">
                  <c:v>39.771666927721597</c:v>
                </c:pt>
                <c:pt idx="234">
                  <c:v>40.352128443419183</c:v>
                </c:pt>
                <c:pt idx="235">
                  <c:v>41.700353883584796</c:v>
                </c:pt>
                <c:pt idx="236">
                  <c:v>43.065388507884542</c:v>
                </c:pt>
                <c:pt idx="237">
                  <c:v>43.752756764761564</c:v>
                </c:pt>
                <c:pt idx="238">
                  <c:v>43.065785916992098</c:v>
                </c:pt>
                <c:pt idx="239">
                  <c:v>45.517065614146198</c:v>
                </c:pt>
                <c:pt idx="240">
                  <c:v>44.427100133312628</c:v>
                </c:pt>
                <c:pt idx="241">
                  <c:v>43.946497859460401</c:v>
                </c:pt>
                <c:pt idx="242">
                  <c:v>43.366207776309828</c:v>
                </c:pt>
                <c:pt idx="243">
                  <c:v>42.963011274727961</c:v>
                </c:pt>
                <c:pt idx="244">
                  <c:v>42.219877550552667</c:v>
                </c:pt>
                <c:pt idx="245">
                  <c:v>41.691469884291003</c:v>
                </c:pt>
                <c:pt idx="246">
                  <c:v>43.371422559385501</c:v>
                </c:pt>
                <c:pt idx="247">
                  <c:v>42.909892764502175</c:v>
                </c:pt>
                <c:pt idx="248">
                  <c:v>43.10339239597316</c:v>
                </c:pt>
                <c:pt idx="249">
                  <c:v>42.593573775463121</c:v>
                </c:pt>
                <c:pt idx="250">
                  <c:v>42.070440212056404</c:v>
                </c:pt>
                <c:pt idx="251">
                  <c:v>43.23925051653864</c:v>
                </c:pt>
                <c:pt idx="252">
                  <c:v>43.320728760109972</c:v>
                </c:pt>
                <c:pt idx="253">
                  <c:v>44.202197342099645</c:v>
                </c:pt>
                <c:pt idx="254">
                  <c:v>43.04476349429941</c:v>
                </c:pt>
                <c:pt idx="255">
                  <c:v>42.577175884412135</c:v>
                </c:pt>
                <c:pt idx="256">
                  <c:v>41.990984942490265</c:v>
                </c:pt>
                <c:pt idx="257">
                  <c:v>40.657278048744828</c:v>
                </c:pt>
                <c:pt idx="258">
                  <c:v>39.662990838658274</c:v>
                </c:pt>
                <c:pt idx="259">
                  <c:v>40.810664047062687</c:v>
                </c:pt>
                <c:pt idx="260">
                  <c:v>39.845769198201722</c:v>
                </c:pt>
                <c:pt idx="261">
                  <c:v>39.954338860784517</c:v>
                </c:pt>
                <c:pt idx="262">
                  <c:v>39.903245857179584</c:v>
                </c:pt>
                <c:pt idx="263">
                  <c:v>38.642398476075442</c:v>
                </c:pt>
                <c:pt idx="264">
                  <c:v>39.906596838046376</c:v>
                </c:pt>
                <c:pt idx="265">
                  <c:v>38.575776273864335</c:v>
                </c:pt>
                <c:pt idx="266">
                  <c:v>37.333382625395103</c:v>
                </c:pt>
                <c:pt idx="267">
                  <c:v>38.015196644063266</c:v>
                </c:pt>
                <c:pt idx="268">
                  <c:v>37.24496488914226</c:v>
                </c:pt>
                <c:pt idx="269">
                  <c:v>38.16053904598283</c:v>
                </c:pt>
                <c:pt idx="270">
                  <c:v>36.420833343133438</c:v>
                </c:pt>
                <c:pt idx="271">
                  <c:v>36.294322240681467</c:v>
                </c:pt>
                <c:pt idx="272">
                  <c:v>36.396798834185248</c:v>
                </c:pt>
                <c:pt idx="273">
                  <c:v>35.020955458499472</c:v>
                </c:pt>
                <c:pt idx="274">
                  <c:v>33.071284126565267</c:v>
                </c:pt>
                <c:pt idx="275">
                  <c:v>33.757457163609203</c:v>
                </c:pt>
                <c:pt idx="276">
                  <c:v>29.416818365339871</c:v>
                </c:pt>
                <c:pt idx="277">
                  <c:v>27.653865821833158</c:v>
                </c:pt>
                <c:pt idx="278">
                  <c:v>25.117196485615708</c:v>
                </c:pt>
                <c:pt idx="279">
                  <c:v>22.793341460888104</c:v>
                </c:pt>
                <c:pt idx="280">
                  <c:v>21.173848804595952</c:v>
                </c:pt>
                <c:pt idx="281">
                  <c:v>19.541771347427236</c:v>
                </c:pt>
                <c:pt idx="282">
                  <c:v>16.827889129326859</c:v>
                </c:pt>
                <c:pt idx="283">
                  <c:v>15.961345625915428</c:v>
                </c:pt>
                <c:pt idx="284">
                  <c:v>15.694284984343934</c:v>
                </c:pt>
                <c:pt idx="285">
                  <c:v>13.821625386982825</c:v>
                </c:pt>
                <c:pt idx="286">
                  <c:v>14.024927724075404</c:v>
                </c:pt>
                <c:pt idx="287">
                  <c:v>12.346531613642078</c:v>
                </c:pt>
                <c:pt idx="288">
                  <c:v>12.57564427224953</c:v>
                </c:pt>
                <c:pt idx="289">
                  <c:v>10.128055001675799</c:v>
                </c:pt>
                <c:pt idx="290">
                  <c:v>9.2100769544844514</c:v>
                </c:pt>
                <c:pt idx="291">
                  <c:v>9.1774438718191025</c:v>
                </c:pt>
                <c:pt idx="292">
                  <c:v>7.4581882134315656</c:v>
                </c:pt>
                <c:pt idx="293">
                  <c:v>6.7914091350736321</c:v>
                </c:pt>
                <c:pt idx="294">
                  <c:v>7.1380958637396379</c:v>
                </c:pt>
                <c:pt idx="295">
                  <c:v>5.7831961236977945</c:v>
                </c:pt>
                <c:pt idx="296">
                  <c:v>5.0824510180484994</c:v>
                </c:pt>
                <c:pt idx="297">
                  <c:v>5.6784845794063949</c:v>
                </c:pt>
                <c:pt idx="298">
                  <c:v>4.2151404234870293</c:v>
                </c:pt>
                <c:pt idx="299">
                  <c:v>3.1423338632927829</c:v>
                </c:pt>
                <c:pt idx="300">
                  <c:v>2.9462222374749945</c:v>
                </c:pt>
                <c:pt idx="301">
                  <c:v>1.7208460818086424</c:v>
                </c:pt>
                <c:pt idx="302">
                  <c:v>1.4865920172203908</c:v>
                </c:pt>
                <c:pt idx="303">
                  <c:v>1.5729209413746159</c:v>
                </c:pt>
                <c:pt idx="304">
                  <c:v>0.59225490748504228</c:v>
                </c:pt>
                <c:pt idx="305">
                  <c:v>1.8905221023410639</c:v>
                </c:pt>
                <c:pt idx="306">
                  <c:v>-0.20675197211245294</c:v>
                </c:pt>
                <c:pt idx="307">
                  <c:v>-0.33742745875869673</c:v>
                </c:pt>
                <c:pt idx="308">
                  <c:v>0.53607661680906826</c:v>
                </c:pt>
                <c:pt idx="309">
                  <c:v>0.2235259576626194</c:v>
                </c:pt>
                <c:pt idx="310">
                  <c:v>0.69844330707070812</c:v>
                </c:pt>
                <c:pt idx="311">
                  <c:v>1.4242688418429488</c:v>
                </c:pt>
                <c:pt idx="312">
                  <c:v>0.73908813501945214</c:v>
                </c:pt>
                <c:pt idx="313">
                  <c:v>-0.68758362618627833</c:v>
                </c:pt>
                <c:pt idx="314">
                  <c:v>-1.475166968503826</c:v>
                </c:pt>
                <c:pt idx="315">
                  <c:v>-2.5865455234684873</c:v>
                </c:pt>
                <c:pt idx="316">
                  <c:v>-2.6016404716128507</c:v>
                </c:pt>
                <c:pt idx="317">
                  <c:v>-2.4712791981779798</c:v>
                </c:pt>
                <c:pt idx="318">
                  <c:v>-1.4708636269951396</c:v>
                </c:pt>
                <c:pt idx="319">
                  <c:v>0.57372181324875637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53-3E43-BDD5-DC63EFB2B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'240814B005'!$A$2:$A$321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'240814B005'!$J$2:$J$321</c:f>
              <c:numCache>
                <c:formatCode>0.0</c:formatCode>
                <c:ptCount val="320"/>
                <c:pt idx="0">
                  <c:v>524.05536245742996</c:v>
                </c:pt>
                <c:pt idx="1">
                  <c:v>524.29110067204999</c:v>
                </c:pt>
                <c:pt idx="2">
                  <c:v>523.64650343019002</c:v>
                </c:pt>
                <c:pt idx="3">
                  <c:v>515.16974219245003</c:v>
                </c:pt>
                <c:pt idx="4">
                  <c:v>518.25894228180994</c:v>
                </c:pt>
                <c:pt idx="5">
                  <c:v>564.24478070398004</c:v>
                </c:pt>
                <c:pt idx="6">
                  <c:v>571.48500642063004</c:v>
                </c:pt>
                <c:pt idx="7">
                  <c:v>592.39764993238998</c:v>
                </c:pt>
                <c:pt idx="8">
                  <c:v>691.38661306333995</c:v>
                </c:pt>
                <c:pt idx="9">
                  <c:v>641.73644933935998</c:v>
                </c:pt>
                <c:pt idx="10">
                  <c:v>628.24777945105006</c:v>
                </c:pt>
                <c:pt idx="11">
                  <c:v>625.23878637119992</c:v>
                </c:pt>
                <c:pt idx="12">
                  <c:v>614.92864091643003</c:v>
                </c:pt>
                <c:pt idx="13">
                  <c:v>658.64686205981002</c:v>
                </c:pt>
                <c:pt idx="14">
                  <c:v>655.41066333134995</c:v>
                </c:pt>
                <c:pt idx="15">
                  <c:v>653.50848287961003</c:v>
                </c:pt>
                <c:pt idx="16">
                  <c:v>661.76811126953999</c:v>
                </c:pt>
                <c:pt idx="17">
                  <c:v>664.44878497357001</c:v>
                </c:pt>
                <c:pt idx="18">
                  <c:v>672.80775597112995</c:v>
                </c:pt>
                <c:pt idx="19">
                  <c:v>645.23927486278001</c:v>
                </c:pt>
                <c:pt idx="20">
                  <c:v>671.69030073837007</c:v>
                </c:pt>
                <c:pt idx="21">
                  <c:v>624.81923788988001</c:v>
                </c:pt>
                <c:pt idx="22">
                  <c:v>645.11737254649995</c:v>
                </c:pt>
                <c:pt idx="23">
                  <c:v>625.08155276731009</c:v>
                </c:pt>
                <c:pt idx="24">
                  <c:v>624.83982972079002</c:v>
                </c:pt>
                <c:pt idx="25">
                  <c:v>638.60343288125</c:v>
                </c:pt>
                <c:pt idx="26">
                  <c:v>653.13454650672998</c:v>
                </c:pt>
                <c:pt idx="27">
                  <c:v>659.22957884694006</c:v>
                </c:pt>
                <c:pt idx="28">
                  <c:v>651.46174982495995</c:v>
                </c:pt>
                <c:pt idx="29">
                  <c:v>649.39569907147995</c:v>
                </c:pt>
                <c:pt idx="30">
                  <c:v>655.65184562406989</c:v>
                </c:pt>
                <c:pt idx="31">
                  <c:v>657.09944518678003</c:v>
                </c:pt>
                <c:pt idx="32">
                  <c:v>646.98656874291999</c:v>
                </c:pt>
                <c:pt idx="33">
                  <c:v>667.40215592367008</c:v>
                </c:pt>
                <c:pt idx="34">
                  <c:v>635.96801955564001</c:v>
                </c:pt>
                <c:pt idx="35">
                  <c:v>607.57616271285008</c:v>
                </c:pt>
                <c:pt idx="36">
                  <c:v>615.26786959389005</c:v>
                </c:pt>
                <c:pt idx="37">
                  <c:v>606.22178023213996</c:v>
                </c:pt>
                <c:pt idx="38">
                  <c:v>583.77878412898997</c:v>
                </c:pt>
                <c:pt idx="39">
                  <c:v>581.99048499732999</c:v>
                </c:pt>
                <c:pt idx="40">
                  <c:v>593.65433553757998</c:v>
                </c:pt>
                <c:pt idx="41">
                  <c:v>589.19276040288003</c:v>
                </c:pt>
                <c:pt idx="42">
                  <c:v>605.64195987180995</c:v>
                </c:pt>
                <c:pt idx="43">
                  <c:v>603.83184344057008</c:v>
                </c:pt>
                <c:pt idx="44">
                  <c:v>597.77965469826995</c:v>
                </c:pt>
                <c:pt idx="45">
                  <c:v>617.05188260927002</c:v>
                </c:pt>
                <c:pt idx="46">
                  <c:v>609.78855160093997</c:v>
                </c:pt>
                <c:pt idx="47">
                  <c:v>622.05350276286003</c:v>
                </c:pt>
                <c:pt idx="48">
                  <c:v>636.23479253276992</c:v>
                </c:pt>
                <c:pt idx="49">
                  <c:v>629.43120533797003</c:v>
                </c:pt>
                <c:pt idx="50">
                  <c:v>618.02964888897009</c:v>
                </c:pt>
                <c:pt idx="51">
                  <c:v>605.07190728631997</c:v>
                </c:pt>
                <c:pt idx="52">
                  <c:v>574.10568909884</c:v>
                </c:pt>
                <c:pt idx="53">
                  <c:v>618.25769781297993</c:v>
                </c:pt>
                <c:pt idx="54">
                  <c:v>621.51227643321999</c:v>
                </c:pt>
                <c:pt idx="55">
                  <c:v>619.50819879414996</c:v>
                </c:pt>
                <c:pt idx="56">
                  <c:v>572.34388764666005</c:v>
                </c:pt>
                <c:pt idx="57">
                  <c:v>592.73894258435007</c:v>
                </c:pt>
                <c:pt idx="58">
                  <c:v>597.36247457687</c:v>
                </c:pt>
                <c:pt idx="59">
                  <c:v>567.97783382825003</c:v>
                </c:pt>
                <c:pt idx="60">
                  <c:v>566.43571598791004</c:v>
                </c:pt>
                <c:pt idx="61">
                  <c:v>551.29285609957003</c:v>
                </c:pt>
                <c:pt idx="62">
                  <c:v>556.71824661647008</c:v>
                </c:pt>
                <c:pt idx="63">
                  <c:v>548.76917250172005</c:v>
                </c:pt>
                <c:pt idx="64">
                  <c:v>547.09551795104005</c:v>
                </c:pt>
                <c:pt idx="65">
                  <c:v>546.47530936054</c:v>
                </c:pt>
                <c:pt idx="66">
                  <c:v>556.79895380787002</c:v>
                </c:pt>
                <c:pt idx="67">
                  <c:v>548.85220264269003</c:v>
                </c:pt>
                <c:pt idx="68">
                  <c:v>550.71894836083993</c:v>
                </c:pt>
                <c:pt idx="69">
                  <c:v>549.67286302917</c:v>
                </c:pt>
                <c:pt idx="70">
                  <c:v>551.45142232271996</c:v>
                </c:pt>
                <c:pt idx="71">
                  <c:v>562.02855050801998</c:v>
                </c:pt>
                <c:pt idx="72">
                  <c:v>576.81813427147995</c:v>
                </c:pt>
                <c:pt idx="73">
                  <c:v>580.01463834356991</c:v>
                </c:pt>
                <c:pt idx="74">
                  <c:v>593.17697520723004</c:v>
                </c:pt>
                <c:pt idx="75">
                  <c:v>643.70416231051001</c:v>
                </c:pt>
                <c:pt idx="76">
                  <c:v>646.51502072434005</c:v>
                </c:pt>
                <c:pt idx="77">
                  <c:v>638.88269404119001</c:v>
                </c:pt>
                <c:pt idx="78">
                  <c:v>661.73654303404999</c:v>
                </c:pt>
                <c:pt idx="79">
                  <c:v>624.18246642327006</c:v>
                </c:pt>
                <c:pt idx="80">
                  <c:v>622.63070192053999</c:v>
                </c:pt>
                <c:pt idx="81">
                  <c:v>616.42500995726994</c:v>
                </c:pt>
                <c:pt idx="82">
                  <c:v>636.16041458394989</c:v>
                </c:pt>
                <c:pt idx="83">
                  <c:v>648.61731875656994</c:v>
                </c:pt>
                <c:pt idx="84">
                  <c:v>624.49241671877007</c:v>
                </c:pt>
                <c:pt idx="85">
                  <c:v>613.28375114546998</c:v>
                </c:pt>
                <c:pt idx="86">
                  <c:v>616.12837262008998</c:v>
                </c:pt>
                <c:pt idx="87">
                  <c:v>623.90579785428008</c:v>
                </c:pt>
                <c:pt idx="88">
                  <c:v>600.21308514507996</c:v>
                </c:pt>
                <c:pt idx="89">
                  <c:v>599.44288231845007</c:v>
                </c:pt>
                <c:pt idx="90">
                  <c:v>623.06737831116993</c:v>
                </c:pt>
                <c:pt idx="91">
                  <c:v>632.67757344978008</c:v>
                </c:pt>
                <c:pt idx="92">
                  <c:v>615.03910275069995</c:v>
                </c:pt>
                <c:pt idx="93">
                  <c:v>610.67028686577999</c:v>
                </c:pt>
                <c:pt idx="94">
                  <c:v>627.16662563798991</c:v>
                </c:pt>
                <c:pt idx="95">
                  <c:v>655.86002950350996</c:v>
                </c:pt>
                <c:pt idx="96">
                  <c:v>648.07213662677998</c:v>
                </c:pt>
                <c:pt idx="97">
                  <c:v>651.20382615330993</c:v>
                </c:pt>
                <c:pt idx="98">
                  <c:v>646.95421421624997</c:v>
                </c:pt>
                <c:pt idx="99">
                  <c:v>655.60632401513999</c:v>
                </c:pt>
                <c:pt idx="100">
                  <c:v>656.68295718962008</c:v>
                </c:pt>
                <c:pt idx="101">
                  <c:v>670.84682476567002</c:v>
                </c:pt>
                <c:pt idx="102">
                  <c:v>627.78694291737997</c:v>
                </c:pt>
                <c:pt idx="103">
                  <c:v>634.32082420466998</c:v>
                </c:pt>
                <c:pt idx="104">
                  <c:v>637.96532166626002</c:v>
                </c:pt>
                <c:pt idx="105">
                  <c:v>650.9868643550999</c:v>
                </c:pt>
                <c:pt idx="106">
                  <c:v>612.37966140046001</c:v>
                </c:pt>
                <c:pt idx="107">
                  <c:v>603.25911648549993</c:v>
                </c:pt>
                <c:pt idx="108">
                  <c:v>548.25583250545992</c:v>
                </c:pt>
                <c:pt idx="109">
                  <c:v>555.66478968241995</c:v>
                </c:pt>
                <c:pt idx="110">
                  <c:v>581.91642994258007</c:v>
                </c:pt>
                <c:pt idx="111">
                  <c:v>612.62348601741007</c:v>
                </c:pt>
                <c:pt idx="112">
                  <c:v>627.35567874086007</c:v>
                </c:pt>
                <c:pt idx="113">
                  <c:v>620.09999374688005</c:v>
                </c:pt>
                <c:pt idx="114">
                  <c:v>597.45201468495998</c:v>
                </c:pt>
                <c:pt idx="115">
                  <c:v>569.09670564916996</c:v>
                </c:pt>
                <c:pt idx="116">
                  <c:v>598.69185525349997</c:v>
                </c:pt>
                <c:pt idx="117">
                  <c:v>608.93620476056003</c:v>
                </c:pt>
                <c:pt idx="118">
                  <c:v>606.85474834177001</c:v>
                </c:pt>
                <c:pt idx="119">
                  <c:v>631.74335670827008</c:v>
                </c:pt>
                <c:pt idx="120">
                  <c:v>637.02550796398998</c:v>
                </c:pt>
                <c:pt idx="121">
                  <c:v>624.91309096844998</c:v>
                </c:pt>
                <c:pt idx="122">
                  <c:v>624.42100871865</c:v>
                </c:pt>
                <c:pt idx="123">
                  <c:v>611.22784725293991</c:v>
                </c:pt>
                <c:pt idx="124">
                  <c:v>606.51472792261995</c:v>
                </c:pt>
                <c:pt idx="125">
                  <c:v>633.82707181548994</c:v>
                </c:pt>
                <c:pt idx="126">
                  <c:v>631.43453081903999</c:v>
                </c:pt>
                <c:pt idx="127">
                  <c:v>638.66058500282998</c:v>
                </c:pt>
                <c:pt idx="128">
                  <c:v>619.68503229029</c:v>
                </c:pt>
                <c:pt idx="129">
                  <c:v>614.70913299976996</c:v>
                </c:pt>
                <c:pt idx="130">
                  <c:v>640.91500633387</c:v>
                </c:pt>
                <c:pt idx="131">
                  <c:v>650.14700212788</c:v>
                </c:pt>
                <c:pt idx="132">
                  <c:v>657.69373995929004</c:v>
                </c:pt>
                <c:pt idx="133">
                  <c:v>651.20707938168005</c:v>
                </c:pt>
                <c:pt idx="134">
                  <c:v>657.62056577828002</c:v>
                </c:pt>
                <c:pt idx="135">
                  <c:v>669.61978755071004</c:v>
                </c:pt>
                <c:pt idx="136">
                  <c:v>670.36865501760008</c:v>
                </c:pt>
                <c:pt idx="137">
                  <c:v>647.35967818306995</c:v>
                </c:pt>
                <c:pt idx="138">
                  <c:v>626.35516719857003</c:v>
                </c:pt>
                <c:pt idx="139">
                  <c:v>634.72810014270999</c:v>
                </c:pt>
                <c:pt idx="140">
                  <c:v>637.91104598982997</c:v>
                </c:pt>
                <c:pt idx="141">
                  <c:v>643.28625398448003</c:v>
                </c:pt>
                <c:pt idx="142">
                  <c:v>661.74873233704</c:v>
                </c:pt>
                <c:pt idx="143">
                  <c:v>631.31144907933992</c:v>
                </c:pt>
                <c:pt idx="144">
                  <c:v>624.25294651546005</c:v>
                </c:pt>
                <c:pt idx="145">
                  <c:v>607.02054183479993</c:v>
                </c:pt>
                <c:pt idx="146">
                  <c:v>580.78114571929007</c:v>
                </c:pt>
                <c:pt idx="147">
                  <c:v>542.26379390994998</c:v>
                </c:pt>
                <c:pt idx="148">
                  <c:v>537.45947177511005</c:v>
                </c:pt>
                <c:pt idx="149">
                  <c:v>556.24250312034997</c:v>
                </c:pt>
                <c:pt idx="150">
                  <c:v>536.47801484513002</c:v>
                </c:pt>
                <c:pt idx="151">
                  <c:v>503.43988183509998</c:v>
                </c:pt>
                <c:pt idx="152">
                  <c:v>518.90319893813</c:v>
                </c:pt>
                <c:pt idx="153">
                  <c:v>534.94795156922009</c:v>
                </c:pt>
                <c:pt idx="154">
                  <c:v>547.62932853269001</c:v>
                </c:pt>
                <c:pt idx="155">
                  <c:v>531.83523671347996</c:v>
                </c:pt>
                <c:pt idx="156">
                  <c:v>541.06043410553002</c:v>
                </c:pt>
                <c:pt idx="157">
                  <c:v>528.44990944193</c:v>
                </c:pt>
                <c:pt idx="158">
                  <c:v>532.77987765609998</c:v>
                </c:pt>
                <c:pt idx="159">
                  <c:v>531.58460208189001</c:v>
                </c:pt>
                <c:pt idx="160">
                  <c:v>547.61624883039997</c:v>
                </c:pt>
                <c:pt idx="161">
                  <c:v>566.25335970517006</c:v>
                </c:pt>
                <c:pt idx="162">
                  <c:v>558.23504773777995</c:v>
                </c:pt>
                <c:pt idx="163">
                  <c:v>565.99636030859006</c:v>
                </c:pt>
                <c:pt idx="164">
                  <c:v>584.29492888139998</c:v>
                </c:pt>
                <c:pt idx="165">
                  <c:v>574.09029036033007</c:v>
                </c:pt>
                <c:pt idx="166">
                  <c:v>573.98275646083994</c:v>
                </c:pt>
                <c:pt idx="167">
                  <c:v>543.35553546259996</c:v>
                </c:pt>
                <c:pt idx="168">
                  <c:v>536.89752532711009</c:v>
                </c:pt>
                <c:pt idx="169">
                  <c:v>532.62909151550002</c:v>
                </c:pt>
                <c:pt idx="170">
                  <c:v>530.70995096548006</c:v>
                </c:pt>
                <c:pt idx="171">
                  <c:v>521.57755212628012</c:v>
                </c:pt>
                <c:pt idx="172">
                  <c:v>519.15353931589004</c:v>
                </c:pt>
                <c:pt idx="173">
                  <c:v>525.59873017035989</c:v>
                </c:pt>
                <c:pt idx="174">
                  <c:v>536.20571562770999</c:v>
                </c:pt>
                <c:pt idx="175">
                  <c:v>544.31820324272996</c:v>
                </c:pt>
                <c:pt idx="176">
                  <c:v>534.90300153979001</c:v>
                </c:pt>
                <c:pt idx="177">
                  <c:v>546.89633360818993</c:v>
                </c:pt>
                <c:pt idx="178">
                  <c:v>549.60598973768992</c:v>
                </c:pt>
                <c:pt idx="179">
                  <c:v>543.24203670329007</c:v>
                </c:pt>
                <c:pt idx="180">
                  <c:v>555.12234310716997</c:v>
                </c:pt>
                <c:pt idx="181">
                  <c:v>555.41820635949011</c:v>
                </c:pt>
                <c:pt idx="182">
                  <c:v>545.8073017254801</c:v>
                </c:pt>
                <c:pt idx="183">
                  <c:v>560.11623919800002</c:v>
                </c:pt>
                <c:pt idx="184">
                  <c:v>566.45224017786995</c:v>
                </c:pt>
                <c:pt idx="185">
                  <c:v>563.38682724674004</c:v>
                </c:pt>
                <c:pt idx="186">
                  <c:v>573.93017413337998</c:v>
                </c:pt>
                <c:pt idx="187">
                  <c:v>542.51376892743008</c:v>
                </c:pt>
                <c:pt idx="188">
                  <c:v>540.97367357674</c:v>
                </c:pt>
                <c:pt idx="189">
                  <c:v>554.15981683351004</c:v>
                </c:pt>
                <c:pt idx="190">
                  <c:v>552.91509644427992</c:v>
                </c:pt>
                <c:pt idx="191">
                  <c:v>543.07806365606996</c:v>
                </c:pt>
                <c:pt idx="192">
                  <c:v>536.79413837714003</c:v>
                </c:pt>
                <c:pt idx="193">
                  <c:v>543.70898083361999</c:v>
                </c:pt>
                <c:pt idx="194">
                  <c:v>535.1875662992901</c:v>
                </c:pt>
                <c:pt idx="195">
                  <c:v>557.6279524373</c:v>
                </c:pt>
                <c:pt idx="196">
                  <c:v>546.44429957327998</c:v>
                </c:pt>
                <c:pt idx="197">
                  <c:v>558.67481031567002</c:v>
                </c:pt>
                <c:pt idx="198">
                  <c:v>553.27739596069</c:v>
                </c:pt>
                <c:pt idx="199">
                  <c:v>531.92693982157004</c:v>
                </c:pt>
                <c:pt idx="200">
                  <c:v>539.22576453336001</c:v>
                </c:pt>
                <c:pt idx="201">
                  <c:v>548.88946636863</c:v>
                </c:pt>
                <c:pt idx="202">
                  <c:v>545.35644522065002</c:v>
                </c:pt>
                <c:pt idx="203">
                  <c:v>527.05763335863003</c:v>
                </c:pt>
                <c:pt idx="204">
                  <c:v>519.16035078204004</c:v>
                </c:pt>
                <c:pt idx="205">
                  <c:v>519.32266320287999</c:v>
                </c:pt>
                <c:pt idx="206">
                  <c:v>529.85964317037997</c:v>
                </c:pt>
                <c:pt idx="207">
                  <c:v>567.92653546424003</c:v>
                </c:pt>
                <c:pt idx="208">
                  <c:v>572.67955379072998</c:v>
                </c:pt>
                <c:pt idx="209">
                  <c:v>572.68935870404005</c:v>
                </c:pt>
                <c:pt idx="210">
                  <c:v>552.03465935560996</c:v>
                </c:pt>
                <c:pt idx="211">
                  <c:v>541.76892988296993</c:v>
                </c:pt>
                <c:pt idx="212">
                  <c:v>518.4002886001299</c:v>
                </c:pt>
                <c:pt idx="213">
                  <c:v>494.24186719582997</c:v>
                </c:pt>
                <c:pt idx="214">
                  <c:v>492.71917245531006</c:v>
                </c:pt>
                <c:pt idx="215">
                  <c:v>506.54065293779996</c:v>
                </c:pt>
                <c:pt idx="216">
                  <c:v>518.25474520972</c:v>
                </c:pt>
                <c:pt idx="217">
                  <c:v>534.46482380631994</c:v>
                </c:pt>
                <c:pt idx="218">
                  <c:v>523.44882576786006</c:v>
                </c:pt>
                <c:pt idx="219">
                  <c:v>510.38494731920002</c:v>
                </c:pt>
                <c:pt idx="220">
                  <c:v>523.09418866390001</c:v>
                </c:pt>
                <c:pt idx="221">
                  <c:v>523.45674196521998</c:v>
                </c:pt>
                <c:pt idx="222">
                  <c:v>532.67187542807994</c:v>
                </c:pt>
                <c:pt idx="223">
                  <c:v>546.56900403397003</c:v>
                </c:pt>
                <c:pt idx="224">
                  <c:v>519.10373879042004</c:v>
                </c:pt>
                <c:pt idx="225">
                  <c:v>515.55525500793999</c:v>
                </c:pt>
                <c:pt idx="226">
                  <c:v>551.03999639452002</c:v>
                </c:pt>
                <c:pt idx="227">
                  <c:v>552.38652012436</c:v>
                </c:pt>
                <c:pt idx="228">
                  <c:v>518.74883315196007</c:v>
                </c:pt>
                <c:pt idx="229">
                  <c:v>512.96851510300007</c:v>
                </c:pt>
                <c:pt idx="230">
                  <c:v>523.81945417045995</c:v>
                </c:pt>
                <c:pt idx="231">
                  <c:v>534.55522651481999</c:v>
                </c:pt>
                <c:pt idx="232">
                  <c:v>569.24280055582994</c:v>
                </c:pt>
                <c:pt idx="233">
                  <c:v>515.05900870246001</c:v>
                </c:pt>
                <c:pt idx="234">
                  <c:v>531.71051894738002</c:v>
                </c:pt>
                <c:pt idx="235">
                  <c:v>575.30570404855007</c:v>
                </c:pt>
                <c:pt idx="236">
                  <c:v>587.32126019587997</c:v>
                </c:pt>
                <c:pt idx="237">
                  <c:v>549.78087777437997</c:v>
                </c:pt>
                <c:pt idx="238">
                  <c:v>546.27952873476988</c:v>
                </c:pt>
                <c:pt idx="239">
                  <c:v>549.63197875947003</c:v>
                </c:pt>
                <c:pt idx="240">
                  <c:v>578.26424245014994</c:v>
                </c:pt>
                <c:pt idx="241">
                  <c:v>557.57322704304011</c:v>
                </c:pt>
                <c:pt idx="242">
                  <c:v>557.79848076189</c:v>
                </c:pt>
                <c:pt idx="243">
                  <c:v>574.82490764210002</c:v>
                </c:pt>
                <c:pt idx="244">
                  <c:v>594.43578105575</c:v>
                </c:pt>
                <c:pt idx="245">
                  <c:v>527.04164861453</c:v>
                </c:pt>
                <c:pt idx="246">
                  <c:v>539.34325219054006</c:v>
                </c:pt>
                <c:pt idx="247">
                  <c:v>599.29988685359001</c:v>
                </c:pt>
                <c:pt idx="248">
                  <c:v>602.79167657323001</c:v>
                </c:pt>
                <c:pt idx="249">
                  <c:v>638.93132975697006</c:v>
                </c:pt>
                <c:pt idx="250">
                  <c:v>657.6600959688401</c:v>
                </c:pt>
                <c:pt idx="251">
                  <c:v>661.54139749277988</c:v>
                </c:pt>
                <c:pt idx="252">
                  <c:v>643.48610652627997</c:v>
                </c:pt>
                <c:pt idx="253">
                  <c:v>657.73421362058002</c:v>
                </c:pt>
                <c:pt idx="254">
                  <c:v>639.96386569034007</c:v>
                </c:pt>
                <c:pt idx="255">
                  <c:v>666.11434596551999</c:v>
                </c:pt>
                <c:pt idx="256">
                  <c:v>661.52194444651002</c:v>
                </c:pt>
                <c:pt idx="257">
                  <c:v>624.82068615638991</c:v>
                </c:pt>
                <c:pt idx="258">
                  <c:v>652.48011622744002</c:v>
                </c:pt>
                <c:pt idx="259">
                  <c:v>646.92501153745002</c:v>
                </c:pt>
                <c:pt idx="260">
                  <c:v>650.67311615483004</c:v>
                </c:pt>
                <c:pt idx="261">
                  <c:v>647.15547521368001</c:v>
                </c:pt>
                <c:pt idx="262">
                  <c:v>612.14717460855991</c:v>
                </c:pt>
                <c:pt idx="263">
                  <c:v>649.46094554952003</c:v>
                </c:pt>
                <c:pt idx="264">
                  <c:v>658.12825442283997</c:v>
                </c:pt>
                <c:pt idx="265">
                  <c:v>648.87274783795999</c:v>
                </c:pt>
                <c:pt idx="266">
                  <c:v>622.47785047678008</c:v>
                </c:pt>
                <c:pt idx="267">
                  <c:v>635.86491610986002</c:v>
                </c:pt>
                <c:pt idx="268">
                  <c:v>618.69096619207994</c:v>
                </c:pt>
                <c:pt idx="269">
                  <c:v>598.39453744473997</c:v>
                </c:pt>
                <c:pt idx="270">
                  <c:v>589.98834321841002</c:v>
                </c:pt>
                <c:pt idx="271">
                  <c:v>599.41724288128</c:v>
                </c:pt>
                <c:pt idx="272">
                  <c:v>625.14965608040006</c:v>
                </c:pt>
                <c:pt idx="273">
                  <c:v>641.6031677937799</c:v>
                </c:pt>
                <c:pt idx="274">
                  <c:v>653.62428705862999</c:v>
                </c:pt>
                <c:pt idx="275">
                  <c:v>658.25762378185993</c:v>
                </c:pt>
                <c:pt idx="276">
                  <c:v>633.11858170390997</c:v>
                </c:pt>
                <c:pt idx="277">
                  <c:v>645.04348553472005</c:v>
                </c:pt>
                <c:pt idx="278">
                  <c:v>624.69253818013999</c:v>
                </c:pt>
                <c:pt idx="279">
                  <c:v>634.95625609988997</c:v>
                </c:pt>
                <c:pt idx="280">
                  <c:v>627.88904261251992</c:v>
                </c:pt>
                <c:pt idx="281">
                  <c:v>638.31613487922993</c:v>
                </c:pt>
                <c:pt idx="282">
                  <c:v>637.68253307572002</c:v>
                </c:pt>
                <c:pt idx="283">
                  <c:v>639.18574128852993</c:v>
                </c:pt>
                <c:pt idx="284">
                  <c:v>644.90503771812996</c:v>
                </c:pt>
                <c:pt idx="285">
                  <c:v>642.10102948832002</c:v>
                </c:pt>
                <c:pt idx="286">
                  <c:v>636.09693583329999</c:v>
                </c:pt>
                <c:pt idx="287">
                  <c:v>633.59300139715003</c:v>
                </c:pt>
                <c:pt idx="288">
                  <c:v>623.33214366363995</c:v>
                </c:pt>
                <c:pt idx="289">
                  <c:v>632.1733034199799</c:v>
                </c:pt>
                <c:pt idx="290">
                  <c:v>643.22415539763006</c:v>
                </c:pt>
                <c:pt idx="291">
                  <c:v>653.50311042054</c:v>
                </c:pt>
                <c:pt idx="292">
                  <c:v>643.89202099564</c:v>
                </c:pt>
                <c:pt idx="293">
                  <c:v>644.42402508058001</c:v>
                </c:pt>
                <c:pt idx="294">
                  <c:v>651.73614339451001</c:v>
                </c:pt>
                <c:pt idx="295">
                  <c:v>657.41543924661994</c:v>
                </c:pt>
                <c:pt idx="296">
                  <c:v>630.56433900191996</c:v>
                </c:pt>
                <c:pt idx="297">
                  <c:v>630.14242503570006</c:v>
                </c:pt>
                <c:pt idx="298">
                  <c:v>646.27764858363003</c:v>
                </c:pt>
                <c:pt idx="299">
                  <c:v>630.10192810115007</c:v>
                </c:pt>
                <c:pt idx="300">
                  <c:v>625.55305802404007</c:v>
                </c:pt>
                <c:pt idx="301">
                  <c:v>622.06116048091997</c:v>
                </c:pt>
                <c:pt idx="302">
                  <c:v>632.57914002847997</c:v>
                </c:pt>
                <c:pt idx="303">
                  <c:v>626.27166524133997</c:v>
                </c:pt>
                <c:pt idx="304">
                  <c:v>631.21242702976997</c:v>
                </c:pt>
                <c:pt idx="305">
                  <c:v>614.57231024458997</c:v>
                </c:pt>
                <c:pt idx="306">
                  <c:v>605.61158321067001</c:v>
                </c:pt>
                <c:pt idx="307">
                  <c:v>598.45372774257999</c:v>
                </c:pt>
                <c:pt idx="308">
                  <c:v>597.01603786686997</c:v>
                </c:pt>
                <c:pt idx="309">
                  <c:v>611.94794917837999</c:v>
                </c:pt>
                <c:pt idx="310">
                  <c:v>624.52735249022999</c:v>
                </c:pt>
                <c:pt idx="311">
                  <c:v>625.62438068561005</c:v>
                </c:pt>
                <c:pt idx="312">
                  <c:v>621.99232302210999</c:v>
                </c:pt>
                <c:pt idx="313">
                  <c:v>625.34474921123001</c:v>
                </c:pt>
                <c:pt idx="314">
                  <c:v>637.90662339001005</c:v>
                </c:pt>
                <c:pt idx="315">
                  <c:v>640.20158936812004</c:v>
                </c:pt>
                <c:pt idx="316">
                  <c:v>622.34508099169</c:v>
                </c:pt>
                <c:pt idx="317">
                  <c:v>614.85020810935998</c:v>
                </c:pt>
                <c:pt idx="318">
                  <c:v>608.74060138015989</c:v>
                </c:pt>
                <c:pt idx="319">
                  <c:v>598.38081069609007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E-7142-AFC5-BACC30D30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3-4F47-9936-7C414E55C6CA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'240814B005'!$A$2:$A$321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'240814B005'!$P$2:$P$321</c:f>
              <c:numCache>
                <c:formatCode>General</c:formatCode>
                <c:ptCount val="320"/>
                <c:pt idx="0">
                  <c:v>-9.396829375329828</c:v>
                </c:pt>
                <c:pt idx="1">
                  <c:v>-10.176132657041894</c:v>
                </c:pt>
                <c:pt idx="2">
                  <c:v>-9.4594577831955409</c:v>
                </c:pt>
                <c:pt idx="3">
                  <c:v>-2.3369818593610181</c:v>
                </c:pt>
                <c:pt idx="4">
                  <c:v>2.4141298988695619</c:v>
                </c:pt>
                <c:pt idx="5">
                  <c:v>3.7904458529911191</c:v>
                </c:pt>
                <c:pt idx="6">
                  <c:v>5.4594575970732677</c:v>
                </c:pt>
                <c:pt idx="7">
                  <c:v>2.0164208423179382</c:v>
                </c:pt>
                <c:pt idx="8">
                  <c:v>-5.3522607387751773</c:v>
                </c:pt>
                <c:pt idx="9">
                  <c:v>-7.5325247768651113</c:v>
                </c:pt>
                <c:pt idx="10">
                  <c:v>-7.4111885091379639</c:v>
                </c:pt>
                <c:pt idx="11">
                  <c:v>-7.0162297241796079</c:v>
                </c:pt>
                <c:pt idx="12">
                  <c:v>-7.581639517347627</c:v>
                </c:pt>
                <c:pt idx="13">
                  <c:v>-7.9922565409384525</c:v>
                </c:pt>
                <c:pt idx="14">
                  <c:v>-7.5371254612852709</c:v>
                </c:pt>
                <c:pt idx="15">
                  <c:v>-8.0406551512624791</c:v>
                </c:pt>
                <c:pt idx="16">
                  <c:v>-7.2883874913450555</c:v>
                </c:pt>
                <c:pt idx="17">
                  <c:v>-6.5734426827870482</c:v>
                </c:pt>
                <c:pt idx="18">
                  <c:v>-5.3844863432356718</c:v>
                </c:pt>
                <c:pt idx="19">
                  <c:v>-3.8098393564544546</c:v>
                </c:pt>
                <c:pt idx="20">
                  <c:v>-3.7940084934930085</c:v>
                </c:pt>
                <c:pt idx="21">
                  <c:v>-3.2337841575419377</c:v>
                </c:pt>
                <c:pt idx="22">
                  <c:v>-3.5939218330009717</c:v>
                </c:pt>
                <c:pt idx="23">
                  <c:v>-2.914288104158604</c:v>
                </c:pt>
                <c:pt idx="24">
                  <c:v>-2.6074235245361104</c:v>
                </c:pt>
                <c:pt idx="25">
                  <c:v>-3.5041293254947599</c:v>
                </c:pt>
                <c:pt idx="26">
                  <c:v>-2.3938388218392905</c:v>
                </c:pt>
                <c:pt idx="27">
                  <c:v>-2.6508546397489634</c:v>
                </c:pt>
                <c:pt idx="28">
                  <c:v>-1.9701053970324809</c:v>
                </c:pt>
                <c:pt idx="29">
                  <c:v>-1.8712345198540297</c:v>
                </c:pt>
                <c:pt idx="30">
                  <c:v>-1.5917680367885723</c:v>
                </c:pt>
                <c:pt idx="31">
                  <c:v>-1.1512742449097286</c:v>
                </c:pt>
                <c:pt idx="32">
                  <c:v>-1.2400059658432061</c:v>
                </c:pt>
                <c:pt idx="33">
                  <c:v>-1.6893910894321507</c:v>
                </c:pt>
                <c:pt idx="34">
                  <c:v>-3.1939846287722582</c:v>
                </c:pt>
                <c:pt idx="35">
                  <c:v>-3.0106108018974722</c:v>
                </c:pt>
                <c:pt idx="36">
                  <c:v>-3.1287919561385733</c:v>
                </c:pt>
                <c:pt idx="37">
                  <c:v>-1.9514395462805714</c:v>
                </c:pt>
                <c:pt idx="38">
                  <c:v>-3.9930452495258577</c:v>
                </c:pt>
                <c:pt idx="39">
                  <c:v>-4.1284350292269627</c:v>
                </c:pt>
                <c:pt idx="40">
                  <c:v>-4.7850122785663229</c:v>
                </c:pt>
                <c:pt idx="41">
                  <c:v>-4.838944560645948</c:v>
                </c:pt>
                <c:pt idx="42">
                  <c:v>-4.623549746981344</c:v>
                </c:pt>
                <c:pt idx="43">
                  <c:v>-5.2577017438782034</c:v>
                </c:pt>
                <c:pt idx="44">
                  <c:v>-5.9645987364974191</c:v>
                </c:pt>
                <c:pt idx="45">
                  <c:v>-5.1045989994871093</c:v>
                </c:pt>
                <c:pt idx="46">
                  <c:v>-5.6594626367427416</c:v>
                </c:pt>
                <c:pt idx="47">
                  <c:v>-6.6656632450303137</c:v>
                </c:pt>
                <c:pt idx="48">
                  <c:v>-6.777011557014899</c:v>
                </c:pt>
                <c:pt idx="49">
                  <c:v>-6.5490829493761895</c:v>
                </c:pt>
                <c:pt idx="50">
                  <c:v>-6.1529821895336418</c:v>
                </c:pt>
                <c:pt idx="51">
                  <c:v>-5.1076192364866442</c:v>
                </c:pt>
                <c:pt idx="52">
                  <c:v>-4.7960034636208277</c:v>
                </c:pt>
                <c:pt idx="53">
                  <c:v>-5.0844901776174609</c:v>
                </c:pt>
                <c:pt idx="54">
                  <c:v>-5.6685325477123767</c:v>
                </c:pt>
                <c:pt idx="55">
                  <c:v>-5.4275004339537229</c:v>
                </c:pt>
                <c:pt idx="56">
                  <c:v>-4.6374196405627313</c:v>
                </c:pt>
                <c:pt idx="57">
                  <c:v>-5.022134550009687</c:v>
                </c:pt>
                <c:pt idx="58">
                  <c:v>-4.5728609546706727</c:v>
                </c:pt>
                <c:pt idx="59">
                  <c:v>-2.9782277530015149</c:v>
                </c:pt>
                <c:pt idx="60">
                  <c:v>-3.4049336227535609</c:v>
                </c:pt>
                <c:pt idx="61">
                  <c:v>-3.5085631700654982</c:v>
                </c:pt>
                <c:pt idx="62">
                  <c:v>-3.5896511203981825</c:v>
                </c:pt>
                <c:pt idx="63">
                  <c:v>-3.291655341432008</c:v>
                </c:pt>
                <c:pt idx="64">
                  <c:v>-2.0773738494166949</c:v>
                </c:pt>
                <c:pt idx="65">
                  <c:v>-0.85928250175464249</c:v>
                </c:pt>
                <c:pt idx="66">
                  <c:v>-0.61046061045849109</c:v>
                </c:pt>
                <c:pt idx="67">
                  <c:v>-0.56485267085869117</c:v>
                </c:pt>
                <c:pt idx="68">
                  <c:v>-0.13196408850808281</c:v>
                </c:pt>
                <c:pt idx="69">
                  <c:v>-0.24631158716947854</c:v>
                </c:pt>
                <c:pt idx="70">
                  <c:v>0.27174731722100087</c:v>
                </c:pt>
                <c:pt idx="71">
                  <c:v>1.3617396493787874</c:v>
                </c:pt>
                <c:pt idx="72">
                  <c:v>2.7511763799337081</c:v>
                </c:pt>
                <c:pt idx="73">
                  <c:v>2.4761600774788128</c:v>
                </c:pt>
                <c:pt idx="74">
                  <c:v>2.1268800064217595</c:v>
                </c:pt>
                <c:pt idx="75">
                  <c:v>1.7915346168570077</c:v>
                </c:pt>
                <c:pt idx="76">
                  <c:v>1.5399750229271278</c:v>
                </c:pt>
                <c:pt idx="77">
                  <c:v>1.666036483170459</c:v>
                </c:pt>
                <c:pt idx="78">
                  <c:v>2.3503492082846451</c:v>
                </c:pt>
                <c:pt idx="79">
                  <c:v>1.949449801141429</c:v>
                </c:pt>
                <c:pt idx="80">
                  <c:v>1.2984437347960671</c:v>
                </c:pt>
                <c:pt idx="81">
                  <c:v>0.90818801052949327</c:v>
                </c:pt>
                <c:pt idx="82">
                  <c:v>-0.35011610366137647</c:v>
                </c:pt>
                <c:pt idx="83">
                  <c:v>0.90553412269826583</c:v>
                </c:pt>
                <c:pt idx="84">
                  <c:v>-0.25603101096966652</c:v>
                </c:pt>
                <c:pt idx="85">
                  <c:v>-1.2872358157793391</c:v>
                </c:pt>
                <c:pt idx="86">
                  <c:v>-3.6206321741550438</c:v>
                </c:pt>
                <c:pt idx="87">
                  <c:v>-5.6354689913945144</c:v>
                </c:pt>
                <c:pt idx="88">
                  <c:v>-5.8185498949976369</c:v>
                </c:pt>
                <c:pt idx="89">
                  <c:v>-6.4086655864487962</c:v>
                </c:pt>
                <c:pt idx="90">
                  <c:v>-8.4868803907981398</c:v>
                </c:pt>
                <c:pt idx="91">
                  <c:v>-9.6713812624084277</c:v>
                </c:pt>
                <c:pt idx="92">
                  <c:v>-10.506018039675412</c:v>
                </c:pt>
                <c:pt idx="93">
                  <c:v>-11.319111402321067</c:v>
                </c:pt>
                <c:pt idx="94">
                  <c:v>-12.209642027900216</c:v>
                </c:pt>
                <c:pt idx="95">
                  <c:v>-13.701540871679885</c:v>
                </c:pt>
                <c:pt idx="96">
                  <c:v>-14.194362827462145</c:v>
                </c:pt>
                <c:pt idx="97">
                  <c:v>-14.354092684335276</c:v>
                </c:pt>
                <c:pt idx="98">
                  <c:v>-15.487542968388238</c:v>
                </c:pt>
                <c:pt idx="99">
                  <c:v>-15.603259891160432</c:v>
                </c:pt>
                <c:pt idx="100">
                  <c:v>-15.890362951309564</c:v>
                </c:pt>
                <c:pt idx="101">
                  <c:v>-15.899899076242868</c:v>
                </c:pt>
                <c:pt idx="102">
                  <c:v>-16.734895527156286</c:v>
                </c:pt>
                <c:pt idx="103">
                  <c:v>-16.57485964044821</c:v>
                </c:pt>
                <c:pt idx="104">
                  <c:v>-16.860739485053276</c:v>
                </c:pt>
                <c:pt idx="105">
                  <c:v>-17.224280413637697</c:v>
                </c:pt>
                <c:pt idx="106">
                  <c:v>-17.881298393148331</c:v>
                </c:pt>
                <c:pt idx="107">
                  <c:v>-17.662768831796953</c:v>
                </c:pt>
                <c:pt idx="108">
                  <c:v>-17.206491613460095</c:v>
                </c:pt>
                <c:pt idx="109">
                  <c:v>-15.890368004044078</c:v>
                </c:pt>
                <c:pt idx="110">
                  <c:v>-17.010956427831143</c:v>
                </c:pt>
                <c:pt idx="111">
                  <c:v>-15.941635899963517</c:v>
                </c:pt>
                <c:pt idx="112">
                  <c:v>-16.713905912801568</c:v>
                </c:pt>
                <c:pt idx="113">
                  <c:v>-15.940589178213221</c:v>
                </c:pt>
                <c:pt idx="114">
                  <c:v>-16.510167930605444</c:v>
                </c:pt>
                <c:pt idx="115">
                  <c:v>-17.584181909081227</c:v>
                </c:pt>
                <c:pt idx="116">
                  <c:v>-18.105612678033445</c:v>
                </c:pt>
                <c:pt idx="117">
                  <c:v>-18.759141102458337</c:v>
                </c:pt>
                <c:pt idx="118">
                  <c:v>-18.865131326116209</c:v>
                </c:pt>
                <c:pt idx="119">
                  <c:v>-19.144384808943965</c:v>
                </c:pt>
                <c:pt idx="120">
                  <c:v>-18.995501846393562</c:v>
                </c:pt>
                <c:pt idx="121">
                  <c:v>-19.406216445855872</c:v>
                </c:pt>
                <c:pt idx="122">
                  <c:v>-18.692167748444771</c:v>
                </c:pt>
                <c:pt idx="123">
                  <c:v>-19.021631554130582</c:v>
                </c:pt>
                <c:pt idx="124">
                  <c:v>-18.292851753147684</c:v>
                </c:pt>
                <c:pt idx="125">
                  <c:v>-18.345234003065151</c:v>
                </c:pt>
                <c:pt idx="126">
                  <c:v>-17.92830918474322</c:v>
                </c:pt>
                <c:pt idx="127">
                  <c:v>-17.961343777525979</c:v>
                </c:pt>
                <c:pt idx="128">
                  <c:v>-17.756598970859599</c:v>
                </c:pt>
                <c:pt idx="129">
                  <c:v>-17.210664690002787</c:v>
                </c:pt>
                <c:pt idx="130">
                  <c:v>-17.722636439959981</c:v>
                </c:pt>
                <c:pt idx="131">
                  <c:v>-17.439808467130767</c:v>
                </c:pt>
                <c:pt idx="132">
                  <c:v>-17.537696420476411</c:v>
                </c:pt>
                <c:pt idx="133">
                  <c:v>-17.387824469709741</c:v>
                </c:pt>
                <c:pt idx="134">
                  <c:v>-17.604279979173004</c:v>
                </c:pt>
                <c:pt idx="135">
                  <c:v>-16.684921505903869</c:v>
                </c:pt>
                <c:pt idx="136">
                  <c:v>-16.847157507098206</c:v>
                </c:pt>
                <c:pt idx="137">
                  <c:v>-15.966394883716688</c:v>
                </c:pt>
                <c:pt idx="138">
                  <c:v>-15.818591215860506</c:v>
                </c:pt>
                <c:pt idx="139">
                  <c:v>-15.900993313076233</c:v>
                </c:pt>
                <c:pt idx="140">
                  <c:v>-16.209130006717903</c:v>
                </c:pt>
                <c:pt idx="141">
                  <c:v>-16.352801788018208</c:v>
                </c:pt>
                <c:pt idx="142">
                  <c:v>-15.831631763689256</c:v>
                </c:pt>
                <c:pt idx="143">
                  <c:v>-13.973609563455838</c:v>
                </c:pt>
                <c:pt idx="144">
                  <c:v>-13.472905440113225</c:v>
                </c:pt>
                <c:pt idx="145">
                  <c:v>-15.311995037117947</c:v>
                </c:pt>
                <c:pt idx="146">
                  <c:v>-14.034618660816417</c:v>
                </c:pt>
                <c:pt idx="147">
                  <c:v>-11.442376588153369</c:v>
                </c:pt>
                <c:pt idx="148">
                  <c:v>-10.330452544688642</c:v>
                </c:pt>
                <c:pt idx="149">
                  <c:v>-11.676982073620106</c:v>
                </c:pt>
                <c:pt idx="150">
                  <c:v>-11.632979590700467</c:v>
                </c:pt>
                <c:pt idx="151">
                  <c:v>-11.226715504532516</c:v>
                </c:pt>
                <c:pt idx="152">
                  <c:v>-11.996130001988194</c:v>
                </c:pt>
                <c:pt idx="153">
                  <c:v>-12.437358054109806</c:v>
                </c:pt>
                <c:pt idx="154">
                  <c:v>-12.79215389889532</c:v>
                </c:pt>
                <c:pt idx="155">
                  <c:v>-12.628304142061053</c:v>
                </c:pt>
                <c:pt idx="156">
                  <c:v>-10.942379748725481</c:v>
                </c:pt>
                <c:pt idx="157">
                  <c:v>-11.221031016120024</c:v>
                </c:pt>
                <c:pt idx="158">
                  <c:v>-10.774291410157158</c:v>
                </c:pt>
                <c:pt idx="159">
                  <c:v>-9.9779268964559069</c:v>
                </c:pt>
                <c:pt idx="160">
                  <c:v>-10.413322814071641</c:v>
                </c:pt>
                <c:pt idx="161">
                  <c:v>-11.538734507042408</c:v>
                </c:pt>
                <c:pt idx="162">
                  <c:v>-11.007642681866891</c:v>
                </c:pt>
                <c:pt idx="163">
                  <c:v>-5.7726642696763335</c:v>
                </c:pt>
                <c:pt idx="164">
                  <c:v>1.0689054355829608</c:v>
                </c:pt>
                <c:pt idx="165">
                  <c:v>4.727400241927481</c:v>
                </c:pt>
                <c:pt idx="166">
                  <c:v>6.6806167484942769</c:v>
                </c:pt>
                <c:pt idx="167">
                  <c:v>9.0806797768082195</c:v>
                </c:pt>
                <c:pt idx="168">
                  <c:v>11.15859638953053</c:v>
                </c:pt>
                <c:pt idx="169">
                  <c:v>16.288463366653655</c:v>
                </c:pt>
                <c:pt idx="170">
                  <c:v>18.84258885239209</c:v>
                </c:pt>
                <c:pt idx="171">
                  <c:v>19.609203319644209</c:v>
                </c:pt>
                <c:pt idx="172">
                  <c:v>21.303376657323465</c:v>
                </c:pt>
                <c:pt idx="173">
                  <c:v>25.084021890208732</c:v>
                </c:pt>
                <c:pt idx="174">
                  <c:v>29.304036646430443</c:v>
                </c:pt>
                <c:pt idx="175">
                  <c:v>31.667505154507765</c:v>
                </c:pt>
                <c:pt idx="176">
                  <c:v>31.624577332360882</c:v>
                </c:pt>
                <c:pt idx="177">
                  <c:v>33.913182063104237</c:v>
                </c:pt>
                <c:pt idx="178">
                  <c:v>33.002305456413431</c:v>
                </c:pt>
                <c:pt idx="179">
                  <c:v>31.670940048597085</c:v>
                </c:pt>
                <c:pt idx="180">
                  <c:v>33.104545088249957</c:v>
                </c:pt>
                <c:pt idx="181">
                  <c:v>36.46010843613621</c:v>
                </c:pt>
                <c:pt idx="182">
                  <c:v>34.828474524226401</c:v>
                </c:pt>
                <c:pt idx="183">
                  <c:v>33.710661754137085</c:v>
                </c:pt>
                <c:pt idx="184">
                  <c:v>32.726473591585254</c:v>
                </c:pt>
                <c:pt idx="185">
                  <c:v>34.063804140556989</c:v>
                </c:pt>
                <c:pt idx="186">
                  <c:v>32.989145889983256</c:v>
                </c:pt>
                <c:pt idx="187">
                  <c:v>34.156953282777827</c:v>
                </c:pt>
                <c:pt idx="188">
                  <c:v>32.252727628381543</c:v>
                </c:pt>
                <c:pt idx="189">
                  <c:v>29.916825594497272</c:v>
                </c:pt>
                <c:pt idx="190">
                  <c:v>28.900640612158391</c:v>
                </c:pt>
                <c:pt idx="191">
                  <c:v>28.879658123019315</c:v>
                </c:pt>
                <c:pt idx="192">
                  <c:v>28.077711451537681</c:v>
                </c:pt>
                <c:pt idx="193">
                  <c:v>27.729113965442309</c:v>
                </c:pt>
                <c:pt idx="194">
                  <c:v>27.943855424723484</c:v>
                </c:pt>
                <c:pt idx="195">
                  <c:v>26.610280874437898</c:v>
                </c:pt>
                <c:pt idx="196">
                  <c:v>24.783681501630028</c:v>
                </c:pt>
                <c:pt idx="197">
                  <c:v>24.695615243239729</c:v>
                </c:pt>
                <c:pt idx="198">
                  <c:v>24.527431450828828</c:v>
                </c:pt>
                <c:pt idx="199">
                  <c:v>25.512491139118197</c:v>
                </c:pt>
                <c:pt idx="200">
                  <c:v>27.09824370004857</c:v>
                </c:pt>
                <c:pt idx="201">
                  <c:v>24.679112689439748</c:v>
                </c:pt>
                <c:pt idx="202">
                  <c:v>23.523050035543058</c:v>
                </c:pt>
                <c:pt idx="203">
                  <c:v>22.632641637952965</c:v>
                </c:pt>
                <c:pt idx="204">
                  <c:v>22.108495073448744</c:v>
                </c:pt>
                <c:pt idx="205">
                  <c:v>21.340330138990808</c:v>
                </c:pt>
                <c:pt idx="206">
                  <c:v>19.617767638108148</c:v>
                </c:pt>
                <c:pt idx="207">
                  <c:v>18.217965019251363</c:v>
                </c:pt>
                <c:pt idx="208">
                  <c:v>18.468123004495041</c:v>
                </c:pt>
                <c:pt idx="209">
                  <c:v>17.31959059106395</c:v>
                </c:pt>
                <c:pt idx="210">
                  <c:v>17.758505228184823</c:v>
                </c:pt>
                <c:pt idx="211">
                  <c:v>18.68770511814694</c:v>
                </c:pt>
                <c:pt idx="212">
                  <c:v>19.386232068080197</c:v>
                </c:pt>
                <c:pt idx="213">
                  <c:v>23.172167119378457</c:v>
                </c:pt>
                <c:pt idx="214">
                  <c:v>26.24023616515213</c:v>
                </c:pt>
                <c:pt idx="215">
                  <c:v>28.303084859523693</c:v>
                </c:pt>
                <c:pt idx="216">
                  <c:v>31.382960347575217</c:v>
                </c:pt>
                <c:pt idx="217">
                  <c:v>32.139820056414081</c:v>
                </c:pt>
                <c:pt idx="218">
                  <c:v>32.768705065134995</c:v>
                </c:pt>
                <c:pt idx="219">
                  <c:v>34.008533620233131</c:v>
                </c:pt>
                <c:pt idx="220">
                  <c:v>36.239304554302784</c:v>
                </c:pt>
                <c:pt idx="221">
                  <c:v>38.614672904476606</c:v>
                </c:pt>
                <c:pt idx="222">
                  <c:v>40.773257798466176</c:v>
                </c:pt>
                <c:pt idx="223">
                  <c:v>42.377232070242712</c:v>
                </c:pt>
                <c:pt idx="224">
                  <c:v>41.300384994265968</c:v>
                </c:pt>
                <c:pt idx="225">
                  <c:v>44.095389875666733</c:v>
                </c:pt>
                <c:pt idx="226">
                  <c:v>46.477688260855217</c:v>
                </c:pt>
                <c:pt idx="227">
                  <c:v>47.221610916536378</c:v>
                </c:pt>
                <c:pt idx="228">
                  <c:v>49.069525184140694</c:v>
                </c:pt>
                <c:pt idx="229">
                  <c:v>49.357170992871517</c:v>
                </c:pt>
                <c:pt idx="230">
                  <c:v>53.794478762026529</c:v>
                </c:pt>
                <c:pt idx="231">
                  <c:v>54.872366145025154</c:v>
                </c:pt>
                <c:pt idx="232">
                  <c:v>56.15132222841919</c:v>
                </c:pt>
                <c:pt idx="233">
                  <c:v>55.51146926546383</c:v>
                </c:pt>
                <c:pt idx="234">
                  <c:v>57.921773893074182</c:v>
                </c:pt>
                <c:pt idx="235">
                  <c:v>57.916188768604627</c:v>
                </c:pt>
                <c:pt idx="236">
                  <c:v>56.470071298038164</c:v>
                </c:pt>
                <c:pt idx="237">
                  <c:v>57.007514525311507</c:v>
                </c:pt>
                <c:pt idx="238">
                  <c:v>57.510275875026331</c:v>
                </c:pt>
                <c:pt idx="239">
                  <c:v>58.23191598967955</c:v>
                </c:pt>
                <c:pt idx="240">
                  <c:v>55.412874270403897</c:v>
                </c:pt>
                <c:pt idx="241">
                  <c:v>52.894469641270014</c:v>
                </c:pt>
                <c:pt idx="242">
                  <c:v>50.548743039977182</c:v>
                </c:pt>
                <c:pt idx="243">
                  <c:v>49.704156710872489</c:v>
                </c:pt>
                <c:pt idx="244">
                  <c:v>47.31819770472741</c:v>
                </c:pt>
                <c:pt idx="245">
                  <c:v>45.567742282943371</c:v>
                </c:pt>
                <c:pt idx="246">
                  <c:v>41.090723527672083</c:v>
                </c:pt>
                <c:pt idx="247">
                  <c:v>39.666465909887123</c:v>
                </c:pt>
                <c:pt idx="248">
                  <c:v>37.860287382310581</c:v>
                </c:pt>
                <c:pt idx="249">
                  <c:v>37.871453238520118</c:v>
                </c:pt>
                <c:pt idx="250">
                  <c:v>37.683226580030556</c:v>
                </c:pt>
                <c:pt idx="251">
                  <c:v>36.556476336232471</c:v>
                </c:pt>
                <c:pt idx="252">
                  <c:v>37.237680299259488</c:v>
                </c:pt>
                <c:pt idx="253">
                  <c:v>35.774366689891131</c:v>
                </c:pt>
                <c:pt idx="254">
                  <c:v>34.221541327546959</c:v>
                </c:pt>
                <c:pt idx="255">
                  <c:v>34.238473332953454</c:v>
                </c:pt>
                <c:pt idx="256">
                  <c:v>33.082890316963756</c:v>
                </c:pt>
                <c:pt idx="257">
                  <c:v>30.822841410225326</c:v>
                </c:pt>
                <c:pt idx="258">
                  <c:v>30.070519202455298</c:v>
                </c:pt>
                <c:pt idx="259">
                  <c:v>29.100960043744351</c:v>
                </c:pt>
                <c:pt idx="260">
                  <c:v>28.362044034596462</c:v>
                </c:pt>
                <c:pt idx="261">
                  <c:v>24.827043673111248</c:v>
                </c:pt>
                <c:pt idx="262">
                  <c:v>24.374081677141668</c:v>
                </c:pt>
                <c:pt idx="263">
                  <c:v>23.041571301363579</c:v>
                </c:pt>
                <c:pt idx="264">
                  <c:v>22.541930388777693</c:v>
                </c:pt>
                <c:pt idx="265">
                  <c:v>21.263907216886665</c:v>
                </c:pt>
                <c:pt idx="266">
                  <c:v>20.256209138192993</c:v>
                </c:pt>
                <c:pt idx="267">
                  <c:v>18.418943178210505</c:v>
                </c:pt>
                <c:pt idx="268">
                  <c:v>17.021587806371304</c:v>
                </c:pt>
                <c:pt idx="269">
                  <c:v>16.445946031468022</c:v>
                </c:pt>
                <c:pt idx="270">
                  <c:v>14.861910465097164</c:v>
                </c:pt>
                <c:pt idx="271">
                  <c:v>13.957033158484162</c:v>
                </c:pt>
                <c:pt idx="272">
                  <c:v>13.049423986779097</c:v>
                </c:pt>
                <c:pt idx="273">
                  <c:v>12.835040855867147</c:v>
                </c:pt>
                <c:pt idx="274">
                  <c:v>12.413480424612173</c:v>
                </c:pt>
                <c:pt idx="275">
                  <c:v>12.275846430446794</c:v>
                </c:pt>
                <c:pt idx="276">
                  <c:v>11.865882924260021</c:v>
                </c:pt>
                <c:pt idx="277">
                  <c:v>11.512320704347784</c:v>
                </c:pt>
                <c:pt idx="278">
                  <c:v>12.43226673736708</c:v>
                </c:pt>
                <c:pt idx="279">
                  <c:v>11.499508818115146</c:v>
                </c:pt>
                <c:pt idx="280">
                  <c:v>9.4348127000964563</c:v>
                </c:pt>
                <c:pt idx="281">
                  <c:v>8.6701176517201031</c:v>
                </c:pt>
                <c:pt idx="282">
                  <c:v>7.4990941847425256</c:v>
                </c:pt>
                <c:pt idx="283">
                  <c:v>9.3197843579617317</c:v>
                </c:pt>
                <c:pt idx="284">
                  <c:v>8.9130445592832999</c:v>
                </c:pt>
                <c:pt idx="285">
                  <c:v>7.8469226361245674</c:v>
                </c:pt>
                <c:pt idx="286">
                  <c:v>8.27158309028869</c:v>
                </c:pt>
                <c:pt idx="287">
                  <c:v>6.8770003640872988</c:v>
                </c:pt>
                <c:pt idx="288">
                  <c:v>4.8449757953754506</c:v>
                </c:pt>
                <c:pt idx="289">
                  <c:v>3.8778800429082971</c:v>
                </c:pt>
                <c:pt idx="290">
                  <c:v>4.289777016856319</c:v>
                </c:pt>
                <c:pt idx="291">
                  <c:v>4.6257880346382052</c:v>
                </c:pt>
                <c:pt idx="292">
                  <c:v>3.4517403985515753</c:v>
                </c:pt>
                <c:pt idx="293">
                  <c:v>2.8307932012569403</c:v>
                </c:pt>
                <c:pt idx="294">
                  <c:v>2.5811207734892037</c:v>
                </c:pt>
                <c:pt idx="295">
                  <c:v>3.3636455203565641</c:v>
                </c:pt>
                <c:pt idx="296">
                  <c:v>1.939119534856697</c:v>
                </c:pt>
                <c:pt idx="297">
                  <c:v>1.2283601659229486</c:v>
                </c:pt>
                <c:pt idx="298">
                  <c:v>1.7996140819203805</c:v>
                </c:pt>
                <c:pt idx="299">
                  <c:v>1.8966338227163666</c:v>
                </c:pt>
                <c:pt idx="300">
                  <c:v>1.1250429599561256</c:v>
                </c:pt>
                <c:pt idx="301">
                  <c:v>0.53635569438280106</c:v>
                </c:pt>
                <c:pt idx="302">
                  <c:v>0.34710685477478981</c:v>
                </c:pt>
                <c:pt idx="303">
                  <c:v>0.36368541327559728</c:v>
                </c:pt>
                <c:pt idx="304">
                  <c:v>1.9005765121933003</c:v>
                </c:pt>
                <c:pt idx="305">
                  <c:v>2.0421793253971989</c:v>
                </c:pt>
                <c:pt idx="306">
                  <c:v>0.76074329319068679</c:v>
                </c:pt>
                <c:pt idx="307">
                  <c:v>0.60107105081891432</c:v>
                </c:pt>
                <c:pt idx="308">
                  <c:v>1.5158978799721272</c:v>
                </c:pt>
                <c:pt idx="309">
                  <c:v>-0.86954883698943386</c:v>
                </c:pt>
                <c:pt idx="310">
                  <c:v>-1.6411431329271291</c:v>
                </c:pt>
                <c:pt idx="311">
                  <c:v>-1.1523952303114742</c:v>
                </c:pt>
                <c:pt idx="312">
                  <c:v>-0.6953918258536731</c:v>
                </c:pt>
                <c:pt idx="313">
                  <c:v>-0.75039703939233604</c:v>
                </c:pt>
                <c:pt idx="314">
                  <c:v>-0.52366679921142745</c:v>
                </c:pt>
                <c:pt idx="315">
                  <c:v>-0.90690714069836309</c:v>
                </c:pt>
                <c:pt idx="316">
                  <c:v>-1.9072467504746935</c:v>
                </c:pt>
                <c:pt idx="317">
                  <c:v>-0.96226347220351571</c:v>
                </c:pt>
                <c:pt idx="318">
                  <c:v>0.13764847657475504</c:v>
                </c:pt>
                <c:pt idx="319">
                  <c:v>-1.079519453063537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3-4F47-9936-7C414E55C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580A498-F25E-9542-9823-AD137C73A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CCA7A-D1A1-7648-8FC8-37FF9D9EC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109EBCE-0DB9-5546-8618-FDAA7D908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A43179-A760-1D4A-99B7-89145C6CF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AD212F5-9AB3-BC46-867D-3564CAE9C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0C2401-AD4B-AE42-A3E5-7FA3ED3F3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E0D8330-ACCB-6741-869E-ECA22A3AE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B47CF2-5AD7-C143-94EB-113294486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topLeftCell="F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3324.0554517134001</v>
      </c>
      <c r="E2">
        <v>500.06417445482998</v>
      </c>
      <c r="F2">
        <v>127.49039057656999</v>
      </c>
      <c r="G2">
        <v>112.42653440794</v>
      </c>
      <c r="H2" s="4"/>
      <c r="I2" s="5">
        <f>E2-G2</f>
        <v>387.63764004689</v>
      </c>
      <c r="J2" s="5">
        <f>D2-F2</f>
        <v>3196.5650611368301</v>
      </c>
      <c r="K2" s="9">
        <f>I2*1</f>
        <v>387.63764004689</v>
      </c>
      <c r="L2" s="6">
        <f t="shared" ref="L2:L65" si="0">K2/J2</f>
        <v>0.1212669326708558</v>
      </c>
      <c r="M2" s="6">
        <f>L2+ABS($N$2)*A2</f>
        <v>0.1212669326708558</v>
      </c>
      <c r="N2" s="4">
        <f>LINEST(V64:V103,U64:U103)</f>
        <v>3.8450707959907399E-5</v>
      </c>
      <c r="O2" s="7">
        <f>AVERAGE(M62:M81)</f>
        <v>0.11842003279677656</v>
      </c>
      <c r="P2" s="4">
        <f>(M2-$O$2)/$O$2*100</f>
        <v>2.4040694862539622</v>
      </c>
    </row>
    <row r="3" spans="1:16" x14ac:dyDescent="0.2">
      <c r="A3" s="8">
        <v>0.5</v>
      </c>
      <c r="B3" s="8">
        <v>1</v>
      </c>
      <c r="D3">
        <v>3309.4878504673002</v>
      </c>
      <c r="E3">
        <v>498.63426791276999</v>
      </c>
      <c r="F3">
        <v>127.20396776193</v>
      </c>
      <c r="G3">
        <v>112.00557966522</v>
      </c>
      <c r="I3" s="9">
        <f t="shared" ref="I3:I66" si="1">E3-G3</f>
        <v>386.62868824754997</v>
      </c>
      <c r="J3" s="9">
        <f t="shared" ref="J3:J66" si="2">D3-F3</f>
        <v>3182.2838827053702</v>
      </c>
      <c r="K3" s="9">
        <f t="shared" ref="K3:K66" si="3">I3*1</f>
        <v>386.62868824754997</v>
      </c>
      <c r="L3" s="10">
        <f t="shared" si="0"/>
        <v>0.12149409119304073</v>
      </c>
      <c r="M3" s="10">
        <f t="shared" ref="M3:M66" si="4">L3+ABS($N$2)*A3</f>
        <v>0.12151331654702069</v>
      </c>
      <c r="P3" s="8">
        <f t="shared" ref="P3:P66" si="5">(M3-$O$2)/$O$2*100</f>
        <v>2.6121287734758454</v>
      </c>
    </row>
    <row r="4" spans="1:16" ht="16" x14ac:dyDescent="0.2">
      <c r="A4" s="8">
        <v>1</v>
      </c>
      <c r="B4" s="8">
        <v>2</v>
      </c>
      <c r="D4">
        <v>3307.6934579438998</v>
      </c>
      <c r="E4">
        <v>498.74080996884999</v>
      </c>
      <c r="F4">
        <v>127.2207067576</v>
      </c>
      <c r="G4">
        <v>111.97520148791</v>
      </c>
      <c r="I4" s="9">
        <f t="shared" si="1"/>
        <v>386.76560848093999</v>
      </c>
      <c r="J4" s="9">
        <f t="shared" si="2"/>
        <v>3180.4727511862998</v>
      </c>
      <c r="K4" s="9">
        <f t="shared" si="3"/>
        <v>386.76560848093999</v>
      </c>
      <c r="L4" s="10">
        <f t="shared" si="0"/>
        <v>0.12160632671249216</v>
      </c>
      <c r="M4" s="10">
        <f t="shared" si="4"/>
        <v>0.12164477742045207</v>
      </c>
      <c r="N4" s="1" t="s">
        <v>8</v>
      </c>
      <c r="P4" s="8">
        <f t="shared" si="5"/>
        <v>2.7231411337383911</v>
      </c>
    </row>
    <row r="5" spans="1:16" x14ac:dyDescent="0.2">
      <c r="A5" s="8">
        <v>1.5</v>
      </c>
      <c r="B5" s="8">
        <v>3</v>
      </c>
      <c r="D5">
        <v>3295.3076923077001</v>
      </c>
      <c r="E5">
        <v>505.4547146402</v>
      </c>
      <c r="F5">
        <v>127.47675139492</v>
      </c>
      <c r="G5">
        <v>111.67885926843999</v>
      </c>
      <c r="I5" s="9">
        <f t="shared" si="1"/>
        <v>393.77585537176003</v>
      </c>
      <c r="J5" s="9">
        <f t="shared" si="2"/>
        <v>3167.8309409127801</v>
      </c>
      <c r="K5" s="9">
        <f t="shared" si="3"/>
        <v>393.77585537176003</v>
      </c>
      <c r="L5" s="10">
        <f t="shared" si="0"/>
        <v>0.12430456761000551</v>
      </c>
      <c r="M5" s="10">
        <f t="shared" si="4"/>
        <v>0.12436224367194537</v>
      </c>
      <c r="N5" s="8">
        <f>RSQ(V64:V83,U64:U83)</f>
        <v>0.80382810280224304</v>
      </c>
      <c r="P5" s="8">
        <f t="shared" si="5"/>
        <v>5.0179101751866479</v>
      </c>
    </row>
    <row r="6" spans="1:16" x14ac:dyDescent="0.2">
      <c r="A6" s="8">
        <v>2</v>
      </c>
      <c r="B6" s="8">
        <v>4</v>
      </c>
      <c r="D6">
        <v>3169.91191067</v>
      </c>
      <c r="E6">
        <v>501.49317617866001</v>
      </c>
      <c r="F6">
        <v>127.60384376937</v>
      </c>
      <c r="G6">
        <v>112.41723496589999</v>
      </c>
      <c r="I6" s="9">
        <f t="shared" si="1"/>
        <v>389.07594121276003</v>
      </c>
      <c r="J6" s="9">
        <f t="shared" si="2"/>
        <v>3042.3080669006299</v>
      </c>
      <c r="K6" s="9">
        <f t="shared" si="3"/>
        <v>389.07594121276003</v>
      </c>
      <c r="L6" s="10">
        <f t="shared" si="0"/>
        <v>0.12788840993645115</v>
      </c>
      <c r="M6" s="10">
        <f t="shared" si="4"/>
        <v>0.12796531135237096</v>
      </c>
      <c r="P6" s="8">
        <f t="shared" si="5"/>
        <v>8.0605268637066576</v>
      </c>
    </row>
    <row r="7" spans="1:16" x14ac:dyDescent="0.2">
      <c r="A7" s="8">
        <v>2.5</v>
      </c>
      <c r="B7" s="8">
        <v>5</v>
      </c>
      <c r="D7">
        <v>3161.2476722533002</v>
      </c>
      <c r="E7">
        <v>488.37740533829998</v>
      </c>
      <c r="F7">
        <v>127.95970241786</v>
      </c>
      <c r="G7">
        <v>112.47055176689</v>
      </c>
      <c r="I7" s="9">
        <f t="shared" si="1"/>
        <v>375.90685357141001</v>
      </c>
      <c r="J7" s="9">
        <f t="shared" si="2"/>
        <v>3033.28796983544</v>
      </c>
      <c r="K7" s="9">
        <f t="shared" si="3"/>
        <v>375.90685357141001</v>
      </c>
      <c r="L7" s="10">
        <f t="shared" si="0"/>
        <v>0.12392718967325858</v>
      </c>
      <c r="M7" s="10">
        <f t="shared" si="4"/>
        <v>0.12402331644315835</v>
      </c>
      <c r="P7" s="8">
        <f t="shared" si="5"/>
        <v>4.7317024949636046</v>
      </c>
    </row>
    <row r="8" spans="1:16" x14ac:dyDescent="0.2">
      <c r="A8" s="8">
        <v>3</v>
      </c>
      <c r="B8" s="8">
        <v>6</v>
      </c>
      <c r="D8">
        <v>3759.1545623836</v>
      </c>
      <c r="E8">
        <v>561.63811297330994</v>
      </c>
      <c r="F8">
        <v>127.51084934904</v>
      </c>
      <c r="G8">
        <v>112.07377557347</v>
      </c>
      <c r="I8" s="9">
        <f t="shared" si="1"/>
        <v>449.56433739983993</v>
      </c>
      <c r="J8" s="9">
        <f t="shared" si="2"/>
        <v>3631.6437130345598</v>
      </c>
      <c r="K8" s="9">
        <f t="shared" si="3"/>
        <v>449.56433739983993</v>
      </c>
      <c r="L8" s="10">
        <f t="shared" si="0"/>
        <v>0.12379087072508804</v>
      </c>
      <c r="M8" s="10">
        <f t="shared" si="4"/>
        <v>0.12390622284896777</v>
      </c>
      <c r="P8" s="8">
        <f t="shared" si="5"/>
        <v>4.632822608321848</v>
      </c>
    </row>
    <row r="9" spans="1:16" x14ac:dyDescent="0.2">
      <c r="A9" s="8">
        <v>3.5</v>
      </c>
      <c r="B9" s="8">
        <v>7</v>
      </c>
      <c r="D9">
        <v>3508.8115671641999</v>
      </c>
      <c r="E9">
        <v>543.26492537313004</v>
      </c>
      <c r="F9">
        <v>127.79231246125001</v>
      </c>
      <c r="G9">
        <v>112.04215747054999</v>
      </c>
      <c r="I9" s="9">
        <f t="shared" si="1"/>
        <v>431.22276790258002</v>
      </c>
      <c r="J9" s="9">
        <f t="shared" si="2"/>
        <v>3381.0192547029501</v>
      </c>
      <c r="K9" s="9">
        <f t="shared" si="3"/>
        <v>431.22276790258002</v>
      </c>
      <c r="L9" s="10">
        <f t="shared" si="0"/>
        <v>0.12754223960799846</v>
      </c>
      <c r="M9" s="10">
        <f t="shared" si="4"/>
        <v>0.12767681708585812</v>
      </c>
      <c r="P9" s="8">
        <f t="shared" si="5"/>
        <v>7.8169073850598885</v>
      </c>
    </row>
    <row r="10" spans="1:16" x14ac:dyDescent="0.2">
      <c r="A10" s="8">
        <v>4</v>
      </c>
      <c r="B10" s="8">
        <v>8</v>
      </c>
      <c r="D10">
        <v>3388.2574812968001</v>
      </c>
      <c r="E10">
        <v>545.22319201995003</v>
      </c>
      <c r="F10">
        <v>127.72411655301001</v>
      </c>
      <c r="G10">
        <v>112.11841289522999</v>
      </c>
      <c r="I10" s="9">
        <f t="shared" si="1"/>
        <v>433.10477912472004</v>
      </c>
      <c r="J10" s="9">
        <f t="shared" si="2"/>
        <v>3260.5333647437901</v>
      </c>
      <c r="K10" s="9">
        <f t="shared" si="3"/>
        <v>433.10477912472004</v>
      </c>
      <c r="L10" s="10">
        <f t="shared" si="0"/>
        <v>0.13283249415813078</v>
      </c>
      <c r="M10" s="10">
        <f t="shared" si="4"/>
        <v>0.13298629698997042</v>
      </c>
      <c r="P10" s="8">
        <f t="shared" si="5"/>
        <v>12.300506805458644</v>
      </c>
    </row>
    <row r="11" spans="1:16" x14ac:dyDescent="0.2">
      <c r="A11" s="8">
        <v>4.5</v>
      </c>
      <c r="B11" s="8">
        <v>9</v>
      </c>
      <c r="D11">
        <v>3475.3559850373999</v>
      </c>
      <c r="E11">
        <v>555.39962593515997</v>
      </c>
      <c r="F11">
        <v>127.68009919405</v>
      </c>
      <c r="G11">
        <v>112.01487910725</v>
      </c>
      <c r="I11" s="9">
        <f t="shared" si="1"/>
        <v>443.38474682790996</v>
      </c>
      <c r="J11" s="9">
        <f t="shared" si="2"/>
        <v>3347.67588584335</v>
      </c>
      <c r="K11" s="9">
        <f t="shared" si="3"/>
        <v>443.38474682790996</v>
      </c>
      <c r="L11" s="10">
        <f t="shared" si="0"/>
        <v>0.13244554190651944</v>
      </c>
      <c r="M11" s="10">
        <f t="shared" si="4"/>
        <v>0.13261857009233902</v>
      </c>
      <c r="P11" s="8">
        <f t="shared" si="5"/>
        <v>11.989979195436391</v>
      </c>
    </row>
    <row r="12" spans="1:16" x14ac:dyDescent="0.2">
      <c r="A12" s="8">
        <v>5</v>
      </c>
      <c r="B12" s="8">
        <v>10</v>
      </c>
      <c r="D12">
        <v>3405.0486284289</v>
      </c>
      <c r="E12">
        <v>553.07169576060005</v>
      </c>
      <c r="F12">
        <v>127.60880347179</v>
      </c>
      <c r="G12">
        <v>112.28456292622</v>
      </c>
      <c r="I12" s="9">
        <f t="shared" si="1"/>
        <v>440.78713283438003</v>
      </c>
      <c r="J12" s="9">
        <f t="shared" si="2"/>
        <v>3277.43982495711</v>
      </c>
      <c r="K12" s="9">
        <f t="shared" si="3"/>
        <v>440.78713283438003</v>
      </c>
      <c r="L12" s="10">
        <f t="shared" si="0"/>
        <v>0.13449129698060844</v>
      </c>
      <c r="M12" s="10">
        <f t="shared" si="4"/>
        <v>0.13468355052040798</v>
      </c>
      <c r="P12" s="8">
        <f t="shared" si="5"/>
        <v>13.733755463099421</v>
      </c>
    </row>
    <row r="13" spans="1:16" x14ac:dyDescent="0.2">
      <c r="A13" s="8">
        <v>5.5</v>
      </c>
      <c r="B13" s="8">
        <v>11</v>
      </c>
      <c r="D13">
        <v>3399.3827930174998</v>
      </c>
      <c r="E13">
        <v>553.00935162095004</v>
      </c>
      <c r="F13">
        <v>127.65778053317</v>
      </c>
      <c r="G13">
        <v>112.16429014259</v>
      </c>
      <c r="I13" s="9">
        <f t="shared" si="1"/>
        <v>440.84506147836004</v>
      </c>
      <c r="J13" s="9">
        <f t="shared" si="2"/>
        <v>3271.7250124843299</v>
      </c>
      <c r="K13" s="9">
        <f t="shared" si="3"/>
        <v>440.84506147836004</v>
      </c>
      <c r="L13" s="10">
        <f t="shared" si="0"/>
        <v>0.13474392248620298</v>
      </c>
      <c r="M13" s="10">
        <f t="shared" si="4"/>
        <v>0.13495540137998246</v>
      </c>
      <c r="P13" s="8">
        <f t="shared" si="5"/>
        <v>13.963320388183517</v>
      </c>
    </row>
    <row r="14" spans="1:16" x14ac:dyDescent="0.2">
      <c r="A14" s="8">
        <v>6</v>
      </c>
      <c r="B14" s="8">
        <v>12</v>
      </c>
      <c r="D14">
        <v>3505.9644638404002</v>
      </c>
      <c r="E14">
        <v>560.06359102244005</v>
      </c>
      <c r="F14">
        <v>127.8617482951</v>
      </c>
      <c r="G14">
        <v>112.09671419715001</v>
      </c>
      <c r="I14" s="9">
        <f t="shared" si="1"/>
        <v>447.96687682529006</v>
      </c>
      <c r="J14" s="9">
        <f t="shared" si="2"/>
        <v>3378.1027155453003</v>
      </c>
      <c r="K14" s="9">
        <f t="shared" si="3"/>
        <v>447.96687682529006</v>
      </c>
      <c r="L14" s="10">
        <f t="shared" si="0"/>
        <v>0.13260901593188482</v>
      </c>
      <c r="M14" s="10">
        <f t="shared" si="4"/>
        <v>0.13283972017964427</v>
      </c>
      <c r="P14" s="8">
        <f t="shared" si="5"/>
        <v>12.176729766334113</v>
      </c>
    </row>
    <row r="15" spans="1:16" x14ac:dyDescent="0.2">
      <c r="A15" s="8">
        <v>6.5</v>
      </c>
      <c r="B15" s="8">
        <v>13</v>
      </c>
      <c r="D15">
        <v>3476.8235660847999</v>
      </c>
      <c r="E15">
        <v>555.46446384039996</v>
      </c>
      <c r="F15">
        <v>127.83880967141999</v>
      </c>
      <c r="G15">
        <v>112.21388716676999</v>
      </c>
      <c r="I15" s="9">
        <f t="shared" si="1"/>
        <v>443.25057667362995</v>
      </c>
      <c r="J15" s="9">
        <f t="shared" si="2"/>
        <v>3348.9847564133797</v>
      </c>
      <c r="K15" s="9">
        <f t="shared" si="3"/>
        <v>443.25057667362995</v>
      </c>
      <c r="L15" s="10">
        <f t="shared" si="0"/>
        <v>0.13235371580142169</v>
      </c>
      <c r="M15" s="10">
        <f t="shared" si="4"/>
        <v>0.13260364540316108</v>
      </c>
      <c r="P15" s="8">
        <f t="shared" si="5"/>
        <v>11.977376016037219</v>
      </c>
    </row>
    <row r="16" spans="1:16" x14ac:dyDescent="0.2">
      <c r="A16" s="8">
        <v>7</v>
      </c>
      <c r="B16" s="8">
        <v>14</v>
      </c>
      <c r="D16">
        <v>3438.2731222842999</v>
      </c>
      <c r="E16">
        <v>542.45251396647996</v>
      </c>
      <c r="F16">
        <v>128.03843769374001</v>
      </c>
      <c r="G16">
        <v>112.49659020459001</v>
      </c>
      <c r="I16" s="9">
        <f t="shared" si="1"/>
        <v>429.95592376188995</v>
      </c>
      <c r="J16" s="9">
        <f t="shared" si="2"/>
        <v>3310.2346845905599</v>
      </c>
      <c r="K16" s="9">
        <f t="shared" si="3"/>
        <v>429.95592376188995</v>
      </c>
      <c r="L16" s="10">
        <f t="shared" si="0"/>
        <v>0.12988684027853778</v>
      </c>
      <c r="M16" s="10">
        <f t="shared" si="4"/>
        <v>0.13015599523425714</v>
      </c>
      <c r="P16" s="8">
        <f t="shared" si="5"/>
        <v>9.9104536287546434</v>
      </c>
    </row>
    <row r="17" spans="1:16" x14ac:dyDescent="0.2">
      <c r="A17" s="8">
        <v>7.5</v>
      </c>
      <c r="B17" s="8">
        <v>15</v>
      </c>
      <c r="D17">
        <v>3431.7361887027</v>
      </c>
      <c r="E17">
        <v>541.70018621973998</v>
      </c>
      <c r="F17">
        <v>128.08183508990001</v>
      </c>
      <c r="G17">
        <v>112.22504649721</v>
      </c>
      <c r="I17" s="9">
        <f t="shared" si="1"/>
        <v>429.47513972253</v>
      </c>
      <c r="J17" s="9">
        <f t="shared" si="2"/>
        <v>3303.6543536128002</v>
      </c>
      <c r="K17" s="9">
        <f t="shared" si="3"/>
        <v>429.47513972253</v>
      </c>
      <c r="L17" s="10">
        <f t="shared" si="0"/>
        <v>0.13000002232463148</v>
      </c>
      <c r="M17" s="10">
        <f t="shared" si="4"/>
        <v>0.13028840263433078</v>
      </c>
      <c r="P17" s="8">
        <f t="shared" si="5"/>
        <v>10.022265285065252</v>
      </c>
    </row>
    <row r="18" spans="1:16" x14ac:dyDescent="0.2">
      <c r="A18" s="8">
        <v>8</v>
      </c>
      <c r="B18" s="8">
        <v>16</v>
      </c>
      <c r="D18">
        <v>3329.400373599</v>
      </c>
      <c r="E18">
        <v>543.98443337484002</v>
      </c>
      <c r="F18">
        <v>128.06943583385001</v>
      </c>
      <c r="G18">
        <v>112.17854928704</v>
      </c>
      <c r="I18" s="9">
        <f t="shared" si="1"/>
        <v>431.8058840878</v>
      </c>
      <c r="J18" s="9">
        <f t="shared" si="2"/>
        <v>3201.3309377651499</v>
      </c>
      <c r="K18" s="9">
        <f t="shared" si="3"/>
        <v>431.8058840878</v>
      </c>
      <c r="L18" s="10">
        <f t="shared" si="0"/>
        <v>0.13488323840372587</v>
      </c>
      <c r="M18" s="10">
        <f t="shared" si="4"/>
        <v>0.13519084406740514</v>
      </c>
      <c r="P18" s="8">
        <f t="shared" si="5"/>
        <v>14.162140369788087</v>
      </c>
    </row>
    <row r="19" spans="1:16" x14ac:dyDescent="0.2">
      <c r="A19" s="8">
        <v>8.5</v>
      </c>
      <c r="B19" s="8">
        <v>17</v>
      </c>
      <c r="D19">
        <v>3363.9981320050001</v>
      </c>
      <c r="E19">
        <v>548.69738480697004</v>
      </c>
      <c r="F19">
        <v>128.27154370738</v>
      </c>
      <c r="G19">
        <v>112.25232486051</v>
      </c>
      <c r="I19" s="9">
        <f t="shared" si="1"/>
        <v>436.44505994646005</v>
      </c>
      <c r="J19" s="9">
        <f t="shared" si="2"/>
        <v>3235.7265882976203</v>
      </c>
      <c r="K19" s="9">
        <f t="shared" si="3"/>
        <v>436.44505994646005</v>
      </c>
      <c r="L19" s="10">
        <f t="shared" si="0"/>
        <v>0.13488317014327295</v>
      </c>
      <c r="M19" s="10">
        <f t="shared" si="4"/>
        <v>0.13521000116093215</v>
      </c>
      <c r="P19" s="8">
        <f t="shared" si="5"/>
        <v>14.17831761030607</v>
      </c>
    </row>
    <row r="20" spans="1:16" x14ac:dyDescent="0.2">
      <c r="A20" s="8">
        <v>9</v>
      </c>
      <c r="B20" s="8">
        <v>18</v>
      </c>
      <c r="D20">
        <v>3558.8493150684999</v>
      </c>
      <c r="E20">
        <v>568.43275217933001</v>
      </c>
      <c r="F20">
        <v>128.02045877246999</v>
      </c>
      <c r="G20">
        <v>112.46807191569</v>
      </c>
      <c r="I20" s="9">
        <f t="shared" si="1"/>
        <v>455.96468026363999</v>
      </c>
      <c r="J20" s="9">
        <f t="shared" si="2"/>
        <v>3430.8288562960297</v>
      </c>
      <c r="K20" s="9">
        <f t="shared" si="3"/>
        <v>455.96468026363999</v>
      </c>
      <c r="L20" s="10">
        <f t="shared" si="0"/>
        <v>0.13290219342386719</v>
      </c>
      <c r="M20" s="10">
        <f t="shared" si="4"/>
        <v>0.13324824979550637</v>
      </c>
      <c r="P20" s="8">
        <f t="shared" si="5"/>
        <v>12.521713301816822</v>
      </c>
    </row>
    <row r="21" spans="1:16" x14ac:dyDescent="0.2">
      <c r="A21" s="8">
        <v>9.5</v>
      </c>
      <c r="B21" s="8">
        <v>19</v>
      </c>
      <c r="D21">
        <v>3607.7478206725</v>
      </c>
      <c r="E21">
        <v>572.27770859277996</v>
      </c>
      <c r="F21">
        <v>128.26534407936001</v>
      </c>
      <c r="G21">
        <v>112.05951642901</v>
      </c>
      <c r="I21" s="9">
        <f t="shared" si="1"/>
        <v>460.21819216376997</v>
      </c>
      <c r="J21" s="9">
        <f t="shared" si="2"/>
        <v>3479.4824765931398</v>
      </c>
      <c r="K21" s="9">
        <f t="shared" si="3"/>
        <v>460.21819216376997</v>
      </c>
      <c r="L21" s="10">
        <f t="shared" si="0"/>
        <v>0.13226627674078206</v>
      </c>
      <c r="M21" s="10">
        <f t="shared" si="4"/>
        <v>0.13263155846640118</v>
      </c>
      <c r="P21" s="8">
        <f t="shared" si="5"/>
        <v>12.000947250211762</v>
      </c>
    </row>
    <row r="22" spans="1:16" x14ac:dyDescent="0.2">
      <c r="A22" s="8">
        <v>10</v>
      </c>
      <c r="B22" s="8">
        <v>20</v>
      </c>
      <c r="D22">
        <v>3390.2901425914001</v>
      </c>
      <c r="E22">
        <v>551.30316181029002</v>
      </c>
      <c r="F22">
        <v>128.22938623683001</v>
      </c>
      <c r="G22">
        <v>112.33787972722</v>
      </c>
      <c r="I22" s="9">
        <f t="shared" si="1"/>
        <v>438.96528208307001</v>
      </c>
      <c r="J22" s="9">
        <f t="shared" si="2"/>
        <v>3262.06075635457</v>
      </c>
      <c r="K22" s="9">
        <f t="shared" si="3"/>
        <v>438.96528208307001</v>
      </c>
      <c r="L22" s="10">
        <f t="shared" si="0"/>
        <v>0.13456686275016658</v>
      </c>
      <c r="M22" s="10">
        <f t="shared" si="4"/>
        <v>0.13495136982976566</v>
      </c>
      <c r="P22" s="8">
        <f t="shared" si="5"/>
        <v>13.959915938681529</v>
      </c>
    </row>
    <row r="23" spans="1:16" x14ac:dyDescent="0.2">
      <c r="A23" s="8">
        <v>10.5</v>
      </c>
      <c r="B23" s="8">
        <v>21</v>
      </c>
      <c r="D23">
        <v>3477.4773713577001</v>
      </c>
      <c r="E23">
        <v>563.57284562925997</v>
      </c>
      <c r="F23">
        <v>128.26968381897001</v>
      </c>
      <c r="G23">
        <v>112.52200867948</v>
      </c>
      <c r="I23" s="9">
        <f t="shared" si="1"/>
        <v>451.05083694977998</v>
      </c>
      <c r="J23" s="9">
        <f t="shared" si="2"/>
        <v>3349.2076875387302</v>
      </c>
      <c r="K23" s="9">
        <f t="shared" si="3"/>
        <v>451.05083694977998</v>
      </c>
      <c r="L23" s="10">
        <f t="shared" si="0"/>
        <v>0.13467389276215616</v>
      </c>
      <c r="M23" s="10">
        <f t="shared" si="4"/>
        <v>0.13507762519573518</v>
      </c>
      <c r="P23" s="8">
        <f t="shared" si="5"/>
        <v>14.066532499231037</v>
      </c>
    </row>
    <row r="24" spans="1:16" x14ac:dyDescent="0.2">
      <c r="A24" s="8">
        <v>11</v>
      </c>
      <c r="B24" s="8">
        <v>22</v>
      </c>
      <c r="D24">
        <v>3475.8084314941002</v>
      </c>
      <c r="E24">
        <v>562.11903285802998</v>
      </c>
      <c r="F24">
        <v>128.05827650341001</v>
      </c>
      <c r="G24">
        <v>112.34965902046</v>
      </c>
      <c r="I24" s="9">
        <f t="shared" si="1"/>
        <v>449.76937383757001</v>
      </c>
      <c r="J24" s="9">
        <f t="shared" si="2"/>
        <v>3347.7501549906901</v>
      </c>
      <c r="K24" s="9">
        <f t="shared" si="3"/>
        <v>449.76937383757001</v>
      </c>
      <c r="L24" s="10">
        <f t="shared" si="0"/>
        <v>0.13434974326476307</v>
      </c>
      <c r="M24" s="10">
        <f t="shared" si="4"/>
        <v>0.13477270105232206</v>
      </c>
      <c r="P24" s="8">
        <f t="shared" si="5"/>
        <v>13.809038782828836</v>
      </c>
    </row>
    <row r="25" spans="1:16" x14ac:dyDescent="0.2">
      <c r="A25" s="8">
        <v>11.5</v>
      </c>
      <c r="B25" s="8">
        <v>23</v>
      </c>
      <c r="D25">
        <v>3546.3620582765002</v>
      </c>
      <c r="E25">
        <v>565.74209547426995</v>
      </c>
      <c r="F25">
        <v>128.68815871048</v>
      </c>
      <c r="G25">
        <v>112.60260384377</v>
      </c>
      <c r="I25" s="9">
        <f t="shared" si="1"/>
        <v>453.13949163049995</v>
      </c>
      <c r="J25" s="9">
        <f t="shared" si="2"/>
        <v>3417.6738995660203</v>
      </c>
      <c r="K25" s="9">
        <f t="shared" si="3"/>
        <v>453.13949163049995</v>
      </c>
      <c r="L25" s="10">
        <f t="shared" si="0"/>
        <v>0.13258710601033061</v>
      </c>
      <c r="M25" s="10">
        <f t="shared" si="4"/>
        <v>0.13302928915186954</v>
      </c>
      <c r="P25" s="8">
        <f t="shared" si="5"/>
        <v>12.336811610383759</v>
      </c>
    </row>
    <row r="26" spans="1:16" x14ac:dyDescent="0.2">
      <c r="A26" s="8">
        <v>12</v>
      </c>
      <c r="B26" s="8">
        <v>24</v>
      </c>
      <c r="D26">
        <v>3555.7439851943</v>
      </c>
      <c r="E26">
        <v>563.33682911783001</v>
      </c>
      <c r="F26">
        <v>128.63422194667999</v>
      </c>
      <c r="G26">
        <v>112.51580905146</v>
      </c>
      <c r="I26" s="9">
        <f t="shared" si="1"/>
        <v>450.82102006637001</v>
      </c>
      <c r="J26" s="9">
        <f t="shared" si="2"/>
        <v>3427.1097632476199</v>
      </c>
      <c r="K26" s="9">
        <f t="shared" si="3"/>
        <v>450.82102006637001</v>
      </c>
      <c r="L26" s="10">
        <f t="shared" si="0"/>
        <v>0.13154554455797765</v>
      </c>
      <c r="M26" s="10">
        <f t="shared" si="4"/>
        <v>0.13200695305349655</v>
      </c>
      <c r="P26" s="8">
        <f t="shared" si="5"/>
        <v>11.473498136955286</v>
      </c>
    </row>
    <row r="27" spans="1:16" x14ac:dyDescent="0.2">
      <c r="A27" s="8">
        <v>12.5</v>
      </c>
      <c r="B27" s="8">
        <v>25</v>
      </c>
      <c r="D27">
        <v>3630.1978973408</v>
      </c>
      <c r="E27">
        <v>558.95856524427995</v>
      </c>
      <c r="F27">
        <v>128.99752014878999</v>
      </c>
      <c r="G27">
        <v>112.68877867328</v>
      </c>
      <c r="I27" s="9">
        <f t="shared" si="1"/>
        <v>446.26978657099994</v>
      </c>
      <c r="J27" s="9">
        <f t="shared" si="2"/>
        <v>3501.2003771920099</v>
      </c>
      <c r="K27" s="9">
        <f t="shared" si="3"/>
        <v>446.26978657099994</v>
      </c>
      <c r="L27" s="10">
        <f t="shared" si="0"/>
        <v>0.12746193833353572</v>
      </c>
      <c r="M27" s="10">
        <f t="shared" si="4"/>
        <v>0.12794257218303456</v>
      </c>
      <c r="P27" s="8">
        <f t="shared" si="5"/>
        <v>8.0413247331216873</v>
      </c>
    </row>
    <row r="28" spans="1:16" x14ac:dyDescent="0.2">
      <c r="A28" s="8">
        <v>13</v>
      </c>
      <c r="B28" s="8">
        <v>26</v>
      </c>
      <c r="D28">
        <v>3414.0510903426998</v>
      </c>
      <c r="E28">
        <v>546.50716510902998</v>
      </c>
      <c r="F28">
        <v>128.72349659021</v>
      </c>
      <c r="G28">
        <v>112.45443273404</v>
      </c>
      <c r="I28" s="9">
        <f t="shared" si="1"/>
        <v>434.05273237499</v>
      </c>
      <c r="J28" s="9">
        <f t="shared" si="2"/>
        <v>3285.32759375249</v>
      </c>
      <c r="K28" s="9">
        <f t="shared" si="3"/>
        <v>434.05273237499</v>
      </c>
      <c r="L28" s="10">
        <f t="shared" si="0"/>
        <v>0.13211855438720996</v>
      </c>
      <c r="M28" s="10">
        <f t="shared" si="4"/>
        <v>0.13261841359068877</v>
      </c>
      <c r="P28" s="8">
        <f t="shared" si="5"/>
        <v>11.989847037349154</v>
      </c>
    </row>
    <row r="29" spans="1:16" x14ac:dyDescent="0.2">
      <c r="A29" s="8">
        <v>13.5</v>
      </c>
      <c r="B29" s="8">
        <v>27</v>
      </c>
      <c r="D29">
        <v>3539.6540136900999</v>
      </c>
      <c r="E29">
        <v>560.82265090229998</v>
      </c>
      <c r="F29">
        <v>129.18102913825001</v>
      </c>
      <c r="G29">
        <v>112.68939863608</v>
      </c>
      <c r="I29" s="9">
        <f t="shared" si="1"/>
        <v>448.13325226621998</v>
      </c>
      <c r="J29" s="9">
        <f t="shared" si="2"/>
        <v>3410.47298455185</v>
      </c>
      <c r="K29" s="9">
        <f t="shared" si="3"/>
        <v>448.13325226621998</v>
      </c>
      <c r="L29" s="10">
        <f t="shared" si="0"/>
        <v>0.13139915029267019</v>
      </c>
      <c r="M29" s="10">
        <f t="shared" si="4"/>
        <v>0.13191823485012893</v>
      </c>
      <c r="P29" s="8">
        <f t="shared" si="5"/>
        <v>11.398579897809153</v>
      </c>
    </row>
    <row r="30" spans="1:16" x14ac:dyDescent="0.2">
      <c r="A30" s="8">
        <v>14</v>
      </c>
      <c r="B30" s="8">
        <v>28</v>
      </c>
      <c r="D30">
        <v>3627.4548848786999</v>
      </c>
      <c r="E30">
        <v>558.07840696950996</v>
      </c>
      <c r="F30">
        <v>128.72845629262</v>
      </c>
      <c r="G30">
        <v>112.67637941724</v>
      </c>
      <c r="I30" s="9">
        <f t="shared" si="1"/>
        <v>445.40202755226994</v>
      </c>
      <c r="J30" s="9">
        <f t="shared" si="2"/>
        <v>3498.7264285860797</v>
      </c>
      <c r="K30" s="9">
        <f t="shared" si="3"/>
        <v>445.40202755226994</v>
      </c>
      <c r="L30" s="10">
        <f t="shared" si="0"/>
        <v>0.12730404524147598</v>
      </c>
      <c r="M30" s="10">
        <f t="shared" si="4"/>
        <v>0.1278423551529147</v>
      </c>
      <c r="P30" s="8">
        <f t="shared" si="5"/>
        <v>7.9566962899833147</v>
      </c>
    </row>
    <row r="31" spans="1:16" x14ac:dyDescent="0.2">
      <c r="A31" s="8">
        <v>14.5</v>
      </c>
      <c r="B31" s="8">
        <v>29</v>
      </c>
      <c r="D31">
        <v>3596.8637770897999</v>
      </c>
      <c r="E31">
        <v>551.34179566564001</v>
      </c>
      <c r="F31">
        <v>129.46745195288</v>
      </c>
      <c r="G31">
        <v>112.49411035337999</v>
      </c>
      <c r="I31" s="9">
        <f t="shared" si="1"/>
        <v>438.84768531226001</v>
      </c>
      <c r="J31" s="9">
        <f t="shared" si="2"/>
        <v>3467.39632513692</v>
      </c>
      <c r="K31" s="9">
        <f t="shared" si="3"/>
        <v>438.84768531226001</v>
      </c>
      <c r="L31" s="10">
        <f t="shared" si="0"/>
        <v>0.12656403945831915</v>
      </c>
      <c r="M31" s="10">
        <f t="shared" si="4"/>
        <v>0.12712157472373781</v>
      </c>
      <c r="P31" s="8">
        <f t="shared" si="5"/>
        <v>7.3480320191214394</v>
      </c>
    </row>
    <row r="32" spans="1:16" x14ac:dyDescent="0.2">
      <c r="A32" s="8">
        <v>15</v>
      </c>
      <c r="B32" s="8">
        <v>30</v>
      </c>
      <c r="D32">
        <v>3691.1813664596002</v>
      </c>
      <c r="E32">
        <v>561.03602484472003</v>
      </c>
      <c r="F32">
        <v>129.03967761934001</v>
      </c>
      <c r="G32">
        <v>112.72411655301001</v>
      </c>
      <c r="I32" s="9">
        <f t="shared" si="1"/>
        <v>448.31190829171004</v>
      </c>
      <c r="J32" s="9">
        <f t="shared" si="2"/>
        <v>3562.14168884026</v>
      </c>
      <c r="K32" s="9">
        <f t="shared" si="3"/>
        <v>448.31190829171004</v>
      </c>
      <c r="L32" s="10">
        <f t="shared" si="0"/>
        <v>0.12585459744518715</v>
      </c>
      <c r="M32" s="10">
        <f t="shared" si="4"/>
        <v>0.12643135806458575</v>
      </c>
      <c r="P32" s="8">
        <f t="shared" si="5"/>
        <v>6.7651773763292375</v>
      </c>
    </row>
    <row r="33" spans="1:16" x14ac:dyDescent="0.2">
      <c r="A33" s="8">
        <v>15.5</v>
      </c>
      <c r="B33" s="8">
        <v>31</v>
      </c>
      <c r="D33">
        <v>3554.3896830328999</v>
      </c>
      <c r="E33">
        <v>543.83778744562005</v>
      </c>
      <c r="F33">
        <v>129.49969001860001</v>
      </c>
      <c r="G33">
        <v>112.4432734036</v>
      </c>
      <c r="I33" s="9">
        <f t="shared" si="1"/>
        <v>431.39451404202003</v>
      </c>
      <c r="J33" s="9">
        <f t="shared" si="2"/>
        <v>3424.8899930142998</v>
      </c>
      <c r="K33" s="9">
        <f t="shared" si="3"/>
        <v>431.39451404202003</v>
      </c>
      <c r="L33" s="10">
        <f t="shared" si="0"/>
        <v>0.12595864828415784</v>
      </c>
      <c r="M33" s="10">
        <f t="shared" si="4"/>
        <v>0.12655463425753641</v>
      </c>
      <c r="P33" s="8">
        <f t="shared" si="5"/>
        <v>6.8692781691082923</v>
      </c>
    </row>
    <row r="34" spans="1:16" x14ac:dyDescent="0.2">
      <c r="A34" s="8">
        <v>16</v>
      </c>
      <c r="B34" s="8">
        <v>32</v>
      </c>
      <c r="D34">
        <v>3820.2666252331001</v>
      </c>
      <c r="E34">
        <v>566.52330640149</v>
      </c>
      <c r="F34">
        <v>129.24426534407999</v>
      </c>
      <c r="G34">
        <v>112.54494730316</v>
      </c>
      <c r="I34" s="9">
        <f t="shared" si="1"/>
        <v>453.97835909832997</v>
      </c>
      <c r="J34" s="9">
        <f t="shared" si="2"/>
        <v>3691.0223598890202</v>
      </c>
      <c r="K34" s="9">
        <f t="shared" si="3"/>
        <v>453.97835909832997</v>
      </c>
      <c r="L34" s="10">
        <f t="shared" si="0"/>
        <v>0.12299528825178398</v>
      </c>
      <c r="M34" s="10">
        <f t="shared" si="4"/>
        <v>0.1236104995791425</v>
      </c>
      <c r="P34" s="8">
        <f t="shared" si="5"/>
        <v>4.3830985854170672</v>
      </c>
    </row>
    <row r="35" spans="1:16" x14ac:dyDescent="0.2">
      <c r="A35" s="8">
        <v>16.5</v>
      </c>
      <c r="B35" s="8">
        <v>33</v>
      </c>
      <c r="D35">
        <v>3691.6309597523</v>
      </c>
      <c r="E35">
        <v>556.19195046439995</v>
      </c>
      <c r="F35">
        <v>129.20396776192999</v>
      </c>
      <c r="G35">
        <v>112.61872287663</v>
      </c>
      <c r="I35" s="9">
        <f t="shared" si="1"/>
        <v>443.57322758776996</v>
      </c>
      <c r="J35" s="9">
        <f t="shared" si="2"/>
        <v>3562.42699199037</v>
      </c>
      <c r="K35" s="9">
        <f t="shared" si="3"/>
        <v>443.57322758776996</v>
      </c>
      <c r="L35" s="10">
        <f t="shared" si="0"/>
        <v>0.12451433491411437</v>
      </c>
      <c r="M35" s="10">
        <f t="shared" si="4"/>
        <v>0.12514877159545285</v>
      </c>
      <c r="P35" s="8">
        <f t="shared" si="5"/>
        <v>5.6820950305119737</v>
      </c>
    </row>
    <row r="36" spans="1:16" x14ac:dyDescent="0.2">
      <c r="A36" s="8">
        <v>17</v>
      </c>
      <c r="B36" s="8">
        <v>34</v>
      </c>
      <c r="D36">
        <v>3782.4674922600998</v>
      </c>
      <c r="E36">
        <v>561.46377708978002</v>
      </c>
      <c r="F36">
        <v>129.46125232486</v>
      </c>
      <c r="G36">
        <v>112.54494730316</v>
      </c>
      <c r="I36" s="9">
        <f t="shared" si="1"/>
        <v>448.91882978661999</v>
      </c>
      <c r="J36" s="9">
        <f t="shared" si="2"/>
        <v>3653.0062399352396</v>
      </c>
      <c r="K36" s="9">
        <f t="shared" si="3"/>
        <v>448.91882978661999</v>
      </c>
      <c r="L36" s="10">
        <f t="shared" si="0"/>
        <v>0.12289024444551139</v>
      </c>
      <c r="M36" s="10">
        <f t="shared" si="4"/>
        <v>0.12354390648082982</v>
      </c>
      <c r="P36" s="8">
        <f t="shared" si="5"/>
        <v>4.3268639292191899</v>
      </c>
    </row>
    <row r="37" spans="1:16" x14ac:dyDescent="0.2">
      <c r="A37" s="8">
        <v>17.5</v>
      </c>
      <c r="B37" s="8">
        <v>35</v>
      </c>
      <c r="D37">
        <v>3855.1708978328002</v>
      </c>
      <c r="E37">
        <v>576.59380804954003</v>
      </c>
      <c r="F37">
        <v>129.07315561066</v>
      </c>
      <c r="G37">
        <v>112.57160570366</v>
      </c>
      <c r="I37" s="9">
        <f t="shared" si="1"/>
        <v>464.02220234588003</v>
      </c>
      <c r="J37" s="9">
        <f t="shared" si="2"/>
        <v>3726.0977422221404</v>
      </c>
      <c r="K37" s="9">
        <f t="shared" si="3"/>
        <v>464.02220234588003</v>
      </c>
      <c r="L37" s="10">
        <f t="shared" si="0"/>
        <v>0.12453301938052494</v>
      </c>
      <c r="M37" s="10">
        <f t="shared" si="4"/>
        <v>0.12520590676982332</v>
      </c>
      <c r="P37" s="8">
        <f t="shared" si="5"/>
        <v>5.7303429265993922</v>
      </c>
    </row>
    <row r="38" spans="1:16" x14ac:dyDescent="0.2">
      <c r="A38" s="8">
        <v>18</v>
      </c>
      <c r="B38" s="8">
        <v>36</v>
      </c>
      <c r="D38">
        <v>3864.3647058823999</v>
      </c>
      <c r="E38">
        <v>580.41052631578998</v>
      </c>
      <c r="F38">
        <v>129.26348419095001</v>
      </c>
      <c r="G38">
        <v>112.49721016738999</v>
      </c>
      <c r="I38" s="9">
        <f t="shared" si="1"/>
        <v>467.91331614839999</v>
      </c>
      <c r="J38" s="9">
        <f t="shared" si="2"/>
        <v>3735.1012216914501</v>
      </c>
      <c r="K38" s="9">
        <f t="shared" si="3"/>
        <v>467.91331614839999</v>
      </c>
      <c r="L38" s="10">
        <f t="shared" si="0"/>
        <v>0.1252746012426684</v>
      </c>
      <c r="M38" s="10">
        <f t="shared" si="4"/>
        <v>0.12596671398594672</v>
      </c>
      <c r="P38" s="8">
        <f t="shared" si="5"/>
        <v>6.3728078864166555</v>
      </c>
    </row>
    <row r="39" spans="1:16" x14ac:dyDescent="0.2">
      <c r="A39" s="8">
        <v>18.5</v>
      </c>
      <c r="B39" s="8">
        <v>37</v>
      </c>
      <c r="D39">
        <v>3951.7399130975</v>
      </c>
      <c r="E39">
        <v>593.45003103661998</v>
      </c>
      <c r="F39">
        <v>129.09609423435001</v>
      </c>
      <c r="G39">
        <v>112.59764414135</v>
      </c>
      <c r="I39" s="9">
        <f t="shared" si="1"/>
        <v>480.85238689527</v>
      </c>
      <c r="J39" s="9">
        <f t="shared" si="2"/>
        <v>3822.64381886315</v>
      </c>
      <c r="K39" s="9">
        <f t="shared" si="3"/>
        <v>480.85238689527</v>
      </c>
      <c r="L39" s="10">
        <f t="shared" si="0"/>
        <v>0.1257905286708807</v>
      </c>
      <c r="M39" s="10">
        <f t="shared" si="4"/>
        <v>0.12650186676813899</v>
      </c>
      <c r="P39" s="8">
        <f t="shared" si="5"/>
        <v>6.8247185720948584</v>
      </c>
    </row>
    <row r="40" spans="1:16" x14ac:dyDescent="0.2">
      <c r="A40" s="8">
        <v>19</v>
      </c>
      <c r="B40" s="8">
        <v>38</v>
      </c>
      <c r="D40">
        <v>3734.0732009926001</v>
      </c>
      <c r="E40">
        <v>570.07568238213003</v>
      </c>
      <c r="F40">
        <v>129.0836949783</v>
      </c>
      <c r="G40">
        <v>112.65902045877</v>
      </c>
      <c r="I40" s="9">
        <f t="shared" si="1"/>
        <v>457.41666192336004</v>
      </c>
      <c r="J40" s="9">
        <f t="shared" si="2"/>
        <v>3604.9895060142999</v>
      </c>
      <c r="K40" s="9">
        <f t="shared" si="3"/>
        <v>457.41666192336004</v>
      </c>
      <c r="L40" s="10">
        <f t="shared" si="0"/>
        <v>0.12688432550503675</v>
      </c>
      <c r="M40" s="10">
        <f t="shared" si="4"/>
        <v>0.12761488895627499</v>
      </c>
      <c r="P40" s="8">
        <f t="shared" si="5"/>
        <v>7.7646120697145413</v>
      </c>
    </row>
    <row r="41" spans="1:16" x14ac:dyDescent="0.2">
      <c r="A41" s="8">
        <v>19.5</v>
      </c>
      <c r="B41" s="8">
        <v>39</v>
      </c>
      <c r="D41">
        <v>3501.4222222222002</v>
      </c>
      <c r="E41">
        <v>550.04259259259004</v>
      </c>
      <c r="F41">
        <v>129.72039677619</v>
      </c>
      <c r="G41">
        <v>113.09795412275</v>
      </c>
      <c r="I41" s="9">
        <f t="shared" si="1"/>
        <v>436.94463846984002</v>
      </c>
      <c r="J41" s="9">
        <f t="shared" si="2"/>
        <v>3371.7018254460099</v>
      </c>
      <c r="K41" s="9">
        <f t="shared" si="3"/>
        <v>436.94463846984002</v>
      </c>
      <c r="L41" s="10">
        <f t="shared" si="0"/>
        <v>0.12959171987636861</v>
      </c>
      <c r="M41" s="10">
        <f t="shared" si="4"/>
        <v>0.13034150868158681</v>
      </c>
      <c r="P41" s="8">
        <f t="shared" si="5"/>
        <v>10.067110777843629</v>
      </c>
    </row>
    <row r="42" spans="1:16" x14ac:dyDescent="0.2">
      <c r="A42" s="8">
        <v>20</v>
      </c>
      <c r="B42" s="8">
        <v>40</v>
      </c>
      <c r="D42">
        <v>3418.5496277916</v>
      </c>
      <c r="E42">
        <v>536.96215880892998</v>
      </c>
      <c r="F42">
        <v>129.43211407315999</v>
      </c>
      <c r="G42">
        <v>113.15437073776</v>
      </c>
      <c r="I42" s="9">
        <f t="shared" si="1"/>
        <v>423.80778807116997</v>
      </c>
      <c r="J42" s="9">
        <f t="shared" si="2"/>
        <v>3289.11751371844</v>
      </c>
      <c r="K42" s="9">
        <f t="shared" si="3"/>
        <v>423.80778807116997</v>
      </c>
      <c r="L42" s="10">
        <f t="shared" si="0"/>
        <v>0.12885151907875839</v>
      </c>
      <c r="M42" s="10">
        <f t="shared" si="4"/>
        <v>0.12962053323795653</v>
      </c>
      <c r="P42" s="8">
        <f t="shared" si="5"/>
        <v>9.4582818266917865</v>
      </c>
    </row>
    <row r="43" spans="1:16" x14ac:dyDescent="0.2">
      <c r="A43" s="8">
        <v>20.5</v>
      </c>
      <c r="B43" s="8">
        <v>41</v>
      </c>
      <c r="D43">
        <v>3363.2574441687002</v>
      </c>
      <c r="E43">
        <v>537.75310173697005</v>
      </c>
      <c r="F43">
        <v>129.06137631742001</v>
      </c>
      <c r="G43">
        <v>112.91444513329</v>
      </c>
      <c r="I43" s="9">
        <f t="shared" si="1"/>
        <v>424.83865660368008</v>
      </c>
      <c r="J43" s="9">
        <f t="shared" si="2"/>
        <v>3234.1960678512801</v>
      </c>
      <c r="K43" s="9">
        <f t="shared" si="3"/>
        <v>424.83865660368008</v>
      </c>
      <c r="L43" s="10">
        <f t="shared" si="0"/>
        <v>0.13135834924378359</v>
      </c>
      <c r="M43" s="10">
        <f t="shared" si="4"/>
        <v>0.1321465887569617</v>
      </c>
      <c r="P43" s="8">
        <f t="shared" si="5"/>
        <v>11.591413746474476</v>
      </c>
    </row>
    <row r="44" spans="1:16" x14ac:dyDescent="0.2">
      <c r="A44" s="8">
        <v>21</v>
      </c>
      <c r="B44" s="8">
        <v>42</v>
      </c>
      <c r="D44">
        <v>3367.6749379653002</v>
      </c>
      <c r="E44">
        <v>535.46774193548003</v>
      </c>
      <c r="F44">
        <v>129.76503409795001</v>
      </c>
      <c r="G44">
        <v>112.7495350279</v>
      </c>
      <c r="I44" s="9">
        <f t="shared" si="1"/>
        <v>422.71820690758005</v>
      </c>
      <c r="J44" s="9">
        <f t="shared" si="2"/>
        <v>3237.9099038673503</v>
      </c>
      <c r="K44" s="9">
        <f t="shared" si="3"/>
        <v>422.71820690758005</v>
      </c>
      <c r="L44" s="10">
        <f t="shared" si="0"/>
        <v>0.1305528008678335</v>
      </c>
      <c r="M44" s="10">
        <f t="shared" si="4"/>
        <v>0.13136026573499154</v>
      </c>
      <c r="P44" s="8">
        <f t="shared" si="5"/>
        <v>10.927401920604119</v>
      </c>
    </row>
    <row r="45" spans="1:16" x14ac:dyDescent="0.2">
      <c r="A45" s="8">
        <v>21.5</v>
      </c>
      <c r="B45" s="8">
        <v>43</v>
      </c>
      <c r="D45">
        <v>3487.9149596523998</v>
      </c>
      <c r="E45">
        <v>541.47113594041002</v>
      </c>
      <c r="F45">
        <v>130.05951642900999</v>
      </c>
      <c r="G45">
        <v>112.91010539368</v>
      </c>
      <c r="I45" s="9">
        <f t="shared" si="1"/>
        <v>428.56103054673002</v>
      </c>
      <c r="J45" s="9">
        <f t="shared" si="2"/>
        <v>3357.85544322339</v>
      </c>
      <c r="K45" s="9">
        <f t="shared" si="3"/>
        <v>428.56103054673002</v>
      </c>
      <c r="L45" s="10">
        <f t="shared" si="0"/>
        <v>0.12762938661091697</v>
      </c>
      <c r="M45" s="10">
        <f t="shared" si="4"/>
        <v>0.12845607683205498</v>
      </c>
      <c r="P45" s="8">
        <f t="shared" si="5"/>
        <v>8.4749546155771824</v>
      </c>
    </row>
    <row r="46" spans="1:16" x14ac:dyDescent="0.2">
      <c r="A46" s="8">
        <v>22</v>
      </c>
      <c r="B46" s="8">
        <v>44</v>
      </c>
      <c r="D46">
        <v>3464.7926753569</v>
      </c>
      <c r="E46">
        <v>538.33767846058004</v>
      </c>
      <c r="F46">
        <v>129.48977061375999</v>
      </c>
      <c r="G46">
        <v>112.74209547427</v>
      </c>
      <c r="I46" s="9">
        <f t="shared" si="1"/>
        <v>425.59558298631003</v>
      </c>
      <c r="J46" s="9">
        <f t="shared" si="2"/>
        <v>3335.3029047431401</v>
      </c>
      <c r="K46" s="9">
        <f t="shared" si="3"/>
        <v>425.59558298631003</v>
      </c>
      <c r="L46" s="10">
        <f t="shared" si="0"/>
        <v>0.12760327776558758</v>
      </c>
      <c r="M46" s="10">
        <f t="shared" si="4"/>
        <v>0.12844919334070554</v>
      </c>
      <c r="P46" s="8">
        <f t="shared" si="5"/>
        <v>8.4691418394894917</v>
      </c>
    </row>
    <row r="47" spans="1:16" x14ac:dyDescent="0.2">
      <c r="A47" s="8">
        <v>22.5</v>
      </c>
      <c r="B47" s="8">
        <v>45</v>
      </c>
      <c r="D47">
        <v>3382.2975821451</v>
      </c>
      <c r="E47">
        <v>536.40297582145001</v>
      </c>
      <c r="F47">
        <v>129.75759454433</v>
      </c>
      <c r="G47">
        <v>113.08803471792</v>
      </c>
      <c r="I47" s="9">
        <f t="shared" si="1"/>
        <v>423.31494110353003</v>
      </c>
      <c r="J47" s="9">
        <f t="shared" si="2"/>
        <v>3252.53998760077</v>
      </c>
      <c r="K47" s="9">
        <f t="shared" si="3"/>
        <v>423.31494110353003</v>
      </c>
      <c r="L47" s="10">
        <f t="shared" si="0"/>
        <v>0.13014903512863113</v>
      </c>
      <c r="M47" s="10">
        <f t="shared" si="4"/>
        <v>0.13101417605772905</v>
      </c>
      <c r="P47" s="8">
        <f t="shared" si="5"/>
        <v>10.635145898469398</v>
      </c>
    </row>
    <row r="48" spans="1:16" x14ac:dyDescent="0.2">
      <c r="A48" s="8">
        <v>23</v>
      </c>
      <c r="B48" s="8">
        <v>46</v>
      </c>
      <c r="D48">
        <v>3702.4674519528999</v>
      </c>
      <c r="E48">
        <v>557.45815251085003</v>
      </c>
      <c r="F48">
        <v>129.67699938004</v>
      </c>
      <c r="G48">
        <v>112.97768133912</v>
      </c>
      <c r="I48" s="9">
        <f t="shared" si="1"/>
        <v>444.48047117173002</v>
      </c>
      <c r="J48" s="9">
        <f t="shared" si="2"/>
        <v>3572.79045257286</v>
      </c>
      <c r="K48" s="9">
        <f t="shared" si="3"/>
        <v>444.48047117173002</v>
      </c>
      <c r="L48" s="10">
        <f t="shared" si="0"/>
        <v>0.12440709217962895</v>
      </c>
      <c r="M48" s="10">
        <f t="shared" si="4"/>
        <v>0.12529145846270681</v>
      </c>
      <c r="P48" s="8">
        <f t="shared" si="5"/>
        <v>5.8025872005309047</v>
      </c>
    </row>
    <row r="49" spans="1:25" x14ac:dyDescent="0.2">
      <c r="A49" s="8">
        <v>23.5</v>
      </c>
      <c r="B49" s="8">
        <v>47</v>
      </c>
      <c r="D49">
        <v>3582.9393939393999</v>
      </c>
      <c r="E49">
        <v>545.30797773655001</v>
      </c>
      <c r="F49">
        <v>130.05517668940001</v>
      </c>
      <c r="G49">
        <v>113.31122132672</v>
      </c>
      <c r="I49" s="9">
        <f t="shared" si="1"/>
        <v>431.99675640983003</v>
      </c>
      <c r="J49" s="9">
        <f t="shared" si="2"/>
        <v>3452.8842172499999</v>
      </c>
      <c r="K49" s="9">
        <f t="shared" si="3"/>
        <v>431.99675640983003</v>
      </c>
      <c r="L49" s="10">
        <f t="shared" si="0"/>
        <v>0.12511185699527674</v>
      </c>
      <c r="M49" s="10">
        <f t="shared" si="4"/>
        <v>0.12601544863233458</v>
      </c>
      <c r="P49" s="8">
        <f t="shared" si="5"/>
        <v>6.4139619422270338</v>
      </c>
    </row>
    <row r="50" spans="1:25" x14ac:dyDescent="0.2">
      <c r="A50" s="8">
        <v>24</v>
      </c>
      <c r="B50" s="8">
        <v>48</v>
      </c>
      <c r="D50">
        <v>3530.0006226649998</v>
      </c>
      <c r="E50">
        <v>541.49252801992998</v>
      </c>
      <c r="F50">
        <v>129.33973961562</v>
      </c>
      <c r="G50">
        <v>113.36887786733</v>
      </c>
      <c r="I50" s="9">
        <f t="shared" si="1"/>
        <v>428.12365015259996</v>
      </c>
      <c r="J50" s="9">
        <f t="shared" si="2"/>
        <v>3400.6608830493797</v>
      </c>
      <c r="K50" s="9">
        <f t="shared" si="3"/>
        <v>428.12365015259996</v>
      </c>
      <c r="L50" s="10">
        <f t="shared" si="0"/>
        <v>0.12589424964029364</v>
      </c>
      <c r="M50" s="10">
        <f t="shared" si="4"/>
        <v>0.12681706663133141</v>
      </c>
      <c r="P50" s="8">
        <f t="shared" si="5"/>
        <v>7.0908896377061508</v>
      </c>
    </row>
    <row r="51" spans="1:25" x14ac:dyDescent="0.2">
      <c r="A51" s="8">
        <v>24.5</v>
      </c>
      <c r="B51" s="8">
        <v>49</v>
      </c>
      <c r="D51">
        <v>3643.4757160648001</v>
      </c>
      <c r="E51">
        <v>545.61955168120005</v>
      </c>
      <c r="F51">
        <v>129.72287662740001</v>
      </c>
      <c r="G51">
        <v>112.77619342839</v>
      </c>
      <c r="I51" s="9">
        <f t="shared" si="1"/>
        <v>432.84335825281005</v>
      </c>
      <c r="J51" s="9">
        <f t="shared" si="2"/>
        <v>3513.7528394373999</v>
      </c>
      <c r="K51" s="9">
        <f t="shared" si="3"/>
        <v>432.84335825281005</v>
      </c>
      <c r="L51" s="10">
        <f t="shared" si="0"/>
        <v>0.12318548800436237</v>
      </c>
      <c r="M51" s="10">
        <f t="shared" si="4"/>
        <v>0.12412753034938009</v>
      </c>
      <c r="P51" s="8">
        <f t="shared" si="5"/>
        <v>4.8197061069880895</v>
      </c>
    </row>
    <row r="52" spans="1:25" x14ac:dyDescent="0.2">
      <c r="A52" s="8">
        <v>25</v>
      </c>
      <c r="B52" s="8">
        <v>50</v>
      </c>
      <c r="D52">
        <v>3604.2678239306001</v>
      </c>
      <c r="E52">
        <v>551.26100433974</v>
      </c>
      <c r="F52">
        <v>130.11221326719999</v>
      </c>
      <c r="G52">
        <v>112.90886546807</v>
      </c>
      <c r="I52" s="9">
        <f t="shared" si="1"/>
        <v>438.35213887166998</v>
      </c>
      <c r="J52" s="9">
        <f t="shared" si="2"/>
        <v>3474.1556106634002</v>
      </c>
      <c r="K52" s="9">
        <f t="shared" si="3"/>
        <v>438.35213887166998</v>
      </c>
      <c r="L52" s="10">
        <f t="shared" si="0"/>
        <v>0.12617515966360682</v>
      </c>
      <c r="M52" s="10">
        <f t="shared" si="4"/>
        <v>0.1271364273626045</v>
      </c>
      <c r="P52" s="8">
        <f t="shared" si="5"/>
        <v>7.3605743555115843</v>
      </c>
    </row>
    <row r="53" spans="1:25" x14ac:dyDescent="0.2">
      <c r="A53" s="8">
        <v>25.5</v>
      </c>
      <c r="B53" s="8">
        <v>51</v>
      </c>
      <c r="D53">
        <v>3839.9491630501998</v>
      </c>
      <c r="E53">
        <v>571.61066336019996</v>
      </c>
      <c r="F53">
        <v>130.16862988221001</v>
      </c>
      <c r="G53">
        <v>113.16924984501</v>
      </c>
      <c r="I53" s="9">
        <f t="shared" si="1"/>
        <v>458.44141351518999</v>
      </c>
      <c r="J53" s="9">
        <f t="shared" si="2"/>
        <v>3709.7805331679897</v>
      </c>
      <c r="K53" s="9">
        <f t="shared" si="3"/>
        <v>458.44141351518999</v>
      </c>
      <c r="L53" s="10">
        <f t="shared" si="0"/>
        <v>0.1235764243777788</v>
      </c>
      <c r="M53" s="10">
        <f t="shared" si="4"/>
        <v>0.12455691743075643</v>
      </c>
      <c r="P53" s="8">
        <f t="shared" si="5"/>
        <v>5.1823027650326123</v>
      </c>
      <c r="S53" s="11"/>
      <c r="U53" s="12"/>
    </row>
    <row r="54" spans="1:25" x14ac:dyDescent="0.2">
      <c r="A54" s="8">
        <v>26</v>
      </c>
      <c r="B54" s="8">
        <v>52</v>
      </c>
      <c r="D54">
        <v>3787.1111111110999</v>
      </c>
      <c r="E54">
        <v>560.94444444444002</v>
      </c>
      <c r="F54">
        <v>129.83323000620001</v>
      </c>
      <c r="G54">
        <v>112.97582145071</v>
      </c>
      <c r="I54" s="9">
        <f t="shared" si="1"/>
        <v>447.96862299373004</v>
      </c>
      <c r="J54" s="9">
        <f t="shared" si="2"/>
        <v>3657.2778811048997</v>
      </c>
      <c r="K54" s="9">
        <f t="shared" si="3"/>
        <v>447.96862299373004</v>
      </c>
      <c r="L54" s="10">
        <f t="shared" si="0"/>
        <v>0.12248689805828872</v>
      </c>
      <c r="M54" s="10">
        <f t="shared" si="4"/>
        <v>0.12348661646524631</v>
      </c>
      <c r="P54" s="8">
        <f t="shared" si="5"/>
        <v>4.2784852772035933</v>
      </c>
      <c r="S54" s="11"/>
    </row>
    <row r="55" spans="1:25" x14ac:dyDescent="0.2">
      <c r="A55" s="8">
        <v>26.5</v>
      </c>
      <c r="B55" s="8">
        <v>53</v>
      </c>
      <c r="D55">
        <v>3887.5030940594002</v>
      </c>
      <c r="E55">
        <v>566.99195544555005</v>
      </c>
      <c r="F55">
        <v>129.9163050217</v>
      </c>
      <c r="G55">
        <v>113.22380657161</v>
      </c>
      <c r="I55" s="9">
        <f t="shared" si="1"/>
        <v>453.76814887394005</v>
      </c>
      <c r="J55" s="9">
        <f t="shared" si="2"/>
        <v>3757.5867890377003</v>
      </c>
      <c r="K55" s="9">
        <f t="shared" si="3"/>
        <v>453.76814887394005</v>
      </c>
      <c r="L55" s="10">
        <f t="shared" si="0"/>
        <v>0.12076052380154015</v>
      </c>
      <c r="M55" s="10">
        <f t="shared" si="4"/>
        <v>0.12177946756247769</v>
      </c>
      <c r="P55" s="8">
        <f t="shared" si="5"/>
        <v>2.8368804554093834</v>
      </c>
      <c r="S55" s="11"/>
    </row>
    <row r="56" spans="1:25" x14ac:dyDescent="0.2">
      <c r="A56" s="8">
        <v>27</v>
      </c>
      <c r="B56" s="8">
        <v>54</v>
      </c>
      <c r="D56">
        <v>3729.7221534654</v>
      </c>
      <c r="E56">
        <v>550.82611386139001</v>
      </c>
      <c r="F56">
        <v>129.83013019219001</v>
      </c>
      <c r="G56">
        <v>113.36763794172001</v>
      </c>
      <c r="I56" s="9">
        <f t="shared" si="1"/>
        <v>437.45847591967004</v>
      </c>
      <c r="J56" s="9">
        <f t="shared" si="2"/>
        <v>3599.8920232732098</v>
      </c>
      <c r="K56" s="9">
        <f t="shared" si="3"/>
        <v>437.45847591967004</v>
      </c>
      <c r="L56" s="10">
        <f t="shared" si="0"/>
        <v>0.12151988812206371</v>
      </c>
      <c r="M56" s="10">
        <f t="shared" si="4"/>
        <v>0.12255805723698121</v>
      </c>
      <c r="P56" s="8">
        <f t="shared" si="5"/>
        <v>3.49436184273485</v>
      </c>
      <c r="S56" s="11"/>
    </row>
    <row r="57" spans="1:25" x14ac:dyDescent="0.2">
      <c r="A57" s="8">
        <v>27.5</v>
      </c>
      <c r="B57" s="8">
        <v>55</v>
      </c>
      <c r="D57">
        <v>3670.3263027295002</v>
      </c>
      <c r="E57">
        <v>540.57071960298003</v>
      </c>
      <c r="F57">
        <v>130.14879107254001</v>
      </c>
      <c r="G57">
        <v>113.1655300682</v>
      </c>
      <c r="I57" s="9">
        <f t="shared" si="1"/>
        <v>427.40518953478005</v>
      </c>
      <c r="J57" s="9">
        <f t="shared" si="2"/>
        <v>3540.1775116569602</v>
      </c>
      <c r="K57" s="9">
        <f t="shared" si="3"/>
        <v>427.40518953478005</v>
      </c>
      <c r="L57" s="10">
        <f t="shared" si="0"/>
        <v>0.12072987530355093</v>
      </c>
      <c r="M57" s="10">
        <f t="shared" si="4"/>
        <v>0.12178726977244839</v>
      </c>
      <c r="P57" s="8">
        <f t="shared" si="5"/>
        <v>2.8434690450140532</v>
      </c>
      <c r="S57" s="11"/>
    </row>
    <row r="58" spans="1:25" x14ac:dyDescent="0.2">
      <c r="A58" s="8">
        <v>28</v>
      </c>
      <c r="B58" s="8">
        <v>56</v>
      </c>
      <c r="D58">
        <v>3541.1631513647999</v>
      </c>
      <c r="E58">
        <v>528.75434243176005</v>
      </c>
      <c r="F58">
        <v>129.83756974581999</v>
      </c>
      <c r="G58">
        <v>113.31246125233</v>
      </c>
      <c r="I58" s="9">
        <f t="shared" si="1"/>
        <v>415.44188117943008</v>
      </c>
      <c r="J58" s="9">
        <f t="shared" si="2"/>
        <v>3411.3255816189799</v>
      </c>
      <c r="K58" s="9">
        <f t="shared" si="3"/>
        <v>415.44188117943008</v>
      </c>
      <c r="L58" s="10">
        <f t="shared" si="0"/>
        <v>0.12178312249582042</v>
      </c>
      <c r="M58" s="10">
        <f t="shared" si="4"/>
        <v>0.12285974231869783</v>
      </c>
      <c r="P58" s="8">
        <f t="shared" si="5"/>
        <v>3.7491203279265779</v>
      </c>
      <c r="S58" s="11"/>
    </row>
    <row r="59" spans="1:25" x14ac:dyDescent="0.2">
      <c r="A59" s="8">
        <v>28.5</v>
      </c>
      <c r="B59" s="8">
        <v>57</v>
      </c>
      <c r="D59">
        <v>3304.0817337460999</v>
      </c>
      <c r="E59">
        <v>508.99628482972003</v>
      </c>
      <c r="F59">
        <v>130.09299442034001</v>
      </c>
      <c r="G59">
        <v>113.24364538128</v>
      </c>
      <c r="I59" s="9">
        <f t="shared" si="1"/>
        <v>395.75263944844005</v>
      </c>
      <c r="J59" s="9">
        <f t="shared" si="2"/>
        <v>3173.98873932576</v>
      </c>
      <c r="K59" s="9">
        <f t="shared" si="3"/>
        <v>395.75263944844005</v>
      </c>
      <c r="L59" s="10">
        <f t="shared" si="0"/>
        <v>0.12468621408294867</v>
      </c>
      <c r="M59" s="10">
        <f t="shared" si="4"/>
        <v>0.12578205925980604</v>
      </c>
      <c r="P59" s="8">
        <f t="shared" si="5"/>
        <v>6.2168758859099738</v>
      </c>
      <c r="R59" s="1"/>
      <c r="S59" s="11"/>
    </row>
    <row r="60" spans="1:25" x14ac:dyDescent="0.2">
      <c r="A60" s="8">
        <v>29</v>
      </c>
      <c r="B60" s="8">
        <v>58</v>
      </c>
      <c r="D60">
        <v>3363.9223659888999</v>
      </c>
      <c r="E60">
        <v>508.45163277880999</v>
      </c>
      <c r="F60">
        <v>129.85120892745999</v>
      </c>
      <c r="G60">
        <v>113.38065716057</v>
      </c>
      <c r="I60" s="9">
        <f t="shared" si="1"/>
        <v>395.07097561824003</v>
      </c>
      <c r="J60" s="9">
        <f t="shared" si="2"/>
        <v>3234.0711570614399</v>
      </c>
      <c r="K60" s="9">
        <f t="shared" si="3"/>
        <v>395.07097561824003</v>
      </c>
      <c r="L60" s="10">
        <f t="shared" si="0"/>
        <v>0.12215902385314603</v>
      </c>
      <c r="M60" s="10">
        <f t="shared" si="4"/>
        <v>0.12327409438398335</v>
      </c>
      <c r="P60" s="8">
        <f t="shared" si="5"/>
        <v>4.0990206408209335</v>
      </c>
      <c r="S60" s="11"/>
    </row>
    <row r="61" spans="1:25" x14ac:dyDescent="0.2">
      <c r="A61" s="8">
        <v>29.5</v>
      </c>
      <c r="B61" s="8">
        <v>59</v>
      </c>
      <c r="C61" s="2"/>
      <c r="D61">
        <v>3332.3316831683001</v>
      </c>
      <c r="E61">
        <v>503.18873762376001</v>
      </c>
      <c r="F61">
        <v>130.43397396156001</v>
      </c>
      <c r="G61">
        <v>113.67823930564001</v>
      </c>
      <c r="I61" s="9">
        <f t="shared" si="1"/>
        <v>389.51049831811997</v>
      </c>
      <c r="J61" s="9">
        <f t="shared" si="2"/>
        <v>3201.8977092067398</v>
      </c>
      <c r="K61" s="9">
        <f t="shared" si="3"/>
        <v>389.51049831811997</v>
      </c>
      <c r="L61" s="10">
        <f t="shared" si="0"/>
        <v>0.12164988818915767</v>
      </c>
      <c r="M61" s="10">
        <f t="shared" si="4"/>
        <v>0.12278418407397494</v>
      </c>
      <c r="P61" s="8">
        <f t="shared" si="5"/>
        <v>3.6853150384511464</v>
      </c>
      <c r="S61" s="11"/>
    </row>
    <row r="62" spans="1:25" x14ac:dyDescent="0.2">
      <c r="A62" s="8">
        <v>30</v>
      </c>
      <c r="B62" s="8">
        <v>60</v>
      </c>
      <c r="D62">
        <v>3362.1998762376002</v>
      </c>
      <c r="E62">
        <v>505.26175742573997</v>
      </c>
      <c r="F62">
        <v>129.82207067575999</v>
      </c>
      <c r="G62">
        <v>113.32982021079</v>
      </c>
      <c r="I62" s="9">
        <f t="shared" si="1"/>
        <v>391.93193721494998</v>
      </c>
      <c r="J62" s="9">
        <f t="shared" si="2"/>
        <v>3232.37780556184</v>
      </c>
      <c r="K62" s="9">
        <f t="shared" si="3"/>
        <v>391.93193721494998</v>
      </c>
      <c r="L62" s="10">
        <f t="shared" si="0"/>
        <v>0.12125189590788749</v>
      </c>
      <c r="M62" s="10">
        <f t="shared" si="4"/>
        <v>0.12240541714668471</v>
      </c>
      <c r="P62" s="8">
        <f t="shared" si="5"/>
        <v>3.3654646564298507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3442.8725124378002</v>
      </c>
      <c r="E63">
        <v>515.36256218905999</v>
      </c>
      <c r="F63">
        <v>130.64166150030999</v>
      </c>
      <c r="G63">
        <v>113.55300681959</v>
      </c>
      <c r="I63" s="9">
        <f t="shared" si="1"/>
        <v>401.80955536946999</v>
      </c>
      <c r="J63" s="9">
        <f t="shared" si="2"/>
        <v>3312.2308509374902</v>
      </c>
      <c r="K63" s="9">
        <f t="shared" si="3"/>
        <v>401.80955536946999</v>
      </c>
      <c r="L63" s="10">
        <f t="shared" si="0"/>
        <v>0.12131085466332826</v>
      </c>
      <c r="M63" s="10">
        <f t="shared" si="4"/>
        <v>0.12248360125610544</v>
      </c>
      <c r="P63" s="8">
        <f t="shared" si="5"/>
        <v>3.4314873618574917</v>
      </c>
    </row>
    <row r="64" spans="1:25" x14ac:dyDescent="0.2">
      <c r="A64" s="8">
        <v>31</v>
      </c>
      <c r="B64" s="8">
        <v>62</v>
      </c>
      <c r="D64">
        <v>3467.3664169787999</v>
      </c>
      <c r="E64">
        <v>513.19038701623003</v>
      </c>
      <c r="F64">
        <v>129.9442033478</v>
      </c>
      <c r="G64">
        <v>113.50650960941999</v>
      </c>
      <c r="I64" s="9">
        <f t="shared" si="1"/>
        <v>399.68387740681004</v>
      </c>
      <c r="J64" s="9">
        <f t="shared" si="2"/>
        <v>3337.422213631</v>
      </c>
      <c r="K64" s="9">
        <f t="shared" si="3"/>
        <v>399.68387740681004</v>
      </c>
      <c r="L64" s="10">
        <f t="shared" si="0"/>
        <v>0.1197582600650242</v>
      </c>
      <c r="M64" s="10">
        <f t="shared" si="4"/>
        <v>0.12095023201178133</v>
      </c>
      <c r="P64" s="8">
        <f t="shared" si="5"/>
        <v>2.1366310709834964</v>
      </c>
      <c r="U64" s="8">
        <v>30.5</v>
      </c>
      <c r="V64" s="10">
        <f>L62</f>
        <v>0.12125189590788749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3360.4848297213998</v>
      </c>
      <c r="E65">
        <v>501.79380804954002</v>
      </c>
      <c r="F65">
        <v>130.59764414135</v>
      </c>
      <c r="G65">
        <v>113.54556726596</v>
      </c>
      <c r="I65" s="9">
        <f t="shared" si="1"/>
        <v>388.24824078358</v>
      </c>
      <c r="J65" s="9">
        <f t="shared" si="2"/>
        <v>3229.8871855800498</v>
      </c>
      <c r="K65" s="9">
        <f t="shared" si="3"/>
        <v>388.24824078358</v>
      </c>
      <c r="L65" s="10">
        <f t="shared" si="0"/>
        <v>0.12020489214512772</v>
      </c>
      <c r="M65" s="10">
        <f t="shared" si="4"/>
        <v>0.12141608944586481</v>
      </c>
      <c r="P65" s="8">
        <f t="shared" si="5"/>
        <v>2.5300251809842482</v>
      </c>
      <c r="U65" s="8">
        <v>31</v>
      </c>
      <c r="V65" s="10">
        <f t="shared" ref="V65:V83" si="6">L63</f>
        <v>0.12131085466332826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3300.8505889646999</v>
      </c>
      <c r="E66">
        <v>495.55796652201002</v>
      </c>
      <c r="F66">
        <v>130.83199008060001</v>
      </c>
      <c r="G66">
        <v>113.30998140112</v>
      </c>
      <c r="I66" s="9">
        <f t="shared" si="1"/>
        <v>382.24798512089001</v>
      </c>
      <c r="J66" s="9">
        <f t="shared" si="2"/>
        <v>3170.0185988840999</v>
      </c>
      <c r="K66" s="9">
        <f t="shared" si="3"/>
        <v>382.24798512089001</v>
      </c>
      <c r="L66" s="10">
        <f t="shared" ref="L66:L129" si="7">K66/J66</f>
        <v>0.12058225313108502</v>
      </c>
      <c r="M66" s="10">
        <f t="shared" si="4"/>
        <v>0.12181267578580206</v>
      </c>
      <c r="P66" s="8">
        <f t="shared" si="5"/>
        <v>2.8649231966078723</v>
      </c>
      <c r="U66" s="8">
        <v>31.5</v>
      </c>
      <c r="V66" s="10">
        <f t="shared" si="6"/>
        <v>0.1197582600650242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3381.3112213267</v>
      </c>
      <c r="E67">
        <v>499.73775573466003</v>
      </c>
      <c r="F67">
        <v>130.91878487291001</v>
      </c>
      <c r="G67">
        <v>113.86608803471999</v>
      </c>
      <c r="I67" s="9">
        <f t="shared" ref="I67:I130" si="8">E67-G67</f>
        <v>385.87166769994002</v>
      </c>
      <c r="J67" s="9">
        <f t="shared" ref="J67:J130" si="9">D67-F67</f>
        <v>3250.3924364537897</v>
      </c>
      <c r="K67" s="9">
        <f t="shared" ref="K67:K130" si="10">I67*1</f>
        <v>385.87166769994002</v>
      </c>
      <c r="L67" s="10">
        <f t="shared" si="7"/>
        <v>0.11871540906024561</v>
      </c>
      <c r="M67" s="10">
        <f t="shared" ref="M67:M130" si="11">L67+ABS($N$2)*A67</f>
        <v>0.1199650570689426</v>
      </c>
      <c r="P67" s="8">
        <f t="shared" ref="P67:P130" si="12">(M67-$O$2)/$O$2*100</f>
        <v>1.3046983991445928</v>
      </c>
      <c r="U67" s="8">
        <v>32</v>
      </c>
      <c r="V67" s="10">
        <f t="shared" si="6"/>
        <v>0.12020489214512772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3156.1574705518001</v>
      </c>
      <c r="E68">
        <v>483.56292622442999</v>
      </c>
      <c r="F68">
        <v>131.00557966522001</v>
      </c>
      <c r="G68">
        <v>113.35461872288001</v>
      </c>
      <c r="I68" s="9">
        <f t="shared" si="8"/>
        <v>370.20830750155</v>
      </c>
      <c r="J68" s="9">
        <f t="shared" si="9"/>
        <v>3025.1518908865801</v>
      </c>
      <c r="K68" s="9">
        <f t="shared" si="10"/>
        <v>370.20830750155</v>
      </c>
      <c r="L68" s="10">
        <f t="shared" si="7"/>
        <v>0.12237676680527046</v>
      </c>
      <c r="M68" s="10">
        <f t="shared" si="11"/>
        <v>0.12364564016794741</v>
      </c>
      <c r="P68" s="8">
        <f t="shared" si="12"/>
        <v>4.4127731159631081</v>
      </c>
      <c r="U68" s="8">
        <v>32.5</v>
      </c>
      <c r="V68" s="10">
        <f t="shared" si="6"/>
        <v>0.12058225313108502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3281.6623376623002</v>
      </c>
      <c r="E69">
        <v>494.12925170068002</v>
      </c>
      <c r="F69">
        <v>130.79417234965999</v>
      </c>
      <c r="G69">
        <v>113.52014879107</v>
      </c>
      <c r="I69" s="9">
        <f t="shared" si="8"/>
        <v>380.60910290960999</v>
      </c>
      <c r="J69" s="9">
        <f t="shared" si="9"/>
        <v>3150.86816531264</v>
      </c>
      <c r="K69" s="9">
        <f t="shared" si="10"/>
        <v>380.60910290960999</v>
      </c>
      <c r="L69" s="10">
        <f t="shared" si="7"/>
        <v>0.12079499456678938</v>
      </c>
      <c r="M69" s="10">
        <f t="shared" si="11"/>
        <v>0.12208309328344628</v>
      </c>
      <c r="P69" s="8">
        <f t="shared" si="12"/>
        <v>3.093277716749153</v>
      </c>
      <c r="U69" s="8">
        <v>33</v>
      </c>
      <c r="V69" s="10">
        <f t="shared" si="6"/>
        <v>0.11871540906024561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3343.1948051948002</v>
      </c>
      <c r="E70">
        <v>497.80581323438997</v>
      </c>
      <c r="F70">
        <v>130.48605083695</v>
      </c>
      <c r="G70">
        <v>113.59144451333</v>
      </c>
      <c r="I70" s="9">
        <f t="shared" si="8"/>
        <v>384.21436872105994</v>
      </c>
      <c r="J70" s="9">
        <f t="shared" si="9"/>
        <v>3212.70875435785</v>
      </c>
      <c r="K70" s="9">
        <f t="shared" si="10"/>
        <v>384.21436872105994</v>
      </c>
      <c r="L70" s="10">
        <f t="shared" si="7"/>
        <v>0.1195920321753087</v>
      </c>
      <c r="M70" s="10">
        <f t="shared" si="11"/>
        <v>0.12089935624594556</v>
      </c>
      <c r="P70" s="8">
        <f t="shared" si="12"/>
        <v>2.093668943179424</v>
      </c>
      <c r="U70" s="8">
        <v>33.5</v>
      </c>
      <c r="V70" s="10">
        <f t="shared" si="6"/>
        <v>0.12237676680527046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3501.7402597403002</v>
      </c>
      <c r="E71">
        <v>506.55967841682002</v>
      </c>
      <c r="F71">
        <v>130.76379417235</v>
      </c>
      <c r="G71">
        <v>113.89150650961</v>
      </c>
      <c r="I71" s="9">
        <f t="shared" si="8"/>
        <v>392.66817190721002</v>
      </c>
      <c r="J71" s="9">
        <f t="shared" si="9"/>
        <v>3370.9764655679501</v>
      </c>
      <c r="K71" s="9">
        <f t="shared" si="10"/>
        <v>392.66817190721002</v>
      </c>
      <c r="L71" s="10">
        <f t="shared" si="7"/>
        <v>0.11648499356730227</v>
      </c>
      <c r="M71" s="10">
        <f t="shared" si="11"/>
        <v>0.11781154299191908</v>
      </c>
      <c r="P71" s="8">
        <f t="shared" si="12"/>
        <v>-0.5138402603736143</v>
      </c>
      <c r="U71" s="8">
        <v>34</v>
      </c>
      <c r="V71" s="10">
        <f t="shared" si="6"/>
        <v>0.12079499456678938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3604.9365671641999</v>
      </c>
      <c r="E72">
        <v>513.78420398009996</v>
      </c>
      <c r="F72">
        <v>130.78301301921999</v>
      </c>
      <c r="G72">
        <v>113.66893986361001</v>
      </c>
      <c r="I72" s="9">
        <f t="shared" si="8"/>
        <v>400.11526411648993</v>
      </c>
      <c r="J72" s="9">
        <f t="shared" si="9"/>
        <v>3474.1535541449798</v>
      </c>
      <c r="K72" s="9">
        <f t="shared" si="10"/>
        <v>400.11526411648993</v>
      </c>
      <c r="L72" s="10">
        <f t="shared" si="7"/>
        <v>0.11516913627468083</v>
      </c>
      <c r="M72" s="10">
        <f t="shared" si="11"/>
        <v>0.11651491105327759</v>
      </c>
      <c r="P72" s="8">
        <f t="shared" si="12"/>
        <v>-1.6087833270308172</v>
      </c>
      <c r="U72" s="8">
        <v>34.5</v>
      </c>
      <c r="V72" s="10">
        <f t="shared" si="6"/>
        <v>0.1195920321753087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3514.3088875078001</v>
      </c>
      <c r="E73">
        <v>501.90055935364001</v>
      </c>
      <c r="F73">
        <v>131.66398016119001</v>
      </c>
      <c r="G73">
        <v>113.61872287663</v>
      </c>
      <c r="I73" s="9">
        <f t="shared" si="8"/>
        <v>388.28183647701002</v>
      </c>
      <c r="J73" s="9">
        <f t="shared" si="9"/>
        <v>3382.6449073466101</v>
      </c>
      <c r="K73" s="9">
        <f t="shared" si="10"/>
        <v>388.28183647701002</v>
      </c>
      <c r="L73" s="10">
        <f t="shared" si="7"/>
        <v>0.11478646062840313</v>
      </c>
      <c r="M73" s="10">
        <f t="shared" si="11"/>
        <v>0.11615146076097985</v>
      </c>
      <c r="P73" s="8">
        <f t="shared" si="12"/>
        <v>-1.9156995503369432</v>
      </c>
      <c r="U73" s="8">
        <v>35</v>
      </c>
      <c r="V73" s="10">
        <f t="shared" si="6"/>
        <v>0.11648499356730227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3508.2256059664001</v>
      </c>
      <c r="E74">
        <v>499.33374766935998</v>
      </c>
      <c r="F74">
        <v>130.94048357099001</v>
      </c>
      <c r="G74">
        <v>113.47303161809999</v>
      </c>
      <c r="I74" s="9">
        <f t="shared" si="8"/>
        <v>385.86071605126</v>
      </c>
      <c r="J74" s="9">
        <f t="shared" si="9"/>
        <v>3377.2851223954099</v>
      </c>
      <c r="K74" s="9">
        <f t="shared" si="10"/>
        <v>385.86071605126</v>
      </c>
      <c r="L74" s="10">
        <f t="shared" si="7"/>
        <v>0.11425174424644972</v>
      </c>
      <c r="M74" s="10">
        <f t="shared" si="11"/>
        <v>0.1156359697330064</v>
      </c>
      <c r="P74" s="8">
        <f t="shared" si="12"/>
        <v>-2.35100683390956</v>
      </c>
      <c r="U74" s="8">
        <v>35.5</v>
      </c>
      <c r="V74" s="10">
        <f t="shared" si="6"/>
        <v>0.11516913627468083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3377.1520395550001</v>
      </c>
      <c r="E75">
        <v>490.80716934486998</v>
      </c>
      <c r="F75">
        <v>130.49163050217001</v>
      </c>
      <c r="G75">
        <v>113.92312461252</v>
      </c>
      <c r="I75" s="9">
        <f t="shared" si="8"/>
        <v>376.88404473234999</v>
      </c>
      <c r="J75" s="9">
        <f t="shared" si="9"/>
        <v>3246.6604090528299</v>
      </c>
      <c r="K75" s="9">
        <f t="shared" si="10"/>
        <v>376.88404473234999</v>
      </c>
      <c r="L75" s="10">
        <f t="shared" si="7"/>
        <v>0.11608360507352875</v>
      </c>
      <c r="M75" s="10">
        <f t="shared" si="11"/>
        <v>0.11748705591406536</v>
      </c>
      <c r="P75" s="8">
        <f t="shared" si="12"/>
        <v>-0.78785393035002926</v>
      </c>
      <c r="U75" s="8">
        <v>36</v>
      </c>
      <c r="V75" s="10">
        <f t="shared" si="6"/>
        <v>0.11478646062840313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3303.6217391303999</v>
      </c>
      <c r="E76">
        <v>472.93975155279998</v>
      </c>
      <c r="F76">
        <v>130.65406075636</v>
      </c>
      <c r="G76">
        <v>113.72907625543</v>
      </c>
      <c r="I76" s="9">
        <f t="shared" si="8"/>
        <v>359.21067529736996</v>
      </c>
      <c r="J76" s="9">
        <f t="shared" si="9"/>
        <v>3172.9676783740397</v>
      </c>
      <c r="K76" s="9">
        <f t="shared" si="10"/>
        <v>359.21067529736996</v>
      </c>
      <c r="L76" s="10">
        <f t="shared" si="7"/>
        <v>0.11320968623337645</v>
      </c>
      <c r="M76" s="10">
        <f t="shared" si="11"/>
        <v>0.11463236242789301</v>
      </c>
      <c r="P76" s="8">
        <f t="shared" si="12"/>
        <v>-3.1985047457161686</v>
      </c>
      <c r="U76" s="8">
        <v>36.5</v>
      </c>
      <c r="V76" s="10">
        <f t="shared" si="6"/>
        <v>0.11425174424644972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3258.0291925465999</v>
      </c>
      <c r="E77">
        <v>473.57142857142998</v>
      </c>
      <c r="F77">
        <v>130.36949783013</v>
      </c>
      <c r="G77">
        <v>113.46063236206</v>
      </c>
      <c r="I77" s="9">
        <f t="shared" si="8"/>
        <v>360.11079620936999</v>
      </c>
      <c r="J77" s="9">
        <f t="shared" si="9"/>
        <v>3127.6596947164699</v>
      </c>
      <c r="K77" s="9">
        <f t="shared" si="10"/>
        <v>360.11079620936999</v>
      </c>
      <c r="L77" s="10">
        <f t="shared" si="7"/>
        <v>0.11513746102803392</v>
      </c>
      <c r="M77" s="10">
        <f t="shared" si="11"/>
        <v>0.11657936257653044</v>
      </c>
      <c r="P77" s="8">
        <f t="shared" si="12"/>
        <v>-1.5543571275688917</v>
      </c>
      <c r="U77" s="8">
        <v>37</v>
      </c>
      <c r="V77" s="10">
        <f t="shared" si="6"/>
        <v>0.11608360507352875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3329.2946650123999</v>
      </c>
      <c r="E78">
        <v>481.24565756824001</v>
      </c>
      <c r="F78">
        <v>130.66893986361001</v>
      </c>
      <c r="G78">
        <v>113.91878487291</v>
      </c>
      <c r="I78" s="9">
        <f t="shared" si="8"/>
        <v>367.32687269533</v>
      </c>
      <c r="J78" s="9">
        <f t="shared" si="9"/>
        <v>3198.62572514879</v>
      </c>
      <c r="K78" s="9">
        <f t="shared" si="10"/>
        <v>367.32687269533</v>
      </c>
      <c r="L78" s="10">
        <f t="shared" si="7"/>
        <v>0.11483896656219229</v>
      </c>
      <c r="M78" s="10">
        <f t="shared" si="11"/>
        <v>0.11630009346466877</v>
      </c>
      <c r="P78" s="8">
        <f t="shared" si="12"/>
        <v>-1.7901864085326384</v>
      </c>
      <c r="U78" s="8">
        <v>37.5</v>
      </c>
      <c r="V78" s="10">
        <f t="shared" si="6"/>
        <v>0.11320968623337645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3639.9987600743998</v>
      </c>
      <c r="E79">
        <v>505.97520148791</v>
      </c>
      <c r="F79">
        <v>130.77433353999001</v>
      </c>
      <c r="G79">
        <v>113.3880967142</v>
      </c>
      <c r="I79" s="9">
        <f t="shared" si="8"/>
        <v>392.58710477371</v>
      </c>
      <c r="J79" s="9">
        <f t="shared" si="9"/>
        <v>3509.2244265344098</v>
      </c>
      <c r="K79" s="9">
        <f t="shared" si="10"/>
        <v>392.58710477371</v>
      </c>
      <c r="L79" s="10">
        <f t="shared" si="7"/>
        <v>0.11187289755685863</v>
      </c>
      <c r="M79" s="10">
        <f t="shared" si="11"/>
        <v>0.11335324981331506</v>
      </c>
      <c r="P79" s="8">
        <f t="shared" si="12"/>
        <v>-4.2786535890905597</v>
      </c>
      <c r="U79" s="8">
        <v>38</v>
      </c>
      <c r="V79" s="10">
        <f t="shared" si="6"/>
        <v>0.11513746102803392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3798.3973799127002</v>
      </c>
      <c r="E80">
        <v>521.42358078603002</v>
      </c>
      <c r="F80">
        <v>131.02355858649</v>
      </c>
      <c r="G80">
        <v>113.62926224427</v>
      </c>
      <c r="I80" s="9">
        <f t="shared" si="8"/>
        <v>407.79431854176005</v>
      </c>
      <c r="J80" s="9">
        <f t="shared" si="9"/>
        <v>3667.3738213262104</v>
      </c>
      <c r="K80" s="9">
        <f t="shared" si="10"/>
        <v>407.79431854176005</v>
      </c>
      <c r="L80" s="10">
        <f t="shared" si="7"/>
        <v>0.11119518718555171</v>
      </c>
      <c r="M80" s="10">
        <f t="shared" si="11"/>
        <v>0.1126947647959881</v>
      </c>
      <c r="P80" s="8">
        <f t="shared" si="12"/>
        <v>-4.8347123924663382</v>
      </c>
      <c r="U80" s="8">
        <v>38.5</v>
      </c>
      <c r="V80" s="10">
        <f t="shared" si="6"/>
        <v>0.11483896656219229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3411.3165422886</v>
      </c>
      <c r="E81">
        <v>487.81343283581998</v>
      </c>
      <c r="F81">
        <v>130.72349659021</v>
      </c>
      <c r="G81">
        <v>113.62926224427</v>
      </c>
      <c r="I81" s="9">
        <f t="shared" si="8"/>
        <v>374.18417059155001</v>
      </c>
      <c r="J81" s="9">
        <f t="shared" si="9"/>
        <v>3280.5930456983901</v>
      </c>
      <c r="K81" s="9">
        <f t="shared" si="10"/>
        <v>374.18417059155001</v>
      </c>
      <c r="L81" s="10">
        <f t="shared" si="7"/>
        <v>0.11405991702695074</v>
      </c>
      <c r="M81" s="10">
        <f t="shared" si="11"/>
        <v>0.11557871999136708</v>
      </c>
      <c r="P81" s="8">
        <f t="shared" si="12"/>
        <v>-2.3993514765238402</v>
      </c>
      <c r="U81" s="8">
        <v>39</v>
      </c>
      <c r="V81" s="10">
        <f t="shared" si="6"/>
        <v>0.11187289755685863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3302.4252801992998</v>
      </c>
      <c r="E82">
        <v>473.70485678705001</v>
      </c>
      <c r="F82">
        <v>130.66088034718001</v>
      </c>
      <c r="G82">
        <v>113.59764414135</v>
      </c>
      <c r="H82" s="13"/>
      <c r="I82" s="14">
        <f t="shared" si="8"/>
        <v>360.10721264569997</v>
      </c>
      <c r="J82" s="14">
        <f t="shared" si="9"/>
        <v>3171.7643998521198</v>
      </c>
      <c r="K82" s="9">
        <f t="shared" si="10"/>
        <v>360.10721264569997</v>
      </c>
      <c r="L82" s="15">
        <f t="shared" si="7"/>
        <v>0.11353529684061325</v>
      </c>
      <c r="M82" s="15">
        <f t="shared" si="11"/>
        <v>0.11507332515900955</v>
      </c>
      <c r="N82" s="13"/>
      <c r="O82" s="13"/>
      <c r="P82" s="13">
        <f t="shared" si="12"/>
        <v>-2.8261330103753433</v>
      </c>
      <c r="U82" s="8">
        <v>39.5</v>
      </c>
      <c r="V82" s="10">
        <f t="shared" si="6"/>
        <v>0.11119518718555171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3394.6226650061999</v>
      </c>
      <c r="E83">
        <v>478.11207970112002</v>
      </c>
      <c r="F83">
        <v>130.97768133912001</v>
      </c>
      <c r="G83">
        <v>113.67575945442999</v>
      </c>
      <c r="I83" s="9">
        <f t="shared" si="8"/>
        <v>364.43632024669</v>
      </c>
      <c r="J83" s="9">
        <f t="shared" si="9"/>
        <v>3263.6449836670799</v>
      </c>
      <c r="K83" s="9">
        <f t="shared" si="10"/>
        <v>364.43632024669</v>
      </c>
      <c r="L83" s="10">
        <f t="shared" si="7"/>
        <v>0.1116654299320277</v>
      </c>
      <c r="M83" s="10">
        <f t="shared" si="11"/>
        <v>0.11322268360440395</v>
      </c>
      <c r="P83" s="8">
        <f t="shared" si="12"/>
        <v>-4.3889104483629922</v>
      </c>
      <c r="U83" s="8">
        <v>40</v>
      </c>
      <c r="V83" s="10">
        <f t="shared" si="6"/>
        <v>0.11405991702695074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3365.5434243176001</v>
      </c>
      <c r="E84">
        <v>477.88895781638001</v>
      </c>
      <c r="F84">
        <v>131.13081215126999</v>
      </c>
      <c r="G84">
        <v>113.68071915685</v>
      </c>
      <c r="I84" s="9">
        <f t="shared" si="8"/>
        <v>364.20823865953002</v>
      </c>
      <c r="J84" s="9">
        <f t="shared" si="9"/>
        <v>3234.4126121663303</v>
      </c>
      <c r="K84" s="9">
        <f t="shared" si="10"/>
        <v>364.20823865953002</v>
      </c>
      <c r="L84" s="10">
        <f t="shared" si="7"/>
        <v>0.11260413630887751</v>
      </c>
      <c r="M84" s="10">
        <f t="shared" si="11"/>
        <v>0.11418061533523371</v>
      </c>
      <c r="P84" s="8">
        <f t="shared" si="12"/>
        <v>-3.5799833536764898</v>
      </c>
      <c r="U84" s="8">
        <v>150.5</v>
      </c>
      <c r="V84" s="10">
        <f>L302</f>
        <v>0.12641572375602633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3445.3169975186001</v>
      </c>
      <c r="E85">
        <v>476.27729528536003</v>
      </c>
      <c r="F85">
        <v>131.3056416615</v>
      </c>
      <c r="G85">
        <v>113.65716057037</v>
      </c>
      <c r="I85" s="9">
        <f t="shared" si="8"/>
        <v>362.62013471499006</v>
      </c>
      <c r="J85" s="9">
        <f t="shared" si="9"/>
        <v>3314.0113558571002</v>
      </c>
      <c r="K85" s="9">
        <f t="shared" si="10"/>
        <v>362.62013471499006</v>
      </c>
      <c r="L85" s="10">
        <f t="shared" si="7"/>
        <v>0.10942030541751294</v>
      </c>
      <c r="M85" s="10">
        <f t="shared" si="11"/>
        <v>0.11101600979784909</v>
      </c>
      <c r="P85" s="8">
        <f t="shared" si="12"/>
        <v>-6.2523399327491198</v>
      </c>
      <c r="U85" s="8">
        <v>151</v>
      </c>
      <c r="V85" s="10">
        <f t="shared" ref="V85:V103" si="13">L303</f>
        <v>0.12469155752221693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3260.0148606810999</v>
      </c>
      <c r="E86">
        <v>460.38761609906999</v>
      </c>
      <c r="F86">
        <v>131.07997520148999</v>
      </c>
      <c r="G86">
        <v>113.63174209547</v>
      </c>
      <c r="I86" s="9">
        <f t="shared" si="8"/>
        <v>346.75587400359996</v>
      </c>
      <c r="J86" s="9">
        <f t="shared" si="9"/>
        <v>3128.9348854796099</v>
      </c>
      <c r="K86" s="9">
        <f t="shared" si="10"/>
        <v>346.75587400359996</v>
      </c>
      <c r="L86" s="10">
        <f t="shared" si="7"/>
        <v>0.11082233625659119</v>
      </c>
      <c r="M86" s="10">
        <f t="shared" si="11"/>
        <v>0.1124372659909073</v>
      </c>
      <c r="P86" s="8">
        <f t="shared" si="12"/>
        <v>-5.0521577004934874</v>
      </c>
      <c r="U86" s="8">
        <v>151.5</v>
      </c>
      <c r="V86" s="10">
        <f t="shared" si="13"/>
        <v>0.12389416093219116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3254.7455108358999</v>
      </c>
      <c r="E87">
        <v>461.88111455107997</v>
      </c>
      <c r="F87">
        <v>130.59578425295001</v>
      </c>
      <c r="G87">
        <v>113.84996900186</v>
      </c>
      <c r="I87" s="9">
        <f t="shared" si="8"/>
        <v>348.03114554921996</v>
      </c>
      <c r="J87" s="9">
        <f t="shared" si="9"/>
        <v>3124.1497265829498</v>
      </c>
      <c r="K87" s="9">
        <f t="shared" si="10"/>
        <v>348.03114554921996</v>
      </c>
      <c r="L87" s="10">
        <f t="shared" si="7"/>
        <v>0.11140027719794349</v>
      </c>
      <c r="M87" s="10">
        <f t="shared" si="11"/>
        <v>0.11303443228623955</v>
      </c>
      <c r="P87" s="8">
        <f t="shared" si="12"/>
        <v>-4.5478795971787678</v>
      </c>
      <c r="U87" s="8">
        <v>152</v>
      </c>
      <c r="V87" s="10">
        <f t="shared" si="13"/>
        <v>0.12398725818660059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3411.5195046439999</v>
      </c>
      <c r="E88">
        <v>464.77213622290998</v>
      </c>
      <c r="F88">
        <v>131.02913825171001</v>
      </c>
      <c r="G88">
        <v>113.47179169250001</v>
      </c>
      <c r="I88" s="9">
        <f t="shared" si="8"/>
        <v>351.30034453040997</v>
      </c>
      <c r="J88" s="9">
        <f t="shared" si="9"/>
        <v>3280.4903663922901</v>
      </c>
      <c r="K88" s="9">
        <f t="shared" si="10"/>
        <v>351.30034453040997</v>
      </c>
      <c r="L88" s="10">
        <f t="shared" si="7"/>
        <v>0.10708775374845911</v>
      </c>
      <c r="M88" s="10">
        <f t="shared" si="11"/>
        <v>0.10874113419073513</v>
      </c>
      <c r="P88" s="8">
        <f t="shared" si="12"/>
        <v>-8.1733625447069578</v>
      </c>
      <c r="U88" s="8">
        <v>152.5</v>
      </c>
      <c r="V88" s="10">
        <f t="shared" si="13"/>
        <v>0.12233382361902896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3512.0336658353999</v>
      </c>
      <c r="E89">
        <v>482.72256857855001</v>
      </c>
      <c r="F89">
        <v>131.19342839430001</v>
      </c>
      <c r="G89">
        <v>113.86546807192001</v>
      </c>
      <c r="I89" s="9">
        <f t="shared" si="8"/>
        <v>368.85710050662999</v>
      </c>
      <c r="J89" s="9">
        <f t="shared" si="9"/>
        <v>3380.8402374410998</v>
      </c>
      <c r="K89" s="9">
        <f t="shared" si="10"/>
        <v>368.85710050662999</v>
      </c>
      <c r="L89" s="10">
        <f t="shared" si="7"/>
        <v>0.10910219785653393</v>
      </c>
      <c r="M89" s="10">
        <f t="shared" si="11"/>
        <v>0.1107748036527899</v>
      </c>
      <c r="P89" s="8">
        <f t="shared" si="12"/>
        <v>-6.4560268760496111</v>
      </c>
      <c r="U89" s="8">
        <v>153</v>
      </c>
      <c r="V89" s="10">
        <f t="shared" si="13"/>
        <v>0.12087202997377808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3407.6212500000001</v>
      </c>
      <c r="E90">
        <v>470.57</v>
      </c>
      <c r="F90">
        <v>131.13763174210001</v>
      </c>
      <c r="G90">
        <v>113.85740855549</v>
      </c>
      <c r="I90" s="9">
        <f t="shared" si="8"/>
        <v>356.71259144451</v>
      </c>
      <c r="J90" s="9">
        <f t="shared" si="9"/>
        <v>3276.4836182579002</v>
      </c>
      <c r="K90" s="9">
        <f t="shared" si="10"/>
        <v>356.71259144451</v>
      </c>
      <c r="L90" s="10">
        <f t="shared" si="7"/>
        <v>0.10887055545059413</v>
      </c>
      <c r="M90" s="10">
        <f t="shared" si="11"/>
        <v>0.11056238660083005</v>
      </c>
      <c r="P90" s="8">
        <f t="shared" si="12"/>
        <v>-6.6354028202569397</v>
      </c>
      <c r="U90" s="8">
        <v>153.5</v>
      </c>
      <c r="V90" s="10">
        <f t="shared" si="13"/>
        <v>0.12044929329792375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3379.7132169575998</v>
      </c>
      <c r="E91">
        <v>464.15087281796002</v>
      </c>
      <c r="F91">
        <v>131.09299442034001</v>
      </c>
      <c r="G91">
        <v>113.78859268444</v>
      </c>
      <c r="I91" s="9">
        <f t="shared" si="8"/>
        <v>350.36228013352002</v>
      </c>
      <c r="J91" s="9">
        <f t="shared" si="9"/>
        <v>3248.6202225372599</v>
      </c>
      <c r="K91" s="9">
        <f t="shared" si="10"/>
        <v>350.36228013352002</v>
      </c>
      <c r="L91" s="10">
        <f t="shared" si="7"/>
        <v>0.10784956570265934</v>
      </c>
      <c r="M91" s="10">
        <f t="shared" si="11"/>
        <v>0.10956062220687522</v>
      </c>
      <c r="P91" s="8">
        <f t="shared" si="12"/>
        <v>-7.481344482571779</v>
      </c>
      <c r="U91" s="8">
        <v>154</v>
      </c>
      <c r="V91" s="10">
        <f t="shared" si="13"/>
        <v>0.12277392189183073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3444.7537406483998</v>
      </c>
      <c r="E92">
        <v>462.07231920200002</v>
      </c>
      <c r="F92">
        <v>131.19590824551</v>
      </c>
      <c r="G92">
        <v>113.86670799752</v>
      </c>
      <c r="I92" s="9">
        <f t="shared" si="8"/>
        <v>348.20561120448002</v>
      </c>
      <c r="J92" s="9">
        <f t="shared" si="9"/>
        <v>3313.5578324028897</v>
      </c>
      <c r="K92" s="9">
        <f t="shared" si="10"/>
        <v>348.20561120448002</v>
      </c>
      <c r="L92" s="10">
        <f t="shared" si="7"/>
        <v>0.10508511660771952</v>
      </c>
      <c r="M92" s="10">
        <f t="shared" si="11"/>
        <v>0.10681539846591535</v>
      </c>
      <c r="P92" s="8">
        <f t="shared" si="12"/>
        <v>-9.7995533836544286</v>
      </c>
      <c r="U92" s="8">
        <v>154.5</v>
      </c>
      <c r="V92" s="10">
        <f t="shared" si="13"/>
        <v>0.12360227671788153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3558.4794264338998</v>
      </c>
      <c r="E93">
        <v>471.93640897756001</v>
      </c>
      <c r="F93">
        <v>131.31184128952</v>
      </c>
      <c r="G93">
        <v>113.85182889027</v>
      </c>
      <c r="I93" s="9">
        <f t="shared" si="8"/>
        <v>358.08458008729002</v>
      </c>
      <c r="J93" s="9">
        <f t="shared" si="9"/>
        <v>3427.1675851443797</v>
      </c>
      <c r="K93" s="9">
        <f t="shared" si="10"/>
        <v>358.08458008729002</v>
      </c>
      <c r="L93" s="10">
        <f t="shared" si="7"/>
        <v>0.10448411733335318</v>
      </c>
      <c r="M93" s="10">
        <f t="shared" si="11"/>
        <v>0.10623362454552897</v>
      </c>
      <c r="P93" s="8">
        <f t="shared" si="12"/>
        <v>-10.290833369520319</v>
      </c>
      <c r="U93" s="8">
        <v>155</v>
      </c>
      <c r="V93" s="10">
        <f t="shared" si="13"/>
        <v>0.12248705044326876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3677.3490390576999</v>
      </c>
      <c r="E94">
        <v>487.07501549906999</v>
      </c>
      <c r="F94">
        <v>131.35089894606</v>
      </c>
      <c r="G94">
        <v>114.03657780533</v>
      </c>
      <c r="I94" s="9">
        <f t="shared" si="8"/>
        <v>373.03843769373998</v>
      </c>
      <c r="J94" s="9">
        <f t="shared" si="9"/>
        <v>3545.9981401116397</v>
      </c>
      <c r="K94" s="9">
        <f t="shared" si="10"/>
        <v>373.03843769373998</v>
      </c>
      <c r="L94" s="10">
        <f t="shared" si="7"/>
        <v>0.10519984020126855</v>
      </c>
      <c r="M94" s="10">
        <f t="shared" si="11"/>
        <v>0.10696857276742429</v>
      </c>
      <c r="P94" s="8">
        <f t="shared" si="12"/>
        <v>-9.6702050817739522</v>
      </c>
      <c r="U94" s="8">
        <v>155.5</v>
      </c>
      <c r="V94" s="10">
        <f t="shared" si="13"/>
        <v>0.12327612255295461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3760.6478611283001</v>
      </c>
      <c r="E95">
        <v>481.22814631121997</v>
      </c>
      <c r="F95">
        <v>131.1673899566</v>
      </c>
      <c r="G95">
        <v>113.94730316181</v>
      </c>
      <c r="I95" s="9">
        <f t="shared" si="8"/>
        <v>367.28084314940998</v>
      </c>
      <c r="J95" s="9">
        <f t="shared" si="9"/>
        <v>3629.4804711717002</v>
      </c>
      <c r="K95" s="9">
        <f t="shared" si="10"/>
        <v>367.28084314940998</v>
      </c>
      <c r="L95" s="10">
        <f t="shared" si="7"/>
        <v>0.10119377857703177</v>
      </c>
      <c r="M95" s="10">
        <f t="shared" si="11"/>
        <v>0.10298173649716746</v>
      </c>
      <c r="P95" s="8">
        <f t="shared" si="12"/>
        <v>-13.036895814834912</v>
      </c>
      <c r="U95" s="8">
        <v>156</v>
      </c>
      <c r="V95" s="10">
        <f t="shared" si="13"/>
        <v>0.12038091124704335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3683.1586807715998</v>
      </c>
      <c r="E96">
        <v>482.93403858121002</v>
      </c>
      <c r="F96">
        <v>131.13391196527999</v>
      </c>
      <c r="G96">
        <v>114.07129572226</v>
      </c>
      <c r="I96" s="9">
        <f t="shared" si="8"/>
        <v>368.86274285895001</v>
      </c>
      <c r="J96" s="9">
        <f t="shared" si="9"/>
        <v>3552.02476880632</v>
      </c>
      <c r="K96" s="9">
        <f t="shared" si="10"/>
        <v>368.86274285895001</v>
      </c>
      <c r="L96" s="10">
        <f t="shared" si="7"/>
        <v>0.10384576878468914</v>
      </c>
      <c r="M96" s="10">
        <f t="shared" si="11"/>
        <v>0.10565295205880479</v>
      </c>
      <c r="P96" s="8">
        <f t="shared" si="12"/>
        <v>-10.781183247839206</v>
      </c>
      <c r="U96" s="8">
        <v>156.5</v>
      </c>
      <c r="V96" s="10">
        <f t="shared" si="13"/>
        <v>0.12033867025179518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3671.4063472308999</v>
      </c>
      <c r="E97">
        <v>473.61232109521001</v>
      </c>
      <c r="F97">
        <v>131.49845009299</v>
      </c>
      <c r="G97">
        <v>113.82765034098</v>
      </c>
      <c r="I97" s="9">
        <f t="shared" si="8"/>
        <v>359.78467075422998</v>
      </c>
      <c r="J97" s="9">
        <f t="shared" si="9"/>
        <v>3539.9078971379099</v>
      </c>
      <c r="K97" s="9">
        <f t="shared" si="10"/>
        <v>359.78467075422998</v>
      </c>
      <c r="L97" s="10">
        <f t="shared" si="7"/>
        <v>0.10163673214354629</v>
      </c>
      <c r="M97" s="10">
        <f t="shared" si="11"/>
        <v>0.1034631407716419</v>
      </c>
      <c r="P97" s="8">
        <f t="shared" si="12"/>
        <v>-12.630373148775037</v>
      </c>
      <c r="U97" s="8">
        <v>157</v>
      </c>
      <c r="V97" s="10">
        <f t="shared" si="13"/>
        <v>0.119697577391478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3181.9330024813999</v>
      </c>
      <c r="E98">
        <v>434.00372208437</v>
      </c>
      <c r="F98">
        <v>130.90390576564999</v>
      </c>
      <c r="G98">
        <v>113.86732796032</v>
      </c>
      <c r="I98" s="9">
        <f t="shared" si="8"/>
        <v>320.13639412405001</v>
      </c>
      <c r="J98" s="9">
        <f t="shared" si="9"/>
        <v>3051.0290967157498</v>
      </c>
      <c r="K98" s="9">
        <f t="shared" si="10"/>
        <v>320.13639412405001</v>
      </c>
      <c r="L98" s="10">
        <f t="shared" si="7"/>
        <v>0.10492734876526011</v>
      </c>
      <c r="M98" s="10">
        <f t="shared" si="11"/>
        <v>0.10677298274733567</v>
      </c>
      <c r="P98" s="8">
        <f t="shared" si="12"/>
        <v>-9.8353714100287988</v>
      </c>
      <c r="U98" s="8">
        <v>157.5</v>
      </c>
      <c r="V98" s="10">
        <f t="shared" si="13"/>
        <v>0.12013681697239911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3215.5330423939999</v>
      </c>
      <c r="E99">
        <v>424.51184538653001</v>
      </c>
      <c r="F99">
        <v>131.35399876007</v>
      </c>
      <c r="G99">
        <v>114.00991940484001</v>
      </c>
      <c r="I99" s="9">
        <f t="shared" si="8"/>
        <v>310.50192598169002</v>
      </c>
      <c r="J99" s="9">
        <f t="shared" si="9"/>
        <v>3084.1790436339297</v>
      </c>
      <c r="K99" s="9">
        <f t="shared" si="10"/>
        <v>310.50192598169002</v>
      </c>
      <c r="L99" s="10">
        <f t="shared" si="7"/>
        <v>0.10067571356552685</v>
      </c>
      <c r="M99" s="10">
        <f t="shared" si="11"/>
        <v>0.10254057290158236</v>
      </c>
      <c r="P99" s="8">
        <f t="shared" si="12"/>
        <v>-13.409437170521068</v>
      </c>
      <c r="U99" s="8">
        <v>158</v>
      </c>
      <c r="V99" s="10">
        <f t="shared" si="13"/>
        <v>0.12162853942870508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3182.5829177056999</v>
      </c>
      <c r="E100">
        <v>419.41084788030003</v>
      </c>
      <c r="F100">
        <v>131.39553626782001</v>
      </c>
      <c r="G100">
        <v>113.91444513329</v>
      </c>
      <c r="I100" s="9">
        <f t="shared" si="8"/>
        <v>305.49640274701005</v>
      </c>
      <c r="J100" s="9">
        <f t="shared" si="9"/>
        <v>3051.18738143788</v>
      </c>
      <c r="K100" s="9">
        <f t="shared" si="10"/>
        <v>305.49640274701005</v>
      </c>
      <c r="L100" s="10">
        <f t="shared" si="7"/>
        <v>0.10012377627330252</v>
      </c>
      <c r="M100" s="10">
        <f t="shared" si="11"/>
        <v>0.10200786096333798</v>
      </c>
      <c r="P100" s="8">
        <f t="shared" si="12"/>
        <v>-13.859286681337011</v>
      </c>
      <c r="U100" s="8">
        <v>158.5</v>
      </c>
      <c r="V100" s="10">
        <f t="shared" si="13"/>
        <v>0.12104917493016507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3172.1964175417002</v>
      </c>
      <c r="E101">
        <v>419.07103150093002</v>
      </c>
      <c r="F101">
        <v>131.34159950403</v>
      </c>
      <c r="G101">
        <v>113.81835089895</v>
      </c>
      <c r="I101" s="9">
        <f t="shared" si="8"/>
        <v>305.25268060198005</v>
      </c>
      <c r="J101" s="9">
        <f t="shared" si="9"/>
        <v>3040.8548180376702</v>
      </c>
      <c r="K101" s="9">
        <f t="shared" si="10"/>
        <v>305.25268060198005</v>
      </c>
      <c r="L101" s="10">
        <f t="shared" si="7"/>
        <v>0.1003838390413411</v>
      </c>
      <c r="M101" s="10">
        <f t="shared" si="11"/>
        <v>0.10228714908535652</v>
      </c>
      <c r="P101" s="8">
        <f t="shared" si="12"/>
        <v>-13.62344134721366</v>
      </c>
      <c r="U101" s="8">
        <v>159</v>
      </c>
      <c r="V101" s="10">
        <f t="shared" si="13"/>
        <v>0.12014851954803971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3094.7263743050999</v>
      </c>
      <c r="E102">
        <v>404.48486720198002</v>
      </c>
      <c r="F102">
        <v>131.2486050837</v>
      </c>
      <c r="G102">
        <v>114.16986980781</v>
      </c>
      <c r="I102" s="9">
        <f t="shared" si="8"/>
        <v>290.31499739417001</v>
      </c>
      <c r="J102" s="9">
        <f t="shared" si="9"/>
        <v>2963.4777692213997</v>
      </c>
      <c r="K102" s="9">
        <f t="shared" si="10"/>
        <v>290.31499739417001</v>
      </c>
      <c r="L102" s="10">
        <f t="shared" si="7"/>
        <v>9.7964290607938334E-2</v>
      </c>
      <c r="M102" s="10">
        <f t="shared" si="11"/>
        <v>9.988682600593371E-2</v>
      </c>
      <c r="P102" s="8">
        <f t="shared" si="12"/>
        <v>-15.650398292532246</v>
      </c>
      <c r="U102" s="8">
        <v>159.5</v>
      </c>
      <c r="V102" s="10">
        <f t="shared" si="13"/>
        <v>0.12000585023577466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3355.8577639752002</v>
      </c>
      <c r="E103">
        <v>445.33167701862999</v>
      </c>
      <c r="F103">
        <v>131.7501549907</v>
      </c>
      <c r="G103">
        <v>114.24302541848</v>
      </c>
      <c r="I103" s="9">
        <f t="shared" si="8"/>
        <v>331.08865160015</v>
      </c>
      <c r="J103" s="9">
        <f t="shared" si="9"/>
        <v>3224.1076089845001</v>
      </c>
      <c r="K103" s="9">
        <f t="shared" si="10"/>
        <v>331.08865160015</v>
      </c>
      <c r="L103" s="10">
        <f t="shared" si="7"/>
        <v>0.10269156360585412</v>
      </c>
      <c r="M103" s="10">
        <f t="shared" si="11"/>
        <v>0.10463332435782945</v>
      </c>
      <c r="P103" s="8">
        <f t="shared" si="12"/>
        <v>-11.642209610435431</v>
      </c>
      <c r="U103" s="8">
        <v>160</v>
      </c>
      <c r="V103" s="10">
        <f t="shared" si="13"/>
        <v>0.12029312754093104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3423.4857142856999</v>
      </c>
      <c r="E104">
        <v>453.10869565217001</v>
      </c>
      <c r="F104">
        <v>131.41227526348001</v>
      </c>
      <c r="G104">
        <v>113.78549287043001</v>
      </c>
      <c r="I104" s="9">
        <f t="shared" si="8"/>
        <v>339.32320278174001</v>
      </c>
      <c r="J104" s="9">
        <f t="shared" si="9"/>
        <v>3292.0734390222201</v>
      </c>
      <c r="K104" s="9">
        <f t="shared" si="10"/>
        <v>339.32320278174001</v>
      </c>
      <c r="L104" s="10">
        <f t="shared" si="7"/>
        <v>0.10307279259314535</v>
      </c>
      <c r="M104" s="10">
        <f t="shared" si="11"/>
        <v>0.10503377869910063</v>
      </c>
      <c r="P104" s="8">
        <f t="shared" si="12"/>
        <v>-11.304045254444739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3260.8484092326999</v>
      </c>
      <c r="E105">
        <v>436.62632563942998</v>
      </c>
      <c r="F105">
        <v>131.69125852449</v>
      </c>
      <c r="G105">
        <v>114.31928084315</v>
      </c>
      <c r="I105" s="9">
        <f t="shared" si="8"/>
        <v>322.30704479627997</v>
      </c>
      <c r="J105" s="9">
        <f t="shared" si="9"/>
        <v>3129.1571507082099</v>
      </c>
      <c r="K105" s="9">
        <f t="shared" si="10"/>
        <v>322.30704479627997</v>
      </c>
      <c r="L105" s="10">
        <f t="shared" si="7"/>
        <v>0.10300123300721202</v>
      </c>
      <c r="M105" s="10">
        <f t="shared" si="11"/>
        <v>0.10498144446714724</v>
      </c>
      <c r="P105" s="8">
        <f t="shared" si="12"/>
        <v>-11.34823898646574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3320.6534161490999</v>
      </c>
      <c r="E106">
        <v>446.77577639752002</v>
      </c>
      <c r="F106">
        <v>131.37631742095999</v>
      </c>
      <c r="G106">
        <v>114.16491010539001</v>
      </c>
      <c r="I106" s="9">
        <f t="shared" si="8"/>
        <v>332.61086629213003</v>
      </c>
      <c r="J106" s="9">
        <f t="shared" si="9"/>
        <v>3189.2770987281401</v>
      </c>
      <c r="K106" s="9">
        <f t="shared" si="10"/>
        <v>332.61086629213003</v>
      </c>
      <c r="L106" s="10">
        <f t="shared" si="7"/>
        <v>0.10429036298688903</v>
      </c>
      <c r="M106" s="10">
        <f t="shared" si="11"/>
        <v>0.1062897998008042</v>
      </c>
      <c r="P106" s="8">
        <f t="shared" si="12"/>
        <v>-10.243396078760874</v>
      </c>
      <c r="X106" s="8">
        <v>-13</v>
      </c>
    </row>
    <row r="107" spans="1:25" x14ac:dyDescent="0.2">
      <c r="A107" s="8">
        <v>52.5</v>
      </c>
      <c r="B107" s="8">
        <v>105</v>
      </c>
      <c r="D107">
        <v>3243.5944099378999</v>
      </c>
      <c r="E107">
        <v>442.12608695652</v>
      </c>
      <c r="F107">
        <v>131.96466212026999</v>
      </c>
      <c r="G107">
        <v>114.13577185369</v>
      </c>
      <c r="I107" s="9">
        <f t="shared" si="8"/>
        <v>327.99031510282998</v>
      </c>
      <c r="J107" s="9">
        <f t="shared" si="9"/>
        <v>3111.6297478176298</v>
      </c>
      <c r="K107" s="9">
        <f t="shared" si="10"/>
        <v>327.99031510282998</v>
      </c>
      <c r="L107" s="10">
        <f t="shared" si="7"/>
        <v>0.10540788644049602</v>
      </c>
      <c r="M107" s="10">
        <f t="shared" si="11"/>
        <v>0.10742654860839115</v>
      </c>
      <c r="P107" s="8">
        <f t="shared" si="12"/>
        <v>-9.283466596611726</v>
      </c>
      <c r="X107" s="8">
        <v>-13</v>
      </c>
    </row>
    <row r="108" spans="1:25" x14ac:dyDescent="0.2">
      <c r="A108" s="8">
        <v>53</v>
      </c>
      <c r="B108" s="8">
        <v>106</v>
      </c>
      <c r="D108">
        <v>3458.5290841584001</v>
      </c>
      <c r="E108">
        <v>464.30383663366001</v>
      </c>
      <c r="F108">
        <v>131.46063236206001</v>
      </c>
      <c r="G108">
        <v>113.75139491631001</v>
      </c>
      <c r="I108" s="9">
        <f t="shared" si="8"/>
        <v>350.55244171735001</v>
      </c>
      <c r="J108" s="9">
        <f t="shared" si="9"/>
        <v>3327.06845179634</v>
      </c>
      <c r="K108" s="9">
        <f t="shared" si="10"/>
        <v>350.55244171735001</v>
      </c>
      <c r="L108" s="10">
        <f t="shared" si="7"/>
        <v>0.10536375995753285</v>
      </c>
      <c r="M108" s="10">
        <f t="shared" si="11"/>
        <v>0.10740164747940793</v>
      </c>
      <c r="P108" s="8">
        <f t="shared" si="12"/>
        <v>-9.3044943977321282</v>
      </c>
      <c r="X108" s="8">
        <v>-13</v>
      </c>
    </row>
    <row r="109" spans="1:25" x14ac:dyDescent="0.2">
      <c r="A109" s="8">
        <v>53.5</v>
      </c>
      <c r="B109" s="8">
        <v>107</v>
      </c>
      <c r="D109">
        <v>3590.6132425742999</v>
      </c>
      <c r="E109">
        <v>469.16460396039997</v>
      </c>
      <c r="F109">
        <v>131.58276503409999</v>
      </c>
      <c r="G109">
        <v>114.21450712956999</v>
      </c>
      <c r="I109" s="9">
        <f t="shared" si="8"/>
        <v>354.95009683082998</v>
      </c>
      <c r="J109" s="9">
        <f t="shared" si="9"/>
        <v>3459.0304775402001</v>
      </c>
      <c r="K109" s="9">
        <f t="shared" si="10"/>
        <v>354.95009683082998</v>
      </c>
      <c r="L109" s="10">
        <f t="shared" si="7"/>
        <v>0.10261548695091104</v>
      </c>
      <c r="M109" s="10">
        <f t="shared" si="11"/>
        <v>0.10467259982676608</v>
      </c>
      <c r="P109" s="8">
        <f t="shared" si="12"/>
        <v>-11.609043373263352</v>
      </c>
      <c r="X109" s="8">
        <v>-13</v>
      </c>
    </row>
    <row r="110" spans="1:25" x14ac:dyDescent="0.2">
      <c r="A110" s="8">
        <v>54</v>
      </c>
      <c r="B110" s="8">
        <v>108</v>
      </c>
      <c r="D110">
        <v>3479.405842138</v>
      </c>
      <c r="E110">
        <v>459.93474207582</v>
      </c>
      <c r="F110">
        <v>131.71481711096999</v>
      </c>
      <c r="G110">
        <v>113.53006819591</v>
      </c>
      <c r="I110" s="9">
        <f t="shared" si="8"/>
        <v>346.40467387990998</v>
      </c>
      <c r="J110" s="9">
        <f t="shared" si="9"/>
        <v>3347.6910250270303</v>
      </c>
      <c r="K110" s="9">
        <f t="shared" si="10"/>
        <v>346.40467387990998</v>
      </c>
      <c r="L110" s="10">
        <f t="shared" si="7"/>
        <v>0.10347570050229263</v>
      </c>
      <c r="M110" s="10">
        <f t="shared" si="11"/>
        <v>0.10555203873212762</v>
      </c>
      <c r="P110" s="8">
        <f t="shared" si="12"/>
        <v>-10.866399679800802</v>
      </c>
      <c r="X110" s="8">
        <v>-13</v>
      </c>
    </row>
    <row r="111" spans="1:25" x14ac:dyDescent="0.2">
      <c r="A111" s="8">
        <v>54.5</v>
      </c>
      <c r="B111" s="8">
        <v>109</v>
      </c>
      <c r="D111">
        <v>3413.6811414392</v>
      </c>
      <c r="E111">
        <v>453.19044665012001</v>
      </c>
      <c r="F111">
        <v>131.43459392437001</v>
      </c>
      <c r="G111">
        <v>113.84314941104</v>
      </c>
      <c r="I111" s="9">
        <f t="shared" si="8"/>
        <v>339.34729723908004</v>
      </c>
      <c r="J111" s="9">
        <f t="shared" si="9"/>
        <v>3282.2465475148301</v>
      </c>
      <c r="K111" s="9">
        <f t="shared" si="10"/>
        <v>339.34729723908004</v>
      </c>
      <c r="L111" s="10">
        <f t="shared" si="7"/>
        <v>0.10338872852071962</v>
      </c>
      <c r="M111" s="10">
        <f t="shared" si="11"/>
        <v>0.10548429210453457</v>
      </c>
      <c r="P111" s="8">
        <f t="shared" si="12"/>
        <v>-10.923608435779881</v>
      </c>
      <c r="X111" s="8">
        <v>-13</v>
      </c>
    </row>
    <row r="112" spans="1:25" x14ac:dyDescent="0.2">
      <c r="A112" s="8">
        <v>55</v>
      </c>
      <c r="B112" s="8">
        <v>110</v>
      </c>
      <c r="D112">
        <v>3547.9652605459</v>
      </c>
      <c r="E112">
        <v>459.72146401984998</v>
      </c>
      <c r="F112">
        <v>131.31928084315001</v>
      </c>
      <c r="G112">
        <v>113.86298822070999</v>
      </c>
      <c r="I112" s="9">
        <f t="shared" si="8"/>
        <v>345.85847579913997</v>
      </c>
      <c r="J112" s="9">
        <f t="shared" si="9"/>
        <v>3416.6459797027501</v>
      </c>
      <c r="K112" s="9">
        <f t="shared" si="10"/>
        <v>345.85847579913997</v>
      </c>
      <c r="L112" s="10">
        <f t="shared" si="7"/>
        <v>0.10122748386978912</v>
      </c>
      <c r="M112" s="10">
        <f t="shared" si="11"/>
        <v>0.10334227280758403</v>
      </c>
      <c r="P112" s="8">
        <f t="shared" si="12"/>
        <v>-12.732440308531102</v>
      </c>
      <c r="X112" s="8">
        <v>-13</v>
      </c>
    </row>
    <row r="113" spans="1:24" x14ac:dyDescent="0.2">
      <c r="A113" s="8">
        <v>55.5</v>
      </c>
      <c r="B113" s="8">
        <v>111</v>
      </c>
      <c r="D113">
        <v>3611.6451612903002</v>
      </c>
      <c r="E113">
        <v>465.25124069479</v>
      </c>
      <c r="F113">
        <v>131.46125232486</v>
      </c>
      <c r="G113">
        <v>113.8877867328</v>
      </c>
      <c r="I113" s="9">
        <f t="shared" si="8"/>
        <v>351.36345396198999</v>
      </c>
      <c r="J113" s="9">
        <f t="shared" si="9"/>
        <v>3480.18390896544</v>
      </c>
      <c r="K113" s="9">
        <f t="shared" si="10"/>
        <v>351.36345396198999</v>
      </c>
      <c r="L113" s="10">
        <f t="shared" si="7"/>
        <v>0.10096117422324397</v>
      </c>
      <c r="M113" s="10">
        <f t="shared" si="11"/>
        <v>0.10309518851501882</v>
      </c>
      <c r="P113" s="8">
        <f t="shared" si="12"/>
        <v>-12.941091063584709</v>
      </c>
      <c r="X113" s="8">
        <v>-13</v>
      </c>
    </row>
    <row r="114" spans="1:24" x14ac:dyDescent="0.2">
      <c r="A114" s="8">
        <v>56</v>
      </c>
      <c r="B114" s="8">
        <v>112</v>
      </c>
      <c r="D114">
        <v>3504.575308642</v>
      </c>
      <c r="E114">
        <v>469.1</v>
      </c>
      <c r="F114">
        <v>131.65344079355</v>
      </c>
      <c r="G114">
        <v>113.9708617483</v>
      </c>
      <c r="I114" s="9">
        <f t="shared" si="8"/>
        <v>355.12913825170006</v>
      </c>
      <c r="J114" s="9">
        <f t="shared" si="9"/>
        <v>3372.9218678484499</v>
      </c>
      <c r="K114" s="9">
        <f t="shared" si="10"/>
        <v>355.12913825170006</v>
      </c>
      <c r="L114" s="10">
        <f t="shared" si="7"/>
        <v>0.10528827887680454</v>
      </c>
      <c r="M114" s="10">
        <f t="shared" si="11"/>
        <v>0.10744151852255936</v>
      </c>
      <c r="P114" s="8">
        <f t="shared" si="12"/>
        <v>-9.2708252268918816</v>
      </c>
      <c r="X114" s="8">
        <v>-13</v>
      </c>
    </row>
    <row r="115" spans="1:24" x14ac:dyDescent="0.2">
      <c r="A115" s="8">
        <v>56.5</v>
      </c>
      <c r="B115" s="8">
        <v>113</v>
      </c>
      <c r="D115">
        <v>3611.1681141438999</v>
      </c>
      <c r="E115">
        <v>474.97704714640003</v>
      </c>
      <c r="F115">
        <v>132.04215747054999</v>
      </c>
      <c r="G115">
        <v>113.88716676999</v>
      </c>
      <c r="I115" s="9">
        <f t="shared" si="8"/>
        <v>361.08988037641001</v>
      </c>
      <c r="J115" s="9">
        <f t="shared" si="9"/>
        <v>3479.1259566733497</v>
      </c>
      <c r="K115" s="9">
        <f t="shared" si="10"/>
        <v>361.08988037641001</v>
      </c>
      <c r="L115" s="10">
        <f t="shared" si="7"/>
        <v>0.10378752734829837</v>
      </c>
      <c r="M115" s="10">
        <f t="shared" si="11"/>
        <v>0.10595999234803313</v>
      </c>
      <c r="P115" s="8">
        <f t="shared" si="12"/>
        <v>-10.521902548470322</v>
      </c>
      <c r="X115" s="8">
        <v>-13</v>
      </c>
    </row>
    <row r="116" spans="1:24" x14ac:dyDescent="0.2">
      <c r="A116" s="8">
        <v>57</v>
      </c>
      <c r="B116" s="8">
        <v>114</v>
      </c>
      <c r="D116">
        <v>3507.9150124070002</v>
      </c>
      <c r="E116">
        <v>468.55583126550999</v>
      </c>
      <c r="F116">
        <v>131.44947303161999</v>
      </c>
      <c r="G116">
        <v>113.95784252945001</v>
      </c>
      <c r="I116" s="9">
        <f t="shared" si="8"/>
        <v>354.59798873605996</v>
      </c>
      <c r="J116" s="9">
        <f t="shared" si="9"/>
        <v>3376.4655393753801</v>
      </c>
      <c r="K116" s="9">
        <f t="shared" si="10"/>
        <v>354.59798873605996</v>
      </c>
      <c r="L116" s="10">
        <f t="shared" si="7"/>
        <v>0.10502046729067398</v>
      </c>
      <c r="M116" s="10">
        <f t="shared" si="11"/>
        <v>0.1072121576443887</v>
      </c>
      <c r="P116" s="8">
        <f t="shared" si="12"/>
        <v>-9.4645094142322694</v>
      </c>
      <c r="X116" s="8">
        <v>-13</v>
      </c>
    </row>
    <row r="117" spans="1:24" x14ac:dyDescent="0.2">
      <c r="A117" s="8">
        <v>57.5</v>
      </c>
      <c r="B117" s="8">
        <v>115</v>
      </c>
      <c r="D117">
        <v>3449.0669975186001</v>
      </c>
      <c r="E117">
        <v>466.87282878411997</v>
      </c>
      <c r="F117">
        <v>131.78673279603001</v>
      </c>
      <c r="G117">
        <v>113.84438933664001</v>
      </c>
      <c r="I117" s="9">
        <f t="shared" si="8"/>
        <v>353.02843944747997</v>
      </c>
      <c r="J117" s="9">
        <f t="shared" si="9"/>
        <v>3317.2802647225703</v>
      </c>
      <c r="K117" s="9">
        <f t="shared" si="10"/>
        <v>353.02843944747997</v>
      </c>
      <c r="L117" s="10">
        <f t="shared" si="7"/>
        <v>0.10642104714568165</v>
      </c>
      <c r="M117" s="10">
        <f t="shared" si="11"/>
        <v>0.10863196285337633</v>
      </c>
      <c r="P117" s="8">
        <f t="shared" si="12"/>
        <v>-8.265552467966101</v>
      </c>
      <c r="X117" s="8">
        <v>-13</v>
      </c>
    </row>
    <row r="118" spans="1:24" x14ac:dyDescent="0.2">
      <c r="A118" s="8">
        <v>58</v>
      </c>
      <c r="B118" s="8">
        <v>116</v>
      </c>
      <c r="D118">
        <v>3640.2191950463998</v>
      </c>
      <c r="E118">
        <v>477.63219814242001</v>
      </c>
      <c r="F118">
        <v>131.22814631122</v>
      </c>
      <c r="G118">
        <v>113.72783632981999</v>
      </c>
      <c r="I118" s="9">
        <f t="shared" si="8"/>
        <v>363.90436181260003</v>
      </c>
      <c r="J118" s="9">
        <f t="shared" si="9"/>
        <v>3508.9910487351799</v>
      </c>
      <c r="K118" s="9">
        <f t="shared" si="10"/>
        <v>363.90436181260003</v>
      </c>
      <c r="L118" s="10">
        <f t="shared" si="7"/>
        <v>0.10370626677539398</v>
      </c>
      <c r="M118" s="10">
        <f t="shared" si="11"/>
        <v>0.10593640783706861</v>
      </c>
      <c r="P118" s="8">
        <f t="shared" si="12"/>
        <v>-10.541818529244454</v>
      </c>
      <c r="X118" s="8">
        <v>-13</v>
      </c>
    </row>
    <row r="119" spans="1:24" x14ac:dyDescent="0.2">
      <c r="A119" s="8">
        <v>58.5</v>
      </c>
      <c r="B119" s="8">
        <v>117</v>
      </c>
      <c r="D119">
        <v>3685.9987616099002</v>
      </c>
      <c r="E119">
        <v>479.70278637771003</v>
      </c>
      <c r="F119">
        <v>132.12895226286</v>
      </c>
      <c r="G119">
        <v>113.81153130812</v>
      </c>
      <c r="I119" s="9">
        <f t="shared" si="8"/>
        <v>365.89125506959004</v>
      </c>
      <c r="J119" s="9">
        <f t="shared" si="9"/>
        <v>3553.8698093470402</v>
      </c>
      <c r="K119" s="9">
        <f t="shared" si="10"/>
        <v>365.89125506959004</v>
      </c>
      <c r="L119" s="10">
        <f t="shared" si="7"/>
        <v>0.10295572845894881</v>
      </c>
      <c r="M119" s="10">
        <f t="shared" si="11"/>
        <v>0.10520509487460339</v>
      </c>
      <c r="P119" s="8">
        <f t="shared" si="12"/>
        <v>-11.159377015924019</v>
      </c>
      <c r="X119" s="8">
        <v>-13</v>
      </c>
    </row>
    <row r="120" spans="1:24" x14ac:dyDescent="0.2">
      <c r="A120" s="8">
        <v>59</v>
      </c>
      <c r="B120" s="8">
        <v>118</v>
      </c>
      <c r="D120">
        <v>3712.0334365325002</v>
      </c>
      <c r="E120">
        <v>481.19133126934997</v>
      </c>
      <c r="F120">
        <v>131.36949783013</v>
      </c>
      <c r="G120">
        <v>113.4159950403</v>
      </c>
      <c r="I120" s="9">
        <f t="shared" si="8"/>
        <v>367.77533622904997</v>
      </c>
      <c r="J120" s="9">
        <f t="shared" si="9"/>
        <v>3580.6639387023702</v>
      </c>
      <c r="K120" s="9">
        <f t="shared" si="10"/>
        <v>367.77533622904997</v>
      </c>
      <c r="L120" s="10">
        <f t="shared" si="7"/>
        <v>0.10271149220508291</v>
      </c>
      <c r="M120" s="10">
        <f t="shared" si="11"/>
        <v>0.10498008397471745</v>
      </c>
      <c r="P120" s="8">
        <f t="shared" si="12"/>
        <v>-11.349387856633788</v>
      </c>
      <c r="X120" s="8">
        <v>-13</v>
      </c>
    </row>
    <row r="121" spans="1:24" x14ac:dyDescent="0.2">
      <c r="A121" s="8">
        <v>59.5</v>
      </c>
      <c r="B121" s="8">
        <v>119</v>
      </c>
      <c r="D121">
        <v>3706.0482972136001</v>
      </c>
      <c r="E121">
        <v>481.36408668731002</v>
      </c>
      <c r="F121">
        <v>131.80719156851001</v>
      </c>
      <c r="G121">
        <v>113.76131432114001</v>
      </c>
      <c r="I121" s="9">
        <f t="shared" si="8"/>
        <v>367.60277236617003</v>
      </c>
      <c r="J121" s="9">
        <f t="shared" si="9"/>
        <v>3574.2411056450901</v>
      </c>
      <c r="K121" s="9">
        <f t="shared" si="10"/>
        <v>367.60277236617003</v>
      </c>
      <c r="L121" s="10">
        <f t="shared" si="7"/>
        <v>0.10284778264834597</v>
      </c>
      <c r="M121" s="10">
        <f t="shared" si="11"/>
        <v>0.10513559977196046</v>
      </c>
      <c r="P121" s="8">
        <f t="shared" si="12"/>
        <v>-11.218062274660761</v>
      </c>
      <c r="X121" s="8">
        <v>-13</v>
      </c>
    </row>
    <row r="122" spans="1:24" x14ac:dyDescent="0.2">
      <c r="A122" s="8">
        <v>60</v>
      </c>
      <c r="B122" s="8">
        <v>120</v>
      </c>
      <c r="D122">
        <v>3708.7993808050001</v>
      </c>
      <c r="E122">
        <v>480.15665634675003</v>
      </c>
      <c r="F122">
        <v>131.95226286422999</v>
      </c>
      <c r="G122">
        <v>113.89584624923</v>
      </c>
      <c r="I122" s="9">
        <f t="shared" si="8"/>
        <v>366.26081009751999</v>
      </c>
      <c r="J122" s="9">
        <f t="shared" si="9"/>
        <v>3576.8471179407702</v>
      </c>
      <c r="K122" s="9">
        <f t="shared" si="10"/>
        <v>366.26081009751999</v>
      </c>
      <c r="L122" s="10">
        <f t="shared" si="7"/>
        <v>0.10239766979707546</v>
      </c>
      <c r="M122" s="10">
        <f t="shared" si="11"/>
        <v>0.1047047122746699</v>
      </c>
      <c r="P122" s="8">
        <f t="shared" si="12"/>
        <v>-11.581925961499978</v>
      </c>
      <c r="X122" s="8">
        <v>-13</v>
      </c>
    </row>
    <row r="123" spans="1:24" x14ac:dyDescent="0.2">
      <c r="A123" s="8">
        <v>60.5</v>
      </c>
      <c r="B123" s="8">
        <v>121</v>
      </c>
      <c r="D123">
        <v>3707.0315789473998</v>
      </c>
      <c r="E123">
        <v>482.34303405573002</v>
      </c>
      <c r="F123">
        <v>131.51642901426001</v>
      </c>
      <c r="G123">
        <v>114.23062616243</v>
      </c>
      <c r="I123" s="9">
        <f t="shared" si="8"/>
        <v>368.11240789330003</v>
      </c>
      <c r="J123" s="9">
        <f t="shared" si="9"/>
        <v>3575.5151499331396</v>
      </c>
      <c r="K123" s="9">
        <f t="shared" si="10"/>
        <v>368.11240789330003</v>
      </c>
      <c r="L123" s="10">
        <f t="shared" si="7"/>
        <v>0.10295367029844177</v>
      </c>
      <c r="M123" s="10">
        <f t="shared" si="11"/>
        <v>0.10527993813001617</v>
      </c>
      <c r="P123" s="8">
        <f t="shared" si="12"/>
        <v>-11.096175500399005</v>
      </c>
      <c r="X123" s="8">
        <v>-13</v>
      </c>
    </row>
    <row r="124" spans="1:24" x14ac:dyDescent="0.2">
      <c r="A124" s="8">
        <v>61</v>
      </c>
      <c r="B124" s="8">
        <v>122</v>
      </c>
      <c r="D124">
        <v>3721.1814241485999</v>
      </c>
      <c r="E124">
        <v>482.42043343653</v>
      </c>
      <c r="F124">
        <v>132.19342839430001</v>
      </c>
      <c r="G124">
        <v>113.81835089895</v>
      </c>
      <c r="I124" s="9">
        <f t="shared" si="8"/>
        <v>368.60208253758003</v>
      </c>
      <c r="J124" s="9">
        <f t="shared" si="9"/>
        <v>3588.9879957542998</v>
      </c>
      <c r="K124" s="9">
        <f t="shared" si="10"/>
        <v>368.60208253758003</v>
      </c>
      <c r="L124" s="10">
        <f t="shared" si="7"/>
        <v>0.10270362647454626</v>
      </c>
      <c r="M124" s="10">
        <f t="shared" si="11"/>
        <v>0.10504911966010061</v>
      </c>
      <c r="P124" s="8">
        <f t="shared" si="12"/>
        <v>-11.291090553590784</v>
      </c>
      <c r="X124" s="8">
        <v>-13</v>
      </c>
    </row>
    <row r="125" spans="1:24" x14ac:dyDescent="0.2">
      <c r="A125" s="8">
        <v>61.5</v>
      </c>
      <c r="B125" s="8">
        <v>123</v>
      </c>
      <c r="D125">
        <v>3718.9647058823998</v>
      </c>
      <c r="E125">
        <v>482.80804953559999</v>
      </c>
      <c r="F125">
        <v>131.72411655300999</v>
      </c>
      <c r="G125">
        <v>113.8059516429</v>
      </c>
      <c r="I125" s="9">
        <f t="shared" si="8"/>
        <v>369.00209789270002</v>
      </c>
      <c r="J125" s="9">
        <f t="shared" si="9"/>
        <v>3587.2405893293899</v>
      </c>
      <c r="K125" s="9">
        <f t="shared" si="10"/>
        <v>369.00209789270002</v>
      </c>
      <c r="L125" s="10">
        <f t="shared" si="7"/>
        <v>0.1028651657740309</v>
      </c>
      <c r="M125" s="10">
        <f t="shared" si="11"/>
        <v>0.10522988431356521</v>
      </c>
      <c r="P125" s="8">
        <f t="shared" si="12"/>
        <v>-11.138443531633936</v>
      </c>
      <c r="X125" s="8">
        <v>-13</v>
      </c>
    </row>
    <row r="126" spans="1:24" x14ac:dyDescent="0.2">
      <c r="A126" s="8">
        <v>62</v>
      </c>
      <c r="B126" s="8">
        <v>124</v>
      </c>
      <c r="D126">
        <v>3714.4637770897998</v>
      </c>
      <c r="E126">
        <v>483.37770897833002</v>
      </c>
      <c r="F126">
        <v>131.85864848109</v>
      </c>
      <c r="G126">
        <v>113.93614383137</v>
      </c>
      <c r="I126" s="9">
        <f t="shared" si="8"/>
        <v>369.44156514695999</v>
      </c>
      <c r="J126" s="9">
        <f t="shared" si="9"/>
        <v>3582.6051286087099</v>
      </c>
      <c r="K126" s="9">
        <f t="shared" si="10"/>
        <v>369.44156514695999</v>
      </c>
      <c r="L126" s="10">
        <f t="shared" si="7"/>
        <v>0.10312092789596132</v>
      </c>
      <c r="M126" s="10">
        <f t="shared" si="11"/>
        <v>0.10550487178947558</v>
      </c>
      <c r="P126" s="8">
        <f t="shared" si="12"/>
        <v>-10.906229885500023</v>
      </c>
      <c r="X126" s="8">
        <v>-13</v>
      </c>
    </row>
    <row r="127" spans="1:24" x14ac:dyDescent="0.2">
      <c r="A127" s="8">
        <v>62.5</v>
      </c>
      <c r="B127" s="8">
        <v>125</v>
      </c>
      <c r="D127">
        <v>3674.8984520124</v>
      </c>
      <c r="E127">
        <v>483.3919504644</v>
      </c>
      <c r="F127">
        <v>131.75139491631001</v>
      </c>
      <c r="G127">
        <v>114.09423434594</v>
      </c>
      <c r="I127" s="9">
        <f t="shared" si="8"/>
        <v>369.29771611846002</v>
      </c>
      <c r="J127" s="9">
        <f t="shared" si="9"/>
        <v>3543.1470570960901</v>
      </c>
      <c r="K127" s="9">
        <f t="shared" si="10"/>
        <v>369.29771611846002</v>
      </c>
      <c r="L127" s="10">
        <f t="shared" si="7"/>
        <v>0.10422872947902165</v>
      </c>
      <c r="M127" s="10">
        <f t="shared" si="11"/>
        <v>0.10663189872651586</v>
      </c>
      <c r="P127" s="8">
        <f t="shared" si="12"/>
        <v>-9.9545100536246185</v>
      </c>
      <c r="X127" s="8">
        <v>-13</v>
      </c>
    </row>
    <row r="128" spans="1:24" x14ac:dyDescent="0.2">
      <c r="A128" s="8">
        <v>63</v>
      </c>
      <c r="B128" s="8">
        <v>126</v>
      </c>
      <c r="D128">
        <v>3672.7201238389998</v>
      </c>
      <c r="E128">
        <v>484.86130030959998</v>
      </c>
      <c r="F128">
        <v>131.77681339119999</v>
      </c>
      <c r="G128">
        <v>113.85430874148</v>
      </c>
      <c r="I128" s="9">
        <f t="shared" si="8"/>
        <v>371.00699156811999</v>
      </c>
      <c r="J128" s="9">
        <f t="shared" si="9"/>
        <v>3540.9433104477998</v>
      </c>
      <c r="K128" s="9">
        <f t="shared" si="10"/>
        <v>371.00699156811999</v>
      </c>
      <c r="L128" s="10">
        <f t="shared" si="7"/>
        <v>0.10477631496483945</v>
      </c>
      <c r="M128" s="10">
        <f t="shared" si="11"/>
        <v>0.10719870956631362</v>
      </c>
      <c r="P128" s="8">
        <f t="shared" si="12"/>
        <v>-9.4758656668505683</v>
      </c>
      <c r="X128" s="8">
        <v>-13</v>
      </c>
    </row>
    <row r="129" spans="1:24" x14ac:dyDescent="0.2">
      <c r="A129" s="8">
        <v>63.5</v>
      </c>
      <c r="B129" s="8">
        <v>127</v>
      </c>
      <c r="D129">
        <v>3649.2204334365001</v>
      </c>
      <c r="E129">
        <v>483.83343653251001</v>
      </c>
      <c r="F129">
        <v>131.92002479851001</v>
      </c>
      <c r="G129">
        <v>114.01115933043999</v>
      </c>
      <c r="I129" s="9">
        <f t="shared" si="8"/>
        <v>369.82227720207004</v>
      </c>
      <c r="J129" s="9">
        <f t="shared" si="9"/>
        <v>3517.3004086379901</v>
      </c>
      <c r="K129" s="9">
        <f t="shared" si="10"/>
        <v>369.82227720207004</v>
      </c>
      <c r="L129" s="10">
        <f t="shared" si="7"/>
        <v>0.1051437847884244</v>
      </c>
      <c r="M129" s="10">
        <f t="shared" si="11"/>
        <v>0.10758540474387852</v>
      </c>
      <c r="P129" s="8">
        <f t="shared" si="12"/>
        <v>-9.1493202602735266</v>
      </c>
      <c r="X129" s="8">
        <v>-13</v>
      </c>
    </row>
    <row r="130" spans="1:24" x14ac:dyDescent="0.2">
      <c r="A130" s="8">
        <v>64</v>
      </c>
      <c r="B130" s="8">
        <v>128</v>
      </c>
      <c r="D130">
        <v>3628.0650154799</v>
      </c>
      <c r="E130">
        <v>481.95727554180002</v>
      </c>
      <c r="F130">
        <v>131.81091134531999</v>
      </c>
      <c r="G130">
        <v>113.57718536888</v>
      </c>
      <c r="I130" s="9">
        <f t="shared" si="8"/>
        <v>368.38009017292001</v>
      </c>
      <c r="J130" s="9">
        <f t="shared" si="9"/>
        <v>3496.2541041345798</v>
      </c>
      <c r="K130" s="9">
        <f t="shared" si="10"/>
        <v>368.38009017292001</v>
      </c>
      <c r="L130" s="10">
        <f t="shared" ref="L130:L193" si="14">K130/J130</f>
        <v>0.10536422102080144</v>
      </c>
      <c r="M130" s="10">
        <f t="shared" si="11"/>
        <v>0.10782506633023552</v>
      </c>
      <c r="P130" s="8">
        <f t="shared" si="12"/>
        <v>-8.9469376222208226</v>
      </c>
      <c r="X130" s="8">
        <v>-13</v>
      </c>
    </row>
    <row r="131" spans="1:24" x14ac:dyDescent="0.2">
      <c r="A131" s="8">
        <v>64.5</v>
      </c>
      <c r="B131" s="8">
        <v>129</v>
      </c>
      <c r="D131">
        <v>3639.2179566564</v>
      </c>
      <c r="E131">
        <v>485.29783281734001</v>
      </c>
      <c r="F131">
        <v>131.88220706758</v>
      </c>
      <c r="G131">
        <v>113.88468691879</v>
      </c>
      <c r="I131" s="9">
        <f t="shared" ref="I131:I194" si="15">E131-G131</f>
        <v>371.41314589855</v>
      </c>
      <c r="J131" s="9">
        <f t="shared" ref="J131:J194" si="16">D131-F131</f>
        <v>3507.3357495888199</v>
      </c>
      <c r="K131" s="9">
        <f t="shared" ref="K131:K194" si="17">I131*1</f>
        <v>371.41314589855</v>
      </c>
      <c r="L131" s="10">
        <f t="shared" si="14"/>
        <v>0.10589609105489611</v>
      </c>
      <c r="M131" s="10">
        <f t="shared" ref="M131:M181" si="18">L131+ABS($N$2)*A131</f>
        <v>0.10837616171831015</v>
      </c>
      <c r="P131" s="8">
        <f t="shared" ref="P131:P194" si="19">(M131-$O$2)/$O$2*100</f>
        <v>-8.4815641756348246</v>
      </c>
      <c r="X131" s="8">
        <v>-13</v>
      </c>
    </row>
    <row r="132" spans="1:24" x14ac:dyDescent="0.2">
      <c r="A132" s="8">
        <v>65</v>
      </c>
      <c r="B132" s="8">
        <v>130</v>
      </c>
      <c r="D132">
        <v>3649.6922600619</v>
      </c>
      <c r="E132">
        <v>485.64396284830002</v>
      </c>
      <c r="F132">
        <v>131.70923744575001</v>
      </c>
      <c r="G132">
        <v>113.78735275883</v>
      </c>
      <c r="I132" s="9">
        <f t="shared" si="15"/>
        <v>371.85661008947</v>
      </c>
      <c r="J132" s="9">
        <f t="shared" si="16"/>
        <v>3517.9830226161498</v>
      </c>
      <c r="K132" s="9">
        <f t="shared" si="17"/>
        <v>371.85661008947</v>
      </c>
      <c r="L132" s="10">
        <f t="shared" si="14"/>
        <v>0.10570164997923687</v>
      </c>
      <c r="M132" s="10">
        <f t="shared" si="18"/>
        <v>0.10820094599663085</v>
      </c>
      <c r="P132" s="8">
        <f t="shared" si="19"/>
        <v>-8.6295253926191027</v>
      </c>
      <c r="X132" s="8">
        <v>-13</v>
      </c>
    </row>
    <row r="133" spans="1:24" x14ac:dyDescent="0.2">
      <c r="A133" s="8">
        <v>65.5</v>
      </c>
      <c r="B133" s="8">
        <v>131</v>
      </c>
      <c r="D133">
        <v>3644.9126934985002</v>
      </c>
      <c r="E133">
        <v>488.51950464395998</v>
      </c>
      <c r="F133">
        <v>131.87786732795999</v>
      </c>
      <c r="G133">
        <v>114.1122132672</v>
      </c>
      <c r="I133" s="9">
        <f t="shared" si="15"/>
        <v>374.40729137675999</v>
      </c>
      <c r="J133" s="9">
        <f t="shared" si="16"/>
        <v>3513.0348261705403</v>
      </c>
      <c r="K133" s="9">
        <f t="shared" si="17"/>
        <v>374.40729137675999</v>
      </c>
      <c r="L133" s="10">
        <f t="shared" si="14"/>
        <v>0.10657659542330548</v>
      </c>
      <c r="M133" s="10">
        <f t="shared" si="18"/>
        <v>0.10909511679467943</v>
      </c>
      <c r="P133" s="8">
        <f t="shared" si="19"/>
        <v>-7.8744413270851243</v>
      </c>
      <c r="X133" s="8">
        <v>-13</v>
      </c>
    </row>
    <row r="134" spans="1:24" x14ac:dyDescent="0.2">
      <c r="A134" s="8">
        <v>66</v>
      </c>
      <c r="B134" s="8">
        <v>132</v>
      </c>
      <c r="D134">
        <v>3677.9015479876002</v>
      </c>
      <c r="E134">
        <v>489.29721362228997</v>
      </c>
      <c r="F134">
        <v>131.89088654681001</v>
      </c>
      <c r="G134">
        <v>113.92684438934</v>
      </c>
      <c r="I134" s="9">
        <f t="shared" si="15"/>
        <v>375.37036923295</v>
      </c>
      <c r="J134" s="9">
        <f t="shared" si="16"/>
        <v>3546.01066144079</v>
      </c>
      <c r="K134" s="9">
        <f t="shared" si="17"/>
        <v>375.37036923295</v>
      </c>
      <c r="L134" s="10">
        <f t="shared" si="14"/>
        <v>0.10585708986008298</v>
      </c>
      <c r="M134" s="10">
        <f t="shared" si="18"/>
        <v>0.10839483658543686</v>
      </c>
      <c r="P134" s="8">
        <f t="shared" si="19"/>
        <v>-8.4657941520284616</v>
      </c>
      <c r="X134" s="8">
        <v>-13</v>
      </c>
    </row>
    <row r="135" spans="1:24" x14ac:dyDescent="0.2">
      <c r="A135" s="8">
        <v>66.5</v>
      </c>
      <c r="B135" s="8">
        <v>133</v>
      </c>
      <c r="D135">
        <v>3694.8829721361999</v>
      </c>
      <c r="E135">
        <v>484.38204334365003</v>
      </c>
      <c r="F135">
        <v>131.76131432113999</v>
      </c>
      <c r="G135">
        <v>114.09237445753</v>
      </c>
      <c r="I135" s="9">
        <f t="shared" si="15"/>
        <v>370.28966888612001</v>
      </c>
      <c r="J135" s="9">
        <f t="shared" si="16"/>
        <v>3563.1216578150597</v>
      </c>
      <c r="K135" s="9">
        <f t="shared" si="17"/>
        <v>370.28966888612001</v>
      </c>
      <c r="L135" s="10">
        <f t="shared" si="14"/>
        <v>0.1039228251086956</v>
      </c>
      <c r="M135" s="10">
        <f t="shared" si="18"/>
        <v>0.10647979718802944</v>
      </c>
      <c r="P135" s="8">
        <f t="shared" si="19"/>
        <v>-10.082952458929006</v>
      </c>
      <c r="X135" s="8">
        <v>-13</v>
      </c>
    </row>
    <row r="136" spans="1:24" x14ac:dyDescent="0.2">
      <c r="A136" s="8">
        <v>67</v>
      </c>
      <c r="B136" s="8">
        <v>134</v>
      </c>
      <c r="D136">
        <v>3308.0540372670998</v>
      </c>
      <c r="E136">
        <v>458.24534161490999</v>
      </c>
      <c r="F136">
        <v>131.97830130192</v>
      </c>
      <c r="G136">
        <v>113.82517048977</v>
      </c>
      <c r="I136" s="9">
        <f t="shared" si="15"/>
        <v>344.42017112513997</v>
      </c>
      <c r="J136" s="9">
        <f t="shared" si="16"/>
        <v>3176.0757359651798</v>
      </c>
      <c r="K136" s="9">
        <f t="shared" si="17"/>
        <v>344.42017112513997</v>
      </c>
      <c r="L136" s="10">
        <f t="shared" si="14"/>
        <v>0.10844205231789723</v>
      </c>
      <c r="M136" s="10">
        <f t="shared" si="18"/>
        <v>0.11101824975121102</v>
      </c>
      <c r="P136" s="8">
        <f t="shared" si="19"/>
        <v>-6.2504484002870608</v>
      </c>
      <c r="X136" s="8">
        <v>-13</v>
      </c>
    </row>
    <row r="137" spans="1:24" x14ac:dyDescent="0.2">
      <c r="A137" s="8">
        <v>67.5</v>
      </c>
      <c r="B137" s="8">
        <v>135</v>
      </c>
      <c r="D137">
        <v>3381.0018633539999</v>
      </c>
      <c r="E137">
        <v>461.99565217391</v>
      </c>
      <c r="F137">
        <v>132.43025418475</v>
      </c>
      <c r="G137">
        <v>114.08121512709</v>
      </c>
      <c r="I137" s="9">
        <f t="shared" si="15"/>
        <v>347.91443704682001</v>
      </c>
      <c r="J137" s="9">
        <f t="shared" si="16"/>
        <v>3248.5716091692498</v>
      </c>
      <c r="K137" s="9">
        <f t="shared" si="17"/>
        <v>347.91443704682001</v>
      </c>
      <c r="L137" s="10">
        <f t="shared" si="14"/>
        <v>0.10709766596026843</v>
      </c>
      <c r="M137" s="10">
        <f t="shared" si="18"/>
        <v>0.10969308874756217</v>
      </c>
      <c r="P137" s="8">
        <f t="shared" si="19"/>
        <v>-7.3694828848687273</v>
      </c>
      <c r="X137" s="8">
        <v>-13</v>
      </c>
    </row>
    <row r="138" spans="1:24" x14ac:dyDescent="0.2">
      <c r="A138" s="8">
        <v>68</v>
      </c>
      <c r="B138" s="8">
        <v>136</v>
      </c>
      <c r="D138">
        <v>3418.2633540372999</v>
      </c>
      <c r="E138">
        <v>465.19316770185998</v>
      </c>
      <c r="F138">
        <v>132.20272783633001</v>
      </c>
      <c r="G138">
        <v>114.24054556727</v>
      </c>
      <c r="I138" s="9">
        <f t="shared" si="15"/>
        <v>350.95262213459</v>
      </c>
      <c r="J138" s="9">
        <f t="shared" si="16"/>
        <v>3286.0606262009701</v>
      </c>
      <c r="K138" s="9">
        <f t="shared" si="17"/>
        <v>350.95262213459</v>
      </c>
      <c r="L138" s="10">
        <f t="shared" si="14"/>
        <v>0.10680040999131776</v>
      </c>
      <c r="M138" s="10">
        <f t="shared" si="18"/>
        <v>0.10941505813259146</v>
      </c>
      <c r="P138" s="8">
        <f t="shared" si="19"/>
        <v>-7.6042663150066403</v>
      </c>
      <c r="X138" s="8">
        <v>-13</v>
      </c>
    </row>
    <row r="139" spans="1:24" x14ac:dyDescent="0.2">
      <c r="A139" s="8">
        <v>68.5</v>
      </c>
      <c r="B139" s="8">
        <v>137</v>
      </c>
      <c r="D139">
        <v>3430.2341614907</v>
      </c>
      <c r="E139">
        <v>467.97329192546999</v>
      </c>
      <c r="F139">
        <v>132.51952882827001</v>
      </c>
      <c r="G139">
        <v>114.26100433974</v>
      </c>
      <c r="I139" s="9">
        <f t="shared" si="15"/>
        <v>353.71228758573</v>
      </c>
      <c r="J139" s="9">
        <f t="shared" si="16"/>
        <v>3297.7146326624302</v>
      </c>
      <c r="K139" s="9">
        <f t="shared" si="17"/>
        <v>353.71228758573</v>
      </c>
      <c r="L139" s="10">
        <f t="shared" si="14"/>
        <v>0.10725982293384743</v>
      </c>
      <c r="M139" s="10">
        <f t="shared" si="18"/>
        <v>0.10989369642910109</v>
      </c>
      <c r="P139" s="8">
        <f t="shared" si="19"/>
        <v>-7.2000793837878083</v>
      </c>
      <c r="X139" s="8">
        <v>-13</v>
      </c>
    </row>
    <row r="140" spans="1:24" x14ac:dyDescent="0.2">
      <c r="A140" s="8">
        <v>69</v>
      </c>
      <c r="B140" s="8">
        <v>138</v>
      </c>
      <c r="D140">
        <v>3393.0335403726999</v>
      </c>
      <c r="E140">
        <v>467.97267080745002</v>
      </c>
      <c r="F140">
        <v>132.17854928704</v>
      </c>
      <c r="G140">
        <v>114.07315561066</v>
      </c>
      <c r="I140" s="9">
        <f t="shared" si="15"/>
        <v>353.89951519679005</v>
      </c>
      <c r="J140" s="9">
        <f t="shared" si="16"/>
        <v>3260.85499108566</v>
      </c>
      <c r="K140" s="9">
        <f t="shared" si="17"/>
        <v>353.89951519679005</v>
      </c>
      <c r="L140" s="10">
        <f t="shared" si="14"/>
        <v>0.10852966972289796</v>
      </c>
      <c r="M140" s="10">
        <f t="shared" si="18"/>
        <v>0.11118276857213157</v>
      </c>
      <c r="P140" s="8">
        <f t="shared" si="19"/>
        <v>-6.1115201995130608</v>
      </c>
      <c r="X140" s="8">
        <v>-13</v>
      </c>
    </row>
    <row r="141" spans="1:24" x14ac:dyDescent="0.2">
      <c r="A141" s="8">
        <v>69.5</v>
      </c>
      <c r="B141" s="8">
        <v>139</v>
      </c>
      <c r="D141">
        <v>3423.6080745342001</v>
      </c>
      <c r="E141">
        <v>468.67142857143</v>
      </c>
      <c r="F141">
        <v>131.93490390577</v>
      </c>
      <c r="G141">
        <v>113.84190948542999</v>
      </c>
      <c r="I141" s="9">
        <f t="shared" si="15"/>
        <v>354.829519086</v>
      </c>
      <c r="J141" s="9">
        <f t="shared" si="16"/>
        <v>3291.6731706284299</v>
      </c>
      <c r="K141" s="9">
        <f t="shared" si="17"/>
        <v>354.829519086</v>
      </c>
      <c r="L141" s="10">
        <f t="shared" si="14"/>
        <v>0.1077960966028282</v>
      </c>
      <c r="M141" s="10">
        <f t="shared" si="18"/>
        <v>0.11046842080604176</v>
      </c>
      <c r="P141" s="8">
        <f t="shared" si="19"/>
        <v>-6.7147523969873824</v>
      </c>
      <c r="X141" s="8">
        <v>-13</v>
      </c>
    </row>
    <row r="142" spans="1:24" x14ac:dyDescent="0.2">
      <c r="A142" s="8">
        <v>70</v>
      </c>
      <c r="B142" s="8">
        <v>140</v>
      </c>
      <c r="D142">
        <v>3373.9670807452999</v>
      </c>
      <c r="E142">
        <v>468.00869565216999</v>
      </c>
      <c r="F142">
        <v>132.21450712956999</v>
      </c>
      <c r="G142">
        <v>113.92746435214001</v>
      </c>
      <c r="I142" s="9">
        <f t="shared" si="15"/>
        <v>354.08123130002997</v>
      </c>
      <c r="J142" s="9">
        <f t="shared" si="16"/>
        <v>3241.7525736157299</v>
      </c>
      <c r="K142" s="9">
        <f t="shared" si="17"/>
        <v>354.08123130002997</v>
      </c>
      <c r="L142" s="10">
        <f t="shared" si="14"/>
        <v>0.10922524876878588</v>
      </c>
      <c r="M142" s="10">
        <f t="shared" si="18"/>
        <v>0.11191679832597939</v>
      </c>
      <c r="P142" s="8">
        <f t="shared" si="19"/>
        <v>-5.4916675136862336</v>
      </c>
      <c r="X142" s="8">
        <v>-13</v>
      </c>
    </row>
    <row r="143" spans="1:24" x14ac:dyDescent="0.2">
      <c r="A143" s="8">
        <v>70.5</v>
      </c>
      <c r="B143" s="8">
        <v>141</v>
      </c>
      <c r="D143">
        <v>3525.2403726707998</v>
      </c>
      <c r="E143">
        <v>484.91552795030998</v>
      </c>
      <c r="F143">
        <v>132.11283323001001</v>
      </c>
      <c r="G143">
        <v>114.09919404836</v>
      </c>
      <c r="I143" s="9">
        <f t="shared" si="15"/>
        <v>370.81633390194997</v>
      </c>
      <c r="J143" s="9">
        <f t="shared" si="16"/>
        <v>3393.1275394407899</v>
      </c>
      <c r="K143" s="9">
        <f t="shared" si="17"/>
        <v>370.81633390194997</v>
      </c>
      <c r="L143" s="10">
        <f t="shared" si="14"/>
        <v>0.10928452573376095</v>
      </c>
      <c r="M143" s="10">
        <f t="shared" si="18"/>
        <v>0.11199530064493442</v>
      </c>
      <c r="P143" s="8">
        <f t="shared" si="19"/>
        <v>-5.4253760956710551</v>
      </c>
      <c r="X143" s="8">
        <v>-13</v>
      </c>
    </row>
    <row r="144" spans="1:24" x14ac:dyDescent="0.2">
      <c r="A144" s="8">
        <v>71</v>
      </c>
      <c r="B144" s="8">
        <v>142</v>
      </c>
      <c r="D144">
        <v>3474.1633540373</v>
      </c>
      <c r="E144">
        <v>481.27826086956998</v>
      </c>
      <c r="F144">
        <v>132.22318660880001</v>
      </c>
      <c r="G144">
        <v>113.92870427774</v>
      </c>
      <c r="I144" s="9">
        <f t="shared" si="15"/>
        <v>367.34955659182998</v>
      </c>
      <c r="J144" s="9">
        <f t="shared" si="16"/>
        <v>3341.9401674285</v>
      </c>
      <c r="K144" s="9">
        <f t="shared" si="17"/>
        <v>367.34955659182998</v>
      </c>
      <c r="L144" s="10">
        <f t="shared" si="14"/>
        <v>0.10992104531736484</v>
      </c>
      <c r="M144" s="10">
        <f t="shared" si="18"/>
        <v>0.11265104558251826</v>
      </c>
      <c r="P144" s="8">
        <f t="shared" si="19"/>
        <v>-4.8716311573385491</v>
      </c>
    </row>
    <row r="145" spans="1:16" x14ac:dyDescent="0.2">
      <c r="A145" s="8">
        <v>71.5</v>
      </c>
      <c r="B145" s="8">
        <v>143</v>
      </c>
      <c r="D145">
        <v>3528.0391304348</v>
      </c>
      <c r="E145">
        <v>486.07453416149002</v>
      </c>
      <c r="F145">
        <v>131.42219466832</v>
      </c>
      <c r="G145">
        <v>113.75945443273</v>
      </c>
      <c r="I145" s="9">
        <f t="shared" si="15"/>
        <v>372.31507972876</v>
      </c>
      <c r="J145" s="9">
        <f t="shared" si="16"/>
        <v>3396.6169357664799</v>
      </c>
      <c r="K145" s="9">
        <f t="shared" si="17"/>
        <v>372.31507972876</v>
      </c>
      <c r="L145" s="10">
        <f t="shared" si="14"/>
        <v>0.10961350272038947</v>
      </c>
      <c r="M145" s="10">
        <f t="shared" si="18"/>
        <v>0.11236272833952285</v>
      </c>
      <c r="P145" s="8">
        <f t="shared" si="19"/>
        <v>-5.1151011481721094</v>
      </c>
    </row>
    <row r="146" spans="1:16" x14ac:dyDescent="0.2">
      <c r="A146" s="8">
        <v>72</v>
      </c>
      <c r="B146" s="8">
        <v>144</v>
      </c>
      <c r="D146">
        <v>3555.5180124223998</v>
      </c>
      <c r="E146">
        <v>490.15341614906998</v>
      </c>
      <c r="F146">
        <v>132.09733415995001</v>
      </c>
      <c r="G146">
        <v>113.98450092994</v>
      </c>
      <c r="I146" s="9">
        <f t="shared" si="15"/>
        <v>376.16891521912999</v>
      </c>
      <c r="J146" s="9">
        <f t="shared" si="16"/>
        <v>3423.4206782624497</v>
      </c>
      <c r="K146" s="9">
        <f t="shared" si="17"/>
        <v>376.16891521912999</v>
      </c>
      <c r="L146" s="10">
        <f t="shared" si="14"/>
        <v>0.10988100808284355</v>
      </c>
      <c r="M146" s="10">
        <f t="shared" si="18"/>
        <v>0.11264945905595689</v>
      </c>
      <c r="P146" s="8">
        <f t="shared" si="19"/>
        <v>-4.8729709024170687</v>
      </c>
    </row>
    <row r="147" spans="1:16" x14ac:dyDescent="0.2">
      <c r="A147" s="8">
        <v>72.5</v>
      </c>
      <c r="B147" s="8">
        <v>145</v>
      </c>
      <c r="D147">
        <v>3515.6018633540002</v>
      </c>
      <c r="E147">
        <v>488.52857142856999</v>
      </c>
      <c r="F147">
        <v>131.91692498450001</v>
      </c>
      <c r="G147">
        <v>114.08679479231</v>
      </c>
      <c r="I147" s="9">
        <f t="shared" si="15"/>
        <v>374.44177663625999</v>
      </c>
      <c r="J147" s="9">
        <f t="shared" si="16"/>
        <v>3383.6849383695003</v>
      </c>
      <c r="K147" s="9">
        <f t="shared" si="17"/>
        <v>374.44177663625999</v>
      </c>
      <c r="L147" s="10">
        <f t="shared" si="14"/>
        <v>0.11066094611535926</v>
      </c>
      <c r="M147" s="10">
        <f t="shared" si="18"/>
        <v>0.11344862244245255</v>
      </c>
      <c r="P147" s="8">
        <f t="shared" si="19"/>
        <v>-4.1981160086786717</v>
      </c>
    </row>
    <row r="148" spans="1:16" x14ac:dyDescent="0.2">
      <c r="A148" s="8">
        <v>73</v>
      </c>
      <c r="B148" s="8">
        <v>146</v>
      </c>
      <c r="D148">
        <v>3450.3142857142998</v>
      </c>
      <c r="E148">
        <v>484.90931677019</v>
      </c>
      <c r="F148">
        <v>131.86980781152999</v>
      </c>
      <c r="G148">
        <v>113.77371357718999</v>
      </c>
      <c r="I148" s="9">
        <f t="shared" si="15"/>
        <v>371.13560319300001</v>
      </c>
      <c r="J148" s="9">
        <f t="shared" si="16"/>
        <v>3318.4444779027699</v>
      </c>
      <c r="K148" s="9">
        <f t="shared" si="17"/>
        <v>371.13560319300001</v>
      </c>
      <c r="L148" s="10">
        <f t="shared" si="14"/>
        <v>0.11184023287548107</v>
      </c>
      <c r="M148" s="10">
        <f t="shared" si="18"/>
        <v>0.11464713455655431</v>
      </c>
      <c r="P148" s="8">
        <f t="shared" si="19"/>
        <v>-3.1860303963071877</v>
      </c>
    </row>
    <row r="149" spans="1:16" x14ac:dyDescent="0.2">
      <c r="A149" s="8">
        <v>73.5</v>
      </c>
      <c r="B149" s="8">
        <v>147</v>
      </c>
      <c r="D149">
        <v>3564.5714285713998</v>
      </c>
      <c r="E149">
        <v>493.00683229814001</v>
      </c>
      <c r="F149">
        <v>132.09547427154001</v>
      </c>
      <c r="G149">
        <v>113.90142591445</v>
      </c>
      <c r="I149" s="9">
        <f t="shared" si="15"/>
        <v>379.10540638369002</v>
      </c>
      <c r="J149" s="9">
        <f t="shared" si="16"/>
        <v>3432.4759542998599</v>
      </c>
      <c r="K149" s="9">
        <f t="shared" si="17"/>
        <v>379.10540638369002</v>
      </c>
      <c r="L149" s="10">
        <f t="shared" si="14"/>
        <v>0.1104466313620595</v>
      </c>
      <c r="M149" s="10">
        <f t="shared" si="18"/>
        <v>0.11327275839711269</v>
      </c>
      <c r="P149" s="8">
        <f t="shared" si="19"/>
        <v>-4.3466247036911616</v>
      </c>
    </row>
    <row r="150" spans="1:16" x14ac:dyDescent="0.2">
      <c r="A150" s="8">
        <v>74</v>
      </c>
      <c r="B150" s="8">
        <v>148</v>
      </c>
      <c r="D150">
        <v>3496.9093167701999</v>
      </c>
      <c r="E150">
        <v>486.42919254658</v>
      </c>
      <c r="F150">
        <v>131.35027898326001</v>
      </c>
      <c r="G150">
        <v>113.88654680719</v>
      </c>
      <c r="I150" s="9">
        <f t="shared" si="15"/>
        <v>372.54264573938997</v>
      </c>
      <c r="J150" s="9">
        <f t="shared" si="16"/>
        <v>3365.5590377869398</v>
      </c>
      <c r="K150" s="9">
        <f t="shared" si="17"/>
        <v>372.54264573938997</v>
      </c>
      <c r="L150" s="10">
        <f t="shared" si="14"/>
        <v>0.11069264914287745</v>
      </c>
      <c r="M150" s="10">
        <f t="shared" si="18"/>
        <v>0.1135380015319106</v>
      </c>
      <c r="P150" s="8">
        <f t="shared" si="19"/>
        <v>-4.1226396831388552</v>
      </c>
    </row>
    <row r="151" spans="1:16" x14ac:dyDescent="0.2">
      <c r="A151" s="8">
        <v>74.5</v>
      </c>
      <c r="B151" s="8">
        <v>149</v>
      </c>
      <c r="D151">
        <v>3353.9484472049999</v>
      </c>
      <c r="E151">
        <v>473.77763975155</v>
      </c>
      <c r="F151">
        <v>132.25728456293001</v>
      </c>
      <c r="G151">
        <v>113.82517048977</v>
      </c>
      <c r="I151" s="9">
        <f t="shared" si="15"/>
        <v>359.95246926177998</v>
      </c>
      <c r="J151" s="9">
        <f t="shared" si="16"/>
        <v>3221.6911626420697</v>
      </c>
      <c r="K151" s="9">
        <f t="shared" si="17"/>
        <v>359.95246926177998</v>
      </c>
      <c r="L151" s="10">
        <f t="shared" si="14"/>
        <v>0.11172780104924376</v>
      </c>
      <c r="M151" s="10">
        <f t="shared" si="18"/>
        <v>0.11459237879225687</v>
      </c>
      <c r="P151" s="8">
        <f t="shared" si="19"/>
        <v>-3.2322689954734418</v>
      </c>
    </row>
    <row r="152" spans="1:16" x14ac:dyDescent="0.2">
      <c r="A152" s="8">
        <v>75</v>
      </c>
      <c r="B152" s="8">
        <v>150</v>
      </c>
      <c r="D152">
        <v>3511.4081381011001</v>
      </c>
      <c r="E152">
        <v>489.84093711467</v>
      </c>
      <c r="F152">
        <v>131.69869807812</v>
      </c>
      <c r="G152">
        <v>113.60632362058</v>
      </c>
      <c r="I152" s="9">
        <f t="shared" si="15"/>
        <v>376.23461349409001</v>
      </c>
      <c r="J152" s="9">
        <f t="shared" si="16"/>
        <v>3379.7094400229803</v>
      </c>
      <c r="K152" s="9">
        <f t="shared" si="17"/>
        <v>376.23461349409001</v>
      </c>
      <c r="L152" s="10">
        <f t="shared" si="14"/>
        <v>0.11132158553000693</v>
      </c>
      <c r="M152" s="10">
        <f t="shared" si="18"/>
        <v>0.11420538862699998</v>
      </c>
      <c r="P152" s="8">
        <f t="shared" si="19"/>
        <v>-3.5590635049134152</v>
      </c>
    </row>
    <row r="153" spans="1:16" x14ac:dyDescent="0.2">
      <c r="A153" s="8">
        <v>75.5</v>
      </c>
      <c r="B153" s="8">
        <v>151</v>
      </c>
      <c r="D153">
        <v>3520.4149198519999</v>
      </c>
      <c r="E153">
        <v>490.25154130702998</v>
      </c>
      <c r="F153">
        <v>132.01735895845999</v>
      </c>
      <c r="G153">
        <v>114.0278983261</v>
      </c>
      <c r="I153" s="9">
        <f t="shared" si="15"/>
        <v>376.22364298092998</v>
      </c>
      <c r="J153" s="9">
        <f t="shared" si="16"/>
        <v>3388.3975608935398</v>
      </c>
      <c r="K153" s="9">
        <f t="shared" si="17"/>
        <v>376.22364298092998</v>
      </c>
      <c r="L153" s="10">
        <f t="shared" si="14"/>
        <v>0.1110329104598097</v>
      </c>
      <c r="M153" s="10">
        <f t="shared" si="18"/>
        <v>0.11393593891078271</v>
      </c>
      <c r="P153" s="8">
        <f t="shared" si="19"/>
        <v>-3.7866007803672059</v>
      </c>
    </row>
    <row r="154" spans="1:16" x14ac:dyDescent="0.2">
      <c r="A154" s="8">
        <v>76</v>
      </c>
      <c r="B154" s="8">
        <v>152</v>
      </c>
      <c r="D154">
        <v>3498.6701602959001</v>
      </c>
      <c r="E154">
        <v>489.11220715167002</v>
      </c>
      <c r="F154">
        <v>131.77557346559001</v>
      </c>
      <c r="G154">
        <v>113.5567265964</v>
      </c>
      <c r="I154" s="9">
        <f t="shared" si="15"/>
        <v>375.55548055527004</v>
      </c>
      <c r="J154" s="9">
        <f t="shared" si="16"/>
        <v>3366.8945868303099</v>
      </c>
      <c r="K154" s="9">
        <f t="shared" si="17"/>
        <v>375.55548055527004</v>
      </c>
      <c r="L154" s="10">
        <f t="shared" si="14"/>
        <v>0.11154358144275275</v>
      </c>
      <c r="M154" s="10">
        <f t="shared" si="18"/>
        <v>0.11446583524770572</v>
      </c>
      <c r="P154" s="8">
        <f t="shared" si="19"/>
        <v>-3.3391289089209506</v>
      </c>
    </row>
    <row r="155" spans="1:16" x14ac:dyDescent="0.2">
      <c r="A155" s="8">
        <v>76.5</v>
      </c>
      <c r="B155" s="8">
        <v>153</v>
      </c>
      <c r="D155">
        <v>3476.4204685573</v>
      </c>
      <c r="E155">
        <v>488.36683107275002</v>
      </c>
      <c r="F155">
        <v>132.14941103533999</v>
      </c>
      <c r="G155">
        <v>114.07811531308</v>
      </c>
      <c r="I155" s="9">
        <f t="shared" si="15"/>
        <v>374.28871575967003</v>
      </c>
      <c r="J155" s="9">
        <f t="shared" si="16"/>
        <v>3344.2710575219598</v>
      </c>
      <c r="K155" s="9">
        <f t="shared" si="17"/>
        <v>374.28871575967003</v>
      </c>
      <c r="L155" s="10">
        <f t="shared" si="14"/>
        <v>0.1119193717619919</v>
      </c>
      <c r="M155" s="10">
        <f t="shared" si="18"/>
        <v>0.11486085092092482</v>
      </c>
      <c r="P155" s="8">
        <f t="shared" si="19"/>
        <v>-3.0055572455040021</v>
      </c>
    </row>
    <row r="156" spans="1:16" x14ac:dyDescent="0.2">
      <c r="A156" s="8">
        <v>77</v>
      </c>
      <c r="B156" s="8">
        <v>154</v>
      </c>
      <c r="D156">
        <v>3464.5900123305</v>
      </c>
      <c r="E156">
        <v>487.20838471023001</v>
      </c>
      <c r="F156">
        <v>131.84438933664001</v>
      </c>
      <c r="G156">
        <v>113.77185368878</v>
      </c>
      <c r="I156" s="9">
        <f t="shared" si="15"/>
        <v>373.43653102145004</v>
      </c>
      <c r="J156" s="9">
        <f t="shared" si="16"/>
        <v>3332.7456229938598</v>
      </c>
      <c r="K156" s="9">
        <f t="shared" si="17"/>
        <v>373.43653102145004</v>
      </c>
      <c r="L156" s="10">
        <f t="shared" si="14"/>
        <v>0.11205071531561593</v>
      </c>
      <c r="M156" s="10">
        <f t="shared" si="18"/>
        <v>0.1150114198285288</v>
      </c>
      <c r="P156" s="8">
        <f t="shared" si="19"/>
        <v>-2.87840907297953</v>
      </c>
    </row>
    <row r="157" spans="1:16" x14ac:dyDescent="0.2">
      <c r="A157" s="8">
        <v>77.5</v>
      </c>
      <c r="B157" s="8">
        <v>155</v>
      </c>
      <c r="D157">
        <v>3461.8884093711999</v>
      </c>
      <c r="E157">
        <v>488.18495684340002</v>
      </c>
      <c r="F157">
        <v>131.79417234965999</v>
      </c>
      <c r="G157">
        <v>113.70179789213</v>
      </c>
      <c r="I157" s="9">
        <f t="shared" si="15"/>
        <v>374.48315895127001</v>
      </c>
      <c r="J157" s="9">
        <f t="shared" si="16"/>
        <v>3330.0942370215398</v>
      </c>
      <c r="K157" s="9">
        <f t="shared" si="17"/>
        <v>374.48315895127001</v>
      </c>
      <c r="L157" s="10">
        <f t="shared" si="14"/>
        <v>0.11245422270278166</v>
      </c>
      <c r="M157" s="10">
        <f t="shared" si="18"/>
        <v>0.11543415256967449</v>
      </c>
      <c r="P157" s="8">
        <f t="shared" si="19"/>
        <v>-2.5214316839670277</v>
      </c>
    </row>
    <row r="158" spans="1:16" x14ac:dyDescent="0.2">
      <c r="A158" s="8">
        <v>78</v>
      </c>
      <c r="B158" s="8">
        <v>156</v>
      </c>
      <c r="D158">
        <v>3420.8871763255001</v>
      </c>
      <c r="E158">
        <v>485.26017262638999</v>
      </c>
      <c r="F158">
        <v>131.68381897085999</v>
      </c>
      <c r="G158">
        <v>113.73093614382999</v>
      </c>
      <c r="I158" s="9">
        <f t="shared" si="15"/>
        <v>371.52923648256001</v>
      </c>
      <c r="J158" s="9">
        <f t="shared" si="16"/>
        <v>3289.20335735464</v>
      </c>
      <c r="K158" s="9">
        <f t="shared" si="17"/>
        <v>371.52923648256001</v>
      </c>
      <c r="L158" s="10">
        <f t="shared" si="14"/>
        <v>0.11295417039260365</v>
      </c>
      <c r="M158" s="10">
        <f t="shared" si="18"/>
        <v>0.11595332561347643</v>
      </c>
      <c r="P158" s="8">
        <f t="shared" si="19"/>
        <v>-2.0830151158067136</v>
      </c>
    </row>
    <row r="159" spans="1:16" x14ac:dyDescent="0.2">
      <c r="A159" s="8">
        <v>78.5</v>
      </c>
      <c r="B159" s="8">
        <v>157</v>
      </c>
      <c r="D159">
        <v>3397.6818742293999</v>
      </c>
      <c r="E159">
        <v>485.56905055486999</v>
      </c>
      <c r="F159">
        <v>131.85554866708</v>
      </c>
      <c r="G159">
        <v>114.28022318661</v>
      </c>
      <c r="I159" s="9">
        <f t="shared" si="15"/>
        <v>371.28882736826</v>
      </c>
      <c r="J159" s="9">
        <f t="shared" si="16"/>
        <v>3265.8263255623201</v>
      </c>
      <c r="K159" s="9">
        <f t="shared" si="17"/>
        <v>371.28882736826</v>
      </c>
      <c r="L159" s="10">
        <f t="shared" si="14"/>
        <v>0.11368909132188171</v>
      </c>
      <c r="M159" s="10">
        <f t="shared" si="18"/>
        <v>0.11670747189673444</v>
      </c>
      <c r="P159" s="8">
        <f t="shared" si="19"/>
        <v>-1.4461749921831881</v>
      </c>
    </row>
    <row r="160" spans="1:16" x14ac:dyDescent="0.2">
      <c r="A160" s="8">
        <v>79</v>
      </c>
      <c r="B160" s="8">
        <v>158</v>
      </c>
      <c r="D160">
        <v>3392.6559802713</v>
      </c>
      <c r="E160">
        <v>482.30147965474998</v>
      </c>
      <c r="F160">
        <v>131.69063856169001</v>
      </c>
      <c r="G160">
        <v>113.96652200868</v>
      </c>
      <c r="I160" s="9">
        <f t="shared" si="15"/>
        <v>368.33495764607</v>
      </c>
      <c r="J160" s="9">
        <f t="shared" si="16"/>
        <v>3260.9653417096101</v>
      </c>
      <c r="K160" s="9">
        <f t="shared" si="17"/>
        <v>368.33495764607</v>
      </c>
      <c r="L160" s="10">
        <f t="shared" si="14"/>
        <v>0.11295273609162766</v>
      </c>
      <c r="M160" s="10">
        <f t="shared" si="18"/>
        <v>0.11599034202046035</v>
      </c>
      <c r="P160" s="8">
        <f t="shared" si="19"/>
        <v>-2.0517565473789845</v>
      </c>
    </row>
    <row r="161" spans="1:16" x14ac:dyDescent="0.2">
      <c r="A161" s="8">
        <v>79.5</v>
      </c>
      <c r="B161" s="8">
        <v>159</v>
      </c>
      <c r="D161">
        <v>3410.1491985204002</v>
      </c>
      <c r="E161">
        <v>485.67139334155002</v>
      </c>
      <c r="F161">
        <v>131.89336639801999</v>
      </c>
      <c r="G161">
        <v>113.74891506509999</v>
      </c>
      <c r="I161" s="9">
        <f t="shared" si="15"/>
        <v>371.92247827645002</v>
      </c>
      <c r="J161" s="9">
        <f t="shared" si="16"/>
        <v>3278.2558321223801</v>
      </c>
      <c r="K161" s="9">
        <f t="shared" si="17"/>
        <v>371.92247827645002</v>
      </c>
      <c r="L161" s="10">
        <f t="shared" si="14"/>
        <v>0.11345132818254249</v>
      </c>
      <c r="M161" s="10">
        <f t="shared" si="18"/>
        <v>0.11650815946535513</v>
      </c>
      <c r="P161" s="8">
        <f t="shared" si="19"/>
        <v>-1.6144847170431358</v>
      </c>
    </row>
    <row r="162" spans="1:16" x14ac:dyDescent="0.2">
      <c r="A162" s="8">
        <v>80</v>
      </c>
      <c r="B162" s="4">
        <v>160</v>
      </c>
      <c r="C162" s="4" t="s">
        <v>7</v>
      </c>
      <c r="D162">
        <v>3385.4580764488001</v>
      </c>
      <c r="E162">
        <v>484.83600493218</v>
      </c>
      <c r="F162">
        <v>131.73279603224</v>
      </c>
      <c r="G162">
        <v>113.79851208928</v>
      </c>
      <c r="H162" s="4"/>
      <c r="I162" s="5">
        <f t="shared" si="15"/>
        <v>371.03749284290001</v>
      </c>
      <c r="J162" s="5">
        <f t="shared" si="16"/>
        <v>3253.7252804165601</v>
      </c>
      <c r="K162" s="9">
        <f t="shared" si="17"/>
        <v>371.03749284290001</v>
      </c>
      <c r="L162" s="6">
        <f t="shared" si="14"/>
        <v>0.11403467129695649</v>
      </c>
      <c r="M162" s="6">
        <f t="shared" si="18"/>
        <v>0.11711072793374909</v>
      </c>
      <c r="N162" s="4"/>
      <c r="O162" s="4"/>
      <c r="P162" s="4">
        <f t="shared" si="19"/>
        <v>-1.1056447394119504</v>
      </c>
    </row>
    <row r="163" spans="1:16" x14ac:dyDescent="0.2">
      <c r="A163" s="8">
        <v>80.5</v>
      </c>
      <c r="B163" s="8">
        <v>161</v>
      </c>
      <c r="D163">
        <v>3313.610974106</v>
      </c>
      <c r="E163">
        <v>484.30024660913</v>
      </c>
      <c r="F163">
        <v>131.81153130812001</v>
      </c>
      <c r="G163">
        <v>113.67389956603</v>
      </c>
      <c r="I163" s="9">
        <f t="shared" si="15"/>
        <v>370.6263470431</v>
      </c>
      <c r="J163" s="9">
        <f t="shared" si="16"/>
        <v>3181.7994427978801</v>
      </c>
      <c r="K163" s="9">
        <f t="shared" si="17"/>
        <v>370.6263470431</v>
      </c>
      <c r="L163" s="10">
        <f t="shared" si="14"/>
        <v>0.11648325223075462</v>
      </c>
      <c r="M163" s="10">
        <f t="shared" si="18"/>
        <v>0.11957853422152717</v>
      </c>
      <c r="P163" s="8">
        <f t="shared" si="19"/>
        <v>0.97829851705812965</v>
      </c>
    </row>
    <row r="164" spans="1:16" x14ac:dyDescent="0.2">
      <c r="A164" s="8">
        <v>81</v>
      </c>
      <c r="B164" s="8">
        <v>162</v>
      </c>
      <c r="D164">
        <v>3419.3859432798999</v>
      </c>
      <c r="E164">
        <v>657.21085080147998</v>
      </c>
      <c r="F164">
        <v>131.52386856788999</v>
      </c>
      <c r="G164">
        <v>113.89026658401001</v>
      </c>
      <c r="I164" s="9">
        <f t="shared" si="15"/>
        <v>543.32058421747001</v>
      </c>
      <c r="J164" s="9">
        <f t="shared" si="16"/>
        <v>3287.8620747120099</v>
      </c>
      <c r="K164" s="9">
        <f t="shared" si="17"/>
        <v>543.32058421747001</v>
      </c>
      <c r="L164" s="10">
        <f t="shared" si="14"/>
        <v>0.16525041862197351</v>
      </c>
      <c r="M164" s="10">
        <f t="shared" si="18"/>
        <v>0.168364925966726</v>
      </c>
      <c r="P164" s="8">
        <f t="shared" si="19"/>
        <v>42.176050783283493</v>
      </c>
    </row>
    <row r="165" spans="1:16" x14ac:dyDescent="0.2">
      <c r="A165" s="8">
        <v>81.5</v>
      </c>
      <c r="B165" s="8">
        <v>163</v>
      </c>
      <c r="D165">
        <v>3424.7031736153999</v>
      </c>
      <c r="E165">
        <v>687.23335407592003</v>
      </c>
      <c r="F165">
        <v>132.16057036577999</v>
      </c>
      <c r="G165">
        <v>113.98450092994</v>
      </c>
      <c r="I165" s="9">
        <f t="shared" si="15"/>
        <v>573.24885314598009</v>
      </c>
      <c r="J165" s="9">
        <f t="shared" si="16"/>
        <v>3292.5426032496198</v>
      </c>
      <c r="K165" s="9">
        <f t="shared" si="17"/>
        <v>573.24885314598009</v>
      </c>
      <c r="L165" s="10">
        <f t="shared" si="14"/>
        <v>0.17410521965006751</v>
      </c>
      <c r="M165" s="10">
        <f t="shared" si="18"/>
        <v>0.17723895234879997</v>
      </c>
      <c r="P165" s="8">
        <f t="shared" si="19"/>
        <v>49.669737596647998</v>
      </c>
    </row>
    <row r="166" spans="1:16" x14ac:dyDescent="0.2">
      <c r="A166" s="8">
        <v>82</v>
      </c>
      <c r="B166" s="8">
        <v>164</v>
      </c>
      <c r="D166">
        <v>3540.8643434972</v>
      </c>
      <c r="E166">
        <v>748.38581207217999</v>
      </c>
      <c r="F166">
        <v>131.97644141352001</v>
      </c>
      <c r="G166">
        <v>114.13701177929001</v>
      </c>
      <c r="I166" s="9">
        <f t="shared" si="15"/>
        <v>634.24880029289</v>
      </c>
      <c r="J166" s="9">
        <f t="shared" si="16"/>
        <v>3408.8879020836798</v>
      </c>
      <c r="K166" s="9">
        <f t="shared" si="17"/>
        <v>634.24880029289</v>
      </c>
      <c r="L166" s="10">
        <f t="shared" si="14"/>
        <v>0.18605739423264869</v>
      </c>
      <c r="M166" s="10">
        <f t="shared" si="18"/>
        <v>0.18921035228536109</v>
      </c>
      <c r="P166" s="8">
        <f t="shared" si="19"/>
        <v>59.779006825702787</v>
      </c>
    </row>
    <row r="167" spans="1:16" x14ac:dyDescent="0.2">
      <c r="A167" s="8">
        <v>82.5</v>
      </c>
      <c r="B167" s="8">
        <v>165</v>
      </c>
      <c r="D167">
        <v>3332.1028678304001</v>
      </c>
      <c r="E167">
        <v>722.85785536159995</v>
      </c>
      <c r="F167">
        <v>132.44203347799001</v>
      </c>
      <c r="G167">
        <v>114.33849969002</v>
      </c>
      <c r="I167" s="9">
        <f t="shared" si="15"/>
        <v>608.51935567157989</v>
      </c>
      <c r="J167" s="9">
        <f t="shared" si="16"/>
        <v>3199.6608343524099</v>
      </c>
      <c r="K167" s="9">
        <f t="shared" si="17"/>
        <v>608.51935567157989</v>
      </c>
      <c r="L167" s="10">
        <f t="shared" si="14"/>
        <v>0.19018245594606598</v>
      </c>
      <c r="M167" s="10">
        <f t="shared" si="18"/>
        <v>0.19335463935275835</v>
      </c>
      <c r="P167" s="8">
        <f t="shared" si="19"/>
        <v>63.278657154722175</v>
      </c>
    </row>
    <row r="168" spans="1:16" x14ac:dyDescent="0.2">
      <c r="A168" s="8">
        <v>83</v>
      </c>
      <c r="B168" s="8">
        <v>166</v>
      </c>
      <c r="D168">
        <v>3488.2730673317001</v>
      </c>
      <c r="E168">
        <v>774.60972568578995</v>
      </c>
      <c r="F168">
        <v>131.90018598884001</v>
      </c>
      <c r="G168">
        <v>113.82145071296</v>
      </c>
      <c r="I168" s="9">
        <f t="shared" si="15"/>
        <v>660.78827497282998</v>
      </c>
      <c r="J168" s="9">
        <f t="shared" si="16"/>
        <v>3356.3728813428602</v>
      </c>
      <c r="K168" s="9">
        <f t="shared" si="17"/>
        <v>660.78827497282998</v>
      </c>
      <c r="L168" s="10">
        <f t="shared" si="14"/>
        <v>0.19687570431937629</v>
      </c>
      <c r="M168" s="10">
        <f t="shared" si="18"/>
        <v>0.2000671130800486</v>
      </c>
      <c r="P168" s="8">
        <f t="shared" si="19"/>
        <v>68.947017117778159</v>
      </c>
    </row>
    <row r="169" spans="1:16" x14ac:dyDescent="0.2">
      <c r="A169" s="8">
        <v>83.5</v>
      </c>
      <c r="B169" s="8">
        <v>167</v>
      </c>
      <c r="D169">
        <v>3257.7880299252001</v>
      </c>
      <c r="E169">
        <v>696.93017456358996</v>
      </c>
      <c r="F169">
        <v>131.98760074396</v>
      </c>
      <c r="G169">
        <v>114.16243025419</v>
      </c>
      <c r="I169" s="9">
        <f t="shared" si="15"/>
        <v>582.76774430939997</v>
      </c>
      <c r="J169" s="9">
        <f t="shared" si="16"/>
        <v>3125.8004291812404</v>
      </c>
      <c r="K169" s="9">
        <f t="shared" si="17"/>
        <v>582.76774430939997</v>
      </c>
      <c r="L169" s="10">
        <f t="shared" si="14"/>
        <v>0.18643792446533378</v>
      </c>
      <c r="M169" s="10">
        <f t="shared" si="18"/>
        <v>0.18964855857998605</v>
      </c>
      <c r="P169" s="8">
        <f t="shared" si="19"/>
        <v>60.149050883516033</v>
      </c>
    </row>
    <row r="170" spans="1:16" x14ac:dyDescent="0.2">
      <c r="A170" s="8">
        <v>84</v>
      </c>
      <c r="B170" s="8">
        <v>168</v>
      </c>
      <c r="D170">
        <v>3406.1889027430998</v>
      </c>
      <c r="E170">
        <v>755.24688279301995</v>
      </c>
      <c r="F170">
        <v>132.17358958463001</v>
      </c>
      <c r="G170">
        <v>113.89894606324</v>
      </c>
      <c r="I170" s="9">
        <f t="shared" si="15"/>
        <v>641.34793672977992</v>
      </c>
      <c r="J170" s="9">
        <f t="shared" si="16"/>
        <v>3274.0153131584698</v>
      </c>
      <c r="K170" s="9">
        <f t="shared" si="17"/>
        <v>641.34793672977992</v>
      </c>
      <c r="L170" s="10">
        <f t="shared" si="14"/>
        <v>0.19589032896460898</v>
      </c>
      <c r="M170" s="10">
        <f t="shared" si="18"/>
        <v>0.1991201884332412</v>
      </c>
      <c r="P170" s="8">
        <f t="shared" si="19"/>
        <v>68.147384974091423</v>
      </c>
    </row>
    <row r="171" spans="1:16" x14ac:dyDescent="0.2">
      <c r="A171" s="8">
        <v>84.5</v>
      </c>
      <c r="B171" s="8">
        <v>169</v>
      </c>
      <c r="D171">
        <v>3634.1228179550999</v>
      </c>
      <c r="E171">
        <v>855.77867830423997</v>
      </c>
      <c r="F171">
        <v>132.13267203967999</v>
      </c>
      <c r="G171">
        <v>114.03967761934</v>
      </c>
      <c r="I171" s="9">
        <f t="shared" si="15"/>
        <v>741.73900068490002</v>
      </c>
      <c r="J171" s="9">
        <f t="shared" si="16"/>
        <v>3501.9901459154198</v>
      </c>
      <c r="K171" s="9">
        <f t="shared" si="17"/>
        <v>741.73900068490002</v>
      </c>
      <c r="L171" s="10">
        <f t="shared" si="14"/>
        <v>0.21180499366910968</v>
      </c>
      <c r="M171" s="10">
        <f t="shared" si="18"/>
        <v>0.21505407849172187</v>
      </c>
      <c r="P171" s="8">
        <f t="shared" si="19"/>
        <v>81.602785789446031</v>
      </c>
    </row>
    <row r="172" spans="1:16" x14ac:dyDescent="0.2">
      <c r="A172" s="8">
        <v>85</v>
      </c>
      <c r="B172" s="8">
        <v>170</v>
      </c>
      <c r="D172">
        <v>3631.7225685786002</v>
      </c>
      <c r="E172">
        <v>854.45261845386995</v>
      </c>
      <c r="F172">
        <v>132.2765034098</v>
      </c>
      <c r="G172">
        <v>114.24674519529</v>
      </c>
      <c r="I172" s="9">
        <f t="shared" si="15"/>
        <v>740.20587325857991</v>
      </c>
      <c r="J172" s="9">
        <f t="shared" si="16"/>
        <v>3499.4460651688</v>
      </c>
      <c r="K172" s="9">
        <f t="shared" si="17"/>
        <v>740.20587325857991</v>
      </c>
      <c r="L172" s="10">
        <f t="shared" si="14"/>
        <v>0.21152086915300841</v>
      </c>
      <c r="M172" s="10">
        <f t="shared" si="18"/>
        <v>0.21478917932960054</v>
      </c>
      <c r="P172" s="8">
        <f t="shared" si="19"/>
        <v>81.379091237211</v>
      </c>
    </row>
    <row r="173" spans="1:16" x14ac:dyDescent="0.2">
      <c r="A173" s="8">
        <v>85.5</v>
      </c>
      <c r="B173" s="8">
        <v>171</v>
      </c>
      <c r="D173">
        <v>3673.3884039899999</v>
      </c>
      <c r="E173">
        <v>891.54364089776004</v>
      </c>
      <c r="F173">
        <v>132.42715437074</v>
      </c>
      <c r="G173">
        <v>114.11407315561</v>
      </c>
      <c r="I173" s="9">
        <f t="shared" si="15"/>
        <v>777.42956774215008</v>
      </c>
      <c r="J173" s="9">
        <f t="shared" si="16"/>
        <v>3540.9612496192599</v>
      </c>
      <c r="K173" s="9">
        <f t="shared" si="17"/>
        <v>777.42956774215008</v>
      </c>
      <c r="L173" s="10">
        <f t="shared" si="14"/>
        <v>0.21955325487556318</v>
      </c>
      <c r="M173" s="10">
        <f t="shared" si="18"/>
        <v>0.22284079040613528</v>
      </c>
      <c r="P173" s="8">
        <f t="shared" si="19"/>
        <v>88.178288033881628</v>
      </c>
    </row>
    <row r="174" spans="1:16" x14ac:dyDescent="0.2">
      <c r="A174" s="8">
        <v>86</v>
      </c>
      <c r="B174" s="8">
        <v>172</v>
      </c>
      <c r="D174">
        <v>3649.7107231919999</v>
      </c>
      <c r="E174">
        <v>902.72755610973002</v>
      </c>
      <c r="F174">
        <v>132.54370737756</v>
      </c>
      <c r="G174">
        <v>114.09733415994999</v>
      </c>
      <c r="I174" s="9">
        <f t="shared" si="15"/>
        <v>788.63022194977998</v>
      </c>
      <c r="J174" s="9">
        <f t="shared" si="16"/>
        <v>3517.1670158144398</v>
      </c>
      <c r="K174" s="9">
        <f t="shared" si="17"/>
        <v>788.63022194977998</v>
      </c>
      <c r="L174" s="10">
        <f t="shared" si="14"/>
        <v>0.22422313708840572</v>
      </c>
      <c r="M174" s="10">
        <f t="shared" si="18"/>
        <v>0.22752989797295775</v>
      </c>
      <c r="P174" s="8">
        <f t="shared" si="19"/>
        <v>92.138012968994218</v>
      </c>
    </row>
    <row r="175" spans="1:16" x14ac:dyDescent="0.2">
      <c r="A175" s="8">
        <v>86.5</v>
      </c>
      <c r="B175" s="8">
        <v>173</v>
      </c>
      <c r="D175">
        <v>3755.9438902743</v>
      </c>
      <c r="E175">
        <v>938.01433915211999</v>
      </c>
      <c r="F175">
        <v>132.66831990080999</v>
      </c>
      <c r="G175">
        <v>114.08617482951</v>
      </c>
      <c r="I175" s="9">
        <f t="shared" si="15"/>
        <v>823.92816432260997</v>
      </c>
      <c r="J175" s="9">
        <f t="shared" si="16"/>
        <v>3623.2755703734902</v>
      </c>
      <c r="K175" s="9">
        <f t="shared" si="17"/>
        <v>823.92816432260997</v>
      </c>
      <c r="L175" s="10">
        <f t="shared" si="14"/>
        <v>0.22739870272624027</v>
      </c>
      <c r="M175" s="10">
        <f t="shared" si="18"/>
        <v>0.23072468896477227</v>
      </c>
      <c r="P175" s="8">
        <f t="shared" si="19"/>
        <v>94.835859706882886</v>
      </c>
    </row>
    <row r="176" spans="1:16" x14ac:dyDescent="0.2">
      <c r="A176" s="8">
        <v>87</v>
      </c>
      <c r="B176" s="8">
        <v>174</v>
      </c>
      <c r="D176">
        <v>3435.5417705735999</v>
      </c>
      <c r="E176">
        <v>831.45448877805995</v>
      </c>
      <c r="F176">
        <v>132.06137631742001</v>
      </c>
      <c r="G176">
        <v>114.31742095474</v>
      </c>
      <c r="I176" s="9">
        <f t="shared" si="15"/>
        <v>717.13706782331997</v>
      </c>
      <c r="J176" s="9">
        <f t="shared" si="16"/>
        <v>3303.4803942561798</v>
      </c>
      <c r="K176" s="9">
        <f t="shared" si="17"/>
        <v>717.13706782331997</v>
      </c>
      <c r="L176" s="10">
        <f t="shared" si="14"/>
        <v>0.21708531071357923</v>
      </c>
      <c r="M176" s="10">
        <f t="shared" si="18"/>
        <v>0.22043052230609117</v>
      </c>
      <c r="P176" s="8">
        <f t="shared" si="19"/>
        <v>86.142932998825671</v>
      </c>
    </row>
    <row r="177" spans="1:16" x14ac:dyDescent="0.2">
      <c r="A177" s="8">
        <v>87.5</v>
      </c>
      <c r="B177" s="8">
        <v>175</v>
      </c>
      <c r="D177">
        <v>3646.4667495338999</v>
      </c>
      <c r="E177">
        <v>888.62150403978001</v>
      </c>
      <c r="F177">
        <v>131.96838189709001</v>
      </c>
      <c r="G177">
        <v>114.15747055177</v>
      </c>
      <c r="I177" s="9">
        <f t="shared" si="15"/>
        <v>774.46403348801005</v>
      </c>
      <c r="J177" s="9">
        <f t="shared" si="16"/>
        <v>3514.4983676368101</v>
      </c>
      <c r="K177" s="9">
        <f t="shared" si="17"/>
        <v>774.46403348801005</v>
      </c>
      <c r="L177" s="10">
        <f t="shared" si="14"/>
        <v>0.22036261010095978</v>
      </c>
      <c r="M177" s="10">
        <f t="shared" si="18"/>
        <v>0.22372704704745169</v>
      </c>
      <c r="P177" s="8">
        <f t="shared" si="19"/>
        <v>88.926688976176024</v>
      </c>
    </row>
    <row r="178" spans="1:16" x14ac:dyDescent="0.2">
      <c r="A178" s="8">
        <v>88</v>
      </c>
      <c r="B178" s="8">
        <v>176</v>
      </c>
      <c r="D178">
        <v>3692.9005593535999</v>
      </c>
      <c r="E178">
        <v>920.44810441267998</v>
      </c>
      <c r="F178">
        <v>132.20396776192999</v>
      </c>
      <c r="G178">
        <v>114.32548047117</v>
      </c>
      <c r="I178" s="9">
        <f t="shared" si="15"/>
        <v>806.12262394151003</v>
      </c>
      <c r="J178" s="9">
        <f t="shared" si="16"/>
        <v>3560.6965915916699</v>
      </c>
      <c r="K178" s="9">
        <f t="shared" si="17"/>
        <v>806.12262394151003</v>
      </c>
      <c r="L178" s="10">
        <f t="shared" si="14"/>
        <v>0.22639464026368067</v>
      </c>
      <c r="M178" s="10">
        <f t="shared" si="18"/>
        <v>0.22977830256415252</v>
      </c>
      <c r="P178" s="8">
        <f t="shared" si="19"/>
        <v>94.036682086113373</v>
      </c>
    </row>
    <row r="179" spans="1:16" x14ac:dyDescent="0.2">
      <c r="A179" s="8">
        <v>88.5</v>
      </c>
      <c r="B179" s="8">
        <v>177</v>
      </c>
      <c r="D179">
        <v>3851.8178993164001</v>
      </c>
      <c r="E179">
        <v>958.08266003729</v>
      </c>
      <c r="F179">
        <v>132.53006819590999</v>
      </c>
      <c r="G179">
        <v>114.2504649721</v>
      </c>
      <c r="I179" s="9">
        <f t="shared" si="15"/>
        <v>843.83219506519004</v>
      </c>
      <c r="J179" s="9">
        <f t="shared" si="16"/>
        <v>3719.28783112049</v>
      </c>
      <c r="K179" s="9">
        <f t="shared" si="17"/>
        <v>843.83219506519004</v>
      </c>
      <c r="L179" s="10">
        <f t="shared" si="14"/>
        <v>0.22688004622943453</v>
      </c>
      <c r="M179" s="10">
        <f t="shared" si="18"/>
        <v>0.23028293388388632</v>
      </c>
      <c r="P179" s="8">
        <f t="shared" si="19"/>
        <v>94.462818870418957</v>
      </c>
    </row>
    <row r="180" spans="1:16" x14ac:dyDescent="0.2">
      <c r="A180" s="8">
        <v>89</v>
      </c>
      <c r="B180" s="8">
        <v>178</v>
      </c>
      <c r="D180">
        <v>3557.5627329192998</v>
      </c>
      <c r="E180">
        <v>888.5397515528</v>
      </c>
      <c r="F180">
        <v>132.46931184128999</v>
      </c>
      <c r="G180">
        <v>114.31556106634</v>
      </c>
      <c r="I180" s="9">
        <f t="shared" si="15"/>
        <v>774.22419048645997</v>
      </c>
      <c r="J180" s="9">
        <f t="shared" si="16"/>
        <v>3425.0934210780097</v>
      </c>
      <c r="K180" s="9">
        <f t="shared" si="17"/>
        <v>774.22419048645997</v>
      </c>
      <c r="L180" s="10">
        <f t="shared" si="14"/>
        <v>0.226044692889802</v>
      </c>
      <c r="M180" s="10">
        <f t="shared" si="18"/>
        <v>0.22946680589823376</v>
      </c>
      <c r="P180" s="8">
        <f t="shared" si="19"/>
        <v>93.773638191797517</v>
      </c>
    </row>
    <row r="181" spans="1:16" x14ac:dyDescent="0.2">
      <c r="A181" s="8">
        <v>89.5</v>
      </c>
      <c r="B181" s="8">
        <v>179</v>
      </c>
      <c r="D181">
        <v>3545.0062034739999</v>
      </c>
      <c r="E181">
        <v>886.56079404467005</v>
      </c>
      <c r="F181">
        <v>131.9708617483</v>
      </c>
      <c r="G181">
        <v>114.18970861747999</v>
      </c>
      <c r="I181" s="9">
        <f t="shared" si="15"/>
        <v>772.37108542719011</v>
      </c>
      <c r="J181" s="9">
        <f t="shared" si="16"/>
        <v>3413.0353417256997</v>
      </c>
      <c r="K181" s="9">
        <f t="shared" si="17"/>
        <v>772.37108542719011</v>
      </c>
      <c r="L181" s="10">
        <f t="shared" si="14"/>
        <v>0.22630034795850185</v>
      </c>
      <c r="M181" s="10">
        <f t="shared" si="18"/>
        <v>0.22974168632091355</v>
      </c>
      <c r="P181" s="8">
        <f t="shared" si="19"/>
        <v>94.005761436647077</v>
      </c>
    </row>
    <row r="182" spans="1:16" x14ac:dyDescent="0.2">
      <c r="A182" s="8">
        <v>90</v>
      </c>
      <c r="B182" s="8">
        <v>180</v>
      </c>
      <c r="D182">
        <v>3600.7763239874998</v>
      </c>
      <c r="E182">
        <v>894.43551401869001</v>
      </c>
      <c r="F182">
        <v>132.39553626782001</v>
      </c>
      <c r="G182">
        <v>114.29696218226999</v>
      </c>
      <c r="I182" s="9">
        <f t="shared" si="15"/>
        <v>780.13855183641999</v>
      </c>
      <c r="J182" s="9">
        <f t="shared" si="16"/>
        <v>3468.38078771968</v>
      </c>
      <c r="K182" s="9">
        <f t="shared" si="17"/>
        <v>780.13855183641999</v>
      </c>
      <c r="L182" s="10">
        <f t="shared" si="14"/>
        <v>0.22492874905737484</v>
      </c>
      <c r="M182" s="10">
        <f>L182+ABS($N$2)*A182</f>
        <v>0.22838931277376651</v>
      </c>
      <c r="P182" s="8">
        <f t="shared" si="19"/>
        <v>92.863747272989571</v>
      </c>
    </row>
    <row r="183" spans="1:16" x14ac:dyDescent="0.2">
      <c r="A183" s="8">
        <v>90.5</v>
      </c>
      <c r="B183" s="8">
        <v>181</v>
      </c>
      <c r="D183">
        <v>3458.3825545170998</v>
      </c>
      <c r="E183">
        <v>864.25109034267996</v>
      </c>
      <c r="F183">
        <v>132.11965282083</v>
      </c>
      <c r="G183">
        <v>114.11283323001</v>
      </c>
      <c r="I183" s="9">
        <f t="shared" si="15"/>
        <v>750.13825711266998</v>
      </c>
      <c r="J183" s="9">
        <f t="shared" si="16"/>
        <v>3326.2629016962696</v>
      </c>
      <c r="K183" s="9">
        <f t="shared" si="17"/>
        <v>750.13825711266998</v>
      </c>
      <c r="L183" s="10">
        <f t="shared" si="14"/>
        <v>0.22551983390432775</v>
      </c>
      <c r="M183" s="10">
        <f t="shared" ref="M183:M241" si="20">L183+ABS($N$2)*A183</f>
        <v>0.22899962297469936</v>
      </c>
      <c r="P183" s="8">
        <f t="shared" si="19"/>
        <v>93.379124769954331</v>
      </c>
    </row>
    <row r="184" spans="1:16" x14ac:dyDescent="0.2">
      <c r="A184" s="8">
        <v>91</v>
      </c>
      <c r="B184" s="8">
        <v>182</v>
      </c>
      <c r="D184">
        <v>3515.3439252336002</v>
      </c>
      <c r="E184">
        <v>878.95264797508003</v>
      </c>
      <c r="F184">
        <v>131.76999380037</v>
      </c>
      <c r="G184">
        <v>114.23806571606001</v>
      </c>
      <c r="I184" s="9">
        <f t="shared" si="15"/>
        <v>764.71458225902006</v>
      </c>
      <c r="J184" s="9">
        <f t="shared" si="16"/>
        <v>3383.5739314332304</v>
      </c>
      <c r="K184" s="9">
        <f t="shared" si="17"/>
        <v>764.71458225902006</v>
      </c>
      <c r="L184" s="10">
        <f t="shared" si="14"/>
        <v>0.22600794241699887</v>
      </c>
      <c r="M184" s="10">
        <f t="shared" si="20"/>
        <v>0.22950695684135045</v>
      </c>
      <c r="P184" s="8">
        <f t="shared" si="19"/>
        <v>93.807543724643963</v>
      </c>
    </row>
    <row r="185" spans="1:16" x14ac:dyDescent="0.2">
      <c r="A185" s="8">
        <v>91.5</v>
      </c>
      <c r="B185" s="8">
        <v>183</v>
      </c>
      <c r="D185">
        <v>3686.4996900186002</v>
      </c>
      <c r="E185">
        <v>896.31184128951998</v>
      </c>
      <c r="F185">
        <v>132.59640421575</v>
      </c>
      <c r="G185">
        <v>114.03037817731</v>
      </c>
      <c r="I185" s="9">
        <f t="shared" si="15"/>
        <v>782.28146311220996</v>
      </c>
      <c r="J185" s="9">
        <f t="shared" si="16"/>
        <v>3553.9032858028504</v>
      </c>
      <c r="K185" s="9">
        <f t="shared" si="17"/>
        <v>782.28146311220996</v>
      </c>
      <c r="L185" s="10">
        <f t="shared" si="14"/>
        <v>0.2201189509678757</v>
      </c>
      <c r="M185" s="10">
        <f t="shared" si="20"/>
        <v>0.22363719074620722</v>
      </c>
      <c r="P185" s="8">
        <f t="shared" si="19"/>
        <v>88.85080966832389</v>
      </c>
    </row>
    <row r="186" spans="1:16" x14ac:dyDescent="0.2">
      <c r="A186" s="8">
        <v>92</v>
      </c>
      <c r="B186" s="8">
        <v>184</v>
      </c>
      <c r="D186">
        <v>3761.3986360817999</v>
      </c>
      <c r="E186">
        <v>916.93056416615002</v>
      </c>
      <c r="F186">
        <v>132.33168009919001</v>
      </c>
      <c r="G186">
        <v>113.96776193428001</v>
      </c>
      <c r="I186" s="9">
        <f t="shared" si="15"/>
        <v>802.96280223187</v>
      </c>
      <c r="J186" s="9">
        <f t="shared" si="16"/>
        <v>3629.0669559826097</v>
      </c>
      <c r="K186" s="9">
        <f t="shared" si="17"/>
        <v>802.96280223187</v>
      </c>
      <c r="L186" s="10">
        <f t="shared" si="14"/>
        <v>0.2212587455594241</v>
      </c>
      <c r="M186" s="10">
        <f t="shared" si="20"/>
        <v>0.22479621069173558</v>
      </c>
      <c r="P186" s="8">
        <f t="shared" si="19"/>
        <v>89.829546051142984</v>
      </c>
    </row>
    <row r="187" spans="1:16" x14ac:dyDescent="0.2">
      <c r="A187" s="8">
        <v>92.5</v>
      </c>
      <c r="B187" s="8">
        <v>185</v>
      </c>
      <c r="D187">
        <v>3528.0118012421999</v>
      </c>
      <c r="E187">
        <v>858.62236024845004</v>
      </c>
      <c r="F187">
        <v>132.8605083695</v>
      </c>
      <c r="G187">
        <v>114.28146311221001</v>
      </c>
      <c r="I187" s="9">
        <f t="shared" si="15"/>
        <v>744.34089713624007</v>
      </c>
      <c r="J187" s="9">
        <f t="shared" si="16"/>
        <v>3395.1512928726997</v>
      </c>
      <c r="K187" s="9">
        <f t="shared" si="17"/>
        <v>744.34089713624007</v>
      </c>
      <c r="L187" s="10">
        <f t="shared" si="14"/>
        <v>0.21923644424883335</v>
      </c>
      <c r="M187" s="10">
        <f t="shared" si="20"/>
        <v>0.22279313473512477</v>
      </c>
      <c r="P187" s="8">
        <f t="shared" si="19"/>
        <v>88.138045120681056</v>
      </c>
    </row>
    <row r="188" spans="1:16" x14ac:dyDescent="0.2">
      <c r="A188" s="8">
        <v>93</v>
      </c>
      <c r="B188" s="8">
        <v>186</v>
      </c>
      <c r="D188">
        <v>3382.4546583851002</v>
      </c>
      <c r="E188">
        <v>834.54844720496999</v>
      </c>
      <c r="F188">
        <v>132.50588964662001</v>
      </c>
      <c r="G188">
        <v>114.03657780533</v>
      </c>
      <c r="I188" s="9">
        <f t="shared" si="15"/>
        <v>720.51186939963998</v>
      </c>
      <c r="J188" s="9">
        <f t="shared" si="16"/>
        <v>3249.9487687384803</v>
      </c>
      <c r="K188" s="9">
        <f t="shared" si="17"/>
        <v>720.51186939963998</v>
      </c>
      <c r="L188" s="10">
        <f t="shared" si="14"/>
        <v>0.22169945456688481</v>
      </c>
      <c r="M188" s="10">
        <f t="shared" si="20"/>
        <v>0.2252753704071562</v>
      </c>
      <c r="P188" s="8">
        <f t="shared" si="19"/>
        <v>90.234173295456387</v>
      </c>
    </row>
    <row r="189" spans="1:16" x14ac:dyDescent="0.2">
      <c r="A189" s="8">
        <v>93.5</v>
      </c>
      <c r="B189" s="8">
        <v>187</v>
      </c>
      <c r="D189">
        <v>3267.0782608695999</v>
      </c>
      <c r="E189">
        <v>805.05527950311</v>
      </c>
      <c r="F189">
        <v>132.04153750775001</v>
      </c>
      <c r="G189">
        <v>114.50278983261001</v>
      </c>
      <c r="I189" s="9">
        <f t="shared" si="15"/>
        <v>690.55248967049999</v>
      </c>
      <c r="J189" s="9">
        <f t="shared" si="16"/>
        <v>3135.0367233618499</v>
      </c>
      <c r="K189" s="9">
        <f t="shared" si="17"/>
        <v>690.55248967049999</v>
      </c>
      <c r="L189" s="10">
        <f t="shared" si="14"/>
        <v>0.22026934629652042</v>
      </c>
      <c r="M189" s="10">
        <f t="shared" si="20"/>
        <v>0.22386448749077176</v>
      </c>
      <c r="P189" s="8">
        <f t="shared" si="19"/>
        <v>89.042750794496868</v>
      </c>
    </row>
    <row r="190" spans="1:16" x14ac:dyDescent="0.2">
      <c r="A190" s="8">
        <v>94</v>
      </c>
      <c r="B190" s="8">
        <v>188</v>
      </c>
      <c r="D190">
        <v>3438.368125</v>
      </c>
      <c r="E190">
        <v>832.94937500000003</v>
      </c>
      <c r="F190">
        <v>132.32610043397</v>
      </c>
      <c r="G190">
        <v>114.31928084315</v>
      </c>
      <c r="I190" s="9">
        <f t="shared" si="15"/>
        <v>718.63009415685008</v>
      </c>
      <c r="J190" s="9">
        <f t="shared" si="16"/>
        <v>3306.0420245660298</v>
      </c>
      <c r="K190" s="9">
        <f t="shared" si="17"/>
        <v>718.63009415685008</v>
      </c>
      <c r="L190" s="10">
        <f t="shared" si="14"/>
        <v>0.21736871123142532</v>
      </c>
      <c r="M190" s="10">
        <f t="shared" si="20"/>
        <v>0.22098307777965662</v>
      </c>
      <c r="P190" s="8">
        <f t="shared" si="19"/>
        <v>86.60953941711108</v>
      </c>
    </row>
    <row r="191" spans="1:16" x14ac:dyDescent="0.2">
      <c r="A191" s="8">
        <v>94.5</v>
      </c>
      <c r="B191" s="8">
        <v>189</v>
      </c>
      <c r="D191">
        <v>3415.5943750000001</v>
      </c>
      <c r="E191">
        <v>822.34437500000001</v>
      </c>
      <c r="F191">
        <v>132.53502789832999</v>
      </c>
      <c r="G191">
        <v>114.00371977681</v>
      </c>
      <c r="I191" s="9">
        <f t="shared" si="15"/>
        <v>708.34065522318997</v>
      </c>
      <c r="J191" s="9">
        <f t="shared" si="16"/>
        <v>3283.05934710167</v>
      </c>
      <c r="K191" s="9">
        <f t="shared" si="17"/>
        <v>708.34065522318997</v>
      </c>
      <c r="L191" s="10">
        <f t="shared" si="14"/>
        <v>0.21575627496606872</v>
      </c>
      <c r="M191" s="10">
        <f t="shared" si="20"/>
        <v>0.21938986686827996</v>
      </c>
      <c r="P191" s="8">
        <f t="shared" si="19"/>
        <v>85.264149727757768</v>
      </c>
    </row>
    <row r="192" spans="1:16" x14ac:dyDescent="0.2">
      <c r="A192" s="8">
        <v>95</v>
      </c>
      <c r="B192" s="8">
        <v>190</v>
      </c>
      <c r="D192">
        <v>3540.9431249999998</v>
      </c>
      <c r="E192">
        <v>831.81187499999999</v>
      </c>
      <c r="F192">
        <v>132.45381277122999</v>
      </c>
      <c r="G192">
        <v>114.36763794172001</v>
      </c>
      <c r="I192" s="9">
        <f t="shared" si="15"/>
        <v>717.44423705828001</v>
      </c>
      <c r="J192" s="9">
        <f t="shared" si="16"/>
        <v>3408.4893122287699</v>
      </c>
      <c r="K192" s="9">
        <f t="shared" si="17"/>
        <v>717.44423705828001</v>
      </c>
      <c r="L192" s="10">
        <f t="shared" si="14"/>
        <v>0.21048745392402357</v>
      </c>
      <c r="M192" s="10">
        <f t="shared" si="20"/>
        <v>0.21414027118021478</v>
      </c>
      <c r="P192" s="8">
        <f t="shared" si="19"/>
        <v>80.831119636409838</v>
      </c>
    </row>
    <row r="193" spans="1:16" x14ac:dyDescent="0.2">
      <c r="A193" s="8">
        <v>95.5</v>
      </c>
      <c r="B193" s="8">
        <v>191</v>
      </c>
      <c r="D193">
        <v>3563.8562499999998</v>
      </c>
      <c r="E193">
        <v>823.859375</v>
      </c>
      <c r="F193">
        <v>132.42033477991001</v>
      </c>
      <c r="G193">
        <v>114.74705517669</v>
      </c>
      <c r="I193" s="9">
        <f t="shared" si="15"/>
        <v>709.11231982331003</v>
      </c>
      <c r="J193" s="9">
        <f t="shared" si="16"/>
        <v>3431.43591522009</v>
      </c>
      <c r="K193" s="9">
        <f t="shared" si="17"/>
        <v>709.11231982331003</v>
      </c>
      <c r="L193" s="10">
        <f t="shared" si="14"/>
        <v>0.20665177416779124</v>
      </c>
      <c r="M193" s="10">
        <f t="shared" si="20"/>
        <v>0.21032381677796239</v>
      </c>
      <c r="P193" s="8">
        <f t="shared" si="19"/>
        <v>77.608308164298606</v>
      </c>
    </row>
    <row r="194" spans="1:16" x14ac:dyDescent="0.2">
      <c r="A194" s="8">
        <v>96</v>
      </c>
      <c r="B194" s="8">
        <v>192</v>
      </c>
      <c r="D194">
        <v>3621.6868749999999</v>
      </c>
      <c r="E194">
        <v>829.65374999999995</v>
      </c>
      <c r="F194">
        <v>132.28332300061999</v>
      </c>
      <c r="G194">
        <v>114.42405455673</v>
      </c>
      <c r="I194" s="9">
        <f t="shared" si="15"/>
        <v>715.22969544326997</v>
      </c>
      <c r="J194" s="9">
        <f t="shared" si="16"/>
        <v>3489.4035519993799</v>
      </c>
      <c r="K194" s="9">
        <f t="shared" si="17"/>
        <v>715.22969544326997</v>
      </c>
      <c r="L194" s="10">
        <f t="shared" ref="L194:L257" si="21">K194/J194</f>
        <v>0.20497190559499867</v>
      </c>
      <c r="M194" s="10">
        <f t="shared" si="20"/>
        <v>0.20866317355914979</v>
      </c>
      <c r="P194" s="8">
        <f t="shared" si="19"/>
        <v>76.205975147162505</v>
      </c>
    </row>
    <row r="195" spans="1:16" x14ac:dyDescent="0.2">
      <c r="A195" s="8">
        <v>96.5</v>
      </c>
      <c r="B195" s="8">
        <v>193</v>
      </c>
      <c r="D195">
        <v>3525.3787499999999</v>
      </c>
      <c r="E195">
        <v>826.18062499999996</v>
      </c>
      <c r="F195">
        <v>132.27960322381</v>
      </c>
      <c r="G195">
        <v>114.38065716057</v>
      </c>
      <c r="I195" s="9">
        <f t="shared" ref="I195:I241" si="22">E195-G195</f>
        <v>711.79996783943</v>
      </c>
      <c r="J195" s="9">
        <f t="shared" ref="J195:J241" si="23">D195-F195</f>
        <v>3393.0991467761896</v>
      </c>
      <c r="K195" s="9">
        <f t="shared" ref="K195:K258" si="24">I195*1</f>
        <v>711.79996783943</v>
      </c>
      <c r="L195" s="10">
        <f t="shared" si="21"/>
        <v>0.20977871174666876</v>
      </c>
      <c r="M195" s="10">
        <f t="shared" si="20"/>
        <v>0.21348920506479982</v>
      </c>
      <c r="P195" s="8">
        <f t="shared" ref="P195:P241" si="25">(M195-$O$2)/$O$2*100</f>
        <v>80.281325737490491</v>
      </c>
    </row>
    <row r="196" spans="1:16" x14ac:dyDescent="0.2">
      <c r="A196" s="8">
        <v>97</v>
      </c>
      <c r="B196" s="8">
        <v>194</v>
      </c>
      <c r="D196">
        <v>3502.9943750000002</v>
      </c>
      <c r="E196">
        <v>826.53687500000001</v>
      </c>
      <c r="F196">
        <v>132.35523868568001</v>
      </c>
      <c r="G196">
        <v>114.38871667700001</v>
      </c>
      <c r="I196" s="9">
        <f t="shared" si="22"/>
        <v>712.14815832299996</v>
      </c>
      <c r="J196" s="9">
        <f t="shared" si="23"/>
        <v>3370.6391363143202</v>
      </c>
      <c r="K196" s="9">
        <f t="shared" si="24"/>
        <v>712.14815832299996</v>
      </c>
      <c r="L196" s="10">
        <f t="shared" si="21"/>
        <v>0.21127985806920579</v>
      </c>
      <c r="M196" s="10">
        <f t="shared" si="20"/>
        <v>0.21500957674131682</v>
      </c>
      <c r="P196" s="8">
        <f t="shared" si="25"/>
        <v>81.565206209915416</v>
      </c>
    </row>
    <row r="197" spans="1:16" x14ac:dyDescent="0.2">
      <c r="A197" s="8">
        <v>97.5</v>
      </c>
      <c r="B197" s="8">
        <v>195</v>
      </c>
      <c r="D197">
        <v>3521.14</v>
      </c>
      <c r="E197">
        <v>827.88187500000004</v>
      </c>
      <c r="F197">
        <v>132.60756354618999</v>
      </c>
      <c r="G197">
        <v>114.62678239306</v>
      </c>
      <c r="I197" s="9">
        <f t="shared" si="22"/>
        <v>713.25509260694002</v>
      </c>
      <c r="J197" s="9">
        <f t="shared" si="23"/>
        <v>3388.5324364538101</v>
      </c>
      <c r="K197" s="9">
        <f t="shared" si="24"/>
        <v>713.25509260694002</v>
      </c>
      <c r="L197" s="10">
        <f t="shared" si="21"/>
        <v>0.21049085584477409</v>
      </c>
      <c r="M197" s="10">
        <f t="shared" si="20"/>
        <v>0.21423979987086506</v>
      </c>
      <c r="P197" s="8">
        <f t="shared" si="25"/>
        <v>80.915166810101368</v>
      </c>
    </row>
    <row r="198" spans="1:16" x14ac:dyDescent="0.2">
      <c r="A198" s="8">
        <v>98</v>
      </c>
      <c r="B198" s="8">
        <v>196</v>
      </c>
      <c r="D198">
        <v>3384.1495327102998</v>
      </c>
      <c r="E198">
        <v>788.79813084112004</v>
      </c>
      <c r="F198">
        <v>132.66831990080999</v>
      </c>
      <c r="G198">
        <v>114.33725976441001</v>
      </c>
      <c r="I198" s="9">
        <f t="shared" si="22"/>
        <v>674.46087107671008</v>
      </c>
      <c r="J198" s="9">
        <f t="shared" si="23"/>
        <v>3251.48121280949</v>
      </c>
      <c r="K198" s="9">
        <f t="shared" si="24"/>
        <v>674.46087107671008</v>
      </c>
      <c r="L198" s="10">
        <f t="shared" si="21"/>
        <v>0.20743188317361744</v>
      </c>
      <c r="M198" s="10">
        <f t="shared" si="20"/>
        <v>0.21120005255368837</v>
      </c>
      <c r="P198" s="8">
        <f t="shared" si="25"/>
        <v>78.348246969441249</v>
      </c>
    </row>
    <row r="199" spans="1:16" x14ac:dyDescent="0.2">
      <c r="A199" s="8">
        <v>98.5</v>
      </c>
      <c r="B199" s="8">
        <v>197</v>
      </c>
      <c r="D199">
        <v>3513.9059190030998</v>
      </c>
      <c r="E199">
        <v>811.05233644860004</v>
      </c>
      <c r="F199">
        <v>132.94358338500001</v>
      </c>
      <c r="G199">
        <v>114.5542467452</v>
      </c>
      <c r="I199" s="9">
        <f t="shared" si="22"/>
        <v>696.49808970340007</v>
      </c>
      <c r="J199" s="9">
        <f t="shared" si="23"/>
        <v>3380.9623356181</v>
      </c>
      <c r="K199" s="9">
        <f t="shared" si="24"/>
        <v>696.49808970340007</v>
      </c>
      <c r="L199" s="10">
        <f t="shared" si="21"/>
        <v>0.20600587068535559</v>
      </c>
      <c r="M199" s="10">
        <f t="shared" si="20"/>
        <v>0.20979326541940646</v>
      </c>
      <c r="P199" s="8">
        <f t="shared" si="25"/>
        <v>77.160283158709888</v>
      </c>
    </row>
    <row r="200" spans="1:16" x14ac:dyDescent="0.2">
      <c r="A200" s="8">
        <v>99</v>
      </c>
      <c r="B200" s="8">
        <v>198</v>
      </c>
      <c r="D200">
        <v>3503.9333333333002</v>
      </c>
      <c r="E200">
        <v>802.85545171340004</v>
      </c>
      <c r="F200">
        <v>132.63236205827999</v>
      </c>
      <c r="G200">
        <v>114.37259764414</v>
      </c>
      <c r="I200" s="9">
        <f t="shared" si="22"/>
        <v>688.48285406926004</v>
      </c>
      <c r="J200" s="9">
        <f t="shared" si="23"/>
        <v>3371.3009712750204</v>
      </c>
      <c r="K200" s="9">
        <f t="shared" si="24"/>
        <v>688.48285406926004</v>
      </c>
      <c r="L200" s="10">
        <f t="shared" si="21"/>
        <v>0.20421874520709937</v>
      </c>
      <c r="M200" s="10">
        <f t="shared" si="20"/>
        <v>0.20802536529513022</v>
      </c>
      <c r="P200" s="8">
        <f t="shared" si="25"/>
        <v>75.667376863615218</v>
      </c>
    </row>
    <row r="201" spans="1:16" x14ac:dyDescent="0.2">
      <c r="A201" s="8">
        <v>99.5</v>
      </c>
      <c r="B201" s="8">
        <v>199</v>
      </c>
      <c r="D201">
        <v>3356.8857852266001</v>
      </c>
      <c r="E201">
        <v>769.88578522656996</v>
      </c>
      <c r="F201">
        <v>132.69063856169001</v>
      </c>
      <c r="G201">
        <v>114.18908865468001</v>
      </c>
      <c r="I201" s="9">
        <f t="shared" si="22"/>
        <v>655.69669657189002</v>
      </c>
      <c r="J201" s="9">
        <f t="shared" si="23"/>
        <v>3224.1951466649102</v>
      </c>
      <c r="K201" s="9">
        <f t="shared" si="24"/>
        <v>655.69669657189002</v>
      </c>
      <c r="L201" s="10">
        <f t="shared" si="21"/>
        <v>0.20336755895502762</v>
      </c>
      <c r="M201" s="10">
        <f t="shared" si="20"/>
        <v>0.2071934043970384</v>
      </c>
      <c r="P201" s="8">
        <f t="shared" si="25"/>
        <v>74.964826054902332</v>
      </c>
    </row>
    <row r="202" spans="1:16" x14ac:dyDescent="0.2">
      <c r="A202" s="8">
        <v>100</v>
      </c>
      <c r="B202" s="8">
        <v>200</v>
      </c>
      <c r="D202">
        <v>3041.3749224083999</v>
      </c>
      <c r="E202">
        <v>728.25263811296998</v>
      </c>
      <c r="F202">
        <v>132.39181649100999</v>
      </c>
      <c r="G202">
        <v>114.22876627402</v>
      </c>
      <c r="I202" s="9">
        <f t="shared" si="22"/>
        <v>614.02387183894996</v>
      </c>
      <c r="J202" s="9">
        <f t="shared" si="23"/>
        <v>2908.9831059173898</v>
      </c>
      <c r="K202" s="9">
        <f t="shared" si="24"/>
        <v>614.02387183894996</v>
      </c>
      <c r="L202" s="10">
        <f t="shared" si="21"/>
        <v>0.21107852795360552</v>
      </c>
      <c r="M202" s="10">
        <f t="shared" si="20"/>
        <v>0.21492359874959627</v>
      </c>
      <c r="P202" s="8">
        <f t="shared" si="25"/>
        <v>81.492601947199077</v>
      </c>
    </row>
    <row r="203" spans="1:16" x14ac:dyDescent="0.2">
      <c r="A203" s="8">
        <v>100.5</v>
      </c>
      <c r="B203" s="8">
        <v>201</v>
      </c>
      <c r="D203">
        <v>3348.0229813665001</v>
      </c>
      <c r="E203">
        <v>784.25279503106003</v>
      </c>
      <c r="F203">
        <v>132.22380657161</v>
      </c>
      <c r="G203">
        <v>114.40793552386999</v>
      </c>
      <c r="I203" s="9">
        <f t="shared" si="22"/>
        <v>669.84485950718999</v>
      </c>
      <c r="J203" s="9">
        <f t="shared" si="23"/>
        <v>3215.79917479489</v>
      </c>
      <c r="K203" s="9">
        <f t="shared" si="24"/>
        <v>669.84485950718999</v>
      </c>
      <c r="L203" s="10">
        <f t="shared" si="21"/>
        <v>0.20829810044027827</v>
      </c>
      <c r="M203" s="10">
        <f t="shared" si="20"/>
        <v>0.21216239659024896</v>
      </c>
      <c r="P203" s="8">
        <f t="shared" si="25"/>
        <v>79.160900043277238</v>
      </c>
    </row>
    <row r="204" spans="1:16" x14ac:dyDescent="0.2">
      <c r="A204" s="8">
        <v>101</v>
      </c>
      <c r="B204" s="8">
        <v>202</v>
      </c>
      <c r="D204">
        <v>3619.8900621118</v>
      </c>
      <c r="E204">
        <v>830.05031055900997</v>
      </c>
      <c r="F204">
        <v>132.38251704897999</v>
      </c>
      <c r="G204">
        <v>114.30750154991</v>
      </c>
      <c r="I204" s="9">
        <f t="shared" si="22"/>
        <v>715.74280900910003</v>
      </c>
      <c r="J204" s="9">
        <f t="shared" si="23"/>
        <v>3487.5075450628201</v>
      </c>
      <c r="K204" s="9">
        <f t="shared" si="24"/>
        <v>715.74280900910003</v>
      </c>
      <c r="L204" s="10">
        <f t="shared" si="21"/>
        <v>0.2052304689698406</v>
      </c>
      <c r="M204" s="10">
        <f t="shared" si="20"/>
        <v>0.20911399047379126</v>
      </c>
      <c r="P204" s="8">
        <f t="shared" si="25"/>
        <v>76.58666826469873</v>
      </c>
    </row>
    <row r="205" spans="1:16" x14ac:dyDescent="0.2">
      <c r="A205" s="8">
        <v>101.5</v>
      </c>
      <c r="B205" s="8">
        <v>203</v>
      </c>
      <c r="D205">
        <v>3529.0998140112001</v>
      </c>
      <c r="E205">
        <v>797.83013019219004</v>
      </c>
      <c r="F205">
        <v>132.77247365157999</v>
      </c>
      <c r="G205">
        <v>114.58090514569</v>
      </c>
      <c r="I205" s="9">
        <f t="shared" si="22"/>
        <v>683.24922504649999</v>
      </c>
      <c r="J205" s="9">
        <f t="shared" si="23"/>
        <v>3396.3273403596199</v>
      </c>
      <c r="K205" s="9">
        <f t="shared" si="24"/>
        <v>683.24922504649999</v>
      </c>
      <c r="L205" s="10">
        <f t="shared" si="21"/>
        <v>0.20117296025245734</v>
      </c>
      <c r="M205" s="10">
        <f t="shared" si="20"/>
        <v>0.20507570711038794</v>
      </c>
      <c r="P205" s="8">
        <f t="shared" si="25"/>
        <v>73.176532945505315</v>
      </c>
    </row>
    <row r="206" spans="1:16" x14ac:dyDescent="0.2">
      <c r="A206" s="8">
        <v>102</v>
      </c>
      <c r="B206" s="8">
        <v>204</v>
      </c>
      <c r="D206">
        <v>3416.1264724117</v>
      </c>
      <c r="E206">
        <v>791.15747055176996</v>
      </c>
      <c r="F206">
        <v>132.59578425295001</v>
      </c>
      <c r="G206">
        <v>114.30130192189</v>
      </c>
      <c r="I206" s="9">
        <f t="shared" si="22"/>
        <v>676.8561686298799</v>
      </c>
      <c r="J206" s="9">
        <f t="shared" si="23"/>
        <v>3283.5306881587499</v>
      </c>
      <c r="K206" s="9">
        <f t="shared" si="24"/>
        <v>676.8561686298799</v>
      </c>
      <c r="L206" s="10">
        <f t="shared" si="21"/>
        <v>0.2061366964136489</v>
      </c>
      <c r="M206" s="10">
        <f t="shared" si="20"/>
        <v>0.21005866862555944</v>
      </c>
      <c r="P206" s="8">
        <f t="shared" si="25"/>
        <v>77.384403351792798</v>
      </c>
    </row>
    <row r="207" spans="1:16" x14ac:dyDescent="0.2">
      <c r="A207" s="8">
        <v>102.5</v>
      </c>
      <c r="B207" s="8">
        <v>205</v>
      </c>
      <c r="D207">
        <v>3289.2260273973002</v>
      </c>
      <c r="E207">
        <v>776.70174346201998</v>
      </c>
      <c r="F207">
        <v>132.29324240546001</v>
      </c>
      <c r="G207">
        <v>114.04029758215</v>
      </c>
      <c r="I207" s="9">
        <f t="shared" si="22"/>
        <v>662.66144587986992</v>
      </c>
      <c r="J207" s="9">
        <f t="shared" si="23"/>
        <v>3156.93278499184</v>
      </c>
      <c r="K207" s="9">
        <f t="shared" si="24"/>
        <v>662.66144587986992</v>
      </c>
      <c r="L207" s="10">
        <f t="shared" si="21"/>
        <v>0.20990673258239256</v>
      </c>
      <c r="M207" s="10">
        <f t="shared" si="20"/>
        <v>0.21384793014828307</v>
      </c>
      <c r="P207" s="8">
        <f t="shared" si="25"/>
        <v>80.584251750100933</v>
      </c>
    </row>
    <row r="208" spans="1:16" x14ac:dyDescent="0.2">
      <c r="A208" s="8">
        <v>103</v>
      </c>
      <c r="B208" s="8">
        <v>206</v>
      </c>
      <c r="D208">
        <v>3226.4613003096001</v>
      </c>
      <c r="E208">
        <v>761.66068111455002</v>
      </c>
      <c r="F208">
        <v>132.37507749535001</v>
      </c>
      <c r="G208">
        <v>114.37197768134</v>
      </c>
      <c r="I208" s="9">
        <f t="shared" si="22"/>
        <v>647.28870343321</v>
      </c>
      <c r="J208" s="9">
        <f t="shared" si="23"/>
        <v>3094.08622281425</v>
      </c>
      <c r="K208" s="9">
        <f t="shared" si="24"/>
        <v>647.28870343321</v>
      </c>
      <c r="L208" s="10">
        <f t="shared" si="21"/>
        <v>0.20920189575210466</v>
      </c>
      <c r="M208" s="10">
        <f t="shared" si="20"/>
        <v>0.2131623186719751</v>
      </c>
      <c r="P208" s="8">
        <f t="shared" si="25"/>
        <v>80.005285961867656</v>
      </c>
    </row>
    <row r="209" spans="1:16" x14ac:dyDescent="0.2">
      <c r="A209" s="8">
        <v>103.5</v>
      </c>
      <c r="B209" s="8">
        <v>207</v>
      </c>
      <c r="D209">
        <v>3385.1089783282</v>
      </c>
      <c r="E209">
        <v>804.85820433437004</v>
      </c>
      <c r="F209">
        <v>132.65840049597</v>
      </c>
      <c r="G209">
        <v>114.23248605084</v>
      </c>
      <c r="I209" s="9">
        <f t="shared" si="22"/>
        <v>690.62571828353009</v>
      </c>
      <c r="J209" s="9">
        <f t="shared" si="23"/>
        <v>3252.45057783223</v>
      </c>
      <c r="K209" s="9">
        <f t="shared" si="24"/>
        <v>690.62571828353009</v>
      </c>
      <c r="L209" s="10">
        <f t="shared" si="21"/>
        <v>0.21234011148105889</v>
      </c>
      <c r="M209" s="10">
        <f t="shared" si="20"/>
        <v>0.2163197597549093</v>
      </c>
      <c r="P209" s="8">
        <f t="shared" si="25"/>
        <v>82.671592505079616</v>
      </c>
    </row>
    <row r="210" spans="1:16" x14ac:dyDescent="0.2">
      <c r="A210" s="8">
        <v>104</v>
      </c>
      <c r="B210" s="8">
        <v>208</v>
      </c>
      <c r="D210">
        <v>3249.8170504045002</v>
      </c>
      <c r="E210">
        <v>746.42688238954997</v>
      </c>
      <c r="F210">
        <v>132.81029138252001</v>
      </c>
      <c r="G210">
        <v>114.33911965282</v>
      </c>
      <c r="I210" s="9">
        <f t="shared" si="22"/>
        <v>632.08776273672993</v>
      </c>
      <c r="J210" s="9">
        <f t="shared" si="23"/>
        <v>3117.0067590219801</v>
      </c>
      <c r="K210" s="9">
        <f t="shared" si="24"/>
        <v>632.08776273672993</v>
      </c>
      <c r="L210" s="10">
        <f t="shared" si="21"/>
        <v>0.20278677962670169</v>
      </c>
      <c r="M210" s="10">
        <f t="shared" si="20"/>
        <v>0.20678565325453205</v>
      </c>
      <c r="P210" s="8">
        <f t="shared" si="25"/>
        <v>74.620499902581386</v>
      </c>
    </row>
    <row r="211" spans="1:16" x14ac:dyDescent="0.2">
      <c r="A211" s="8">
        <v>104.5</v>
      </c>
      <c r="B211" s="8">
        <v>209</v>
      </c>
      <c r="D211">
        <v>3381.3036714374998</v>
      </c>
      <c r="E211">
        <v>774.07093963908005</v>
      </c>
      <c r="F211">
        <v>132.76813391197001</v>
      </c>
      <c r="G211">
        <v>114.50340979540999</v>
      </c>
      <c r="I211" s="9">
        <f t="shared" si="22"/>
        <v>659.56752984367006</v>
      </c>
      <c r="J211" s="9">
        <f t="shared" si="23"/>
        <v>3248.5355375255299</v>
      </c>
      <c r="K211" s="9">
        <f t="shared" si="24"/>
        <v>659.56752984367006</v>
      </c>
      <c r="L211" s="10">
        <f t="shared" si="21"/>
        <v>0.20303534384175922</v>
      </c>
      <c r="M211" s="10">
        <f t="shared" si="20"/>
        <v>0.20705344282356955</v>
      </c>
      <c r="P211" s="8">
        <f t="shared" si="25"/>
        <v>74.84663526389906</v>
      </c>
    </row>
    <row r="212" spans="1:16" x14ac:dyDescent="0.2">
      <c r="A212" s="8">
        <v>105</v>
      </c>
      <c r="B212" s="8">
        <v>210</v>
      </c>
      <c r="D212">
        <v>3303.4152227722998</v>
      </c>
      <c r="E212">
        <v>757.31559405941005</v>
      </c>
      <c r="F212">
        <v>132.46435213887</v>
      </c>
      <c r="G212">
        <v>114.35337879727</v>
      </c>
      <c r="I212" s="9">
        <f t="shared" si="22"/>
        <v>642.96221526214003</v>
      </c>
      <c r="J212" s="9">
        <f t="shared" si="23"/>
        <v>3170.95087063343</v>
      </c>
      <c r="K212" s="9">
        <f t="shared" si="24"/>
        <v>642.96221526214003</v>
      </c>
      <c r="L212" s="10">
        <f t="shared" si="21"/>
        <v>0.20276637560571908</v>
      </c>
      <c r="M212" s="10">
        <f t="shared" si="20"/>
        <v>0.20680369994150935</v>
      </c>
      <c r="P212" s="8">
        <f t="shared" si="25"/>
        <v>74.635739458382105</v>
      </c>
    </row>
    <row r="213" spans="1:16" x14ac:dyDescent="0.2">
      <c r="A213" s="8">
        <v>105.5</v>
      </c>
      <c r="B213" s="8">
        <v>211</v>
      </c>
      <c r="D213">
        <v>3012.0544554455</v>
      </c>
      <c r="E213">
        <v>717.58787128713004</v>
      </c>
      <c r="F213">
        <v>132.62244265344</v>
      </c>
      <c r="G213">
        <v>114.00433973961999</v>
      </c>
      <c r="I213" s="9">
        <f t="shared" si="22"/>
        <v>603.58353154751001</v>
      </c>
      <c r="J213" s="9">
        <f t="shared" si="23"/>
        <v>2879.43201279206</v>
      </c>
      <c r="K213" s="9">
        <f t="shared" si="24"/>
        <v>603.58353154751001</v>
      </c>
      <c r="L213" s="10">
        <f t="shared" si="21"/>
        <v>0.2096189557058655</v>
      </c>
      <c r="M213" s="10">
        <f t="shared" si="20"/>
        <v>0.21367550539563573</v>
      </c>
      <c r="P213" s="8">
        <f t="shared" si="25"/>
        <v>80.438647371707262</v>
      </c>
    </row>
    <row r="214" spans="1:16" x14ac:dyDescent="0.2">
      <c r="A214" s="8">
        <v>106</v>
      </c>
      <c r="B214" s="8">
        <v>212</v>
      </c>
      <c r="D214">
        <v>3176.7605198020001</v>
      </c>
      <c r="E214">
        <v>739.95792079208002</v>
      </c>
      <c r="F214">
        <v>132.41103533788001</v>
      </c>
      <c r="G214">
        <v>113.89584624923</v>
      </c>
      <c r="I214" s="9">
        <f t="shared" si="22"/>
        <v>626.06207454285004</v>
      </c>
      <c r="J214" s="9">
        <f t="shared" si="23"/>
        <v>3044.34948446412</v>
      </c>
      <c r="K214" s="9">
        <f t="shared" si="24"/>
        <v>626.06207454285004</v>
      </c>
      <c r="L214" s="10">
        <f t="shared" si="21"/>
        <v>0.20564724179591104</v>
      </c>
      <c r="M214" s="10">
        <f t="shared" si="20"/>
        <v>0.20972301683966121</v>
      </c>
      <c r="P214" s="8">
        <f t="shared" si="25"/>
        <v>77.10096162494051</v>
      </c>
    </row>
    <row r="215" spans="1:16" x14ac:dyDescent="0.2">
      <c r="A215" s="8">
        <v>106.5</v>
      </c>
      <c r="B215" s="8">
        <v>213</v>
      </c>
      <c r="D215">
        <v>3077.5266089109</v>
      </c>
      <c r="E215">
        <v>721.32549504950998</v>
      </c>
      <c r="F215">
        <v>132.70551766893999</v>
      </c>
      <c r="G215">
        <v>114.22380657161</v>
      </c>
      <c r="I215" s="9">
        <f t="shared" si="22"/>
        <v>607.10168847789998</v>
      </c>
      <c r="J215" s="9">
        <f t="shared" si="23"/>
        <v>2944.8210912419599</v>
      </c>
      <c r="K215" s="9">
        <f t="shared" si="24"/>
        <v>607.10168847789998</v>
      </c>
      <c r="L215" s="10">
        <f t="shared" si="21"/>
        <v>0.20615910769025994</v>
      </c>
      <c r="M215" s="10">
        <f t="shared" si="20"/>
        <v>0.21025410808799008</v>
      </c>
      <c r="P215" s="8">
        <f t="shared" si="25"/>
        <v>77.549442541374873</v>
      </c>
    </row>
    <row r="216" spans="1:16" x14ac:dyDescent="0.2">
      <c r="A216" s="8">
        <v>107</v>
      </c>
      <c r="B216" s="8">
        <v>214</v>
      </c>
      <c r="D216">
        <v>3144.6958410924999</v>
      </c>
      <c r="E216">
        <v>738.86592178771002</v>
      </c>
      <c r="F216">
        <v>132.66274023559001</v>
      </c>
      <c r="G216">
        <v>114.34035957843</v>
      </c>
      <c r="I216" s="9">
        <f t="shared" si="22"/>
        <v>624.52556220928</v>
      </c>
      <c r="J216" s="9">
        <f t="shared" si="23"/>
        <v>3012.0331008569101</v>
      </c>
      <c r="K216" s="9">
        <f t="shared" si="24"/>
        <v>624.52556220928</v>
      </c>
      <c r="L216" s="10">
        <f t="shared" si="21"/>
        <v>0.20734352555143076</v>
      </c>
      <c r="M216" s="10">
        <f t="shared" si="20"/>
        <v>0.21145775130314085</v>
      </c>
      <c r="P216" s="8">
        <f t="shared" si="25"/>
        <v>78.565861120836317</v>
      </c>
    </row>
    <row r="217" spans="1:16" x14ac:dyDescent="0.2">
      <c r="A217" s="8">
        <v>107.5</v>
      </c>
      <c r="B217" s="8">
        <v>215</v>
      </c>
      <c r="D217">
        <v>3193.8381717109</v>
      </c>
      <c r="E217">
        <v>733.36504014824004</v>
      </c>
      <c r="F217">
        <v>133.01239925605</v>
      </c>
      <c r="G217">
        <v>114.47985120893</v>
      </c>
      <c r="I217" s="9">
        <f t="shared" si="22"/>
        <v>618.88518893931007</v>
      </c>
      <c r="J217" s="9">
        <f t="shared" si="23"/>
        <v>3060.8257724548503</v>
      </c>
      <c r="K217" s="9">
        <f t="shared" si="24"/>
        <v>618.88518893931007</v>
      </c>
      <c r="L217" s="10">
        <f t="shared" si="21"/>
        <v>0.20219549721150917</v>
      </c>
      <c r="M217" s="10">
        <f t="shared" si="20"/>
        <v>0.20632894831719922</v>
      </c>
      <c r="P217" s="8">
        <f t="shared" si="25"/>
        <v>74.234834634174831</v>
      </c>
    </row>
    <row r="218" spans="1:16" x14ac:dyDescent="0.2">
      <c r="A218" s="8">
        <v>108</v>
      </c>
      <c r="B218" s="8">
        <v>216</v>
      </c>
      <c r="D218">
        <v>3397.3242742433999</v>
      </c>
      <c r="E218">
        <v>776.28721432983002</v>
      </c>
      <c r="F218">
        <v>132.88158710477001</v>
      </c>
      <c r="G218">
        <v>114.40731556107001</v>
      </c>
      <c r="I218" s="9">
        <f t="shared" si="22"/>
        <v>661.87989876875997</v>
      </c>
      <c r="J218" s="9">
        <f t="shared" si="23"/>
        <v>3264.4426871386299</v>
      </c>
      <c r="K218" s="9">
        <f t="shared" si="24"/>
        <v>661.87989876875997</v>
      </c>
      <c r="L218" s="10">
        <f t="shared" si="21"/>
        <v>0.20275433273080837</v>
      </c>
      <c r="M218" s="10">
        <f t="shared" si="20"/>
        <v>0.20690700919047836</v>
      </c>
      <c r="P218" s="8">
        <f t="shared" si="25"/>
        <v>74.722979131036396</v>
      </c>
    </row>
    <row r="219" spans="1:16" x14ac:dyDescent="0.2">
      <c r="A219" s="8">
        <v>108.5</v>
      </c>
      <c r="B219" s="8">
        <v>217</v>
      </c>
      <c r="D219">
        <v>3250.5983960518001</v>
      </c>
      <c r="E219">
        <v>733.66563849475995</v>
      </c>
      <c r="F219">
        <v>132.90080595164</v>
      </c>
      <c r="G219">
        <v>114.51518908865999</v>
      </c>
      <c r="I219" s="9">
        <f t="shared" si="22"/>
        <v>619.15044940609994</v>
      </c>
      <c r="J219" s="9">
        <f t="shared" si="23"/>
        <v>3117.6975901001601</v>
      </c>
      <c r="K219" s="9">
        <f t="shared" si="24"/>
        <v>619.15044940609994</v>
      </c>
      <c r="L219" s="10">
        <f t="shared" si="21"/>
        <v>0.198592208356619</v>
      </c>
      <c r="M219" s="10">
        <f t="shared" si="20"/>
        <v>0.20276411017026896</v>
      </c>
      <c r="P219" s="8">
        <f t="shared" si="25"/>
        <v>71.224500940847818</v>
      </c>
    </row>
    <row r="220" spans="1:16" x14ac:dyDescent="0.2">
      <c r="A220" s="8">
        <v>109</v>
      </c>
      <c r="B220" s="8">
        <v>218</v>
      </c>
      <c r="D220">
        <v>3140.0542874768998</v>
      </c>
      <c r="E220">
        <v>709.34855027761</v>
      </c>
      <c r="F220">
        <v>132.79541227525999</v>
      </c>
      <c r="G220">
        <v>114.42219466832</v>
      </c>
      <c r="I220" s="9">
        <f t="shared" si="22"/>
        <v>594.92635560929</v>
      </c>
      <c r="J220" s="9">
        <f t="shared" si="23"/>
        <v>3007.25887520164</v>
      </c>
      <c r="K220" s="9">
        <f t="shared" si="24"/>
        <v>594.92635560929</v>
      </c>
      <c r="L220" s="10">
        <f t="shared" si="21"/>
        <v>0.19783011050866034</v>
      </c>
      <c r="M220" s="10">
        <f t="shared" si="20"/>
        <v>0.20202123767629024</v>
      </c>
      <c r="P220" s="8">
        <f t="shared" si="25"/>
        <v>70.597180987936142</v>
      </c>
    </row>
    <row r="221" spans="1:16" x14ac:dyDescent="0.2">
      <c r="A221" s="8">
        <v>109.5</v>
      </c>
      <c r="B221" s="8">
        <v>219</v>
      </c>
      <c r="D221">
        <v>3197.5747055176998</v>
      </c>
      <c r="E221">
        <v>723.63360198388</v>
      </c>
      <c r="F221">
        <v>132.60198388097001</v>
      </c>
      <c r="G221">
        <v>114.23248605084</v>
      </c>
      <c r="I221" s="9">
        <f t="shared" si="22"/>
        <v>609.40111593304005</v>
      </c>
      <c r="J221" s="9">
        <f t="shared" si="23"/>
        <v>3064.9727216367301</v>
      </c>
      <c r="K221" s="9">
        <f t="shared" si="24"/>
        <v>609.40111593304005</v>
      </c>
      <c r="L221" s="10">
        <f t="shared" si="21"/>
        <v>0.19882758225907243</v>
      </c>
      <c r="M221" s="10">
        <f t="shared" si="20"/>
        <v>0.2030379347806823</v>
      </c>
      <c r="P221" s="8">
        <f t="shared" si="25"/>
        <v>71.455732603216333</v>
      </c>
    </row>
    <row r="222" spans="1:16" x14ac:dyDescent="0.2">
      <c r="A222" s="8">
        <v>110</v>
      </c>
      <c r="B222" s="8">
        <v>220</v>
      </c>
      <c r="D222">
        <v>3155.5437073776002</v>
      </c>
      <c r="E222">
        <v>710.74333539988004</v>
      </c>
      <c r="F222">
        <v>132.70799752015</v>
      </c>
      <c r="G222">
        <v>114.45443273404</v>
      </c>
      <c r="I222" s="9">
        <f t="shared" si="22"/>
        <v>596.28890266584006</v>
      </c>
      <c r="J222" s="9">
        <f t="shared" si="23"/>
        <v>3022.8357098574502</v>
      </c>
      <c r="K222" s="9">
        <f t="shared" si="24"/>
        <v>596.28890266584006</v>
      </c>
      <c r="L222" s="10">
        <f t="shared" si="21"/>
        <v>0.19726143260824441</v>
      </c>
      <c r="M222" s="10">
        <f t="shared" si="20"/>
        <v>0.20149101048383422</v>
      </c>
      <c r="P222" s="8">
        <f t="shared" si="25"/>
        <v>70.149429724967021</v>
      </c>
    </row>
    <row r="223" spans="1:16" x14ac:dyDescent="0.2">
      <c r="A223" s="8">
        <v>110.5</v>
      </c>
      <c r="B223" s="8">
        <v>221</v>
      </c>
      <c r="D223">
        <v>3480.1822690639001</v>
      </c>
      <c r="E223">
        <v>762.38933663980004</v>
      </c>
      <c r="F223">
        <v>132.41289522629</v>
      </c>
      <c r="G223">
        <v>114.50712957223</v>
      </c>
      <c r="I223" s="9">
        <f t="shared" si="22"/>
        <v>647.88220706756999</v>
      </c>
      <c r="J223" s="9">
        <f t="shared" si="23"/>
        <v>3347.7693738376101</v>
      </c>
      <c r="K223" s="9">
        <f t="shared" si="24"/>
        <v>647.88220706756999</v>
      </c>
      <c r="L223" s="10">
        <f t="shared" si="21"/>
        <v>0.19352653505067782</v>
      </c>
      <c r="M223" s="10">
        <f t="shared" si="20"/>
        <v>0.1977753382802476</v>
      </c>
      <c r="P223" s="8">
        <f t="shared" si="25"/>
        <v>67.01172395354304</v>
      </c>
    </row>
    <row r="224" spans="1:16" x14ac:dyDescent="0.2">
      <c r="A224" s="8">
        <v>111</v>
      </c>
      <c r="B224" s="8">
        <v>222</v>
      </c>
      <c r="D224">
        <v>3612.0924317618001</v>
      </c>
      <c r="E224">
        <v>793.74875930521</v>
      </c>
      <c r="F224">
        <v>133.03781773093999</v>
      </c>
      <c r="G224">
        <v>114.02541847489</v>
      </c>
      <c r="I224" s="9">
        <f t="shared" si="22"/>
        <v>679.72334083032001</v>
      </c>
      <c r="J224" s="9">
        <f t="shared" si="23"/>
        <v>3479.0546140308602</v>
      </c>
      <c r="K224" s="9">
        <f t="shared" si="24"/>
        <v>679.72334083032001</v>
      </c>
      <c r="L224" s="10">
        <f t="shared" si="21"/>
        <v>0.19537587541426582</v>
      </c>
      <c r="M224" s="10">
        <f t="shared" si="20"/>
        <v>0.19964390399781554</v>
      </c>
      <c r="P224" s="8">
        <f t="shared" si="25"/>
        <v>68.589637481716636</v>
      </c>
    </row>
    <row r="225" spans="1:16" x14ac:dyDescent="0.2">
      <c r="A225" s="8">
        <v>111.5</v>
      </c>
      <c r="B225" s="8">
        <v>223</v>
      </c>
      <c r="D225">
        <v>3566.8517369727001</v>
      </c>
      <c r="E225">
        <v>780.60421836227999</v>
      </c>
      <c r="F225">
        <v>132.74519528828</v>
      </c>
      <c r="G225">
        <v>114.06013639182</v>
      </c>
      <c r="I225" s="9">
        <f t="shared" si="22"/>
        <v>666.54408197045996</v>
      </c>
      <c r="J225" s="9">
        <f t="shared" si="23"/>
        <v>3434.1065416844203</v>
      </c>
      <c r="K225" s="9">
        <f t="shared" si="24"/>
        <v>666.54408197045996</v>
      </c>
      <c r="L225" s="10">
        <f t="shared" si="21"/>
        <v>0.1940953415043209</v>
      </c>
      <c r="M225" s="10">
        <f t="shared" si="20"/>
        <v>0.19838259544185058</v>
      </c>
      <c r="P225" s="8">
        <f t="shared" si="25"/>
        <v>67.524523306204188</v>
      </c>
    </row>
    <row r="226" spans="1:16" x14ac:dyDescent="0.2">
      <c r="A226" s="8">
        <v>112</v>
      </c>
      <c r="B226" s="8">
        <v>224</v>
      </c>
      <c r="D226">
        <v>3633.8052109180999</v>
      </c>
      <c r="E226">
        <v>795.83436724566002</v>
      </c>
      <c r="F226">
        <v>132.66522008679999</v>
      </c>
      <c r="G226">
        <v>114.03409795412</v>
      </c>
      <c r="I226" s="9">
        <f t="shared" si="22"/>
        <v>681.80026929153996</v>
      </c>
      <c r="J226" s="9">
        <f t="shared" si="23"/>
        <v>3501.1399908312997</v>
      </c>
      <c r="K226" s="9">
        <f t="shared" si="24"/>
        <v>681.80026929153996</v>
      </c>
      <c r="L226" s="10">
        <f t="shared" si="21"/>
        <v>0.19473664894206513</v>
      </c>
      <c r="M226" s="10">
        <f t="shared" si="20"/>
        <v>0.19904312823357476</v>
      </c>
      <c r="P226" s="8">
        <f t="shared" si="25"/>
        <v>68.082311356185329</v>
      </c>
    </row>
    <row r="227" spans="1:16" x14ac:dyDescent="0.2">
      <c r="A227" s="8">
        <v>112.5</v>
      </c>
      <c r="B227" s="8">
        <v>225</v>
      </c>
      <c r="D227">
        <v>3605.7220843672999</v>
      </c>
      <c r="E227">
        <v>788.77481389577997</v>
      </c>
      <c r="F227">
        <v>133.06757594544001</v>
      </c>
      <c r="G227">
        <v>114.22690638562</v>
      </c>
      <c r="I227" s="9">
        <f t="shared" si="22"/>
        <v>674.54790751016003</v>
      </c>
      <c r="J227" s="9">
        <f t="shared" si="23"/>
        <v>3472.6545084218596</v>
      </c>
      <c r="K227" s="9">
        <f t="shared" si="24"/>
        <v>674.54790751016003</v>
      </c>
      <c r="L227" s="10">
        <f t="shared" si="21"/>
        <v>0.19424561408981247</v>
      </c>
      <c r="M227" s="10">
        <f t="shared" si="20"/>
        <v>0.19857131873530207</v>
      </c>
      <c r="P227" s="8">
        <f t="shared" si="25"/>
        <v>67.683891015361425</v>
      </c>
    </row>
    <row r="228" spans="1:16" x14ac:dyDescent="0.2">
      <c r="A228" s="8">
        <v>113</v>
      </c>
      <c r="B228" s="8">
        <v>226</v>
      </c>
      <c r="D228">
        <v>3572.4274193547999</v>
      </c>
      <c r="E228">
        <v>791.43300248138996</v>
      </c>
      <c r="F228">
        <v>132.96590204588</v>
      </c>
      <c r="G228">
        <v>114.67637941724</v>
      </c>
      <c r="I228" s="9">
        <f t="shared" si="22"/>
        <v>676.75662306414995</v>
      </c>
      <c r="J228" s="9">
        <f t="shared" si="23"/>
        <v>3439.4615173089201</v>
      </c>
      <c r="K228" s="9">
        <f t="shared" si="24"/>
        <v>676.75662306414995</v>
      </c>
      <c r="L228" s="10">
        <f t="shared" si="21"/>
        <v>0.19676237680183531</v>
      </c>
      <c r="M228" s="10">
        <f t="shared" si="20"/>
        <v>0.20110730680130484</v>
      </c>
      <c r="P228" s="8">
        <f t="shared" si="25"/>
        <v>69.825410491508549</v>
      </c>
    </row>
    <row r="229" spans="1:16" x14ac:dyDescent="0.2">
      <c r="A229" s="8">
        <v>113.5</v>
      </c>
      <c r="B229" s="8">
        <v>227</v>
      </c>
      <c r="D229">
        <v>3588.3711980137</v>
      </c>
      <c r="E229">
        <v>799.44444444444002</v>
      </c>
      <c r="F229">
        <v>133.11965282083</v>
      </c>
      <c r="G229">
        <v>114.42715437074</v>
      </c>
      <c r="I229" s="9">
        <f t="shared" si="22"/>
        <v>685.0172900737</v>
      </c>
      <c r="J229" s="9">
        <f t="shared" si="23"/>
        <v>3455.2515451928698</v>
      </c>
      <c r="K229" s="9">
        <f t="shared" si="24"/>
        <v>685.0172900737</v>
      </c>
      <c r="L229" s="10">
        <f t="shared" si="21"/>
        <v>0.19825395665526366</v>
      </c>
      <c r="M229" s="10">
        <f t="shared" si="20"/>
        <v>0.20261811200871316</v>
      </c>
      <c r="P229" s="8">
        <f t="shared" si="25"/>
        <v>71.101212542670837</v>
      </c>
    </row>
    <row r="230" spans="1:16" x14ac:dyDescent="0.2">
      <c r="A230" s="8">
        <v>114</v>
      </c>
      <c r="B230" s="8">
        <v>228</v>
      </c>
      <c r="D230">
        <v>3523.1837368094002</v>
      </c>
      <c r="E230">
        <v>792.31905648664997</v>
      </c>
      <c r="F230">
        <v>132.87600743954999</v>
      </c>
      <c r="G230">
        <v>114.06137631742</v>
      </c>
      <c r="I230" s="9">
        <f t="shared" si="22"/>
        <v>678.25768016922996</v>
      </c>
      <c r="J230" s="9">
        <f t="shared" si="23"/>
        <v>3390.3077293698502</v>
      </c>
      <c r="K230" s="9">
        <f t="shared" si="24"/>
        <v>678.25768016922996</v>
      </c>
      <c r="L230" s="10">
        <f t="shared" si="21"/>
        <v>0.20005785147276184</v>
      </c>
      <c r="M230" s="10">
        <f t="shared" si="20"/>
        <v>0.20444123218019128</v>
      </c>
      <c r="P230" s="8">
        <f t="shared" si="25"/>
        <v>72.640749501427479</v>
      </c>
    </row>
    <row r="231" spans="1:16" x14ac:dyDescent="0.2">
      <c r="A231" s="8">
        <v>114.5</v>
      </c>
      <c r="B231" s="8">
        <v>229</v>
      </c>
      <c r="D231">
        <v>3484.0639354437999</v>
      </c>
      <c r="E231">
        <v>780.54127870887999</v>
      </c>
      <c r="F231">
        <v>132.47303161810001</v>
      </c>
      <c r="G231">
        <v>114.36639801612</v>
      </c>
      <c r="I231" s="9">
        <f t="shared" si="22"/>
        <v>666.17488069275998</v>
      </c>
      <c r="J231" s="9">
        <f t="shared" si="23"/>
        <v>3351.5909038257</v>
      </c>
      <c r="K231" s="9">
        <f t="shared" si="24"/>
        <v>666.17488069275998</v>
      </c>
      <c r="L231" s="10">
        <f t="shared" si="21"/>
        <v>0.1987637810844842</v>
      </c>
      <c r="M231" s="10">
        <f t="shared" si="20"/>
        <v>0.20316638714589361</v>
      </c>
      <c r="P231" s="8">
        <f t="shared" si="25"/>
        <v>71.564204423547409</v>
      </c>
    </row>
    <row r="232" spans="1:16" x14ac:dyDescent="0.2">
      <c r="A232" s="8">
        <v>115</v>
      </c>
      <c r="B232" s="8">
        <v>230</v>
      </c>
      <c r="D232">
        <v>3555.2275263483998</v>
      </c>
      <c r="E232">
        <v>796.67017978921001</v>
      </c>
      <c r="F232">
        <v>132.61810291383</v>
      </c>
      <c r="G232">
        <v>114.44451332920001</v>
      </c>
      <c r="I232" s="9">
        <f t="shared" si="22"/>
        <v>682.22566646000996</v>
      </c>
      <c r="J232" s="9">
        <f t="shared" si="23"/>
        <v>3422.6094234345696</v>
      </c>
      <c r="K232" s="9">
        <f t="shared" si="24"/>
        <v>682.22566646000996</v>
      </c>
      <c r="L232" s="10">
        <f t="shared" si="21"/>
        <v>0.19932910304892468</v>
      </c>
      <c r="M232" s="10">
        <f t="shared" si="20"/>
        <v>0.20375093446431403</v>
      </c>
      <c r="P232" s="8">
        <f t="shared" si="25"/>
        <v>72.057826410144528</v>
      </c>
    </row>
    <row r="233" spans="1:16" x14ac:dyDescent="0.2">
      <c r="A233" s="8">
        <v>115.5</v>
      </c>
      <c r="B233" s="8">
        <v>231</v>
      </c>
      <c r="D233">
        <v>3466.9535027898</v>
      </c>
      <c r="E233">
        <v>777.14941103533999</v>
      </c>
      <c r="F233">
        <v>132.62740235586</v>
      </c>
      <c r="G233">
        <v>114.23806571606001</v>
      </c>
      <c r="I233" s="9">
        <f t="shared" si="22"/>
        <v>662.91134531928003</v>
      </c>
      <c r="J233" s="9">
        <f t="shared" si="23"/>
        <v>3334.3261004339402</v>
      </c>
      <c r="K233" s="9">
        <f t="shared" si="24"/>
        <v>662.91134531928003</v>
      </c>
      <c r="L233" s="10">
        <f t="shared" si="21"/>
        <v>0.19881419073947404</v>
      </c>
      <c r="M233" s="10">
        <f t="shared" si="20"/>
        <v>0.20325524750884336</v>
      </c>
      <c r="P233" s="8">
        <f t="shared" si="25"/>
        <v>71.639242709596729</v>
      </c>
    </row>
    <row r="234" spans="1:16" x14ac:dyDescent="0.2">
      <c r="A234" s="8">
        <v>116</v>
      </c>
      <c r="B234" s="8">
        <v>232</v>
      </c>
      <c r="D234">
        <v>3639.9752781211</v>
      </c>
      <c r="E234">
        <v>815.24536464770995</v>
      </c>
      <c r="F234">
        <v>132.97272163669999</v>
      </c>
      <c r="G234">
        <v>113.92436453813001</v>
      </c>
      <c r="I234" s="9">
        <f t="shared" si="22"/>
        <v>701.32100010957993</v>
      </c>
      <c r="J234" s="9">
        <f t="shared" si="23"/>
        <v>3507.0025564844</v>
      </c>
      <c r="K234" s="9">
        <f t="shared" si="24"/>
        <v>701.32100010957993</v>
      </c>
      <c r="L234" s="10">
        <f t="shared" si="21"/>
        <v>0.19997732787871711</v>
      </c>
      <c r="M234" s="10">
        <f t="shared" si="20"/>
        <v>0.20443761000206637</v>
      </c>
      <c r="P234" s="8">
        <f t="shared" si="25"/>
        <v>72.637690746891309</v>
      </c>
    </row>
    <row r="235" spans="1:16" x14ac:dyDescent="0.2">
      <c r="A235" s="8">
        <v>116.5</v>
      </c>
      <c r="B235" s="8">
        <v>233</v>
      </c>
      <c r="D235">
        <v>3402.1093943139999</v>
      </c>
      <c r="E235">
        <v>772.58838071693003</v>
      </c>
      <c r="F235">
        <v>132.66274023559001</v>
      </c>
      <c r="G235">
        <v>114.21016738996001</v>
      </c>
      <c r="I235" s="9">
        <f t="shared" si="22"/>
        <v>658.37821332697001</v>
      </c>
      <c r="J235" s="9">
        <f t="shared" si="23"/>
        <v>3269.4466540784101</v>
      </c>
      <c r="K235" s="9">
        <f t="shared" si="24"/>
        <v>658.37821332697001</v>
      </c>
      <c r="L235" s="10">
        <f t="shared" si="21"/>
        <v>0.2013729792794412</v>
      </c>
      <c r="M235" s="10">
        <f t="shared" si="20"/>
        <v>0.20585248675677043</v>
      </c>
      <c r="P235" s="8">
        <f t="shared" si="25"/>
        <v>73.832485851476491</v>
      </c>
    </row>
    <row r="236" spans="1:16" x14ac:dyDescent="0.2">
      <c r="A236" s="8">
        <v>117</v>
      </c>
      <c r="B236" s="8">
        <v>234</v>
      </c>
      <c r="D236">
        <v>3661.2244897958999</v>
      </c>
      <c r="E236">
        <v>824.10636982066001</v>
      </c>
      <c r="F236">
        <v>132.26224426534</v>
      </c>
      <c r="G236">
        <v>114.20954742715</v>
      </c>
      <c r="I236" s="9">
        <f t="shared" si="22"/>
        <v>709.89682239350998</v>
      </c>
      <c r="J236" s="9">
        <f t="shared" si="23"/>
        <v>3528.9622455305598</v>
      </c>
      <c r="K236" s="9">
        <f t="shared" si="24"/>
        <v>709.89682239350998</v>
      </c>
      <c r="L236" s="10">
        <f t="shared" si="21"/>
        <v>0.20116305389568739</v>
      </c>
      <c r="M236" s="10">
        <f t="shared" si="20"/>
        <v>0.20566178672699656</v>
      </c>
      <c r="P236" s="8">
        <f t="shared" si="25"/>
        <v>73.671448883938126</v>
      </c>
    </row>
    <row r="237" spans="1:16" x14ac:dyDescent="0.2">
      <c r="A237" s="8">
        <v>117.5</v>
      </c>
      <c r="B237" s="8">
        <v>235</v>
      </c>
      <c r="D237">
        <v>3577.0445269017</v>
      </c>
      <c r="E237">
        <v>805.90847247989996</v>
      </c>
      <c r="F237">
        <v>132.40235585865</v>
      </c>
      <c r="G237">
        <v>114.06819590825</v>
      </c>
      <c r="I237" s="9">
        <f t="shared" si="22"/>
        <v>691.84027657164995</v>
      </c>
      <c r="J237" s="9">
        <f t="shared" si="23"/>
        <v>3444.64217104305</v>
      </c>
      <c r="K237" s="9">
        <f t="shared" si="24"/>
        <v>691.84027657164995</v>
      </c>
      <c r="L237" s="10">
        <f t="shared" si="21"/>
        <v>0.20084532506381012</v>
      </c>
      <c r="M237" s="10">
        <f t="shared" si="20"/>
        <v>0.20536328324909922</v>
      </c>
      <c r="P237" s="8">
        <f t="shared" si="25"/>
        <v>73.419377109553793</v>
      </c>
    </row>
    <row r="238" spans="1:16" x14ac:dyDescent="0.2">
      <c r="A238" s="8">
        <v>118</v>
      </c>
      <c r="B238" s="8">
        <v>236</v>
      </c>
      <c r="D238">
        <v>3664.9004329004001</v>
      </c>
      <c r="E238">
        <v>817.99134199134005</v>
      </c>
      <c r="F238">
        <v>132.34717916925001</v>
      </c>
      <c r="G238">
        <v>114.23992560446</v>
      </c>
      <c r="I238" s="9">
        <f t="shared" si="22"/>
        <v>703.75141638688001</v>
      </c>
      <c r="J238" s="9">
        <f t="shared" si="23"/>
        <v>3532.5532537311501</v>
      </c>
      <c r="K238" s="9">
        <f t="shared" si="24"/>
        <v>703.75141638688001</v>
      </c>
      <c r="L238" s="10">
        <f t="shared" si="21"/>
        <v>0.19921891216885812</v>
      </c>
      <c r="M238" s="10">
        <f t="shared" si="20"/>
        <v>0.20375609570812719</v>
      </c>
      <c r="P238" s="8">
        <f t="shared" si="25"/>
        <v>72.06218483134343</v>
      </c>
    </row>
    <row r="239" spans="1:16" x14ac:dyDescent="0.2">
      <c r="A239" s="8">
        <v>118.5</v>
      </c>
      <c r="B239" s="8">
        <v>237</v>
      </c>
      <c r="D239">
        <v>3694.9196042052999</v>
      </c>
      <c r="E239">
        <v>823.59369202226003</v>
      </c>
      <c r="F239">
        <v>132.49845009299</v>
      </c>
      <c r="G239">
        <v>114.32300061996</v>
      </c>
      <c r="I239" s="9">
        <f t="shared" si="22"/>
        <v>709.27069140230003</v>
      </c>
      <c r="J239" s="9">
        <f t="shared" si="23"/>
        <v>3562.42115411231</v>
      </c>
      <c r="K239" s="9">
        <f t="shared" si="24"/>
        <v>709.27069140230003</v>
      </c>
      <c r="L239" s="10">
        <f t="shared" si="21"/>
        <v>0.19909793388228328</v>
      </c>
      <c r="M239" s="10">
        <f t="shared" si="20"/>
        <v>0.20365434277553229</v>
      </c>
      <c r="P239" s="8">
        <f t="shared" si="25"/>
        <v>71.976259392723165</v>
      </c>
    </row>
    <row r="240" spans="1:16" x14ac:dyDescent="0.2">
      <c r="A240" s="8">
        <v>119</v>
      </c>
      <c r="B240" s="8">
        <v>238</v>
      </c>
      <c r="D240">
        <v>3670.7649969078998</v>
      </c>
      <c r="E240">
        <v>809.89610389610004</v>
      </c>
      <c r="F240">
        <v>132.98884066956001</v>
      </c>
      <c r="G240">
        <v>114.33725976441001</v>
      </c>
      <c r="I240" s="9">
        <f t="shared" si="22"/>
        <v>695.55884413169008</v>
      </c>
      <c r="J240" s="9">
        <f t="shared" si="23"/>
        <v>3537.7761562383398</v>
      </c>
      <c r="K240" s="9">
        <f t="shared" si="24"/>
        <v>695.55884413169008</v>
      </c>
      <c r="L240" s="10">
        <f t="shared" si="21"/>
        <v>0.1966090598765487</v>
      </c>
      <c r="M240" s="10">
        <f t="shared" si="20"/>
        <v>0.20118469412377768</v>
      </c>
      <c r="P240" s="8">
        <f t="shared" si="25"/>
        <v>69.890760348830113</v>
      </c>
    </row>
    <row r="241" spans="1:16" x14ac:dyDescent="0.2">
      <c r="A241" s="8">
        <v>119.5</v>
      </c>
      <c r="B241" s="8">
        <v>239</v>
      </c>
      <c r="D241">
        <v>3680.8868274583001</v>
      </c>
      <c r="E241">
        <v>808.58008658008998</v>
      </c>
      <c r="F241">
        <v>132.54742715437001</v>
      </c>
      <c r="G241">
        <v>114.0278983261</v>
      </c>
      <c r="I241" s="9">
        <f t="shared" si="22"/>
        <v>694.55218825398993</v>
      </c>
      <c r="J241" s="9">
        <f t="shared" si="23"/>
        <v>3548.3394003039302</v>
      </c>
      <c r="K241" s="9">
        <f t="shared" si="24"/>
        <v>694.55218825398993</v>
      </c>
      <c r="L241" s="10">
        <f t="shared" si="21"/>
        <v>0.19574006595719073</v>
      </c>
      <c r="M241" s="10">
        <f t="shared" si="20"/>
        <v>0.20033492555839966</v>
      </c>
      <c r="P241" s="8">
        <f t="shared" si="25"/>
        <v>69.173171824904998</v>
      </c>
    </row>
    <row r="242" spans="1:16" x14ac:dyDescent="0.2">
      <c r="A242" s="8">
        <v>120</v>
      </c>
      <c r="B242" s="8">
        <v>240</v>
      </c>
      <c r="D242">
        <v>3753.6982065553998</v>
      </c>
      <c r="E242">
        <v>808.64996907854004</v>
      </c>
      <c r="F242">
        <v>132.75139491631001</v>
      </c>
      <c r="G242">
        <v>114.3880967142</v>
      </c>
      <c r="I242" s="9">
        <f>E242-G242</f>
        <v>694.26187236433998</v>
      </c>
      <c r="J242" s="9">
        <f>D242-F242</f>
        <v>3620.9468116390899</v>
      </c>
      <c r="K242" s="9">
        <f t="shared" si="24"/>
        <v>694.26187236433998</v>
      </c>
      <c r="L242" s="10">
        <f t="shared" si="21"/>
        <v>0.19173489931769233</v>
      </c>
      <c r="M242" s="10">
        <f>L242+ABS($N$2)*A242</f>
        <v>0.19634898427288122</v>
      </c>
      <c r="O242" s="11"/>
      <c r="P242" s="8">
        <f>(M242-$O$2)/$O$2*100</f>
        <v>65.807236863242892</v>
      </c>
    </row>
    <row r="243" spans="1:16" x14ac:dyDescent="0.2">
      <c r="A243" s="8">
        <v>120.5</v>
      </c>
      <c r="B243" s="8">
        <v>241</v>
      </c>
      <c r="D243">
        <v>3807.2510822510999</v>
      </c>
      <c r="E243">
        <v>822.24860853432006</v>
      </c>
      <c r="F243">
        <v>132.23372597644001</v>
      </c>
      <c r="G243">
        <v>114.27402355859</v>
      </c>
      <c r="I243" s="9">
        <f t="shared" ref="I243:I274" si="26">E243-G243</f>
        <v>707.97458497573007</v>
      </c>
      <c r="J243" s="9">
        <f t="shared" ref="J243:J274" si="27">D243-F243</f>
        <v>3675.01735627466</v>
      </c>
      <c r="K243" s="9">
        <f t="shared" si="24"/>
        <v>707.97458497573007</v>
      </c>
      <c r="L243" s="10">
        <f t="shared" si="21"/>
        <v>0.19264523574751197</v>
      </c>
      <c r="M243" s="10">
        <f t="shared" ref="M243:M274" si="28">L243+ABS($N$2)*A243</f>
        <v>0.1972785460566808</v>
      </c>
      <c r="P243" s="8">
        <f t="shared" ref="P243:P274" si="29">(M243-$O$2)/$O$2*100</f>
        <v>66.592206907453928</v>
      </c>
    </row>
    <row r="244" spans="1:16" x14ac:dyDescent="0.2">
      <c r="A244" s="8">
        <v>121</v>
      </c>
      <c r="B244" s="8">
        <v>242</v>
      </c>
      <c r="D244">
        <v>3252.4107806690999</v>
      </c>
      <c r="E244">
        <v>722.86059479554001</v>
      </c>
      <c r="F244">
        <v>132.54804711717</v>
      </c>
      <c r="G244">
        <v>114.46373217607</v>
      </c>
      <c r="I244" s="9">
        <f t="shared" si="26"/>
        <v>608.39686261946997</v>
      </c>
      <c r="J244" s="9">
        <f t="shared" si="27"/>
        <v>3119.86273355193</v>
      </c>
      <c r="K244" s="9">
        <f t="shared" si="24"/>
        <v>608.39686261946997</v>
      </c>
      <c r="L244" s="10">
        <f t="shared" si="21"/>
        <v>0.19500757391554105</v>
      </c>
      <c r="M244" s="10">
        <f t="shared" si="28"/>
        <v>0.19966010957868985</v>
      </c>
      <c r="N244" s="1"/>
      <c r="P244" s="8">
        <f t="shared" si="29"/>
        <v>68.603322312307853</v>
      </c>
    </row>
    <row r="245" spans="1:16" x14ac:dyDescent="0.2">
      <c r="A245" s="8">
        <v>121.5</v>
      </c>
      <c r="B245" s="8">
        <v>243</v>
      </c>
      <c r="D245">
        <v>3263.9114002478</v>
      </c>
      <c r="E245">
        <v>726.01239157373004</v>
      </c>
      <c r="F245">
        <v>132.86732796032001</v>
      </c>
      <c r="G245">
        <v>114.23000619963</v>
      </c>
      <c r="I245" s="9">
        <f t="shared" si="26"/>
        <v>611.78238537410004</v>
      </c>
      <c r="J245" s="9">
        <f t="shared" si="27"/>
        <v>3131.04407228748</v>
      </c>
      <c r="K245" s="9">
        <f t="shared" si="24"/>
        <v>611.78238537410004</v>
      </c>
      <c r="L245" s="10">
        <f t="shared" si="21"/>
        <v>0.19539245416214909</v>
      </c>
      <c r="M245" s="10">
        <f t="shared" si="28"/>
        <v>0.20006421517927783</v>
      </c>
      <c r="P245" s="8">
        <f t="shared" si="29"/>
        <v>68.944569980497135</v>
      </c>
    </row>
    <row r="246" spans="1:16" x14ac:dyDescent="0.2">
      <c r="A246" s="8">
        <v>122</v>
      </c>
      <c r="B246" s="8">
        <v>244</v>
      </c>
      <c r="D246">
        <v>3271.0526641883998</v>
      </c>
      <c r="E246">
        <v>727.75464684015003</v>
      </c>
      <c r="F246">
        <v>132.84066955982999</v>
      </c>
      <c r="G246">
        <v>114.35027898326</v>
      </c>
      <c r="I246" s="9">
        <f t="shared" si="26"/>
        <v>613.40436785689008</v>
      </c>
      <c r="J246" s="9">
        <f t="shared" si="27"/>
        <v>3138.2119946285698</v>
      </c>
      <c r="K246" s="9">
        <f t="shared" si="24"/>
        <v>613.40436785689008</v>
      </c>
      <c r="L246" s="10">
        <f t="shared" si="21"/>
        <v>0.19546301171074676</v>
      </c>
      <c r="M246" s="10">
        <f t="shared" si="28"/>
        <v>0.20015399808185547</v>
      </c>
      <c r="P246" s="8">
        <f t="shared" si="29"/>
        <v>69.020387306719059</v>
      </c>
    </row>
    <row r="247" spans="1:16" x14ac:dyDescent="0.2">
      <c r="A247" s="8">
        <v>122.5</v>
      </c>
      <c r="B247" s="8">
        <v>245</v>
      </c>
      <c r="D247">
        <v>3218.2955390335001</v>
      </c>
      <c r="E247">
        <v>702.30607187113003</v>
      </c>
      <c r="F247">
        <v>132.60322380657001</v>
      </c>
      <c r="G247">
        <v>114.32486050836999</v>
      </c>
      <c r="I247" s="9">
        <f t="shared" si="26"/>
        <v>587.98121136276006</v>
      </c>
      <c r="J247" s="9">
        <f t="shared" si="27"/>
        <v>3085.6923152269301</v>
      </c>
      <c r="K247" s="9">
        <f t="shared" si="24"/>
        <v>587.98121136276006</v>
      </c>
      <c r="L247" s="10">
        <f t="shared" si="21"/>
        <v>0.19055082337965323</v>
      </c>
      <c r="M247" s="10">
        <f t="shared" si="28"/>
        <v>0.19526103510474188</v>
      </c>
      <c r="P247" s="8">
        <f t="shared" si="29"/>
        <v>64.888516320405003</v>
      </c>
    </row>
    <row r="248" spans="1:16" x14ac:dyDescent="0.2">
      <c r="A248" s="8">
        <v>123</v>
      </c>
      <c r="B248" s="8">
        <v>246</v>
      </c>
      <c r="D248">
        <v>3079.7422552664002</v>
      </c>
      <c r="E248">
        <v>663.56629491946001</v>
      </c>
      <c r="F248">
        <v>132.97024178549</v>
      </c>
      <c r="G248">
        <v>114.28580285183</v>
      </c>
      <c r="I248" s="9">
        <f t="shared" si="26"/>
        <v>549.28049206763001</v>
      </c>
      <c r="J248" s="9">
        <f t="shared" si="27"/>
        <v>2946.7720134809101</v>
      </c>
      <c r="K248" s="9">
        <f t="shared" si="24"/>
        <v>549.28049206763001</v>
      </c>
      <c r="L248" s="10">
        <f t="shared" si="21"/>
        <v>0.18640074276353188</v>
      </c>
      <c r="M248" s="10">
        <f t="shared" si="28"/>
        <v>0.1911301798426005</v>
      </c>
      <c r="P248" s="8">
        <f t="shared" si="29"/>
        <v>61.400208502393816</v>
      </c>
    </row>
    <row r="249" spans="1:16" x14ac:dyDescent="0.2">
      <c r="A249" s="8">
        <v>123.5</v>
      </c>
      <c r="B249" s="8">
        <v>247</v>
      </c>
      <c r="D249">
        <v>3201.4458955224</v>
      </c>
      <c r="E249">
        <v>683.20335820896003</v>
      </c>
      <c r="F249">
        <v>132.66646001239999</v>
      </c>
      <c r="G249">
        <v>114.24736515809001</v>
      </c>
      <c r="I249" s="9">
        <f t="shared" si="26"/>
        <v>568.95599305087001</v>
      </c>
      <c r="J249" s="9">
        <f t="shared" si="27"/>
        <v>3068.77943551</v>
      </c>
      <c r="K249" s="9">
        <f t="shared" si="24"/>
        <v>568.95599305087001</v>
      </c>
      <c r="L249" s="10">
        <f t="shared" si="21"/>
        <v>0.18540139655110641</v>
      </c>
      <c r="M249" s="10">
        <f t="shared" si="28"/>
        <v>0.19015005898415496</v>
      </c>
      <c r="P249" s="8">
        <f t="shared" si="29"/>
        <v>60.57254376079765</v>
      </c>
    </row>
    <row r="250" spans="1:16" x14ac:dyDescent="0.2">
      <c r="A250" s="8">
        <v>124</v>
      </c>
      <c r="B250" s="8">
        <v>248</v>
      </c>
      <c r="D250">
        <v>3376.9776119403</v>
      </c>
      <c r="E250">
        <v>705.76803482587002</v>
      </c>
      <c r="F250">
        <v>132.35709857409</v>
      </c>
      <c r="G250">
        <v>114.12771233725999</v>
      </c>
      <c r="I250" s="9">
        <f t="shared" si="26"/>
        <v>591.64032248861008</v>
      </c>
      <c r="J250" s="9">
        <f t="shared" si="27"/>
        <v>3244.6205133662102</v>
      </c>
      <c r="K250" s="9">
        <f t="shared" si="24"/>
        <v>591.64032248861008</v>
      </c>
      <c r="L250" s="10">
        <f t="shared" si="21"/>
        <v>0.18234499845246879</v>
      </c>
      <c r="M250" s="10">
        <f t="shared" si="28"/>
        <v>0.18711288623949732</v>
      </c>
      <c r="P250" s="8">
        <f t="shared" si="29"/>
        <v>58.007798022321275</v>
      </c>
    </row>
    <row r="251" spans="1:16" x14ac:dyDescent="0.2">
      <c r="A251" s="8">
        <v>124.5</v>
      </c>
      <c r="B251" s="8">
        <v>249</v>
      </c>
      <c r="D251">
        <v>3223.7649253731001</v>
      </c>
      <c r="E251">
        <v>675.18034825870996</v>
      </c>
      <c r="F251">
        <v>132.38871667699999</v>
      </c>
      <c r="G251">
        <v>114.28146311221001</v>
      </c>
      <c r="I251" s="9">
        <f t="shared" si="26"/>
        <v>560.89888514649999</v>
      </c>
      <c r="J251" s="9">
        <f t="shared" si="27"/>
        <v>3091.3762086961001</v>
      </c>
      <c r="K251" s="9">
        <f t="shared" si="24"/>
        <v>560.89888514649999</v>
      </c>
      <c r="L251" s="10">
        <f t="shared" si="21"/>
        <v>0.18143986602752546</v>
      </c>
      <c r="M251" s="10">
        <f t="shared" si="28"/>
        <v>0.18622697916853392</v>
      </c>
      <c r="P251" s="8">
        <f t="shared" si="29"/>
        <v>57.259692275311636</v>
      </c>
    </row>
    <row r="252" spans="1:16" x14ac:dyDescent="0.2">
      <c r="A252" s="8">
        <v>125</v>
      </c>
      <c r="B252" s="8">
        <v>250</v>
      </c>
      <c r="D252">
        <v>3131.6156716418</v>
      </c>
      <c r="E252">
        <v>656.62997512438005</v>
      </c>
      <c r="F252">
        <v>132.60570365778</v>
      </c>
      <c r="G252">
        <v>114.1376317421</v>
      </c>
      <c r="I252" s="9">
        <f t="shared" si="26"/>
        <v>542.49234338228007</v>
      </c>
      <c r="J252" s="9">
        <f t="shared" si="27"/>
        <v>2999.00996798402</v>
      </c>
      <c r="K252" s="9">
        <f t="shared" si="24"/>
        <v>542.49234338228007</v>
      </c>
      <c r="L252" s="10">
        <f t="shared" si="21"/>
        <v>0.18089047691527069</v>
      </c>
      <c r="M252" s="10">
        <f t="shared" si="28"/>
        <v>0.18569681541025912</v>
      </c>
      <c r="P252" s="8">
        <f t="shared" si="29"/>
        <v>56.811994579445738</v>
      </c>
    </row>
    <row r="253" spans="1:16" x14ac:dyDescent="0.2">
      <c r="A253" s="8">
        <v>125.5</v>
      </c>
      <c r="B253" s="8">
        <v>251</v>
      </c>
      <c r="D253">
        <v>3332.6293532338</v>
      </c>
      <c r="E253">
        <v>680.19092039801001</v>
      </c>
      <c r="F253">
        <v>132.73527588344999</v>
      </c>
      <c r="G253">
        <v>113.83508989460999</v>
      </c>
      <c r="I253" s="9">
        <f t="shared" si="26"/>
        <v>566.35583050340006</v>
      </c>
      <c r="J253" s="9">
        <f t="shared" si="27"/>
        <v>3199.89407735035</v>
      </c>
      <c r="K253" s="9">
        <f t="shared" si="24"/>
        <v>566.35583050340006</v>
      </c>
      <c r="L253" s="10">
        <f t="shared" si="21"/>
        <v>0.17699205561590559</v>
      </c>
      <c r="M253" s="10">
        <f t="shared" si="28"/>
        <v>0.18181761946487396</v>
      </c>
      <c r="P253" s="8">
        <f t="shared" si="29"/>
        <v>53.536200903520701</v>
      </c>
    </row>
    <row r="254" spans="1:16" x14ac:dyDescent="0.2">
      <c r="A254" s="8">
        <v>126</v>
      </c>
      <c r="B254" s="8">
        <v>252</v>
      </c>
      <c r="D254">
        <v>3269.5646766169002</v>
      </c>
      <c r="E254">
        <v>666.17723880596998</v>
      </c>
      <c r="F254">
        <v>132.44699318041</v>
      </c>
      <c r="G254">
        <v>114.3044017359</v>
      </c>
      <c r="I254" s="9">
        <f t="shared" si="26"/>
        <v>551.87283707006998</v>
      </c>
      <c r="J254" s="9">
        <f t="shared" si="27"/>
        <v>3137.1176834364901</v>
      </c>
      <c r="K254" s="9">
        <f t="shared" si="24"/>
        <v>551.87283707006998</v>
      </c>
      <c r="L254" s="10">
        <f t="shared" si="21"/>
        <v>0.17591716115205866</v>
      </c>
      <c r="M254" s="10">
        <f t="shared" si="28"/>
        <v>0.180761950355007</v>
      </c>
      <c r="P254" s="8">
        <f t="shared" si="29"/>
        <v>52.644739311309685</v>
      </c>
    </row>
    <row r="255" spans="1:16" x14ac:dyDescent="0.2">
      <c r="A255" s="8">
        <v>126.5</v>
      </c>
      <c r="B255" s="8">
        <v>253</v>
      </c>
      <c r="D255">
        <v>3222.8507462686998</v>
      </c>
      <c r="E255">
        <v>655.30534825870996</v>
      </c>
      <c r="F255">
        <v>132.41103533788001</v>
      </c>
      <c r="G255">
        <v>114.35151890887001</v>
      </c>
      <c r="I255" s="9">
        <f t="shared" si="26"/>
        <v>540.95382934983991</v>
      </c>
      <c r="J255" s="9">
        <f t="shared" si="27"/>
        <v>3090.4397109308197</v>
      </c>
      <c r="K255" s="9">
        <f t="shared" si="24"/>
        <v>540.95382934983991</v>
      </c>
      <c r="L255" s="10">
        <f t="shared" si="21"/>
        <v>0.17504105562599964</v>
      </c>
      <c r="M255" s="10">
        <f t="shared" si="28"/>
        <v>0.17990507018292792</v>
      </c>
      <c r="P255" s="8">
        <f t="shared" si="29"/>
        <v>51.921145378896583</v>
      </c>
    </row>
    <row r="256" spans="1:16" x14ac:dyDescent="0.2">
      <c r="A256" s="8">
        <v>127</v>
      </c>
      <c r="B256" s="8">
        <v>254</v>
      </c>
      <c r="D256">
        <v>3225.7941542289</v>
      </c>
      <c r="E256">
        <v>653.10820895521999</v>
      </c>
      <c r="F256">
        <v>132.47489150651001</v>
      </c>
      <c r="G256">
        <v>114.38127712337</v>
      </c>
      <c r="I256" s="9">
        <f t="shared" si="26"/>
        <v>538.72693183185004</v>
      </c>
      <c r="J256" s="9">
        <f t="shared" si="27"/>
        <v>3093.3192627223898</v>
      </c>
      <c r="K256" s="9">
        <f t="shared" si="24"/>
        <v>538.72693183185004</v>
      </c>
      <c r="L256" s="10">
        <f t="shared" si="21"/>
        <v>0.1741582054992033</v>
      </c>
      <c r="M256" s="10">
        <f t="shared" si="28"/>
        <v>0.17904144541011155</v>
      </c>
      <c r="P256" s="8">
        <f t="shared" si="29"/>
        <v>51.191855956811672</v>
      </c>
    </row>
    <row r="257" spans="1:16" x14ac:dyDescent="0.2">
      <c r="A257" s="8">
        <v>127.5</v>
      </c>
      <c r="B257" s="8">
        <v>255</v>
      </c>
      <c r="D257">
        <v>3087.1735074626999</v>
      </c>
      <c r="E257">
        <v>626.39116915423006</v>
      </c>
      <c r="F257">
        <v>132.38871667699999</v>
      </c>
      <c r="G257">
        <v>114.4990700558</v>
      </c>
      <c r="I257" s="9">
        <f t="shared" si="26"/>
        <v>511.89209909843004</v>
      </c>
      <c r="J257" s="9">
        <f t="shared" si="27"/>
        <v>2954.7847907856999</v>
      </c>
      <c r="K257" s="9">
        <f t="shared" si="24"/>
        <v>511.89209909843004</v>
      </c>
      <c r="L257" s="10">
        <f t="shared" si="21"/>
        <v>0.17324175374623951</v>
      </c>
      <c r="M257" s="10">
        <f t="shared" si="28"/>
        <v>0.1781442190111277</v>
      </c>
      <c r="P257" s="8">
        <f t="shared" si="29"/>
        <v>50.434191583822006</v>
      </c>
    </row>
    <row r="258" spans="1:16" x14ac:dyDescent="0.2">
      <c r="A258" s="8">
        <v>128</v>
      </c>
      <c r="B258" s="8">
        <v>256</v>
      </c>
      <c r="D258">
        <v>3040.0223880597</v>
      </c>
      <c r="E258">
        <v>618.13557213930005</v>
      </c>
      <c r="F258">
        <v>132.04277743335001</v>
      </c>
      <c r="G258">
        <v>114.0285182889</v>
      </c>
      <c r="I258" s="9">
        <f t="shared" si="26"/>
        <v>504.10705385040006</v>
      </c>
      <c r="J258" s="9">
        <f t="shared" si="27"/>
        <v>2907.9796106263502</v>
      </c>
      <c r="K258" s="9">
        <f t="shared" si="24"/>
        <v>504.10705385040006</v>
      </c>
      <c r="L258" s="10">
        <f t="shared" ref="L258:L321" si="30">K258/J258</f>
        <v>0.17335302214922352</v>
      </c>
      <c r="M258" s="10">
        <f t="shared" si="28"/>
        <v>0.17827471276809168</v>
      </c>
      <c r="P258" s="8">
        <f t="shared" si="29"/>
        <v>50.544387260923294</v>
      </c>
    </row>
    <row r="259" spans="1:16" x14ac:dyDescent="0.2">
      <c r="A259" s="8">
        <v>128.5</v>
      </c>
      <c r="B259" s="8">
        <v>257</v>
      </c>
      <c r="D259">
        <v>3220.3694029850999</v>
      </c>
      <c r="E259">
        <v>642.30099502487997</v>
      </c>
      <c r="F259">
        <v>132.37941723496999</v>
      </c>
      <c r="G259">
        <v>113.64476131431999</v>
      </c>
      <c r="I259" s="9">
        <f t="shared" si="26"/>
        <v>528.65623371055995</v>
      </c>
      <c r="J259" s="9">
        <f t="shared" si="27"/>
        <v>3087.98998575013</v>
      </c>
      <c r="K259" s="9">
        <f t="shared" ref="K259:K321" si="31">I259*1</f>
        <v>528.65623371055995</v>
      </c>
      <c r="L259" s="10">
        <f t="shared" si="30"/>
        <v>0.17119752206130925</v>
      </c>
      <c r="M259" s="10">
        <f t="shared" si="28"/>
        <v>0.17613843803415735</v>
      </c>
      <c r="P259" s="8">
        <f t="shared" si="29"/>
        <v>48.74040639427345</v>
      </c>
    </row>
    <row r="260" spans="1:16" x14ac:dyDescent="0.2">
      <c r="A260" s="8">
        <v>129</v>
      </c>
      <c r="B260" s="8">
        <v>258</v>
      </c>
      <c r="D260">
        <v>3172.8314676617001</v>
      </c>
      <c r="E260">
        <v>627.89676616915006</v>
      </c>
      <c r="F260">
        <v>132.41537507749999</v>
      </c>
      <c r="G260">
        <v>114.09051456912999</v>
      </c>
      <c r="I260" s="9">
        <f t="shared" si="26"/>
        <v>513.80625160002</v>
      </c>
      <c r="J260" s="9">
        <f t="shared" si="27"/>
        <v>3040.4160925842002</v>
      </c>
      <c r="K260" s="9">
        <f t="shared" si="31"/>
        <v>513.80625160002</v>
      </c>
      <c r="L260" s="10">
        <f t="shared" si="30"/>
        <v>0.16899208396286003</v>
      </c>
      <c r="M260" s="10">
        <f t="shared" si="28"/>
        <v>0.17395222528968809</v>
      </c>
      <c r="P260" s="8">
        <f t="shared" si="29"/>
        <v>46.89425528889327</v>
      </c>
    </row>
    <row r="261" spans="1:16" x14ac:dyDescent="0.2">
      <c r="A261" s="8">
        <v>129.5</v>
      </c>
      <c r="B261" s="8">
        <v>259</v>
      </c>
      <c r="D261">
        <v>3314.5727611940001</v>
      </c>
      <c r="E261">
        <v>641.35820895521999</v>
      </c>
      <c r="F261">
        <v>132.47365158091</v>
      </c>
      <c r="G261">
        <v>114.12523248605</v>
      </c>
      <c r="I261" s="9">
        <f t="shared" si="26"/>
        <v>527.23297646917001</v>
      </c>
      <c r="J261" s="9">
        <f t="shared" si="27"/>
        <v>3182.0991096130901</v>
      </c>
      <c r="K261" s="9">
        <f t="shared" si="31"/>
        <v>527.23297646917001</v>
      </c>
      <c r="L261" s="10">
        <f t="shared" si="30"/>
        <v>0.165687163821015</v>
      </c>
      <c r="M261" s="10">
        <f t="shared" si="28"/>
        <v>0.17066653050182301</v>
      </c>
      <c r="P261" s="8">
        <f t="shared" si="29"/>
        <v>44.11964468436512</v>
      </c>
    </row>
    <row r="262" spans="1:16" x14ac:dyDescent="0.2">
      <c r="A262" s="8">
        <v>130</v>
      </c>
      <c r="B262" s="8">
        <v>260</v>
      </c>
      <c r="D262">
        <v>3205.3420398009998</v>
      </c>
      <c r="E262">
        <v>625.53482587065002</v>
      </c>
      <c r="F262">
        <v>132.54370737756</v>
      </c>
      <c r="G262">
        <v>114.20520768754</v>
      </c>
      <c r="I262" s="9">
        <f t="shared" si="26"/>
        <v>511.32961818311003</v>
      </c>
      <c r="J262" s="9">
        <f t="shared" si="27"/>
        <v>3072.7983324234397</v>
      </c>
      <c r="K262" s="9">
        <f t="shared" si="31"/>
        <v>511.32961818311003</v>
      </c>
      <c r="L262" s="10">
        <f t="shared" si="30"/>
        <v>0.16640519906161139</v>
      </c>
      <c r="M262" s="10">
        <f t="shared" si="28"/>
        <v>0.17140379109639936</v>
      </c>
      <c r="P262" s="8">
        <f t="shared" si="29"/>
        <v>44.742225659191888</v>
      </c>
    </row>
    <row r="263" spans="1:16" x14ac:dyDescent="0.2">
      <c r="A263" s="8">
        <v>130.5</v>
      </c>
      <c r="B263" s="8">
        <v>261</v>
      </c>
      <c r="D263">
        <v>3272.460199005</v>
      </c>
      <c r="E263">
        <v>633.28544776118997</v>
      </c>
      <c r="F263">
        <v>132.61872287662999</v>
      </c>
      <c r="G263">
        <v>114.19032858029</v>
      </c>
      <c r="I263" s="9">
        <f t="shared" si="26"/>
        <v>519.09511918089993</v>
      </c>
      <c r="J263" s="9">
        <f t="shared" si="27"/>
        <v>3139.8414761283702</v>
      </c>
      <c r="K263" s="9">
        <f t="shared" si="31"/>
        <v>519.09511918089993</v>
      </c>
      <c r="L263" s="10">
        <f t="shared" si="30"/>
        <v>0.1653252634336744</v>
      </c>
      <c r="M263" s="10">
        <f t="shared" si="28"/>
        <v>0.17034308082244232</v>
      </c>
      <c r="P263" s="8">
        <f t="shared" si="29"/>
        <v>43.846507047310268</v>
      </c>
    </row>
    <row r="264" spans="1:16" x14ac:dyDescent="0.2">
      <c r="A264" s="8">
        <v>131</v>
      </c>
      <c r="B264" s="8">
        <v>262</v>
      </c>
      <c r="D264">
        <v>3245.6480099503001</v>
      </c>
      <c r="E264">
        <v>625.75310945273998</v>
      </c>
      <c r="F264">
        <v>132.43583384997001</v>
      </c>
      <c r="G264">
        <v>114.20024798512</v>
      </c>
      <c r="I264" s="9">
        <f t="shared" si="26"/>
        <v>511.55286146762</v>
      </c>
      <c r="J264" s="9">
        <f t="shared" si="27"/>
        <v>3113.21217610033</v>
      </c>
      <c r="K264" s="9">
        <f t="shared" si="31"/>
        <v>511.55286146762</v>
      </c>
      <c r="L264" s="10">
        <f t="shared" si="30"/>
        <v>0.16431673542675176</v>
      </c>
      <c r="M264" s="10">
        <f t="shared" si="28"/>
        <v>0.16935377816949965</v>
      </c>
      <c r="P264" s="8">
        <f t="shared" si="29"/>
        <v>43.011088723587591</v>
      </c>
    </row>
    <row r="265" spans="1:16" x14ac:dyDescent="0.2">
      <c r="A265" s="8">
        <v>131.5</v>
      </c>
      <c r="B265" s="8">
        <v>263</v>
      </c>
      <c r="D265">
        <v>3145.0142857143001</v>
      </c>
      <c r="E265">
        <v>608.45341614906999</v>
      </c>
      <c r="F265">
        <v>132.27402355858999</v>
      </c>
      <c r="G265">
        <v>114.09795412275</v>
      </c>
      <c r="I265" s="9">
        <f t="shared" si="26"/>
        <v>494.35546202631997</v>
      </c>
      <c r="J265" s="9">
        <f t="shared" si="27"/>
        <v>3012.7402621557103</v>
      </c>
      <c r="K265" s="9">
        <f t="shared" si="31"/>
        <v>494.35546202631997</v>
      </c>
      <c r="L265" s="10">
        <f t="shared" si="30"/>
        <v>0.1640883113078567</v>
      </c>
      <c r="M265" s="10">
        <f t="shared" si="28"/>
        <v>0.16914457940458452</v>
      </c>
      <c r="P265" s="8">
        <f t="shared" si="29"/>
        <v>42.834430467400367</v>
      </c>
    </row>
    <row r="266" spans="1:16" x14ac:dyDescent="0.2">
      <c r="A266" s="8">
        <v>132</v>
      </c>
      <c r="B266" s="8">
        <v>264</v>
      </c>
      <c r="D266">
        <v>3122.5807453416</v>
      </c>
      <c r="E266">
        <v>597.42298136646002</v>
      </c>
      <c r="F266">
        <v>132.15251084934999</v>
      </c>
      <c r="G266">
        <v>114.04339739616</v>
      </c>
      <c r="I266" s="9">
        <f t="shared" si="26"/>
        <v>483.37958397030002</v>
      </c>
      <c r="J266" s="9">
        <f t="shared" si="27"/>
        <v>2990.4282344922499</v>
      </c>
      <c r="K266" s="9">
        <f t="shared" si="31"/>
        <v>483.37958397030002</v>
      </c>
      <c r="L266" s="10">
        <f t="shared" si="30"/>
        <v>0.16164226193255357</v>
      </c>
      <c r="M266" s="10">
        <f t="shared" si="28"/>
        <v>0.16671775538326133</v>
      </c>
      <c r="P266" s="8">
        <f t="shared" si="29"/>
        <v>40.785094756196912</v>
      </c>
    </row>
    <row r="267" spans="1:16" x14ac:dyDescent="0.2">
      <c r="A267" s="8">
        <v>132.5</v>
      </c>
      <c r="B267" s="8">
        <v>265</v>
      </c>
      <c r="D267">
        <v>3212.5130434783</v>
      </c>
      <c r="E267">
        <v>605.53664596272995</v>
      </c>
      <c r="F267">
        <v>132.18474891507</v>
      </c>
      <c r="G267">
        <v>114.00247985121</v>
      </c>
      <c r="I267" s="9">
        <f t="shared" si="26"/>
        <v>491.53416611151994</v>
      </c>
      <c r="J267" s="9">
        <f t="shared" si="27"/>
        <v>3080.32829456323</v>
      </c>
      <c r="K267" s="9">
        <f t="shared" si="31"/>
        <v>491.53416611151994</v>
      </c>
      <c r="L267" s="10">
        <f t="shared" si="30"/>
        <v>0.15957200632772689</v>
      </c>
      <c r="M267" s="10">
        <f t="shared" si="28"/>
        <v>0.16466672513241462</v>
      </c>
      <c r="P267" s="8">
        <f t="shared" si="29"/>
        <v>39.053098739639026</v>
      </c>
    </row>
    <row r="268" spans="1:16" x14ac:dyDescent="0.2">
      <c r="A268" s="8">
        <v>133</v>
      </c>
      <c r="B268" s="8">
        <v>266</v>
      </c>
      <c r="D268">
        <v>3177.4118012422</v>
      </c>
      <c r="E268">
        <v>595.03664596272995</v>
      </c>
      <c r="F268">
        <v>132.47179169250001</v>
      </c>
      <c r="G268">
        <v>113.89956602604001</v>
      </c>
      <c r="I268" s="9">
        <f t="shared" si="26"/>
        <v>481.13707993668993</v>
      </c>
      <c r="J268" s="9">
        <f t="shared" si="27"/>
        <v>3044.9400095496999</v>
      </c>
      <c r="K268" s="9">
        <f t="shared" si="31"/>
        <v>481.13707993668993</v>
      </c>
      <c r="L268" s="10">
        <f t="shared" si="30"/>
        <v>0.15801200628837439</v>
      </c>
      <c r="M268" s="10">
        <f t="shared" si="28"/>
        <v>0.16312595044704206</v>
      </c>
      <c r="P268" s="8">
        <f t="shared" si="29"/>
        <v>37.751988911357927</v>
      </c>
    </row>
    <row r="269" spans="1:16" x14ac:dyDescent="0.2">
      <c r="A269" s="8">
        <v>133.5</v>
      </c>
      <c r="B269" s="8">
        <v>267</v>
      </c>
      <c r="D269">
        <v>3139.6732919255001</v>
      </c>
      <c r="E269">
        <v>588.82857142856994</v>
      </c>
      <c r="F269">
        <v>132.27216367017999</v>
      </c>
      <c r="G269">
        <v>113.9169249845</v>
      </c>
      <c r="I269" s="9">
        <f t="shared" si="26"/>
        <v>474.91164644406996</v>
      </c>
      <c r="J269" s="9">
        <f t="shared" si="27"/>
        <v>3007.4011282553201</v>
      </c>
      <c r="K269" s="9">
        <f t="shared" si="31"/>
        <v>474.91164644406996</v>
      </c>
      <c r="L269" s="10">
        <f t="shared" si="30"/>
        <v>0.15791430081679189</v>
      </c>
      <c r="M269" s="10">
        <f t="shared" si="28"/>
        <v>0.16304747032943953</v>
      </c>
      <c r="P269" s="8">
        <f t="shared" si="29"/>
        <v>37.685716241312974</v>
      </c>
    </row>
    <row r="270" spans="1:16" x14ac:dyDescent="0.2">
      <c r="A270" s="8">
        <v>134</v>
      </c>
      <c r="B270" s="8">
        <v>268</v>
      </c>
      <c r="D270">
        <v>3071.3652173913001</v>
      </c>
      <c r="E270">
        <v>575.76335403727001</v>
      </c>
      <c r="F270">
        <v>131.87848729076001</v>
      </c>
      <c r="G270">
        <v>114.18598884067001</v>
      </c>
      <c r="I270" s="9">
        <f t="shared" si="26"/>
        <v>461.5773651966</v>
      </c>
      <c r="J270" s="9">
        <f t="shared" si="27"/>
        <v>2939.4867301005402</v>
      </c>
      <c r="K270" s="9">
        <f t="shared" si="31"/>
        <v>461.5773651966</v>
      </c>
      <c r="L270" s="10">
        <f t="shared" si="30"/>
        <v>0.15702651774883589</v>
      </c>
      <c r="M270" s="10">
        <f t="shared" si="28"/>
        <v>0.16217891261546347</v>
      </c>
      <c r="P270" s="8">
        <f t="shared" si="29"/>
        <v>36.952261188596843</v>
      </c>
    </row>
    <row r="271" spans="1:16" x14ac:dyDescent="0.2">
      <c r="A271" s="8">
        <v>134.5</v>
      </c>
      <c r="B271" s="8">
        <v>269</v>
      </c>
      <c r="D271">
        <v>2957.4931677018999</v>
      </c>
      <c r="E271">
        <v>558.30248447204997</v>
      </c>
      <c r="F271">
        <v>132.25294482331</v>
      </c>
      <c r="G271">
        <v>113.98388096714</v>
      </c>
      <c r="I271" s="9">
        <f t="shared" si="26"/>
        <v>444.31860350490996</v>
      </c>
      <c r="J271" s="9">
        <f t="shared" si="27"/>
        <v>2825.24022287859</v>
      </c>
      <c r="K271" s="9">
        <f t="shared" si="31"/>
        <v>444.31860350490996</v>
      </c>
      <c r="L271" s="10">
        <f t="shared" si="30"/>
        <v>0.15726754840414991</v>
      </c>
      <c r="M271" s="10">
        <f t="shared" si="28"/>
        <v>0.16243916862475746</v>
      </c>
      <c r="P271" s="8">
        <f t="shared" si="29"/>
        <v>37.172034822455416</v>
      </c>
    </row>
    <row r="272" spans="1:16" x14ac:dyDescent="0.2">
      <c r="A272" s="8">
        <v>135</v>
      </c>
      <c r="B272" s="8">
        <v>270</v>
      </c>
      <c r="D272">
        <v>3079.0062111800999</v>
      </c>
      <c r="E272">
        <v>571.38012422359998</v>
      </c>
      <c r="F272">
        <v>131.93552386856999</v>
      </c>
      <c r="G272">
        <v>114.09733415994999</v>
      </c>
      <c r="I272" s="9">
        <f t="shared" si="26"/>
        <v>457.28279006365</v>
      </c>
      <c r="J272" s="9">
        <f t="shared" si="27"/>
        <v>2947.07068731153</v>
      </c>
      <c r="K272" s="9">
        <f t="shared" si="31"/>
        <v>457.28279006365</v>
      </c>
      <c r="L272" s="10">
        <f t="shared" si="30"/>
        <v>0.15516519234929074</v>
      </c>
      <c r="M272" s="10">
        <f t="shared" si="28"/>
        <v>0.16035603792387823</v>
      </c>
      <c r="P272" s="8">
        <f t="shared" si="29"/>
        <v>35.41293152575718</v>
      </c>
    </row>
    <row r="273" spans="1:16" x14ac:dyDescent="0.2">
      <c r="A273" s="8">
        <v>135.5</v>
      </c>
      <c r="B273" s="8">
        <v>271</v>
      </c>
      <c r="D273">
        <v>3130.9701863353998</v>
      </c>
      <c r="E273">
        <v>576.02484472050003</v>
      </c>
      <c r="F273">
        <v>132.31370117793</v>
      </c>
      <c r="G273">
        <v>113.83632982021</v>
      </c>
      <c r="I273" s="9">
        <f t="shared" si="26"/>
        <v>462.18851490029004</v>
      </c>
      <c r="J273" s="9">
        <f t="shared" si="27"/>
        <v>2998.6564851574699</v>
      </c>
      <c r="K273" s="9">
        <f t="shared" si="31"/>
        <v>462.18851490029004</v>
      </c>
      <c r="L273" s="10">
        <f t="shared" si="30"/>
        <v>0.15413186444929483</v>
      </c>
      <c r="M273" s="10">
        <f t="shared" si="28"/>
        <v>0.15934193537786229</v>
      </c>
      <c r="P273" s="8">
        <f t="shared" si="29"/>
        <v>34.556570889752066</v>
      </c>
    </row>
    <row r="274" spans="1:16" x14ac:dyDescent="0.2">
      <c r="A274" s="8">
        <v>136</v>
      </c>
      <c r="B274" s="8">
        <v>272</v>
      </c>
      <c r="D274">
        <v>3018.6534161490999</v>
      </c>
      <c r="E274">
        <v>554.97763975154999</v>
      </c>
      <c r="F274">
        <v>132.67203967762001</v>
      </c>
      <c r="G274">
        <v>114.08927464352</v>
      </c>
      <c r="I274" s="9">
        <f t="shared" si="26"/>
        <v>440.88836510802997</v>
      </c>
      <c r="J274" s="9">
        <f t="shared" si="27"/>
        <v>2885.98137647148</v>
      </c>
      <c r="K274" s="9">
        <f t="shared" si="31"/>
        <v>440.88836510802997</v>
      </c>
      <c r="L274" s="10">
        <f t="shared" si="30"/>
        <v>0.15276895710501026</v>
      </c>
      <c r="M274" s="10">
        <f t="shared" si="28"/>
        <v>0.15799825338755766</v>
      </c>
      <c r="P274" s="8">
        <f t="shared" si="29"/>
        <v>33.421896326191899</v>
      </c>
    </row>
    <row r="275" spans="1:16" x14ac:dyDescent="0.2">
      <c r="A275" s="8">
        <v>136.5</v>
      </c>
      <c r="B275" s="8">
        <v>273</v>
      </c>
      <c r="D275">
        <v>3066.8527950311</v>
      </c>
      <c r="E275">
        <v>555.39068322980995</v>
      </c>
      <c r="F275">
        <v>132.75077495350001</v>
      </c>
      <c r="G275">
        <v>113.97706137631999</v>
      </c>
      <c r="I275" s="9">
        <f>E275-G275</f>
        <v>441.41362185348999</v>
      </c>
      <c r="J275" s="9">
        <f>D275-F275</f>
        <v>2934.1020200776002</v>
      </c>
      <c r="K275" s="9">
        <f t="shared" si="31"/>
        <v>441.41362185348999</v>
      </c>
      <c r="L275" s="10">
        <f t="shared" si="30"/>
        <v>0.15044249273984536</v>
      </c>
      <c r="M275" s="10">
        <f>L275+ABS($N$2)*A275</f>
        <v>0.15569101437637273</v>
      </c>
      <c r="O275" s="11"/>
      <c r="P275" s="8">
        <f>(M275-$O$2)/$O$2*100</f>
        <v>31.473544382104496</v>
      </c>
    </row>
    <row r="276" spans="1:16" x14ac:dyDescent="0.2">
      <c r="A276" s="8">
        <v>137</v>
      </c>
      <c r="B276" s="8">
        <v>274</v>
      </c>
      <c r="D276">
        <v>3019.3105590062</v>
      </c>
      <c r="E276">
        <v>545.14347826086998</v>
      </c>
      <c r="F276">
        <v>132.32362058276999</v>
      </c>
      <c r="G276">
        <v>113.91320520769</v>
      </c>
      <c r="I276" s="9">
        <f t="shared" ref="I276:I291" si="32">E276-G276</f>
        <v>431.23027305317999</v>
      </c>
      <c r="J276" s="9">
        <f t="shared" ref="J276:J291" si="33">D276-F276</f>
        <v>2886.9869384234298</v>
      </c>
      <c r="K276" s="9">
        <f t="shared" si="31"/>
        <v>431.23027305317999</v>
      </c>
      <c r="L276" s="10">
        <f t="shared" si="30"/>
        <v>0.14937035817996214</v>
      </c>
      <c r="M276" s="10">
        <f t="shared" ref="M276:M291" si="34">L276+ABS($N$2)*A276</f>
        <v>0.15463810517046944</v>
      </c>
      <c r="P276" s="8">
        <f t="shared" ref="P276:P291" si="35">(M276-$O$2)/$O$2*100</f>
        <v>30.584413395533833</v>
      </c>
    </row>
    <row r="277" spans="1:16" x14ac:dyDescent="0.2">
      <c r="A277" s="8">
        <v>137.5</v>
      </c>
      <c r="B277" s="8">
        <v>275</v>
      </c>
      <c r="D277">
        <v>3071.1055900621</v>
      </c>
      <c r="E277">
        <v>550.92298136646002</v>
      </c>
      <c r="F277">
        <v>132.01487910725001</v>
      </c>
      <c r="G277">
        <v>113.92250464972</v>
      </c>
      <c r="I277" s="9">
        <f t="shared" si="32"/>
        <v>437.00047671674002</v>
      </c>
      <c r="J277" s="9">
        <f t="shared" si="33"/>
        <v>2939.0907109548498</v>
      </c>
      <c r="K277" s="9">
        <f t="shared" si="31"/>
        <v>437.00047671674002</v>
      </c>
      <c r="L277" s="10">
        <f t="shared" si="30"/>
        <v>0.14868560370998812</v>
      </c>
      <c r="M277" s="10">
        <f t="shared" si="34"/>
        <v>0.1539725760544754</v>
      </c>
      <c r="N277" s="1"/>
      <c r="P277" s="8">
        <f t="shared" si="35"/>
        <v>30.022406190945251</v>
      </c>
    </row>
    <row r="278" spans="1:16" x14ac:dyDescent="0.2">
      <c r="A278" s="8">
        <v>138</v>
      </c>
      <c r="B278" s="8">
        <v>276</v>
      </c>
      <c r="D278">
        <v>3051.3478260870002</v>
      </c>
      <c r="E278">
        <v>547.82173913044005</v>
      </c>
      <c r="F278">
        <v>132.22814631122</v>
      </c>
      <c r="G278">
        <v>114.15933044017</v>
      </c>
      <c r="I278" s="9">
        <f t="shared" si="32"/>
        <v>433.66240869027007</v>
      </c>
      <c r="J278" s="9">
        <f t="shared" si="33"/>
        <v>2919.1196797757802</v>
      </c>
      <c r="K278" s="9">
        <f t="shared" si="31"/>
        <v>433.66240869027007</v>
      </c>
      <c r="L278" s="10">
        <f t="shared" si="30"/>
        <v>0.14855931111518525</v>
      </c>
      <c r="M278" s="10">
        <f t="shared" si="34"/>
        <v>0.15386550881365246</v>
      </c>
      <c r="P278" s="8">
        <f t="shared" si="35"/>
        <v>29.931993075618159</v>
      </c>
    </row>
    <row r="279" spans="1:16" x14ac:dyDescent="0.2">
      <c r="A279" s="8">
        <v>138.5</v>
      </c>
      <c r="B279" s="8">
        <v>277</v>
      </c>
      <c r="D279">
        <v>3104.4689440993998</v>
      </c>
      <c r="E279">
        <v>552.1</v>
      </c>
      <c r="F279">
        <v>132.41661500309999</v>
      </c>
      <c r="G279">
        <v>114.07253564785999</v>
      </c>
      <c r="I279" s="9">
        <f t="shared" si="32"/>
        <v>438.02746435214004</v>
      </c>
      <c r="J279" s="9">
        <f t="shared" si="33"/>
        <v>2972.0523290962997</v>
      </c>
      <c r="K279" s="9">
        <f t="shared" si="31"/>
        <v>438.02746435214004</v>
      </c>
      <c r="L279" s="10">
        <f t="shared" si="30"/>
        <v>0.14738215073263172</v>
      </c>
      <c r="M279" s="10">
        <f t="shared" si="34"/>
        <v>0.1527075737850789</v>
      </c>
      <c r="P279" s="8">
        <f t="shared" si="35"/>
        <v>28.954172852784136</v>
      </c>
    </row>
    <row r="280" spans="1:16" x14ac:dyDescent="0.2">
      <c r="A280" s="8">
        <v>139</v>
      </c>
      <c r="B280" s="8">
        <v>278</v>
      </c>
      <c r="D280">
        <v>3087.8931013052002</v>
      </c>
      <c r="E280">
        <v>545.18272218769005</v>
      </c>
      <c r="F280">
        <v>132.74767513949001</v>
      </c>
      <c r="G280">
        <v>113.66522008680001</v>
      </c>
      <c r="I280" s="9">
        <f t="shared" si="32"/>
        <v>431.51750210089006</v>
      </c>
      <c r="J280" s="9">
        <f t="shared" si="33"/>
        <v>2955.14542616571</v>
      </c>
      <c r="K280" s="9">
        <f t="shared" si="31"/>
        <v>431.51750210089006</v>
      </c>
      <c r="L280" s="10">
        <f t="shared" si="30"/>
        <v>0.1460224252519384</v>
      </c>
      <c r="M280" s="10">
        <f t="shared" si="34"/>
        <v>0.15136707365836552</v>
      </c>
      <c r="P280" s="8">
        <f t="shared" si="35"/>
        <v>27.822185219396257</v>
      </c>
    </row>
    <row r="281" spans="1:16" x14ac:dyDescent="0.2">
      <c r="A281" s="8">
        <v>139.5</v>
      </c>
      <c r="B281" s="8">
        <v>279</v>
      </c>
      <c r="D281">
        <v>3104.9888129272999</v>
      </c>
      <c r="E281">
        <v>544.31261653201</v>
      </c>
      <c r="F281">
        <v>132.30006199627999</v>
      </c>
      <c r="G281">
        <v>113.98574085555001</v>
      </c>
      <c r="I281" s="9">
        <f t="shared" si="32"/>
        <v>430.32687567645996</v>
      </c>
      <c r="J281" s="9">
        <f t="shared" si="33"/>
        <v>2972.68875093102</v>
      </c>
      <c r="K281" s="9">
        <f t="shared" si="31"/>
        <v>430.32687567645996</v>
      </c>
      <c r="L281" s="10">
        <f t="shared" si="30"/>
        <v>0.14476015208174262</v>
      </c>
      <c r="M281" s="10">
        <f t="shared" si="34"/>
        <v>0.15012402584214971</v>
      </c>
      <c r="P281" s="8">
        <f t="shared" si="35"/>
        <v>26.7724913569152</v>
      </c>
    </row>
    <row r="282" spans="1:16" x14ac:dyDescent="0.2">
      <c r="A282" s="8">
        <v>140</v>
      </c>
      <c r="B282" s="8">
        <v>280</v>
      </c>
      <c r="D282">
        <v>3122.9751398384001</v>
      </c>
      <c r="E282">
        <v>545.86078309509003</v>
      </c>
      <c r="F282">
        <v>132.18598884067001</v>
      </c>
      <c r="G282">
        <v>113.86484810911</v>
      </c>
      <c r="I282" s="9">
        <f t="shared" si="32"/>
        <v>431.99593498598006</v>
      </c>
      <c r="J282" s="9">
        <f t="shared" si="33"/>
        <v>2990.7891509977298</v>
      </c>
      <c r="K282" s="9">
        <f t="shared" si="31"/>
        <v>431.99593498598006</v>
      </c>
      <c r="L282" s="10">
        <f t="shared" si="30"/>
        <v>0.14444212319075245</v>
      </c>
      <c r="M282" s="10">
        <f t="shared" si="34"/>
        <v>0.14982522230513948</v>
      </c>
      <c r="P282" s="8">
        <f t="shared" si="35"/>
        <v>26.520166197097851</v>
      </c>
    </row>
    <row r="283" spans="1:16" x14ac:dyDescent="0.2">
      <c r="A283" s="8">
        <v>140.5</v>
      </c>
      <c r="B283" s="8">
        <v>281</v>
      </c>
      <c r="D283">
        <v>3003.2952144188998</v>
      </c>
      <c r="E283">
        <v>525.07022995650004</v>
      </c>
      <c r="F283">
        <v>131.88778673280001</v>
      </c>
      <c r="G283">
        <v>114.10539367638</v>
      </c>
      <c r="I283" s="9">
        <f t="shared" si="32"/>
        <v>410.96483628012004</v>
      </c>
      <c r="J283" s="9">
        <f t="shared" si="33"/>
        <v>2871.4074276860997</v>
      </c>
      <c r="K283" s="9">
        <f t="shared" si="31"/>
        <v>410.96483628012004</v>
      </c>
      <c r="L283" s="10">
        <f t="shared" si="30"/>
        <v>0.14312313617273489</v>
      </c>
      <c r="M283" s="10">
        <f t="shared" si="34"/>
        <v>0.14852546064110189</v>
      </c>
      <c r="P283" s="8">
        <f t="shared" si="35"/>
        <v>25.422580228456766</v>
      </c>
    </row>
    <row r="284" spans="1:16" x14ac:dyDescent="0.2">
      <c r="A284" s="8">
        <v>141</v>
      </c>
      <c r="B284" s="8">
        <v>282</v>
      </c>
      <c r="D284">
        <v>2970.8819142324</v>
      </c>
      <c r="E284">
        <v>519.22063393411997</v>
      </c>
      <c r="F284">
        <v>131.92002479851001</v>
      </c>
      <c r="G284">
        <v>113.88530688159</v>
      </c>
      <c r="I284" s="9">
        <f t="shared" si="32"/>
        <v>405.33532705252998</v>
      </c>
      <c r="J284" s="9">
        <f t="shared" si="33"/>
        <v>2838.9618894338901</v>
      </c>
      <c r="K284" s="9">
        <f t="shared" si="31"/>
        <v>405.33532705252998</v>
      </c>
      <c r="L284" s="10">
        <f t="shared" si="30"/>
        <v>0.14277589585161948</v>
      </c>
      <c r="M284" s="10">
        <f t="shared" si="34"/>
        <v>0.14819744567396642</v>
      </c>
      <c r="P284" s="8">
        <f t="shared" si="35"/>
        <v>25.145587426319661</v>
      </c>
    </row>
    <row r="285" spans="1:16" x14ac:dyDescent="0.2">
      <c r="A285" s="8">
        <v>141.5</v>
      </c>
      <c r="B285" s="8">
        <v>283</v>
      </c>
      <c r="D285">
        <v>3047.8129272840001</v>
      </c>
      <c r="E285">
        <v>520.33499067744003</v>
      </c>
      <c r="F285">
        <v>132.20520768754</v>
      </c>
      <c r="G285">
        <v>113.58028518288999</v>
      </c>
      <c r="I285" s="9">
        <f t="shared" si="32"/>
        <v>406.75470549455002</v>
      </c>
      <c r="J285" s="9">
        <f t="shared" si="33"/>
        <v>2915.6077195964599</v>
      </c>
      <c r="K285" s="9">
        <f t="shared" si="31"/>
        <v>406.75470549455002</v>
      </c>
      <c r="L285" s="10">
        <f t="shared" si="30"/>
        <v>0.13950940751070851</v>
      </c>
      <c r="M285" s="10">
        <f t="shared" si="34"/>
        <v>0.14495018268703541</v>
      </c>
      <c r="P285" s="8">
        <f t="shared" si="35"/>
        <v>22.403430622070406</v>
      </c>
    </row>
    <row r="286" spans="1:16" x14ac:dyDescent="0.2">
      <c r="A286" s="8">
        <v>142</v>
      </c>
      <c r="B286" s="8">
        <v>284</v>
      </c>
      <c r="D286">
        <v>3336.8054692356</v>
      </c>
      <c r="E286">
        <v>548.11187072715995</v>
      </c>
      <c r="F286">
        <v>132.32300061996</v>
      </c>
      <c r="G286">
        <v>114.03595784253</v>
      </c>
      <c r="I286" s="9">
        <f t="shared" si="32"/>
        <v>434.07591288462993</v>
      </c>
      <c r="J286" s="9">
        <f t="shared" si="33"/>
        <v>3204.4824686156398</v>
      </c>
      <c r="K286" s="9">
        <f t="shared" si="31"/>
        <v>434.07591288462993</v>
      </c>
      <c r="L286" s="10">
        <f t="shared" si="30"/>
        <v>0.13545897571165491</v>
      </c>
      <c r="M286" s="10">
        <f t="shared" si="34"/>
        <v>0.14091897624196176</v>
      </c>
      <c r="P286" s="8">
        <f t="shared" si="35"/>
        <v>18.99927141871019</v>
      </c>
    </row>
    <row r="287" spans="1:16" x14ac:dyDescent="0.2">
      <c r="A287" s="8">
        <v>142.5</v>
      </c>
      <c r="B287" s="8">
        <v>285</v>
      </c>
      <c r="D287">
        <v>3264.0130515848</v>
      </c>
      <c r="E287">
        <v>537.40522063392996</v>
      </c>
      <c r="F287">
        <v>132.3601983881</v>
      </c>
      <c r="G287">
        <v>113.84686918785</v>
      </c>
      <c r="I287" s="9">
        <f t="shared" si="32"/>
        <v>423.55835144607994</v>
      </c>
      <c r="J287" s="9">
        <f t="shared" si="33"/>
        <v>3131.6528531967001</v>
      </c>
      <c r="K287" s="9">
        <f t="shared" si="31"/>
        <v>423.55835144607994</v>
      </c>
      <c r="L287" s="10">
        <f t="shared" si="30"/>
        <v>0.13525073541076685</v>
      </c>
      <c r="M287" s="10">
        <f t="shared" si="34"/>
        <v>0.14072996129505366</v>
      </c>
      <c r="P287" s="8">
        <f t="shared" si="35"/>
        <v>18.839657422290792</v>
      </c>
    </row>
    <row r="288" spans="1:16" x14ac:dyDescent="0.2">
      <c r="A288" s="8">
        <v>143</v>
      </c>
      <c r="B288" s="8">
        <v>286</v>
      </c>
      <c r="D288">
        <v>3193.8868862648001</v>
      </c>
      <c r="E288">
        <v>528.28962088254002</v>
      </c>
      <c r="F288">
        <v>132.33106013638999</v>
      </c>
      <c r="G288">
        <v>113.99566026038001</v>
      </c>
      <c r="I288" s="9">
        <f t="shared" si="32"/>
        <v>414.29396062216</v>
      </c>
      <c r="J288" s="9">
        <f t="shared" si="33"/>
        <v>3061.55582612841</v>
      </c>
      <c r="K288" s="9">
        <f t="shared" si="31"/>
        <v>414.29396062216</v>
      </c>
      <c r="L288" s="10">
        <f t="shared" si="30"/>
        <v>0.1353213804192063</v>
      </c>
      <c r="M288" s="10">
        <f t="shared" si="34"/>
        <v>0.14081983165747305</v>
      </c>
      <c r="P288" s="8">
        <f t="shared" si="35"/>
        <v>18.915548604126236</v>
      </c>
    </row>
    <row r="289" spans="1:16" x14ac:dyDescent="0.2">
      <c r="A289" s="8">
        <v>143.5</v>
      </c>
      <c r="B289" s="8">
        <v>287</v>
      </c>
      <c r="D289">
        <v>3227.5142326732998</v>
      </c>
      <c r="E289">
        <v>525.44801980197997</v>
      </c>
      <c r="F289">
        <v>132.35027898326001</v>
      </c>
      <c r="G289">
        <v>113.71543707378</v>
      </c>
      <c r="I289" s="9">
        <f t="shared" si="32"/>
        <v>411.73258272819999</v>
      </c>
      <c r="J289" s="9">
        <f t="shared" si="33"/>
        <v>3095.1639536900398</v>
      </c>
      <c r="K289" s="9">
        <f t="shared" si="31"/>
        <v>411.73258272819999</v>
      </c>
      <c r="L289" s="10">
        <f t="shared" si="30"/>
        <v>0.13302448235006561</v>
      </c>
      <c r="M289" s="10">
        <f t="shared" si="34"/>
        <v>0.13854215894231234</v>
      </c>
      <c r="P289" s="8">
        <f t="shared" si="35"/>
        <v>16.992163969476216</v>
      </c>
    </row>
    <row r="290" spans="1:16" x14ac:dyDescent="0.2">
      <c r="A290" s="8">
        <v>144</v>
      </c>
      <c r="B290" s="8">
        <v>288</v>
      </c>
      <c r="D290">
        <v>3109.2402476779998</v>
      </c>
      <c r="E290">
        <v>517.25696594426995</v>
      </c>
      <c r="F290">
        <v>132.38623682579001</v>
      </c>
      <c r="G290">
        <v>113.8896466212</v>
      </c>
      <c r="I290" s="9">
        <f t="shared" si="32"/>
        <v>403.36731932306998</v>
      </c>
      <c r="J290" s="9">
        <f t="shared" si="33"/>
        <v>2976.8540108522097</v>
      </c>
      <c r="K290" s="9">
        <f t="shared" si="31"/>
        <v>403.36731932306998</v>
      </c>
      <c r="L290" s="10">
        <f t="shared" si="30"/>
        <v>0.13550120961679088</v>
      </c>
      <c r="M290" s="10">
        <f t="shared" si="34"/>
        <v>0.14103811156301754</v>
      </c>
      <c r="P290" s="8">
        <f t="shared" si="35"/>
        <v>19.099875445108523</v>
      </c>
    </row>
    <row r="291" spans="1:16" x14ac:dyDescent="0.2">
      <c r="A291" s="8">
        <v>144.5</v>
      </c>
      <c r="B291" s="8">
        <v>289</v>
      </c>
      <c r="D291">
        <v>2982.2068111455001</v>
      </c>
      <c r="E291">
        <v>501.20309597522999</v>
      </c>
      <c r="F291">
        <v>132.10291382516999</v>
      </c>
      <c r="G291">
        <v>114.04091754495001</v>
      </c>
      <c r="I291" s="9">
        <f t="shared" si="32"/>
        <v>387.16217843027999</v>
      </c>
      <c r="J291" s="9">
        <f t="shared" si="33"/>
        <v>2850.1038973203299</v>
      </c>
      <c r="K291" s="9">
        <f t="shared" si="31"/>
        <v>387.16217843027999</v>
      </c>
      <c r="L291" s="10">
        <f t="shared" si="30"/>
        <v>0.13584142627021079</v>
      </c>
      <c r="M291" s="10">
        <f t="shared" si="34"/>
        <v>0.14139755357041742</v>
      </c>
      <c r="P291" s="8">
        <f t="shared" si="35"/>
        <v>19.40340686535118</v>
      </c>
    </row>
    <row r="292" spans="1:16" x14ac:dyDescent="0.2">
      <c r="A292" s="8">
        <v>145</v>
      </c>
      <c r="B292" s="8">
        <v>290</v>
      </c>
      <c r="D292">
        <v>3032.6309597523</v>
      </c>
      <c r="E292">
        <v>505.76842105263</v>
      </c>
      <c r="F292">
        <v>132.25976441413999</v>
      </c>
      <c r="G292">
        <v>113.9733415995</v>
      </c>
      <c r="I292" s="9">
        <f>E292-G292</f>
        <v>391.79507945313003</v>
      </c>
      <c r="J292" s="9">
        <f>D292-F292</f>
        <v>2900.3711953381599</v>
      </c>
      <c r="K292" s="9">
        <f t="shared" si="31"/>
        <v>391.79507945313003</v>
      </c>
      <c r="L292" s="10">
        <f t="shared" si="30"/>
        <v>0.135084460941714</v>
      </c>
      <c r="M292" s="10">
        <f>L292+ABS($N$2)*A292</f>
        <v>0.14065981359590057</v>
      </c>
      <c r="O292" s="11"/>
      <c r="P292" s="8">
        <f>(M292-$O$2)/$O$2*100</f>
        <v>18.780421077310656</v>
      </c>
    </row>
    <row r="293" spans="1:16" x14ac:dyDescent="0.2">
      <c r="A293" s="8">
        <v>145.5</v>
      </c>
      <c r="B293" s="8">
        <v>291</v>
      </c>
      <c r="D293">
        <v>3135.0061881187999</v>
      </c>
      <c r="E293">
        <v>510.61695544554999</v>
      </c>
      <c r="F293">
        <v>132.30874147551</v>
      </c>
      <c r="G293">
        <v>114.02045877246999</v>
      </c>
      <c r="I293" s="9">
        <f t="shared" ref="I293:I301" si="36">E293-G293</f>
        <v>396.59649667307997</v>
      </c>
      <c r="J293" s="9">
        <f t="shared" ref="J293:J301" si="37">D293-F293</f>
        <v>3002.6974466432898</v>
      </c>
      <c r="K293" s="9">
        <f t="shared" si="31"/>
        <v>396.59649667307997</v>
      </c>
      <c r="L293" s="10">
        <f t="shared" si="30"/>
        <v>0.13208007257488913</v>
      </c>
      <c r="M293" s="10">
        <f t="shared" ref="M293:M301" si="38">L293+ABS($N$2)*A293</f>
        <v>0.13767465058305567</v>
      </c>
      <c r="P293" s="8">
        <f t="shared" ref="P293:P301" si="39">(M293-$O$2)/$O$2*100</f>
        <v>16.259595046154413</v>
      </c>
    </row>
    <row r="294" spans="1:16" x14ac:dyDescent="0.2">
      <c r="A294" s="8">
        <v>146</v>
      </c>
      <c r="B294" s="8">
        <v>292</v>
      </c>
      <c r="D294">
        <v>3064.3087871286998</v>
      </c>
      <c r="E294">
        <v>502.39418316832001</v>
      </c>
      <c r="F294">
        <v>132.06881587104999</v>
      </c>
      <c r="G294">
        <v>113.74829510229</v>
      </c>
      <c r="I294" s="9">
        <f t="shared" si="36"/>
        <v>388.64588806603001</v>
      </c>
      <c r="J294" s="9">
        <f t="shared" si="37"/>
        <v>2932.2399712576498</v>
      </c>
      <c r="K294" s="9">
        <f t="shared" si="31"/>
        <v>388.64588806603001</v>
      </c>
      <c r="L294" s="10">
        <f t="shared" si="30"/>
        <v>0.13254231982225459</v>
      </c>
      <c r="M294" s="10">
        <f t="shared" si="38"/>
        <v>0.13815612318440107</v>
      </c>
      <c r="N294" s="1"/>
      <c r="P294" s="8">
        <f t="shared" si="39"/>
        <v>16.666175410957781</v>
      </c>
    </row>
    <row r="295" spans="1:16" x14ac:dyDescent="0.2">
      <c r="A295" s="8">
        <v>146.5</v>
      </c>
      <c r="B295" s="8">
        <v>293</v>
      </c>
      <c r="D295">
        <v>3224.7813664596001</v>
      </c>
      <c r="E295">
        <v>515.49751552794999</v>
      </c>
      <c r="F295">
        <v>131.84066955982999</v>
      </c>
      <c r="G295">
        <v>113.78549287043001</v>
      </c>
      <c r="I295" s="9">
        <f t="shared" si="36"/>
        <v>401.71202265751998</v>
      </c>
      <c r="J295" s="9">
        <f t="shared" si="37"/>
        <v>3092.94069689977</v>
      </c>
      <c r="K295" s="9">
        <f t="shared" si="31"/>
        <v>401.71202265751998</v>
      </c>
      <c r="L295" s="10">
        <f t="shared" si="30"/>
        <v>0.12988028611740882</v>
      </c>
      <c r="M295" s="10">
        <f t="shared" si="38"/>
        <v>0.13551331483353524</v>
      </c>
      <c r="P295" s="8">
        <f t="shared" si="39"/>
        <v>14.434451361867861</v>
      </c>
    </row>
    <row r="296" spans="1:16" x14ac:dyDescent="0.2">
      <c r="A296" s="8">
        <v>147</v>
      </c>
      <c r="B296" s="8">
        <v>294</v>
      </c>
      <c r="D296">
        <v>3310.9229813665002</v>
      </c>
      <c r="E296">
        <v>524.67329192547004</v>
      </c>
      <c r="F296">
        <v>131.97706137631999</v>
      </c>
      <c r="G296">
        <v>113.68381897086</v>
      </c>
      <c r="I296" s="9">
        <f t="shared" si="36"/>
        <v>410.98947295461005</v>
      </c>
      <c r="J296" s="9">
        <f t="shared" si="37"/>
        <v>3178.9459199901803</v>
      </c>
      <c r="K296" s="9">
        <f t="shared" si="31"/>
        <v>410.98947295461005</v>
      </c>
      <c r="L296" s="10">
        <f t="shared" si="30"/>
        <v>0.12928482688874418</v>
      </c>
      <c r="M296" s="10">
        <f t="shared" si="38"/>
        <v>0.13493708095885057</v>
      </c>
      <c r="P296" s="8">
        <f t="shared" si="39"/>
        <v>13.947849677105998</v>
      </c>
    </row>
    <row r="297" spans="1:16" x14ac:dyDescent="0.2">
      <c r="A297" s="8">
        <v>147.5</v>
      </c>
      <c r="B297" s="8">
        <v>295</v>
      </c>
      <c r="D297">
        <v>3391.8683229814001</v>
      </c>
      <c r="E297">
        <v>532.00559006210995</v>
      </c>
      <c r="F297">
        <v>131.79479231246</v>
      </c>
      <c r="G297">
        <v>113.98078115313</v>
      </c>
      <c r="I297" s="9">
        <f t="shared" si="36"/>
        <v>418.02480890897994</v>
      </c>
      <c r="J297" s="9">
        <f t="shared" si="37"/>
        <v>3260.0735306689403</v>
      </c>
      <c r="K297" s="9">
        <f t="shared" si="31"/>
        <v>418.02480890897994</v>
      </c>
      <c r="L297" s="10">
        <f t="shared" si="30"/>
        <v>0.12822557680875518</v>
      </c>
      <c r="M297" s="10">
        <f t="shared" si="38"/>
        <v>0.13389705623284151</v>
      </c>
      <c r="P297" s="8">
        <f t="shared" si="39"/>
        <v>13.069599011702222</v>
      </c>
    </row>
    <row r="298" spans="1:16" x14ac:dyDescent="0.2">
      <c r="A298" s="8">
        <v>148</v>
      </c>
      <c r="B298" s="8">
        <v>296</v>
      </c>
      <c r="D298">
        <v>3254.1204968943998</v>
      </c>
      <c r="E298">
        <v>516.13850931676996</v>
      </c>
      <c r="F298">
        <v>132.05393676379001</v>
      </c>
      <c r="G298">
        <v>114.0278983261</v>
      </c>
      <c r="I298" s="9">
        <f t="shared" si="36"/>
        <v>402.11061099066995</v>
      </c>
      <c r="J298" s="9">
        <f t="shared" si="37"/>
        <v>3122.06656013061</v>
      </c>
      <c r="K298" s="9">
        <f t="shared" si="31"/>
        <v>402.11061099066995</v>
      </c>
      <c r="L298" s="10">
        <f t="shared" si="30"/>
        <v>0.12879629669837914</v>
      </c>
      <c r="M298" s="10">
        <f t="shared" si="38"/>
        <v>0.13448700147644543</v>
      </c>
      <c r="P298" s="8">
        <f t="shared" si="39"/>
        <v>13.567779285487774</v>
      </c>
    </row>
    <row r="299" spans="1:16" x14ac:dyDescent="0.2">
      <c r="A299" s="8">
        <v>148.5</v>
      </c>
      <c r="B299" s="8">
        <v>297</v>
      </c>
      <c r="D299">
        <v>3248.5571428571002</v>
      </c>
      <c r="E299">
        <v>512.80186335404005</v>
      </c>
      <c r="F299">
        <v>131.76317420954999</v>
      </c>
      <c r="G299">
        <v>113.49039057656999</v>
      </c>
      <c r="I299" s="9">
        <f t="shared" si="36"/>
        <v>399.31147277747004</v>
      </c>
      <c r="J299" s="9">
        <f t="shared" si="37"/>
        <v>3116.7939686475502</v>
      </c>
      <c r="K299" s="9">
        <f t="shared" si="31"/>
        <v>399.31147277747004</v>
      </c>
      <c r="L299" s="10">
        <f t="shared" si="30"/>
        <v>0.12811609519083503</v>
      </c>
      <c r="M299" s="10">
        <f t="shared" si="38"/>
        <v>0.13382602532288126</v>
      </c>
      <c r="P299" s="8">
        <f t="shared" si="39"/>
        <v>13.009616837839674</v>
      </c>
    </row>
    <row r="300" spans="1:16" x14ac:dyDescent="0.2">
      <c r="A300" s="8">
        <v>149</v>
      </c>
      <c r="B300" s="8">
        <v>298</v>
      </c>
      <c r="D300">
        <v>3271.0366459626998</v>
      </c>
      <c r="E300">
        <v>512.67826086956995</v>
      </c>
      <c r="F300">
        <v>132.24240545567</v>
      </c>
      <c r="G300">
        <v>113.73961562306</v>
      </c>
      <c r="I300" s="9">
        <f t="shared" si="36"/>
        <v>398.93864524650996</v>
      </c>
      <c r="J300" s="9">
        <f t="shared" si="37"/>
        <v>3138.7942405070298</v>
      </c>
      <c r="K300" s="9">
        <f t="shared" si="31"/>
        <v>398.93864524650996</v>
      </c>
      <c r="L300" s="10">
        <f t="shared" si="30"/>
        <v>0.12709933008608643</v>
      </c>
      <c r="M300" s="10">
        <f t="shared" si="38"/>
        <v>0.13282848557211263</v>
      </c>
      <c r="P300" s="8">
        <f t="shared" si="39"/>
        <v>12.167242682716331</v>
      </c>
    </row>
    <row r="301" spans="1:16" x14ac:dyDescent="0.2">
      <c r="A301" s="8">
        <v>149.5</v>
      </c>
      <c r="B301" s="8">
        <v>299</v>
      </c>
      <c r="D301">
        <v>3156.5285714286001</v>
      </c>
      <c r="E301">
        <v>502.73726708074997</v>
      </c>
      <c r="F301">
        <v>131.29758214507001</v>
      </c>
      <c r="G301">
        <v>114.06385616863</v>
      </c>
      <c r="I301" s="9">
        <f t="shared" si="36"/>
        <v>388.67341091211995</v>
      </c>
      <c r="J301" s="9">
        <f t="shared" si="37"/>
        <v>3025.2309892835301</v>
      </c>
      <c r="K301" s="9">
        <f t="shared" si="31"/>
        <v>388.67341091211995</v>
      </c>
      <c r="L301" s="10">
        <f t="shared" si="30"/>
        <v>0.12847726745129304</v>
      </c>
      <c r="M301" s="10">
        <f t="shared" si="38"/>
        <v>0.13422564829129918</v>
      </c>
      <c r="P301" s="8">
        <f t="shared" si="39"/>
        <v>13.347079139597115</v>
      </c>
    </row>
    <row r="302" spans="1:16" x14ac:dyDescent="0.2">
      <c r="A302" s="8">
        <v>150</v>
      </c>
      <c r="B302" s="8">
        <v>300</v>
      </c>
      <c r="D302">
        <v>3049.5803848541</v>
      </c>
      <c r="E302">
        <v>482.46865301054999</v>
      </c>
      <c r="F302">
        <v>131.80719156851001</v>
      </c>
      <c r="G302">
        <v>113.61624302542</v>
      </c>
      <c r="I302" s="9">
        <f>E302-G302</f>
        <v>368.85240998512995</v>
      </c>
      <c r="J302" s="9">
        <f>D302-F302</f>
        <v>2917.77319328559</v>
      </c>
      <c r="K302" s="9">
        <f t="shared" si="31"/>
        <v>368.85240998512995</v>
      </c>
      <c r="L302" s="10">
        <f t="shared" si="30"/>
        <v>0.12641572375602633</v>
      </c>
      <c r="M302" s="10">
        <f>L302+ABS($N$2)*A302</f>
        <v>0.13218332995001245</v>
      </c>
      <c r="O302" s="11"/>
      <c r="P302" s="8">
        <f>(M302-$O$2)/$O$2*100</f>
        <v>11.622439910023848</v>
      </c>
    </row>
    <row r="303" spans="1:16" x14ac:dyDescent="0.2">
      <c r="A303" s="8">
        <v>150.5</v>
      </c>
      <c r="B303" s="8">
        <v>301</v>
      </c>
      <c r="D303">
        <v>3100.9497206704</v>
      </c>
      <c r="E303">
        <v>483.84481688391998</v>
      </c>
      <c r="F303">
        <v>132.36639801612</v>
      </c>
      <c r="G303">
        <v>113.68753874767999</v>
      </c>
      <c r="I303" s="9">
        <f t="shared" ref="I303:I309" si="40">E303-G303</f>
        <v>370.15727813624</v>
      </c>
      <c r="J303" s="9">
        <f t="shared" ref="J303:J309" si="41">D303-F303</f>
        <v>2968.58332265428</v>
      </c>
      <c r="K303" s="9">
        <f t="shared" si="31"/>
        <v>370.15727813624</v>
      </c>
      <c r="L303" s="10">
        <f t="shared" si="30"/>
        <v>0.12469155752221693</v>
      </c>
      <c r="M303" s="10">
        <f t="shared" ref="M303:M309" si="42">L303+ABS($N$2)*A303</f>
        <v>0.130478389070183</v>
      </c>
      <c r="P303" s="8">
        <f t="shared" ref="P303:P309" si="43">(M303-$O$2)/$O$2*100</f>
        <v>10.182699656991376</v>
      </c>
    </row>
    <row r="304" spans="1:16" x14ac:dyDescent="0.2">
      <c r="A304" s="8">
        <v>151</v>
      </c>
      <c r="B304" s="8">
        <v>302</v>
      </c>
      <c r="D304">
        <v>3059.4676616914999</v>
      </c>
      <c r="E304">
        <v>476.61504975124001</v>
      </c>
      <c r="F304">
        <v>131.82393056417001</v>
      </c>
      <c r="G304">
        <v>113.89708617482999</v>
      </c>
      <c r="I304" s="9">
        <f t="shared" si="40"/>
        <v>362.71796357641</v>
      </c>
      <c r="J304" s="9">
        <f t="shared" si="41"/>
        <v>2927.6437311273298</v>
      </c>
      <c r="K304" s="9">
        <f t="shared" si="31"/>
        <v>362.71796357641</v>
      </c>
      <c r="L304" s="10">
        <f t="shared" si="30"/>
        <v>0.12389416093219116</v>
      </c>
      <c r="M304" s="10">
        <f t="shared" si="42"/>
        <v>0.12970021783413718</v>
      </c>
      <c r="N304" s="1"/>
      <c r="P304" s="8">
        <f t="shared" si="43"/>
        <v>9.5255716207398979</v>
      </c>
    </row>
    <row r="305" spans="1:16" x14ac:dyDescent="0.2">
      <c r="A305" s="8">
        <v>151.5</v>
      </c>
      <c r="B305" s="8">
        <v>303</v>
      </c>
      <c r="D305">
        <v>3083.1778606964999</v>
      </c>
      <c r="E305">
        <v>479.61131840796003</v>
      </c>
      <c r="F305">
        <v>131.83137011778999</v>
      </c>
      <c r="G305">
        <v>113.68195908246</v>
      </c>
      <c r="I305" s="9">
        <f t="shared" si="40"/>
        <v>365.92935932550006</v>
      </c>
      <c r="J305" s="9">
        <f t="shared" si="41"/>
        <v>2951.34649057871</v>
      </c>
      <c r="K305" s="9">
        <f t="shared" si="31"/>
        <v>365.92935932550006</v>
      </c>
      <c r="L305" s="10">
        <f t="shared" si="30"/>
        <v>0.12398725818660059</v>
      </c>
      <c r="M305" s="10">
        <f t="shared" si="42"/>
        <v>0.12981254044252655</v>
      </c>
      <c r="P305" s="8">
        <f t="shared" si="43"/>
        <v>9.6204226402309363</v>
      </c>
    </row>
    <row r="306" spans="1:16" x14ac:dyDescent="0.2">
      <c r="A306" s="8">
        <v>152</v>
      </c>
      <c r="B306" s="8">
        <v>304</v>
      </c>
      <c r="D306">
        <v>3189.5771144279001</v>
      </c>
      <c r="E306">
        <v>488.18407960198999</v>
      </c>
      <c r="F306">
        <v>131.95350278983</v>
      </c>
      <c r="G306">
        <v>114.13329200248</v>
      </c>
      <c r="I306" s="9">
        <f t="shared" si="40"/>
        <v>374.05078759950999</v>
      </c>
      <c r="J306" s="9">
        <f t="shared" si="41"/>
        <v>3057.6236116380701</v>
      </c>
      <c r="K306" s="9">
        <f t="shared" si="31"/>
        <v>374.05078759950999</v>
      </c>
      <c r="L306" s="10">
        <f t="shared" si="30"/>
        <v>0.12233382361902896</v>
      </c>
      <c r="M306" s="10">
        <f t="shared" si="42"/>
        <v>0.12817833122893488</v>
      </c>
      <c r="P306" s="8">
        <f t="shared" si="43"/>
        <v>8.2404118641858268</v>
      </c>
    </row>
    <row r="307" spans="1:16" x14ac:dyDescent="0.2">
      <c r="A307" s="8">
        <v>152.5</v>
      </c>
      <c r="B307" s="8">
        <v>305</v>
      </c>
      <c r="D307">
        <v>3225.2692786070002</v>
      </c>
      <c r="E307">
        <v>487.59888059702001</v>
      </c>
      <c r="F307">
        <v>132.22132672039999</v>
      </c>
      <c r="G307">
        <v>113.73589584625</v>
      </c>
      <c r="I307" s="9">
        <f t="shared" si="40"/>
        <v>373.86298475077001</v>
      </c>
      <c r="J307" s="9">
        <f t="shared" si="41"/>
        <v>3093.0479518866</v>
      </c>
      <c r="K307" s="9">
        <f t="shared" si="31"/>
        <v>373.86298475077001</v>
      </c>
      <c r="L307" s="10">
        <f t="shared" si="30"/>
        <v>0.12087202997377808</v>
      </c>
      <c r="M307" s="10">
        <f t="shared" si="42"/>
        <v>0.12673576293766395</v>
      </c>
      <c r="P307" s="8">
        <f t="shared" si="43"/>
        <v>7.0222325940056232</v>
      </c>
    </row>
    <row r="308" spans="1:16" x14ac:dyDescent="0.2">
      <c r="A308" s="8">
        <v>153</v>
      </c>
      <c r="B308" s="8">
        <v>306</v>
      </c>
      <c r="D308">
        <v>3201.8675373134001</v>
      </c>
      <c r="E308">
        <v>483.36691542288997</v>
      </c>
      <c r="F308">
        <v>131.84810911344999</v>
      </c>
      <c r="G308">
        <v>113.58524488531</v>
      </c>
      <c r="I308" s="9">
        <f t="shared" si="40"/>
        <v>369.78167053758</v>
      </c>
      <c r="J308" s="9">
        <f t="shared" si="41"/>
        <v>3070.0194281999502</v>
      </c>
      <c r="K308" s="9">
        <f t="shared" si="31"/>
        <v>369.78167053758</v>
      </c>
      <c r="L308" s="10">
        <f t="shared" si="30"/>
        <v>0.12044929329792375</v>
      </c>
      <c r="M308" s="10">
        <f t="shared" si="42"/>
        <v>0.12633225161578959</v>
      </c>
      <c r="P308" s="8">
        <f t="shared" si="43"/>
        <v>6.6814867654963281</v>
      </c>
    </row>
    <row r="309" spans="1:16" x14ac:dyDescent="0.2">
      <c r="A309" s="8">
        <v>153.5</v>
      </c>
      <c r="B309" s="8">
        <v>307</v>
      </c>
      <c r="D309">
        <v>3181.4043343653002</v>
      </c>
      <c r="E309">
        <v>488.14489164087001</v>
      </c>
      <c r="F309">
        <v>132.33353998760001</v>
      </c>
      <c r="G309">
        <v>113.79851208928</v>
      </c>
      <c r="I309" s="9">
        <f t="shared" si="40"/>
        <v>374.34637955159002</v>
      </c>
      <c r="J309" s="9">
        <f t="shared" si="41"/>
        <v>3049.0707943777002</v>
      </c>
      <c r="K309" s="9">
        <f t="shared" si="31"/>
        <v>374.34637955159002</v>
      </c>
      <c r="L309" s="10">
        <f t="shared" si="30"/>
        <v>0.12277392189183073</v>
      </c>
      <c r="M309" s="10">
        <f t="shared" si="42"/>
        <v>0.12867610556367651</v>
      </c>
      <c r="P309" s="8">
        <f t="shared" si="43"/>
        <v>8.6607582557426266</v>
      </c>
    </row>
    <row r="310" spans="1:16" x14ac:dyDescent="0.2">
      <c r="A310" s="8">
        <v>154</v>
      </c>
      <c r="B310" s="8">
        <v>308</v>
      </c>
      <c r="D310">
        <v>3046.6635859519001</v>
      </c>
      <c r="E310">
        <v>474.16820702402998</v>
      </c>
      <c r="F310">
        <v>131.87228766274001</v>
      </c>
      <c r="G310">
        <v>113.89336639802001</v>
      </c>
      <c r="I310" s="9">
        <f>E310-G310</f>
        <v>360.27484062600996</v>
      </c>
      <c r="J310" s="9">
        <f>D310-F310</f>
        <v>2914.7912982891603</v>
      </c>
      <c r="K310" s="9">
        <f t="shared" si="31"/>
        <v>360.27484062600996</v>
      </c>
      <c r="L310" s="10">
        <f t="shared" si="30"/>
        <v>0.12360227671788153</v>
      </c>
      <c r="M310" s="10">
        <f>L310+ABS($N$2)*A310</f>
        <v>0.12952368574370726</v>
      </c>
      <c r="O310" s="11"/>
      <c r="P310" s="8">
        <f>(M310-$O$2)/$O$2*100</f>
        <v>9.3764987939041955</v>
      </c>
    </row>
    <row r="311" spans="1:16" x14ac:dyDescent="0.2">
      <c r="A311" s="8">
        <v>154.5</v>
      </c>
      <c r="B311" s="8">
        <v>309</v>
      </c>
      <c r="D311">
        <v>3062.3134698945</v>
      </c>
      <c r="E311">
        <v>472.78522656734998</v>
      </c>
      <c r="F311">
        <v>132.04649721017</v>
      </c>
      <c r="G311">
        <v>113.86546807192001</v>
      </c>
      <c r="I311" s="9">
        <f t="shared" ref="I311:I319" si="44">E311-G311</f>
        <v>358.91975849542996</v>
      </c>
      <c r="J311" s="9">
        <f t="shared" ref="J311:J319" si="45">D311-F311</f>
        <v>2930.2669726843301</v>
      </c>
      <c r="K311" s="9">
        <f t="shared" si="31"/>
        <v>358.91975849542996</v>
      </c>
      <c r="L311" s="10">
        <f t="shared" si="30"/>
        <v>0.12248705044326876</v>
      </c>
      <c r="M311" s="10">
        <f t="shared" ref="M311:M319" si="46">L311+ABS($N$2)*A311</f>
        <v>0.12842768482307446</v>
      </c>
      <c r="P311" s="8">
        <f t="shared" ref="P311:P319" si="47">(M311-$O$2)/$O$2*100</f>
        <v>8.4509789348498749</v>
      </c>
    </row>
    <row r="312" spans="1:16" x14ac:dyDescent="0.2">
      <c r="A312" s="8">
        <v>155</v>
      </c>
      <c r="B312" s="8">
        <v>310</v>
      </c>
      <c r="D312">
        <v>2982.7746741155001</v>
      </c>
      <c r="E312">
        <v>465.33581626319</v>
      </c>
      <c r="F312">
        <v>131.7780533168</v>
      </c>
      <c r="G312">
        <v>113.87600743954999</v>
      </c>
      <c r="I312" s="9">
        <f t="shared" si="44"/>
        <v>351.45980882364</v>
      </c>
      <c r="J312" s="9">
        <f t="shared" si="45"/>
        <v>2850.9966207987</v>
      </c>
      <c r="K312" s="9">
        <f t="shared" si="31"/>
        <v>351.45980882364</v>
      </c>
      <c r="L312" s="10">
        <f t="shared" si="30"/>
        <v>0.12327612255295461</v>
      </c>
      <c r="M312" s="10">
        <f t="shared" si="46"/>
        <v>0.12923598228674027</v>
      </c>
      <c r="N312" s="1"/>
      <c r="P312" s="8">
        <f t="shared" si="47"/>
        <v>9.1335471157360875</v>
      </c>
    </row>
    <row r="313" spans="1:16" x14ac:dyDescent="0.2">
      <c r="A313" s="8">
        <v>155.5</v>
      </c>
      <c r="B313" s="8">
        <v>311</v>
      </c>
      <c r="D313">
        <v>3202.2456575681999</v>
      </c>
      <c r="E313">
        <v>483.52109181140997</v>
      </c>
      <c r="F313">
        <v>131.83323000620001</v>
      </c>
      <c r="G313">
        <v>113.90204587725</v>
      </c>
      <c r="I313" s="9">
        <f t="shared" si="44"/>
        <v>369.61904593416</v>
      </c>
      <c r="J313" s="9">
        <f t="shared" si="45"/>
        <v>3070.4124275619997</v>
      </c>
      <c r="K313" s="9">
        <f t="shared" si="31"/>
        <v>369.61904593416</v>
      </c>
      <c r="L313" s="10">
        <f t="shared" si="30"/>
        <v>0.12038091124704335</v>
      </c>
      <c r="M313" s="10">
        <f t="shared" si="46"/>
        <v>0.12635999633480896</v>
      </c>
      <c r="P313" s="8">
        <f t="shared" si="47"/>
        <v>6.7049158411046594</v>
      </c>
    </row>
    <row r="314" spans="1:16" x14ac:dyDescent="0.2">
      <c r="A314" s="8">
        <v>156</v>
      </c>
      <c r="B314" s="8">
        <v>312</v>
      </c>
      <c r="D314">
        <v>3172.2022332505999</v>
      </c>
      <c r="E314">
        <v>479.22084367245998</v>
      </c>
      <c r="F314">
        <v>131.83570985741</v>
      </c>
      <c r="G314">
        <v>113.34717916925</v>
      </c>
      <c r="I314" s="9">
        <f t="shared" si="44"/>
        <v>365.87366450320997</v>
      </c>
      <c r="J314" s="9">
        <f t="shared" si="45"/>
        <v>3040.3665233931897</v>
      </c>
      <c r="K314" s="9">
        <f t="shared" si="31"/>
        <v>365.87366450320997</v>
      </c>
      <c r="L314" s="10">
        <f t="shared" si="30"/>
        <v>0.12033867025179518</v>
      </c>
      <c r="M314" s="10">
        <f t="shared" si="46"/>
        <v>0.12633698069354074</v>
      </c>
      <c r="P314" s="8">
        <f t="shared" si="47"/>
        <v>6.6854802433222158</v>
      </c>
    </row>
    <row r="315" spans="1:16" x14ac:dyDescent="0.2">
      <c r="A315" s="8">
        <v>156.5</v>
      </c>
      <c r="B315" s="8">
        <v>313</v>
      </c>
      <c r="D315">
        <v>3175.3399503721998</v>
      </c>
      <c r="E315">
        <v>478.20409429279999</v>
      </c>
      <c r="F315">
        <v>132.01611903285999</v>
      </c>
      <c r="G315">
        <v>113.92560446373</v>
      </c>
      <c r="I315" s="9">
        <f t="shared" si="44"/>
        <v>364.27848982907</v>
      </c>
      <c r="J315" s="9">
        <f t="shared" si="45"/>
        <v>3043.3238313393399</v>
      </c>
      <c r="K315" s="9">
        <f t="shared" si="31"/>
        <v>364.27848982907</v>
      </c>
      <c r="L315" s="10">
        <f t="shared" si="30"/>
        <v>0.119697577391478</v>
      </c>
      <c r="M315" s="10">
        <f t="shared" si="46"/>
        <v>0.12571511318720352</v>
      </c>
      <c r="P315" s="8">
        <f t="shared" si="47"/>
        <v>6.1603431599670513</v>
      </c>
    </row>
    <row r="316" spans="1:16" x14ac:dyDescent="0.2">
      <c r="A316" s="8">
        <v>157</v>
      </c>
      <c r="B316" s="8">
        <v>314</v>
      </c>
      <c r="D316">
        <v>3102.0452853597999</v>
      </c>
      <c r="E316">
        <v>470.34677419355</v>
      </c>
      <c r="F316">
        <v>131.75263484191001</v>
      </c>
      <c r="G316">
        <v>113.50526968382</v>
      </c>
      <c r="I316" s="9">
        <f t="shared" si="44"/>
        <v>356.84150450972999</v>
      </c>
      <c r="J316" s="9">
        <f t="shared" si="45"/>
        <v>2970.2926505178898</v>
      </c>
      <c r="K316" s="9">
        <f t="shared" si="31"/>
        <v>356.84150450972999</v>
      </c>
      <c r="L316" s="10">
        <f t="shared" si="30"/>
        <v>0.12013681697239911</v>
      </c>
      <c r="M316" s="10">
        <f t="shared" si="46"/>
        <v>0.12617357812210458</v>
      </c>
      <c r="P316" s="8">
        <f t="shared" si="47"/>
        <v>6.5474946613416947</v>
      </c>
    </row>
    <row r="317" spans="1:16" x14ac:dyDescent="0.2">
      <c r="A317" s="8">
        <v>157.5</v>
      </c>
      <c r="B317" s="8">
        <v>315</v>
      </c>
      <c r="D317">
        <v>3043.8049844236998</v>
      </c>
      <c r="E317">
        <v>467.73395638629</v>
      </c>
      <c r="F317">
        <v>131.76007439553999</v>
      </c>
      <c r="G317">
        <v>113.54618722876999</v>
      </c>
      <c r="I317" s="9">
        <f t="shared" si="44"/>
        <v>354.18776915751999</v>
      </c>
      <c r="J317" s="9">
        <f t="shared" si="45"/>
        <v>2912.0449100281598</v>
      </c>
      <c r="K317" s="9">
        <f t="shared" si="31"/>
        <v>354.18776915751999</v>
      </c>
      <c r="L317" s="10">
        <f t="shared" si="30"/>
        <v>0.12162853942870508</v>
      </c>
      <c r="M317" s="10">
        <f t="shared" si="46"/>
        <v>0.12768452593239049</v>
      </c>
      <c r="P317" s="8">
        <f t="shared" si="47"/>
        <v>7.8234171337487748</v>
      </c>
    </row>
    <row r="318" spans="1:16" x14ac:dyDescent="0.2">
      <c r="A318" s="8">
        <v>158</v>
      </c>
      <c r="B318" s="8">
        <v>316</v>
      </c>
      <c r="D318">
        <v>3134.2224299065001</v>
      </c>
      <c r="E318">
        <v>476.91152647975002</v>
      </c>
      <c r="F318">
        <v>132.02355858649</v>
      </c>
      <c r="G318">
        <v>113.49783013019</v>
      </c>
      <c r="I318" s="9">
        <f t="shared" si="44"/>
        <v>363.41369634956004</v>
      </c>
      <c r="J318" s="9">
        <f t="shared" si="45"/>
        <v>3002.1988713200103</v>
      </c>
      <c r="K318" s="9">
        <f t="shared" si="31"/>
        <v>363.41369634956004</v>
      </c>
      <c r="L318" s="10">
        <f t="shared" si="30"/>
        <v>0.12104917493016507</v>
      </c>
      <c r="M318" s="10">
        <f t="shared" si="46"/>
        <v>0.12712438678783045</v>
      </c>
      <c r="P318" s="8">
        <f t="shared" si="47"/>
        <v>7.3504066714722498</v>
      </c>
    </row>
    <row r="319" spans="1:16" x14ac:dyDescent="0.2">
      <c r="A319" s="8">
        <v>158.5</v>
      </c>
      <c r="B319" s="8">
        <v>317</v>
      </c>
      <c r="D319">
        <v>3143.3900311527</v>
      </c>
      <c r="E319">
        <v>475.43426791277</v>
      </c>
      <c r="F319">
        <v>131.81215127092</v>
      </c>
      <c r="G319">
        <v>113.59764414135</v>
      </c>
      <c r="I319" s="9">
        <f t="shared" si="44"/>
        <v>361.83662377142002</v>
      </c>
      <c r="J319" s="9">
        <f t="shared" si="45"/>
        <v>3011.5778798817801</v>
      </c>
      <c r="K319" s="9">
        <f t="shared" si="31"/>
        <v>361.83662377142002</v>
      </c>
      <c r="L319" s="10">
        <f t="shared" si="30"/>
        <v>0.12014851954803971</v>
      </c>
      <c r="M319" s="10">
        <f t="shared" si="46"/>
        <v>0.12624295675968503</v>
      </c>
      <c r="P319" s="8">
        <f t="shared" si="47"/>
        <v>6.6060815709564764</v>
      </c>
    </row>
    <row r="320" spans="1:16" x14ac:dyDescent="0.2">
      <c r="A320" s="8">
        <v>159</v>
      </c>
      <c r="B320" s="8">
        <v>318</v>
      </c>
      <c r="D320">
        <v>3047.2785046729</v>
      </c>
      <c r="E320">
        <v>463.57258566977998</v>
      </c>
      <c r="F320">
        <v>131.62926224427</v>
      </c>
      <c r="G320">
        <v>113.67761934284</v>
      </c>
      <c r="I320" s="9">
        <f>E320-G320</f>
        <v>349.89496632693999</v>
      </c>
      <c r="J320" s="9">
        <f>D320-F320</f>
        <v>2915.6492424286298</v>
      </c>
      <c r="K320" s="9">
        <f t="shared" si="31"/>
        <v>349.89496632693999</v>
      </c>
      <c r="L320" s="10">
        <f t="shared" si="30"/>
        <v>0.12000585023577466</v>
      </c>
      <c r="M320" s="10">
        <f>L320+ABS($N$2)*A320</f>
        <v>0.12611951280139994</v>
      </c>
      <c r="O320" s="11"/>
      <c r="P320" s="8">
        <f>(M320-$O$2)/$O$2*100</f>
        <v>6.5018391084527405</v>
      </c>
    </row>
    <row r="321" spans="1:16" x14ac:dyDescent="0.2">
      <c r="A321" s="8">
        <v>159.5</v>
      </c>
      <c r="B321" s="8">
        <v>319</v>
      </c>
      <c r="D321">
        <v>2984.3383177569999</v>
      </c>
      <c r="E321">
        <v>456.72897196261999</v>
      </c>
      <c r="F321">
        <v>131.83199008060001</v>
      </c>
      <c r="G321">
        <v>113.59206447613001</v>
      </c>
      <c r="I321" s="9">
        <f t="shared" ref="I321" si="48">E321-G321</f>
        <v>343.13690748648997</v>
      </c>
      <c r="J321" s="9">
        <f t="shared" ref="J321" si="49">D321-F321</f>
        <v>2852.5063276763999</v>
      </c>
      <c r="K321" s="9">
        <f t="shared" si="31"/>
        <v>343.13690748648997</v>
      </c>
      <c r="L321" s="10">
        <f t="shared" si="30"/>
        <v>0.12029312754093104</v>
      </c>
      <c r="M321" s="10">
        <f t="shared" ref="M321" si="50">L321+ABS($N$2)*A321</f>
        <v>0.12642601546053628</v>
      </c>
      <c r="P321" s="8">
        <f t="shared" ref="P321" si="51">(M321-$O$2)/$O$2*100</f>
        <v>6.7606658051674247</v>
      </c>
    </row>
    <row r="322" spans="1:16" x14ac:dyDescent="0.2">
      <c r="A322" s="8">
        <v>160</v>
      </c>
      <c r="B322" s="8">
        <v>320</v>
      </c>
      <c r="D322">
        <v>3052.2685358255999</v>
      </c>
      <c r="E322">
        <v>460.95514018692</v>
      </c>
      <c r="F322">
        <v>131.40979541228</v>
      </c>
      <c r="G322">
        <v>113.46931184128999</v>
      </c>
      <c r="I322" s="9">
        <f>E322-G322</f>
        <v>347.48582834563001</v>
      </c>
      <c r="J322" s="9">
        <f>D322-F322</f>
        <v>2920.85874041332</v>
      </c>
      <c r="K322" s="9">
        <f t="shared" ref="K322" si="52">I322*1</f>
        <v>347.48582834563001</v>
      </c>
      <c r="L322" s="10">
        <f t="shared" ref="L322" si="53">K322/J322</f>
        <v>0.11896700909831009</v>
      </c>
      <c r="M322" s="10">
        <f>L322+ABS($N$2)*A322</f>
        <v>0.12511912237189529</v>
      </c>
      <c r="O322" s="11"/>
      <c r="P322" s="8">
        <f>(M322-$O$2)/$O$2*100</f>
        <v>5.6570576927766973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49E1-A0D5-6540-AA2E-D7F57BE579B8}">
  <dimension ref="A1:Y798"/>
  <sheetViews>
    <sheetView topLeftCell="E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1134.6007692308001</v>
      </c>
      <c r="E2">
        <v>321.74153846154002</v>
      </c>
      <c r="F2">
        <v>155.12074303406001</v>
      </c>
      <c r="G2">
        <v>127.06424148607</v>
      </c>
      <c r="H2" s="4"/>
      <c r="I2" s="5">
        <f>E2-G2</f>
        <v>194.67729697547003</v>
      </c>
      <c r="J2" s="5">
        <f>D2-F2</f>
        <v>979.48002619674003</v>
      </c>
      <c r="K2" s="9">
        <f>I2*1</f>
        <v>194.67729697547003</v>
      </c>
      <c r="L2" s="6">
        <f t="shared" ref="L2:L65" si="0">K2/J2</f>
        <v>0.19875575996316111</v>
      </c>
      <c r="M2" s="6">
        <f>L2+ABS($N$2)*A2</f>
        <v>0.19875575996316111</v>
      </c>
      <c r="N2" s="4">
        <f>LINEST(V64:V103,U64:U103)</f>
        <v>2.3814632495808399E-4</v>
      </c>
      <c r="O2" s="7">
        <f>AVERAGE(M62:M81)</f>
        <v>0.28576759908961713</v>
      </c>
      <c r="P2" s="4">
        <f>(M2-$O$2)/$O$2*100</f>
        <v>-30.448462108249363</v>
      </c>
    </row>
    <row r="3" spans="1:16" x14ac:dyDescent="0.2">
      <c r="A3" s="8">
        <v>0.5</v>
      </c>
      <c r="B3" s="8">
        <v>1</v>
      </c>
      <c r="D3">
        <v>1137.1469230769001</v>
      </c>
      <c r="E3">
        <v>323.67923076923</v>
      </c>
      <c r="F3">
        <v>155.05572755418001</v>
      </c>
      <c r="G3">
        <v>126.61222910217001</v>
      </c>
      <c r="I3" s="9">
        <f t="shared" ref="I3:I66" si="1">E3-G3</f>
        <v>197.06700166706</v>
      </c>
      <c r="J3" s="9">
        <f t="shared" ref="J3:J66" si="2">D3-F3</f>
        <v>982.09119552272</v>
      </c>
      <c r="K3" s="9">
        <f t="shared" ref="K3:K66" si="3">I3*1</f>
        <v>197.06700166706</v>
      </c>
      <c r="L3" s="10">
        <f t="shared" si="0"/>
        <v>0.20066059299327155</v>
      </c>
      <c r="M3" s="10">
        <f t="shared" ref="M3:M66" si="4">L3+ABS($N$2)*A3</f>
        <v>0.2007796661557506</v>
      </c>
      <c r="P3" s="8">
        <f t="shared" ref="P3:P66" si="5">(M3-$O$2)/$O$2*100</f>
        <v>-29.740227095239792</v>
      </c>
    </row>
    <row r="4" spans="1:16" ht="16" x14ac:dyDescent="0.2">
      <c r="A4" s="8">
        <v>1</v>
      </c>
      <c r="B4" s="8">
        <v>2</v>
      </c>
      <c r="D4">
        <v>1132.3300153139</v>
      </c>
      <c r="E4">
        <v>320.84762633997002</v>
      </c>
      <c r="F4">
        <v>155.08591331269</v>
      </c>
      <c r="G4">
        <v>126.6726006192</v>
      </c>
      <c r="I4" s="9">
        <f t="shared" si="1"/>
        <v>194.17502572077001</v>
      </c>
      <c r="J4" s="9">
        <f t="shared" si="2"/>
        <v>977.24410200121008</v>
      </c>
      <c r="K4" s="9">
        <f t="shared" si="3"/>
        <v>194.17502572077001</v>
      </c>
      <c r="L4" s="10">
        <f t="shared" si="0"/>
        <v>0.19869654400894973</v>
      </c>
      <c r="M4" s="10">
        <f t="shared" si="4"/>
        <v>0.19893469033390782</v>
      </c>
      <c r="N4" s="1" t="s">
        <v>8</v>
      </c>
      <c r="P4" s="8">
        <f t="shared" si="5"/>
        <v>-30.385848162050866</v>
      </c>
    </row>
    <row r="5" spans="1:16" x14ac:dyDescent="0.2">
      <c r="A5" s="8">
        <v>1.5</v>
      </c>
      <c r="B5" s="8">
        <v>3</v>
      </c>
      <c r="D5">
        <v>1115.5815384615</v>
      </c>
      <c r="E5">
        <v>328.73692307691999</v>
      </c>
      <c r="F5">
        <v>155.35371517028</v>
      </c>
      <c r="G5">
        <v>127.13080495356</v>
      </c>
      <c r="I5" s="9">
        <f t="shared" si="1"/>
        <v>201.60611812335998</v>
      </c>
      <c r="J5" s="9">
        <f t="shared" si="2"/>
        <v>960.22782329122003</v>
      </c>
      <c r="K5" s="9">
        <f t="shared" si="3"/>
        <v>201.60611812335998</v>
      </c>
      <c r="L5" s="10">
        <f t="shared" si="0"/>
        <v>0.20995654701229838</v>
      </c>
      <c r="M5" s="10">
        <f t="shared" si="4"/>
        <v>0.21031376649973552</v>
      </c>
      <c r="N5" s="8">
        <f>RSQ(V64:V83,U64:U83)</f>
        <v>0.91021061697148897</v>
      </c>
      <c r="P5" s="8">
        <f t="shared" si="5"/>
        <v>-26.403914520140958</v>
      </c>
    </row>
    <row r="6" spans="1:16" x14ac:dyDescent="0.2">
      <c r="A6" s="8">
        <v>2</v>
      </c>
      <c r="B6" s="8">
        <v>4</v>
      </c>
      <c r="D6">
        <v>1143.9403213466001</v>
      </c>
      <c r="E6">
        <v>340.31446059679001</v>
      </c>
      <c r="F6">
        <v>155.34287925697001</v>
      </c>
      <c r="G6">
        <v>126.78637770898</v>
      </c>
      <c r="I6" s="9">
        <f t="shared" si="1"/>
        <v>213.52808288781</v>
      </c>
      <c r="J6" s="9">
        <f t="shared" si="2"/>
        <v>988.59744208963002</v>
      </c>
      <c r="K6" s="9">
        <f t="shared" si="3"/>
        <v>213.52808288781</v>
      </c>
      <c r="L6" s="10">
        <f t="shared" si="0"/>
        <v>0.21599093199803235</v>
      </c>
      <c r="M6" s="10">
        <f t="shared" si="4"/>
        <v>0.21646722464794851</v>
      </c>
      <c r="P6" s="8">
        <f t="shared" si="5"/>
        <v>-24.250605968780917</v>
      </c>
    </row>
    <row r="7" spans="1:16" x14ac:dyDescent="0.2">
      <c r="A7" s="8">
        <v>2.5</v>
      </c>
      <c r="B7" s="8">
        <v>5</v>
      </c>
      <c r="D7">
        <v>1162.7975553858</v>
      </c>
      <c r="E7">
        <v>351.63636363635999</v>
      </c>
      <c r="F7">
        <v>155.54179566564</v>
      </c>
      <c r="G7">
        <v>127.35913312693999</v>
      </c>
      <c r="I7" s="9">
        <f t="shared" si="1"/>
        <v>224.27723050942001</v>
      </c>
      <c r="J7" s="9">
        <f t="shared" si="2"/>
        <v>1007.2557597201601</v>
      </c>
      <c r="K7" s="9">
        <f t="shared" si="3"/>
        <v>224.27723050942001</v>
      </c>
      <c r="L7" s="10">
        <f t="shared" si="0"/>
        <v>0.22266165107035935</v>
      </c>
      <c r="M7" s="10">
        <f t="shared" si="4"/>
        <v>0.22325701688275457</v>
      </c>
      <c r="P7" s="8">
        <f t="shared" si="5"/>
        <v>-21.87462203762966</v>
      </c>
    </row>
    <row r="8" spans="1:16" x14ac:dyDescent="0.2">
      <c r="A8" s="8">
        <v>3</v>
      </c>
      <c r="B8" s="8">
        <v>6</v>
      </c>
      <c r="D8">
        <v>1186.0401854714</v>
      </c>
      <c r="E8">
        <v>363.99149922719999</v>
      </c>
      <c r="F8">
        <v>155.39783281734</v>
      </c>
      <c r="G8">
        <v>126.79721362229</v>
      </c>
      <c r="I8" s="9">
        <f t="shared" si="1"/>
        <v>237.19428560490999</v>
      </c>
      <c r="J8" s="9">
        <f t="shared" si="2"/>
        <v>1030.64235265406</v>
      </c>
      <c r="K8" s="9">
        <f t="shared" si="3"/>
        <v>237.19428560490999</v>
      </c>
      <c r="L8" s="10">
        <f t="shared" si="0"/>
        <v>0.23014218753391885</v>
      </c>
      <c r="M8" s="10">
        <f t="shared" si="4"/>
        <v>0.2308566265087931</v>
      </c>
      <c r="P8" s="8">
        <f t="shared" si="5"/>
        <v>-19.215254897950789</v>
      </c>
    </row>
    <row r="9" spans="1:16" x14ac:dyDescent="0.2">
      <c r="A9" s="8">
        <v>3.5</v>
      </c>
      <c r="B9" s="8">
        <v>7</v>
      </c>
      <c r="D9">
        <v>1293.6491904395</v>
      </c>
      <c r="E9">
        <v>385.60755589822998</v>
      </c>
      <c r="F9">
        <v>154.76006191951001</v>
      </c>
      <c r="G9">
        <v>126.81191950464</v>
      </c>
      <c r="I9" s="9">
        <f t="shared" si="1"/>
        <v>258.79563639358997</v>
      </c>
      <c r="J9" s="9">
        <f t="shared" si="2"/>
        <v>1138.88912851999</v>
      </c>
      <c r="K9" s="9">
        <f t="shared" si="3"/>
        <v>258.79563639358997</v>
      </c>
      <c r="L9" s="10">
        <f t="shared" si="0"/>
        <v>0.22723514511891096</v>
      </c>
      <c r="M9" s="10">
        <f t="shared" si="4"/>
        <v>0.22806865725626427</v>
      </c>
      <c r="P9" s="8">
        <f t="shared" si="5"/>
        <v>-20.190862091142247</v>
      </c>
    </row>
    <row r="10" spans="1:16" x14ac:dyDescent="0.2">
      <c r="A10" s="8">
        <v>4</v>
      </c>
      <c r="B10" s="8">
        <v>8</v>
      </c>
      <c r="D10">
        <v>1354.5054263566001</v>
      </c>
      <c r="E10">
        <v>404.44031007752</v>
      </c>
      <c r="F10">
        <v>155.95356037152001</v>
      </c>
      <c r="G10">
        <v>127.31114551084001</v>
      </c>
      <c r="I10" s="9">
        <f t="shared" si="1"/>
        <v>277.12916456668</v>
      </c>
      <c r="J10" s="9">
        <f t="shared" si="2"/>
        <v>1198.55186598508</v>
      </c>
      <c r="K10" s="9">
        <f t="shared" si="3"/>
        <v>277.12916456668</v>
      </c>
      <c r="L10" s="10">
        <f t="shared" si="0"/>
        <v>0.23122000176346963</v>
      </c>
      <c r="M10" s="10">
        <f t="shared" si="4"/>
        <v>0.23217258706330196</v>
      </c>
      <c r="P10" s="8">
        <f t="shared" si="5"/>
        <v>-18.754754631755048</v>
      </c>
    </row>
    <row r="11" spans="1:16" x14ac:dyDescent="0.2">
      <c r="A11" s="8">
        <v>4.5</v>
      </c>
      <c r="B11" s="8">
        <v>9</v>
      </c>
      <c r="D11">
        <v>1410.8031007751999</v>
      </c>
      <c r="E11">
        <v>435.84418604651</v>
      </c>
      <c r="F11">
        <v>154.81888544892001</v>
      </c>
      <c r="G11">
        <v>126.67956656347</v>
      </c>
      <c r="I11" s="9">
        <f t="shared" si="1"/>
        <v>309.16461948303998</v>
      </c>
      <c r="J11" s="9">
        <f t="shared" si="2"/>
        <v>1255.9842153262798</v>
      </c>
      <c r="K11" s="9">
        <f t="shared" si="3"/>
        <v>309.16461948303998</v>
      </c>
      <c r="L11" s="10">
        <f t="shared" si="0"/>
        <v>0.2461532682580132</v>
      </c>
      <c r="M11" s="10">
        <f t="shared" si="4"/>
        <v>0.24722492672032459</v>
      </c>
      <c r="P11" s="8">
        <f t="shared" si="5"/>
        <v>-13.487418619913417</v>
      </c>
    </row>
    <row r="12" spans="1:16" x14ac:dyDescent="0.2">
      <c r="A12" s="8">
        <v>5</v>
      </c>
      <c r="B12" s="8">
        <v>10</v>
      </c>
      <c r="D12">
        <v>1409.7076205287999</v>
      </c>
      <c r="E12">
        <v>430.04743390357999</v>
      </c>
      <c r="F12">
        <v>155.40479876161001</v>
      </c>
      <c r="G12">
        <v>127.0959752322</v>
      </c>
      <c r="I12" s="9">
        <f t="shared" si="1"/>
        <v>302.95145867138001</v>
      </c>
      <c r="J12" s="9">
        <f t="shared" si="2"/>
        <v>1254.3028217671899</v>
      </c>
      <c r="K12" s="9">
        <f t="shared" si="3"/>
        <v>302.95145867138001</v>
      </c>
      <c r="L12" s="10">
        <f t="shared" si="0"/>
        <v>0.24152975933240034</v>
      </c>
      <c r="M12" s="10">
        <f t="shared" si="4"/>
        <v>0.24272049095719075</v>
      </c>
      <c r="P12" s="8">
        <f t="shared" si="5"/>
        <v>-15.06367701221675</v>
      </c>
    </row>
    <row r="13" spans="1:16" x14ac:dyDescent="0.2">
      <c r="A13" s="8">
        <v>5.5</v>
      </c>
      <c r="B13" s="8">
        <v>11</v>
      </c>
      <c r="D13">
        <v>1434.7970451010999</v>
      </c>
      <c r="E13">
        <v>438.53343701400001</v>
      </c>
      <c r="F13">
        <v>155.81811145511</v>
      </c>
      <c r="G13">
        <v>126.99922600619</v>
      </c>
      <c r="I13" s="9">
        <f t="shared" si="1"/>
        <v>311.53421100781003</v>
      </c>
      <c r="J13" s="9">
        <f t="shared" si="2"/>
        <v>1278.9789336459899</v>
      </c>
      <c r="K13" s="9">
        <f t="shared" si="3"/>
        <v>311.53421100781003</v>
      </c>
      <c r="L13" s="10">
        <f t="shared" si="0"/>
        <v>0.24358040841198089</v>
      </c>
      <c r="M13" s="10">
        <f t="shared" si="4"/>
        <v>0.24489021319925036</v>
      </c>
      <c r="P13" s="8">
        <f t="shared" si="5"/>
        <v>-14.304415903199565</v>
      </c>
    </row>
    <row r="14" spans="1:16" x14ac:dyDescent="0.2">
      <c r="A14" s="8">
        <v>6</v>
      </c>
      <c r="B14" s="8">
        <v>12</v>
      </c>
      <c r="D14">
        <v>1411.4428242516999</v>
      </c>
      <c r="E14">
        <v>434.61089792785998</v>
      </c>
      <c r="F14">
        <v>155.95278637771</v>
      </c>
      <c r="G14">
        <v>127.19504643963</v>
      </c>
      <c r="I14" s="9">
        <f t="shared" si="1"/>
        <v>307.41585148822998</v>
      </c>
      <c r="J14" s="9">
        <f t="shared" si="2"/>
        <v>1255.4900378739899</v>
      </c>
      <c r="K14" s="9">
        <f t="shared" si="3"/>
        <v>307.41585148822998</v>
      </c>
      <c r="L14" s="10">
        <f t="shared" si="0"/>
        <v>0.24485726068268848</v>
      </c>
      <c r="M14" s="10">
        <f t="shared" si="4"/>
        <v>0.24628613863243698</v>
      </c>
      <c r="P14" s="8">
        <f t="shared" si="5"/>
        <v>-13.815933150909354</v>
      </c>
    </row>
    <row r="15" spans="1:16" x14ac:dyDescent="0.2">
      <c r="A15" s="8">
        <v>6.5</v>
      </c>
      <c r="B15" s="8">
        <v>13</v>
      </c>
      <c r="D15">
        <v>1449.4543361474</v>
      </c>
      <c r="E15">
        <v>450.80813507290998</v>
      </c>
      <c r="F15">
        <v>156.30263157895001</v>
      </c>
      <c r="G15">
        <v>127.11764705882</v>
      </c>
      <c r="I15" s="9">
        <f t="shared" si="1"/>
        <v>323.69048801408996</v>
      </c>
      <c r="J15" s="9">
        <f t="shared" si="2"/>
        <v>1293.15170456845</v>
      </c>
      <c r="K15" s="9">
        <f t="shared" si="3"/>
        <v>323.69048801408996</v>
      </c>
      <c r="L15" s="10">
        <f t="shared" si="0"/>
        <v>0.2503113028970656</v>
      </c>
      <c r="M15" s="10">
        <f t="shared" si="4"/>
        <v>0.25185925400929315</v>
      </c>
      <c r="P15" s="8">
        <f t="shared" si="5"/>
        <v>-11.865706675056002</v>
      </c>
    </row>
    <row r="16" spans="1:16" x14ac:dyDescent="0.2">
      <c r="A16" s="8">
        <v>7</v>
      </c>
      <c r="B16" s="8">
        <v>14</v>
      </c>
      <c r="D16">
        <v>1414.2655410591001</v>
      </c>
      <c r="E16">
        <v>449.33921719109998</v>
      </c>
      <c r="F16">
        <v>155.16873065016</v>
      </c>
      <c r="G16">
        <v>126.80804953560001</v>
      </c>
      <c r="I16" s="9">
        <f t="shared" si="1"/>
        <v>322.53116765549998</v>
      </c>
      <c r="J16" s="9">
        <f t="shared" si="2"/>
        <v>1259.0968104089402</v>
      </c>
      <c r="K16" s="9">
        <f t="shared" si="3"/>
        <v>322.53116765549998</v>
      </c>
      <c r="L16" s="10">
        <f t="shared" si="0"/>
        <v>0.25616073759312086</v>
      </c>
      <c r="M16" s="10">
        <f t="shared" si="4"/>
        <v>0.25782776186782747</v>
      </c>
      <c r="P16" s="8">
        <f t="shared" si="5"/>
        <v>-9.7771186484398083</v>
      </c>
    </row>
    <row r="17" spans="1:16" x14ac:dyDescent="0.2">
      <c r="A17" s="8">
        <v>7.5</v>
      </c>
      <c r="B17" s="8">
        <v>15</v>
      </c>
      <c r="D17">
        <v>1407.4151957022</v>
      </c>
      <c r="E17">
        <v>458.62240982347998</v>
      </c>
      <c r="F17">
        <v>155.38312693499</v>
      </c>
      <c r="G17">
        <v>127.07275541796</v>
      </c>
      <c r="I17" s="9">
        <f t="shared" si="1"/>
        <v>331.54965440551996</v>
      </c>
      <c r="J17" s="9">
        <f t="shared" si="2"/>
        <v>1252.0320687672099</v>
      </c>
      <c r="K17" s="9">
        <f t="shared" si="3"/>
        <v>331.54965440551996</v>
      </c>
      <c r="L17" s="10">
        <f t="shared" si="0"/>
        <v>0.26480923506374254</v>
      </c>
      <c r="M17" s="10">
        <f t="shared" si="4"/>
        <v>0.26659533250092815</v>
      </c>
      <c r="P17" s="8">
        <f t="shared" si="5"/>
        <v>-6.7090414202894033</v>
      </c>
    </row>
    <row r="18" spans="1:16" x14ac:dyDescent="0.2">
      <c r="A18" s="8">
        <v>8</v>
      </c>
      <c r="B18" s="8">
        <v>16</v>
      </c>
      <c r="D18">
        <v>1437.2729393468001</v>
      </c>
      <c r="E18">
        <v>470.16562986002998</v>
      </c>
      <c r="F18">
        <v>155.63235294117999</v>
      </c>
      <c r="G18">
        <v>127.10758513931999</v>
      </c>
      <c r="I18" s="9">
        <f t="shared" si="1"/>
        <v>343.05804472070997</v>
      </c>
      <c r="J18" s="9">
        <f t="shared" si="2"/>
        <v>1281.6405864056201</v>
      </c>
      <c r="K18" s="9">
        <f t="shared" si="3"/>
        <v>343.05804472070997</v>
      </c>
      <c r="L18" s="10">
        <f t="shared" si="0"/>
        <v>0.26767102131403414</v>
      </c>
      <c r="M18" s="10">
        <f t="shared" si="4"/>
        <v>0.2695761919136988</v>
      </c>
      <c r="P18" s="8">
        <f t="shared" si="5"/>
        <v>-5.6659352661043556</v>
      </c>
    </row>
    <row r="19" spans="1:16" x14ac:dyDescent="0.2">
      <c r="A19" s="8">
        <v>8.5</v>
      </c>
      <c r="B19" s="8">
        <v>17</v>
      </c>
      <c r="D19">
        <v>1437.4043545878999</v>
      </c>
      <c r="E19">
        <v>472.67029548989001</v>
      </c>
      <c r="F19">
        <v>154.84365325076999</v>
      </c>
      <c r="G19">
        <v>126.63622291022</v>
      </c>
      <c r="I19" s="9">
        <f t="shared" si="1"/>
        <v>346.03407257967001</v>
      </c>
      <c r="J19" s="9">
        <f t="shared" si="2"/>
        <v>1282.56070133713</v>
      </c>
      <c r="K19" s="9">
        <f t="shared" si="3"/>
        <v>346.03407257967001</v>
      </c>
      <c r="L19" s="10">
        <f t="shared" si="0"/>
        <v>0.26979937262923553</v>
      </c>
      <c r="M19" s="10">
        <f t="shared" si="4"/>
        <v>0.27182361639137925</v>
      </c>
      <c r="P19" s="8">
        <f t="shared" si="5"/>
        <v>-4.8794834483194949</v>
      </c>
    </row>
    <row r="20" spans="1:16" x14ac:dyDescent="0.2">
      <c r="A20" s="8">
        <v>9</v>
      </c>
      <c r="B20" s="8">
        <v>18</v>
      </c>
      <c r="D20">
        <v>1391.6119631902</v>
      </c>
      <c r="E20">
        <v>465.06595092024997</v>
      </c>
      <c r="F20">
        <v>155.47910216718</v>
      </c>
      <c r="G20">
        <v>126.40557275542</v>
      </c>
      <c r="I20" s="9">
        <f t="shared" si="1"/>
        <v>338.66037816482998</v>
      </c>
      <c r="J20" s="9">
        <f t="shared" si="2"/>
        <v>1236.13286102302</v>
      </c>
      <c r="K20" s="9">
        <f t="shared" si="3"/>
        <v>338.66037816482998</v>
      </c>
      <c r="L20" s="10">
        <f t="shared" si="0"/>
        <v>0.27396762018328324</v>
      </c>
      <c r="M20" s="10">
        <f t="shared" si="4"/>
        <v>0.27611093710790602</v>
      </c>
      <c r="P20" s="8">
        <f t="shared" si="5"/>
        <v>-3.3792011454324351</v>
      </c>
    </row>
    <row r="21" spans="1:16" x14ac:dyDescent="0.2">
      <c r="A21" s="8">
        <v>9.5</v>
      </c>
      <c r="B21" s="8">
        <v>19</v>
      </c>
      <c r="D21">
        <v>1402.93</v>
      </c>
      <c r="E21">
        <v>468.87</v>
      </c>
      <c r="F21">
        <v>155.08436532508</v>
      </c>
      <c r="G21">
        <v>127.22523219814001</v>
      </c>
      <c r="I21" s="9">
        <f t="shared" si="1"/>
        <v>341.64476780185998</v>
      </c>
      <c r="J21" s="9">
        <f t="shared" si="2"/>
        <v>1247.8456346749201</v>
      </c>
      <c r="K21" s="9">
        <f t="shared" si="3"/>
        <v>341.64476780185998</v>
      </c>
      <c r="L21" s="10">
        <f t="shared" si="0"/>
        <v>0.27378768519782726</v>
      </c>
      <c r="M21" s="10">
        <f t="shared" si="4"/>
        <v>0.27605007528492903</v>
      </c>
      <c r="P21" s="8">
        <f t="shared" si="5"/>
        <v>-3.400498809398147</v>
      </c>
    </row>
    <row r="22" spans="1:16" x14ac:dyDescent="0.2">
      <c r="A22" s="8">
        <v>10</v>
      </c>
      <c r="B22" s="8">
        <v>20</v>
      </c>
      <c r="D22">
        <v>1444.9476117103</v>
      </c>
      <c r="E22">
        <v>481.75500770415999</v>
      </c>
      <c r="F22">
        <v>155.59287925697001</v>
      </c>
      <c r="G22">
        <v>126.90866873065001</v>
      </c>
      <c r="I22" s="9">
        <f t="shared" si="1"/>
        <v>354.84633897351</v>
      </c>
      <c r="J22" s="9">
        <f t="shared" si="2"/>
        <v>1289.3547324533299</v>
      </c>
      <c r="K22" s="9">
        <f t="shared" si="3"/>
        <v>354.84633897351</v>
      </c>
      <c r="L22" s="10">
        <f t="shared" si="0"/>
        <v>0.27521234462631033</v>
      </c>
      <c r="M22" s="10">
        <f t="shared" si="4"/>
        <v>0.27759380787589116</v>
      </c>
      <c r="P22" s="8">
        <f t="shared" si="5"/>
        <v>-2.8602932032062371</v>
      </c>
    </row>
    <row r="23" spans="1:16" x14ac:dyDescent="0.2">
      <c r="A23" s="8">
        <v>10.5</v>
      </c>
      <c r="B23" s="8">
        <v>21</v>
      </c>
      <c r="D23">
        <v>1447.6016949153</v>
      </c>
      <c r="E23">
        <v>484.73420647149999</v>
      </c>
      <c r="F23">
        <v>156.15557275542</v>
      </c>
      <c r="G23">
        <v>126.82894736842</v>
      </c>
      <c r="I23" s="9">
        <f t="shared" si="1"/>
        <v>357.90525910307997</v>
      </c>
      <c r="J23" s="9">
        <f t="shared" si="2"/>
        <v>1291.4461221598799</v>
      </c>
      <c r="K23" s="9">
        <f t="shared" si="3"/>
        <v>357.90525910307997</v>
      </c>
      <c r="L23" s="10">
        <f t="shared" si="0"/>
        <v>0.27713526175176484</v>
      </c>
      <c r="M23" s="10">
        <f t="shared" si="4"/>
        <v>0.27963579816382472</v>
      </c>
      <c r="P23" s="8">
        <f t="shared" si="5"/>
        <v>-2.1457299376580008</v>
      </c>
    </row>
    <row r="24" spans="1:16" x14ac:dyDescent="0.2">
      <c r="A24" s="8">
        <v>11</v>
      </c>
      <c r="B24" s="8">
        <v>22</v>
      </c>
      <c r="D24">
        <v>1419.3297380586</v>
      </c>
      <c r="E24">
        <v>478.35747303544002</v>
      </c>
      <c r="F24">
        <v>155.64318885449001</v>
      </c>
      <c r="G24">
        <v>126.54334365325001</v>
      </c>
      <c r="I24" s="9">
        <f t="shared" si="1"/>
        <v>351.81412938219</v>
      </c>
      <c r="J24" s="9">
        <f t="shared" si="2"/>
        <v>1263.68654920411</v>
      </c>
      <c r="K24" s="9">
        <f t="shared" si="3"/>
        <v>351.81412938219</v>
      </c>
      <c r="L24" s="10">
        <f t="shared" si="0"/>
        <v>0.27840300239309201</v>
      </c>
      <c r="M24" s="10">
        <f t="shared" si="4"/>
        <v>0.28102261196763095</v>
      </c>
      <c r="P24" s="8">
        <f t="shared" si="5"/>
        <v>-1.6604356606915898</v>
      </c>
    </row>
    <row r="25" spans="1:16" x14ac:dyDescent="0.2">
      <c r="A25" s="8">
        <v>11.5</v>
      </c>
      <c r="B25" s="8">
        <v>23</v>
      </c>
      <c r="D25">
        <v>1402.1579754601</v>
      </c>
      <c r="E25">
        <v>477.75</v>
      </c>
      <c r="F25">
        <v>155.72523219813999</v>
      </c>
      <c r="G25">
        <v>127.02321981423999</v>
      </c>
      <c r="I25" s="9">
        <f t="shared" si="1"/>
        <v>350.72678018575999</v>
      </c>
      <c r="J25" s="9">
        <f t="shared" si="2"/>
        <v>1246.43274326196</v>
      </c>
      <c r="K25" s="9">
        <f t="shared" si="3"/>
        <v>350.72678018575999</v>
      </c>
      <c r="L25" s="10">
        <f t="shared" si="0"/>
        <v>0.28138444058192436</v>
      </c>
      <c r="M25" s="10">
        <f t="shared" si="4"/>
        <v>0.28412312331894229</v>
      </c>
      <c r="P25" s="8">
        <f t="shared" si="5"/>
        <v>-0.57545914089411021</v>
      </c>
    </row>
    <row r="26" spans="1:16" x14ac:dyDescent="0.2">
      <c r="A26" s="8">
        <v>12</v>
      </c>
      <c r="B26" s="8">
        <v>24</v>
      </c>
      <c r="D26">
        <v>1401.3192632386999</v>
      </c>
      <c r="E26">
        <v>480.15118956254997</v>
      </c>
      <c r="F26">
        <v>155.36764705882001</v>
      </c>
      <c r="G26">
        <v>126.95743034055999</v>
      </c>
      <c r="I26" s="9">
        <f t="shared" si="1"/>
        <v>353.19375922198998</v>
      </c>
      <c r="J26" s="9">
        <f t="shared" si="2"/>
        <v>1245.9516161798799</v>
      </c>
      <c r="K26" s="9">
        <f t="shared" si="3"/>
        <v>353.19375922198998</v>
      </c>
      <c r="L26" s="10">
        <f t="shared" si="0"/>
        <v>0.28347309368632728</v>
      </c>
      <c r="M26" s="10">
        <f t="shared" si="4"/>
        <v>0.28633084958582428</v>
      </c>
      <c r="P26" s="8">
        <f t="shared" si="5"/>
        <v>0.19710089527347355</v>
      </c>
    </row>
    <row r="27" spans="1:16" x14ac:dyDescent="0.2">
      <c r="A27" s="8">
        <v>12.5</v>
      </c>
      <c r="B27" s="8">
        <v>25</v>
      </c>
      <c r="D27">
        <v>1407.1261538461999</v>
      </c>
      <c r="E27">
        <v>478.77076923076999</v>
      </c>
      <c r="F27">
        <v>155.50696594427001</v>
      </c>
      <c r="G27">
        <v>126.95278637771</v>
      </c>
      <c r="I27" s="9">
        <f t="shared" si="1"/>
        <v>351.81798285306002</v>
      </c>
      <c r="J27" s="9">
        <f t="shared" si="2"/>
        <v>1251.61918790193</v>
      </c>
      <c r="K27" s="9">
        <f t="shared" si="3"/>
        <v>351.81798285306002</v>
      </c>
      <c r="L27" s="10">
        <f t="shared" si="0"/>
        <v>0.28109027590317393</v>
      </c>
      <c r="M27" s="10">
        <f t="shared" si="4"/>
        <v>0.28406710496514997</v>
      </c>
      <c r="P27" s="8">
        <f t="shared" si="5"/>
        <v>-0.59506190690774508</v>
      </c>
    </row>
    <row r="28" spans="1:16" x14ac:dyDescent="0.2">
      <c r="A28" s="8">
        <v>13</v>
      </c>
      <c r="B28" s="8">
        <v>26</v>
      </c>
      <c r="D28">
        <v>1442.6107692308001</v>
      </c>
      <c r="E28">
        <v>492.49076923077001</v>
      </c>
      <c r="F28">
        <v>155.47213622291</v>
      </c>
      <c r="G28">
        <v>126.56191950464</v>
      </c>
      <c r="I28" s="9">
        <f t="shared" si="1"/>
        <v>365.92884972613001</v>
      </c>
      <c r="J28" s="9">
        <f t="shared" si="2"/>
        <v>1287.1386330078901</v>
      </c>
      <c r="K28" s="9">
        <f t="shared" si="3"/>
        <v>365.92884972613001</v>
      </c>
      <c r="L28" s="10">
        <f t="shared" si="0"/>
        <v>0.2842963767399303</v>
      </c>
      <c r="M28" s="10">
        <f t="shared" si="4"/>
        <v>0.28739227896438541</v>
      </c>
      <c r="P28" s="8">
        <f t="shared" si="5"/>
        <v>0.56853186993350269</v>
      </c>
    </row>
    <row r="29" spans="1:16" x14ac:dyDescent="0.2">
      <c r="A29" s="8">
        <v>13.5</v>
      </c>
      <c r="B29" s="8">
        <v>27</v>
      </c>
      <c r="D29">
        <v>1398.2438837921</v>
      </c>
      <c r="E29">
        <v>476.69724770642</v>
      </c>
      <c r="F29">
        <v>154.94814241486</v>
      </c>
      <c r="G29">
        <v>126.60061919505</v>
      </c>
      <c r="I29" s="9">
        <f t="shared" si="1"/>
        <v>350.09662851137</v>
      </c>
      <c r="J29" s="9">
        <f t="shared" si="2"/>
        <v>1243.2957413772399</v>
      </c>
      <c r="K29" s="9">
        <f t="shared" si="3"/>
        <v>350.09662851137</v>
      </c>
      <c r="L29" s="10">
        <f t="shared" si="0"/>
        <v>0.2815875715327042</v>
      </c>
      <c r="M29" s="10">
        <f t="shared" si="4"/>
        <v>0.28480254691963836</v>
      </c>
      <c r="P29" s="8">
        <f t="shared" si="5"/>
        <v>-0.33770524476994096</v>
      </c>
    </row>
    <row r="30" spans="1:16" x14ac:dyDescent="0.2">
      <c r="A30" s="8">
        <v>14</v>
      </c>
      <c r="B30" s="8">
        <v>28</v>
      </c>
      <c r="D30">
        <v>1412.7094801223</v>
      </c>
      <c r="E30">
        <v>475.29892966361001</v>
      </c>
      <c r="F30">
        <v>155.10061919505</v>
      </c>
      <c r="G30">
        <v>126.73761609907</v>
      </c>
      <c r="I30" s="9">
        <f t="shared" si="1"/>
        <v>348.56131356454</v>
      </c>
      <c r="J30" s="9">
        <f t="shared" si="2"/>
        <v>1257.6088609272499</v>
      </c>
      <c r="K30" s="9">
        <f t="shared" si="3"/>
        <v>348.56131356454</v>
      </c>
      <c r="L30" s="10">
        <f t="shared" si="0"/>
        <v>0.2771619415177638</v>
      </c>
      <c r="M30" s="10">
        <f t="shared" si="4"/>
        <v>0.28049599006717696</v>
      </c>
      <c r="P30" s="8">
        <f t="shared" si="5"/>
        <v>-1.8447189391779113</v>
      </c>
    </row>
    <row r="31" spans="1:16" x14ac:dyDescent="0.2">
      <c r="A31" s="8">
        <v>14.5</v>
      </c>
      <c r="B31" s="8">
        <v>29</v>
      </c>
      <c r="D31">
        <v>1420.5868400918</v>
      </c>
      <c r="E31">
        <v>478.04896710023002</v>
      </c>
      <c r="F31">
        <v>155.76393188854999</v>
      </c>
      <c r="G31">
        <v>126.87074303406</v>
      </c>
      <c r="I31" s="9">
        <f t="shared" si="1"/>
        <v>351.17822406617</v>
      </c>
      <c r="J31" s="9">
        <f t="shared" si="2"/>
        <v>1264.8229082032501</v>
      </c>
      <c r="K31" s="9">
        <f t="shared" si="3"/>
        <v>351.17822406617</v>
      </c>
      <c r="L31" s="10">
        <f t="shared" si="0"/>
        <v>0.27765011353647745</v>
      </c>
      <c r="M31" s="10">
        <f t="shared" si="4"/>
        <v>0.28110323524836967</v>
      </c>
      <c r="P31" s="8">
        <f t="shared" si="5"/>
        <v>-1.6322227768672661</v>
      </c>
    </row>
    <row r="32" spans="1:16" x14ac:dyDescent="0.2">
      <c r="A32" s="8">
        <v>15</v>
      </c>
      <c r="B32" s="8">
        <v>30</v>
      </c>
      <c r="D32">
        <v>1414.5921052632</v>
      </c>
      <c r="E32">
        <v>478.70278637771003</v>
      </c>
      <c r="F32">
        <v>154.96517027863999</v>
      </c>
      <c r="G32">
        <v>126.70665634674999</v>
      </c>
      <c r="I32" s="9">
        <f t="shared" si="1"/>
        <v>351.99613003096005</v>
      </c>
      <c r="J32" s="9">
        <f t="shared" si="2"/>
        <v>1259.62693498456</v>
      </c>
      <c r="K32" s="9">
        <f t="shared" si="3"/>
        <v>351.99613003096005</v>
      </c>
      <c r="L32" s="10">
        <f t="shared" si="0"/>
        <v>0.27944474689664739</v>
      </c>
      <c r="M32" s="10">
        <f t="shared" si="4"/>
        <v>0.28301694177101866</v>
      </c>
      <c r="P32" s="8">
        <f t="shared" si="5"/>
        <v>-0.962550452662011</v>
      </c>
    </row>
    <row r="33" spans="1:16" x14ac:dyDescent="0.2">
      <c r="A33" s="8">
        <v>15.5</v>
      </c>
      <c r="B33" s="8">
        <v>31</v>
      </c>
      <c r="D33">
        <v>1402.072755418</v>
      </c>
      <c r="E33">
        <v>474.81501547988</v>
      </c>
      <c r="F33">
        <v>155.62383900929001</v>
      </c>
      <c r="G33">
        <v>126.79102167182999</v>
      </c>
      <c r="I33" s="9">
        <f t="shared" si="1"/>
        <v>348.02399380805002</v>
      </c>
      <c r="J33" s="9">
        <f t="shared" si="2"/>
        <v>1246.4489164087099</v>
      </c>
      <c r="K33" s="9">
        <f t="shared" si="3"/>
        <v>348.02399380805002</v>
      </c>
      <c r="L33" s="10">
        <f t="shared" si="0"/>
        <v>0.27921240030500627</v>
      </c>
      <c r="M33" s="10">
        <f t="shared" si="4"/>
        <v>0.2829036683418566</v>
      </c>
      <c r="P33" s="8">
        <f t="shared" si="5"/>
        <v>-1.0021887564875407</v>
      </c>
    </row>
    <row r="34" spans="1:16" x14ac:dyDescent="0.2">
      <c r="A34" s="8">
        <v>16</v>
      </c>
      <c r="B34" s="8">
        <v>32</v>
      </c>
      <c r="D34">
        <v>1370.7221362229</v>
      </c>
      <c r="E34">
        <v>469.65944272446001</v>
      </c>
      <c r="F34">
        <v>154.88390092879001</v>
      </c>
      <c r="G34">
        <v>126.64783281734</v>
      </c>
      <c r="I34" s="9">
        <f t="shared" si="1"/>
        <v>343.01160990712003</v>
      </c>
      <c r="J34" s="9">
        <f t="shared" si="2"/>
        <v>1215.8382352941098</v>
      </c>
      <c r="K34" s="9">
        <f t="shared" si="3"/>
        <v>343.01160990712003</v>
      </c>
      <c r="L34" s="10">
        <f t="shared" si="0"/>
        <v>0.2821194464444079</v>
      </c>
      <c r="M34" s="10">
        <f t="shared" si="4"/>
        <v>0.28592978764373722</v>
      </c>
      <c r="P34" s="8">
        <f t="shared" si="5"/>
        <v>5.675540356456861E-2</v>
      </c>
    </row>
    <row r="35" spans="1:16" x14ac:dyDescent="0.2">
      <c r="A35" s="8">
        <v>16.5</v>
      </c>
      <c r="B35" s="8">
        <v>33</v>
      </c>
      <c r="D35">
        <v>1381.1003861004001</v>
      </c>
      <c r="E35">
        <v>475.42316602316998</v>
      </c>
      <c r="F35">
        <v>154.95743034055999</v>
      </c>
      <c r="G35">
        <v>126.35758513931999</v>
      </c>
      <c r="I35" s="9">
        <f t="shared" si="1"/>
        <v>349.06558088384998</v>
      </c>
      <c r="J35" s="9">
        <f t="shared" si="2"/>
        <v>1226.1429557598401</v>
      </c>
      <c r="K35" s="9">
        <f t="shared" si="3"/>
        <v>349.06558088384998</v>
      </c>
      <c r="L35" s="10">
        <f t="shared" si="0"/>
        <v>0.28468587552870966</v>
      </c>
      <c r="M35" s="10">
        <f t="shared" si="4"/>
        <v>0.28861528989051805</v>
      </c>
      <c r="P35" s="8">
        <f t="shared" si="5"/>
        <v>0.99650583550162197</v>
      </c>
    </row>
    <row r="36" spans="1:16" x14ac:dyDescent="0.2">
      <c r="A36" s="8">
        <v>17</v>
      </c>
      <c r="B36" s="8">
        <v>34</v>
      </c>
      <c r="D36">
        <v>1427.9738058552</v>
      </c>
      <c r="E36">
        <v>486.20878274268</v>
      </c>
      <c r="F36">
        <v>155.50773993807999</v>
      </c>
      <c r="G36">
        <v>126.60681114550999</v>
      </c>
      <c r="I36" s="9">
        <f t="shared" si="1"/>
        <v>359.60197159717001</v>
      </c>
      <c r="J36" s="9">
        <f t="shared" si="2"/>
        <v>1272.46606591712</v>
      </c>
      <c r="K36" s="9">
        <f t="shared" si="3"/>
        <v>359.60197159717001</v>
      </c>
      <c r="L36" s="10">
        <f t="shared" si="0"/>
        <v>0.28260240585511387</v>
      </c>
      <c r="M36" s="10">
        <f t="shared" si="4"/>
        <v>0.28665089337940131</v>
      </c>
      <c r="P36" s="8">
        <f t="shared" si="5"/>
        <v>0.30909532522165789</v>
      </c>
    </row>
    <row r="37" spans="1:16" x14ac:dyDescent="0.2">
      <c r="A37" s="8">
        <v>17.5</v>
      </c>
      <c r="B37" s="8">
        <v>35</v>
      </c>
      <c r="D37">
        <v>1365.5285053928999</v>
      </c>
      <c r="E37">
        <v>470.55007704159999</v>
      </c>
      <c r="F37">
        <v>155.73839009288</v>
      </c>
      <c r="G37">
        <v>126.65092879257</v>
      </c>
      <c r="I37" s="9">
        <f t="shared" si="1"/>
        <v>343.89914824902996</v>
      </c>
      <c r="J37" s="9">
        <f t="shared" si="2"/>
        <v>1209.7901153000198</v>
      </c>
      <c r="K37" s="9">
        <f t="shared" si="3"/>
        <v>343.89914824902996</v>
      </c>
      <c r="L37" s="10">
        <f t="shared" si="0"/>
        <v>0.28426348000350893</v>
      </c>
      <c r="M37" s="10">
        <f t="shared" si="4"/>
        <v>0.28843104069027542</v>
      </c>
      <c r="P37" s="8">
        <f t="shared" si="5"/>
        <v>0.93203064628157173</v>
      </c>
    </row>
    <row r="38" spans="1:16" x14ac:dyDescent="0.2">
      <c r="A38" s="8">
        <v>18</v>
      </c>
      <c r="B38" s="8">
        <v>36</v>
      </c>
      <c r="D38">
        <v>1386.2303543913999</v>
      </c>
      <c r="E38">
        <v>473.94607087827001</v>
      </c>
      <c r="F38">
        <v>155.14241486067999</v>
      </c>
      <c r="G38">
        <v>126.45123839009</v>
      </c>
      <c r="I38" s="9">
        <f t="shared" si="1"/>
        <v>347.49483248818001</v>
      </c>
      <c r="J38" s="9">
        <f t="shared" si="2"/>
        <v>1231.08793953072</v>
      </c>
      <c r="K38" s="9">
        <f t="shared" si="3"/>
        <v>347.49483248818001</v>
      </c>
      <c r="L38" s="10">
        <f t="shared" si="0"/>
        <v>0.28226645825207419</v>
      </c>
      <c r="M38" s="10">
        <f t="shared" si="4"/>
        <v>0.28655309210131968</v>
      </c>
      <c r="P38" s="8">
        <f t="shared" si="5"/>
        <v>0.27487126399386591</v>
      </c>
    </row>
    <row r="39" spans="1:16" x14ac:dyDescent="0.2">
      <c r="A39" s="8">
        <v>18.5</v>
      </c>
      <c r="B39" s="8">
        <v>37</v>
      </c>
      <c r="D39">
        <v>1413.5825617283999</v>
      </c>
      <c r="E39">
        <v>482.87731481482001</v>
      </c>
      <c r="F39">
        <v>155.25464396285</v>
      </c>
      <c r="G39">
        <v>126.64783281734</v>
      </c>
      <c r="I39" s="9">
        <f t="shared" si="1"/>
        <v>356.22948199747998</v>
      </c>
      <c r="J39" s="9">
        <f t="shared" si="2"/>
        <v>1258.32791776555</v>
      </c>
      <c r="K39" s="9">
        <f t="shared" si="3"/>
        <v>356.22948199747998</v>
      </c>
      <c r="L39" s="10">
        <f t="shared" si="0"/>
        <v>0.28309749546846835</v>
      </c>
      <c r="M39" s="10">
        <f t="shared" si="4"/>
        <v>0.2875032024801929</v>
      </c>
      <c r="P39" s="8">
        <f t="shared" si="5"/>
        <v>0.60734785752652132</v>
      </c>
    </row>
    <row r="40" spans="1:16" x14ac:dyDescent="0.2">
      <c r="A40" s="8">
        <v>19</v>
      </c>
      <c r="B40" s="8">
        <v>38</v>
      </c>
      <c r="D40">
        <v>1414.0084876543001</v>
      </c>
      <c r="E40">
        <v>486.47916666666998</v>
      </c>
      <c r="F40">
        <v>155.62306501547999</v>
      </c>
      <c r="G40">
        <v>127.04721362229</v>
      </c>
      <c r="I40" s="9">
        <f t="shared" si="1"/>
        <v>359.43195304437995</v>
      </c>
      <c r="J40" s="9">
        <f t="shared" si="2"/>
        <v>1258.38542263882</v>
      </c>
      <c r="K40" s="9">
        <f t="shared" si="3"/>
        <v>359.43195304437995</v>
      </c>
      <c r="L40" s="10">
        <f t="shared" si="0"/>
        <v>0.28562946342040041</v>
      </c>
      <c r="M40" s="10">
        <f t="shared" si="4"/>
        <v>0.29015424359460401</v>
      </c>
      <c r="P40" s="8">
        <f t="shared" si="5"/>
        <v>1.5350391433324191</v>
      </c>
    </row>
    <row r="41" spans="1:16" x14ac:dyDescent="0.2">
      <c r="A41" s="8">
        <v>19.5</v>
      </c>
      <c r="B41" s="8">
        <v>39</v>
      </c>
      <c r="D41">
        <v>1448.0146604938</v>
      </c>
      <c r="E41">
        <v>499</v>
      </c>
      <c r="F41">
        <v>155.71517027863999</v>
      </c>
      <c r="G41">
        <v>126.42182662539</v>
      </c>
      <c r="I41" s="9">
        <f t="shared" si="1"/>
        <v>372.57817337461</v>
      </c>
      <c r="J41" s="9">
        <f t="shared" si="2"/>
        <v>1292.2994902151599</v>
      </c>
      <c r="K41" s="9">
        <f t="shared" si="3"/>
        <v>372.57817337461</v>
      </c>
      <c r="L41" s="10">
        <f t="shared" si="0"/>
        <v>0.2883063687602152</v>
      </c>
      <c r="M41" s="10">
        <f t="shared" si="4"/>
        <v>0.29295022209689786</v>
      </c>
      <c r="P41" s="8">
        <f t="shared" si="5"/>
        <v>2.513449050964049</v>
      </c>
    </row>
    <row r="42" spans="1:16" x14ac:dyDescent="0.2">
      <c r="A42" s="8">
        <v>20</v>
      </c>
      <c r="B42" s="8">
        <v>40</v>
      </c>
      <c r="D42">
        <v>1396.762490392</v>
      </c>
      <c r="E42">
        <v>483.72175249807998</v>
      </c>
      <c r="F42">
        <v>155.46517027863999</v>
      </c>
      <c r="G42">
        <v>127.35835913312999</v>
      </c>
      <c r="I42" s="9">
        <f t="shared" si="1"/>
        <v>356.36339336494996</v>
      </c>
      <c r="J42" s="9">
        <f t="shared" si="2"/>
        <v>1241.29732011336</v>
      </c>
      <c r="K42" s="9">
        <f t="shared" si="3"/>
        <v>356.36339336494996</v>
      </c>
      <c r="L42" s="10">
        <f t="shared" si="0"/>
        <v>0.28708947291725845</v>
      </c>
      <c r="M42" s="10">
        <f t="shared" si="4"/>
        <v>0.29185239941642011</v>
      </c>
      <c r="P42" s="8">
        <f t="shared" si="5"/>
        <v>2.1292827969957409</v>
      </c>
    </row>
    <row r="43" spans="1:16" x14ac:dyDescent="0.2">
      <c r="A43" s="8">
        <v>20.5</v>
      </c>
      <c r="B43" s="8">
        <v>41</v>
      </c>
      <c r="D43">
        <v>1399.2175249807999</v>
      </c>
      <c r="E43">
        <v>481.62029208300999</v>
      </c>
      <c r="F43">
        <v>155.10371517028</v>
      </c>
      <c r="G43">
        <v>126.96904024768</v>
      </c>
      <c r="I43" s="9">
        <f t="shared" si="1"/>
        <v>354.65125183532996</v>
      </c>
      <c r="J43" s="9">
        <f t="shared" si="2"/>
        <v>1244.1138098105198</v>
      </c>
      <c r="K43" s="9">
        <f t="shared" si="3"/>
        <v>354.65125183532996</v>
      </c>
      <c r="L43" s="10">
        <f t="shared" si="0"/>
        <v>0.28506335114899484</v>
      </c>
      <c r="M43" s="10">
        <f t="shared" si="4"/>
        <v>0.28994535081063555</v>
      </c>
      <c r="P43" s="8">
        <f t="shared" si="5"/>
        <v>1.461940308953035</v>
      </c>
    </row>
    <row r="44" spans="1:16" x14ac:dyDescent="0.2">
      <c r="A44" s="8">
        <v>21</v>
      </c>
      <c r="B44" s="8">
        <v>42</v>
      </c>
      <c r="D44">
        <v>1395.5377503852001</v>
      </c>
      <c r="E44">
        <v>476.41756548536</v>
      </c>
      <c r="F44">
        <v>154.93498452012</v>
      </c>
      <c r="G44">
        <v>126.73606811146</v>
      </c>
      <c r="I44" s="9">
        <f t="shared" si="1"/>
        <v>349.68149737390002</v>
      </c>
      <c r="J44" s="9">
        <f t="shared" si="2"/>
        <v>1240.6027658650801</v>
      </c>
      <c r="K44" s="9">
        <f t="shared" si="3"/>
        <v>349.68149737390002</v>
      </c>
      <c r="L44" s="10">
        <f t="shared" si="0"/>
        <v>0.28186419295145204</v>
      </c>
      <c r="M44" s="10">
        <f t="shared" si="4"/>
        <v>0.28686526577557181</v>
      </c>
      <c r="P44" s="8">
        <f t="shared" si="5"/>
        <v>0.38411166607115915</v>
      </c>
    </row>
    <row r="45" spans="1:16" x14ac:dyDescent="0.2">
      <c r="A45" s="8">
        <v>21.5</v>
      </c>
      <c r="B45" s="8">
        <v>43</v>
      </c>
      <c r="D45">
        <v>1436.4121725732</v>
      </c>
      <c r="E45">
        <v>485.92526964561</v>
      </c>
      <c r="F45">
        <v>156.01470588235</v>
      </c>
      <c r="G45">
        <v>126.61222910217001</v>
      </c>
      <c r="I45" s="9">
        <f t="shared" si="1"/>
        <v>359.31304054344002</v>
      </c>
      <c r="J45" s="9">
        <f t="shared" si="2"/>
        <v>1280.39746669085</v>
      </c>
      <c r="K45" s="9">
        <f t="shared" si="3"/>
        <v>359.31304054344002</v>
      </c>
      <c r="L45" s="10">
        <f t="shared" si="0"/>
        <v>0.28062617264627532</v>
      </c>
      <c r="M45" s="10">
        <f t="shared" si="4"/>
        <v>0.28574631863287414</v>
      </c>
      <c r="P45" s="8">
        <f t="shared" si="5"/>
        <v>-7.4467703164331073E-3</v>
      </c>
    </row>
    <row r="46" spans="1:16" x14ac:dyDescent="0.2">
      <c r="A46" s="8">
        <v>22</v>
      </c>
      <c r="B46" s="8">
        <v>44</v>
      </c>
      <c r="D46">
        <v>1378.1521906226001</v>
      </c>
      <c r="E46">
        <v>469.82475019216002</v>
      </c>
      <c r="F46">
        <v>155.70588235293999</v>
      </c>
      <c r="G46">
        <v>126.40479876161</v>
      </c>
      <c r="I46" s="9">
        <f t="shared" si="1"/>
        <v>343.41995143055004</v>
      </c>
      <c r="J46" s="9">
        <f t="shared" si="2"/>
        <v>1222.44630826966</v>
      </c>
      <c r="K46" s="9">
        <f t="shared" si="3"/>
        <v>343.41995143055004</v>
      </c>
      <c r="L46" s="10">
        <f t="shared" si="0"/>
        <v>0.28092845395938232</v>
      </c>
      <c r="M46" s="10">
        <f t="shared" si="4"/>
        <v>0.28616767310846014</v>
      </c>
      <c r="P46" s="8">
        <f t="shared" si="5"/>
        <v>0.13999978308161765</v>
      </c>
    </row>
    <row r="47" spans="1:16" x14ac:dyDescent="0.2">
      <c r="A47" s="8">
        <v>22.5</v>
      </c>
      <c r="B47" s="8">
        <v>45</v>
      </c>
      <c r="D47">
        <v>1379.6158583526001</v>
      </c>
      <c r="E47">
        <v>472.19938414165</v>
      </c>
      <c r="F47">
        <v>155.56114551083999</v>
      </c>
      <c r="G47">
        <v>126.94427244582</v>
      </c>
      <c r="I47" s="9">
        <f t="shared" si="1"/>
        <v>345.25511169583001</v>
      </c>
      <c r="J47" s="9">
        <f t="shared" si="2"/>
        <v>1224.0547128417602</v>
      </c>
      <c r="K47" s="9">
        <f t="shared" si="3"/>
        <v>345.25511169583001</v>
      </c>
      <c r="L47" s="10">
        <f t="shared" si="0"/>
        <v>0.28205856165880627</v>
      </c>
      <c r="M47" s="10">
        <f t="shared" si="4"/>
        <v>0.28741685397036315</v>
      </c>
      <c r="P47" s="8">
        <f t="shared" si="5"/>
        <v>0.57713151735890533</v>
      </c>
    </row>
    <row r="48" spans="1:16" x14ac:dyDescent="0.2">
      <c r="A48" s="8">
        <v>23</v>
      </c>
      <c r="B48" s="8">
        <v>46</v>
      </c>
      <c r="D48">
        <v>1381.9153194764999</v>
      </c>
      <c r="E48">
        <v>473.79599692071002</v>
      </c>
      <c r="F48">
        <v>155.09055727553999</v>
      </c>
      <c r="G48">
        <v>126.65479876161</v>
      </c>
      <c r="I48" s="9">
        <f t="shared" si="1"/>
        <v>347.14119815910004</v>
      </c>
      <c r="J48" s="9">
        <f t="shared" si="2"/>
        <v>1226.8247622009599</v>
      </c>
      <c r="K48" s="9">
        <f t="shared" si="3"/>
        <v>347.14119815910004</v>
      </c>
      <c r="L48" s="10">
        <f t="shared" si="0"/>
        <v>0.28295907358139599</v>
      </c>
      <c r="M48" s="10">
        <f t="shared" si="4"/>
        <v>0.28843643905543193</v>
      </c>
      <c r="P48" s="8">
        <f t="shared" si="5"/>
        <v>0.93391972159091541</v>
      </c>
    </row>
    <row r="49" spans="1:25" x14ac:dyDescent="0.2">
      <c r="A49" s="8">
        <v>23.5</v>
      </c>
      <c r="B49" s="8">
        <v>47</v>
      </c>
      <c r="D49">
        <v>1417.9107005389001</v>
      </c>
      <c r="E49">
        <v>483.93995381062001</v>
      </c>
      <c r="F49">
        <v>155.13854489164001</v>
      </c>
      <c r="G49">
        <v>126.57972136223</v>
      </c>
      <c r="I49" s="9">
        <f t="shared" si="1"/>
        <v>357.36023244838998</v>
      </c>
      <c r="J49" s="9">
        <f t="shared" si="2"/>
        <v>1262.77215564726</v>
      </c>
      <c r="K49" s="9">
        <f t="shared" si="3"/>
        <v>357.36023244838998</v>
      </c>
      <c r="L49" s="10">
        <f t="shared" si="0"/>
        <v>0.28299660461329829</v>
      </c>
      <c r="M49" s="10">
        <f t="shared" si="4"/>
        <v>0.28859304324981327</v>
      </c>
      <c r="P49" s="8">
        <f t="shared" si="5"/>
        <v>0.98872096388719044</v>
      </c>
    </row>
    <row r="50" spans="1:25" x14ac:dyDescent="0.2">
      <c r="A50" s="8">
        <v>24</v>
      </c>
      <c r="B50" s="8">
        <v>48</v>
      </c>
      <c r="D50">
        <v>1421.3085188028001</v>
      </c>
      <c r="E50">
        <v>482.66462010743999</v>
      </c>
      <c r="F50">
        <v>155.55340557276</v>
      </c>
      <c r="G50">
        <v>126.31037151703001</v>
      </c>
      <c r="I50" s="9">
        <f t="shared" si="1"/>
        <v>356.35424859040995</v>
      </c>
      <c r="J50" s="9">
        <f t="shared" si="2"/>
        <v>1265.75511323004</v>
      </c>
      <c r="K50" s="9">
        <f t="shared" si="3"/>
        <v>356.35424859040995</v>
      </c>
      <c r="L50" s="10">
        <f t="shared" si="0"/>
        <v>0.28153490739692999</v>
      </c>
      <c r="M50" s="10">
        <f t="shared" si="4"/>
        <v>0.28725041919592398</v>
      </c>
      <c r="P50" s="8">
        <f t="shared" si="5"/>
        <v>0.51889021394683499</v>
      </c>
    </row>
    <row r="51" spans="1:25" x14ac:dyDescent="0.2">
      <c r="A51" s="8">
        <v>24.5</v>
      </c>
      <c r="B51" s="8">
        <v>49</v>
      </c>
      <c r="D51">
        <v>1406.2210283960001</v>
      </c>
      <c r="E51">
        <v>481.20644666154999</v>
      </c>
      <c r="F51">
        <v>155.55340557276</v>
      </c>
      <c r="G51">
        <v>126.87229102166999</v>
      </c>
      <c r="I51" s="9">
        <f t="shared" si="1"/>
        <v>354.33415563988001</v>
      </c>
      <c r="J51" s="9">
        <f t="shared" si="2"/>
        <v>1250.66762282324</v>
      </c>
      <c r="K51" s="9">
        <f t="shared" si="3"/>
        <v>354.33415563988001</v>
      </c>
      <c r="L51" s="10">
        <f t="shared" si="0"/>
        <v>0.28331600592650741</v>
      </c>
      <c r="M51" s="10">
        <f t="shared" si="4"/>
        <v>0.28915059088798045</v>
      </c>
      <c r="P51" s="8">
        <f t="shared" si="5"/>
        <v>1.1838262312244889</v>
      </c>
    </row>
    <row r="52" spans="1:25" x14ac:dyDescent="0.2">
      <c r="A52" s="8">
        <v>25</v>
      </c>
      <c r="B52" s="8">
        <v>50</v>
      </c>
      <c r="D52">
        <v>1401.0697852761</v>
      </c>
      <c r="E52">
        <v>477.65260736196001</v>
      </c>
      <c r="F52">
        <v>155.31191950464</v>
      </c>
      <c r="G52">
        <v>127.18421052632</v>
      </c>
      <c r="I52" s="9">
        <f t="shared" si="1"/>
        <v>350.46839683564002</v>
      </c>
      <c r="J52" s="9">
        <f t="shared" si="2"/>
        <v>1245.75786577146</v>
      </c>
      <c r="K52" s="9">
        <f t="shared" si="3"/>
        <v>350.46839683564002</v>
      </c>
      <c r="L52" s="10">
        <f t="shared" si="0"/>
        <v>0.28132946735889608</v>
      </c>
      <c r="M52" s="10">
        <f t="shared" si="4"/>
        <v>0.28728312548284818</v>
      </c>
      <c r="P52" s="8">
        <f t="shared" si="5"/>
        <v>0.53033527875767916</v>
      </c>
    </row>
    <row r="53" spans="1:25" x14ac:dyDescent="0.2">
      <c r="A53" s="8">
        <v>25.5</v>
      </c>
      <c r="B53" s="8">
        <v>51</v>
      </c>
      <c r="D53">
        <v>1396.2131901841001</v>
      </c>
      <c r="E53">
        <v>474.89570552147001</v>
      </c>
      <c r="F53">
        <v>155.40015479876001</v>
      </c>
      <c r="G53">
        <v>126.71439628483</v>
      </c>
      <c r="I53" s="9">
        <f t="shared" si="1"/>
        <v>348.18130923664</v>
      </c>
      <c r="J53" s="9">
        <f t="shared" si="2"/>
        <v>1240.8130353853401</v>
      </c>
      <c r="K53" s="9">
        <f t="shared" si="3"/>
        <v>348.18130923664</v>
      </c>
      <c r="L53" s="10">
        <f t="shared" si="0"/>
        <v>0.28060739153059489</v>
      </c>
      <c r="M53" s="10">
        <f t="shared" si="4"/>
        <v>0.28668012281702604</v>
      </c>
      <c r="P53" s="8">
        <f t="shared" si="5"/>
        <v>0.31932371980447671</v>
      </c>
      <c r="S53" s="11"/>
      <c r="U53" s="12"/>
    </row>
    <row r="54" spans="1:25" x14ac:dyDescent="0.2">
      <c r="A54" s="8">
        <v>26</v>
      </c>
      <c r="B54" s="8">
        <v>52</v>
      </c>
      <c r="D54">
        <v>1365.9822256569</v>
      </c>
      <c r="E54">
        <v>469.49690880988999</v>
      </c>
      <c r="F54">
        <v>155.90247678019</v>
      </c>
      <c r="G54">
        <v>127.25386996904</v>
      </c>
      <c r="I54" s="9">
        <f t="shared" si="1"/>
        <v>342.24303884084998</v>
      </c>
      <c r="J54" s="9">
        <f t="shared" si="2"/>
        <v>1210.07974887671</v>
      </c>
      <c r="K54" s="9">
        <f t="shared" si="3"/>
        <v>342.24303884084998</v>
      </c>
      <c r="L54" s="10">
        <f t="shared" si="0"/>
        <v>0.28282684604758201</v>
      </c>
      <c r="M54" s="10">
        <f t="shared" si="4"/>
        <v>0.28901865049649222</v>
      </c>
      <c r="P54" s="8">
        <f t="shared" si="5"/>
        <v>1.1376557094758526</v>
      </c>
      <c r="S54" s="11"/>
    </row>
    <row r="55" spans="1:25" x14ac:dyDescent="0.2">
      <c r="A55" s="8">
        <v>26.5</v>
      </c>
      <c r="B55" s="8">
        <v>53</v>
      </c>
      <c r="D55">
        <v>1392.8943716268</v>
      </c>
      <c r="E55">
        <v>480.06707787200997</v>
      </c>
      <c r="F55">
        <v>155.83359133126999</v>
      </c>
      <c r="G55">
        <v>126.5866873065</v>
      </c>
      <c r="I55" s="9">
        <f t="shared" si="1"/>
        <v>353.48039056550999</v>
      </c>
      <c r="J55" s="9">
        <f t="shared" si="2"/>
        <v>1237.0607802955301</v>
      </c>
      <c r="K55" s="9">
        <f t="shared" si="3"/>
        <v>353.48039056550999</v>
      </c>
      <c r="L55" s="10">
        <f t="shared" si="0"/>
        <v>0.28574213668067677</v>
      </c>
      <c r="M55" s="10">
        <f t="shared" si="4"/>
        <v>0.29205301429206598</v>
      </c>
      <c r="P55" s="8">
        <f t="shared" si="5"/>
        <v>2.1994849039823219</v>
      </c>
      <c r="S55" s="11"/>
    </row>
    <row r="56" spans="1:25" x14ac:dyDescent="0.2">
      <c r="A56" s="8">
        <v>27</v>
      </c>
      <c r="B56" s="8">
        <v>54</v>
      </c>
      <c r="D56">
        <v>1456.967617579</v>
      </c>
      <c r="E56">
        <v>500.86584425597999</v>
      </c>
      <c r="F56">
        <v>155.76083591330999</v>
      </c>
      <c r="G56">
        <v>126.66486068112</v>
      </c>
      <c r="I56" s="9">
        <f t="shared" si="1"/>
        <v>374.20098357486</v>
      </c>
      <c r="J56" s="9">
        <f t="shared" si="2"/>
        <v>1301.20678166569</v>
      </c>
      <c r="K56" s="9">
        <f t="shared" si="3"/>
        <v>374.20098357486</v>
      </c>
      <c r="L56" s="10">
        <f t="shared" si="0"/>
        <v>0.28757995181660595</v>
      </c>
      <c r="M56" s="10">
        <f t="shared" si="4"/>
        <v>0.29400990259047421</v>
      </c>
      <c r="P56" s="8">
        <f t="shared" si="5"/>
        <v>2.8842680300758259</v>
      </c>
      <c r="S56" s="11"/>
    </row>
    <row r="57" spans="1:25" x14ac:dyDescent="0.2">
      <c r="A57" s="8">
        <v>27.5</v>
      </c>
      <c r="B57" s="8">
        <v>55</v>
      </c>
      <c r="D57">
        <v>1381.7834493426001</v>
      </c>
      <c r="E57">
        <v>477.52126836814</v>
      </c>
      <c r="F57">
        <v>155.92414860681001</v>
      </c>
      <c r="G57">
        <v>127.27476780185999</v>
      </c>
      <c r="I57" s="9">
        <f t="shared" si="1"/>
        <v>350.24650056628002</v>
      </c>
      <c r="J57" s="9">
        <f t="shared" si="2"/>
        <v>1225.8593007357902</v>
      </c>
      <c r="K57" s="9">
        <f t="shared" si="3"/>
        <v>350.24650056628002</v>
      </c>
      <c r="L57" s="10">
        <f t="shared" si="0"/>
        <v>0.28571509010540908</v>
      </c>
      <c r="M57" s="10">
        <f t="shared" si="4"/>
        <v>0.2922641140417564</v>
      </c>
      <c r="P57" s="8">
        <f t="shared" si="5"/>
        <v>2.2733560322568089</v>
      </c>
      <c r="S57" s="11"/>
    </row>
    <row r="58" spans="1:25" x14ac:dyDescent="0.2">
      <c r="A58" s="8">
        <v>28</v>
      </c>
      <c r="B58" s="8">
        <v>56</v>
      </c>
      <c r="D58">
        <v>1395.9938271604999</v>
      </c>
      <c r="E58">
        <v>483.40817901234999</v>
      </c>
      <c r="F58">
        <v>155.82120743034</v>
      </c>
      <c r="G58">
        <v>126.99690402477</v>
      </c>
      <c r="I58" s="9">
        <f t="shared" si="1"/>
        <v>356.41127498757999</v>
      </c>
      <c r="J58" s="9">
        <f t="shared" si="2"/>
        <v>1240.17261973016</v>
      </c>
      <c r="K58" s="9">
        <f t="shared" si="3"/>
        <v>356.41127498757999</v>
      </c>
      <c r="L58" s="10">
        <f t="shared" si="0"/>
        <v>0.28738844038108896</v>
      </c>
      <c r="M58" s="10">
        <f t="shared" si="4"/>
        <v>0.29405653747991534</v>
      </c>
      <c r="P58" s="8">
        <f t="shared" si="5"/>
        <v>2.9005871962758043</v>
      </c>
      <c r="S58" s="11"/>
    </row>
    <row r="59" spans="1:25" x14ac:dyDescent="0.2">
      <c r="A59" s="8">
        <v>28.5</v>
      </c>
      <c r="B59" s="8">
        <v>57</v>
      </c>
      <c r="D59">
        <v>1429.6723470177999</v>
      </c>
      <c r="E59">
        <v>492.64213787761003</v>
      </c>
      <c r="F59">
        <v>156.0959752322</v>
      </c>
      <c r="G59">
        <v>126.30185758514</v>
      </c>
      <c r="I59" s="9">
        <f t="shared" si="1"/>
        <v>366.34028029247003</v>
      </c>
      <c r="J59" s="9">
        <f t="shared" si="2"/>
        <v>1273.5763717855998</v>
      </c>
      <c r="K59" s="9">
        <f t="shared" si="3"/>
        <v>366.34028029247003</v>
      </c>
      <c r="L59" s="10">
        <f t="shared" si="0"/>
        <v>0.28764688824969936</v>
      </c>
      <c r="M59" s="10">
        <f t="shared" si="4"/>
        <v>0.29443405851100474</v>
      </c>
      <c r="P59" s="8">
        <f t="shared" si="5"/>
        <v>3.0326949062793478</v>
      </c>
      <c r="R59" s="1"/>
      <c r="S59" s="11"/>
    </row>
    <row r="60" spans="1:25" x14ac:dyDescent="0.2">
      <c r="A60" s="8">
        <v>29</v>
      </c>
      <c r="B60" s="8">
        <v>58</v>
      </c>
      <c r="D60">
        <v>1372.0862595420001</v>
      </c>
      <c r="E60">
        <v>482.18778625954002</v>
      </c>
      <c r="F60">
        <v>155.69040247678001</v>
      </c>
      <c r="G60">
        <v>126.75154798762</v>
      </c>
      <c r="I60" s="9">
        <f t="shared" si="1"/>
        <v>355.43623827192005</v>
      </c>
      <c r="J60" s="9">
        <f t="shared" si="2"/>
        <v>1216.3958570652201</v>
      </c>
      <c r="K60" s="9">
        <f t="shared" si="3"/>
        <v>355.43623827192005</v>
      </c>
      <c r="L60" s="10">
        <f t="shared" si="0"/>
        <v>0.29220441372554135</v>
      </c>
      <c r="M60" s="10">
        <f t="shared" si="4"/>
        <v>0.29911065714932578</v>
      </c>
      <c r="P60" s="8">
        <f t="shared" si="5"/>
        <v>4.6691990632304829</v>
      </c>
      <c r="S60" s="11"/>
    </row>
    <row r="61" spans="1:25" x14ac:dyDescent="0.2">
      <c r="A61" s="8">
        <v>29.5</v>
      </c>
      <c r="B61" s="8">
        <v>59</v>
      </c>
      <c r="C61" s="2"/>
      <c r="D61">
        <v>1404.6530139104</v>
      </c>
      <c r="E61">
        <v>487.49149922719999</v>
      </c>
      <c r="F61">
        <v>156.18730650155001</v>
      </c>
      <c r="G61">
        <v>126.86687306502</v>
      </c>
      <c r="I61" s="9">
        <f t="shared" si="1"/>
        <v>360.62462616217999</v>
      </c>
      <c r="J61" s="9">
        <f t="shared" si="2"/>
        <v>1248.46570740885</v>
      </c>
      <c r="K61" s="9">
        <f t="shared" si="3"/>
        <v>360.62462616217999</v>
      </c>
      <c r="L61" s="10">
        <f t="shared" si="0"/>
        <v>0.28885425047888957</v>
      </c>
      <c r="M61" s="10">
        <f t="shared" si="4"/>
        <v>0.29587956706515306</v>
      </c>
      <c r="P61" s="8">
        <f t="shared" si="5"/>
        <v>3.5385285132919497</v>
      </c>
      <c r="S61" s="11"/>
    </row>
    <row r="62" spans="1:25" x14ac:dyDescent="0.2">
      <c r="A62" s="8">
        <v>30</v>
      </c>
      <c r="B62" s="8">
        <v>60</v>
      </c>
      <c r="D62">
        <v>1414.9953596288001</v>
      </c>
      <c r="E62">
        <v>487.46171693735999</v>
      </c>
      <c r="F62">
        <v>155.63390092879001</v>
      </c>
      <c r="G62">
        <v>126.30804953560001</v>
      </c>
      <c r="I62" s="9">
        <f t="shared" si="1"/>
        <v>361.15366740176</v>
      </c>
      <c r="J62" s="9">
        <f t="shared" si="2"/>
        <v>1259.3614587000102</v>
      </c>
      <c r="K62" s="9">
        <f t="shared" si="3"/>
        <v>361.15366740176</v>
      </c>
      <c r="L62" s="10">
        <f t="shared" si="0"/>
        <v>0.28677522637112057</v>
      </c>
      <c r="M62" s="10">
        <f t="shared" si="4"/>
        <v>0.29391961611986311</v>
      </c>
      <c r="P62" s="8">
        <f t="shared" si="5"/>
        <v>2.8526736607705825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1418.4903325599</v>
      </c>
      <c r="E63">
        <v>489.64578499612998</v>
      </c>
      <c r="F63">
        <v>155.83823529412001</v>
      </c>
      <c r="G63">
        <v>126.68808049536</v>
      </c>
      <c r="I63" s="9">
        <f t="shared" si="1"/>
        <v>362.95770450076998</v>
      </c>
      <c r="J63" s="9">
        <f t="shared" si="2"/>
        <v>1262.65209726578</v>
      </c>
      <c r="K63" s="9">
        <f t="shared" si="3"/>
        <v>362.95770450076998</v>
      </c>
      <c r="L63" s="10">
        <f t="shared" si="0"/>
        <v>0.28745662030478519</v>
      </c>
      <c r="M63" s="10">
        <f t="shared" si="4"/>
        <v>0.29472008321600673</v>
      </c>
      <c r="P63" s="8">
        <f t="shared" si="5"/>
        <v>3.1327848765605135</v>
      </c>
    </row>
    <row r="64" spans="1:25" x14ac:dyDescent="0.2">
      <c r="A64" s="8">
        <v>31</v>
      </c>
      <c r="B64" s="8">
        <v>62</v>
      </c>
      <c r="D64">
        <v>1412.6991492653001</v>
      </c>
      <c r="E64">
        <v>486.64733178654001</v>
      </c>
      <c r="F64">
        <v>155.51083591330999</v>
      </c>
      <c r="G64">
        <v>126.81656346749</v>
      </c>
      <c r="I64" s="9">
        <f t="shared" si="1"/>
        <v>359.83076831904998</v>
      </c>
      <c r="J64" s="9">
        <f t="shared" si="2"/>
        <v>1257.18831335199</v>
      </c>
      <c r="K64" s="9">
        <f t="shared" si="3"/>
        <v>359.83076831904998</v>
      </c>
      <c r="L64" s="10">
        <f t="shared" si="0"/>
        <v>0.28621867105942772</v>
      </c>
      <c r="M64" s="10">
        <f t="shared" si="4"/>
        <v>0.29360120713312832</v>
      </c>
      <c r="P64" s="8">
        <f t="shared" si="5"/>
        <v>2.7412513064696871</v>
      </c>
      <c r="U64" s="8">
        <v>30.5</v>
      </c>
      <c r="V64" s="10">
        <f>L62</f>
        <v>0.28677522637112057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1429.4802784223</v>
      </c>
      <c r="E65">
        <v>491.42768754833997</v>
      </c>
      <c r="F65">
        <v>156.62151702785999</v>
      </c>
      <c r="G65">
        <v>126.67027863777</v>
      </c>
      <c r="I65" s="9">
        <f t="shared" si="1"/>
        <v>364.75740891057001</v>
      </c>
      <c r="J65" s="9">
        <f t="shared" si="2"/>
        <v>1272.8587613944401</v>
      </c>
      <c r="K65" s="9">
        <f t="shared" si="3"/>
        <v>364.75740891057001</v>
      </c>
      <c r="L65" s="10">
        <f t="shared" si="0"/>
        <v>0.28656550119588414</v>
      </c>
      <c r="M65" s="10">
        <f t="shared" si="4"/>
        <v>0.29406711043206379</v>
      </c>
      <c r="P65" s="8">
        <f t="shared" si="5"/>
        <v>2.9042870391488731</v>
      </c>
      <c r="U65" s="8">
        <v>31</v>
      </c>
      <c r="V65" s="10">
        <f t="shared" ref="V65:V83" si="6">L63</f>
        <v>0.28745662030478519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1364.6540540541</v>
      </c>
      <c r="E66">
        <v>472.63783783783998</v>
      </c>
      <c r="F66">
        <v>156.25464396285</v>
      </c>
      <c r="G66">
        <v>127.32120743034</v>
      </c>
      <c r="I66" s="9">
        <f t="shared" si="1"/>
        <v>345.31663040749999</v>
      </c>
      <c r="J66" s="9">
        <f t="shared" si="2"/>
        <v>1208.39941009125</v>
      </c>
      <c r="K66" s="9">
        <f t="shared" si="3"/>
        <v>345.31663040749999</v>
      </c>
      <c r="L66" s="10">
        <f t="shared" ref="L66:L129" si="7">K66/J66</f>
        <v>0.28576365357661343</v>
      </c>
      <c r="M66" s="10">
        <f t="shared" si="4"/>
        <v>0.29338433597527214</v>
      </c>
      <c r="P66" s="8">
        <f t="shared" si="5"/>
        <v>2.6653605621910925</v>
      </c>
      <c r="U66" s="8">
        <v>31.5</v>
      </c>
      <c r="V66" s="10">
        <f t="shared" si="6"/>
        <v>0.28621867105942772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1365.4026377037001</v>
      </c>
      <c r="E67">
        <v>473.95112490303001</v>
      </c>
      <c r="F67">
        <v>155.95123839009</v>
      </c>
      <c r="G67">
        <v>127.05572755418</v>
      </c>
      <c r="I67" s="9">
        <f t="shared" ref="I67:I130" si="8">E67-G67</f>
        <v>346.89539734885</v>
      </c>
      <c r="J67" s="9">
        <f t="shared" ref="J67:J130" si="9">D67-F67</f>
        <v>1209.4513993136102</v>
      </c>
      <c r="K67" s="9">
        <f t="shared" ref="K67:K130" si="10">I67*1</f>
        <v>346.89539734885</v>
      </c>
      <c r="L67" s="10">
        <f t="shared" si="7"/>
        <v>0.2868204522692856</v>
      </c>
      <c r="M67" s="10">
        <f t="shared" ref="M67:M130" si="11">L67+ABS($N$2)*A67</f>
        <v>0.2945602078304233</v>
      </c>
      <c r="P67" s="8">
        <f t="shared" ref="P67:P130" si="12">(M67-$O$2)/$O$2*100</f>
        <v>3.0768389309415021</v>
      </c>
      <c r="U67" s="8">
        <v>32</v>
      </c>
      <c r="V67" s="10">
        <f t="shared" si="6"/>
        <v>0.28656550119588414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1335.5203065134001</v>
      </c>
      <c r="E68">
        <v>464.20842911877003</v>
      </c>
      <c r="F68">
        <v>155.44272445819999</v>
      </c>
      <c r="G68">
        <v>126.82198142415</v>
      </c>
      <c r="I68" s="9">
        <f t="shared" si="8"/>
        <v>337.38644769462002</v>
      </c>
      <c r="J68" s="9">
        <f t="shared" si="9"/>
        <v>1180.0775820552001</v>
      </c>
      <c r="K68" s="9">
        <f t="shared" si="10"/>
        <v>337.38644769462002</v>
      </c>
      <c r="L68" s="10">
        <f t="shared" si="7"/>
        <v>0.28590192104745721</v>
      </c>
      <c r="M68" s="10">
        <f t="shared" si="11"/>
        <v>0.29376074977107397</v>
      </c>
      <c r="P68" s="8">
        <f t="shared" si="12"/>
        <v>2.7970808121427986</v>
      </c>
      <c r="U68" s="8">
        <v>32.5</v>
      </c>
      <c r="V68" s="10">
        <f t="shared" si="6"/>
        <v>0.28576365357661343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1329.5601532567</v>
      </c>
      <c r="E69">
        <v>458.91034482759</v>
      </c>
      <c r="F69">
        <v>156.28482972136001</v>
      </c>
      <c r="G69">
        <v>126.77321981423999</v>
      </c>
      <c r="I69" s="9">
        <f t="shared" si="8"/>
        <v>332.13712501334999</v>
      </c>
      <c r="J69" s="9">
        <f t="shared" si="9"/>
        <v>1173.27532353534</v>
      </c>
      <c r="K69" s="9">
        <f t="shared" si="10"/>
        <v>332.13712501334999</v>
      </c>
      <c r="L69" s="10">
        <f t="shared" si="7"/>
        <v>0.28308540915404817</v>
      </c>
      <c r="M69" s="10">
        <f t="shared" si="11"/>
        <v>0.29106331104014399</v>
      </c>
      <c r="P69" s="8">
        <f t="shared" si="12"/>
        <v>1.8531533901665727</v>
      </c>
      <c r="U69" s="8">
        <v>33</v>
      </c>
      <c r="V69" s="10">
        <f t="shared" si="6"/>
        <v>0.2868204522692856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1383.9770290965</v>
      </c>
      <c r="E70">
        <v>470.78024502297001</v>
      </c>
      <c r="F70">
        <v>155.92879256966</v>
      </c>
      <c r="G70">
        <v>126.65634674923</v>
      </c>
      <c r="I70" s="9">
        <f t="shared" si="8"/>
        <v>344.12389827374</v>
      </c>
      <c r="J70" s="9">
        <f t="shared" si="9"/>
        <v>1228.0482365268399</v>
      </c>
      <c r="K70" s="9">
        <f t="shared" si="10"/>
        <v>344.12389827374</v>
      </c>
      <c r="L70" s="10">
        <f t="shared" si="7"/>
        <v>0.28022018031391793</v>
      </c>
      <c r="M70" s="10">
        <f t="shared" si="11"/>
        <v>0.28831715536249281</v>
      </c>
      <c r="P70" s="8">
        <f t="shared" si="12"/>
        <v>0.89217821789381035</v>
      </c>
      <c r="U70" s="8">
        <v>33.5</v>
      </c>
      <c r="V70" s="10">
        <f t="shared" si="6"/>
        <v>0.28590192104745721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1384.7396630933999</v>
      </c>
      <c r="E71">
        <v>465.75957120980001</v>
      </c>
      <c r="F71">
        <v>155.94195046440001</v>
      </c>
      <c r="G71">
        <v>126.90557275542</v>
      </c>
      <c r="I71" s="9">
        <f t="shared" si="8"/>
        <v>338.85399845438002</v>
      </c>
      <c r="J71" s="9">
        <f t="shared" si="9"/>
        <v>1228.797712629</v>
      </c>
      <c r="K71" s="9">
        <f t="shared" si="10"/>
        <v>338.85399845438002</v>
      </c>
      <c r="L71" s="10">
        <f t="shared" si="7"/>
        <v>0.27576060320734597</v>
      </c>
      <c r="M71" s="10">
        <f t="shared" si="11"/>
        <v>0.28397665141839984</v>
      </c>
      <c r="P71" s="8">
        <f t="shared" si="12"/>
        <v>-0.62671474195212995</v>
      </c>
      <c r="U71" s="8">
        <v>34</v>
      </c>
      <c r="V71" s="10">
        <f t="shared" si="6"/>
        <v>0.28308540915404817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1374.2062643239001</v>
      </c>
      <c r="E72">
        <v>466.52253628723997</v>
      </c>
      <c r="F72">
        <v>155.85371517028</v>
      </c>
      <c r="G72">
        <v>127.01315789474</v>
      </c>
      <c r="I72" s="9">
        <f t="shared" si="8"/>
        <v>339.50937839249997</v>
      </c>
      <c r="J72" s="9">
        <f t="shared" si="9"/>
        <v>1218.3525491536202</v>
      </c>
      <c r="K72" s="9">
        <f t="shared" si="10"/>
        <v>339.50937839249997</v>
      </c>
      <c r="L72" s="10">
        <f t="shared" si="7"/>
        <v>0.27866267331927397</v>
      </c>
      <c r="M72" s="10">
        <f t="shared" si="11"/>
        <v>0.2869977946928069</v>
      </c>
      <c r="P72" s="8">
        <f t="shared" si="12"/>
        <v>0.4304881334024066</v>
      </c>
      <c r="U72" s="8">
        <v>34.5</v>
      </c>
      <c r="V72" s="10">
        <f t="shared" si="6"/>
        <v>0.28022018031391793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1343.5470679012001</v>
      </c>
      <c r="E73">
        <v>455.14814814815003</v>
      </c>
      <c r="F73">
        <v>156.47987616098999</v>
      </c>
      <c r="G73">
        <v>126.56656346749</v>
      </c>
      <c r="I73" s="9">
        <f t="shared" si="8"/>
        <v>328.58158468066006</v>
      </c>
      <c r="J73" s="9">
        <f t="shared" si="9"/>
        <v>1187.0671917402101</v>
      </c>
      <c r="K73" s="9">
        <f t="shared" si="10"/>
        <v>328.58158468066006</v>
      </c>
      <c r="L73" s="10">
        <f t="shared" si="7"/>
        <v>0.27680116758931556</v>
      </c>
      <c r="M73" s="10">
        <f t="shared" si="11"/>
        <v>0.28525536212532754</v>
      </c>
      <c r="P73" s="8">
        <f t="shared" si="12"/>
        <v>-0.17924949011765104</v>
      </c>
      <c r="U73" s="8">
        <v>35</v>
      </c>
      <c r="V73" s="10">
        <f t="shared" si="6"/>
        <v>0.27576060320734597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1345.1597542243001</v>
      </c>
      <c r="E74">
        <v>453.34639016897</v>
      </c>
      <c r="F74">
        <v>156.52321981424001</v>
      </c>
      <c r="G74">
        <v>127.17647058823999</v>
      </c>
      <c r="I74" s="9">
        <f t="shared" si="8"/>
        <v>326.16991958073004</v>
      </c>
      <c r="J74" s="9">
        <f t="shared" si="9"/>
        <v>1188.63653441006</v>
      </c>
      <c r="K74" s="9">
        <f t="shared" si="10"/>
        <v>326.16991958073004</v>
      </c>
      <c r="L74" s="10">
        <f t="shared" si="7"/>
        <v>0.27440677628389876</v>
      </c>
      <c r="M74" s="10">
        <f t="shared" si="11"/>
        <v>0.2829800439823898</v>
      </c>
      <c r="P74" s="8">
        <f t="shared" si="12"/>
        <v>-0.97546226937825586</v>
      </c>
      <c r="U74" s="8">
        <v>35.5</v>
      </c>
      <c r="V74" s="10">
        <f t="shared" si="6"/>
        <v>0.27866267331927397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1370.1565150347001</v>
      </c>
      <c r="E75">
        <v>455.27679259830001</v>
      </c>
      <c r="F75">
        <v>156.12925696593999</v>
      </c>
      <c r="G75">
        <v>126.97445820433001</v>
      </c>
      <c r="I75" s="9">
        <f t="shared" si="8"/>
        <v>328.30233439397</v>
      </c>
      <c r="J75" s="9">
        <f t="shared" si="9"/>
        <v>1214.0272580687601</v>
      </c>
      <c r="K75" s="9">
        <f t="shared" si="10"/>
        <v>328.30233439397</v>
      </c>
      <c r="L75" s="10">
        <f t="shared" si="7"/>
        <v>0.2704241871111065</v>
      </c>
      <c r="M75" s="10">
        <f t="shared" si="11"/>
        <v>0.27911652797207653</v>
      </c>
      <c r="P75" s="8">
        <f t="shared" si="12"/>
        <v>-2.3274405981396131</v>
      </c>
      <c r="U75" s="8">
        <v>36</v>
      </c>
      <c r="V75" s="10">
        <f t="shared" si="6"/>
        <v>0.27680116758931556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1358.9737856592001</v>
      </c>
      <c r="E76">
        <v>454.15959907478998</v>
      </c>
      <c r="F76">
        <v>156.14551083590999</v>
      </c>
      <c r="G76">
        <v>127.02167182663</v>
      </c>
      <c r="I76" s="9">
        <f t="shared" si="8"/>
        <v>327.13792724816</v>
      </c>
      <c r="J76" s="9">
        <f t="shared" si="9"/>
        <v>1202.82827482329</v>
      </c>
      <c r="K76" s="9">
        <f t="shared" si="10"/>
        <v>327.13792724816</v>
      </c>
      <c r="L76" s="10">
        <f t="shared" si="7"/>
        <v>0.27197392520243219</v>
      </c>
      <c r="M76" s="10">
        <f t="shared" si="11"/>
        <v>0.28078533922588128</v>
      </c>
      <c r="P76" s="8">
        <f t="shared" si="12"/>
        <v>-1.7434656271767903</v>
      </c>
      <c r="U76" s="8">
        <v>36.5</v>
      </c>
      <c r="V76" s="10">
        <f t="shared" si="6"/>
        <v>0.27440677628389876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1348.8388589051999</v>
      </c>
      <c r="E77">
        <v>454.82035466461002</v>
      </c>
      <c r="F77">
        <v>156.22832817337999</v>
      </c>
      <c r="G77">
        <v>127.22987616099</v>
      </c>
      <c r="I77" s="9">
        <f t="shared" si="8"/>
        <v>327.59047850362003</v>
      </c>
      <c r="J77" s="9">
        <f t="shared" si="9"/>
        <v>1192.6105307318198</v>
      </c>
      <c r="K77" s="9">
        <f t="shared" si="10"/>
        <v>327.59047850362003</v>
      </c>
      <c r="L77" s="10">
        <f t="shared" si="7"/>
        <v>0.27468353671386853</v>
      </c>
      <c r="M77" s="10">
        <f t="shared" si="11"/>
        <v>0.28361402389979667</v>
      </c>
      <c r="P77" s="8">
        <f t="shared" si="12"/>
        <v>-0.75361069508271705</v>
      </c>
      <c r="U77" s="8">
        <v>37</v>
      </c>
      <c r="V77" s="10">
        <f t="shared" si="6"/>
        <v>0.2704241871111065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1358.8444272446</v>
      </c>
      <c r="E78">
        <v>453.16176470587999</v>
      </c>
      <c r="F78">
        <v>155.98374613003</v>
      </c>
      <c r="G78">
        <v>127.02786377709</v>
      </c>
      <c r="I78" s="9">
        <f t="shared" si="8"/>
        <v>326.13390092879001</v>
      </c>
      <c r="J78" s="9">
        <f t="shared" si="9"/>
        <v>1202.8606811145701</v>
      </c>
      <c r="K78" s="9">
        <f t="shared" si="10"/>
        <v>326.13390092879001</v>
      </c>
      <c r="L78" s="10">
        <f t="shared" si="7"/>
        <v>0.27113189918768854</v>
      </c>
      <c r="M78" s="10">
        <f t="shared" si="11"/>
        <v>0.28018145953609574</v>
      </c>
      <c r="P78" s="8">
        <f t="shared" si="12"/>
        <v>-1.9547840872504108</v>
      </c>
      <c r="U78" s="8">
        <v>37.5</v>
      </c>
      <c r="V78" s="10">
        <f t="shared" si="6"/>
        <v>0.27197392520243219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1390.1741486067999</v>
      </c>
      <c r="E79">
        <v>452.17027863777002</v>
      </c>
      <c r="F79">
        <v>156.34133126935001</v>
      </c>
      <c r="G79">
        <v>126.6540247678</v>
      </c>
      <c r="I79" s="9">
        <f t="shared" si="8"/>
        <v>325.51625386997</v>
      </c>
      <c r="J79" s="9">
        <f t="shared" si="9"/>
        <v>1233.8328173374498</v>
      </c>
      <c r="K79" s="9">
        <f t="shared" si="10"/>
        <v>325.51625386997</v>
      </c>
      <c r="L79" s="10">
        <f t="shared" si="7"/>
        <v>0.26382525192709494</v>
      </c>
      <c r="M79" s="10">
        <f t="shared" si="11"/>
        <v>0.2729938854379812</v>
      </c>
      <c r="P79" s="8">
        <f t="shared" si="12"/>
        <v>-4.4699656967163994</v>
      </c>
      <c r="U79" s="8">
        <v>38</v>
      </c>
      <c r="V79" s="10">
        <f t="shared" si="6"/>
        <v>0.27468353671386853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1366.4426481908999</v>
      </c>
      <c r="E80">
        <v>443.54503464202998</v>
      </c>
      <c r="F80">
        <v>156.70510835913001</v>
      </c>
      <c r="G80">
        <v>126.80108359133</v>
      </c>
      <c r="I80" s="9">
        <f t="shared" si="8"/>
        <v>316.74395105069999</v>
      </c>
      <c r="J80" s="9">
        <f t="shared" si="9"/>
        <v>1209.7375398317699</v>
      </c>
      <c r="K80" s="9">
        <f t="shared" si="10"/>
        <v>316.74395105069999</v>
      </c>
      <c r="L80" s="10">
        <f t="shared" si="7"/>
        <v>0.26182865342407036</v>
      </c>
      <c r="M80" s="10">
        <f t="shared" si="11"/>
        <v>0.27111636009743562</v>
      </c>
      <c r="P80" s="8">
        <f t="shared" si="12"/>
        <v>-5.1269769696972762</v>
      </c>
      <c r="U80" s="8">
        <v>38.5</v>
      </c>
      <c r="V80" s="10">
        <f t="shared" si="6"/>
        <v>0.27113189918768854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1336.5884169884</v>
      </c>
      <c r="E81">
        <v>435.09806949807</v>
      </c>
      <c r="F81">
        <v>157.43343653251</v>
      </c>
      <c r="G81">
        <v>126.70897832817001</v>
      </c>
      <c r="I81" s="9">
        <f t="shared" si="8"/>
        <v>308.38909116989998</v>
      </c>
      <c r="J81" s="9">
        <f t="shared" si="9"/>
        <v>1179.1549804558899</v>
      </c>
      <c r="K81" s="9">
        <f t="shared" si="10"/>
        <v>308.38909116989998</v>
      </c>
      <c r="L81" s="10">
        <f t="shared" si="7"/>
        <v>0.26153397668783901</v>
      </c>
      <c r="M81" s="10">
        <f t="shared" si="11"/>
        <v>0.27094075652368332</v>
      </c>
      <c r="P81" s="8">
        <f t="shared" si="12"/>
        <v>-5.1884267541765947</v>
      </c>
      <c r="U81" s="8">
        <v>39</v>
      </c>
      <c r="V81" s="10">
        <f t="shared" si="6"/>
        <v>0.26382525192709494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1349.6603053435001</v>
      </c>
      <c r="E82">
        <v>435.91755725191001</v>
      </c>
      <c r="F82">
        <v>156.14705882352999</v>
      </c>
      <c r="G82">
        <v>126.9806501548</v>
      </c>
      <c r="H82" s="13"/>
      <c r="I82" s="14">
        <f t="shared" si="8"/>
        <v>308.93690709711001</v>
      </c>
      <c r="J82" s="14">
        <f t="shared" si="9"/>
        <v>1193.5132465199702</v>
      </c>
      <c r="K82" s="9">
        <f t="shared" si="10"/>
        <v>308.93690709711001</v>
      </c>
      <c r="L82" s="15">
        <f t="shared" si="7"/>
        <v>0.25884665126080847</v>
      </c>
      <c r="M82" s="15">
        <f t="shared" si="11"/>
        <v>0.26837250425913184</v>
      </c>
      <c r="N82" s="13"/>
      <c r="O82" s="13"/>
      <c r="P82" s="13">
        <f t="shared" si="12"/>
        <v>-6.087147348370368</v>
      </c>
      <c r="U82" s="8">
        <v>39.5</v>
      </c>
      <c r="V82" s="10">
        <f t="shared" si="6"/>
        <v>0.26182865342407036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1420.001529052</v>
      </c>
      <c r="E83">
        <v>449.90443425077001</v>
      </c>
      <c r="F83">
        <v>156.29102167183001</v>
      </c>
      <c r="G83">
        <v>127.53405572755</v>
      </c>
      <c r="I83" s="9">
        <f t="shared" si="8"/>
        <v>322.37037852321998</v>
      </c>
      <c r="J83" s="9">
        <f t="shared" si="9"/>
        <v>1263.7105073801699</v>
      </c>
      <c r="K83" s="9">
        <f t="shared" si="10"/>
        <v>322.37037852321998</v>
      </c>
      <c r="L83" s="10">
        <f t="shared" si="7"/>
        <v>0.2550982813235716</v>
      </c>
      <c r="M83" s="10">
        <f t="shared" si="11"/>
        <v>0.26474320748437402</v>
      </c>
      <c r="P83" s="8">
        <f t="shared" si="12"/>
        <v>-7.3571642384306246</v>
      </c>
      <c r="U83" s="8">
        <v>40</v>
      </c>
      <c r="V83" s="10">
        <f t="shared" si="6"/>
        <v>0.26153397668783901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1414.7550077041999</v>
      </c>
      <c r="E84">
        <v>447.14098613251002</v>
      </c>
      <c r="F84">
        <v>156.30804953559999</v>
      </c>
      <c r="G84">
        <v>127.15634674923</v>
      </c>
      <c r="I84" s="9">
        <f t="shared" si="8"/>
        <v>319.98463938328001</v>
      </c>
      <c r="J84" s="9">
        <f t="shared" si="9"/>
        <v>1258.4469581685998</v>
      </c>
      <c r="K84" s="9">
        <f t="shared" si="10"/>
        <v>319.98463938328001</v>
      </c>
      <c r="L84" s="10">
        <f t="shared" si="7"/>
        <v>0.25426946865440331</v>
      </c>
      <c r="M84" s="10">
        <f t="shared" si="11"/>
        <v>0.26403346797768473</v>
      </c>
      <c r="P84" s="8">
        <f t="shared" si="12"/>
        <v>-7.6055267221237859</v>
      </c>
      <c r="U84" s="8">
        <v>150.5</v>
      </c>
      <c r="V84" s="10">
        <f>L302</f>
        <v>0.2937169293928818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1426.1494607088</v>
      </c>
      <c r="E85">
        <v>456.39445300462</v>
      </c>
      <c r="F85">
        <v>156.77167182663001</v>
      </c>
      <c r="G85">
        <v>127.46207430341001</v>
      </c>
      <c r="I85" s="9">
        <f t="shared" si="8"/>
        <v>328.93237870120998</v>
      </c>
      <c r="J85" s="9">
        <f t="shared" si="9"/>
        <v>1269.3777888821701</v>
      </c>
      <c r="K85" s="9">
        <f t="shared" si="10"/>
        <v>328.93237870120998</v>
      </c>
      <c r="L85" s="10">
        <f t="shared" si="7"/>
        <v>0.25912882798341064</v>
      </c>
      <c r="M85" s="10">
        <f t="shared" si="11"/>
        <v>0.26901190046917112</v>
      </c>
      <c r="P85" s="8">
        <f t="shared" si="12"/>
        <v>-5.8634004253195275</v>
      </c>
      <c r="U85" s="8">
        <v>151</v>
      </c>
      <c r="V85" s="10">
        <f t="shared" ref="V85:V103" si="13">L303</f>
        <v>0.30084303297415677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1370.4141647421</v>
      </c>
      <c r="E86">
        <v>439.83448806773998</v>
      </c>
      <c r="F86">
        <v>156.58746130031</v>
      </c>
      <c r="G86">
        <v>126.46052631579001</v>
      </c>
      <c r="I86" s="9">
        <f t="shared" si="8"/>
        <v>313.37396175194999</v>
      </c>
      <c r="J86" s="9">
        <f t="shared" si="9"/>
        <v>1213.82670344179</v>
      </c>
      <c r="K86" s="9">
        <f t="shared" si="10"/>
        <v>313.37396175194999</v>
      </c>
      <c r="L86" s="10">
        <f t="shared" si="7"/>
        <v>0.2581702650496831</v>
      </c>
      <c r="M86" s="10">
        <f t="shared" si="11"/>
        <v>0.26817241069792264</v>
      </c>
      <c r="P86" s="8">
        <f t="shared" si="12"/>
        <v>-6.1571670293442251</v>
      </c>
      <c r="U86" s="8">
        <v>151.5</v>
      </c>
      <c r="V86" s="10">
        <f t="shared" si="13"/>
        <v>0.30114687692466235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1362.5639445300999</v>
      </c>
      <c r="E87">
        <v>439.05084745763003</v>
      </c>
      <c r="F87">
        <v>157.06501547988</v>
      </c>
      <c r="G87">
        <v>126.95433436533</v>
      </c>
      <c r="I87" s="9">
        <f t="shared" si="8"/>
        <v>312.09651309230003</v>
      </c>
      <c r="J87" s="9">
        <f t="shared" si="9"/>
        <v>1205.4989290502199</v>
      </c>
      <c r="K87" s="9">
        <f t="shared" si="10"/>
        <v>312.09651309230003</v>
      </c>
      <c r="L87" s="10">
        <f t="shared" si="7"/>
        <v>0.25889406085013483</v>
      </c>
      <c r="M87" s="10">
        <f t="shared" si="11"/>
        <v>0.26901527966085342</v>
      </c>
      <c r="P87" s="8">
        <f t="shared" si="12"/>
        <v>-5.8622179288807876</v>
      </c>
      <c r="U87" s="8">
        <v>152</v>
      </c>
      <c r="V87" s="10">
        <f t="shared" si="13"/>
        <v>0.30306304412228352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1356.3412942989</v>
      </c>
      <c r="E88">
        <v>429.71340523882998</v>
      </c>
      <c r="F88">
        <v>157.27708978327999</v>
      </c>
      <c r="G88">
        <v>127.13622291022</v>
      </c>
      <c r="I88" s="9">
        <f t="shared" si="8"/>
        <v>302.57718232860998</v>
      </c>
      <c r="J88" s="9">
        <f t="shared" si="9"/>
        <v>1199.0642045156201</v>
      </c>
      <c r="K88" s="9">
        <f t="shared" si="10"/>
        <v>302.57718232860998</v>
      </c>
      <c r="L88" s="10">
        <f t="shared" si="7"/>
        <v>0.2523444375948497</v>
      </c>
      <c r="M88" s="10">
        <f t="shared" si="11"/>
        <v>0.26258472956804729</v>
      </c>
      <c r="P88" s="8">
        <f t="shared" si="12"/>
        <v>-8.1124905676586714</v>
      </c>
      <c r="U88" s="8">
        <v>152.5</v>
      </c>
      <c r="V88" s="10">
        <f t="shared" si="13"/>
        <v>0.30007629198252861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1352.7160399079</v>
      </c>
      <c r="E89">
        <v>425.41366078280998</v>
      </c>
      <c r="F89">
        <v>156.93421052631999</v>
      </c>
      <c r="G89">
        <v>127.31346749226</v>
      </c>
      <c r="I89" s="9">
        <f t="shared" si="8"/>
        <v>298.10019329055001</v>
      </c>
      <c r="J89" s="9">
        <f t="shared" si="9"/>
        <v>1195.7818293815801</v>
      </c>
      <c r="K89" s="9">
        <f t="shared" si="10"/>
        <v>298.10019329055001</v>
      </c>
      <c r="L89" s="10">
        <f t="shared" si="7"/>
        <v>0.24929312853392147</v>
      </c>
      <c r="M89" s="10">
        <f t="shared" si="11"/>
        <v>0.25965249366959814</v>
      </c>
      <c r="P89" s="8">
        <f t="shared" si="12"/>
        <v>-9.1385816667862532</v>
      </c>
      <c r="U89" s="8">
        <v>153</v>
      </c>
      <c r="V89" s="10">
        <f t="shared" si="13"/>
        <v>0.30445552697404643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1324.5072685539001</v>
      </c>
      <c r="E90">
        <v>414.18056618209999</v>
      </c>
      <c r="F90">
        <v>156.71981424149001</v>
      </c>
      <c r="G90">
        <v>127.53869969039999</v>
      </c>
      <c r="I90" s="9">
        <f t="shared" si="8"/>
        <v>286.6418664917</v>
      </c>
      <c r="J90" s="9">
        <f t="shared" si="9"/>
        <v>1167.7874543124101</v>
      </c>
      <c r="K90" s="9">
        <f t="shared" si="10"/>
        <v>286.6418664917</v>
      </c>
      <c r="L90" s="10">
        <f t="shared" si="7"/>
        <v>0.24545722377234641</v>
      </c>
      <c r="M90" s="10">
        <f t="shared" si="11"/>
        <v>0.25593566207050211</v>
      </c>
      <c r="P90" s="8">
        <f t="shared" si="12"/>
        <v>-10.439230029629664</v>
      </c>
      <c r="U90" s="8">
        <v>153.5</v>
      </c>
      <c r="V90" s="10">
        <f t="shared" si="13"/>
        <v>0.30549192401068387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1293.7580398161999</v>
      </c>
      <c r="E91">
        <v>403.85911179173002</v>
      </c>
      <c r="F91">
        <v>157.81578947368001</v>
      </c>
      <c r="G91">
        <v>127.55882352941001</v>
      </c>
      <c r="I91" s="9">
        <f t="shared" si="8"/>
        <v>276.30028826232001</v>
      </c>
      <c r="J91" s="9">
        <f t="shared" si="9"/>
        <v>1135.9422503425199</v>
      </c>
      <c r="K91" s="9">
        <f t="shared" si="10"/>
        <v>276.30028826232001</v>
      </c>
      <c r="L91" s="10">
        <f t="shared" si="7"/>
        <v>0.24323444979619993</v>
      </c>
      <c r="M91" s="10">
        <f t="shared" si="11"/>
        <v>0.25383196125683466</v>
      </c>
      <c r="P91" s="8">
        <f t="shared" si="12"/>
        <v>-11.175387949691039</v>
      </c>
      <c r="U91" s="8">
        <v>154</v>
      </c>
      <c r="V91" s="10">
        <f t="shared" si="13"/>
        <v>0.30548101718637494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1304.3462732918999</v>
      </c>
      <c r="E92">
        <v>402.41381987578001</v>
      </c>
      <c r="F92">
        <v>157.40789473684001</v>
      </c>
      <c r="G92">
        <v>127.4133126935</v>
      </c>
      <c r="I92" s="9">
        <f t="shared" si="8"/>
        <v>275.00050718227999</v>
      </c>
      <c r="J92" s="9">
        <f t="shared" si="9"/>
        <v>1146.9383785550599</v>
      </c>
      <c r="K92" s="9">
        <f t="shared" si="10"/>
        <v>275.00050718227999</v>
      </c>
      <c r="L92" s="10">
        <f t="shared" si="7"/>
        <v>0.23976920846325861</v>
      </c>
      <c r="M92" s="10">
        <f t="shared" si="11"/>
        <v>0.25048579308637237</v>
      </c>
      <c r="P92" s="8">
        <f t="shared" si="12"/>
        <v>-12.346328315611576</v>
      </c>
      <c r="U92" s="8">
        <v>154.5</v>
      </c>
      <c r="V92" s="10">
        <f t="shared" si="13"/>
        <v>0.30867493087414061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1292.9122401848001</v>
      </c>
      <c r="E93">
        <v>394.46497305619999</v>
      </c>
      <c r="F93">
        <v>156.94814241486</v>
      </c>
      <c r="G93">
        <v>127.78792569658999</v>
      </c>
      <c r="I93" s="9">
        <f t="shared" si="8"/>
        <v>266.67704735961001</v>
      </c>
      <c r="J93" s="9">
        <f t="shared" si="9"/>
        <v>1135.9640977699401</v>
      </c>
      <c r="K93" s="9">
        <f t="shared" si="10"/>
        <v>266.67704735961001</v>
      </c>
      <c r="L93" s="10">
        <f t="shared" si="7"/>
        <v>0.23475834129189047</v>
      </c>
      <c r="M93" s="10">
        <f t="shared" si="11"/>
        <v>0.24559399907748328</v>
      </c>
      <c r="P93" s="8">
        <f t="shared" si="12"/>
        <v>-14.058136800713839</v>
      </c>
      <c r="U93" s="8">
        <v>155</v>
      </c>
      <c r="V93" s="10">
        <f t="shared" si="13"/>
        <v>0.30466597845159504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1282.3556581985999</v>
      </c>
      <c r="E94">
        <v>388.74518860661999</v>
      </c>
      <c r="F94">
        <v>156.76393188854999</v>
      </c>
      <c r="G94">
        <v>127.28792569658999</v>
      </c>
      <c r="I94" s="9">
        <f t="shared" si="8"/>
        <v>261.45726291003001</v>
      </c>
      <c r="J94" s="9">
        <f t="shared" si="9"/>
        <v>1125.59172631005</v>
      </c>
      <c r="K94" s="9">
        <f t="shared" si="10"/>
        <v>261.45726291003001</v>
      </c>
      <c r="L94" s="10">
        <f t="shared" si="7"/>
        <v>0.23228427928050555</v>
      </c>
      <c r="M94" s="10">
        <f t="shared" si="11"/>
        <v>0.24323901022857741</v>
      </c>
      <c r="P94" s="8">
        <f t="shared" si="12"/>
        <v>-14.882229124829049</v>
      </c>
      <c r="U94" s="8">
        <v>155.5</v>
      </c>
      <c r="V94" s="10">
        <f t="shared" si="13"/>
        <v>0.3057293977527063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1256.6943802925</v>
      </c>
      <c r="E95">
        <v>378.76366435720001</v>
      </c>
      <c r="F95">
        <v>157.39241486067999</v>
      </c>
      <c r="G95">
        <v>127.55882352941001</v>
      </c>
      <c r="I95" s="9">
        <f t="shared" si="8"/>
        <v>251.20484082779001</v>
      </c>
      <c r="J95" s="9">
        <f t="shared" si="9"/>
        <v>1099.30196543182</v>
      </c>
      <c r="K95" s="9">
        <f t="shared" si="10"/>
        <v>251.20484082779001</v>
      </c>
      <c r="L95" s="10">
        <f t="shared" si="7"/>
        <v>0.22851304621211471</v>
      </c>
      <c r="M95" s="10">
        <f t="shared" si="11"/>
        <v>0.23958685032266561</v>
      </c>
      <c r="P95" s="8">
        <f t="shared" si="12"/>
        <v>-16.160246617906175</v>
      </c>
      <c r="U95" s="8">
        <v>156</v>
      </c>
      <c r="V95" s="10">
        <f t="shared" si="13"/>
        <v>0.30484632557220137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1266.0169361047001</v>
      </c>
      <c r="E96">
        <v>377.56351039261</v>
      </c>
      <c r="F96">
        <v>157.00309597523</v>
      </c>
      <c r="G96">
        <v>127.63622291022</v>
      </c>
      <c r="I96" s="9">
        <f t="shared" si="8"/>
        <v>249.92728748239</v>
      </c>
      <c r="J96" s="9">
        <f t="shared" si="9"/>
        <v>1109.0138401294701</v>
      </c>
      <c r="K96" s="9">
        <f t="shared" si="10"/>
        <v>249.92728748239</v>
      </c>
      <c r="L96" s="10">
        <f t="shared" si="7"/>
        <v>0.22535993550198855</v>
      </c>
      <c r="M96" s="10">
        <f t="shared" si="11"/>
        <v>0.2365528127750185</v>
      </c>
      <c r="P96" s="8">
        <f t="shared" si="12"/>
        <v>-17.221961646941228</v>
      </c>
      <c r="U96" s="8">
        <v>156.5</v>
      </c>
      <c r="V96" s="10">
        <f t="shared" si="13"/>
        <v>0.30655079615871705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1242.0823710546999</v>
      </c>
      <c r="E97">
        <v>370.26250962278999</v>
      </c>
      <c r="F97">
        <v>157.30030959752</v>
      </c>
      <c r="G97">
        <v>127.53173374613</v>
      </c>
      <c r="I97" s="9">
        <f t="shared" si="8"/>
        <v>242.73077587666</v>
      </c>
      <c r="J97" s="9">
        <f t="shared" si="9"/>
        <v>1084.7820614571799</v>
      </c>
      <c r="K97" s="9">
        <f t="shared" si="10"/>
        <v>242.73077587666</v>
      </c>
      <c r="L97" s="10">
        <f t="shared" si="7"/>
        <v>0.22375994635328086</v>
      </c>
      <c r="M97" s="10">
        <f t="shared" si="11"/>
        <v>0.23507189678878984</v>
      </c>
      <c r="P97" s="8">
        <f t="shared" si="12"/>
        <v>-17.740185543193455</v>
      </c>
      <c r="U97" s="8">
        <v>157</v>
      </c>
      <c r="V97" s="10">
        <f t="shared" si="13"/>
        <v>0.30702797302458268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1230.7090069284</v>
      </c>
      <c r="E98">
        <v>362.68129330253998</v>
      </c>
      <c r="F98">
        <v>157.40634674923001</v>
      </c>
      <c r="G98">
        <v>127.7020123839</v>
      </c>
      <c r="I98" s="9">
        <f t="shared" si="8"/>
        <v>234.97928091863997</v>
      </c>
      <c r="J98" s="9">
        <f t="shared" si="9"/>
        <v>1073.3026601791698</v>
      </c>
      <c r="K98" s="9">
        <f t="shared" si="10"/>
        <v>234.97928091863997</v>
      </c>
      <c r="L98" s="10">
        <f t="shared" si="7"/>
        <v>0.21893105238313126</v>
      </c>
      <c r="M98" s="10">
        <f t="shared" si="11"/>
        <v>0.2303620759811193</v>
      </c>
      <c r="P98" s="8">
        <f t="shared" si="12"/>
        <v>-19.388315290118872</v>
      </c>
      <c r="U98" s="8">
        <v>157.5</v>
      </c>
      <c r="V98" s="10">
        <f t="shared" si="13"/>
        <v>0.30774054644965654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1221.4949961509001</v>
      </c>
      <c r="E99">
        <v>358.23402617398</v>
      </c>
      <c r="F99">
        <v>157.50696594427001</v>
      </c>
      <c r="G99">
        <v>127.27012383901</v>
      </c>
      <c r="I99" s="9">
        <f t="shared" si="8"/>
        <v>230.96390233496999</v>
      </c>
      <c r="J99" s="9">
        <f t="shared" si="9"/>
        <v>1063.9880302066301</v>
      </c>
      <c r="K99" s="9">
        <f t="shared" si="10"/>
        <v>230.96390233496999</v>
      </c>
      <c r="L99" s="10">
        <f t="shared" si="7"/>
        <v>0.21707377881884254</v>
      </c>
      <c r="M99" s="10">
        <f t="shared" si="11"/>
        <v>0.22862387557930963</v>
      </c>
      <c r="P99" s="8">
        <f t="shared" si="12"/>
        <v>-19.996571932000993</v>
      </c>
      <c r="U99" s="8">
        <v>158</v>
      </c>
      <c r="V99" s="10">
        <f t="shared" si="13"/>
        <v>0.31163901811871053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1228.2933436533001</v>
      </c>
      <c r="E100">
        <v>356.65789473683998</v>
      </c>
      <c r="F100">
        <v>156.68421052631999</v>
      </c>
      <c r="G100">
        <v>127.51238390093</v>
      </c>
      <c r="I100" s="9">
        <f t="shared" si="8"/>
        <v>229.14551083590999</v>
      </c>
      <c r="J100" s="9">
        <f t="shared" si="9"/>
        <v>1071.6091331269802</v>
      </c>
      <c r="K100" s="9">
        <f t="shared" si="10"/>
        <v>229.14551083590999</v>
      </c>
      <c r="L100" s="10">
        <f t="shared" si="7"/>
        <v>0.21383310738240732</v>
      </c>
      <c r="M100" s="10">
        <f t="shared" si="11"/>
        <v>0.22550227730535344</v>
      </c>
      <c r="P100" s="8">
        <f t="shared" si="12"/>
        <v>-21.088927497817693</v>
      </c>
      <c r="U100" s="8">
        <v>158.5</v>
      </c>
      <c r="V100" s="10">
        <f t="shared" si="13"/>
        <v>0.31164129490373044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1218.9527863777</v>
      </c>
      <c r="E101">
        <v>353.82352941176998</v>
      </c>
      <c r="F101">
        <v>157.61300309597999</v>
      </c>
      <c r="G101">
        <v>127.14473684211001</v>
      </c>
      <c r="I101" s="9">
        <f t="shared" si="8"/>
        <v>226.67879256965998</v>
      </c>
      <c r="J101" s="9">
        <f t="shared" si="9"/>
        <v>1061.33978328172</v>
      </c>
      <c r="K101" s="9">
        <f t="shared" si="10"/>
        <v>226.67879256965998</v>
      </c>
      <c r="L101" s="10">
        <f t="shared" si="7"/>
        <v>0.21357796639711074</v>
      </c>
      <c r="M101" s="10">
        <f t="shared" si="11"/>
        <v>0.22536620948253588</v>
      </c>
      <c r="P101" s="8">
        <f t="shared" si="12"/>
        <v>-21.136542351023945</v>
      </c>
      <c r="U101" s="8">
        <v>159</v>
      </c>
      <c r="V101" s="10">
        <f t="shared" si="13"/>
        <v>0.31402273794591534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1184.2058823529001</v>
      </c>
      <c r="E102">
        <v>343.96052631578999</v>
      </c>
      <c r="F102">
        <v>157.17105263158001</v>
      </c>
      <c r="G102">
        <v>127.39860681115</v>
      </c>
      <c r="I102" s="9">
        <f t="shared" si="8"/>
        <v>216.56191950464</v>
      </c>
      <c r="J102" s="9">
        <f t="shared" si="9"/>
        <v>1027.03482972132</v>
      </c>
      <c r="K102" s="9">
        <f t="shared" si="10"/>
        <v>216.56191950464</v>
      </c>
      <c r="L102" s="10">
        <f t="shared" si="7"/>
        <v>0.21086131963353458</v>
      </c>
      <c r="M102" s="10">
        <f t="shared" si="11"/>
        <v>0.22276863588143878</v>
      </c>
      <c r="P102" s="8">
        <f t="shared" si="12"/>
        <v>-22.045523498422153</v>
      </c>
      <c r="U102" s="8">
        <v>159.5</v>
      </c>
      <c r="V102" s="10">
        <f t="shared" si="13"/>
        <v>0.31292587438415154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1181.1184210526001</v>
      </c>
      <c r="E103">
        <v>344.15479876160998</v>
      </c>
      <c r="F103">
        <v>157.52399380804999</v>
      </c>
      <c r="G103">
        <v>127.38854489164</v>
      </c>
      <c r="I103" s="9">
        <f t="shared" si="8"/>
        <v>216.76625386997</v>
      </c>
      <c r="J103" s="9">
        <f t="shared" si="9"/>
        <v>1023.59442724455</v>
      </c>
      <c r="K103" s="9">
        <f t="shared" si="10"/>
        <v>216.76625386997</v>
      </c>
      <c r="L103" s="10">
        <f t="shared" si="7"/>
        <v>0.21176966980319611</v>
      </c>
      <c r="M103" s="10">
        <f t="shared" si="11"/>
        <v>0.22379605921357937</v>
      </c>
      <c r="P103" s="8">
        <f t="shared" si="12"/>
        <v>-21.685992419526677</v>
      </c>
      <c r="U103" s="8">
        <v>160</v>
      </c>
      <c r="V103" s="10">
        <f t="shared" si="13"/>
        <v>0.3161687878544393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1175.2232486528001</v>
      </c>
      <c r="E104">
        <v>340.6558891455</v>
      </c>
      <c r="F104">
        <v>156.8753869969</v>
      </c>
      <c r="G104">
        <v>127.13003095975</v>
      </c>
      <c r="I104" s="9">
        <f t="shared" si="8"/>
        <v>213.52585818575</v>
      </c>
      <c r="J104" s="9">
        <f t="shared" si="9"/>
        <v>1018.3478616559</v>
      </c>
      <c r="K104" s="9">
        <f t="shared" si="10"/>
        <v>213.52585818575</v>
      </c>
      <c r="L104" s="10">
        <f t="shared" si="7"/>
        <v>0.20967870236261216</v>
      </c>
      <c r="M104" s="10">
        <f t="shared" si="11"/>
        <v>0.22182416493547444</v>
      </c>
      <c r="P104" s="8">
        <f t="shared" si="12"/>
        <v>-22.376026658673066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1170.5034642032001</v>
      </c>
      <c r="E105">
        <v>337.21785989223002</v>
      </c>
      <c r="F105">
        <v>158.14783281734</v>
      </c>
      <c r="G105">
        <v>128.01780185759</v>
      </c>
      <c r="I105" s="9">
        <f t="shared" si="8"/>
        <v>209.20005803464002</v>
      </c>
      <c r="J105" s="9">
        <f t="shared" si="9"/>
        <v>1012.3556313858601</v>
      </c>
      <c r="K105" s="9">
        <f t="shared" si="10"/>
        <v>209.20005803464002</v>
      </c>
      <c r="L105" s="10">
        <f t="shared" si="7"/>
        <v>0.20664680626931117</v>
      </c>
      <c r="M105" s="10">
        <f t="shared" si="11"/>
        <v>0.21891134200465251</v>
      </c>
      <c r="P105" s="8">
        <f t="shared" si="12"/>
        <v>-23.395324486733852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1164.9368745188999</v>
      </c>
      <c r="E106">
        <v>335.36412625096</v>
      </c>
      <c r="F106">
        <v>157.22600619195001</v>
      </c>
      <c r="G106">
        <v>127.63312693499</v>
      </c>
      <c r="I106" s="9">
        <f t="shared" si="8"/>
        <v>207.73099931597</v>
      </c>
      <c r="J106" s="9">
        <f t="shared" si="9"/>
        <v>1007.7108683269499</v>
      </c>
      <c r="K106" s="9">
        <f t="shared" si="10"/>
        <v>207.73099931597</v>
      </c>
      <c r="L106" s="10">
        <f t="shared" si="7"/>
        <v>0.20614146958725868</v>
      </c>
      <c r="M106" s="10">
        <f t="shared" si="11"/>
        <v>0.21852507848507904</v>
      </c>
      <c r="P106" s="8">
        <f t="shared" si="12"/>
        <v>-23.530491496851166</v>
      </c>
      <c r="X106" s="8">
        <v>-13</v>
      </c>
    </row>
    <row r="107" spans="1:25" x14ac:dyDescent="0.2">
      <c r="A107" s="8">
        <v>52.5</v>
      </c>
      <c r="B107" s="8">
        <v>105</v>
      </c>
      <c r="D107">
        <v>1149.2063369396999</v>
      </c>
      <c r="E107">
        <v>332.98840803708998</v>
      </c>
      <c r="F107">
        <v>157.72058823528999</v>
      </c>
      <c r="G107">
        <v>127.03250773994</v>
      </c>
      <c r="I107" s="9">
        <f t="shared" si="8"/>
        <v>205.95590029714998</v>
      </c>
      <c r="J107" s="9">
        <f t="shared" si="9"/>
        <v>991.48574870440984</v>
      </c>
      <c r="K107" s="9">
        <f t="shared" si="10"/>
        <v>205.95590029714998</v>
      </c>
      <c r="L107" s="10">
        <f t="shared" si="7"/>
        <v>0.2077245190526196</v>
      </c>
      <c r="M107" s="10">
        <f t="shared" si="11"/>
        <v>0.22022720111291902</v>
      </c>
      <c r="P107" s="8">
        <f t="shared" si="12"/>
        <v>-22.934859720098828</v>
      </c>
      <c r="X107" s="8">
        <v>-13</v>
      </c>
    </row>
    <row r="108" spans="1:25" x14ac:dyDescent="0.2">
      <c r="A108" s="8">
        <v>53</v>
      </c>
      <c r="B108" s="8">
        <v>106</v>
      </c>
      <c r="D108">
        <v>1164.2171561051</v>
      </c>
      <c r="E108">
        <v>332.21174652241001</v>
      </c>
      <c r="F108">
        <v>157.14009287926001</v>
      </c>
      <c r="G108">
        <v>127.35603715169999</v>
      </c>
      <c r="I108" s="9">
        <f t="shared" si="8"/>
        <v>204.85570937071003</v>
      </c>
      <c r="J108" s="9">
        <f t="shared" si="9"/>
        <v>1007.07706322584</v>
      </c>
      <c r="K108" s="9">
        <f t="shared" si="10"/>
        <v>204.85570937071003</v>
      </c>
      <c r="L108" s="10">
        <f t="shared" si="7"/>
        <v>0.2034161206238996</v>
      </c>
      <c r="M108" s="10">
        <f t="shared" si="11"/>
        <v>0.21603787584667805</v>
      </c>
      <c r="P108" s="8">
        <f t="shared" si="12"/>
        <v>-24.400850014165439</v>
      </c>
      <c r="X108" s="8">
        <v>-13</v>
      </c>
    </row>
    <row r="109" spans="1:25" x14ac:dyDescent="0.2">
      <c r="A109" s="8">
        <v>53.5</v>
      </c>
      <c r="B109" s="8">
        <v>107</v>
      </c>
      <c r="D109">
        <v>1126.9381761978</v>
      </c>
      <c r="E109">
        <v>324.91962905718998</v>
      </c>
      <c r="F109">
        <v>157.84442724458</v>
      </c>
      <c r="G109">
        <v>127.12306501547999</v>
      </c>
      <c r="I109" s="9">
        <f t="shared" si="8"/>
        <v>197.79656404170998</v>
      </c>
      <c r="J109" s="9">
        <f t="shared" si="9"/>
        <v>969.09374895322003</v>
      </c>
      <c r="K109" s="9">
        <f t="shared" si="10"/>
        <v>197.79656404170998</v>
      </c>
      <c r="L109" s="10">
        <f t="shared" si="7"/>
        <v>0.20410467434689644</v>
      </c>
      <c r="M109" s="10">
        <f t="shared" si="11"/>
        <v>0.21684550273215394</v>
      </c>
      <c r="P109" s="8">
        <f t="shared" si="12"/>
        <v>-24.118233339619835</v>
      </c>
      <c r="X109" s="8">
        <v>-13</v>
      </c>
    </row>
    <row r="110" spans="1:25" x14ac:dyDescent="0.2">
      <c r="A110" s="8">
        <v>54</v>
      </c>
      <c r="B110" s="8">
        <v>108</v>
      </c>
      <c r="D110">
        <v>1133.0551242235999</v>
      </c>
      <c r="E110">
        <v>326.35015527949997</v>
      </c>
      <c r="F110">
        <v>157.99148606810999</v>
      </c>
      <c r="G110">
        <v>127.39241486068001</v>
      </c>
      <c r="I110" s="9">
        <f t="shared" si="8"/>
        <v>198.95774041881998</v>
      </c>
      <c r="J110" s="9">
        <f t="shared" si="9"/>
        <v>975.06363815548991</v>
      </c>
      <c r="K110" s="9">
        <f t="shared" si="10"/>
        <v>198.95774041881998</v>
      </c>
      <c r="L110" s="10">
        <f t="shared" si="7"/>
        <v>0.20404590288607696</v>
      </c>
      <c r="M110" s="10">
        <f t="shared" si="11"/>
        <v>0.21690580443381349</v>
      </c>
      <c r="P110" s="8">
        <f t="shared" si="12"/>
        <v>-24.097131681541153</v>
      </c>
      <c r="X110" s="8">
        <v>-13</v>
      </c>
    </row>
    <row r="111" spans="1:25" x14ac:dyDescent="0.2">
      <c r="A111" s="8">
        <v>54.5</v>
      </c>
      <c r="B111" s="8">
        <v>109</v>
      </c>
      <c r="D111">
        <v>1150.6444099379</v>
      </c>
      <c r="E111">
        <v>327.01630434782999</v>
      </c>
      <c r="F111">
        <v>157.91950464396001</v>
      </c>
      <c r="G111">
        <v>127.27399380804999</v>
      </c>
      <c r="I111" s="9">
        <f t="shared" si="8"/>
        <v>199.74231053977999</v>
      </c>
      <c r="J111" s="9">
        <f t="shared" si="9"/>
        <v>992.72490529394008</v>
      </c>
      <c r="K111" s="9">
        <f t="shared" si="10"/>
        <v>199.74231053977999</v>
      </c>
      <c r="L111" s="10">
        <f t="shared" si="7"/>
        <v>0.20120610400183064</v>
      </c>
      <c r="M111" s="10">
        <f t="shared" si="11"/>
        <v>0.21418507871204623</v>
      </c>
      <c r="P111" s="8">
        <f t="shared" si="12"/>
        <v>-25.049208029746762</v>
      </c>
      <c r="X111" s="8">
        <v>-13</v>
      </c>
    </row>
    <row r="112" spans="1:25" x14ac:dyDescent="0.2">
      <c r="A112" s="8">
        <v>55</v>
      </c>
      <c r="B112" s="8">
        <v>110</v>
      </c>
      <c r="D112">
        <v>1173.5986024844999</v>
      </c>
      <c r="E112">
        <v>328.53338509317001</v>
      </c>
      <c r="F112">
        <v>158.02554179566999</v>
      </c>
      <c r="G112">
        <v>127.47755417957001</v>
      </c>
      <c r="I112" s="9">
        <f t="shared" si="8"/>
        <v>201.0558309136</v>
      </c>
      <c r="J112" s="9">
        <f t="shared" si="9"/>
        <v>1015.5730606888299</v>
      </c>
      <c r="K112" s="9">
        <f t="shared" si="10"/>
        <v>201.0558309136</v>
      </c>
      <c r="L112" s="10">
        <f t="shared" si="7"/>
        <v>0.19797278866104467</v>
      </c>
      <c r="M112" s="10">
        <f t="shared" si="11"/>
        <v>0.21107083653373929</v>
      </c>
      <c r="P112" s="8">
        <f t="shared" si="12"/>
        <v>-26.138989442414999</v>
      </c>
      <c r="X112" s="8">
        <v>-13</v>
      </c>
    </row>
    <row r="113" spans="1:24" x14ac:dyDescent="0.2">
      <c r="A113" s="8">
        <v>55.5</v>
      </c>
      <c r="B113" s="8">
        <v>111</v>
      </c>
      <c r="D113">
        <v>1142.4984520124001</v>
      </c>
      <c r="E113">
        <v>324.89241486067999</v>
      </c>
      <c r="F113">
        <v>157.68266253869999</v>
      </c>
      <c r="G113">
        <v>127.34907120743</v>
      </c>
      <c r="I113" s="9">
        <f t="shared" si="8"/>
        <v>197.54334365324999</v>
      </c>
      <c r="J113" s="9">
        <f t="shared" si="9"/>
        <v>984.81578947370008</v>
      </c>
      <c r="K113" s="9">
        <f t="shared" si="10"/>
        <v>197.54334365324999</v>
      </c>
      <c r="L113" s="10">
        <f t="shared" si="7"/>
        <v>0.20058913125145977</v>
      </c>
      <c r="M113" s="10">
        <f t="shared" si="11"/>
        <v>0.21380625228663344</v>
      </c>
      <c r="P113" s="8">
        <f t="shared" si="12"/>
        <v>-25.181772542525543</v>
      </c>
      <c r="X113" s="8">
        <v>-13</v>
      </c>
    </row>
    <row r="114" spans="1:24" x14ac:dyDescent="0.2">
      <c r="A114" s="8">
        <v>56</v>
      </c>
      <c r="B114" s="8">
        <v>112</v>
      </c>
      <c r="D114">
        <v>1120.6109399075999</v>
      </c>
      <c r="E114">
        <v>321.71340523882998</v>
      </c>
      <c r="F114">
        <v>157.95046439628999</v>
      </c>
      <c r="G114">
        <v>127.36687306502</v>
      </c>
      <c r="I114" s="9">
        <f t="shared" si="8"/>
        <v>194.34653217380998</v>
      </c>
      <c r="J114" s="9">
        <f t="shared" si="9"/>
        <v>962.66047551130987</v>
      </c>
      <c r="K114" s="9">
        <f t="shared" si="10"/>
        <v>194.34653217380998</v>
      </c>
      <c r="L114" s="10">
        <f t="shared" si="7"/>
        <v>0.20188481517389012</v>
      </c>
      <c r="M114" s="10">
        <f t="shared" si="11"/>
        <v>0.21522100937154282</v>
      </c>
      <c r="P114" s="8">
        <f t="shared" si="12"/>
        <v>-24.686699941777096</v>
      </c>
      <c r="X114" s="8">
        <v>-13</v>
      </c>
    </row>
    <row r="115" spans="1:24" x14ac:dyDescent="0.2">
      <c r="A115" s="8">
        <v>56.5</v>
      </c>
      <c r="B115" s="8">
        <v>113</v>
      </c>
      <c r="D115">
        <v>1151.9722650230999</v>
      </c>
      <c r="E115">
        <v>324.50693374422002</v>
      </c>
      <c r="F115">
        <v>158.34829721361999</v>
      </c>
      <c r="G115">
        <v>127.68653250774</v>
      </c>
      <c r="I115" s="9">
        <f t="shared" si="8"/>
        <v>196.82040123648002</v>
      </c>
      <c r="J115" s="9">
        <f t="shared" si="9"/>
        <v>993.62396780947995</v>
      </c>
      <c r="K115" s="9">
        <f t="shared" si="10"/>
        <v>196.82040123648002</v>
      </c>
      <c r="L115" s="10">
        <f t="shared" si="7"/>
        <v>0.19808338729024991</v>
      </c>
      <c r="M115" s="10">
        <f t="shared" si="11"/>
        <v>0.21153865465038166</v>
      </c>
      <c r="P115" s="8">
        <f t="shared" si="12"/>
        <v>-25.975283648569679</v>
      </c>
      <c r="X115" s="8">
        <v>-13</v>
      </c>
    </row>
    <row r="116" spans="1:24" x14ac:dyDescent="0.2">
      <c r="A116" s="8">
        <v>57</v>
      </c>
      <c r="B116" s="8">
        <v>114</v>
      </c>
      <c r="D116">
        <v>1138.4761171032001</v>
      </c>
      <c r="E116">
        <v>321.37904468413001</v>
      </c>
      <c r="F116">
        <v>157.91486068111999</v>
      </c>
      <c r="G116">
        <v>127.81114551084001</v>
      </c>
      <c r="I116" s="9">
        <f t="shared" si="8"/>
        <v>193.56789917329002</v>
      </c>
      <c r="J116" s="9">
        <f t="shared" si="9"/>
        <v>980.56125642208008</v>
      </c>
      <c r="K116" s="9">
        <f t="shared" si="10"/>
        <v>193.56789917329002</v>
      </c>
      <c r="L116" s="10">
        <f t="shared" si="7"/>
        <v>0.19740520840032988</v>
      </c>
      <c r="M116" s="10">
        <f t="shared" si="11"/>
        <v>0.21097954892294066</v>
      </c>
      <c r="P116" s="8">
        <f t="shared" si="12"/>
        <v>-26.170934145414726</v>
      </c>
      <c r="X116" s="8">
        <v>-13</v>
      </c>
    </row>
    <row r="117" spans="1:24" x14ac:dyDescent="0.2">
      <c r="A117" s="8">
        <v>57.5</v>
      </c>
      <c r="B117" s="8">
        <v>115</v>
      </c>
      <c r="D117">
        <v>1144.8722093918</v>
      </c>
      <c r="E117">
        <v>321.75981524248999</v>
      </c>
      <c r="F117">
        <v>157.68498452012</v>
      </c>
      <c r="G117">
        <v>127.70975232198001</v>
      </c>
      <c r="I117" s="9">
        <f t="shared" si="8"/>
        <v>194.05006292050999</v>
      </c>
      <c r="J117" s="9">
        <f t="shared" si="9"/>
        <v>987.18722487167997</v>
      </c>
      <c r="K117" s="9">
        <f t="shared" si="10"/>
        <v>194.05006292050999</v>
      </c>
      <c r="L117" s="10">
        <f t="shared" si="7"/>
        <v>0.19656865286697128</v>
      </c>
      <c r="M117" s="10">
        <f t="shared" si="11"/>
        <v>0.21026206655206112</v>
      </c>
      <c r="P117" s="8">
        <f t="shared" si="12"/>
        <v>-26.422006125990993</v>
      </c>
      <c r="X117" s="8">
        <v>-13</v>
      </c>
    </row>
    <row r="118" spans="1:24" x14ac:dyDescent="0.2">
      <c r="A118" s="8">
        <v>58</v>
      </c>
      <c r="B118" s="8">
        <v>116</v>
      </c>
      <c r="D118">
        <v>1139.0731895223</v>
      </c>
      <c r="E118">
        <v>321.85978428351001</v>
      </c>
      <c r="F118">
        <v>157.34133126935001</v>
      </c>
      <c r="G118">
        <v>127.47678018576001</v>
      </c>
      <c r="I118" s="9">
        <f t="shared" si="8"/>
        <v>194.38300409775002</v>
      </c>
      <c r="J118" s="9">
        <f t="shared" si="9"/>
        <v>981.73185825295002</v>
      </c>
      <c r="K118" s="9">
        <f t="shared" si="10"/>
        <v>194.38300409775002</v>
      </c>
      <c r="L118" s="10">
        <f t="shared" si="7"/>
        <v>0.19800009795308679</v>
      </c>
      <c r="M118" s="10">
        <f t="shared" si="11"/>
        <v>0.21181258480065565</v>
      </c>
      <c r="P118" s="8">
        <f t="shared" si="12"/>
        <v>-25.879425982708799</v>
      </c>
      <c r="X118" s="8">
        <v>-13</v>
      </c>
    </row>
    <row r="119" spans="1:24" x14ac:dyDescent="0.2">
      <c r="A119" s="8">
        <v>58.5</v>
      </c>
      <c r="B119" s="8">
        <v>117</v>
      </c>
      <c r="D119">
        <v>1144.8050847458001</v>
      </c>
      <c r="E119">
        <v>321.57241910632001</v>
      </c>
      <c r="F119">
        <v>157.95123839009</v>
      </c>
      <c r="G119">
        <v>127.42414860680999</v>
      </c>
      <c r="I119" s="9">
        <f t="shared" si="8"/>
        <v>194.14827049951003</v>
      </c>
      <c r="J119" s="9">
        <f t="shared" si="9"/>
        <v>986.85384635571006</v>
      </c>
      <c r="K119" s="9">
        <f t="shared" si="10"/>
        <v>194.14827049951003</v>
      </c>
      <c r="L119" s="10">
        <f t="shared" si="7"/>
        <v>0.19673457342895087</v>
      </c>
      <c r="M119" s="10">
        <f t="shared" si="11"/>
        <v>0.21066613343899879</v>
      </c>
      <c r="P119" s="8">
        <f t="shared" si="12"/>
        <v>-26.280609099797353</v>
      </c>
      <c r="X119" s="8">
        <v>-13</v>
      </c>
    </row>
    <row r="120" spans="1:24" x14ac:dyDescent="0.2">
      <c r="A120" s="8">
        <v>59</v>
      </c>
      <c r="B120" s="8">
        <v>118</v>
      </c>
      <c r="D120">
        <v>1142.8073959937999</v>
      </c>
      <c r="E120">
        <v>319.5593220339</v>
      </c>
      <c r="F120">
        <v>157.52089783282</v>
      </c>
      <c r="G120">
        <v>127.50232198142</v>
      </c>
      <c r="I120" s="9">
        <f t="shared" si="8"/>
        <v>192.05700005248002</v>
      </c>
      <c r="J120" s="9">
        <f t="shared" si="9"/>
        <v>985.28649816097993</v>
      </c>
      <c r="K120" s="9">
        <f t="shared" si="10"/>
        <v>192.05700005248002</v>
      </c>
      <c r="L120" s="10">
        <f t="shared" si="7"/>
        <v>0.1949250298374646</v>
      </c>
      <c r="M120" s="10">
        <f t="shared" si="11"/>
        <v>0.20897566300999154</v>
      </c>
      <c r="P120" s="8">
        <f t="shared" si="12"/>
        <v>-26.872163367808373</v>
      </c>
      <c r="X120" s="8">
        <v>-13</v>
      </c>
    </row>
    <row r="121" spans="1:24" x14ac:dyDescent="0.2">
      <c r="A121" s="8">
        <v>59.5</v>
      </c>
      <c r="B121" s="8">
        <v>119</v>
      </c>
      <c r="D121">
        <v>1144.0338983050999</v>
      </c>
      <c r="E121">
        <v>320.30046224962001</v>
      </c>
      <c r="F121">
        <v>158.19582043343999</v>
      </c>
      <c r="G121">
        <v>127.70975232198001</v>
      </c>
      <c r="I121" s="9">
        <f t="shared" si="8"/>
        <v>192.59070992764001</v>
      </c>
      <c r="J121" s="9">
        <f t="shared" si="9"/>
        <v>985.83807787165995</v>
      </c>
      <c r="K121" s="9">
        <f t="shared" si="10"/>
        <v>192.59070992764001</v>
      </c>
      <c r="L121" s="10">
        <f t="shared" si="7"/>
        <v>0.1953573454409743</v>
      </c>
      <c r="M121" s="10">
        <f t="shared" si="11"/>
        <v>0.2095270517759803</v>
      </c>
      <c r="P121" s="8">
        <f t="shared" si="12"/>
        <v>-26.679213303579491</v>
      </c>
      <c r="X121" s="8">
        <v>-13</v>
      </c>
    </row>
    <row r="122" spans="1:24" x14ac:dyDescent="0.2">
      <c r="A122" s="8">
        <v>60</v>
      </c>
      <c r="B122" s="8">
        <v>120</v>
      </c>
      <c r="D122">
        <v>1164.6198156682001</v>
      </c>
      <c r="E122">
        <v>320.78033794163002</v>
      </c>
      <c r="F122">
        <v>157.93575851393001</v>
      </c>
      <c r="G122">
        <v>128.05727554180001</v>
      </c>
      <c r="I122" s="9">
        <f t="shared" si="8"/>
        <v>192.72306239983001</v>
      </c>
      <c r="J122" s="9">
        <f t="shared" si="9"/>
        <v>1006.68405715427</v>
      </c>
      <c r="K122" s="9">
        <f t="shared" si="10"/>
        <v>192.72306239983001</v>
      </c>
      <c r="L122" s="10">
        <f t="shared" si="7"/>
        <v>0.19144344348178749</v>
      </c>
      <c r="M122" s="10">
        <f t="shared" si="11"/>
        <v>0.20573222297927252</v>
      </c>
      <c r="P122" s="8">
        <f t="shared" si="12"/>
        <v>-28.007155592627353</v>
      </c>
      <c r="X122" s="8">
        <v>-13</v>
      </c>
    </row>
    <row r="123" spans="1:24" x14ac:dyDescent="0.2">
      <c r="A123" s="8">
        <v>60.5</v>
      </c>
      <c r="B123" s="8">
        <v>121</v>
      </c>
      <c r="D123">
        <v>1203.5437788018</v>
      </c>
      <c r="E123">
        <v>326.50307219662</v>
      </c>
      <c r="F123">
        <v>158.17647058823999</v>
      </c>
      <c r="G123">
        <v>127.4427244582</v>
      </c>
      <c r="I123" s="9">
        <f t="shared" si="8"/>
        <v>199.06034773841998</v>
      </c>
      <c r="J123" s="9">
        <f t="shared" si="9"/>
        <v>1045.3673082135601</v>
      </c>
      <c r="K123" s="9">
        <f t="shared" si="10"/>
        <v>199.06034773841998</v>
      </c>
      <c r="L123" s="10">
        <f t="shared" si="7"/>
        <v>0.19042143959772037</v>
      </c>
      <c r="M123" s="10">
        <f t="shared" si="11"/>
        <v>0.20482929225768445</v>
      </c>
      <c r="P123" s="8">
        <f t="shared" si="12"/>
        <v>-28.32312238678616</v>
      </c>
      <c r="X123" s="8">
        <v>-13</v>
      </c>
    </row>
    <row r="124" spans="1:24" x14ac:dyDescent="0.2">
      <c r="A124" s="8">
        <v>61</v>
      </c>
      <c r="B124" s="8">
        <v>122</v>
      </c>
      <c r="D124">
        <v>1184.2841781873999</v>
      </c>
      <c r="E124">
        <v>323.81182795698999</v>
      </c>
      <c r="F124">
        <v>158.0193498452</v>
      </c>
      <c r="G124">
        <v>127.53482972136</v>
      </c>
      <c r="I124" s="9">
        <f t="shared" si="8"/>
        <v>196.27699823563</v>
      </c>
      <c r="J124" s="9">
        <f t="shared" si="9"/>
        <v>1026.2648283422</v>
      </c>
      <c r="K124" s="9">
        <f t="shared" si="10"/>
        <v>196.27699823563</v>
      </c>
      <c r="L124" s="10">
        <f t="shared" si="7"/>
        <v>0.19125375128824251</v>
      </c>
      <c r="M124" s="10">
        <f t="shared" si="11"/>
        <v>0.20578067711068565</v>
      </c>
      <c r="P124" s="8">
        <f t="shared" si="12"/>
        <v>-27.990199810527667</v>
      </c>
      <c r="X124" s="8">
        <v>-13</v>
      </c>
    </row>
    <row r="125" spans="1:24" x14ac:dyDescent="0.2">
      <c r="A125" s="8">
        <v>61.5</v>
      </c>
      <c r="B125" s="8">
        <v>123</v>
      </c>
      <c r="D125">
        <v>1186.0783410137999</v>
      </c>
      <c r="E125">
        <v>324.63824884793002</v>
      </c>
      <c r="F125">
        <v>158.8459752322</v>
      </c>
      <c r="G125">
        <v>127.30030959752</v>
      </c>
      <c r="I125" s="9">
        <f t="shared" si="8"/>
        <v>197.33793925041002</v>
      </c>
      <c r="J125" s="9">
        <f t="shared" si="9"/>
        <v>1027.2323657815998</v>
      </c>
      <c r="K125" s="9">
        <f t="shared" si="10"/>
        <v>197.33793925041002</v>
      </c>
      <c r="L125" s="10">
        <f t="shared" si="7"/>
        <v>0.19210642676767653</v>
      </c>
      <c r="M125" s="10">
        <f t="shared" si="11"/>
        <v>0.2067524257525987</v>
      </c>
      <c r="P125" s="8">
        <f t="shared" si="12"/>
        <v>-27.650151237838255</v>
      </c>
      <c r="X125" s="8">
        <v>-13</v>
      </c>
    </row>
    <row r="126" spans="1:24" x14ac:dyDescent="0.2">
      <c r="A126" s="8">
        <v>62</v>
      </c>
      <c r="B126" s="8">
        <v>124</v>
      </c>
      <c r="D126">
        <v>1177.8179723502001</v>
      </c>
      <c r="E126">
        <v>323.21428571428999</v>
      </c>
      <c r="F126">
        <v>158.29102167183001</v>
      </c>
      <c r="G126">
        <v>127.42337461299999</v>
      </c>
      <c r="I126" s="9">
        <f t="shared" si="8"/>
        <v>195.79091110128999</v>
      </c>
      <c r="J126" s="9">
        <f t="shared" si="9"/>
        <v>1019.5269506783701</v>
      </c>
      <c r="K126" s="9">
        <f t="shared" si="10"/>
        <v>195.79091110128999</v>
      </c>
      <c r="L126" s="10">
        <f t="shared" si="7"/>
        <v>0.19204093719250401</v>
      </c>
      <c r="M126" s="10">
        <f t="shared" si="11"/>
        <v>0.20680600933990523</v>
      </c>
      <c r="P126" s="8">
        <f t="shared" si="12"/>
        <v>-27.631400481112429</v>
      </c>
      <c r="X126" s="8">
        <v>-13</v>
      </c>
    </row>
    <row r="127" spans="1:24" x14ac:dyDescent="0.2">
      <c r="A127" s="8">
        <v>62.5</v>
      </c>
      <c r="B127" s="8">
        <v>125</v>
      </c>
      <c r="D127">
        <v>1182.6735791091</v>
      </c>
      <c r="E127">
        <v>323.91628264208998</v>
      </c>
      <c r="F127">
        <v>158.39473684211001</v>
      </c>
      <c r="G127">
        <v>126.95820433437</v>
      </c>
      <c r="I127" s="9">
        <f t="shared" si="8"/>
        <v>196.95807830771997</v>
      </c>
      <c r="J127" s="9">
        <f t="shared" si="9"/>
        <v>1024.2788422669901</v>
      </c>
      <c r="K127" s="9">
        <f t="shared" si="10"/>
        <v>196.95807830771997</v>
      </c>
      <c r="L127" s="10">
        <f t="shared" si="7"/>
        <v>0.19228951158631918</v>
      </c>
      <c r="M127" s="10">
        <f t="shared" si="11"/>
        <v>0.20717365689619943</v>
      </c>
      <c r="P127" s="8">
        <f t="shared" si="12"/>
        <v>-27.502747842581876</v>
      </c>
      <c r="X127" s="8">
        <v>-13</v>
      </c>
    </row>
    <row r="128" spans="1:24" x14ac:dyDescent="0.2">
      <c r="A128" s="8">
        <v>63</v>
      </c>
      <c r="B128" s="8">
        <v>126</v>
      </c>
      <c r="D128">
        <v>1166.7446319017999</v>
      </c>
      <c r="E128">
        <v>323.22776073620003</v>
      </c>
      <c r="F128">
        <v>158.17647058823999</v>
      </c>
      <c r="G128">
        <v>127.9899380805</v>
      </c>
      <c r="I128" s="9">
        <f t="shared" si="8"/>
        <v>195.23782265570003</v>
      </c>
      <c r="J128" s="9">
        <f t="shared" si="9"/>
        <v>1008.5681613135599</v>
      </c>
      <c r="K128" s="9">
        <f t="shared" si="10"/>
        <v>195.23782265570003</v>
      </c>
      <c r="L128" s="10">
        <f t="shared" si="7"/>
        <v>0.1935792048020058</v>
      </c>
      <c r="M128" s="10">
        <f t="shared" si="11"/>
        <v>0.2085824232743651</v>
      </c>
      <c r="P128" s="8">
        <f t="shared" si="12"/>
        <v>-27.009771598020336</v>
      </c>
      <c r="X128" s="8">
        <v>-13</v>
      </c>
    </row>
    <row r="129" spans="1:24" x14ac:dyDescent="0.2">
      <c r="A129" s="8">
        <v>63.5</v>
      </c>
      <c r="B129" s="8">
        <v>127</v>
      </c>
      <c r="D129">
        <v>1165.6365030674999</v>
      </c>
      <c r="E129">
        <v>321.26533742330997</v>
      </c>
      <c r="F129">
        <v>158.91331269349999</v>
      </c>
      <c r="G129">
        <v>127.77554179566999</v>
      </c>
      <c r="I129" s="9">
        <f t="shared" si="8"/>
        <v>193.48979562763998</v>
      </c>
      <c r="J129" s="9">
        <f t="shared" si="9"/>
        <v>1006.723190374</v>
      </c>
      <c r="K129" s="9">
        <f t="shared" si="10"/>
        <v>193.48979562763998</v>
      </c>
      <c r="L129" s="10">
        <f t="shared" si="7"/>
        <v>0.19219761447608857</v>
      </c>
      <c r="M129" s="10">
        <f t="shared" si="11"/>
        <v>0.2073199061109269</v>
      </c>
      <c r="P129" s="8">
        <f t="shared" si="12"/>
        <v>-27.451570167018453</v>
      </c>
      <c r="X129" s="8">
        <v>-13</v>
      </c>
    </row>
    <row r="130" spans="1:24" x14ac:dyDescent="0.2">
      <c r="A130" s="8">
        <v>64</v>
      </c>
      <c r="B130" s="8">
        <v>128</v>
      </c>
      <c r="D130">
        <v>1166.6909509203001</v>
      </c>
      <c r="E130">
        <v>323.61426380367999</v>
      </c>
      <c r="F130">
        <v>157.83359133126999</v>
      </c>
      <c r="G130">
        <v>127.50309597523</v>
      </c>
      <c r="I130" s="9">
        <f t="shared" si="8"/>
        <v>196.11116782844999</v>
      </c>
      <c r="J130" s="9">
        <f t="shared" si="9"/>
        <v>1008.8573595890301</v>
      </c>
      <c r="K130" s="9">
        <f t="shared" si="10"/>
        <v>196.11116782844999</v>
      </c>
      <c r="L130" s="10">
        <f t="shared" ref="L130:L193" si="14">K130/J130</f>
        <v>0.19438939109126208</v>
      </c>
      <c r="M130" s="10">
        <f t="shared" si="11"/>
        <v>0.20963075588857946</v>
      </c>
      <c r="P130" s="8">
        <f t="shared" si="12"/>
        <v>-26.642923635706179</v>
      </c>
      <c r="X130" s="8">
        <v>-13</v>
      </c>
    </row>
    <row r="131" spans="1:24" x14ac:dyDescent="0.2">
      <c r="A131" s="8">
        <v>64.5</v>
      </c>
      <c r="B131" s="8">
        <v>129</v>
      </c>
      <c r="D131">
        <v>1149.7354294479001</v>
      </c>
      <c r="E131">
        <v>321.87653374233003</v>
      </c>
      <c r="F131">
        <v>158.42414860681001</v>
      </c>
      <c r="G131">
        <v>127.2213622291</v>
      </c>
      <c r="I131" s="9">
        <f t="shared" ref="I131:I194" si="15">E131-G131</f>
        <v>194.65517151323002</v>
      </c>
      <c r="J131" s="9">
        <f t="shared" ref="J131:J194" si="16">D131-F131</f>
        <v>991.31128084109002</v>
      </c>
      <c r="K131" s="9">
        <f t="shared" ref="K131:K194" si="17">I131*1</f>
        <v>194.65517151323002</v>
      </c>
      <c r="L131" s="10">
        <f t="shared" si="14"/>
        <v>0.19636129970000188</v>
      </c>
      <c r="M131" s="10">
        <f t="shared" ref="M131:M181" si="18">L131+ABS($N$2)*A131</f>
        <v>0.21172173765979829</v>
      </c>
      <c r="P131" s="8">
        <f t="shared" ref="P131:P194" si="19">(M131-$O$2)/$O$2*100</f>
        <v>-25.911216549990314</v>
      </c>
      <c r="X131" s="8">
        <v>-13</v>
      </c>
    </row>
    <row r="132" spans="1:24" x14ac:dyDescent="0.2">
      <c r="A132" s="8">
        <v>65</v>
      </c>
      <c r="B132" s="8">
        <v>130</v>
      </c>
      <c r="D132">
        <v>1241.6183908046</v>
      </c>
      <c r="E132">
        <v>333.03524904214999</v>
      </c>
      <c r="F132">
        <v>157.82043343653001</v>
      </c>
      <c r="G132">
        <v>127.1346749226</v>
      </c>
      <c r="I132" s="9">
        <f t="shared" si="15"/>
        <v>205.90057411954999</v>
      </c>
      <c r="J132" s="9">
        <f t="shared" si="16"/>
        <v>1083.79795736807</v>
      </c>
      <c r="K132" s="9">
        <f t="shared" si="17"/>
        <v>205.90057411954999</v>
      </c>
      <c r="L132" s="10">
        <f t="shared" si="14"/>
        <v>0.18998058883554791</v>
      </c>
      <c r="M132" s="10">
        <f t="shared" si="18"/>
        <v>0.20546009995782338</v>
      </c>
      <c r="P132" s="8">
        <f t="shared" si="19"/>
        <v>-28.102380881399085</v>
      </c>
      <c r="X132" s="8">
        <v>-13</v>
      </c>
    </row>
    <row r="133" spans="1:24" x14ac:dyDescent="0.2">
      <c r="A133" s="8">
        <v>65.5</v>
      </c>
      <c r="B133" s="8">
        <v>131</v>
      </c>
      <c r="D133">
        <v>1316.9253271748</v>
      </c>
      <c r="E133">
        <v>343.19399538106001</v>
      </c>
      <c r="F133">
        <v>158.11377708978</v>
      </c>
      <c r="G133">
        <v>127.09287925696999</v>
      </c>
      <c r="I133" s="9">
        <f t="shared" si="15"/>
        <v>216.10111612409003</v>
      </c>
      <c r="J133" s="9">
        <f t="shared" si="16"/>
        <v>1158.8115500850199</v>
      </c>
      <c r="K133" s="9">
        <f t="shared" si="17"/>
        <v>216.10111612409003</v>
      </c>
      <c r="L133" s="10">
        <f t="shared" si="14"/>
        <v>0.18648512444343093</v>
      </c>
      <c r="M133" s="10">
        <f t="shared" si="18"/>
        <v>0.20208370872818543</v>
      </c>
      <c r="P133" s="8">
        <f t="shared" si="19"/>
        <v>-29.283897344565052</v>
      </c>
      <c r="X133" s="8">
        <v>-13</v>
      </c>
    </row>
    <row r="134" spans="1:24" x14ac:dyDescent="0.2">
      <c r="A134" s="8">
        <v>66</v>
      </c>
      <c r="B134" s="8">
        <v>132</v>
      </c>
      <c r="D134">
        <v>1318.4319754035</v>
      </c>
      <c r="E134">
        <v>343.34435049962002</v>
      </c>
      <c r="F134">
        <v>158.46981424149001</v>
      </c>
      <c r="G134">
        <v>127.85913312693999</v>
      </c>
      <c r="I134" s="9">
        <f t="shared" si="15"/>
        <v>215.48521737268004</v>
      </c>
      <c r="J134" s="9">
        <f t="shared" si="16"/>
        <v>1159.96216116201</v>
      </c>
      <c r="K134" s="9">
        <f t="shared" si="17"/>
        <v>215.48521737268004</v>
      </c>
      <c r="L134" s="10">
        <f t="shared" si="14"/>
        <v>0.18576917815734126</v>
      </c>
      <c r="M134" s="10">
        <f t="shared" si="18"/>
        <v>0.20148683560457481</v>
      </c>
      <c r="P134" s="8">
        <f t="shared" si="19"/>
        <v>-29.492763963983109</v>
      </c>
      <c r="X134" s="8">
        <v>-13</v>
      </c>
    </row>
    <row r="135" spans="1:24" x14ac:dyDescent="0.2">
      <c r="A135" s="8">
        <v>66.5</v>
      </c>
      <c r="B135" s="8">
        <v>133</v>
      </c>
      <c r="D135">
        <v>1326.4938650306999</v>
      </c>
      <c r="E135">
        <v>345.59739263803999</v>
      </c>
      <c r="F135">
        <v>157.95046439628999</v>
      </c>
      <c r="G135">
        <v>127.24767801858</v>
      </c>
      <c r="I135" s="9">
        <f t="shared" si="15"/>
        <v>218.34971461945997</v>
      </c>
      <c r="J135" s="9">
        <f t="shared" si="16"/>
        <v>1168.5434006344099</v>
      </c>
      <c r="K135" s="9">
        <f t="shared" si="17"/>
        <v>218.34971461945997</v>
      </c>
      <c r="L135" s="10">
        <f t="shared" si="14"/>
        <v>0.18685631573539885</v>
      </c>
      <c r="M135" s="10">
        <f t="shared" si="18"/>
        <v>0.20269304634511143</v>
      </c>
      <c r="P135" s="8">
        <f t="shared" si="19"/>
        <v>-29.070668966376907</v>
      </c>
      <c r="X135" s="8">
        <v>-13</v>
      </c>
    </row>
    <row r="136" spans="1:24" x14ac:dyDescent="0.2">
      <c r="A136" s="8">
        <v>67</v>
      </c>
      <c r="B136" s="8">
        <v>134</v>
      </c>
      <c r="D136">
        <v>1254.7661042945001</v>
      </c>
      <c r="E136">
        <v>334.23466257669003</v>
      </c>
      <c r="F136">
        <v>157.93111455107999</v>
      </c>
      <c r="G136">
        <v>127.48761609907</v>
      </c>
      <c r="I136" s="9">
        <f t="shared" si="15"/>
        <v>206.74704647762002</v>
      </c>
      <c r="J136" s="9">
        <f t="shared" si="16"/>
        <v>1096.83498974342</v>
      </c>
      <c r="K136" s="9">
        <f t="shared" si="17"/>
        <v>206.74704647762002</v>
      </c>
      <c r="L136" s="10">
        <f t="shared" si="14"/>
        <v>0.18849421144559206</v>
      </c>
      <c r="M136" s="10">
        <f t="shared" si="18"/>
        <v>0.20445001521778369</v>
      </c>
      <c r="P136" s="8">
        <f t="shared" si="19"/>
        <v>-28.455844585212098</v>
      </c>
      <c r="X136" s="8">
        <v>-13</v>
      </c>
    </row>
    <row r="137" spans="1:24" x14ac:dyDescent="0.2">
      <c r="A137" s="8">
        <v>67.5</v>
      </c>
      <c r="B137" s="8">
        <v>135</v>
      </c>
      <c r="D137">
        <v>1200.8533026114001</v>
      </c>
      <c r="E137">
        <v>326.71658986174998</v>
      </c>
      <c r="F137">
        <v>158.28173374612999</v>
      </c>
      <c r="G137">
        <v>127.31578947368</v>
      </c>
      <c r="I137" s="9">
        <f t="shared" si="15"/>
        <v>199.40080038806997</v>
      </c>
      <c r="J137" s="9">
        <f t="shared" si="16"/>
        <v>1042.5715688652701</v>
      </c>
      <c r="K137" s="9">
        <f t="shared" si="17"/>
        <v>199.40080038806997</v>
      </c>
      <c r="L137" s="10">
        <f t="shared" si="14"/>
        <v>0.19125862083990727</v>
      </c>
      <c r="M137" s="10">
        <f t="shared" si="18"/>
        <v>0.20733349777457794</v>
      </c>
      <c r="P137" s="8">
        <f t="shared" si="19"/>
        <v>-27.446813972231382</v>
      </c>
      <c r="X137" s="8">
        <v>-13</v>
      </c>
    </row>
    <row r="138" spans="1:24" x14ac:dyDescent="0.2">
      <c r="A138" s="8">
        <v>68</v>
      </c>
      <c r="B138" s="8">
        <v>136</v>
      </c>
      <c r="D138">
        <v>1286.0168324407</v>
      </c>
      <c r="E138">
        <v>336.04361132363999</v>
      </c>
      <c r="F138">
        <v>158.51857585139001</v>
      </c>
      <c r="G138">
        <v>127.51625386997</v>
      </c>
      <c r="I138" s="9">
        <f t="shared" si="15"/>
        <v>208.52735745366999</v>
      </c>
      <c r="J138" s="9">
        <f t="shared" si="16"/>
        <v>1127.4982565893099</v>
      </c>
      <c r="K138" s="9">
        <f t="shared" si="17"/>
        <v>208.52735745366999</v>
      </c>
      <c r="L138" s="10">
        <f t="shared" si="14"/>
        <v>0.18494694447197346</v>
      </c>
      <c r="M138" s="10">
        <f t="shared" si="18"/>
        <v>0.20114089456912318</v>
      </c>
      <c r="P138" s="8">
        <f t="shared" si="19"/>
        <v>-29.613820737582952</v>
      </c>
      <c r="X138" s="8">
        <v>-13</v>
      </c>
    </row>
    <row r="139" spans="1:24" x14ac:dyDescent="0.2">
      <c r="A139" s="8">
        <v>68.5</v>
      </c>
      <c r="B139" s="8">
        <v>137</v>
      </c>
      <c r="D139">
        <v>1310.8275328693001</v>
      </c>
      <c r="E139">
        <v>340.15390564579002</v>
      </c>
      <c r="F139">
        <v>158.08126934985</v>
      </c>
      <c r="G139">
        <v>127.71362229102</v>
      </c>
      <c r="I139" s="9">
        <f t="shared" si="15"/>
        <v>212.44028335477003</v>
      </c>
      <c r="J139" s="9">
        <f t="shared" si="16"/>
        <v>1152.7462635194502</v>
      </c>
      <c r="K139" s="9">
        <f t="shared" si="17"/>
        <v>212.44028335477003</v>
      </c>
      <c r="L139" s="10">
        <f t="shared" si="14"/>
        <v>0.18429058508172344</v>
      </c>
      <c r="M139" s="10">
        <f t="shared" si="18"/>
        <v>0.20060360834135219</v>
      </c>
      <c r="P139" s="8">
        <f t="shared" si="19"/>
        <v>-29.801835834284834</v>
      </c>
      <c r="X139" s="8">
        <v>-13</v>
      </c>
    </row>
    <row r="140" spans="1:24" x14ac:dyDescent="0.2">
      <c r="A140" s="8">
        <v>69</v>
      </c>
      <c r="B140" s="8">
        <v>138</v>
      </c>
      <c r="D140">
        <v>1340.0781129157001</v>
      </c>
      <c r="E140">
        <v>344.53441608662001</v>
      </c>
      <c r="F140">
        <v>158.09829721361999</v>
      </c>
      <c r="G140">
        <v>127.50619195046001</v>
      </c>
      <c r="I140" s="9">
        <f t="shared" si="15"/>
        <v>217.02822413616002</v>
      </c>
      <c r="J140" s="9">
        <f t="shared" si="16"/>
        <v>1181.97981570208</v>
      </c>
      <c r="K140" s="9">
        <f t="shared" si="17"/>
        <v>217.02822413616002</v>
      </c>
      <c r="L140" s="10">
        <f t="shared" si="14"/>
        <v>0.18361415419538971</v>
      </c>
      <c r="M140" s="10">
        <f t="shared" si="18"/>
        <v>0.20004625061749751</v>
      </c>
      <c r="P140" s="8">
        <f t="shared" si="19"/>
        <v>-29.996874644013538</v>
      </c>
      <c r="X140" s="8">
        <v>-13</v>
      </c>
    </row>
    <row r="141" spans="1:24" x14ac:dyDescent="0.2">
      <c r="A141" s="8">
        <v>69.5</v>
      </c>
      <c r="B141" s="8">
        <v>139</v>
      </c>
      <c r="D141">
        <v>1279.9707467282999</v>
      </c>
      <c r="E141">
        <v>332.11624326405001</v>
      </c>
      <c r="F141">
        <v>158.43575851393001</v>
      </c>
      <c r="G141">
        <v>127.5572755418</v>
      </c>
      <c r="I141" s="9">
        <f t="shared" si="15"/>
        <v>204.55896772225003</v>
      </c>
      <c r="J141" s="9">
        <f t="shared" si="16"/>
        <v>1121.5349882143698</v>
      </c>
      <c r="K141" s="9">
        <f t="shared" si="17"/>
        <v>204.55896772225003</v>
      </c>
      <c r="L141" s="10">
        <f t="shared" si="14"/>
        <v>0.18239196268672334</v>
      </c>
      <c r="M141" s="10">
        <f t="shared" si="18"/>
        <v>0.19894313227131016</v>
      </c>
      <c r="P141" s="8">
        <f t="shared" si="19"/>
        <v>-30.382894035190706</v>
      </c>
      <c r="X141" s="8">
        <v>-13</v>
      </c>
    </row>
    <row r="142" spans="1:24" x14ac:dyDescent="0.2">
      <c r="A142" s="8">
        <v>70</v>
      </c>
      <c r="B142" s="8">
        <v>140</v>
      </c>
      <c r="D142">
        <v>1272.0360706063</v>
      </c>
      <c r="E142">
        <v>331.0821181888</v>
      </c>
      <c r="F142">
        <v>157.29334365324999</v>
      </c>
      <c r="G142">
        <v>127.4326625387</v>
      </c>
      <c r="I142" s="9">
        <f t="shared" si="15"/>
        <v>203.64945565009998</v>
      </c>
      <c r="J142" s="9">
        <f t="shared" si="16"/>
        <v>1114.7427269530499</v>
      </c>
      <c r="K142" s="9">
        <f t="shared" si="17"/>
        <v>203.64945565009998</v>
      </c>
      <c r="L142" s="10">
        <f t="shared" si="14"/>
        <v>0.18268740465949429</v>
      </c>
      <c r="M142" s="10">
        <f t="shared" si="18"/>
        <v>0.19935764740656017</v>
      </c>
      <c r="P142" s="8">
        <f t="shared" si="19"/>
        <v>-30.237840804323891</v>
      </c>
      <c r="X142" s="8">
        <v>-13</v>
      </c>
    </row>
    <row r="143" spans="1:24" x14ac:dyDescent="0.2">
      <c r="A143" s="8">
        <v>70.5</v>
      </c>
      <c r="B143" s="8">
        <v>141</v>
      </c>
      <c r="D143">
        <v>1279.2268199233999</v>
      </c>
      <c r="E143">
        <v>330.47739463601999</v>
      </c>
      <c r="F143">
        <v>158.63544891641001</v>
      </c>
      <c r="G143">
        <v>128.0193498452</v>
      </c>
      <c r="I143" s="9">
        <f t="shared" si="15"/>
        <v>202.45804479082</v>
      </c>
      <c r="J143" s="9">
        <f t="shared" si="16"/>
        <v>1120.5913710069899</v>
      </c>
      <c r="K143" s="9">
        <f t="shared" si="17"/>
        <v>202.45804479082</v>
      </c>
      <c r="L143" s="10">
        <f t="shared" si="14"/>
        <v>0.18067071550701519</v>
      </c>
      <c r="M143" s="10">
        <f t="shared" si="18"/>
        <v>0.1974600314165601</v>
      </c>
      <c r="P143" s="8">
        <f t="shared" si="19"/>
        <v>-30.90188249276072</v>
      </c>
      <c r="X143" s="8">
        <v>-13</v>
      </c>
    </row>
    <row r="144" spans="1:24" x14ac:dyDescent="0.2">
      <c r="A144" s="8">
        <v>71</v>
      </c>
      <c r="B144" s="8">
        <v>142</v>
      </c>
      <c r="D144">
        <v>1310.2930769231</v>
      </c>
      <c r="E144">
        <v>335.88769230768997</v>
      </c>
      <c r="F144">
        <v>157.96130030960001</v>
      </c>
      <c r="G144">
        <v>127.05263157895</v>
      </c>
      <c r="I144" s="9">
        <f t="shared" si="15"/>
        <v>208.83506072873996</v>
      </c>
      <c r="J144" s="9">
        <f t="shared" si="16"/>
        <v>1152.3317766135001</v>
      </c>
      <c r="K144" s="9">
        <f t="shared" si="17"/>
        <v>208.83506072873996</v>
      </c>
      <c r="L144" s="10">
        <f t="shared" si="14"/>
        <v>0.18122824083049188</v>
      </c>
      <c r="M144" s="10">
        <f t="shared" si="18"/>
        <v>0.19813662990251585</v>
      </c>
      <c r="P144" s="8">
        <f t="shared" si="19"/>
        <v>-30.665117202324986</v>
      </c>
    </row>
    <row r="145" spans="1:16" x14ac:dyDescent="0.2">
      <c r="A145" s="8">
        <v>71.5</v>
      </c>
      <c r="B145" s="8">
        <v>143</v>
      </c>
      <c r="D145">
        <v>1332.0653846154</v>
      </c>
      <c r="E145">
        <v>339.34461538462</v>
      </c>
      <c r="F145">
        <v>158.09674922600999</v>
      </c>
      <c r="G145">
        <v>127.61687306502</v>
      </c>
      <c r="I145" s="9">
        <f t="shared" si="15"/>
        <v>211.7277423196</v>
      </c>
      <c r="J145" s="9">
        <f t="shared" si="16"/>
        <v>1173.9686353893901</v>
      </c>
      <c r="K145" s="9">
        <f t="shared" si="17"/>
        <v>211.7277423196</v>
      </c>
      <c r="L145" s="10">
        <f t="shared" si="14"/>
        <v>0.18035212861489494</v>
      </c>
      <c r="M145" s="10">
        <f t="shared" si="18"/>
        <v>0.19737959084939793</v>
      </c>
      <c r="P145" s="8">
        <f t="shared" si="19"/>
        <v>-30.930031438763844</v>
      </c>
    </row>
    <row r="146" spans="1:16" x14ac:dyDescent="0.2">
      <c r="A146" s="8">
        <v>72</v>
      </c>
      <c r="B146" s="8">
        <v>144</v>
      </c>
      <c r="D146">
        <v>1282.5453149002001</v>
      </c>
      <c r="E146">
        <v>329.94470046083001</v>
      </c>
      <c r="F146">
        <v>157.69349845201</v>
      </c>
      <c r="G146">
        <v>127.09674922601</v>
      </c>
      <c r="I146" s="9">
        <f t="shared" si="15"/>
        <v>202.84795123482002</v>
      </c>
      <c r="J146" s="9">
        <f t="shared" si="16"/>
        <v>1124.85181644819</v>
      </c>
      <c r="K146" s="9">
        <f t="shared" si="17"/>
        <v>202.84795123482002</v>
      </c>
      <c r="L146" s="10">
        <f t="shared" si="14"/>
        <v>0.18033304322282087</v>
      </c>
      <c r="M146" s="10">
        <f t="shared" si="18"/>
        <v>0.19747957861980292</v>
      </c>
      <c r="P146" s="8">
        <f t="shared" si="19"/>
        <v>-30.895042247993608</v>
      </c>
    </row>
    <row r="147" spans="1:16" x14ac:dyDescent="0.2">
      <c r="A147" s="8">
        <v>72.5</v>
      </c>
      <c r="B147" s="8">
        <v>145</v>
      </c>
      <c r="D147">
        <v>1249.3886328725</v>
      </c>
      <c r="E147">
        <v>325.67127496159998</v>
      </c>
      <c r="F147">
        <v>158.00541795666001</v>
      </c>
      <c r="G147">
        <v>127.48219814242</v>
      </c>
      <c r="I147" s="9">
        <f t="shared" si="15"/>
        <v>198.18907681917997</v>
      </c>
      <c r="J147" s="9">
        <f t="shared" si="16"/>
        <v>1091.38321491584</v>
      </c>
      <c r="K147" s="9">
        <f t="shared" si="17"/>
        <v>198.18907681917997</v>
      </c>
      <c r="L147" s="10">
        <f t="shared" si="14"/>
        <v>0.18159439700972765</v>
      </c>
      <c r="M147" s="10">
        <f t="shared" si="18"/>
        <v>0.19886000556918876</v>
      </c>
      <c r="P147" s="8">
        <f t="shared" si="19"/>
        <v>-30.41198295303381</v>
      </c>
    </row>
    <row r="148" spans="1:16" x14ac:dyDescent="0.2">
      <c r="A148" s="8">
        <v>73</v>
      </c>
      <c r="B148" s="8">
        <v>146</v>
      </c>
      <c r="D148">
        <v>1285.1902552204001</v>
      </c>
      <c r="E148">
        <v>331.27687548337002</v>
      </c>
      <c r="F148">
        <v>158.23219814242</v>
      </c>
      <c r="G148">
        <v>127.11300309598001</v>
      </c>
      <c r="I148" s="9">
        <f t="shared" si="15"/>
        <v>204.16387238739003</v>
      </c>
      <c r="J148" s="9">
        <f t="shared" si="16"/>
        <v>1126.9580570779801</v>
      </c>
      <c r="K148" s="9">
        <f t="shared" si="17"/>
        <v>204.16387238739003</v>
      </c>
      <c r="L148" s="10">
        <f t="shared" si="14"/>
        <v>0.1811636831602712</v>
      </c>
      <c r="M148" s="10">
        <f t="shared" si="18"/>
        <v>0.19854836488221134</v>
      </c>
      <c r="P148" s="8">
        <f t="shared" si="19"/>
        <v>-30.521036844367273</v>
      </c>
    </row>
    <row r="149" spans="1:16" x14ac:dyDescent="0.2">
      <c r="A149" s="8">
        <v>73.5</v>
      </c>
      <c r="B149" s="8">
        <v>147</v>
      </c>
      <c r="D149">
        <v>1321.2683681361</v>
      </c>
      <c r="E149">
        <v>337.13998453210002</v>
      </c>
      <c r="F149">
        <v>158.64164086687001</v>
      </c>
      <c r="G149">
        <v>127.15479876161</v>
      </c>
      <c r="I149" s="9">
        <f t="shared" si="15"/>
        <v>209.98518577049003</v>
      </c>
      <c r="J149" s="9">
        <f t="shared" si="16"/>
        <v>1162.6267272692301</v>
      </c>
      <c r="K149" s="9">
        <f t="shared" si="17"/>
        <v>209.98518577049003</v>
      </c>
      <c r="L149" s="10">
        <f t="shared" si="14"/>
        <v>0.18061272878501758</v>
      </c>
      <c r="M149" s="10">
        <f t="shared" si="18"/>
        <v>0.19811648366943674</v>
      </c>
      <c r="P149" s="8">
        <f t="shared" si="19"/>
        <v>-30.672167068420126</v>
      </c>
    </row>
    <row r="150" spans="1:16" x14ac:dyDescent="0.2">
      <c r="A150" s="8">
        <v>74</v>
      </c>
      <c r="B150" s="8">
        <v>148</v>
      </c>
      <c r="D150">
        <v>1296.1342125679</v>
      </c>
      <c r="E150">
        <v>333.59813809154002</v>
      </c>
      <c r="F150">
        <v>157.91873065016</v>
      </c>
      <c r="G150">
        <v>127.54334365325001</v>
      </c>
      <c r="I150" s="9">
        <f t="shared" si="15"/>
        <v>206.05479443829</v>
      </c>
      <c r="J150" s="9">
        <f t="shared" si="16"/>
        <v>1138.2154819177399</v>
      </c>
      <c r="K150" s="9">
        <f t="shared" si="17"/>
        <v>206.05479443829</v>
      </c>
      <c r="L150" s="10">
        <f t="shared" si="14"/>
        <v>0.18103320303736811</v>
      </c>
      <c r="M150" s="10">
        <f t="shared" si="18"/>
        <v>0.19865603108426633</v>
      </c>
      <c r="P150" s="8">
        <f t="shared" si="19"/>
        <v>-30.483360703895791</v>
      </c>
    </row>
    <row r="151" spans="1:16" x14ac:dyDescent="0.2">
      <c r="A151" s="8">
        <v>74.5</v>
      </c>
      <c r="B151" s="8">
        <v>149</v>
      </c>
      <c r="D151">
        <v>1251.6868300153001</v>
      </c>
      <c r="E151">
        <v>325.19678407351</v>
      </c>
      <c r="F151">
        <v>158.47600619195001</v>
      </c>
      <c r="G151">
        <v>127.09365325077</v>
      </c>
      <c r="I151" s="9">
        <f t="shared" si="15"/>
        <v>198.10313082274001</v>
      </c>
      <c r="J151" s="9">
        <f t="shared" si="16"/>
        <v>1093.21082382335</v>
      </c>
      <c r="K151" s="9">
        <f t="shared" si="17"/>
        <v>198.10313082274001</v>
      </c>
      <c r="L151" s="10">
        <f t="shared" si="14"/>
        <v>0.18121219302412536</v>
      </c>
      <c r="M151" s="10">
        <f t="shared" si="18"/>
        <v>0.19895409423350263</v>
      </c>
      <c r="P151" s="8">
        <f t="shared" si="19"/>
        <v>-30.379058064203303</v>
      </c>
    </row>
    <row r="152" spans="1:16" x14ac:dyDescent="0.2">
      <c r="A152" s="8">
        <v>75</v>
      </c>
      <c r="B152" s="8">
        <v>150</v>
      </c>
      <c r="D152">
        <v>1226.7281776417001</v>
      </c>
      <c r="E152">
        <v>321.20980091884002</v>
      </c>
      <c r="F152">
        <v>157.86300309597999</v>
      </c>
      <c r="G152">
        <v>127.24458204334</v>
      </c>
      <c r="I152" s="9">
        <f t="shared" si="15"/>
        <v>193.9652188755</v>
      </c>
      <c r="J152" s="9">
        <f t="shared" si="16"/>
        <v>1068.86517454572</v>
      </c>
      <c r="K152" s="9">
        <f t="shared" si="17"/>
        <v>193.9652188755</v>
      </c>
      <c r="L152" s="10">
        <f t="shared" si="14"/>
        <v>0.1814683680361627</v>
      </c>
      <c r="M152" s="10">
        <f t="shared" si="18"/>
        <v>0.199329342408019</v>
      </c>
      <c r="P152" s="8">
        <f t="shared" si="19"/>
        <v>-30.247745705590283</v>
      </c>
    </row>
    <row r="153" spans="1:16" x14ac:dyDescent="0.2">
      <c r="A153" s="8">
        <v>75.5</v>
      </c>
      <c r="B153" s="8">
        <v>151</v>
      </c>
      <c r="D153">
        <v>1290.5019275251</v>
      </c>
      <c r="E153">
        <v>330.8565921357</v>
      </c>
      <c r="F153">
        <v>158.34829721361999</v>
      </c>
      <c r="G153">
        <v>127.27708978328</v>
      </c>
      <c r="I153" s="9">
        <f t="shared" si="15"/>
        <v>203.57950235241998</v>
      </c>
      <c r="J153" s="9">
        <f t="shared" si="16"/>
        <v>1132.1536303114799</v>
      </c>
      <c r="K153" s="9">
        <f t="shared" si="17"/>
        <v>203.57950235241998</v>
      </c>
      <c r="L153" s="10">
        <f t="shared" si="14"/>
        <v>0.17981614588508704</v>
      </c>
      <c r="M153" s="10">
        <f t="shared" si="18"/>
        <v>0.19779619341942239</v>
      </c>
      <c r="P153" s="8">
        <f t="shared" si="19"/>
        <v>-30.784247742028576</v>
      </c>
    </row>
    <row r="154" spans="1:16" x14ac:dyDescent="0.2">
      <c r="A154" s="8">
        <v>76</v>
      </c>
      <c r="B154" s="8">
        <v>152</v>
      </c>
      <c r="D154">
        <v>1316.7047031611</v>
      </c>
      <c r="E154">
        <v>335.04086353123</v>
      </c>
      <c r="F154">
        <v>158.43498452012</v>
      </c>
      <c r="G154">
        <v>127.45046439629</v>
      </c>
      <c r="I154" s="9">
        <f t="shared" si="15"/>
        <v>207.59039913494001</v>
      </c>
      <c r="J154" s="9">
        <f t="shared" si="16"/>
        <v>1158.26971864098</v>
      </c>
      <c r="K154" s="9">
        <f t="shared" si="17"/>
        <v>207.59039913494001</v>
      </c>
      <c r="L154" s="10">
        <f t="shared" si="14"/>
        <v>0.17922457592909344</v>
      </c>
      <c r="M154" s="10">
        <f t="shared" si="18"/>
        <v>0.19732369662590782</v>
      </c>
      <c r="P154" s="8">
        <f t="shared" si="19"/>
        <v>-30.949590767277009</v>
      </c>
    </row>
    <row r="155" spans="1:16" x14ac:dyDescent="0.2">
      <c r="A155" s="8">
        <v>76.5</v>
      </c>
      <c r="B155" s="8">
        <v>153</v>
      </c>
      <c r="D155">
        <v>1303.2952968389</v>
      </c>
      <c r="E155">
        <v>331.70547417116001</v>
      </c>
      <c r="F155">
        <v>157.90789473684001</v>
      </c>
      <c r="G155">
        <v>127.08204334365</v>
      </c>
      <c r="I155" s="9">
        <f t="shared" si="15"/>
        <v>204.62343082750999</v>
      </c>
      <c r="J155" s="9">
        <f t="shared" si="16"/>
        <v>1145.3874021020599</v>
      </c>
      <c r="K155" s="9">
        <f t="shared" si="17"/>
        <v>204.62343082750999</v>
      </c>
      <c r="L155" s="10">
        <f t="shared" si="14"/>
        <v>0.17864997506693109</v>
      </c>
      <c r="M155" s="10">
        <f t="shared" si="18"/>
        <v>0.19686816892622452</v>
      </c>
      <c r="P155" s="8">
        <f t="shared" si="19"/>
        <v>-31.108995717710325</v>
      </c>
    </row>
    <row r="156" spans="1:16" x14ac:dyDescent="0.2">
      <c r="A156" s="8">
        <v>77</v>
      </c>
      <c r="B156" s="8">
        <v>154</v>
      </c>
      <c r="D156">
        <v>1341.4001542020001</v>
      </c>
      <c r="E156">
        <v>338.01619121048998</v>
      </c>
      <c r="F156">
        <v>158.46981424149001</v>
      </c>
      <c r="G156">
        <v>126.62925696594</v>
      </c>
      <c r="I156" s="9">
        <f t="shared" si="15"/>
        <v>211.38693424454999</v>
      </c>
      <c r="J156" s="9">
        <f t="shared" si="16"/>
        <v>1182.9303399605101</v>
      </c>
      <c r="K156" s="9">
        <f t="shared" si="17"/>
        <v>211.38693424454999</v>
      </c>
      <c r="L156" s="10">
        <f t="shared" si="14"/>
        <v>0.17869770273337207</v>
      </c>
      <c r="M156" s="10">
        <f t="shared" si="18"/>
        <v>0.19703496975514453</v>
      </c>
      <c r="P156" s="8">
        <f t="shared" si="19"/>
        <v>-31.050626319132114</v>
      </c>
    </row>
    <row r="157" spans="1:16" x14ac:dyDescent="0.2">
      <c r="A157" s="8">
        <v>77.5</v>
      </c>
      <c r="B157" s="8">
        <v>155</v>
      </c>
      <c r="D157">
        <v>1291.7717810332001</v>
      </c>
      <c r="E157">
        <v>331.50809560523999</v>
      </c>
      <c r="F157">
        <v>157.91176470587999</v>
      </c>
      <c r="G157">
        <v>127.43498452012</v>
      </c>
      <c r="I157" s="9">
        <f t="shared" si="15"/>
        <v>204.07311108511999</v>
      </c>
      <c r="J157" s="9">
        <f t="shared" si="16"/>
        <v>1133.8600163273202</v>
      </c>
      <c r="K157" s="9">
        <f t="shared" si="17"/>
        <v>204.07311108511999</v>
      </c>
      <c r="L157" s="10">
        <f t="shared" si="14"/>
        <v>0.17998086901955684</v>
      </c>
      <c r="M157" s="10">
        <f t="shared" si="18"/>
        <v>0.19843720920380836</v>
      </c>
      <c r="P157" s="8">
        <f t="shared" si="19"/>
        <v>-30.559934073709254</v>
      </c>
    </row>
    <row r="158" spans="1:16" x14ac:dyDescent="0.2">
      <c r="A158" s="8">
        <v>78</v>
      </c>
      <c r="B158" s="8">
        <v>156</v>
      </c>
      <c r="D158">
        <v>1307.7149496514</v>
      </c>
      <c r="E158">
        <v>335.61735089078002</v>
      </c>
      <c r="F158">
        <v>158.24071207430001</v>
      </c>
      <c r="G158">
        <v>127.24226006192001</v>
      </c>
      <c r="I158" s="9">
        <f t="shared" si="15"/>
        <v>208.37509082886001</v>
      </c>
      <c r="J158" s="9">
        <f t="shared" si="16"/>
        <v>1149.4742375771</v>
      </c>
      <c r="K158" s="9">
        <f t="shared" si="17"/>
        <v>208.37509082886001</v>
      </c>
      <c r="L158" s="10">
        <f t="shared" si="14"/>
        <v>0.18127860896480807</v>
      </c>
      <c r="M158" s="10">
        <f t="shared" si="18"/>
        <v>0.19985402231153862</v>
      </c>
      <c r="P158" s="8">
        <f t="shared" si="19"/>
        <v>-30.064141999225001</v>
      </c>
    </row>
    <row r="159" spans="1:16" x14ac:dyDescent="0.2">
      <c r="A159" s="8">
        <v>78.5</v>
      </c>
      <c r="B159" s="8">
        <v>157</v>
      </c>
      <c r="D159">
        <v>1276.1096625767</v>
      </c>
      <c r="E159">
        <v>331.27300613496999</v>
      </c>
      <c r="F159">
        <v>158.77476780186001</v>
      </c>
      <c r="G159">
        <v>127.42724458204</v>
      </c>
      <c r="I159" s="9">
        <f t="shared" si="15"/>
        <v>203.84576155292999</v>
      </c>
      <c r="J159" s="9">
        <f t="shared" si="16"/>
        <v>1117.33489477484</v>
      </c>
      <c r="K159" s="9">
        <f t="shared" si="17"/>
        <v>203.84576155292999</v>
      </c>
      <c r="L159" s="10">
        <f t="shared" si="14"/>
        <v>0.18243926910920294</v>
      </c>
      <c r="M159" s="10">
        <f t="shared" si="18"/>
        <v>0.20113375561841254</v>
      </c>
      <c r="P159" s="8">
        <f t="shared" si="19"/>
        <v>-29.61631890418175</v>
      </c>
    </row>
    <row r="160" spans="1:16" x14ac:dyDescent="0.2">
      <c r="A160" s="8">
        <v>79</v>
      </c>
      <c r="B160" s="8">
        <v>158</v>
      </c>
      <c r="D160">
        <v>1280.7131901841001</v>
      </c>
      <c r="E160">
        <v>332.84969325153003</v>
      </c>
      <c r="F160">
        <v>158.39860681114999</v>
      </c>
      <c r="G160">
        <v>126.96052631579001</v>
      </c>
      <c r="I160" s="9">
        <f t="shared" si="15"/>
        <v>205.88916693574004</v>
      </c>
      <c r="J160" s="9">
        <f t="shared" si="16"/>
        <v>1122.31458337295</v>
      </c>
      <c r="K160" s="9">
        <f t="shared" si="17"/>
        <v>205.88916693574004</v>
      </c>
      <c r="L160" s="10">
        <f t="shared" si="14"/>
        <v>0.18345049595361285</v>
      </c>
      <c r="M160" s="10">
        <f t="shared" si="18"/>
        <v>0.20226405562530148</v>
      </c>
      <c r="P160" s="8">
        <f t="shared" si="19"/>
        <v>-29.220787706631789</v>
      </c>
    </row>
    <row r="161" spans="1:16" x14ac:dyDescent="0.2">
      <c r="A161" s="8">
        <v>79.5</v>
      </c>
      <c r="B161" s="8">
        <v>159</v>
      </c>
      <c r="D161">
        <v>1282.6740797545999</v>
      </c>
      <c r="E161">
        <v>335.09355828220998</v>
      </c>
      <c r="F161">
        <v>158.00309597523</v>
      </c>
      <c r="G161">
        <v>127.5193498452</v>
      </c>
      <c r="I161" s="9">
        <f t="shared" si="15"/>
        <v>207.57420843700999</v>
      </c>
      <c r="J161" s="9">
        <f t="shared" si="16"/>
        <v>1124.6709837793699</v>
      </c>
      <c r="K161" s="9">
        <f t="shared" si="17"/>
        <v>207.57420843700999</v>
      </c>
      <c r="L161" s="10">
        <f t="shared" si="14"/>
        <v>0.18456438498970865</v>
      </c>
      <c r="M161" s="10">
        <f t="shared" si="18"/>
        <v>0.20349701782387633</v>
      </c>
      <c r="P161" s="8">
        <f t="shared" si="19"/>
        <v>-28.789331445494149</v>
      </c>
    </row>
    <row r="162" spans="1:16" x14ac:dyDescent="0.2">
      <c r="A162" s="8">
        <v>80</v>
      </c>
      <c r="B162" s="4">
        <v>160</v>
      </c>
      <c r="C162" s="4" t="s">
        <v>7</v>
      </c>
      <c r="D162">
        <v>1294.6608097784999</v>
      </c>
      <c r="E162">
        <v>331.22307104660001</v>
      </c>
      <c r="F162">
        <v>158.05727554180001</v>
      </c>
      <c r="G162">
        <v>126.66099071207</v>
      </c>
      <c r="H162" s="4"/>
      <c r="I162" s="5">
        <f t="shared" si="15"/>
        <v>204.56208033453001</v>
      </c>
      <c r="J162" s="5">
        <f t="shared" si="16"/>
        <v>1136.6035342366999</v>
      </c>
      <c r="K162" s="9">
        <f t="shared" si="17"/>
        <v>204.56208033453001</v>
      </c>
      <c r="L162" s="6">
        <f t="shared" si="14"/>
        <v>0.17997663580371162</v>
      </c>
      <c r="M162" s="6">
        <f t="shared" si="18"/>
        <v>0.19902834180035833</v>
      </c>
      <c r="N162" s="4"/>
      <c r="O162" s="4"/>
      <c r="P162" s="4">
        <f t="shared" si="19"/>
        <v>-30.353076263924955</v>
      </c>
    </row>
    <row r="163" spans="1:16" x14ac:dyDescent="0.2">
      <c r="A163" s="8">
        <v>80.5</v>
      </c>
      <c r="B163" s="8">
        <v>161</v>
      </c>
      <c r="D163">
        <v>1261.6759259258999</v>
      </c>
      <c r="E163">
        <v>326.34259259258999</v>
      </c>
      <c r="F163">
        <v>159.00541795666001</v>
      </c>
      <c r="G163">
        <v>127.21517027864</v>
      </c>
      <c r="I163" s="9">
        <f t="shared" si="15"/>
        <v>199.12742231394998</v>
      </c>
      <c r="J163" s="9">
        <f t="shared" si="16"/>
        <v>1102.6705079692399</v>
      </c>
      <c r="K163" s="9">
        <f t="shared" si="17"/>
        <v>199.12742231394998</v>
      </c>
      <c r="L163" s="10">
        <f t="shared" si="14"/>
        <v>0.1805865132646722</v>
      </c>
      <c r="M163" s="10">
        <f t="shared" si="18"/>
        <v>0.19975729242379797</v>
      </c>
      <c r="P163" s="8">
        <f t="shared" si="19"/>
        <v>-30.09799114379171</v>
      </c>
    </row>
    <row r="164" spans="1:16" x14ac:dyDescent="0.2">
      <c r="A164" s="8">
        <v>81</v>
      </c>
      <c r="B164" s="8">
        <v>162</v>
      </c>
      <c r="D164">
        <v>1259.4305555556</v>
      </c>
      <c r="E164">
        <v>326.3125</v>
      </c>
      <c r="F164">
        <v>158.61455108358999</v>
      </c>
      <c r="G164">
        <v>126.79643962848</v>
      </c>
      <c r="I164" s="9">
        <f t="shared" si="15"/>
        <v>199.51606037151998</v>
      </c>
      <c r="J164" s="9">
        <f t="shared" si="16"/>
        <v>1100.81600447201</v>
      </c>
      <c r="K164" s="9">
        <f t="shared" si="17"/>
        <v>199.51606037151998</v>
      </c>
      <c r="L164" s="10">
        <f t="shared" si="14"/>
        <v>0.1812437860287241</v>
      </c>
      <c r="M164" s="10">
        <f t="shared" si="18"/>
        <v>0.20053363835032889</v>
      </c>
      <c r="P164" s="8">
        <f t="shared" si="19"/>
        <v>-29.826320762333431</v>
      </c>
    </row>
    <row r="165" spans="1:16" x14ac:dyDescent="0.2">
      <c r="A165" s="8">
        <v>81.5</v>
      </c>
      <c r="B165" s="8">
        <v>163</v>
      </c>
      <c r="D165">
        <v>1349.5092592593001</v>
      </c>
      <c r="E165">
        <v>376.77777777777999</v>
      </c>
      <c r="F165">
        <v>158.39164086687001</v>
      </c>
      <c r="G165">
        <v>127.63312693499</v>
      </c>
      <c r="I165" s="9">
        <f t="shared" si="15"/>
        <v>249.14465084278999</v>
      </c>
      <c r="J165" s="9">
        <f t="shared" si="16"/>
        <v>1191.1176183924301</v>
      </c>
      <c r="K165" s="9">
        <f t="shared" si="17"/>
        <v>249.14465084278999</v>
      </c>
      <c r="L165" s="10">
        <f t="shared" si="14"/>
        <v>0.20916880667002766</v>
      </c>
      <c r="M165" s="10">
        <f t="shared" si="18"/>
        <v>0.22857773215411151</v>
      </c>
      <c r="P165" s="8">
        <f t="shared" si="19"/>
        <v>-20.012719117806913</v>
      </c>
    </row>
    <row r="166" spans="1:16" x14ac:dyDescent="0.2">
      <c r="A166" s="8">
        <v>82</v>
      </c>
      <c r="B166" s="8">
        <v>164</v>
      </c>
      <c r="D166">
        <v>1260.9078341014001</v>
      </c>
      <c r="E166">
        <v>378.79262672811001</v>
      </c>
      <c r="F166">
        <v>158.06656346749</v>
      </c>
      <c r="G166">
        <v>127.1346749226</v>
      </c>
      <c r="I166" s="9">
        <f t="shared" si="15"/>
        <v>251.65795180551001</v>
      </c>
      <c r="J166" s="9">
        <f t="shared" si="16"/>
        <v>1102.8412706339102</v>
      </c>
      <c r="K166" s="9">
        <f t="shared" si="17"/>
        <v>251.65795180551001</v>
      </c>
      <c r="L166" s="10">
        <f t="shared" si="14"/>
        <v>0.22819054609813222</v>
      </c>
      <c r="M166" s="10">
        <f t="shared" si="18"/>
        <v>0.2477185447446951</v>
      </c>
      <c r="P166" s="8">
        <f t="shared" si="19"/>
        <v>-13.314684543012097</v>
      </c>
    </row>
    <row r="167" spans="1:16" x14ac:dyDescent="0.2">
      <c r="A167" s="8">
        <v>82.5</v>
      </c>
      <c r="B167" s="8">
        <v>165</v>
      </c>
      <c r="D167">
        <v>1238.6715272448</v>
      </c>
      <c r="E167">
        <v>384.95241749808002</v>
      </c>
      <c r="F167">
        <v>158.41021671826999</v>
      </c>
      <c r="G167">
        <v>127.58436532508</v>
      </c>
      <c r="I167" s="9">
        <f t="shared" si="15"/>
        <v>257.36805217300002</v>
      </c>
      <c r="J167" s="9">
        <f t="shared" si="16"/>
        <v>1080.26131052653</v>
      </c>
      <c r="K167" s="9">
        <f t="shared" si="17"/>
        <v>257.36805217300002</v>
      </c>
      <c r="L167" s="10">
        <f t="shared" si="14"/>
        <v>0.23824610736781482</v>
      </c>
      <c r="M167" s="10">
        <f t="shared" si="18"/>
        <v>0.25789317917685672</v>
      </c>
      <c r="P167" s="8">
        <f t="shared" si="19"/>
        <v>-9.7542268618140113</v>
      </c>
    </row>
    <row r="168" spans="1:16" x14ac:dyDescent="0.2">
      <c r="A168" s="8">
        <v>83</v>
      </c>
      <c r="B168" s="8">
        <v>166</v>
      </c>
      <c r="D168">
        <v>1340.2012383900999</v>
      </c>
      <c r="E168">
        <v>430.03405572755003</v>
      </c>
      <c r="F168">
        <v>158.5193498452</v>
      </c>
      <c r="G168">
        <v>127.26393188855</v>
      </c>
      <c r="I168" s="9">
        <f t="shared" si="15"/>
        <v>302.77012383900001</v>
      </c>
      <c r="J168" s="9">
        <f t="shared" si="16"/>
        <v>1181.6818885448999</v>
      </c>
      <c r="K168" s="9">
        <f t="shared" si="17"/>
        <v>302.77012383900001</v>
      </c>
      <c r="L168" s="10">
        <f t="shared" si="14"/>
        <v>0.25621965333819685</v>
      </c>
      <c r="M168" s="10">
        <f t="shared" si="18"/>
        <v>0.27598579830971781</v>
      </c>
      <c r="P168" s="8">
        <f t="shared" si="19"/>
        <v>-3.4229915536476661</v>
      </c>
    </row>
    <row r="169" spans="1:16" x14ac:dyDescent="0.2">
      <c r="A169" s="8">
        <v>83.5</v>
      </c>
      <c r="B169" s="8">
        <v>167</v>
      </c>
      <c r="D169">
        <v>1349.3181467182001</v>
      </c>
      <c r="E169">
        <v>434.60694980695001</v>
      </c>
      <c r="F169">
        <v>158.38003095975</v>
      </c>
      <c r="G169">
        <v>127.20975232198001</v>
      </c>
      <c r="I169" s="9">
        <f t="shared" si="15"/>
        <v>307.39719748496998</v>
      </c>
      <c r="J169" s="9">
        <f t="shared" si="16"/>
        <v>1190.9381157584501</v>
      </c>
      <c r="K169" s="9">
        <f t="shared" si="17"/>
        <v>307.39719748496998</v>
      </c>
      <c r="L169" s="10">
        <f t="shared" si="14"/>
        <v>0.25811349340280687</v>
      </c>
      <c r="M169" s="10">
        <f t="shared" si="18"/>
        <v>0.27799871153680689</v>
      </c>
      <c r="P169" s="8">
        <f t="shared" si="19"/>
        <v>-2.7186033607588627</v>
      </c>
    </row>
    <row r="170" spans="1:16" x14ac:dyDescent="0.2">
      <c r="A170" s="8">
        <v>84</v>
      </c>
      <c r="B170" s="8">
        <v>168</v>
      </c>
      <c r="D170">
        <v>1380.2293436293</v>
      </c>
      <c r="E170">
        <v>462.85250965250998</v>
      </c>
      <c r="F170">
        <v>158.79334365324999</v>
      </c>
      <c r="G170">
        <v>127.19814241486</v>
      </c>
      <c r="I170" s="9">
        <f t="shared" si="15"/>
        <v>335.65436723764998</v>
      </c>
      <c r="J170" s="9">
        <f t="shared" si="16"/>
        <v>1221.43599997605</v>
      </c>
      <c r="K170" s="9">
        <f t="shared" si="17"/>
        <v>335.65436723764998</v>
      </c>
      <c r="L170" s="10">
        <f t="shared" si="14"/>
        <v>0.27480307379529628</v>
      </c>
      <c r="M170" s="10">
        <f t="shared" si="18"/>
        <v>0.29480736509177535</v>
      </c>
      <c r="P170" s="8">
        <f t="shared" si="19"/>
        <v>3.1633278338610173</v>
      </c>
    </row>
    <row r="171" spans="1:16" x14ac:dyDescent="0.2">
      <c r="A171" s="8">
        <v>84.5</v>
      </c>
      <c r="B171" s="8">
        <v>169</v>
      </c>
      <c r="D171">
        <v>1382.9837837837999</v>
      </c>
      <c r="E171">
        <v>479.13359073358998</v>
      </c>
      <c r="F171">
        <v>158.21052631578999</v>
      </c>
      <c r="G171">
        <v>127.59442724458</v>
      </c>
      <c r="I171" s="9">
        <f t="shared" si="15"/>
        <v>351.53916348900998</v>
      </c>
      <c r="J171" s="9">
        <f t="shared" si="16"/>
        <v>1224.7732574680099</v>
      </c>
      <c r="K171" s="9">
        <f t="shared" si="17"/>
        <v>351.53916348900998</v>
      </c>
      <c r="L171" s="10">
        <f t="shared" si="14"/>
        <v>0.28702387266011309</v>
      </c>
      <c r="M171" s="10">
        <f t="shared" si="18"/>
        <v>0.30714723711907121</v>
      </c>
      <c r="P171" s="8">
        <f t="shared" si="19"/>
        <v>7.4814772904850555</v>
      </c>
    </row>
    <row r="172" spans="1:16" x14ac:dyDescent="0.2">
      <c r="A172" s="8">
        <v>85</v>
      </c>
      <c r="B172" s="8">
        <v>170</v>
      </c>
      <c r="D172">
        <v>1357.2023166023</v>
      </c>
      <c r="E172">
        <v>474.61235521236</v>
      </c>
      <c r="F172">
        <v>158.31424148606999</v>
      </c>
      <c r="G172">
        <v>127.60913312693999</v>
      </c>
      <c r="I172" s="9">
        <f t="shared" si="15"/>
        <v>347.00322208542002</v>
      </c>
      <c r="J172" s="9">
        <f t="shared" si="16"/>
        <v>1198.8880751162301</v>
      </c>
      <c r="K172" s="9">
        <f t="shared" si="17"/>
        <v>347.00322208542002</v>
      </c>
      <c r="L172" s="10">
        <f t="shared" si="14"/>
        <v>0.2894375457456933</v>
      </c>
      <c r="M172" s="10">
        <f t="shared" si="18"/>
        <v>0.30967998336713043</v>
      </c>
      <c r="P172" s="8">
        <f t="shared" si="19"/>
        <v>8.3677730973322628</v>
      </c>
    </row>
    <row r="173" spans="1:16" x14ac:dyDescent="0.2">
      <c r="A173" s="8">
        <v>85.5</v>
      </c>
      <c r="B173" s="8">
        <v>171</v>
      </c>
      <c r="D173">
        <v>1341.2476851852</v>
      </c>
      <c r="E173">
        <v>471.05169753086</v>
      </c>
      <c r="F173">
        <v>158.90015479876001</v>
      </c>
      <c r="G173">
        <v>127.43653250774</v>
      </c>
      <c r="I173" s="9">
        <f t="shared" si="15"/>
        <v>343.61516502311997</v>
      </c>
      <c r="J173" s="9">
        <f t="shared" si="16"/>
        <v>1182.34753038644</v>
      </c>
      <c r="K173" s="9">
        <f t="shared" si="17"/>
        <v>343.61516502311997</v>
      </c>
      <c r="L173" s="10">
        <f t="shared" si="14"/>
        <v>0.29062112127963963</v>
      </c>
      <c r="M173" s="10">
        <f t="shared" si="18"/>
        <v>0.31098263206355581</v>
      </c>
      <c r="P173" s="8">
        <f t="shared" si="19"/>
        <v>8.823615082419197</v>
      </c>
    </row>
    <row r="174" spans="1:16" x14ac:dyDescent="0.2">
      <c r="A174" s="8">
        <v>86</v>
      </c>
      <c r="B174" s="8">
        <v>172</v>
      </c>
      <c r="D174">
        <v>1341.8662567255999</v>
      </c>
      <c r="E174">
        <v>487.65949269792998</v>
      </c>
      <c r="F174">
        <v>158.18266253869999</v>
      </c>
      <c r="G174">
        <v>126.82275541796</v>
      </c>
      <c r="I174" s="9">
        <f t="shared" si="15"/>
        <v>360.83673727996995</v>
      </c>
      <c r="J174" s="9">
        <f t="shared" si="16"/>
        <v>1183.6835941868999</v>
      </c>
      <c r="K174" s="9">
        <f t="shared" si="17"/>
        <v>360.83673727996995</v>
      </c>
      <c r="L174" s="10">
        <f t="shared" si="14"/>
        <v>0.30484222223915947</v>
      </c>
      <c r="M174" s="10">
        <f t="shared" si="18"/>
        <v>0.3253228061855547</v>
      </c>
      <c r="P174" s="8">
        <f t="shared" si="19"/>
        <v>13.841739659062258</v>
      </c>
    </row>
    <row r="175" spans="1:16" x14ac:dyDescent="0.2">
      <c r="A175" s="8">
        <v>86.5</v>
      </c>
      <c r="B175" s="8">
        <v>173</v>
      </c>
      <c r="D175">
        <v>1360.0504973221</v>
      </c>
      <c r="E175">
        <v>507.00382555470998</v>
      </c>
      <c r="F175">
        <v>158.17492260061999</v>
      </c>
      <c r="G175">
        <v>127.92492260061999</v>
      </c>
      <c r="I175" s="9">
        <f t="shared" si="15"/>
        <v>379.07890295408998</v>
      </c>
      <c r="J175" s="9">
        <f t="shared" si="16"/>
        <v>1201.87557472148</v>
      </c>
      <c r="K175" s="9">
        <f t="shared" si="17"/>
        <v>379.07890295408998</v>
      </c>
      <c r="L175" s="10">
        <f t="shared" si="14"/>
        <v>0.31540611268511459</v>
      </c>
      <c r="M175" s="10">
        <f t="shared" si="18"/>
        <v>0.33600576979398888</v>
      </c>
      <c r="P175" s="8">
        <f t="shared" si="19"/>
        <v>17.580079359737695</v>
      </c>
    </row>
    <row r="176" spans="1:16" x14ac:dyDescent="0.2">
      <c r="A176" s="8">
        <v>87</v>
      </c>
      <c r="B176" s="8">
        <v>174</v>
      </c>
      <c r="D176">
        <v>1395.2264728386001</v>
      </c>
      <c r="E176">
        <v>532.05738332058002</v>
      </c>
      <c r="F176">
        <v>159.18034055728</v>
      </c>
      <c r="G176">
        <v>127.69891640867</v>
      </c>
      <c r="I176" s="9">
        <f t="shared" si="15"/>
        <v>404.35846691191</v>
      </c>
      <c r="J176" s="9">
        <f t="shared" si="16"/>
        <v>1236.0461322813201</v>
      </c>
      <c r="K176" s="9">
        <f t="shared" si="17"/>
        <v>404.35846691191</v>
      </c>
      <c r="L176" s="10">
        <f t="shared" si="14"/>
        <v>0.32713865312259988</v>
      </c>
      <c r="M176" s="10">
        <f t="shared" si="18"/>
        <v>0.34785738339395317</v>
      </c>
      <c r="P176" s="8">
        <f t="shared" si="19"/>
        <v>21.727370248460041</v>
      </c>
    </row>
    <row r="177" spans="1:16" x14ac:dyDescent="0.2">
      <c r="A177" s="8">
        <v>87.5</v>
      </c>
      <c r="B177" s="8">
        <v>175</v>
      </c>
      <c r="D177">
        <v>1400.1905126243</v>
      </c>
      <c r="E177">
        <v>534.62356541699</v>
      </c>
      <c r="F177">
        <v>158.51238390092999</v>
      </c>
      <c r="G177">
        <v>127.27321981423999</v>
      </c>
      <c r="I177" s="9">
        <f t="shared" si="15"/>
        <v>407.35034560275</v>
      </c>
      <c r="J177" s="9">
        <f t="shared" si="16"/>
        <v>1241.67812872337</v>
      </c>
      <c r="K177" s="9">
        <f t="shared" si="17"/>
        <v>407.35034560275</v>
      </c>
      <c r="L177" s="10">
        <f t="shared" si="14"/>
        <v>0.32806436400838179</v>
      </c>
      <c r="M177" s="10">
        <f t="shared" si="18"/>
        <v>0.34890216744221414</v>
      </c>
      <c r="P177" s="8">
        <f t="shared" si="19"/>
        <v>22.092976444400165</v>
      </c>
    </row>
    <row r="178" spans="1:16" x14ac:dyDescent="0.2">
      <c r="A178" s="8">
        <v>88</v>
      </c>
      <c r="B178" s="8">
        <v>176</v>
      </c>
      <c r="D178">
        <v>1343.8487394957999</v>
      </c>
      <c r="E178">
        <v>511.48586707409999</v>
      </c>
      <c r="F178">
        <v>158.46130030960001</v>
      </c>
      <c r="G178">
        <v>127.43885448915999</v>
      </c>
      <c r="I178" s="9">
        <f t="shared" si="15"/>
        <v>384.04701258493998</v>
      </c>
      <c r="J178" s="9">
        <f t="shared" si="16"/>
        <v>1185.3874391862</v>
      </c>
      <c r="K178" s="9">
        <f t="shared" si="17"/>
        <v>384.04701258493998</v>
      </c>
      <c r="L178" s="10">
        <f t="shared" si="14"/>
        <v>0.3239843783468791</v>
      </c>
      <c r="M178" s="10">
        <f t="shared" si="18"/>
        <v>0.3449412549431905</v>
      </c>
      <c r="P178" s="8">
        <f t="shared" si="19"/>
        <v>20.70691570425954</v>
      </c>
    </row>
    <row r="179" spans="1:16" x14ac:dyDescent="0.2">
      <c r="A179" s="8">
        <v>88.5</v>
      </c>
      <c r="B179" s="8">
        <v>177</v>
      </c>
      <c r="D179">
        <v>1334.1273148148</v>
      </c>
      <c r="E179">
        <v>512.07870370369994</v>
      </c>
      <c r="F179">
        <v>158.35913312694001</v>
      </c>
      <c r="G179">
        <v>127.31656346749</v>
      </c>
      <c r="I179" s="9">
        <f t="shared" si="15"/>
        <v>384.76214023620992</v>
      </c>
      <c r="J179" s="9">
        <f t="shared" si="16"/>
        <v>1175.7681816878601</v>
      </c>
      <c r="K179" s="9">
        <f t="shared" si="17"/>
        <v>384.76214023620992</v>
      </c>
      <c r="L179" s="10">
        <f t="shared" si="14"/>
        <v>0.32724319830110488</v>
      </c>
      <c r="M179" s="10">
        <f t="shared" si="18"/>
        <v>0.34831914805989533</v>
      </c>
      <c r="P179" s="8">
        <f t="shared" si="19"/>
        <v>21.888957729830647</v>
      </c>
    </row>
    <row r="180" spans="1:16" x14ac:dyDescent="0.2">
      <c r="A180" s="8">
        <v>89</v>
      </c>
      <c r="B180" s="8">
        <v>178</v>
      </c>
      <c r="D180">
        <v>1258.0735863672001</v>
      </c>
      <c r="E180">
        <v>491.87064291246998</v>
      </c>
      <c r="F180">
        <v>158.45665634675001</v>
      </c>
      <c r="G180">
        <v>127.09520123839</v>
      </c>
      <c r="I180" s="9">
        <f t="shared" si="15"/>
        <v>364.77544167407996</v>
      </c>
      <c r="J180" s="9">
        <f t="shared" si="16"/>
        <v>1099.6169300204501</v>
      </c>
      <c r="K180" s="9">
        <f t="shared" si="17"/>
        <v>364.77544167407996</v>
      </c>
      <c r="L180" s="10">
        <f t="shared" si="14"/>
        <v>0.33172956119118324</v>
      </c>
      <c r="M180" s="10">
        <f t="shared" si="18"/>
        <v>0.3529245841124527</v>
      </c>
      <c r="P180" s="8">
        <f t="shared" si="19"/>
        <v>23.500559628446556</v>
      </c>
    </row>
    <row r="181" spans="1:16" x14ac:dyDescent="0.2">
      <c r="A181" s="8">
        <v>89.5</v>
      </c>
      <c r="B181" s="8">
        <v>179</v>
      </c>
      <c r="D181">
        <v>1238.0138888889001</v>
      </c>
      <c r="E181">
        <v>492.76697530863999</v>
      </c>
      <c r="F181">
        <v>158.83049535603999</v>
      </c>
      <c r="G181">
        <v>127.63312693499</v>
      </c>
      <c r="I181" s="9">
        <f t="shared" si="15"/>
        <v>365.13384837364998</v>
      </c>
      <c r="J181" s="9">
        <f t="shared" si="16"/>
        <v>1079.18339353286</v>
      </c>
      <c r="K181" s="9">
        <f t="shared" si="17"/>
        <v>365.13384837364998</v>
      </c>
      <c r="L181" s="10">
        <f t="shared" si="14"/>
        <v>0.33834272336079274</v>
      </c>
      <c r="M181" s="10">
        <f t="shared" si="18"/>
        <v>0.35965681944454125</v>
      </c>
      <c r="P181" s="8">
        <f t="shared" si="19"/>
        <v>25.856402401922534</v>
      </c>
    </row>
    <row r="182" spans="1:16" x14ac:dyDescent="0.2">
      <c r="A182" s="8">
        <v>90</v>
      </c>
      <c r="B182" s="8">
        <v>180</v>
      </c>
      <c r="D182">
        <v>1222.6736111110999</v>
      </c>
      <c r="E182">
        <v>490.07947530863999</v>
      </c>
      <c r="F182">
        <v>158.82662538700001</v>
      </c>
      <c r="G182">
        <v>127.61222910217001</v>
      </c>
      <c r="I182" s="9">
        <f t="shared" si="15"/>
        <v>362.46724620647001</v>
      </c>
      <c r="J182" s="9">
        <f t="shared" si="16"/>
        <v>1063.8469857241</v>
      </c>
      <c r="K182" s="9">
        <f t="shared" si="17"/>
        <v>362.46724620647001</v>
      </c>
      <c r="L182" s="10">
        <f t="shared" si="14"/>
        <v>0.34071370325851813</v>
      </c>
      <c r="M182" s="10">
        <f>L182+ABS($N$2)*A182</f>
        <v>0.3621468725047457</v>
      </c>
      <c r="P182" s="8">
        <f t="shared" si="19"/>
        <v>26.727758380744877</v>
      </c>
    </row>
    <row r="183" spans="1:16" x14ac:dyDescent="0.2">
      <c r="A183" s="8">
        <v>90.5</v>
      </c>
      <c r="B183" s="8">
        <v>181</v>
      </c>
      <c r="D183">
        <v>1221.3819444444</v>
      </c>
      <c r="E183">
        <v>494.26774691358003</v>
      </c>
      <c r="F183">
        <v>158.6246130031</v>
      </c>
      <c r="G183">
        <v>127.10216718266</v>
      </c>
      <c r="I183" s="9">
        <f t="shared" si="15"/>
        <v>367.16557973092006</v>
      </c>
      <c r="J183" s="9">
        <f t="shared" si="16"/>
        <v>1062.7573314413</v>
      </c>
      <c r="K183" s="9">
        <f t="shared" si="17"/>
        <v>367.16557973092006</v>
      </c>
      <c r="L183" s="10">
        <f t="shared" si="14"/>
        <v>0.34548393021478768</v>
      </c>
      <c r="M183" s="10">
        <f t="shared" ref="M183:M241" si="20">L183+ABS($N$2)*A183</f>
        <v>0.36703617262349431</v>
      </c>
      <c r="P183" s="8">
        <f t="shared" si="19"/>
        <v>28.43869416714077</v>
      </c>
    </row>
    <row r="184" spans="1:16" x14ac:dyDescent="0.2">
      <c r="A184" s="8">
        <v>91</v>
      </c>
      <c r="B184" s="8">
        <v>182</v>
      </c>
      <c r="D184">
        <v>1218.5925925926001</v>
      </c>
      <c r="E184">
        <v>499.62654320988003</v>
      </c>
      <c r="F184">
        <v>159.11377708978</v>
      </c>
      <c r="G184">
        <v>127.39628482972</v>
      </c>
      <c r="I184" s="9">
        <f t="shared" si="15"/>
        <v>372.23025838016002</v>
      </c>
      <c r="J184" s="9">
        <f t="shared" si="16"/>
        <v>1059.47881550282</v>
      </c>
      <c r="K184" s="9">
        <f t="shared" si="17"/>
        <v>372.23025838016002</v>
      </c>
      <c r="L184" s="10">
        <f t="shared" si="14"/>
        <v>0.35133336592813569</v>
      </c>
      <c r="M184" s="10">
        <f t="shared" si="20"/>
        <v>0.37300468149932131</v>
      </c>
      <c r="P184" s="8">
        <f t="shared" si="19"/>
        <v>30.527282549742985</v>
      </c>
    </row>
    <row r="185" spans="1:16" x14ac:dyDescent="0.2">
      <c r="A185" s="8">
        <v>91.5</v>
      </c>
      <c r="B185" s="8">
        <v>183</v>
      </c>
      <c r="D185">
        <v>1207.0586419752999</v>
      </c>
      <c r="E185">
        <v>497.17438271604999</v>
      </c>
      <c r="F185">
        <v>157.85603715170001</v>
      </c>
      <c r="G185">
        <v>128.06114551083999</v>
      </c>
      <c r="I185" s="9">
        <f t="shared" si="15"/>
        <v>369.11323720521</v>
      </c>
      <c r="J185" s="9">
        <f t="shared" si="16"/>
        <v>1049.2026048235998</v>
      </c>
      <c r="K185" s="9">
        <f t="shared" si="17"/>
        <v>369.11323720521</v>
      </c>
      <c r="L185" s="10">
        <f t="shared" si="14"/>
        <v>0.35180358446333465</v>
      </c>
      <c r="M185" s="10">
        <f t="shared" si="20"/>
        <v>0.37359397319699933</v>
      </c>
      <c r="P185" s="8">
        <f t="shared" si="19"/>
        <v>30.733496165126727</v>
      </c>
    </row>
    <row r="186" spans="1:16" x14ac:dyDescent="0.2">
      <c r="A186" s="8">
        <v>92</v>
      </c>
      <c r="B186" s="8">
        <v>184</v>
      </c>
      <c r="D186">
        <v>1174.4706790124001</v>
      </c>
      <c r="E186">
        <v>489.41280864198001</v>
      </c>
      <c r="F186">
        <v>158.71284829721</v>
      </c>
      <c r="G186">
        <v>127.56888544892</v>
      </c>
      <c r="I186" s="9">
        <f t="shared" si="15"/>
        <v>361.84392319305999</v>
      </c>
      <c r="J186" s="9">
        <f t="shared" si="16"/>
        <v>1015.75783071519</v>
      </c>
      <c r="K186" s="9">
        <f t="shared" si="17"/>
        <v>361.84392319305999</v>
      </c>
      <c r="L186" s="10">
        <f t="shared" si="14"/>
        <v>0.35623050322761229</v>
      </c>
      <c r="M186" s="10">
        <f t="shared" si="20"/>
        <v>0.37813996512375603</v>
      </c>
      <c r="P186" s="8">
        <f t="shared" si="19"/>
        <v>32.324296501217688</v>
      </c>
    </row>
    <row r="187" spans="1:16" x14ac:dyDescent="0.2">
      <c r="A187" s="8">
        <v>92.5</v>
      </c>
      <c r="B187" s="8">
        <v>185</v>
      </c>
      <c r="D187">
        <v>1232.8051044084</v>
      </c>
      <c r="E187">
        <v>503.50502706882997</v>
      </c>
      <c r="F187">
        <v>158.40479876161001</v>
      </c>
      <c r="G187">
        <v>127.43730650155</v>
      </c>
      <c r="I187" s="9">
        <f t="shared" si="15"/>
        <v>376.06772056727999</v>
      </c>
      <c r="J187" s="9">
        <f t="shared" si="16"/>
        <v>1074.40030564679</v>
      </c>
      <c r="K187" s="9">
        <f t="shared" si="17"/>
        <v>376.06772056727999</v>
      </c>
      <c r="L187" s="10">
        <f t="shared" si="14"/>
        <v>0.35002570139896494</v>
      </c>
      <c r="M187" s="10">
        <f t="shared" si="20"/>
        <v>0.37205423645758773</v>
      </c>
      <c r="P187" s="8">
        <f t="shared" si="19"/>
        <v>30.194688846061581</v>
      </c>
    </row>
    <row r="188" spans="1:16" x14ac:dyDescent="0.2">
      <c r="A188" s="8">
        <v>93</v>
      </c>
      <c r="B188" s="8">
        <v>186</v>
      </c>
      <c r="D188">
        <v>1277.4364341085</v>
      </c>
      <c r="E188">
        <v>524.16279069766995</v>
      </c>
      <c r="F188">
        <v>159.22755417957001</v>
      </c>
      <c r="G188">
        <v>127.70743034055999</v>
      </c>
      <c r="I188" s="9">
        <f t="shared" si="15"/>
        <v>396.45536035710995</v>
      </c>
      <c r="J188" s="9">
        <f t="shared" si="16"/>
        <v>1118.2088799289299</v>
      </c>
      <c r="K188" s="9">
        <f t="shared" si="17"/>
        <v>396.45536035710995</v>
      </c>
      <c r="L188" s="10">
        <f t="shared" si="14"/>
        <v>0.35454499376029591</v>
      </c>
      <c r="M188" s="10">
        <f t="shared" si="20"/>
        <v>0.3766926019813977</v>
      </c>
      <c r="P188" s="8">
        <f t="shared" si="19"/>
        <v>31.817813909430075</v>
      </c>
    </row>
    <row r="189" spans="1:16" x14ac:dyDescent="0.2">
      <c r="A189" s="8">
        <v>93.5</v>
      </c>
      <c r="B189" s="8">
        <v>187</v>
      </c>
      <c r="D189">
        <v>1346.5219062260001</v>
      </c>
      <c r="E189">
        <v>540.08993082244001</v>
      </c>
      <c r="F189">
        <v>158.30495356037</v>
      </c>
      <c r="G189">
        <v>127.65247678019</v>
      </c>
      <c r="I189" s="9">
        <f t="shared" si="15"/>
        <v>412.43745404225001</v>
      </c>
      <c r="J189" s="9">
        <f t="shared" si="16"/>
        <v>1188.2169526656301</v>
      </c>
      <c r="K189" s="9">
        <f t="shared" si="17"/>
        <v>412.43745404225001</v>
      </c>
      <c r="L189" s="10">
        <f t="shared" si="14"/>
        <v>0.34710618554717076</v>
      </c>
      <c r="M189" s="10">
        <f t="shared" si="20"/>
        <v>0.36937286693075161</v>
      </c>
      <c r="P189" s="8">
        <f t="shared" si="19"/>
        <v>29.256384596252193</v>
      </c>
    </row>
    <row r="190" spans="1:16" x14ac:dyDescent="0.2">
      <c r="A190" s="8">
        <v>94</v>
      </c>
      <c r="B190" s="8">
        <v>188</v>
      </c>
      <c r="D190">
        <v>1365.5990747880001</v>
      </c>
      <c r="E190">
        <v>550.04780262143004</v>
      </c>
      <c r="F190">
        <v>158.04798761609999</v>
      </c>
      <c r="G190">
        <v>127.21981424149</v>
      </c>
      <c r="I190" s="9">
        <f t="shared" si="15"/>
        <v>422.82798837994005</v>
      </c>
      <c r="J190" s="9">
        <f t="shared" si="16"/>
        <v>1207.5510871719</v>
      </c>
      <c r="K190" s="9">
        <f t="shared" si="17"/>
        <v>422.82798837994005</v>
      </c>
      <c r="L190" s="10">
        <f t="shared" si="14"/>
        <v>0.3501532919573685</v>
      </c>
      <c r="M190" s="10">
        <f t="shared" si="20"/>
        <v>0.37253904650342839</v>
      </c>
      <c r="P190" s="8">
        <f t="shared" si="19"/>
        <v>30.36434070560939</v>
      </c>
    </row>
    <row r="191" spans="1:16" x14ac:dyDescent="0.2">
      <c r="A191" s="8">
        <v>94.5</v>
      </c>
      <c r="B191" s="8">
        <v>189</v>
      </c>
      <c r="D191">
        <v>1361.5399385561</v>
      </c>
      <c r="E191">
        <v>545.05760368664005</v>
      </c>
      <c r="F191">
        <v>158.79489164086999</v>
      </c>
      <c r="G191">
        <v>127.41795665635</v>
      </c>
      <c r="I191" s="9">
        <f t="shared" si="15"/>
        <v>417.63964703029006</v>
      </c>
      <c r="J191" s="9">
        <f t="shared" si="16"/>
        <v>1202.74504691523</v>
      </c>
      <c r="K191" s="9">
        <f t="shared" si="17"/>
        <v>417.63964703029006</v>
      </c>
      <c r="L191" s="10">
        <f t="shared" si="14"/>
        <v>0.34723871705100068</v>
      </c>
      <c r="M191" s="10">
        <f t="shared" si="20"/>
        <v>0.36974354475953963</v>
      </c>
      <c r="P191" s="8">
        <f t="shared" si="19"/>
        <v>29.386097632288788</v>
      </c>
    </row>
    <row r="192" spans="1:16" x14ac:dyDescent="0.2">
      <c r="A192" s="8">
        <v>95</v>
      </c>
      <c r="B192" s="8">
        <v>190</v>
      </c>
      <c r="D192">
        <v>1379.0046082949</v>
      </c>
      <c r="E192">
        <v>553.74270353302995</v>
      </c>
      <c r="F192">
        <v>158.29024767801999</v>
      </c>
      <c r="G192">
        <v>127.55650154799</v>
      </c>
      <c r="I192" s="9">
        <f t="shared" si="15"/>
        <v>426.18620198503993</v>
      </c>
      <c r="J192" s="9">
        <f t="shared" si="16"/>
        <v>1220.71436061688</v>
      </c>
      <c r="K192" s="9">
        <f t="shared" si="17"/>
        <v>426.18620198503993</v>
      </c>
      <c r="L192" s="10">
        <f t="shared" si="14"/>
        <v>0.34912852321133464</v>
      </c>
      <c r="M192" s="10">
        <f t="shared" si="20"/>
        <v>0.37175242408235259</v>
      </c>
      <c r="P192" s="8">
        <f t="shared" si="19"/>
        <v>30.089074222081596</v>
      </c>
    </row>
    <row r="193" spans="1:16" x14ac:dyDescent="0.2">
      <c r="A193" s="8">
        <v>95.5</v>
      </c>
      <c r="B193" s="8">
        <v>191</v>
      </c>
      <c r="D193">
        <v>1339.4930875575999</v>
      </c>
      <c r="E193">
        <v>533.21351766512998</v>
      </c>
      <c r="F193">
        <v>158.73374613003</v>
      </c>
      <c r="G193">
        <v>127.22058823528999</v>
      </c>
      <c r="I193" s="9">
        <f t="shared" si="15"/>
        <v>405.99292942983999</v>
      </c>
      <c r="J193" s="9">
        <f t="shared" si="16"/>
        <v>1180.7593414275698</v>
      </c>
      <c r="K193" s="9">
        <f t="shared" si="17"/>
        <v>405.99292942983999</v>
      </c>
      <c r="L193" s="10">
        <f t="shared" si="14"/>
        <v>0.34384053988426094</v>
      </c>
      <c r="M193" s="10">
        <f t="shared" si="20"/>
        <v>0.36658351391775795</v>
      </c>
      <c r="P193" s="8">
        <f t="shared" si="19"/>
        <v>28.280293177253039</v>
      </c>
    </row>
    <row r="194" spans="1:16" x14ac:dyDescent="0.2">
      <c r="A194" s="8">
        <v>96</v>
      </c>
      <c r="B194" s="8">
        <v>192</v>
      </c>
      <c r="D194">
        <v>1384.9400461184</v>
      </c>
      <c r="E194">
        <v>547.75326671791004</v>
      </c>
      <c r="F194">
        <v>158.64473684211001</v>
      </c>
      <c r="G194">
        <v>127.15092879257</v>
      </c>
      <c r="I194" s="9">
        <f t="shared" si="15"/>
        <v>420.60233792534007</v>
      </c>
      <c r="J194" s="9">
        <f t="shared" si="16"/>
        <v>1226.29530927629</v>
      </c>
      <c r="K194" s="9">
        <f t="shared" si="17"/>
        <v>420.60233792534007</v>
      </c>
      <c r="L194" s="10">
        <f t="shared" ref="L194:L257" si="21">K194/J194</f>
        <v>0.3429861753067967</v>
      </c>
      <c r="M194" s="10">
        <f t="shared" si="20"/>
        <v>0.36584822250277277</v>
      </c>
      <c r="P194" s="8">
        <f t="shared" si="19"/>
        <v>28.022989194111624</v>
      </c>
    </row>
    <row r="195" spans="1:16" x14ac:dyDescent="0.2">
      <c r="A195" s="8">
        <v>96.5</v>
      </c>
      <c r="B195" s="8">
        <v>193</v>
      </c>
      <c r="D195">
        <v>1385.7717140661</v>
      </c>
      <c r="E195">
        <v>550.46887009991997</v>
      </c>
      <c r="F195">
        <v>158.20820433437001</v>
      </c>
      <c r="G195">
        <v>127.43653250774</v>
      </c>
      <c r="I195" s="9">
        <f t="shared" ref="I195:I241" si="22">E195-G195</f>
        <v>423.03233759217994</v>
      </c>
      <c r="J195" s="9">
        <f t="shared" ref="J195:J241" si="23">D195-F195</f>
        <v>1227.5635097317299</v>
      </c>
      <c r="K195" s="9">
        <f t="shared" ref="K195:K258" si="24">I195*1</f>
        <v>423.03233759217994</v>
      </c>
      <c r="L195" s="10">
        <f t="shared" si="21"/>
        <v>0.34461136571632767</v>
      </c>
      <c r="M195" s="10">
        <f t="shared" si="20"/>
        <v>0.36759248607478279</v>
      </c>
      <c r="P195" s="8">
        <f t="shared" ref="P195:P241" si="25">(M195-$O$2)/$O$2*100</f>
        <v>28.63336754965886</v>
      </c>
    </row>
    <row r="196" spans="1:16" x14ac:dyDescent="0.2">
      <c r="A196" s="8">
        <v>97</v>
      </c>
      <c r="B196" s="8">
        <v>194</v>
      </c>
      <c r="D196">
        <v>1400.4365872405999</v>
      </c>
      <c r="E196">
        <v>552.04150653344004</v>
      </c>
      <c r="F196">
        <v>158.64551083590999</v>
      </c>
      <c r="G196">
        <v>127.23374613003</v>
      </c>
      <c r="I196" s="9">
        <f t="shared" si="22"/>
        <v>424.80776040341004</v>
      </c>
      <c r="J196" s="9">
        <f t="shared" si="23"/>
        <v>1241.7910764046899</v>
      </c>
      <c r="K196" s="9">
        <f t="shared" si="24"/>
        <v>424.80776040341004</v>
      </c>
      <c r="L196" s="10">
        <f t="shared" si="21"/>
        <v>0.34209277911171632</v>
      </c>
      <c r="M196" s="10">
        <f t="shared" si="20"/>
        <v>0.36519297263265049</v>
      </c>
      <c r="P196" s="8">
        <f t="shared" si="25"/>
        <v>27.793694525223433</v>
      </c>
    </row>
    <row r="197" spans="1:16" x14ac:dyDescent="0.2">
      <c r="A197" s="8">
        <v>97.5</v>
      </c>
      <c r="B197" s="8">
        <v>195</v>
      </c>
      <c r="D197">
        <v>1390.901614143</v>
      </c>
      <c r="E197">
        <v>547.12913143736</v>
      </c>
      <c r="F197">
        <v>158.34442724458</v>
      </c>
      <c r="G197">
        <v>127.73452012384</v>
      </c>
      <c r="I197" s="9">
        <f t="shared" si="22"/>
        <v>419.39461131351999</v>
      </c>
      <c r="J197" s="9">
        <f t="shared" si="23"/>
        <v>1232.55718689842</v>
      </c>
      <c r="K197" s="9">
        <f t="shared" si="24"/>
        <v>419.39461131351999</v>
      </c>
      <c r="L197" s="10">
        <f t="shared" si="21"/>
        <v>0.3402638155628912</v>
      </c>
      <c r="M197" s="10">
        <f t="shared" si="20"/>
        <v>0.36348308224630438</v>
      </c>
      <c r="P197" s="8">
        <f t="shared" si="25"/>
        <v>27.195344540202949</v>
      </c>
    </row>
    <row r="198" spans="1:16" x14ac:dyDescent="0.2">
      <c r="A198" s="8">
        <v>98</v>
      </c>
      <c r="B198" s="8">
        <v>196</v>
      </c>
      <c r="D198">
        <v>1410.1614142967001</v>
      </c>
      <c r="E198">
        <v>554.1621829362</v>
      </c>
      <c r="F198">
        <v>158.00077399380999</v>
      </c>
      <c r="G198">
        <v>127.00309597523</v>
      </c>
      <c r="I198" s="9">
        <f t="shared" si="22"/>
        <v>427.15908696097</v>
      </c>
      <c r="J198" s="9">
        <f t="shared" si="23"/>
        <v>1252.16064030289</v>
      </c>
      <c r="K198" s="9">
        <f t="shared" si="24"/>
        <v>427.15908696097</v>
      </c>
      <c r="L198" s="10">
        <f t="shared" si="21"/>
        <v>0.34113760903524554</v>
      </c>
      <c r="M198" s="10">
        <f t="shared" si="20"/>
        <v>0.36447594888113777</v>
      </c>
      <c r="P198" s="8">
        <f t="shared" si="25"/>
        <v>27.542783031479225</v>
      </c>
    </row>
    <row r="199" spans="1:16" x14ac:dyDescent="0.2">
      <c r="A199" s="8">
        <v>98.5</v>
      </c>
      <c r="B199" s="8">
        <v>197</v>
      </c>
      <c r="D199">
        <v>1396.0945426594999</v>
      </c>
      <c r="E199">
        <v>538.20215219062004</v>
      </c>
      <c r="F199">
        <v>158.56269349844999</v>
      </c>
      <c r="G199">
        <v>127.27321981423999</v>
      </c>
      <c r="I199" s="9">
        <f t="shared" si="22"/>
        <v>410.92893237638003</v>
      </c>
      <c r="J199" s="9">
        <f t="shared" si="23"/>
        <v>1237.5318491610499</v>
      </c>
      <c r="K199" s="9">
        <f t="shared" si="24"/>
        <v>410.92893237638003</v>
      </c>
      <c r="L199" s="10">
        <f t="shared" si="21"/>
        <v>0.33205523773384726</v>
      </c>
      <c r="M199" s="10">
        <f t="shared" si="20"/>
        <v>0.35551265074221855</v>
      </c>
      <c r="P199" s="8">
        <f t="shared" si="25"/>
        <v>24.406213956652685</v>
      </c>
    </row>
    <row r="200" spans="1:16" x14ac:dyDescent="0.2">
      <c r="A200" s="8">
        <v>99</v>
      </c>
      <c r="B200" s="8">
        <v>198</v>
      </c>
      <c r="D200">
        <v>1350.3289777094999</v>
      </c>
      <c r="E200">
        <v>514.72252113758998</v>
      </c>
      <c r="F200">
        <v>158.35990712073999</v>
      </c>
      <c r="G200">
        <v>127.42105263158</v>
      </c>
      <c r="I200" s="9">
        <f t="shared" si="22"/>
        <v>387.30146850601</v>
      </c>
      <c r="J200" s="9">
        <f t="shared" si="23"/>
        <v>1191.9690705887599</v>
      </c>
      <c r="K200" s="9">
        <f t="shared" si="24"/>
        <v>387.30146850601</v>
      </c>
      <c r="L200" s="10">
        <f t="shared" si="21"/>
        <v>0.32492577035971809</v>
      </c>
      <c r="M200" s="10">
        <f t="shared" si="20"/>
        <v>0.34850225653056843</v>
      </c>
      <c r="P200" s="8">
        <f t="shared" si="25"/>
        <v>21.953033738187241</v>
      </c>
    </row>
    <row r="201" spans="1:16" x14ac:dyDescent="0.2">
      <c r="A201" s="8">
        <v>99.5</v>
      </c>
      <c r="B201" s="8">
        <v>199</v>
      </c>
      <c r="D201">
        <v>1405.2551883167</v>
      </c>
      <c r="E201">
        <v>537.61875480399999</v>
      </c>
      <c r="F201">
        <v>158.39241486067999</v>
      </c>
      <c r="G201">
        <v>127.47291021672</v>
      </c>
      <c r="I201" s="9">
        <f t="shared" si="22"/>
        <v>410.14584458728001</v>
      </c>
      <c r="J201" s="9">
        <f t="shared" si="23"/>
        <v>1246.86277345602</v>
      </c>
      <c r="K201" s="9">
        <f t="shared" si="24"/>
        <v>410.14584458728001</v>
      </c>
      <c r="L201" s="10">
        <f t="shared" si="21"/>
        <v>0.32894224875320405</v>
      </c>
      <c r="M201" s="10">
        <f t="shared" si="20"/>
        <v>0.35263780808653339</v>
      </c>
      <c r="P201" s="8">
        <f t="shared" si="25"/>
        <v>23.400206744903109</v>
      </c>
    </row>
    <row r="202" spans="1:16" x14ac:dyDescent="0.2">
      <c r="A202" s="8">
        <v>100</v>
      </c>
      <c r="B202" s="8">
        <v>200</v>
      </c>
      <c r="D202">
        <v>1330.423520369</v>
      </c>
      <c r="E202">
        <v>505.53958493467002</v>
      </c>
      <c r="F202">
        <v>158.70975232198001</v>
      </c>
      <c r="G202">
        <v>127.0193498452</v>
      </c>
      <c r="I202" s="9">
        <f t="shared" si="22"/>
        <v>378.52023508947002</v>
      </c>
      <c r="J202" s="9">
        <f t="shared" si="23"/>
        <v>1171.71376804702</v>
      </c>
      <c r="K202" s="9">
        <f t="shared" si="24"/>
        <v>378.52023508947002</v>
      </c>
      <c r="L202" s="10">
        <f t="shared" si="21"/>
        <v>0.32304838042517586</v>
      </c>
      <c r="M202" s="10">
        <f t="shared" si="20"/>
        <v>0.34686301292098426</v>
      </c>
      <c r="P202" s="8">
        <f t="shared" si="25"/>
        <v>21.379405512032008</v>
      </c>
    </row>
    <row r="203" spans="1:16" x14ac:dyDescent="0.2">
      <c r="A203" s="8">
        <v>100.5</v>
      </c>
      <c r="B203" s="8">
        <v>201</v>
      </c>
      <c r="D203">
        <v>1382.9976762199999</v>
      </c>
      <c r="E203">
        <v>526.82184353214996</v>
      </c>
      <c r="F203">
        <v>158.01625386997</v>
      </c>
      <c r="G203">
        <v>127.52476780185999</v>
      </c>
      <c r="I203" s="9">
        <f t="shared" si="22"/>
        <v>399.29707573028998</v>
      </c>
      <c r="J203" s="9">
        <f t="shared" si="23"/>
        <v>1224.9814223500298</v>
      </c>
      <c r="K203" s="9">
        <f t="shared" si="24"/>
        <v>399.29707573028998</v>
      </c>
      <c r="L203" s="10">
        <f t="shared" si="21"/>
        <v>0.3259617398639974</v>
      </c>
      <c r="M203" s="10">
        <f t="shared" si="20"/>
        <v>0.34989544552228485</v>
      </c>
      <c r="P203" s="8">
        <f t="shared" si="25"/>
        <v>22.440558914643482</v>
      </c>
    </row>
    <row r="204" spans="1:16" x14ac:dyDescent="0.2">
      <c r="A204" s="8">
        <v>101</v>
      </c>
      <c r="B204" s="8">
        <v>202</v>
      </c>
      <c r="D204">
        <v>1363.4864446166</v>
      </c>
      <c r="E204">
        <v>523.43532145623999</v>
      </c>
      <c r="F204">
        <v>157.89551083590999</v>
      </c>
      <c r="G204">
        <v>126.98761609907</v>
      </c>
      <c r="I204" s="9">
        <f t="shared" si="22"/>
        <v>396.44770535716998</v>
      </c>
      <c r="J204" s="9">
        <f t="shared" si="23"/>
        <v>1205.59093378069</v>
      </c>
      <c r="K204" s="9">
        <f t="shared" si="24"/>
        <v>396.44770535716998</v>
      </c>
      <c r="L204" s="10">
        <f t="shared" si="21"/>
        <v>0.32884098100665388</v>
      </c>
      <c r="M204" s="10">
        <f t="shared" si="20"/>
        <v>0.35289375982742038</v>
      </c>
      <c r="P204" s="8">
        <f t="shared" si="25"/>
        <v>23.489773141409355</v>
      </c>
    </row>
    <row r="205" spans="1:16" x14ac:dyDescent="0.2">
      <c r="A205" s="8">
        <v>101.5</v>
      </c>
      <c r="B205" s="8">
        <v>203</v>
      </c>
      <c r="D205">
        <v>1413.7738187452001</v>
      </c>
      <c r="E205">
        <v>547.24786986831998</v>
      </c>
      <c r="F205">
        <v>158.94659442725001</v>
      </c>
      <c r="G205">
        <v>127.30108359133</v>
      </c>
      <c r="I205" s="9">
        <f t="shared" si="22"/>
        <v>419.94678627699</v>
      </c>
      <c r="J205" s="9">
        <f t="shared" si="23"/>
        <v>1254.8272243179501</v>
      </c>
      <c r="K205" s="9">
        <f t="shared" si="24"/>
        <v>419.94678627699</v>
      </c>
      <c r="L205" s="10">
        <f t="shared" si="21"/>
        <v>0.33466502649816848</v>
      </c>
      <c r="M205" s="10">
        <f t="shared" si="20"/>
        <v>0.35883687848141399</v>
      </c>
      <c r="P205" s="8">
        <f t="shared" si="25"/>
        <v>25.569476604267592</v>
      </c>
    </row>
    <row r="206" spans="1:16" x14ac:dyDescent="0.2">
      <c r="A206" s="8">
        <v>102</v>
      </c>
      <c r="B206" s="8">
        <v>204</v>
      </c>
      <c r="D206">
        <v>1384.3211009173999</v>
      </c>
      <c r="E206">
        <v>531.59633027523</v>
      </c>
      <c r="F206">
        <v>158.76470588235</v>
      </c>
      <c r="G206">
        <v>127.40325077399</v>
      </c>
      <c r="I206" s="9">
        <f t="shared" si="22"/>
        <v>404.19307950123999</v>
      </c>
      <c r="J206" s="9">
        <f t="shared" si="23"/>
        <v>1225.5563950350499</v>
      </c>
      <c r="K206" s="9">
        <f t="shared" si="24"/>
        <v>404.19307950123999</v>
      </c>
      <c r="L206" s="10">
        <f t="shared" si="21"/>
        <v>0.32980373741975405</v>
      </c>
      <c r="M206" s="10">
        <f t="shared" si="20"/>
        <v>0.35409466256547861</v>
      </c>
      <c r="P206" s="8">
        <f t="shared" si="25"/>
        <v>23.91001068474317</v>
      </c>
    </row>
    <row r="207" spans="1:16" x14ac:dyDescent="0.2">
      <c r="A207" s="8">
        <v>102.5</v>
      </c>
      <c r="B207" s="8">
        <v>205</v>
      </c>
      <c r="D207">
        <v>1337.6980122324001</v>
      </c>
      <c r="E207">
        <v>515.17889908256996</v>
      </c>
      <c r="F207">
        <v>158.66176470587999</v>
      </c>
      <c r="G207">
        <v>127.31191950464</v>
      </c>
      <c r="I207" s="9">
        <f t="shared" si="22"/>
        <v>387.86697957792995</v>
      </c>
      <c r="J207" s="9">
        <f t="shared" si="23"/>
        <v>1179.0362475265201</v>
      </c>
      <c r="K207" s="9">
        <f t="shared" si="24"/>
        <v>387.86697957792995</v>
      </c>
      <c r="L207" s="10">
        <f t="shared" si="21"/>
        <v>0.32896951250788892</v>
      </c>
      <c r="M207" s="10">
        <f t="shared" si="20"/>
        <v>0.35337951081609253</v>
      </c>
      <c r="P207" s="8">
        <f t="shared" si="25"/>
        <v>23.659754269507722</v>
      </c>
    </row>
    <row r="208" spans="1:16" x14ac:dyDescent="0.2">
      <c r="A208" s="8">
        <v>103</v>
      </c>
      <c r="B208" s="8">
        <v>206</v>
      </c>
      <c r="D208">
        <v>1352.5569136746001</v>
      </c>
      <c r="E208">
        <v>526.44537815126</v>
      </c>
      <c r="F208">
        <v>158.56037151703001</v>
      </c>
      <c r="G208">
        <v>127.25619195046001</v>
      </c>
      <c r="I208" s="9">
        <f t="shared" si="22"/>
        <v>399.18918620080001</v>
      </c>
      <c r="J208" s="9">
        <f t="shared" si="23"/>
        <v>1193.99654215757</v>
      </c>
      <c r="K208" s="9">
        <f t="shared" si="24"/>
        <v>399.18918620080001</v>
      </c>
      <c r="L208" s="10">
        <f t="shared" si="21"/>
        <v>0.33433026990133408</v>
      </c>
      <c r="M208" s="10">
        <f t="shared" si="20"/>
        <v>0.35885934137201675</v>
      </c>
      <c r="P208" s="8">
        <f t="shared" si="25"/>
        <v>25.577337149225915</v>
      </c>
    </row>
    <row r="209" spans="1:16" x14ac:dyDescent="0.2">
      <c r="A209" s="8">
        <v>103.5</v>
      </c>
      <c r="B209" s="8">
        <v>207</v>
      </c>
      <c r="D209">
        <v>1349.4401544402001</v>
      </c>
      <c r="E209">
        <v>532.56525096525002</v>
      </c>
      <c r="F209">
        <v>158.34984520123999</v>
      </c>
      <c r="G209">
        <v>127.66795665635</v>
      </c>
      <c r="I209" s="9">
        <f t="shared" si="22"/>
        <v>404.89729430890003</v>
      </c>
      <c r="J209" s="9">
        <f t="shared" si="23"/>
        <v>1191.0903092389601</v>
      </c>
      <c r="K209" s="9">
        <f t="shared" si="24"/>
        <v>404.89729430890003</v>
      </c>
      <c r="L209" s="10">
        <f t="shared" si="21"/>
        <v>0.33993836669497102</v>
      </c>
      <c r="M209" s="10">
        <f t="shared" si="20"/>
        <v>0.36458651132813269</v>
      </c>
      <c r="P209" s="8">
        <f t="shared" si="25"/>
        <v>27.581472668564444</v>
      </c>
    </row>
    <row r="210" spans="1:16" x14ac:dyDescent="0.2">
      <c r="A210" s="8">
        <v>104</v>
      </c>
      <c r="B210" s="8">
        <v>208</v>
      </c>
      <c r="D210">
        <v>1327.7306501548001</v>
      </c>
      <c r="E210">
        <v>523.52399380805002</v>
      </c>
      <c r="F210">
        <v>158.33668730650001</v>
      </c>
      <c r="G210">
        <v>127.26625386997</v>
      </c>
      <c r="I210" s="9">
        <f t="shared" si="22"/>
        <v>396.25773993808002</v>
      </c>
      <c r="J210" s="9">
        <f t="shared" si="23"/>
        <v>1169.3939628483001</v>
      </c>
      <c r="K210" s="9">
        <f t="shared" si="24"/>
        <v>396.25773993808002</v>
      </c>
      <c r="L210" s="10">
        <f t="shared" si="21"/>
        <v>0.33885735049710075</v>
      </c>
      <c r="M210" s="10">
        <f t="shared" si="20"/>
        <v>0.36362456829274148</v>
      </c>
      <c r="P210" s="8">
        <f t="shared" si="25"/>
        <v>27.244855417883919</v>
      </c>
    </row>
    <row r="211" spans="1:16" x14ac:dyDescent="0.2">
      <c r="A211" s="8">
        <v>104.5</v>
      </c>
      <c r="B211" s="8">
        <v>209</v>
      </c>
      <c r="D211">
        <v>1303.8944146900999</v>
      </c>
      <c r="E211">
        <v>517.58607498086997</v>
      </c>
      <c r="F211">
        <v>158.96517027863999</v>
      </c>
      <c r="G211">
        <v>127.48374613003</v>
      </c>
      <c r="I211" s="9">
        <f t="shared" si="22"/>
        <v>390.10232885083997</v>
      </c>
      <c r="J211" s="9">
        <f t="shared" si="23"/>
        <v>1144.9292444114599</v>
      </c>
      <c r="K211" s="9">
        <f t="shared" si="24"/>
        <v>390.10232885083997</v>
      </c>
      <c r="L211" s="10">
        <f t="shared" si="21"/>
        <v>0.34072177888282379</v>
      </c>
      <c r="M211" s="10">
        <f t="shared" si="20"/>
        <v>0.36560806984094357</v>
      </c>
      <c r="P211" s="8">
        <f t="shared" si="25"/>
        <v>27.93895144364787</v>
      </c>
    </row>
    <row r="212" spans="1:16" x14ac:dyDescent="0.2">
      <c r="A212" s="8">
        <v>105</v>
      </c>
      <c r="B212" s="8">
        <v>210</v>
      </c>
      <c r="D212">
        <v>1344.4907975460001</v>
      </c>
      <c r="E212">
        <v>528.86963190183997</v>
      </c>
      <c r="F212">
        <v>158.63544891641001</v>
      </c>
      <c r="G212">
        <v>127.27399380804999</v>
      </c>
      <c r="I212" s="9">
        <f t="shared" si="22"/>
        <v>401.59563809378994</v>
      </c>
      <c r="J212" s="9">
        <f t="shared" si="23"/>
        <v>1185.85534862959</v>
      </c>
      <c r="K212" s="9">
        <f t="shared" si="24"/>
        <v>401.59563809378994</v>
      </c>
      <c r="L212" s="10">
        <f t="shared" si="21"/>
        <v>0.33865482713206624</v>
      </c>
      <c r="M212" s="10">
        <f t="shared" si="20"/>
        <v>0.36366019125266508</v>
      </c>
      <c r="P212" s="8">
        <f t="shared" si="25"/>
        <v>27.257321127795432</v>
      </c>
    </row>
    <row r="213" spans="1:16" x14ac:dyDescent="0.2">
      <c r="A213" s="8">
        <v>105.5</v>
      </c>
      <c r="B213" s="8">
        <v>211</v>
      </c>
      <c r="D213">
        <v>1387.0759202454001</v>
      </c>
      <c r="E213">
        <v>547.27223926379997</v>
      </c>
      <c r="F213">
        <v>158.02554179566999</v>
      </c>
      <c r="G213">
        <v>127.24458204334</v>
      </c>
      <c r="I213" s="9">
        <f t="shared" si="22"/>
        <v>420.02765722045996</v>
      </c>
      <c r="J213" s="9">
        <f t="shared" si="23"/>
        <v>1229.05037844973</v>
      </c>
      <c r="K213" s="9">
        <f t="shared" si="24"/>
        <v>420.02765722045996</v>
      </c>
      <c r="L213" s="10">
        <f t="shared" si="21"/>
        <v>0.341749748086213</v>
      </c>
      <c r="M213" s="10">
        <f t="shared" si="20"/>
        <v>0.36687418536929084</v>
      </c>
      <c r="P213" s="8">
        <f t="shared" si="25"/>
        <v>28.382009205402802</v>
      </c>
    </row>
    <row r="214" spans="1:16" x14ac:dyDescent="0.2">
      <c r="A214" s="8">
        <v>106</v>
      </c>
      <c r="B214" s="8">
        <v>212</v>
      </c>
      <c r="D214">
        <v>1408.9800613497</v>
      </c>
      <c r="E214">
        <v>560.52760736196001</v>
      </c>
      <c r="F214">
        <v>158.62229102167001</v>
      </c>
      <c r="G214">
        <v>127.6927244582</v>
      </c>
      <c r="I214" s="9">
        <f t="shared" si="22"/>
        <v>432.83488290375999</v>
      </c>
      <c r="J214" s="9">
        <f t="shared" si="23"/>
        <v>1250.35777032803</v>
      </c>
      <c r="K214" s="9">
        <f t="shared" si="24"/>
        <v>432.83488290375999</v>
      </c>
      <c r="L214" s="10">
        <f t="shared" si="21"/>
        <v>0.3461688271751262</v>
      </c>
      <c r="M214" s="10">
        <f t="shared" si="20"/>
        <v>0.3714123376206831</v>
      </c>
      <c r="P214" s="8">
        <f t="shared" si="25"/>
        <v>29.970066167021141</v>
      </c>
    </row>
    <row r="215" spans="1:16" x14ac:dyDescent="0.2">
      <c r="A215" s="8">
        <v>106.5</v>
      </c>
      <c r="B215" s="8">
        <v>213</v>
      </c>
      <c r="D215">
        <v>1400.9846625767</v>
      </c>
      <c r="E215">
        <v>550.47162576687003</v>
      </c>
      <c r="F215">
        <v>158.35990712073999</v>
      </c>
      <c r="G215">
        <v>127.25928792569999</v>
      </c>
      <c r="I215" s="9">
        <f t="shared" si="22"/>
        <v>423.21233784117004</v>
      </c>
      <c r="J215" s="9">
        <f t="shared" si="23"/>
        <v>1242.62475545596</v>
      </c>
      <c r="K215" s="9">
        <f t="shared" si="24"/>
        <v>423.21233784117004</v>
      </c>
      <c r="L215" s="10">
        <f t="shared" si="21"/>
        <v>0.34057935509733145</v>
      </c>
      <c r="M215" s="10">
        <f t="shared" si="20"/>
        <v>0.3659419387053674</v>
      </c>
      <c r="P215" s="8">
        <f t="shared" si="25"/>
        <v>28.055783745660921</v>
      </c>
    </row>
    <row r="216" spans="1:16" x14ac:dyDescent="0.2">
      <c r="A216" s="8">
        <v>107</v>
      </c>
      <c r="B216" s="8">
        <v>214</v>
      </c>
      <c r="D216">
        <v>1382.6633358955</v>
      </c>
      <c r="E216">
        <v>541.54880860876005</v>
      </c>
      <c r="F216">
        <v>158.72368421053</v>
      </c>
      <c r="G216">
        <v>126.8846749226</v>
      </c>
      <c r="I216" s="9">
        <f t="shared" si="22"/>
        <v>414.66413368616008</v>
      </c>
      <c r="J216" s="9">
        <f t="shared" si="23"/>
        <v>1223.9396516849702</v>
      </c>
      <c r="K216" s="9">
        <f t="shared" si="24"/>
        <v>414.66413368616008</v>
      </c>
      <c r="L216" s="10">
        <f t="shared" si="21"/>
        <v>0.33879459098763676</v>
      </c>
      <c r="M216" s="10">
        <f t="shared" si="20"/>
        <v>0.36427624775815176</v>
      </c>
      <c r="P216" s="8">
        <f t="shared" si="25"/>
        <v>27.472900678258561</v>
      </c>
    </row>
    <row r="217" spans="1:16" x14ac:dyDescent="0.2">
      <c r="A217" s="8">
        <v>107.5</v>
      </c>
      <c r="B217" s="8">
        <v>215</v>
      </c>
      <c r="D217">
        <v>1354.8964723925999</v>
      </c>
      <c r="E217">
        <v>530.53680981595005</v>
      </c>
      <c r="F217">
        <v>158.56656346749</v>
      </c>
      <c r="G217">
        <v>127.48761609907</v>
      </c>
      <c r="I217" s="9">
        <f t="shared" si="22"/>
        <v>403.04919371688004</v>
      </c>
      <c r="J217" s="9">
        <f t="shared" si="23"/>
        <v>1196.32990892511</v>
      </c>
      <c r="K217" s="9">
        <f t="shared" si="24"/>
        <v>403.04919371688004</v>
      </c>
      <c r="L217" s="10">
        <f t="shared" si="21"/>
        <v>0.33690472060421489</v>
      </c>
      <c r="M217" s="10">
        <f t="shared" si="20"/>
        <v>0.3625054505372089</v>
      </c>
      <c r="P217" s="8">
        <f t="shared" si="25"/>
        <v>26.853237278144558</v>
      </c>
    </row>
    <row r="218" spans="1:16" x14ac:dyDescent="0.2">
      <c r="A218" s="8">
        <v>108</v>
      </c>
      <c r="B218" s="8">
        <v>216</v>
      </c>
      <c r="D218">
        <v>1322.2259059368</v>
      </c>
      <c r="E218">
        <v>521.36854279106001</v>
      </c>
      <c r="F218">
        <v>158.11609907120999</v>
      </c>
      <c r="G218">
        <v>126.97445820433001</v>
      </c>
      <c r="I218" s="9">
        <f t="shared" si="22"/>
        <v>394.39408458673</v>
      </c>
      <c r="J218" s="9">
        <f t="shared" si="23"/>
        <v>1164.1098068655901</v>
      </c>
      <c r="K218" s="9">
        <f t="shared" si="24"/>
        <v>394.39408458673</v>
      </c>
      <c r="L218" s="10">
        <f t="shared" si="21"/>
        <v>0.33879457269469371</v>
      </c>
      <c r="M218" s="10">
        <f t="shared" si="20"/>
        <v>0.36451437579016677</v>
      </c>
      <c r="P218" s="8">
        <f t="shared" si="25"/>
        <v>27.556229940488997</v>
      </c>
    </row>
    <row r="219" spans="1:16" x14ac:dyDescent="0.2">
      <c r="A219" s="8">
        <v>108.5</v>
      </c>
      <c r="B219" s="8">
        <v>217</v>
      </c>
      <c r="D219">
        <v>1370.4741711642</v>
      </c>
      <c r="E219">
        <v>537.56592135697997</v>
      </c>
      <c r="F219">
        <v>158.41640866873001</v>
      </c>
      <c r="G219">
        <v>127.12770897833001</v>
      </c>
      <c r="I219" s="9">
        <f t="shared" si="22"/>
        <v>410.43821237864995</v>
      </c>
      <c r="J219" s="9">
        <f t="shared" si="23"/>
        <v>1212.0577624954699</v>
      </c>
      <c r="K219" s="9">
        <f t="shared" si="24"/>
        <v>410.43821237864995</v>
      </c>
      <c r="L219" s="10">
        <f t="shared" si="21"/>
        <v>0.33862925107926445</v>
      </c>
      <c r="M219" s="10">
        <f t="shared" si="20"/>
        <v>0.36446812733721656</v>
      </c>
      <c r="P219" s="8">
        <f t="shared" si="25"/>
        <v>27.540046001827811</v>
      </c>
    </row>
    <row r="220" spans="1:16" x14ac:dyDescent="0.2">
      <c r="A220" s="8">
        <v>109</v>
      </c>
      <c r="B220" s="8">
        <v>218</v>
      </c>
      <c r="D220">
        <v>1388</v>
      </c>
      <c r="E220">
        <v>540.11719352351997</v>
      </c>
      <c r="F220">
        <v>158.29566563468001</v>
      </c>
      <c r="G220">
        <v>127.02321981423999</v>
      </c>
      <c r="I220" s="9">
        <f t="shared" si="22"/>
        <v>413.09397370927996</v>
      </c>
      <c r="J220" s="9">
        <f t="shared" si="23"/>
        <v>1229.7043343653199</v>
      </c>
      <c r="K220" s="9">
        <f t="shared" si="24"/>
        <v>413.09397370927996</v>
      </c>
      <c r="L220" s="10">
        <f t="shared" si="21"/>
        <v>0.33592950936656468</v>
      </c>
      <c r="M220" s="10">
        <f t="shared" si="20"/>
        <v>0.36188745878699585</v>
      </c>
      <c r="P220" s="8">
        <f t="shared" si="25"/>
        <v>26.636980518392299</v>
      </c>
    </row>
    <row r="221" spans="1:16" x14ac:dyDescent="0.2">
      <c r="A221" s="8">
        <v>109.5</v>
      </c>
      <c r="B221" s="8">
        <v>219</v>
      </c>
      <c r="D221">
        <v>1402.4973014648999</v>
      </c>
      <c r="E221">
        <v>539.0200462606</v>
      </c>
      <c r="F221">
        <v>158.28637770898001</v>
      </c>
      <c r="G221">
        <v>126.63235294118</v>
      </c>
      <c r="I221" s="9">
        <f t="shared" si="22"/>
        <v>412.38769331942001</v>
      </c>
      <c r="J221" s="9">
        <f t="shared" si="23"/>
        <v>1244.2109237559198</v>
      </c>
      <c r="K221" s="9">
        <f t="shared" si="24"/>
        <v>412.38769331942001</v>
      </c>
      <c r="L221" s="10">
        <f t="shared" si="21"/>
        <v>0.33144516371431504</v>
      </c>
      <c r="M221" s="10">
        <f t="shared" si="20"/>
        <v>0.35752218629722521</v>
      </c>
      <c r="P221" s="8">
        <f t="shared" si="25"/>
        <v>25.109420184863485</v>
      </c>
    </row>
    <row r="222" spans="1:16" x14ac:dyDescent="0.2">
      <c r="A222" s="8">
        <v>110</v>
      </c>
      <c r="B222" s="8">
        <v>220</v>
      </c>
      <c r="D222">
        <v>1403.1110254432999</v>
      </c>
      <c r="E222">
        <v>538.96761757903005</v>
      </c>
      <c r="F222">
        <v>158.37770897832999</v>
      </c>
      <c r="G222">
        <v>127.17879256966</v>
      </c>
      <c r="I222" s="9">
        <f t="shared" si="22"/>
        <v>411.78882500937004</v>
      </c>
      <c r="J222" s="9">
        <f t="shared" si="23"/>
        <v>1244.7333164649699</v>
      </c>
      <c r="K222" s="9">
        <f t="shared" si="24"/>
        <v>411.78882500937004</v>
      </c>
      <c r="L222" s="10">
        <f t="shared" si="21"/>
        <v>0.33082494022000325</v>
      </c>
      <c r="M222" s="10">
        <f t="shared" si="20"/>
        <v>0.35702103596539247</v>
      </c>
      <c r="P222" s="8">
        <f t="shared" si="25"/>
        <v>24.934050292185212</v>
      </c>
    </row>
    <row r="223" spans="1:16" x14ac:dyDescent="0.2">
      <c r="A223" s="8">
        <v>110.5</v>
      </c>
      <c r="B223" s="8">
        <v>221</v>
      </c>
      <c r="D223">
        <v>1341.8465690053999</v>
      </c>
      <c r="E223">
        <v>509.31765612953001</v>
      </c>
      <c r="F223">
        <v>158.31424148606999</v>
      </c>
      <c r="G223">
        <v>127.15789473684001</v>
      </c>
      <c r="I223" s="9">
        <f t="shared" si="22"/>
        <v>382.15976139269003</v>
      </c>
      <c r="J223" s="9">
        <f t="shared" si="23"/>
        <v>1183.53232751933</v>
      </c>
      <c r="K223" s="9">
        <f t="shared" si="24"/>
        <v>382.15976139269003</v>
      </c>
      <c r="L223" s="10">
        <f t="shared" si="21"/>
        <v>0.32289761124961619</v>
      </c>
      <c r="M223" s="10">
        <f t="shared" si="20"/>
        <v>0.34921278015748447</v>
      </c>
      <c r="P223" s="8">
        <f t="shared" si="25"/>
        <v>22.201670612759301</v>
      </c>
    </row>
    <row r="224" spans="1:16" x14ac:dyDescent="0.2">
      <c r="A224" s="8">
        <v>111</v>
      </c>
      <c r="B224" s="8">
        <v>222</v>
      </c>
      <c r="D224">
        <v>1339.4334365325001</v>
      </c>
      <c r="E224">
        <v>504.96284829720997</v>
      </c>
      <c r="F224">
        <v>157.80185758514</v>
      </c>
      <c r="G224">
        <v>127.03482972136</v>
      </c>
      <c r="I224" s="9">
        <f t="shared" si="22"/>
        <v>377.92801857584999</v>
      </c>
      <c r="J224" s="9">
        <f t="shared" si="23"/>
        <v>1181.6315789473601</v>
      </c>
      <c r="K224" s="9">
        <f t="shared" si="24"/>
        <v>377.92801857584999</v>
      </c>
      <c r="L224" s="10">
        <f t="shared" si="21"/>
        <v>0.31983574686834437</v>
      </c>
      <c r="M224" s="10">
        <f t="shared" si="20"/>
        <v>0.34626998893869171</v>
      </c>
      <c r="P224" s="8">
        <f t="shared" si="25"/>
        <v>21.171885840739048</v>
      </c>
    </row>
    <row r="225" spans="1:16" x14ac:dyDescent="0.2">
      <c r="A225" s="8">
        <v>111.5</v>
      </c>
      <c r="B225" s="8">
        <v>223</v>
      </c>
      <c r="D225">
        <v>1300.0161042945001</v>
      </c>
      <c r="E225">
        <v>490.79984662576999</v>
      </c>
      <c r="F225">
        <v>158.71130030960001</v>
      </c>
      <c r="G225">
        <v>127.22523219814001</v>
      </c>
      <c r="I225" s="9">
        <f t="shared" si="22"/>
        <v>363.57461442762997</v>
      </c>
      <c r="J225" s="9">
        <f t="shared" si="23"/>
        <v>1141.3048039849</v>
      </c>
      <c r="K225" s="9">
        <f t="shared" si="24"/>
        <v>363.57461442762997</v>
      </c>
      <c r="L225" s="10">
        <f t="shared" si="21"/>
        <v>0.31856048722321878</v>
      </c>
      <c r="M225" s="10">
        <f t="shared" si="20"/>
        <v>0.34511380245604517</v>
      </c>
      <c r="P225" s="8">
        <f t="shared" si="25"/>
        <v>20.767296066975383</v>
      </c>
    </row>
    <row r="226" spans="1:16" x14ac:dyDescent="0.2">
      <c r="A226" s="8">
        <v>112</v>
      </c>
      <c r="B226" s="8">
        <v>224</v>
      </c>
      <c r="D226">
        <v>1303.2544061302999</v>
      </c>
      <c r="E226">
        <v>493.20076628353002</v>
      </c>
      <c r="F226">
        <v>158.52089783282</v>
      </c>
      <c r="G226">
        <v>126.93885448915999</v>
      </c>
      <c r="I226" s="9">
        <f t="shared" si="22"/>
        <v>366.26191179437001</v>
      </c>
      <c r="J226" s="9">
        <f t="shared" si="23"/>
        <v>1144.7335082974798</v>
      </c>
      <c r="K226" s="9">
        <f t="shared" si="24"/>
        <v>366.26191179437001</v>
      </c>
      <c r="L226" s="10">
        <f t="shared" si="21"/>
        <v>0.31995386624009803</v>
      </c>
      <c r="M226" s="10">
        <f t="shared" si="20"/>
        <v>0.34662625463540342</v>
      </c>
      <c r="P226" s="8">
        <f t="shared" si="25"/>
        <v>21.296555571613606</v>
      </c>
    </row>
    <row r="227" spans="1:16" x14ac:dyDescent="0.2">
      <c r="A227" s="8">
        <v>112.5</v>
      </c>
      <c r="B227" s="8">
        <v>225</v>
      </c>
      <c r="D227">
        <v>1322.5069551777001</v>
      </c>
      <c r="E227">
        <v>493.24806800618001</v>
      </c>
      <c r="F227">
        <v>157.70123839009</v>
      </c>
      <c r="G227">
        <v>127.24148606811001</v>
      </c>
      <c r="I227" s="9">
        <f t="shared" si="22"/>
        <v>366.00658193806998</v>
      </c>
      <c r="J227" s="9">
        <f t="shared" si="23"/>
        <v>1164.80571678761</v>
      </c>
      <c r="K227" s="9">
        <f t="shared" si="24"/>
        <v>366.00658193806998</v>
      </c>
      <c r="L227" s="10">
        <f t="shared" si="21"/>
        <v>0.31422114148569846</v>
      </c>
      <c r="M227" s="10">
        <f t="shared" si="20"/>
        <v>0.34101260304348291</v>
      </c>
      <c r="P227" s="8">
        <f t="shared" si="25"/>
        <v>19.332144067368837</v>
      </c>
    </row>
    <row r="228" spans="1:16" x14ac:dyDescent="0.2">
      <c r="A228" s="8">
        <v>113</v>
      </c>
      <c r="B228" s="8">
        <v>226</v>
      </c>
      <c r="D228">
        <v>1348.2615030674999</v>
      </c>
      <c r="E228">
        <v>498.67177914109999</v>
      </c>
      <c r="F228">
        <v>158.07585139318999</v>
      </c>
      <c r="G228">
        <v>127.42414860680999</v>
      </c>
      <c r="I228" s="9">
        <f t="shared" si="22"/>
        <v>371.24763053429001</v>
      </c>
      <c r="J228" s="9">
        <f t="shared" si="23"/>
        <v>1190.1856516743098</v>
      </c>
      <c r="K228" s="9">
        <f t="shared" si="24"/>
        <v>371.24763053429001</v>
      </c>
      <c r="L228" s="10">
        <f t="shared" si="21"/>
        <v>0.31192413554308301</v>
      </c>
      <c r="M228" s="10">
        <f t="shared" si="20"/>
        <v>0.33883467026334652</v>
      </c>
      <c r="P228" s="8">
        <f t="shared" si="25"/>
        <v>18.570009806145823</v>
      </c>
    </row>
    <row r="229" spans="1:16" x14ac:dyDescent="0.2">
      <c r="A229" s="8">
        <v>113.5</v>
      </c>
      <c r="B229" s="8">
        <v>227</v>
      </c>
      <c r="D229">
        <v>1401.8075153374</v>
      </c>
      <c r="E229">
        <v>523.62653374233003</v>
      </c>
      <c r="F229">
        <v>158.05804953559999</v>
      </c>
      <c r="G229">
        <v>127.07894736842</v>
      </c>
      <c r="I229" s="9">
        <f t="shared" si="22"/>
        <v>396.54758637391001</v>
      </c>
      <c r="J229" s="9">
        <f t="shared" si="23"/>
        <v>1243.7494658017999</v>
      </c>
      <c r="K229" s="9">
        <f t="shared" si="24"/>
        <v>396.54758637391001</v>
      </c>
      <c r="L229" s="10">
        <f t="shared" si="21"/>
        <v>0.31883236719082347</v>
      </c>
      <c r="M229" s="10">
        <f t="shared" si="20"/>
        <v>0.34586197507356603</v>
      </c>
      <c r="P229" s="8">
        <f t="shared" si="25"/>
        <v>21.02910762990426</v>
      </c>
    </row>
    <row r="230" spans="1:16" x14ac:dyDescent="0.2">
      <c r="A230" s="8">
        <v>114</v>
      </c>
      <c r="B230" s="8">
        <v>228</v>
      </c>
      <c r="D230">
        <v>1370.1531393568</v>
      </c>
      <c r="E230">
        <v>500.50306278713998</v>
      </c>
      <c r="F230">
        <v>158.08513931888999</v>
      </c>
      <c r="G230">
        <v>127.16640866873</v>
      </c>
      <c r="I230" s="9">
        <f t="shared" si="22"/>
        <v>373.33665411840997</v>
      </c>
      <c r="J230" s="9">
        <f t="shared" si="23"/>
        <v>1212.06800003791</v>
      </c>
      <c r="K230" s="9">
        <f t="shared" si="24"/>
        <v>373.33665411840997</v>
      </c>
      <c r="L230" s="10">
        <f t="shared" si="21"/>
        <v>0.3080162615519369</v>
      </c>
      <c r="M230" s="10">
        <f t="shared" si="20"/>
        <v>0.33516494259715846</v>
      </c>
      <c r="P230" s="8">
        <f t="shared" si="25"/>
        <v>17.285844744088795</v>
      </c>
    </row>
    <row r="231" spans="1:16" x14ac:dyDescent="0.2">
      <c r="A231" s="8">
        <v>114.5</v>
      </c>
      <c r="B231" s="8">
        <v>229</v>
      </c>
      <c r="D231">
        <v>1385.2396630933999</v>
      </c>
      <c r="E231">
        <v>504.88973966308998</v>
      </c>
      <c r="F231">
        <v>157.73684210526</v>
      </c>
      <c r="G231">
        <v>127.20665634674999</v>
      </c>
      <c r="I231" s="9">
        <f t="shared" si="22"/>
        <v>377.68308331634</v>
      </c>
      <c r="J231" s="9">
        <f t="shared" si="23"/>
        <v>1227.50282098814</v>
      </c>
      <c r="K231" s="9">
        <f t="shared" si="24"/>
        <v>377.68308331634</v>
      </c>
      <c r="L231" s="10">
        <f t="shared" si="21"/>
        <v>0.30768408581929374</v>
      </c>
      <c r="M231" s="10">
        <f t="shared" si="20"/>
        <v>0.33495184002699435</v>
      </c>
      <c r="P231" s="8">
        <f t="shared" si="25"/>
        <v>17.211272759426084</v>
      </c>
    </row>
    <row r="232" spans="1:16" x14ac:dyDescent="0.2">
      <c r="A232" s="8">
        <v>115</v>
      </c>
      <c r="B232" s="8">
        <v>230</v>
      </c>
      <c r="D232">
        <v>1325.7020123839</v>
      </c>
      <c r="E232">
        <v>484.96594427244997</v>
      </c>
      <c r="F232">
        <v>157.71207430340999</v>
      </c>
      <c r="G232">
        <v>127.03173374613</v>
      </c>
      <c r="I232" s="9">
        <f t="shared" si="22"/>
        <v>357.93421052631999</v>
      </c>
      <c r="J232" s="9">
        <f t="shared" si="23"/>
        <v>1167.98993808049</v>
      </c>
      <c r="K232" s="9">
        <f t="shared" si="24"/>
        <v>357.93421052631999</v>
      </c>
      <c r="L232" s="10">
        <f t="shared" si="21"/>
        <v>0.30645316269980877</v>
      </c>
      <c r="M232" s="10">
        <f t="shared" si="20"/>
        <v>0.33383999006998843</v>
      </c>
      <c r="P232" s="8">
        <f t="shared" si="25"/>
        <v>16.822197874607799</v>
      </c>
    </row>
    <row r="233" spans="1:16" x14ac:dyDescent="0.2">
      <c r="A233" s="8">
        <v>115.5</v>
      </c>
      <c r="B233" s="8">
        <v>231</v>
      </c>
      <c r="D233">
        <v>1331.8328173375</v>
      </c>
      <c r="E233">
        <v>486.19891640867002</v>
      </c>
      <c r="F233">
        <v>158.03637770898001</v>
      </c>
      <c r="G233">
        <v>127.08436532508</v>
      </c>
      <c r="I233" s="9">
        <f t="shared" si="22"/>
        <v>359.11455108359002</v>
      </c>
      <c r="J233" s="9">
        <f t="shared" si="23"/>
        <v>1173.7964396285201</v>
      </c>
      <c r="K233" s="9">
        <f t="shared" si="24"/>
        <v>359.11455108359002</v>
      </c>
      <c r="L233" s="10">
        <f t="shared" si="21"/>
        <v>0.30594278442115702</v>
      </c>
      <c r="M233" s="10">
        <f t="shared" si="20"/>
        <v>0.33344868495381574</v>
      </c>
      <c r="P233" s="8">
        <f t="shared" si="25"/>
        <v>16.685266634880382</v>
      </c>
    </row>
    <row r="234" spans="1:16" x14ac:dyDescent="0.2">
      <c r="A234" s="8">
        <v>116</v>
      </c>
      <c r="B234" s="8">
        <v>232</v>
      </c>
      <c r="D234">
        <v>1313.1656441718001</v>
      </c>
      <c r="E234">
        <v>473.13036809815998</v>
      </c>
      <c r="F234">
        <v>157.80882352941001</v>
      </c>
      <c r="G234">
        <v>127.11377708978</v>
      </c>
      <c r="I234" s="9">
        <f t="shared" si="22"/>
        <v>346.01659100837998</v>
      </c>
      <c r="J234" s="9">
        <f t="shared" si="23"/>
        <v>1155.3568206423902</v>
      </c>
      <c r="K234" s="9">
        <f t="shared" si="24"/>
        <v>346.01659100837998</v>
      </c>
      <c r="L234" s="10">
        <f t="shared" si="21"/>
        <v>0.29948894127442915</v>
      </c>
      <c r="M234" s="10">
        <f t="shared" si="20"/>
        <v>0.32711391496956688</v>
      </c>
      <c r="P234" s="8">
        <f t="shared" si="25"/>
        <v>14.468510779972462</v>
      </c>
    </row>
    <row r="235" spans="1:16" x14ac:dyDescent="0.2">
      <c r="A235" s="8">
        <v>116.5</v>
      </c>
      <c r="B235" s="8">
        <v>233</v>
      </c>
      <c r="D235">
        <v>1294.2384969325001</v>
      </c>
      <c r="E235">
        <v>464.63266871166002</v>
      </c>
      <c r="F235">
        <v>157.71207430340999</v>
      </c>
      <c r="G235">
        <v>127.06965944272</v>
      </c>
      <c r="I235" s="9">
        <f t="shared" si="22"/>
        <v>337.56300926894005</v>
      </c>
      <c r="J235" s="9">
        <f t="shared" si="23"/>
        <v>1136.5264226290901</v>
      </c>
      <c r="K235" s="9">
        <f t="shared" si="24"/>
        <v>337.56300926894005</v>
      </c>
      <c r="L235" s="10">
        <f t="shared" si="21"/>
        <v>0.29701290049030832</v>
      </c>
      <c r="M235" s="10">
        <f t="shared" si="20"/>
        <v>0.3247569473479251</v>
      </c>
      <c r="P235" s="8">
        <f t="shared" si="25"/>
        <v>13.643726014607013</v>
      </c>
    </row>
    <row r="236" spans="1:16" x14ac:dyDescent="0.2">
      <c r="A236" s="8">
        <v>117</v>
      </c>
      <c r="B236" s="8">
        <v>234</v>
      </c>
      <c r="D236">
        <v>1388.4688221709</v>
      </c>
      <c r="E236">
        <v>492.20092378752997</v>
      </c>
      <c r="F236">
        <v>158.00077399380999</v>
      </c>
      <c r="G236">
        <v>127.05417956655999</v>
      </c>
      <c r="I236" s="9">
        <f t="shared" si="22"/>
        <v>365.14674422096999</v>
      </c>
      <c r="J236" s="9">
        <f t="shared" si="23"/>
        <v>1230.4680481770899</v>
      </c>
      <c r="K236" s="9">
        <f t="shared" si="24"/>
        <v>365.14674422096999</v>
      </c>
      <c r="L236" s="10">
        <f t="shared" si="21"/>
        <v>0.29675434869026179</v>
      </c>
      <c r="M236" s="10">
        <f t="shared" si="20"/>
        <v>0.32461746871035763</v>
      </c>
      <c r="P236" s="8">
        <f t="shared" si="25"/>
        <v>13.594917598953241</v>
      </c>
    </row>
    <row r="237" spans="1:16" x14ac:dyDescent="0.2">
      <c r="A237" s="8">
        <v>117.5</v>
      </c>
      <c r="B237" s="8">
        <v>235</v>
      </c>
      <c r="D237">
        <v>1331.4003079291999</v>
      </c>
      <c r="E237">
        <v>476.44264819092001</v>
      </c>
      <c r="F237">
        <v>158.54411764706001</v>
      </c>
      <c r="G237">
        <v>126.79566563468001</v>
      </c>
      <c r="I237" s="9">
        <f t="shared" si="22"/>
        <v>349.64698255624</v>
      </c>
      <c r="J237" s="9">
        <f t="shared" si="23"/>
        <v>1172.85619028214</v>
      </c>
      <c r="K237" s="9">
        <f t="shared" si="24"/>
        <v>349.64698255624</v>
      </c>
      <c r="L237" s="10">
        <f t="shared" si="21"/>
        <v>0.29811581799481285</v>
      </c>
      <c r="M237" s="10">
        <f t="shared" si="20"/>
        <v>0.32609801117738774</v>
      </c>
      <c r="P237" s="8">
        <f t="shared" si="25"/>
        <v>14.113010787875545</v>
      </c>
    </row>
    <row r="238" spans="1:16" x14ac:dyDescent="0.2">
      <c r="A238" s="8">
        <v>118</v>
      </c>
      <c r="B238" s="8">
        <v>236</v>
      </c>
      <c r="D238">
        <v>1302.4568567025999</v>
      </c>
      <c r="E238">
        <v>468.13482280430998</v>
      </c>
      <c r="F238">
        <v>158.08668730650001</v>
      </c>
      <c r="G238">
        <v>127.29566563468001</v>
      </c>
      <c r="I238" s="9">
        <f t="shared" si="22"/>
        <v>340.83915716962997</v>
      </c>
      <c r="J238" s="9">
        <f t="shared" si="23"/>
        <v>1144.3701693961</v>
      </c>
      <c r="K238" s="9">
        <f t="shared" si="24"/>
        <v>340.83915716962997</v>
      </c>
      <c r="L238" s="10">
        <f t="shared" si="21"/>
        <v>0.29783995273967645</v>
      </c>
      <c r="M238" s="10">
        <f t="shared" si="20"/>
        <v>0.32594121908473034</v>
      </c>
      <c r="P238" s="8">
        <f t="shared" si="25"/>
        <v>14.058143793451791</v>
      </c>
    </row>
    <row r="239" spans="1:16" x14ac:dyDescent="0.2">
      <c r="A239" s="8">
        <v>118.5</v>
      </c>
      <c r="B239" s="8">
        <v>237</v>
      </c>
      <c r="D239">
        <v>1331.0252679938999</v>
      </c>
      <c r="E239">
        <v>466.83920367535001</v>
      </c>
      <c r="F239">
        <v>157.96207430340999</v>
      </c>
      <c r="G239">
        <v>127.38312693499</v>
      </c>
      <c r="I239" s="9">
        <f t="shared" si="22"/>
        <v>339.45607674036</v>
      </c>
      <c r="J239" s="9">
        <f t="shared" si="23"/>
        <v>1173.0631936904899</v>
      </c>
      <c r="K239" s="9">
        <f t="shared" si="24"/>
        <v>339.45607674036</v>
      </c>
      <c r="L239" s="10">
        <f t="shared" si="21"/>
        <v>0.28937578006554071</v>
      </c>
      <c r="M239" s="10">
        <f t="shared" si="20"/>
        <v>0.31759611957307365</v>
      </c>
      <c r="P239" s="8">
        <f t="shared" si="25"/>
        <v>11.137903871836448</v>
      </c>
    </row>
    <row r="240" spans="1:16" x14ac:dyDescent="0.2">
      <c r="A240" s="8">
        <v>119</v>
      </c>
      <c r="B240" s="8">
        <v>238</v>
      </c>
      <c r="D240">
        <v>1390.0685670262001</v>
      </c>
      <c r="E240">
        <v>479.96687211094002</v>
      </c>
      <c r="F240">
        <v>157.94659442725001</v>
      </c>
      <c r="G240">
        <v>127.29411764706001</v>
      </c>
      <c r="I240" s="9">
        <f t="shared" si="22"/>
        <v>352.67275446387998</v>
      </c>
      <c r="J240" s="9">
        <f t="shared" si="23"/>
        <v>1232.1219725989502</v>
      </c>
      <c r="K240" s="9">
        <f t="shared" si="24"/>
        <v>352.67275446387998</v>
      </c>
      <c r="L240" s="10">
        <f t="shared" si="21"/>
        <v>0.28623201461132719</v>
      </c>
      <c r="M240" s="10">
        <f t="shared" si="20"/>
        <v>0.31457142728133919</v>
      </c>
      <c r="P240" s="8">
        <f t="shared" si="25"/>
        <v>10.079459072156439</v>
      </c>
    </row>
    <row r="241" spans="1:16" x14ac:dyDescent="0.2">
      <c r="A241" s="8">
        <v>119.5</v>
      </c>
      <c r="B241" s="8">
        <v>239</v>
      </c>
      <c r="D241">
        <v>1410.3351309707</v>
      </c>
      <c r="E241">
        <v>483.16640986133001</v>
      </c>
      <c r="F241">
        <v>158.13157894737</v>
      </c>
      <c r="G241">
        <v>126.94659442725001</v>
      </c>
      <c r="I241" s="9">
        <f t="shared" si="22"/>
        <v>356.21981543408003</v>
      </c>
      <c r="J241" s="9">
        <f t="shared" si="23"/>
        <v>1252.2035520233301</v>
      </c>
      <c r="K241" s="9">
        <f t="shared" si="24"/>
        <v>356.21981543408003</v>
      </c>
      <c r="L241" s="10">
        <f t="shared" si="21"/>
        <v>0.28447436908998897</v>
      </c>
      <c r="M241" s="10">
        <f t="shared" si="20"/>
        <v>0.31293285492248002</v>
      </c>
      <c r="P241" s="8">
        <f t="shared" si="25"/>
        <v>9.5060657399244999</v>
      </c>
    </row>
    <row r="242" spans="1:16" x14ac:dyDescent="0.2">
      <c r="A242" s="8">
        <v>120</v>
      </c>
      <c r="B242" s="8">
        <v>240</v>
      </c>
      <c r="D242">
        <v>1369.6036725325</v>
      </c>
      <c r="E242">
        <v>465.67635807191999</v>
      </c>
      <c r="F242">
        <v>157.73839009288</v>
      </c>
      <c r="G242">
        <v>126.79024767801999</v>
      </c>
      <c r="I242" s="9">
        <f>E242-G242</f>
        <v>338.88611039390003</v>
      </c>
      <c r="J242" s="9">
        <f>D242-F242</f>
        <v>1211.8652824396199</v>
      </c>
      <c r="K242" s="9">
        <f t="shared" si="24"/>
        <v>338.88611039390003</v>
      </c>
      <c r="L242" s="10">
        <f t="shared" si="21"/>
        <v>0.27964008483821279</v>
      </c>
      <c r="M242" s="10">
        <f>L242+ABS($N$2)*A242</f>
        <v>0.30821764383318284</v>
      </c>
      <c r="O242" s="11"/>
      <c r="P242" s="8">
        <f>(M242-$O$2)/$O$2*100</f>
        <v>7.8560497463973675</v>
      </c>
    </row>
    <row r="243" spans="1:16" x14ac:dyDescent="0.2">
      <c r="A243" s="8">
        <v>120.5</v>
      </c>
      <c r="B243" s="8">
        <v>241</v>
      </c>
      <c r="D243">
        <v>1376.8258164852</v>
      </c>
      <c r="E243">
        <v>463.72317262831001</v>
      </c>
      <c r="F243">
        <v>157.82817337461</v>
      </c>
      <c r="G243">
        <v>127.20975232198001</v>
      </c>
      <c r="I243" s="9">
        <f t="shared" ref="I243:I274" si="26">E243-G243</f>
        <v>336.51342030632998</v>
      </c>
      <c r="J243" s="9">
        <f t="shared" ref="J243:J274" si="27">D243-F243</f>
        <v>1218.9976431105899</v>
      </c>
      <c r="K243" s="9">
        <f t="shared" si="24"/>
        <v>336.51342030632998</v>
      </c>
      <c r="L243" s="10">
        <f t="shared" si="21"/>
        <v>0.27605748231606775</v>
      </c>
      <c r="M243" s="10">
        <f t="shared" ref="M243:M274" si="28">L243+ABS($N$2)*A243</f>
        <v>0.30475411447351686</v>
      </c>
      <c r="P243" s="8">
        <f t="shared" ref="P243:P274" si="29">(M243-$O$2)/$O$2*100</f>
        <v>6.6440406275539754</v>
      </c>
    </row>
    <row r="244" spans="1:16" x14ac:dyDescent="0.2">
      <c r="A244" s="8">
        <v>121</v>
      </c>
      <c r="B244" s="8">
        <v>242</v>
      </c>
      <c r="D244">
        <v>1329.532659409</v>
      </c>
      <c r="E244">
        <v>450.87947122861999</v>
      </c>
      <c r="F244">
        <v>157.57352941177001</v>
      </c>
      <c r="G244">
        <v>126.70665634674999</v>
      </c>
      <c r="I244" s="9">
        <f t="shared" si="26"/>
        <v>324.17281488187001</v>
      </c>
      <c r="J244" s="9">
        <f t="shared" si="27"/>
        <v>1171.9591299972299</v>
      </c>
      <c r="K244" s="9">
        <f t="shared" si="24"/>
        <v>324.17281488187001</v>
      </c>
      <c r="L244" s="10">
        <f t="shared" si="21"/>
        <v>0.27660761078130452</v>
      </c>
      <c r="M244" s="10">
        <f t="shared" si="28"/>
        <v>0.30542331610123269</v>
      </c>
      <c r="N244" s="1"/>
      <c r="P244" s="8">
        <f t="shared" si="29"/>
        <v>6.8782175005961745</v>
      </c>
    </row>
    <row r="245" spans="1:16" x14ac:dyDescent="0.2">
      <c r="A245" s="8">
        <v>121.5</v>
      </c>
      <c r="B245" s="8">
        <v>243</v>
      </c>
      <c r="D245">
        <v>1382.6306376360999</v>
      </c>
      <c r="E245">
        <v>463.98911353032997</v>
      </c>
      <c r="F245">
        <v>158.58436532508</v>
      </c>
      <c r="G245">
        <v>126.89628482972</v>
      </c>
      <c r="I245" s="9">
        <f t="shared" si="26"/>
        <v>337.09282870060997</v>
      </c>
      <c r="J245" s="9">
        <f t="shared" si="27"/>
        <v>1224.0462723110199</v>
      </c>
      <c r="K245" s="9">
        <f t="shared" si="24"/>
        <v>337.09282870060997</v>
      </c>
      <c r="L245" s="10">
        <f t="shared" si="21"/>
        <v>0.2753922268511737</v>
      </c>
      <c r="M245" s="10">
        <f t="shared" si="28"/>
        <v>0.30432700533358092</v>
      </c>
      <c r="P245" s="8">
        <f t="shared" si="29"/>
        <v>6.4945803173940444</v>
      </c>
    </row>
    <row r="246" spans="1:16" x14ac:dyDescent="0.2">
      <c r="A246" s="8">
        <v>122</v>
      </c>
      <c r="B246" s="8">
        <v>244</v>
      </c>
      <c r="D246">
        <v>1366.847392638</v>
      </c>
      <c r="E246">
        <v>453.47162576686998</v>
      </c>
      <c r="F246">
        <v>157.71826625387001</v>
      </c>
      <c r="G246">
        <v>126.96671826625</v>
      </c>
      <c r="I246" s="9">
        <f t="shared" si="26"/>
        <v>326.50490750061999</v>
      </c>
      <c r="J246" s="9">
        <f t="shared" si="27"/>
        <v>1209.1291263841299</v>
      </c>
      <c r="K246" s="9">
        <f t="shared" si="24"/>
        <v>326.50490750061999</v>
      </c>
      <c r="L246" s="10">
        <f t="shared" si="21"/>
        <v>0.27003311753561399</v>
      </c>
      <c r="M246" s="10">
        <f t="shared" si="28"/>
        <v>0.29908696918050026</v>
      </c>
      <c r="P246" s="8">
        <f t="shared" si="29"/>
        <v>4.6609098208877615</v>
      </c>
    </row>
    <row r="247" spans="1:16" x14ac:dyDescent="0.2">
      <c r="A247" s="8">
        <v>122.5</v>
      </c>
      <c r="B247" s="8">
        <v>245</v>
      </c>
      <c r="D247">
        <v>1348.7307098765</v>
      </c>
      <c r="E247">
        <v>448.06558641974999</v>
      </c>
      <c r="F247">
        <v>157.97136222910001</v>
      </c>
      <c r="G247">
        <v>126.63777089782999</v>
      </c>
      <c r="I247" s="9">
        <f t="shared" si="26"/>
        <v>321.42781552192002</v>
      </c>
      <c r="J247" s="9">
        <f t="shared" si="27"/>
        <v>1190.7593476473999</v>
      </c>
      <c r="K247" s="9">
        <f t="shared" si="24"/>
        <v>321.42781552192002</v>
      </c>
      <c r="L247" s="10">
        <f t="shared" si="21"/>
        <v>0.26993516041420923</v>
      </c>
      <c r="M247" s="10">
        <f t="shared" si="28"/>
        <v>0.2991080852215745</v>
      </c>
      <c r="P247" s="8">
        <f t="shared" si="29"/>
        <v>4.6682990564559343</v>
      </c>
    </row>
    <row r="248" spans="1:16" x14ac:dyDescent="0.2">
      <c r="A248" s="8">
        <v>123</v>
      </c>
      <c r="B248" s="8">
        <v>246</v>
      </c>
      <c r="D248">
        <v>1326.1739463602</v>
      </c>
      <c r="E248">
        <v>438.83601532567002</v>
      </c>
      <c r="F248">
        <v>157.98374613003</v>
      </c>
      <c r="G248">
        <v>126.86068111455</v>
      </c>
      <c r="I248" s="9">
        <f t="shared" si="26"/>
        <v>311.97533421112001</v>
      </c>
      <c r="J248" s="9">
        <f t="shared" si="27"/>
        <v>1168.1902002301699</v>
      </c>
      <c r="K248" s="9">
        <f t="shared" si="24"/>
        <v>311.97533421112001</v>
      </c>
      <c r="L248" s="10">
        <f t="shared" si="21"/>
        <v>0.26705868115453385</v>
      </c>
      <c r="M248" s="10">
        <f t="shared" si="28"/>
        <v>0.29635067912437818</v>
      </c>
      <c r="P248" s="8">
        <f t="shared" si="29"/>
        <v>3.7033869719576504</v>
      </c>
    </row>
    <row r="249" spans="1:16" x14ac:dyDescent="0.2">
      <c r="A249" s="8">
        <v>123.5</v>
      </c>
      <c r="B249" s="8">
        <v>247</v>
      </c>
      <c r="D249">
        <v>1313.9308224443</v>
      </c>
      <c r="E249">
        <v>437.84934665641998</v>
      </c>
      <c r="F249">
        <v>157.96052631578999</v>
      </c>
      <c r="G249">
        <v>126.80495356037</v>
      </c>
      <c r="I249" s="9">
        <f t="shared" si="26"/>
        <v>311.04439309604999</v>
      </c>
      <c r="J249" s="9">
        <f t="shared" si="27"/>
        <v>1155.97029612851</v>
      </c>
      <c r="K249" s="9">
        <f t="shared" si="24"/>
        <v>311.04439309604999</v>
      </c>
      <c r="L249" s="10">
        <f t="shared" si="21"/>
        <v>0.26907645822542053</v>
      </c>
      <c r="M249" s="10">
        <f t="shared" si="28"/>
        <v>0.29848752935774392</v>
      </c>
      <c r="P249" s="8">
        <f t="shared" si="29"/>
        <v>4.4511450243656911</v>
      </c>
    </row>
    <row r="250" spans="1:16" x14ac:dyDescent="0.2">
      <c r="A250" s="8">
        <v>124</v>
      </c>
      <c r="B250" s="8">
        <v>248</v>
      </c>
      <c r="D250">
        <v>1295.9953881629999</v>
      </c>
      <c r="E250">
        <v>434.91621829361998</v>
      </c>
      <c r="F250">
        <v>157.59984520123999</v>
      </c>
      <c r="G250">
        <v>127.02786377709</v>
      </c>
      <c r="I250" s="9">
        <f t="shared" si="26"/>
        <v>307.88835451652994</v>
      </c>
      <c r="J250" s="9">
        <f t="shared" si="27"/>
        <v>1138.3955429617599</v>
      </c>
      <c r="K250" s="9">
        <f t="shared" si="24"/>
        <v>307.88835451652994</v>
      </c>
      <c r="L250" s="10">
        <f t="shared" si="21"/>
        <v>0.27045815175584564</v>
      </c>
      <c r="M250" s="10">
        <f t="shared" si="28"/>
        <v>0.29998829605064808</v>
      </c>
      <c r="P250" s="8">
        <f t="shared" si="29"/>
        <v>4.9763153717686945</v>
      </c>
    </row>
    <row r="251" spans="1:16" x14ac:dyDescent="0.2">
      <c r="A251" s="8">
        <v>124.5</v>
      </c>
      <c r="B251" s="8">
        <v>249</v>
      </c>
      <c r="D251">
        <v>1295.9678407351</v>
      </c>
      <c r="E251">
        <v>433.37595712097999</v>
      </c>
      <c r="F251">
        <v>157.87848297214001</v>
      </c>
      <c r="G251">
        <v>127.03715170279</v>
      </c>
      <c r="I251" s="9">
        <f t="shared" si="26"/>
        <v>306.33880541818996</v>
      </c>
      <c r="J251" s="9">
        <f t="shared" si="27"/>
        <v>1138.0893577629599</v>
      </c>
      <c r="K251" s="9">
        <f t="shared" si="24"/>
        <v>306.33880541818996</v>
      </c>
      <c r="L251" s="10">
        <f t="shared" si="21"/>
        <v>0.26916937877385361</v>
      </c>
      <c r="M251" s="10">
        <f t="shared" si="28"/>
        <v>0.29881859623113505</v>
      </c>
      <c r="P251" s="8">
        <f t="shared" si="29"/>
        <v>4.5669968124780675</v>
      </c>
    </row>
    <row r="252" spans="1:16" x14ac:dyDescent="0.2">
      <c r="A252" s="8">
        <v>125</v>
      </c>
      <c r="B252" s="8">
        <v>250</v>
      </c>
      <c r="D252">
        <v>1346.2358346095</v>
      </c>
      <c r="E252">
        <v>450.77029096477997</v>
      </c>
      <c r="F252">
        <v>157.88157894737</v>
      </c>
      <c r="G252">
        <v>126.29643962848</v>
      </c>
      <c r="I252" s="9">
        <f t="shared" si="26"/>
        <v>324.47385133629996</v>
      </c>
      <c r="J252" s="9">
        <f t="shared" si="27"/>
        <v>1188.3542556621301</v>
      </c>
      <c r="K252" s="9">
        <f t="shared" si="24"/>
        <v>324.47385133629996</v>
      </c>
      <c r="L252" s="10">
        <f t="shared" si="21"/>
        <v>0.27304471691861687</v>
      </c>
      <c r="M252" s="10">
        <f t="shared" si="28"/>
        <v>0.30281300753837737</v>
      </c>
      <c r="P252" s="8">
        <f t="shared" si="29"/>
        <v>5.9647799481335779</v>
      </c>
    </row>
    <row r="253" spans="1:16" x14ac:dyDescent="0.2">
      <c r="A253" s="8">
        <v>125.5</v>
      </c>
      <c r="B253" s="8">
        <v>251</v>
      </c>
      <c r="D253">
        <v>1352.1715160796</v>
      </c>
      <c r="E253">
        <v>451.93721286370999</v>
      </c>
      <c r="F253">
        <v>157.87616099070999</v>
      </c>
      <c r="G253">
        <v>127.05340557276</v>
      </c>
      <c r="I253" s="9">
        <f t="shared" si="26"/>
        <v>324.88380729095002</v>
      </c>
      <c r="J253" s="9">
        <f t="shared" si="27"/>
        <v>1194.2953550888901</v>
      </c>
      <c r="K253" s="9">
        <f t="shared" si="24"/>
        <v>324.88380729095002</v>
      </c>
      <c r="L253" s="10">
        <f t="shared" si="21"/>
        <v>0.27202970011280775</v>
      </c>
      <c r="M253" s="10">
        <f t="shared" si="28"/>
        <v>0.3019170638950473</v>
      </c>
      <c r="P253" s="8">
        <f t="shared" si="29"/>
        <v>5.6512581751319093</v>
      </c>
    </row>
    <row r="254" spans="1:16" x14ac:dyDescent="0.2">
      <c r="A254" s="8">
        <v>126</v>
      </c>
      <c r="B254" s="8">
        <v>252</v>
      </c>
      <c r="D254">
        <v>1316.8922018349001</v>
      </c>
      <c r="E254">
        <v>430.49311926605998</v>
      </c>
      <c r="F254">
        <v>157.92879256966</v>
      </c>
      <c r="G254">
        <v>126.70278637771</v>
      </c>
      <c r="I254" s="9">
        <f t="shared" si="26"/>
        <v>303.79033288835001</v>
      </c>
      <c r="J254" s="9">
        <f t="shared" si="27"/>
        <v>1158.96340926524</v>
      </c>
      <c r="K254" s="9">
        <f t="shared" si="24"/>
        <v>303.79033288835001</v>
      </c>
      <c r="L254" s="10">
        <f t="shared" si="21"/>
        <v>0.26212245396163725</v>
      </c>
      <c r="M254" s="10">
        <f t="shared" si="28"/>
        <v>0.29212889090635585</v>
      </c>
      <c r="P254" s="8">
        <f t="shared" si="29"/>
        <v>2.2260367644912091</v>
      </c>
    </row>
    <row r="255" spans="1:16" x14ac:dyDescent="0.2">
      <c r="A255" s="8">
        <v>126.5</v>
      </c>
      <c r="B255" s="8">
        <v>253</v>
      </c>
      <c r="D255">
        <v>1316.1551987768</v>
      </c>
      <c r="E255">
        <v>432.50382262996999</v>
      </c>
      <c r="F255">
        <v>157.33978328173001</v>
      </c>
      <c r="G255">
        <v>126.78869969039999</v>
      </c>
      <c r="I255" s="9">
        <f t="shared" si="26"/>
        <v>305.71512293956999</v>
      </c>
      <c r="J255" s="9">
        <f t="shared" si="27"/>
        <v>1158.8154154950701</v>
      </c>
      <c r="K255" s="9">
        <f t="shared" si="24"/>
        <v>305.71512293956999</v>
      </c>
      <c r="L255" s="10">
        <f t="shared" si="21"/>
        <v>0.26381692791768924</v>
      </c>
      <c r="M255" s="10">
        <f t="shared" si="28"/>
        <v>0.29394243802488684</v>
      </c>
      <c r="P255" s="8">
        <f t="shared" si="29"/>
        <v>2.8606598373337877</v>
      </c>
    </row>
    <row r="256" spans="1:16" x14ac:dyDescent="0.2">
      <c r="A256" s="8">
        <v>127</v>
      </c>
      <c r="B256" s="8">
        <v>254</v>
      </c>
      <c r="D256">
        <v>1335.7140672783</v>
      </c>
      <c r="E256">
        <v>439.50535168196001</v>
      </c>
      <c r="F256">
        <v>157.63235294117999</v>
      </c>
      <c r="G256">
        <v>126.66950464396</v>
      </c>
      <c r="I256" s="9">
        <f t="shared" si="26"/>
        <v>312.835847038</v>
      </c>
      <c r="J256" s="9">
        <f t="shared" si="27"/>
        <v>1178.08171433712</v>
      </c>
      <c r="K256" s="9">
        <f t="shared" si="24"/>
        <v>312.835847038</v>
      </c>
      <c r="L256" s="10">
        <f t="shared" si="21"/>
        <v>0.26554681498814847</v>
      </c>
      <c r="M256" s="10">
        <f t="shared" si="28"/>
        <v>0.29579139825782513</v>
      </c>
      <c r="P256" s="8">
        <f t="shared" si="29"/>
        <v>3.5076751878593924</v>
      </c>
    </row>
    <row r="257" spans="1:16" x14ac:dyDescent="0.2">
      <c r="A257" s="8">
        <v>127.5</v>
      </c>
      <c r="B257" s="8">
        <v>255</v>
      </c>
      <c r="D257">
        <v>1300.2003058104001</v>
      </c>
      <c r="E257">
        <v>429.46559633027999</v>
      </c>
      <c r="F257">
        <v>156.88544891641001</v>
      </c>
      <c r="G257">
        <v>126.44969040248</v>
      </c>
      <c r="I257" s="9">
        <f t="shared" si="26"/>
        <v>303.01590592779996</v>
      </c>
      <c r="J257" s="9">
        <f t="shared" si="27"/>
        <v>1143.3148568939901</v>
      </c>
      <c r="K257" s="9">
        <f t="shared" si="24"/>
        <v>303.01590592779996</v>
      </c>
      <c r="L257" s="10">
        <f t="shared" si="21"/>
        <v>0.26503277211930437</v>
      </c>
      <c r="M257" s="10">
        <f t="shared" si="28"/>
        <v>0.29539642855146009</v>
      </c>
      <c r="P257" s="8">
        <f t="shared" si="29"/>
        <v>3.3694615808502992</v>
      </c>
    </row>
    <row r="258" spans="1:16" x14ac:dyDescent="0.2">
      <c r="A258" s="8">
        <v>128</v>
      </c>
      <c r="B258" s="8">
        <v>256</v>
      </c>
      <c r="D258">
        <v>1270.5244648318001</v>
      </c>
      <c r="E258">
        <v>421.00611620795001</v>
      </c>
      <c r="F258">
        <v>158.03560371517</v>
      </c>
      <c r="G258">
        <v>126.59984520124</v>
      </c>
      <c r="I258" s="9">
        <f t="shared" si="26"/>
        <v>294.40627100671003</v>
      </c>
      <c r="J258" s="9">
        <f t="shared" si="27"/>
        <v>1112.48886111663</v>
      </c>
      <c r="K258" s="9">
        <f t="shared" si="24"/>
        <v>294.40627100671003</v>
      </c>
      <c r="L258" s="10">
        <f t="shared" ref="L258:L321" si="30">K258/J258</f>
        <v>0.26463750002063646</v>
      </c>
      <c r="M258" s="10">
        <f t="shared" si="28"/>
        <v>0.29512022961527123</v>
      </c>
      <c r="P258" s="8">
        <f t="shared" si="29"/>
        <v>3.2728099880634494</v>
      </c>
    </row>
    <row r="259" spans="1:16" x14ac:dyDescent="0.2">
      <c r="A259" s="8">
        <v>128.5</v>
      </c>
      <c r="B259" s="8">
        <v>257</v>
      </c>
      <c r="D259">
        <v>1247.8035439137</v>
      </c>
      <c r="E259">
        <v>419.48073959938</v>
      </c>
      <c r="F259">
        <v>157.50464396285</v>
      </c>
      <c r="G259">
        <v>126.55495356037</v>
      </c>
      <c r="I259" s="9">
        <f t="shared" si="26"/>
        <v>292.92578603901001</v>
      </c>
      <c r="J259" s="9">
        <f t="shared" si="27"/>
        <v>1090.29889995085</v>
      </c>
      <c r="K259" s="9">
        <f t="shared" ref="K259:K322" si="31">I259*1</f>
        <v>292.92578603901001</v>
      </c>
      <c r="L259" s="10">
        <f t="shared" si="30"/>
        <v>0.26866557973434158</v>
      </c>
      <c r="M259" s="10">
        <f t="shared" si="28"/>
        <v>0.29926738249145535</v>
      </c>
      <c r="P259" s="8">
        <f t="shared" si="29"/>
        <v>4.7240426993280877</v>
      </c>
    </row>
    <row r="260" spans="1:16" x14ac:dyDescent="0.2">
      <c r="A260" s="8">
        <v>129</v>
      </c>
      <c r="B260" s="8">
        <v>258</v>
      </c>
      <c r="D260">
        <v>1297.5824345146</v>
      </c>
      <c r="E260">
        <v>430.98767334361003</v>
      </c>
      <c r="F260">
        <v>157.58978328173001</v>
      </c>
      <c r="G260">
        <v>126.16950464396</v>
      </c>
      <c r="I260" s="9">
        <f t="shared" si="26"/>
        <v>304.81816869965002</v>
      </c>
      <c r="J260" s="9">
        <f t="shared" si="27"/>
        <v>1139.99265123287</v>
      </c>
      <c r="K260" s="9">
        <f t="shared" si="31"/>
        <v>304.81816869965002</v>
      </c>
      <c r="L260" s="10">
        <f t="shared" si="30"/>
        <v>0.26738608215587856</v>
      </c>
      <c r="M260" s="10">
        <f t="shared" si="28"/>
        <v>0.29810695807547138</v>
      </c>
      <c r="P260" s="8">
        <f t="shared" si="29"/>
        <v>4.3179699256193889</v>
      </c>
    </row>
    <row r="261" spans="1:16" x14ac:dyDescent="0.2">
      <c r="A261" s="8">
        <v>129.5</v>
      </c>
      <c r="B261" s="8">
        <v>259</v>
      </c>
      <c r="D261">
        <v>1322.6617760618001</v>
      </c>
      <c r="E261">
        <v>433.12432432432001</v>
      </c>
      <c r="F261">
        <v>158.17492260061999</v>
      </c>
      <c r="G261">
        <v>126.65866873065001</v>
      </c>
      <c r="I261" s="9">
        <f t="shared" si="26"/>
        <v>306.46565559367002</v>
      </c>
      <c r="J261" s="9">
        <f t="shared" si="27"/>
        <v>1164.4868534611801</v>
      </c>
      <c r="K261" s="9">
        <f t="shared" si="31"/>
        <v>306.46565559367002</v>
      </c>
      <c r="L261" s="10">
        <f t="shared" si="30"/>
        <v>0.26317656973349979</v>
      </c>
      <c r="M261" s="10">
        <f t="shared" si="28"/>
        <v>0.29401651881557167</v>
      </c>
      <c r="P261" s="8">
        <f t="shared" si="29"/>
        <v>2.8865832768422659</v>
      </c>
    </row>
    <row r="262" spans="1:16" x14ac:dyDescent="0.2">
      <c r="A262" s="8">
        <v>130</v>
      </c>
      <c r="B262" s="8">
        <v>260</v>
      </c>
      <c r="D262">
        <v>1284.4339768340001</v>
      </c>
      <c r="E262">
        <v>421.66563706564</v>
      </c>
      <c r="F262">
        <v>157.73297213622001</v>
      </c>
      <c r="G262">
        <v>126.25541795666</v>
      </c>
      <c r="I262" s="9">
        <f t="shared" si="26"/>
        <v>295.41021910898002</v>
      </c>
      <c r="J262" s="9">
        <f t="shared" si="27"/>
        <v>1126.70100469778</v>
      </c>
      <c r="K262" s="9">
        <f t="shared" si="31"/>
        <v>295.41021910898002</v>
      </c>
      <c r="L262" s="10">
        <f t="shared" si="30"/>
        <v>0.26219042840759621</v>
      </c>
      <c r="M262" s="10">
        <f t="shared" si="28"/>
        <v>0.29314945065214715</v>
      </c>
      <c r="P262" s="8">
        <f t="shared" si="29"/>
        <v>2.5831660363339717</v>
      </c>
    </row>
    <row r="263" spans="1:16" x14ac:dyDescent="0.2">
      <c r="A263" s="8">
        <v>130.5</v>
      </c>
      <c r="B263" s="8">
        <v>261</v>
      </c>
      <c r="D263">
        <v>1297.5289575290001</v>
      </c>
      <c r="E263">
        <v>424.71351351351001</v>
      </c>
      <c r="F263">
        <v>157.52012383901001</v>
      </c>
      <c r="G263">
        <v>126.52476780185999</v>
      </c>
      <c r="I263" s="9">
        <f t="shared" si="26"/>
        <v>298.18874571165003</v>
      </c>
      <c r="J263" s="9">
        <f t="shared" si="27"/>
        <v>1140.0088336899901</v>
      </c>
      <c r="K263" s="9">
        <f t="shared" si="31"/>
        <v>298.18874571165003</v>
      </c>
      <c r="L263" s="10">
        <f t="shared" si="30"/>
        <v>0.26156704834160821</v>
      </c>
      <c r="M263" s="10">
        <f t="shared" si="28"/>
        <v>0.29264514374863815</v>
      </c>
      <c r="P263" s="8">
        <f t="shared" si="29"/>
        <v>2.4066915496827228</v>
      </c>
    </row>
    <row r="264" spans="1:16" x14ac:dyDescent="0.2">
      <c r="A264" s="8">
        <v>131</v>
      </c>
      <c r="B264" s="8">
        <v>262</v>
      </c>
      <c r="D264">
        <v>1313.6988416987999</v>
      </c>
      <c r="E264">
        <v>425.12895752895997</v>
      </c>
      <c r="F264">
        <v>157.28328173374999</v>
      </c>
      <c r="G264">
        <v>126.87925696594</v>
      </c>
      <c r="I264" s="9">
        <f t="shared" si="26"/>
        <v>298.24970056301999</v>
      </c>
      <c r="J264" s="9">
        <f t="shared" si="27"/>
        <v>1156.4155599650499</v>
      </c>
      <c r="K264" s="9">
        <f t="shared" si="31"/>
        <v>298.24970056301999</v>
      </c>
      <c r="L264" s="10">
        <f t="shared" si="30"/>
        <v>0.25790875779294592</v>
      </c>
      <c r="M264" s="10">
        <f t="shared" si="28"/>
        <v>0.28910592636245491</v>
      </c>
      <c r="P264" s="8">
        <f t="shared" si="29"/>
        <v>1.168196563736702</v>
      </c>
    </row>
    <row r="265" spans="1:16" x14ac:dyDescent="0.2">
      <c r="A265" s="8">
        <v>131.5</v>
      </c>
      <c r="B265" s="8">
        <v>263</v>
      </c>
      <c r="D265">
        <v>1273.954789272</v>
      </c>
      <c r="E265">
        <v>415.55249042145999</v>
      </c>
      <c r="F265">
        <v>157.02941176471001</v>
      </c>
      <c r="G265">
        <v>126.4226006192</v>
      </c>
      <c r="I265" s="9">
        <f t="shared" si="26"/>
        <v>289.12988980225998</v>
      </c>
      <c r="J265" s="9">
        <f t="shared" si="27"/>
        <v>1116.92537750729</v>
      </c>
      <c r="K265" s="9">
        <f t="shared" si="31"/>
        <v>289.12988980225998</v>
      </c>
      <c r="L265" s="10">
        <f t="shared" si="30"/>
        <v>0.25886231580441715</v>
      </c>
      <c r="M265" s="10">
        <f t="shared" si="28"/>
        <v>0.2901785575364052</v>
      </c>
      <c r="P265" s="8">
        <f t="shared" si="29"/>
        <v>1.543547435342657</v>
      </c>
    </row>
    <row r="266" spans="1:16" x14ac:dyDescent="0.2">
      <c r="A266" s="8">
        <v>132</v>
      </c>
      <c r="B266" s="8">
        <v>264</v>
      </c>
      <c r="D266">
        <v>1268.1080459770001</v>
      </c>
      <c r="E266">
        <v>414.09195402299002</v>
      </c>
      <c r="F266">
        <v>157.43111455107999</v>
      </c>
      <c r="G266">
        <v>126.69969040248</v>
      </c>
      <c r="I266" s="9">
        <f t="shared" si="26"/>
        <v>287.39226362050999</v>
      </c>
      <c r="J266" s="9">
        <f t="shared" si="27"/>
        <v>1110.67693142592</v>
      </c>
      <c r="K266" s="9">
        <f t="shared" si="31"/>
        <v>287.39226362050999</v>
      </c>
      <c r="L266" s="10">
        <f t="shared" si="30"/>
        <v>0.25875414847371259</v>
      </c>
      <c r="M266" s="10">
        <f t="shared" si="28"/>
        <v>0.29018946336817969</v>
      </c>
      <c r="P266" s="8">
        <f t="shared" si="29"/>
        <v>1.5473637643488956</v>
      </c>
    </row>
    <row r="267" spans="1:16" x14ac:dyDescent="0.2">
      <c r="A267" s="8">
        <v>132.5</v>
      </c>
      <c r="B267" s="8">
        <v>265</v>
      </c>
      <c r="D267">
        <v>1308.9540229884999</v>
      </c>
      <c r="E267">
        <v>426.31417624520998</v>
      </c>
      <c r="F267">
        <v>157.61068111455</v>
      </c>
      <c r="G267">
        <v>126.59984520124</v>
      </c>
      <c r="I267" s="9">
        <f t="shared" si="26"/>
        <v>299.71433104396999</v>
      </c>
      <c r="J267" s="9">
        <f t="shared" si="27"/>
        <v>1151.3433418739498</v>
      </c>
      <c r="K267" s="9">
        <f t="shared" si="31"/>
        <v>299.71433104396999</v>
      </c>
      <c r="L267" s="10">
        <f t="shared" si="30"/>
        <v>0.26031707497100637</v>
      </c>
      <c r="M267" s="10">
        <f t="shared" si="28"/>
        <v>0.29187146302795253</v>
      </c>
      <c r="P267" s="8">
        <f t="shared" si="29"/>
        <v>2.1359538162411531</v>
      </c>
    </row>
    <row r="268" spans="1:16" x14ac:dyDescent="0.2">
      <c r="A268" s="8">
        <v>133</v>
      </c>
      <c r="B268" s="8">
        <v>266</v>
      </c>
      <c r="D268">
        <v>1285.1329258976</v>
      </c>
      <c r="E268">
        <v>416.86172650879001</v>
      </c>
      <c r="F268">
        <v>157.14705882352999</v>
      </c>
      <c r="G268">
        <v>126.70356037152</v>
      </c>
      <c r="I268" s="9">
        <f t="shared" si="26"/>
        <v>290.15816613727003</v>
      </c>
      <c r="J268" s="9">
        <f t="shared" si="27"/>
        <v>1127.98586707407</v>
      </c>
      <c r="K268" s="9">
        <f t="shared" si="31"/>
        <v>290.15816613727003</v>
      </c>
      <c r="L268" s="10">
        <f t="shared" si="30"/>
        <v>0.2572356397424761</v>
      </c>
      <c r="M268" s="10">
        <f t="shared" si="28"/>
        <v>0.28890910096190126</v>
      </c>
      <c r="P268" s="8">
        <f t="shared" si="29"/>
        <v>1.0993205255921772</v>
      </c>
    </row>
    <row r="269" spans="1:16" x14ac:dyDescent="0.2">
      <c r="A269" s="8">
        <v>133.5</v>
      </c>
      <c r="B269" s="8">
        <v>267</v>
      </c>
      <c r="D269">
        <v>1248.6348357525001</v>
      </c>
      <c r="E269">
        <v>407.10389610390001</v>
      </c>
      <c r="F269">
        <v>157.42414860681001</v>
      </c>
      <c r="G269">
        <v>126.8173374613</v>
      </c>
      <c r="I269" s="9">
        <f t="shared" si="26"/>
        <v>280.28655864260003</v>
      </c>
      <c r="J269" s="9">
        <f t="shared" si="27"/>
        <v>1091.2106871456901</v>
      </c>
      <c r="K269" s="9">
        <f t="shared" si="31"/>
        <v>280.28655864260003</v>
      </c>
      <c r="L269" s="10">
        <f t="shared" si="30"/>
        <v>0.25685833354120946</v>
      </c>
      <c r="M269" s="10">
        <f t="shared" si="28"/>
        <v>0.28865086792311367</v>
      </c>
      <c r="P269" s="8">
        <f t="shared" si="29"/>
        <v>1.0089558237819489</v>
      </c>
    </row>
    <row r="270" spans="1:16" x14ac:dyDescent="0.2">
      <c r="A270" s="8">
        <v>134</v>
      </c>
      <c r="B270" s="8">
        <v>268</v>
      </c>
      <c r="D270">
        <v>1290.4040247677999</v>
      </c>
      <c r="E270">
        <v>410.03869969039999</v>
      </c>
      <c r="F270">
        <v>157.76315789474</v>
      </c>
      <c r="G270">
        <v>126.61687306502</v>
      </c>
      <c r="I270" s="9">
        <f t="shared" si="26"/>
        <v>283.42182662537999</v>
      </c>
      <c r="J270" s="9">
        <f t="shared" si="27"/>
        <v>1132.6408668730598</v>
      </c>
      <c r="K270" s="9">
        <f t="shared" si="31"/>
        <v>283.42182662537999</v>
      </c>
      <c r="L270" s="10">
        <f t="shared" si="30"/>
        <v>0.25023097339568656</v>
      </c>
      <c r="M270" s="10">
        <f t="shared" si="28"/>
        <v>0.28214258094006983</v>
      </c>
      <c r="P270" s="8">
        <f t="shared" si="29"/>
        <v>-1.2685196506166845</v>
      </c>
    </row>
    <row r="271" spans="1:16" x14ac:dyDescent="0.2">
      <c r="A271" s="8">
        <v>134.5</v>
      </c>
      <c r="B271" s="8">
        <v>269</v>
      </c>
      <c r="D271">
        <v>1323.3645510836</v>
      </c>
      <c r="E271">
        <v>415.26006191951001</v>
      </c>
      <c r="F271">
        <v>157.62616099070999</v>
      </c>
      <c r="G271">
        <v>126.70433436533</v>
      </c>
      <c r="I271" s="9">
        <f t="shared" si="26"/>
        <v>288.55572755418001</v>
      </c>
      <c r="J271" s="9">
        <f t="shared" si="27"/>
        <v>1165.7383900928899</v>
      </c>
      <c r="K271" s="9">
        <f t="shared" si="31"/>
        <v>288.55572755418001</v>
      </c>
      <c r="L271" s="10">
        <f t="shared" si="30"/>
        <v>0.2475304322191765</v>
      </c>
      <c r="M271" s="10">
        <f t="shared" si="28"/>
        <v>0.2795611129260388</v>
      </c>
      <c r="P271" s="8">
        <f t="shared" si="29"/>
        <v>-2.1718648941834604</v>
      </c>
    </row>
    <row r="272" spans="1:16" x14ac:dyDescent="0.2">
      <c r="A272" s="8">
        <v>135</v>
      </c>
      <c r="B272" s="8">
        <v>270</v>
      </c>
      <c r="D272">
        <v>1287.6184210526001</v>
      </c>
      <c r="E272">
        <v>404.37770897833002</v>
      </c>
      <c r="F272">
        <v>157.55108359133001</v>
      </c>
      <c r="G272">
        <v>126.95046439629</v>
      </c>
      <c r="I272" s="9">
        <f t="shared" si="26"/>
        <v>277.42724458204003</v>
      </c>
      <c r="J272" s="9">
        <f t="shared" si="27"/>
        <v>1130.06733746127</v>
      </c>
      <c r="K272" s="9">
        <f t="shared" si="31"/>
        <v>277.42724458204003</v>
      </c>
      <c r="L272" s="10">
        <f t="shared" si="30"/>
        <v>0.24549620662896834</v>
      </c>
      <c r="M272" s="10">
        <f t="shared" si="28"/>
        <v>0.2776459604983097</v>
      </c>
      <c r="P272" s="8">
        <f t="shared" si="29"/>
        <v>-2.8420431907539232</v>
      </c>
    </row>
    <row r="273" spans="1:16" x14ac:dyDescent="0.2">
      <c r="A273" s="8">
        <v>135.5</v>
      </c>
      <c r="B273" s="8">
        <v>271</v>
      </c>
      <c r="D273">
        <v>1315.6388036809999</v>
      </c>
      <c r="E273">
        <v>412.40260736196001</v>
      </c>
      <c r="F273">
        <v>157.74690402477</v>
      </c>
      <c r="G273">
        <v>126.06888544892</v>
      </c>
      <c r="I273" s="9">
        <f t="shared" si="26"/>
        <v>286.33372191303999</v>
      </c>
      <c r="J273" s="9">
        <f t="shared" si="27"/>
        <v>1157.89189965623</v>
      </c>
      <c r="K273" s="9">
        <f t="shared" si="31"/>
        <v>286.33372191303999</v>
      </c>
      <c r="L273" s="10">
        <f t="shared" si="30"/>
        <v>0.24728882031047153</v>
      </c>
      <c r="M273" s="10">
        <f t="shared" si="28"/>
        <v>0.27955764734229194</v>
      </c>
      <c r="P273" s="8">
        <f t="shared" si="29"/>
        <v>-2.1730776222036785</v>
      </c>
    </row>
    <row r="274" spans="1:16" x14ac:dyDescent="0.2">
      <c r="A274" s="8">
        <v>136</v>
      </c>
      <c r="B274" s="8">
        <v>272</v>
      </c>
      <c r="D274">
        <v>1341.8542944784999</v>
      </c>
      <c r="E274">
        <v>422.89187116564</v>
      </c>
      <c r="F274">
        <v>157.2693498452</v>
      </c>
      <c r="G274">
        <v>126.25773993807999</v>
      </c>
      <c r="I274" s="9">
        <f t="shared" si="26"/>
        <v>296.63413122756003</v>
      </c>
      <c r="J274" s="9">
        <f t="shared" si="27"/>
        <v>1184.5849446333</v>
      </c>
      <c r="K274" s="9">
        <f t="shared" si="31"/>
        <v>296.63413122756003</v>
      </c>
      <c r="L274" s="10">
        <f t="shared" si="30"/>
        <v>0.25041187005747911</v>
      </c>
      <c r="M274" s="10">
        <f t="shared" si="28"/>
        <v>0.28279977025177855</v>
      </c>
      <c r="P274" s="8">
        <f t="shared" si="29"/>
        <v>-1.0385463038123739</v>
      </c>
    </row>
    <row r="275" spans="1:16" x14ac:dyDescent="0.2">
      <c r="A275" s="8">
        <v>136.5</v>
      </c>
      <c r="B275" s="8">
        <v>273</v>
      </c>
      <c r="D275">
        <v>1346.8995398773</v>
      </c>
      <c r="E275">
        <v>427.13803680981999</v>
      </c>
      <c r="F275">
        <v>157.35139318885999</v>
      </c>
      <c r="G275">
        <v>126.27554179566999</v>
      </c>
      <c r="I275" s="9">
        <f>E275-G275</f>
        <v>300.86249501415</v>
      </c>
      <c r="J275" s="9">
        <f>D275-F275</f>
        <v>1189.5481466884401</v>
      </c>
      <c r="K275" s="9">
        <f t="shared" si="31"/>
        <v>300.86249501415</v>
      </c>
      <c r="L275" s="10">
        <f t="shared" si="30"/>
        <v>0.25292166260921445</v>
      </c>
      <c r="M275" s="10">
        <f>L275+ABS($N$2)*A275</f>
        <v>0.28542863596599288</v>
      </c>
      <c r="O275" s="11"/>
      <c r="P275" s="8">
        <f>(M275-$O$2)/$O$2*100</f>
        <v>-0.11861496009488048</v>
      </c>
    </row>
    <row r="276" spans="1:16" x14ac:dyDescent="0.2">
      <c r="A276" s="8">
        <v>137</v>
      </c>
      <c r="B276" s="8">
        <v>274</v>
      </c>
      <c r="D276">
        <v>1336.7162576687001</v>
      </c>
      <c r="E276">
        <v>425.14263803681001</v>
      </c>
      <c r="F276">
        <v>157.4040247678</v>
      </c>
      <c r="G276">
        <v>126.44814241486</v>
      </c>
      <c r="I276" s="9">
        <f t="shared" ref="I276:I291" si="32">E276-G276</f>
        <v>298.69449562195001</v>
      </c>
      <c r="J276" s="9">
        <f t="shared" ref="J276:J291" si="33">D276-F276</f>
        <v>1179.3122329009002</v>
      </c>
      <c r="K276" s="9">
        <f t="shared" si="31"/>
        <v>298.69449562195001</v>
      </c>
      <c r="L276" s="10">
        <f t="shared" si="30"/>
        <v>0.25327855277750677</v>
      </c>
      <c r="M276" s="10">
        <f t="shared" ref="M276:M291" si="34">L276+ABS($N$2)*A276</f>
        <v>0.28590459929676426</v>
      </c>
      <c r="P276" s="8">
        <f t="shared" ref="P276:P291" si="35">(M276-$O$2)/$O$2*100</f>
        <v>4.7941126839984242E-2</v>
      </c>
    </row>
    <row r="277" spans="1:16" x14ac:dyDescent="0.2">
      <c r="A277" s="8">
        <v>137.5</v>
      </c>
      <c r="B277" s="8">
        <v>275</v>
      </c>
      <c r="D277">
        <v>1316.8162162162</v>
      </c>
      <c r="E277">
        <v>414.64555984556</v>
      </c>
      <c r="F277">
        <v>156.78018575850999</v>
      </c>
      <c r="G277">
        <v>126.44582043344001</v>
      </c>
      <c r="I277" s="9">
        <f t="shared" si="32"/>
        <v>288.19973941211998</v>
      </c>
      <c r="J277" s="9">
        <f t="shared" si="33"/>
        <v>1160.03603045769</v>
      </c>
      <c r="K277" s="9">
        <f t="shared" si="31"/>
        <v>288.19973941211998</v>
      </c>
      <c r="L277" s="10">
        <f t="shared" si="30"/>
        <v>0.24844033447686217</v>
      </c>
      <c r="M277" s="10">
        <f t="shared" si="34"/>
        <v>0.28118545415859875</v>
      </c>
      <c r="N277" s="1"/>
      <c r="P277" s="8">
        <f t="shared" si="35"/>
        <v>-1.6034515269106546</v>
      </c>
    </row>
    <row r="278" spans="1:16" x14ac:dyDescent="0.2">
      <c r="A278" s="8">
        <v>138</v>
      </c>
      <c r="B278" s="8">
        <v>276</v>
      </c>
      <c r="D278">
        <v>1332.4162162161999</v>
      </c>
      <c r="E278">
        <v>417.55984555984998</v>
      </c>
      <c r="F278">
        <v>157.13157894737</v>
      </c>
      <c r="G278">
        <v>126.38080495356</v>
      </c>
      <c r="I278" s="9">
        <f t="shared" si="32"/>
        <v>291.17904060628996</v>
      </c>
      <c r="J278" s="9">
        <f t="shared" si="33"/>
        <v>1175.28463726883</v>
      </c>
      <c r="K278" s="9">
        <f t="shared" si="31"/>
        <v>291.17904060628996</v>
      </c>
      <c r="L278" s="10">
        <f t="shared" si="30"/>
        <v>0.24775193291298575</v>
      </c>
      <c r="M278" s="10">
        <f t="shared" si="34"/>
        <v>0.28061612575720135</v>
      </c>
      <c r="P278" s="8">
        <f t="shared" si="35"/>
        <v>-1.8026792921335597</v>
      </c>
    </row>
    <row r="279" spans="1:16" x14ac:dyDescent="0.2">
      <c r="A279" s="8">
        <v>138.5</v>
      </c>
      <c r="B279" s="8">
        <v>277</v>
      </c>
      <c r="D279">
        <v>1331.4648648648999</v>
      </c>
      <c r="E279">
        <v>419.36756756757001</v>
      </c>
      <c r="F279">
        <v>157.50773993807999</v>
      </c>
      <c r="G279">
        <v>126.39628482972</v>
      </c>
      <c r="I279" s="9">
        <f t="shared" si="32"/>
        <v>292.97128273785</v>
      </c>
      <c r="J279" s="9">
        <f t="shared" si="33"/>
        <v>1173.9571249268199</v>
      </c>
      <c r="K279" s="9">
        <f t="shared" si="31"/>
        <v>292.97128273785</v>
      </c>
      <c r="L279" s="10">
        <f t="shared" si="30"/>
        <v>0.24955875859274906</v>
      </c>
      <c r="M279" s="10">
        <f t="shared" si="34"/>
        <v>0.28254202459944372</v>
      </c>
      <c r="P279" s="8">
        <f t="shared" si="35"/>
        <v>-1.1287404521888662</v>
      </c>
    </row>
    <row r="280" spans="1:16" x14ac:dyDescent="0.2">
      <c r="A280" s="8">
        <v>139</v>
      </c>
      <c r="B280" s="8">
        <v>278</v>
      </c>
      <c r="D280">
        <v>1275.3458877785999</v>
      </c>
      <c r="E280">
        <v>405.60107609531002</v>
      </c>
      <c r="F280">
        <v>156.69814241486</v>
      </c>
      <c r="G280">
        <v>126.24148606811001</v>
      </c>
      <c r="I280" s="9">
        <f t="shared" si="32"/>
        <v>279.3595900272</v>
      </c>
      <c r="J280" s="9">
        <f t="shared" si="33"/>
        <v>1118.6477453637399</v>
      </c>
      <c r="K280" s="9">
        <f t="shared" si="31"/>
        <v>279.3595900272</v>
      </c>
      <c r="L280" s="10">
        <f t="shared" si="30"/>
        <v>0.24972972160808615</v>
      </c>
      <c r="M280" s="10">
        <f t="shared" si="34"/>
        <v>0.28283206077725981</v>
      </c>
      <c r="P280" s="8">
        <f t="shared" si="35"/>
        <v>-1.0272467283587083</v>
      </c>
    </row>
    <row r="281" spans="1:16" x14ac:dyDescent="0.2">
      <c r="A281" s="8">
        <v>139.5</v>
      </c>
      <c r="B281" s="8">
        <v>279</v>
      </c>
      <c r="D281">
        <v>1246.2338461539</v>
      </c>
      <c r="E281">
        <v>403.40384615385</v>
      </c>
      <c r="F281">
        <v>157.11145510835999</v>
      </c>
      <c r="G281">
        <v>126.03869969039999</v>
      </c>
      <c r="I281" s="9">
        <f t="shared" si="32"/>
        <v>277.36514646345</v>
      </c>
      <c r="J281" s="9">
        <f t="shared" si="33"/>
        <v>1089.1223910455401</v>
      </c>
      <c r="K281" s="9">
        <f t="shared" si="31"/>
        <v>277.36514646345</v>
      </c>
      <c r="L281" s="10">
        <f t="shared" si="30"/>
        <v>0.25466848238900303</v>
      </c>
      <c r="M281" s="10">
        <f t="shared" si="34"/>
        <v>0.28788989472065574</v>
      </c>
      <c r="P281" s="8">
        <f t="shared" si="35"/>
        <v>0.74266489196105523</v>
      </c>
    </row>
    <row r="282" spans="1:16" x14ac:dyDescent="0.2">
      <c r="A282" s="8">
        <v>140</v>
      </c>
      <c r="B282" s="8">
        <v>280</v>
      </c>
      <c r="D282">
        <v>1210.1653846153999</v>
      </c>
      <c r="E282">
        <v>399.67538461538999</v>
      </c>
      <c r="F282">
        <v>157.54102167183001</v>
      </c>
      <c r="G282">
        <v>126.35216718266</v>
      </c>
      <c r="I282" s="9">
        <f t="shared" si="32"/>
        <v>273.32321743272996</v>
      </c>
      <c r="J282" s="9">
        <f t="shared" si="33"/>
        <v>1052.6243629435698</v>
      </c>
      <c r="K282" s="9">
        <f t="shared" si="31"/>
        <v>273.32321743272996</v>
      </c>
      <c r="L282" s="10">
        <f t="shared" si="30"/>
        <v>0.25965883657528699</v>
      </c>
      <c r="M282" s="10">
        <f t="shared" si="34"/>
        <v>0.29299932206941876</v>
      </c>
      <c r="P282" s="8">
        <f t="shared" si="35"/>
        <v>2.5306308352801556</v>
      </c>
    </row>
    <row r="283" spans="1:16" x14ac:dyDescent="0.2">
      <c r="A283" s="8">
        <v>140.5</v>
      </c>
      <c r="B283" s="8">
        <v>281</v>
      </c>
      <c r="D283">
        <v>1169.1307692308001</v>
      </c>
      <c r="E283">
        <v>393.19</v>
      </c>
      <c r="F283">
        <v>157.32120743034</v>
      </c>
      <c r="G283">
        <v>126.10061919505</v>
      </c>
      <c r="I283" s="9">
        <f t="shared" si="32"/>
        <v>267.08938080495</v>
      </c>
      <c r="J283" s="9">
        <f t="shared" si="33"/>
        <v>1011.8095618004601</v>
      </c>
      <c r="K283" s="9">
        <f t="shared" si="31"/>
        <v>267.08938080495</v>
      </c>
      <c r="L283" s="10">
        <f t="shared" si="30"/>
        <v>0.26397198730725469</v>
      </c>
      <c r="M283" s="10">
        <f t="shared" si="34"/>
        <v>0.29743154596386551</v>
      </c>
      <c r="P283" s="8">
        <f t="shared" si="35"/>
        <v>4.0816197887397809</v>
      </c>
    </row>
    <row r="284" spans="1:16" x14ac:dyDescent="0.2">
      <c r="A284" s="8">
        <v>141</v>
      </c>
      <c r="B284" s="8">
        <v>282</v>
      </c>
      <c r="D284">
        <v>1161.4725868726</v>
      </c>
      <c r="E284">
        <v>387.85328185328001</v>
      </c>
      <c r="F284">
        <v>157.77012383901001</v>
      </c>
      <c r="G284">
        <v>126.19969040248</v>
      </c>
      <c r="I284" s="9">
        <f t="shared" si="32"/>
        <v>261.65359145080004</v>
      </c>
      <c r="J284" s="9">
        <f t="shared" si="33"/>
        <v>1003.70246303359</v>
      </c>
      <c r="K284" s="9">
        <f t="shared" si="31"/>
        <v>261.65359145080004</v>
      </c>
      <c r="L284" s="10">
        <f t="shared" si="30"/>
        <v>0.26068840227807982</v>
      </c>
      <c r="M284" s="10">
        <f t="shared" si="34"/>
        <v>0.29426703409716964</v>
      </c>
      <c r="P284" s="8">
        <f t="shared" si="35"/>
        <v>2.9742472675802123</v>
      </c>
    </row>
    <row r="285" spans="1:16" x14ac:dyDescent="0.2">
      <c r="A285" s="8">
        <v>141.5</v>
      </c>
      <c r="B285" s="8">
        <v>283</v>
      </c>
      <c r="D285">
        <v>1143.7289575289999</v>
      </c>
      <c r="E285">
        <v>382.86100386099997</v>
      </c>
      <c r="F285">
        <v>157.45665634675001</v>
      </c>
      <c r="G285">
        <v>126.75</v>
      </c>
      <c r="I285" s="9">
        <f t="shared" si="32"/>
        <v>256.11100386099997</v>
      </c>
      <c r="J285" s="9">
        <f t="shared" si="33"/>
        <v>986.27230118224986</v>
      </c>
      <c r="K285" s="9">
        <f t="shared" si="31"/>
        <v>256.11100386099997</v>
      </c>
      <c r="L285" s="10">
        <f t="shared" si="30"/>
        <v>0.25967575440778207</v>
      </c>
      <c r="M285" s="10">
        <f t="shared" si="34"/>
        <v>0.29337345938935094</v>
      </c>
      <c r="P285" s="8">
        <f t="shared" si="35"/>
        <v>2.6615544673238496</v>
      </c>
    </row>
    <row r="286" spans="1:16" x14ac:dyDescent="0.2">
      <c r="A286" s="8">
        <v>142</v>
      </c>
      <c r="B286" s="8">
        <v>284</v>
      </c>
      <c r="D286">
        <v>1099.4301158301</v>
      </c>
      <c r="E286">
        <v>375.71737451737999</v>
      </c>
      <c r="F286">
        <v>157.12306501547999</v>
      </c>
      <c r="G286">
        <v>126.49071207430001</v>
      </c>
      <c r="I286" s="9">
        <f t="shared" si="32"/>
        <v>249.22666244307999</v>
      </c>
      <c r="J286" s="9">
        <f t="shared" si="33"/>
        <v>942.30705081461997</v>
      </c>
      <c r="K286" s="9">
        <f t="shared" si="31"/>
        <v>249.22666244307999</v>
      </c>
      <c r="L286" s="10">
        <f t="shared" si="30"/>
        <v>0.26448561774808405</v>
      </c>
      <c r="M286" s="10">
        <f t="shared" si="34"/>
        <v>0.29830239589213198</v>
      </c>
      <c r="P286" s="8">
        <f t="shared" si="35"/>
        <v>4.3863604000059908</v>
      </c>
    </row>
    <row r="287" spans="1:16" x14ac:dyDescent="0.2">
      <c r="A287" s="8">
        <v>142.5</v>
      </c>
      <c r="B287" s="8">
        <v>285</v>
      </c>
      <c r="D287">
        <v>1110.2505747125999</v>
      </c>
      <c r="E287">
        <v>381.17318007662999</v>
      </c>
      <c r="F287">
        <v>157.34520123838999</v>
      </c>
      <c r="G287">
        <v>126.19814241486</v>
      </c>
      <c r="I287" s="9">
        <f t="shared" si="32"/>
        <v>254.97503766176999</v>
      </c>
      <c r="J287" s="9">
        <f t="shared" si="33"/>
        <v>952.90537347420991</v>
      </c>
      <c r="K287" s="9">
        <f t="shared" si="31"/>
        <v>254.97503766176999</v>
      </c>
      <c r="L287" s="10">
        <f t="shared" si="30"/>
        <v>0.2675764506733268</v>
      </c>
      <c r="M287" s="10">
        <f t="shared" si="34"/>
        <v>0.30151230197985379</v>
      </c>
      <c r="P287" s="8">
        <f t="shared" si="35"/>
        <v>5.509617934431783</v>
      </c>
    </row>
    <row r="288" spans="1:16" x14ac:dyDescent="0.2">
      <c r="A288" s="8">
        <v>143</v>
      </c>
      <c r="B288" s="8">
        <v>286</v>
      </c>
      <c r="D288">
        <v>1128.1440613027</v>
      </c>
      <c r="E288">
        <v>388.01149425287002</v>
      </c>
      <c r="F288">
        <v>156.39860681114999</v>
      </c>
      <c r="G288">
        <v>126.69040247677999</v>
      </c>
      <c r="I288" s="9">
        <f t="shared" si="32"/>
        <v>261.32109177609004</v>
      </c>
      <c r="J288" s="9">
        <f t="shared" si="33"/>
        <v>971.74545449155005</v>
      </c>
      <c r="K288" s="9">
        <f t="shared" si="31"/>
        <v>261.32109177609004</v>
      </c>
      <c r="L288" s="10">
        <f t="shared" si="30"/>
        <v>0.26891928392175712</v>
      </c>
      <c r="M288" s="10">
        <f t="shared" si="34"/>
        <v>0.30297420839076311</v>
      </c>
      <c r="P288" s="8">
        <f t="shared" si="35"/>
        <v>6.0211897205847897</v>
      </c>
    </row>
    <row r="289" spans="1:16" x14ac:dyDescent="0.2">
      <c r="A289" s="8">
        <v>143.5</v>
      </c>
      <c r="B289" s="8">
        <v>287</v>
      </c>
      <c r="D289">
        <v>1143.1609195402</v>
      </c>
      <c r="E289">
        <v>396.78773946360002</v>
      </c>
      <c r="F289">
        <v>157.30727554180001</v>
      </c>
      <c r="G289">
        <v>126.53482972136</v>
      </c>
      <c r="I289" s="9">
        <f t="shared" si="32"/>
        <v>270.25290974224004</v>
      </c>
      <c r="J289" s="9">
        <f t="shared" si="33"/>
        <v>985.8536439984</v>
      </c>
      <c r="K289" s="9">
        <f t="shared" si="31"/>
        <v>270.25290974224004</v>
      </c>
      <c r="L289" s="10">
        <f t="shared" si="30"/>
        <v>0.27413086251439434</v>
      </c>
      <c r="M289" s="10">
        <f t="shared" si="34"/>
        <v>0.30830486014587938</v>
      </c>
      <c r="P289" s="8">
        <f t="shared" si="35"/>
        <v>7.8865697609036944</v>
      </c>
    </row>
    <row r="290" spans="1:16" x14ac:dyDescent="0.2">
      <c r="A290" s="8">
        <v>144</v>
      </c>
      <c r="B290" s="8">
        <v>288</v>
      </c>
      <c r="D290">
        <v>1119.6183908046</v>
      </c>
      <c r="E290">
        <v>389.79540229884998</v>
      </c>
      <c r="F290">
        <v>157.15712074302999</v>
      </c>
      <c r="G290">
        <v>126.32817337461</v>
      </c>
      <c r="I290" s="9">
        <f t="shared" si="32"/>
        <v>263.46722892423998</v>
      </c>
      <c r="J290" s="9">
        <f t="shared" si="33"/>
        <v>962.46127006157008</v>
      </c>
      <c r="K290" s="9">
        <f t="shared" si="31"/>
        <v>263.46722892423998</v>
      </c>
      <c r="L290" s="10">
        <f t="shared" si="30"/>
        <v>0.27374320101980371</v>
      </c>
      <c r="M290" s="10">
        <f t="shared" si="34"/>
        <v>0.3080362718137678</v>
      </c>
      <c r="P290" s="8">
        <f t="shared" si="35"/>
        <v>7.7925813825965573</v>
      </c>
    </row>
    <row r="291" spans="1:16" x14ac:dyDescent="0.2">
      <c r="A291" s="8">
        <v>144.5</v>
      </c>
      <c r="B291" s="8">
        <v>289</v>
      </c>
      <c r="D291">
        <v>1120.9616858238001</v>
      </c>
      <c r="E291">
        <v>391.62605363985</v>
      </c>
      <c r="F291">
        <v>157.33978328173001</v>
      </c>
      <c r="G291">
        <v>126.39086687307</v>
      </c>
      <c r="I291" s="9">
        <f t="shared" si="32"/>
        <v>265.23518676677998</v>
      </c>
      <c r="J291" s="9">
        <f t="shared" si="33"/>
        <v>963.62190254207007</v>
      </c>
      <c r="K291" s="9">
        <f t="shared" si="31"/>
        <v>265.23518676677998</v>
      </c>
      <c r="L291" s="10">
        <f t="shared" si="30"/>
        <v>0.27524819233257336</v>
      </c>
      <c r="M291" s="10">
        <f t="shared" si="34"/>
        <v>0.30966033628901651</v>
      </c>
      <c r="P291" s="8">
        <f t="shared" si="35"/>
        <v>8.3608979028817707</v>
      </c>
    </row>
    <row r="292" spans="1:16" x14ac:dyDescent="0.2">
      <c r="A292" s="8">
        <v>145</v>
      </c>
      <c r="B292" s="8">
        <v>290</v>
      </c>
      <c r="D292">
        <v>1112.8429118774</v>
      </c>
      <c r="E292">
        <v>389.99770114942999</v>
      </c>
      <c r="F292">
        <v>156.66331269349999</v>
      </c>
      <c r="G292">
        <v>126.25696594426999</v>
      </c>
      <c r="I292" s="9">
        <f>E292-G292</f>
        <v>263.74073520515998</v>
      </c>
      <c r="J292" s="9">
        <f>D292-F292</f>
        <v>956.1795991839</v>
      </c>
      <c r="K292" s="9">
        <f t="shared" si="31"/>
        <v>263.74073520515998</v>
      </c>
      <c r="L292" s="10">
        <f t="shared" si="30"/>
        <v>0.27582761170627662</v>
      </c>
      <c r="M292" s="10">
        <f>L292+ABS($N$2)*A292</f>
        <v>0.31035882882519883</v>
      </c>
      <c r="O292" s="11"/>
      <c r="P292" s="8">
        <f>(M292-$O$2)/$O$2*100</f>
        <v>8.6053246812875575</v>
      </c>
    </row>
    <row r="293" spans="1:16" x14ac:dyDescent="0.2">
      <c r="A293" s="8">
        <v>145.5</v>
      </c>
      <c r="B293" s="8">
        <v>291</v>
      </c>
      <c r="D293">
        <v>1109.9134099616999</v>
      </c>
      <c r="E293">
        <v>392.11340996169002</v>
      </c>
      <c r="F293">
        <v>156.67337461299999</v>
      </c>
      <c r="G293">
        <v>126.21981424149</v>
      </c>
      <c r="I293" s="9">
        <f t="shared" ref="I293:I301" si="36">E293-G293</f>
        <v>265.89359572020004</v>
      </c>
      <c r="J293" s="9">
        <f t="shared" ref="J293:J301" si="37">D293-F293</f>
        <v>953.24003534869996</v>
      </c>
      <c r="K293" s="9">
        <f t="shared" si="31"/>
        <v>265.89359572020004</v>
      </c>
      <c r="L293" s="10">
        <f t="shared" si="30"/>
        <v>0.27893666428197683</v>
      </c>
      <c r="M293" s="10">
        <f t="shared" ref="M293:M301" si="38">L293+ABS($N$2)*A293</f>
        <v>0.31358695456337804</v>
      </c>
      <c r="P293" s="8">
        <f t="shared" ref="P293:P301" si="39">(M293-$O$2)/$O$2*100</f>
        <v>9.7349579036903755</v>
      </c>
    </row>
    <row r="294" spans="1:16" x14ac:dyDescent="0.2">
      <c r="A294" s="8">
        <v>146</v>
      </c>
      <c r="B294" s="8">
        <v>292</v>
      </c>
      <c r="D294">
        <v>1114.3946360153</v>
      </c>
      <c r="E294">
        <v>395.56168582376</v>
      </c>
      <c r="F294">
        <v>156.31965944272</v>
      </c>
      <c r="G294">
        <v>126.54179566564</v>
      </c>
      <c r="I294" s="9">
        <f t="shared" si="36"/>
        <v>269.01989015812001</v>
      </c>
      <c r="J294" s="9">
        <f t="shared" si="37"/>
        <v>958.07497657258</v>
      </c>
      <c r="K294" s="9">
        <f t="shared" si="31"/>
        <v>269.01989015812001</v>
      </c>
      <c r="L294" s="10">
        <f t="shared" si="30"/>
        <v>0.28079210577079516</v>
      </c>
      <c r="M294" s="10">
        <f t="shared" si="38"/>
        <v>0.31556146921467543</v>
      </c>
      <c r="N294" s="1"/>
      <c r="P294" s="8">
        <f t="shared" si="39"/>
        <v>10.425909102352398</v>
      </c>
    </row>
    <row r="295" spans="1:16" x14ac:dyDescent="0.2">
      <c r="A295" s="8">
        <v>146.5</v>
      </c>
      <c r="B295" s="8">
        <v>293</v>
      </c>
      <c r="D295">
        <v>1121.1318007663001</v>
      </c>
      <c r="E295">
        <v>399.57777777778</v>
      </c>
      <c r="F295">
        <v>156.87693498452001</v>
      </c>
      <c r="G295">
        <v>126.08900928793</v>
      </c>
      <c r="I295" s="9">
        <f t="shared" si="36"/>
        <v>273.48876848985003</v>
      </c>
      <c r="J295" s="9">
        <f t="shared" si="37"/>
        <v>964.25486578178015</v>
      </c>
      <c r="K295" s="9">
        <f t="shared" si="31"/>
        <v>273.48876848985003</v>
      </c>
      <c r="L295" s="10">
        <f t="shared" si="30"/>
        <v>0.2836270556624218</v>
      </c>
      <c r="M295" s="10">
        <f t="shared" si="38"/>
        <v>0.31851549226878112</v>
      </c>
      <c r="P295" s="8">
        <f t="shared" si="39"/>
        <v>11.459624283330387</v>
      </c>
    </row>
    <row r="296" spans="1:16" x14ac:dyDescent="0.2">
      <c r="A296" s="8">
        <v>147</v>
      </c>
      <c r="B296" s="8">
        <v>294</v>
      </c>
      <c r="D296">
        <v>1080.7112135176999</v>
      </c>
      <c r="E296">
        <v>379.38556067588001</v>
      </c>
      <c r="F296">
        <v>156.97600619195001</v>
      </c>
      <c r="G296">
        <v>126.06578947368</v>
      </c>
      <c r="I296" s="9">
        <f t="shared" si="36"/>
        <v>253.3197712022</v>
      </c>
      <c r="J296" s="9">
        <f t="shared" si="37"/>
        <v>923.73520732574991</v>
      </c>
      <c r="K296" s="9">
        <f t="shared" si="31"/>
        <v>253.3197712022</v>
      </c>
      <c r="L296" s="10">
        <f t="shared" si="30"/>
        <v>0.27423418442128106</v>
      </c>
      <c r="M296" s="10">
        <f t="shared" si="38"/>
        <v>0.30924169419011938</v>
      </c>
      <c r="P296" s="8">
        <f t="shared" si="39"/>
        <v>8.2144005042155737</v>
      </c>
    </row>
    <row r="297" spans="1:16" x14ac:dyDescent="0.2">
      <c r="A297" s="8">
        <v>147.5</v>
      </c>
      <c r="B297" s="8">
        <v>295</v>
      </c>
      <c r="D297">
        <v>1044.5668202765</v>
      </c>
      <c r="E297">
        <v>373.11213517664999</v>
      </c>
      <c r="F297">
        <v>156.75232198142001</v>
      </c>
      <c r="G297">
        <v>126.00309597523</v>
      </c>
      <c r="I297" s="9">
        <f t="shared" si="36"/>
        <v>247.10903920141999</v>
      </c>
      <c r="J297" s="9">
        <f t="shared" si="37"/>
        <v>887.81449829508006</v>
      </c>
      <c r="K297" s="9">
        <f t="shared" si="31"/>
        <v>247.10903920141999</v>
      </c>
      <c r="L297" s="10">
        <f t="shared" si="30"/>
        <v>0.27833408856912939</v>
      </c>
      <c r="M297" s="10">
        <f t="shared" si="38"/>
        <v>0.31346067150044676</v>
      </c>
      <c r="P297" s="8">
        <f t="shared" si="39"/>
        <v>9.6907670775317847</v>
      </c>
    </row>
    <row r="298" spans="1:16" x14ac:dyDescent="0.2">
      <c r="A298" s="8">
        <v>148</v>
      </c>
      <c r="B298" s="8">
        <v>296</v>
      </c>
      <c r="D298">
        <v>1100.7082695253</v>
      </c>
      <c r="E298">
        <v>396.08958652374002</v>
      </c>
      <c r="F298">
        <v>156.28947368421001</v>
      </c>
      <c r="G298">
        <v>125.76006191950999</v>
      </c>
      <c r="I298" s="9">
        <f t="shared" si="36"/>
        <v>270.32952460423002</v>
      </c>
      <c r="J298" s="9">
        <f t="shared" si="37"/>
        <v>944.41879584109006</v>
      </c>
      <c r="K298" s="9">
        <f t="shared" si="31"/>
        <v>270.32952460423002</v>
      </c>
      <c r="L298" s="10">
        <f t="shared" si="30"/>
        <v>0.28623903483779906</v>
      </c>
      <c r="M298" s="10">
        <f t="shared" si="38"/>
        <v>0.32148469093159548</v>
      </c>
      <c r="P298" s="8">
        <f t="shared" si="39"/>
        <v>12.498649936439234</v>
      </c>
    </row>
    <row r="299" spans="1:16" x14ac:dyDescent="0.2">
      <c r="A299" s="8">
        <v>148.5</v>
      </c>
      <c r="B299" s="8">
        <v>297</v>
      </c>
      <c r="D299">
        <v>1090.8315467074999</v>
      </c>
      <c r="E299">
        <v>396.15313935682002</v>
      </c>
      <c r="F299">
        <v>156.52554179566999</v>
      </c>
      <c r="G299">
        <v>126.24380804953999</v>
      </c>
      <c r="I299" s="9">
        <f t="shared" si="36"/>
        <v>269.90933130728001</v>
      </c>
      <c r="J299" s="9">
        <f t="shared" si="37"/>
        <v>934.30600491182986</v>
      </c>
      <c r="K299" s="9">
        <f t="shared" si="31"/>
        <v>269.90933130728001</v>
      </c>
      <c r="L299" s="10">
        <f t="shared" si="30"/>
        <v>0.28888750568690957</v>
      </c>
      <c r="M299" s="10">
        <f t="shared" si="38"/>
        <v>0.32425223494318506</v>
      </c>
      <c r="P299" s="8">
        <f t="shared" si="39"/>
        <v>13.467109629002794</v>
      </c>
    </row>
    <row r="300" spans="1:16" x14ac:dyDescent="0.2">
      <c r="A300" s="8">
        <v>149</v>
      </c>
      <c r="B300" s="8">
        <v>298</v>
      </c>
      <c r="D300">
        <v>1083.4226646248001</v>
      </c>
      <c r="E300">
        <v>398.28866768760003</v>
      </c>
      <c r="F300">
        <v>156.53173374612999</v>
      </c>
      <c r="G300">
        <v>126.22445820433001</v>
      </c>
      <c r="I300" s="9">
        <f t="shared" si="36"/>
        <v>272.06420948327002</v>
      </c>
      <c r="J300" s="9">
        <f t="shared" si="37"/>
        <v>926.89093087867013</v>
      </c>
      <c r="K300" s="9">
        <f t="shared" si="31"/>
        <v>272.06420948327002</v>
      </c>
      <c r="L300" s="10">
        <f t="shared" si="30"/>
        <v>0.29352343454839908</v>
      </c>
      <c r="M300" s="10">
        <f t="shared" si="38"/>
        <v>0.32900723696715362</v>
      </c>
      <c r="P300" s="8">
        <f t="shared" si="39"/>
        <v>15.131049851448159</v>
      </c>
    </row>
    <row r="301" spans="1:16" x14ac:dyDescent="0.2">
      <c r="A301" s="8">
        <v>149.5</v>
      </c>
      <c r="B301" s="8">
        <v>299</v>
      </c>
      <c r="D301">
        <v>1084.65237366</v>
      </c>
      <c r="E301">
        <v>398.37289433384001</v>
      </c>
      <c r="F301">
        <v>157.13699690403001</v>
      </c>
      <c r="G301">
        <v>126.17414860680999</v>
      </c>
      <c r="I301" s="9">
        <f t="shared" si="36"/>
        <v>272.19874572703003</v>
      </c>
      <c r="J301" s="9">
        <f t="shared" si="37"/>
        <v>927.51537675597001</v>
      </c>
      <c r="K301" s="9">
        <f t="shared" si="31"/>
        <v>272.19874572703003</v>
      </c>
      <c r="L301" s="10">
        <f t="shared" si="30"/>
        <v>0.29347087126367472</v>
      </c>
      <c r="M301" s="10">
        <f t="shared" si="38"/>
        <v>0.32907374684490825</v>
      </c>
      <c r="P301" s="8">
        <f t="shared" si="39"/>
        <v>15.154323965786705</v>
      </c>
    </row>
    <row r="302" spans="1:16" x14ac:dyDescent="0.2">
      <c r="A302" s="8">
        <v>150</v>
      </c>
      <c r="B302" s="8">
        <v>300</v>
      </c>
      <c r="D302">
        <v>1080.9065849922999</v>
      </c>
      <c r="E302">
        <v>397.92572741194999</v>
      </c>
      <c r="F302">
        <v>155.83823529412001</v>
      </c>
      <c r="G302">
        <v>126.21749226006</v>
      </c>
      <c r="I302" s="9">
        <f>E302-G302</f>
        <v>271.70823515188999</v>
      </c>
      <c r="J302" s="9">
        <f>D302-F302</f>
        <v>925.06834969817987</v>
      </c>
      <c r="K302" s="9">
        <f t="shared" si="31"/>
        <v>271.70823515188999</v>
      </c>
      <c r="L302" s="10">
        <f t="shared" si="30"/>
        <v>0.2937169293928818</v>
      </c>
      <c r="M302" s="10">
        <f>L302+ABS($N$2)*A302</f>
        <v>0.32943887813659439</v>
      </c>
      <c r="O302" s="11"/>
      <c r="P302" s="8">
        <f>(M302-$O$2)/$O$2*100</f>
        <v>15.282096076008214</v>
      </c>
    </row>
    <row r="303" spans="1:16" x14ac:dyDescent="0.2">
      <c r="A303" s="8">
        <v>150.5</v>
      </c>
      <c r="B303" s="8">
        <v>301</v>
      </c>
      <c r="D303">
        <v>1085.8323124043</v>
      </c>
      <c r="E303">
        <v>405.29555895865002</v>
      </c>
      <c r="F303">
        <v>156.93111455107999</v>
      </c>
      <c r="G303">
        <v>125.84210526315999</v>
      </c>
      <c r="I303" s="9">
        <f t="shared" ref="I303:I309" si="40">E303-G303</f>
        <v>279.45345369549</v>
      </c>
      <c r="J303" s="9">
        <f t="shared" ref="J303:J309" si="41">D303-F303</f>
        <v>928.90119785321997</v>
      </c>
      <c r="K303" s="9">
        <f t="shared" si="31"/>
        <v>279.45345369549</v>
      </c>
      <c r="L303" s="10">
        <f t="shared" si="30"/>
        <v>0.30084303297415677</v>
      </c>
      <c r="M303" s="10">
        <f t="shared" ref="M303:M309" si="42">L303+ABS($N$2)*A303</f>
        <v>0.33668405488034842</v>
      </c>
      <c r="P303" s="8">
        <f t="shared" ref="P303:P309" si="43">(M303-$O$2)/$O$2*100</f>
        <v>17.817434850185311</v>
      </c>
    </row>
    <row r="304" spans="1:16" x14ac:dyDescent="0.2">
      <c r="A304" s="8">
        <v>151</v>
      </c>
      <c r="B304" s="8">
        <v>302</v>
      </c>
      <c r="D304">
        <v>1068.9777947933001</v>
      </c>
      <c r="E304">
        <v>400.55819295559002</v>
      </c>
      <c r="F304">
        <v>157.03018575850999</v>
      </c>
      <c r="G304">
        <v>125.92801857585</v>
      </c>
      <c r="I304" s="9">
        <f t="shared" si="40"/>
        <v>274.63017437974003</v>
      </c>
      <c r="J304" s="9">
        <f t="shared" si="41"/>
        <v>911.94760903479005</v>
      </c>
      <c r="K304" s="9">
        <f t="shared" si="31"/>
        <v>274.63017437974003</v>
      </c>
      <c r="L304" s="10">
        <f t="shared" si="30"/>
        <v>0.30114687692466235</v>
      </c>
      <c r="M304" s="10">
        <f t="shared" si="42"/>
        <v>0.33710697199333306</v>
      </c>
      <c r="N304" s="1"/>
      <c r="P304" s="8">
        <f t="shared" si="43"/>
        <v>17.965428224637822</v>
      </c>
    </row>
    <row r="305" spans="1:16" x14ac:dyDescent="0.2">
      <c r="A305" s="8">
        <v>151.5</v>
      </c>
      <c r="B305" s="8">
        <v>303</v>
      </c>
      <c r="D305">
        <v>1064.5689127106</v>
      </c>
      <c r="E305">
        <v>401.06355283308</v>
      </c>
      <c r="F305">
        <v>156.73761609907001</v>
      </c>
      <c r="G305">
        <v>125.93343653251</v>
      </c>
      <c r="I305" s="9">
        <f t="shared" si="40"/>
        <v>275.13011630056997</v>
      </c>
      <c r="J305" s="9">
        <f t="shared" si="41"/>
        <v>907.83129661152998</v>
      </c>
      <c r="K305" s="9">
        <f t="shared" si="31"/>
        <v>275.13011630056997</v>
      </c>
      <c r="L305" s="10">
        <f t="shared" si="30"/>
        <v>0.30306304412228352</v>
      </c>
      <c r="M305" s="10">
        <f t="shared" si="42"/>
        <v>0.33914221235343323</v>
      </c>
      <c r="P305" s="8">
        <f t="shared" si="43"/>
        <v>18.677629456192388</v>
      </c>
    </row>
    <row r="306" spans="1:16" x14ac:dyDescent="0.2">
      <c r="A306" s="8">
        <v>152</v>
      </c>
      <c r="B306" s="8">
        <v>304</v>
      </c>
      <c r="D306">
        <v>1079.7350689126999</v>
      </c>
      <c r="E306">
        <v>402.79785604901002</v>
      </c>
      <c r="F306">
        <v>156.35061919505</v>
      </c>
      <c r="G306">
        <v>125.71207430341001</v>
      </c>
      <c r="I306" s="9">
        <f t="shared" si="40"/>
        <v>277.0857817456</v>
      </c>
      <c r="J306" s="9">
        <f t="shared" si="41"/>
        <v>923.38444971764989</v>
      </c>
      <c r="K306" s="9">
        <f t="shared" si="31"/>
        <v>277.0857817456</v>
      </c>
      <c r="L306" s="10">
        <f t="shared" si="30"/>
        <v>0.30007629198252861</v>
      </c>
      <c r="M306" s="10">
        <f t="shared" si="42"/>
        <v>0.33627453337615737</v>
      </c>
      <c r="P306" s="8">
        <f t="shared" si="43"/>
        <v>17.674129064121505</v>
      </c>
    </row>
    <row r="307" spans="1:16" x14ac:dyDescent="0.2">
      <c r="A307" s="8">
        <v>152.5</v>
      </c>
      <c r="B307" s="8">
        <v>305</v>
      </c>
      <c r="D307">
        <v>1058.9142419601999</v>
      </c>
      <c r="E307">
        <v>400.70597243492</v>
      </c>
      <c r="F307">
        <v>156.76547987615999</v>
      </c>
      <c r="G307">
        <v>126.04179566564</v>
      </c>
      <c r="I307" s="9">
        <f t="shared" si="40"/>
        <v>274.66417676928</v>
      </c>
      <c r="J307" s="9">
        <f t="shared" si="41"/>
        <v>902.14876208403984</v>
      </c>
      <c r="K307" s="9">
        <f t="shared" si="31"/>
        <v>274.66417676928</v>
      </c>
      <c r="L307" s="10">
        <f t="shared" si="30"/>
        <v>0.30445552697404643</v>
      </c>
      <c r="M307" s="10">
        <f t="shared" si="42"/>
        <v>0.34077284153015425</v>
      </c>
      <c r="P307" s="8">
        <f t="shared" si="43"/>
        <v>19.248243193339562</v>
      </c>
    </row>
    <row r="308" spans="1:16" x14ac:dyDescent="0.2">
      <c r="A308" s="8">
        <v>153</v>
      </c>
      <c r="B308" s="8">
        <v>306</v>
      </c>
      <c r="D308">
        <v>1053.6033690659001</v>
      </c>
      <c r="E308">
        <v>400.08728943338002</v>
      </c>
      <c r="F308">
        <v>156.84442724458</v>
      </c>
      <c r="G308">
        <v>126.1346749226</v>
      </c>
      <c r="I308" s="9">
        <f t="shared" si="40"/>
        <v>273.95261451077999</v>
      </c>
      <c r="J308" s="9">
        <f t="shared" si="41"/>
        <v>896.75894182132015</v>
      </c>
      <c r="K308" s="9">
        <f t="shared" si="31"/>
        <v>273.95261451077999</v>
      </c>
      <c r="L308" s="10">
        <f t="shared" si="30"/>
        <v>0.30549192401068387</v>
      </c>
      <c r="M308" s="10">
        <f t="shared" si="42"/>
        <v>0.34192831172927074</v>
      </c>
      <c r="P308" s="8">
        <f t="shared" si="43"/>
        <v>19.652582314638661</v>
      </c>
    </row>
    <row r="309" spans="1:16" x14ac:dyDescent="0.2">
      <c r="A309" s="8">
        <v>153.5</v>
      </c>
      <c r="B309" s="8">
        <v>307</v>
      </c>
      <c r="D309">
        <v>1061.8591117916999</v>
      </c>
      <c r="E309">
        <v>402.55742725880998</v>
      </c>
      <c r="F309">
        <v>155.97368421053</v>
      </c>
      <c r="G309">
        <v>125.82662538700001</v>
      </c>
      <c r="I309" s="9">
        <f t="shared" si="40"/>
        <v>276.73080187180994</v>
      </c>
      <c r="J309" s="9">
        <f t="shared" si="41"/>
        <v>905.88542758116989</v>
      </c>
      <c r="K309" s="9">
        <f t="shared" si="31"/>
        <v>276.73080187180994</v>
      </c>
      <c r="L309" s="10">
        <f t="shared" si="30"/>
        <v>0.30548101718637494</v>
      </c>
      <c r="M309" s="10">
        <f t="shared" si="42"/>
        <v>0.34203647806744081</v>
      </c>
      <c r="P309" s="8">
        <f t="shared" si="43"/>
        <v>19.690433470093186</v>
      </c>
    </row>
    <row r="310" spans="1:16" x14ac:dyDescent="0.2">
      <c r="A310" s="8">
        <v>154</v>
      </c>
      <c r="B310" s="8">
        <v>308</v>
      </c>
      <c r="D310">
        <v>1060.7549770291</v>
      </c>
      <c r="E310">
        <v>405.20673813169998</v>
      </c>
      <c r="F310">
        <v>156.45743034055999</v>
      </c>
      <c r="G310">
        <v>126.07275541796</v>
      </c>
      <c r="I310" s="9">
        <f>E310-G310</f>
        <v>279.13398271374001</v>
      </c>
      <c r="J310" s="9">
        <f>D310-F310</f>
        <v>904.29754668854002</v>
      </c>
      <c r="K310" s="9">
        <f t="shared" si="31"/>
        <v>279.13398271374001</v>
      </c>
      <c r="L310" s="10">
        <f t="shared" si="30"/>
        <v>0.30867493087414061</v>
      </c>
      <c r="M310" s="10">
        <f>L310+ABS($N$2)*A310</f>
        <v>0.34534946491768553</v>
      </c>
      <c r="O310" s="11"/>
      <c r="P310" s="8">
        <f>(M310-$O$2)/$O$2*100</f>
        <v>20.849762540568303</v>
      </c>
    </row>
    <row r="311" spans="1:16" x14ac:dyDescent="0.2">
      <c r="A311" s="8">
        <v>154.5</v>
      </c>
      <c r="B311" s="8">
        <v>309</v>
      </c>
      <c r="D311">
        <v>1044.0153139357001</v>
      </c>
      <c r="E311">
        <v>396.06355283308</v>
      </c>
      <c r="F311">
        <v>156.57662538700001</v>
      </c>
      <c r="G311">
        <v>125.69117647058999</v>
      </c>
      <c r="I311" s="9">
        <f t="shared" ref="I311:I319" si="44">E311-G311</f>
        <v>270.37237636249</v>
      </c>
      <c r="J311" s="9">
        <f t="shared" ref="J311:J319" si="45">D311-F311</f>
        <v>887.43868854870004</v>
      </c>
      <c r="K311" s="9">
        <f t="shared" si="31"/>
        <v>270.37237636249</v>
      </c>
      <c r="L311" s="10">
        <f t="shared" si="30"/>
        <v>0.30466597845159504</v>
      </c>
      <c r="M311" s="10">
        <f t="shared" ref="M311:M319" si="46">L311+ABS($N$2)*A311</f>
        <v>0.34145958565761902</v>
      </c>
      <c r="P311" s="8">
        <f t="shared" ref="P311:P319" si="47">(M311-$O$2)/$O$2*100</f>
        <v>19.488558795826538</v>
      </c>
    </row>
    <row r="312" spans="1:16" x14ac:dyDescent="0.2">
      <c r="A312" s="8">
        <v>155</v>
      </c>
      <c r="B312" s="8">
        <v>310</v>
      </c>
      <c r="D312">
        <v>1062.7970903522</v>
      </c>
      <c r="E312">
        <v>402.93644716692</v>
      </c>
      <c r="F312">
        <v>156.04334365324999</v>
      </c>
      <c r="G312">
        <v>125.71517027864</v>
      </c>
      <c r="I312" s="9">
        <f t="shared" si="44"/>
        <v>277.22127688827999</v>
      </c>
      <c r="J312" s="9">
        <f t="shared" si="45"/>
        <v>906.75374669895007</v>
      </c>
      <c r="K312" s="9">
        <f t="shared" si="31"/>
        <v>277.22127688827999</v>
      </c>
      <c r="L312" s="10">
        <f t="shared" si="30"/>
        <v>0.3057293977527063</v>
      </c>
      <c r="M312" s="10">
        <f t="shared" si="46"/>
        <v>0.34264207812120934</v>
      </c>
      <c r="N312" s="1"/>
      <c r="P312" s="8">
        <f t="shared" si="47"/>
        <v>19.902353945226761</v>
      </c>
    </row>
    <row r="313" spans="1:16" x14ac:dyDescent="0.2">
      <c r="A313" s="8">
        <v>155.5</v>
      </c>
      <c r="B313" s="8">
        <v>311</v>
      </c>
      <c r="D313">
        <v>1045.450229709</v>
      </c>
      <c r="E313">
        <v>397.17151607963001</v>
      </c>
      <c r="F313">
        <v>156.60061919505</v>
      </c>
      <c r="G313">
        <v>126.20897832817001</v>
      </c>
      <c r="I313" s="9">
        <f t="shared" si="44"/>
        <v>270.96253775145999</v>
      </c>
      <c r="J313" s="9">
        <f t="shared" si="45"/>
        <v>888.84961051394998</v>
      </c>
      <c r="K313" s="9">
        <f t="shared" si="31"/>
        <v>270.96253775145999</v>
      </c>
      <c r="L313" s="10">
        <f t="shared" si="30"/>
        <v>0.30484632557220137</v>
      </c>
      <c r="M313" s="10">
        <f t="shared" si="46"/>
        <v>0.34187807910318346</v>
      </c>
      <c r="P313" s="8">
        <f t="shared" si="47"/>
        <v>19.63500417553286</v>
      </c>
    </row>
    <row r="314" spans="1:16" x14ac:dyDescent="0.2">
      <c r="A314" s="8">
        <v>156</v>
      </c>
      <c r="B314" s="8">
        <v>312</v>
      </c>
      <c r="D314">
        <v>1046.1975497702999</v>
      </c>
      <c r="E314">
        <v>398.41730474731997</v>
      </c>
      <c r="F314">
        <v>156.66331269349999</v>
      </c>
      <c r="G314">
        <v>125.72987616099</v>
      </c>
      <c r="I314" s="9">
        <f t="shared" si="44"/>
        <v>272.68742858632999</v>
      </c>
      <c r="J314" s="9">
        <f t="shared" si="45"/>
        <v>889.53423707679997</v>
      </c>
      <c r="K314" s="9">
        <f t="shared" si="31"/>
        <v>272.68742858632999</v>
      </c>
      <c r="L314" s="10">
        <f t="shared" si="30"/>
        <v>0.30655079615871705</v>
      </c>
      <c r="M314" s="10">
        <f t="shared" si="46"/>
        <v>0.34370162285217815</v>
      </c>
      <c r="P314" s="8">
        <f t="shared" si="47"/>
        <v>20.273125416290746</v>
      </c>
    </row>
    <row r="315" spans="1:16" x14ac:dyDescent="0.2">
      <c r="A315" s="8">
        <v>156.5</v>
      </c>
      <c r="B315" s="8">
        <v>313</v>
      </c>
      <c r="D315">
        <v>1043.2228177642</v>
      </c>
      <c r="E315">
        <v>398.14165390505002</v>
      </c>
      <c r="F315">
        <v>156.49071207430001</v>
      </c>
      <c r="G315">
        <v>125.89009287926</v>
      </c>
      <c r="I315" s="9">
        <f t="shared" si="44"/>
        <v>272.25156102579001</v>
      </c>
      <c r="J315" s="9">
        <f t="shared" si="45"/>
        <v>886.73210568989998</v>
      </c>
      <c r="K315" s="9">
        <f t="shared" si="31"/>
        <v>272.25156102579001</v>
      </c>
      <c r="L315" s="10">
        <f t="shared" si="30"/>
        <v>0.30702797302458268</v>
      </c>
      <c r="M315" s="10">
        <f t="shared" si="46"/>
        <v>0.34429787288052283</v>
      </c>
      <c r="P315" s="8">
        <f t="shared" si="47"/>
        <v>20.481773993051785</v>
      </c>
    </row>
    <row r="316" spans="1:16" x14ac:dyDescent="0.2">
      <c r="A316" s="8">
        <v>157</v>
      </c>
      <c r="B316" s="8">
        <v>314</v>
      </c>
      <c r="D316">
        <v>1037.1883614088999</v>
      </c>
      <c r="E316">
        <v>397.06049004594001</v>
      </c>
      <c r="F316">
        <v>156.51315789474</v>
      </c>
      <c r="G316">
        <v>126.04102167182999</v>
      </c>
      <c r="I316" s="9">
        <f t="shared" si="44"/>
        <v>271.01946837411003</v>
      </c>
      <c r="J316" s="9">
        <f t="shared" si="45"/>
        <v>880.67520351415988</v>
      </c>
      <c r="K316" s="9">
        <f t="shared" si="31"/>
        <v>271.01946837411003</v>
      </c>
      <c r="L316" s="10">
        <f t="shared" si="30"/>
        <v>0.30774054644965654</v>
      </c>
      <c r="M316" s="10">
        <f t="shared" si="46"/>
        <v>0.34512951946807574</v>
      </c>
      <c r="P316" s="8">
        <f t="shared" si="47"/>
        <v>20.772795994917054</v>
      </c>
    </row>
    <row r="317" spans="1:16" x14ac:dyDescent="0.2">
      <c r="A317" s="8">
        <v>157.5</v>
      </c>
      <c r="B317" s="8">
        <v>315</v>
      </c>
      <c r="D317">
        <v>1075.9701149425</v>
      </c>
      <c r="E317">
        <v>412.17624521072997</v>
      </c>
      <c r="F317">
        <v>156.34984520123999</v>
      </c>
      <c r="G317">
        <v>125.5866873065</v>
      </c>
      <c r="I317" s="9">
        <f t="shared" si="44"/>
        <v>286.58955790422999</v>
      </c>
      <c r="J317" s="9">
        <f t="shared" si="45"/>
        <v>919.62026974126002</v>
      </c>
      <c r="K317" s="9">
        <f t="shared" si="31"/>
        <v>286.58955790422999</v>
      </c>
      <c r="L317" s="10">
        <f t="shared" si="30"/>
        <v>0.31163901811871053</v>
      </c>
      <c r="M317" s="10">
        <f t="shared" si="46"/>
        <v>0.34914706429960873</v>
      </c>
      <c r="P317" s="8">
        <f t="shared" si="47"/>
        <v>22.178674353531491</v>
      </c>
    </row>
    <row r="318" spans="1:16" x14ac:dyDescent="0.2">
      <c r="A318" s="8">
        <v>158</v>
      </c>
      <c r="B318" s="8">
        <v>316</v>
      </c>
      <c r="D318">
        <v>1086.4091954022999</v>
      </c>
      <c r="E318">
        <v>415.95555555556001</v>
      </c>
      <c r="F318">
        <v>155.58746130031</v>
      </c>
      <c r="G318">
        <v>125.87306501547999</v>
      </c>
      <c r="I318" s="9">
        <f t="shared" si="44"/>
        <v>290.08249054008002</v>
      </c>
      <c r="J318" s="9">
        <f t="shared" si="45"/>
        <v>930.82173410198993</v>
      </c>
      <c r="K318" s="9">
        <f t="shared" si="31"/>
        <v>290.08249054008002</v>
      </c>
      <c r="L318" s="10">
        <f t="shared" si="30"/>
        <v>0.31164129490373044</v>
      </c>
      <c r="M318" s="10">
        <f t="shared" si="46"/>
        <v>0.34926841424710769</v>
      </c>
      <c r="P318" s="8">
        <f t="shared" si="47"/>
        <v>22.221138911404932</v>
      </c>
    </row>
    <row r="319" spans="1:16" x14ac:dyDescent="0.2">
      <c r="A319" s="8">
        <v>158.5</v>
      </c>
      <c r="B319" s="8">
        <v>317</v>
      </c>
      <c r="D319">
        <v>1085.4819923371999</v>
      </c>
      <c r="E319">
        <v>417.36245210727998</v>
      </c>
      <c r="F319">
        <v>157.02708978327999</v>
      </c>
      <c r="G319">
        <v>125.80650154799</v>
      </c>
      <c r="I319" s="9">
        <f t="shared" si="44"/>
        <v>291.55595055928995</v>
      </c>
      <c r="J319" s="9">
        <f t="shared" si="45"/>
        <v>928.45490255391996</v>
      </c>
      <c r="K319" s="9">
        <f t="shared" si="31"/>
        <v>291.55595055928995</v>
      </c>
      <c r="L319" s="10">
        <f t="shared" si="30"/>
        <v>0.31402273794591534</v>
      </c>
      <c r="M319" s="10">
        <f t="shared" si="46"/>
        <v>0.35176893045177166</v>
      </c>
      <c r="P319" s="8">
        <f t="shared" si="47"/>
        <v>23.096156307579296</v>
      </c>
    </row>
    <row r="320" spans="1:16" x14ac:dyDescent="0.2">
      <c r="A320" s="8">
        <v>159</v>
      </c>
      <c r="B320" s="8">
        <v>318</v>
      </c>
      <c r="D320">
        <v>1085.6283524903999</v>
      </c>
      <c r="E320">
        <v>416.66743295019</v>
      </c>
      <c r="F320">
        <v>156.46904024768</v>
      </c>
      <c r="G320">
        <v>125.90944272446001</v>
      </c>
      <c r="I320" s="9">
        <f>E320-G320</f>
        <v>290.75799022573</v>
      </c>
      <c r="J320" s="9">
        <f>D320-F320</f>
        <v>929.15931224271992</v>
      </c>
      <c r="K320" s="9">
        <f t="shared" si="31"/>
        <v>290.75799022573</v>
      </c>
      <c r="L320" s="10">
        <f t="shared" si="30"/>
        <v>0.31292587438415154</v>
      </c>
      <c r="M320" s="10">
        <f>L320+ABS($N$2)*A320</f>
        <v>0.3507911400524869</v>
      </c>
      <c r="O320" s="11"/>
      <c r="P320" s="8">
        <f>(M320-$O$2)/$O$2*100</f>
        <v>22.753993514316612</v>
      </c>
    </row>
    <row r="321" spans="1:16" x14ac:dyDescent="0.2">
      <c r="A321" s="8">
        <v>159.5</v>
      </c>
      <c r="B321" s="8">
        <v>319</v>
      </c>
      <c r="D321">
        <v>1083.6942528735999</v>
      </c>
      <c r="E321">
        <v>418.90881226054</v>
      </c>
      <c r="F321">
        <v>156.47910216718</v>
      </c>
      <c r="G321">
        <v>125.75232198142</v>
      </c>
      <c r="I321" s="9">
        <f t="shared" ref="I321" si="48">E321-G321</f>
        <v>293.15649027912002</v>
      </c>
      <c r="J321" s="9">
        <f t="shared" ref="J321" si="49">D321-F321</f>
        <v>927.21515070641988</v>
      </c>
      <c r="K321" s="9">
        <f t="shared" si="31"/>
        <v>293.15649027912002</v>
      </c>
      <c r="L321" s="10">
        <f t="shared" si="30"/>
        <v>0.3161687878544393</v>
      </c>
      <c r="M321" s="10">
        <f t="shared" ref="M321" si="50">L321+ABS($N$2)*A321</f>
        <v>0.35415312668525367</v>
      </c>
      <c r="P321" s="8">
        <f t="shared" ref="P321" si="51">(M321-$O$2)/$O$2*100</f>
        <v>23.930469309150315</v>
      </c>
    </row>
    <row r="322" spans="1:16" x14ac:dyDescent="0.2">
      <c r="A322" s="8">
        <v>160</v>
      </c>
      <c r="B322" s="8">
        <v>320</v>
      </c>
      <c r="D322">
        <v>1080.3471264368</v>
      </c>
      <c r="E322">
        <v>414.79233716474999</v>
      </c>
      <c r="F322">
        <v>156.75773993807999</v>
      </c>
      <c r="G322">
        <v>125.7020123839</v>
      </c>
      <c r="I322" s="9">
        <f>E322-G322</f>
        <v>289.09032478084998</v>
      </c>
      <c r="J322" s="9">
        <f>D322-F322</f>
        <v>923.58938649871993</v>
      </c>
      <c r="K322" s="9">
        <f t="shared" si="31"/>
        <v>289.09032478084998</v>
      </c>
      <c r="L322" s="10">
        <f t="shared" ref="L322" si="52">K322/J322</f>
        <v>0.31300741325837078</v>
      </c>
      <c r="M322" s="10">
        <f>L322+ABS($N$2)*A322</f>
        <v>0.3511108252516642</v>
      </c>
      <c r="O322" s="11"/>
      <c r="P322" s="8">
        <f>(M322-$O$2)/$O$2*100</f>
        <v>22.865862459639921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4980-0BD0-894C-BE16-E7FFF92039C8}">
  <dimension ref="A1:Y798"/>
  <sheetViews>
    <sheetView topLeftCell="E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1536.5157571099001</v>
      </c>
      <c r="E2">
        <v>330.65488086087998</v>
      </c>
      <c r="F2">
        <v>132.33230531997</v>
      </c>
      <c r="G2">
        <v>114.41634541249</v>
      </c>
      <c r="H2" s="4"/>
      <c r="I2" s="5">
        <f>E2-G2</f>
        <v>216.23853544839</v>
      </c>
      <c r="J2" s="5">
        <f>D2-F2</f>
        <v>1404.1834517899301</v>
      </c>
      <c r="K2" s="9">
        <f>I2*1</f>
        <v>216.23853544839</v>
      </c>
      <c r="L2" s="6">
        <f t="shared" ref="L2:L65" si="0">K2/J2</f>
        <v>0.15399592921619182</v>
      </c>
      <c r="M2" s="6">
        <f>L2+ABS($N$2)*A2</f>
        <v>0.15399592921619182</v>
      </c>
      <c r="N2" s="4">
        <f>LINEST(V64:V103,U64:U103)</f>
        <v>-9.5493700687669864E-4</v>
      </c>
      <c r="O2" s="7">
        <f>AVERAGE(M62:M81)</f>
        <v>0.32374522199923284</v>
      </c>
      <c r="P2" s="4">
        <f>(M2-$O$2)/$O$2*100</f>
        <v>-52.432987808988663</v>
      </c>
    </row>
    <row r="3" spans="1:16" x14ac:dyDescent="0.2">
      <c r="A3" s="8">
        <v>0.5</v>
      </c>
      <c r="B3" s="8">
        <v>1</v>
      </c>
      <c r="D3">
        <v>1471.3735588008999</v>
      </c>
      <c r="E3">
        <v>334.98770176787002</v>
      </c>
      <c r="F3">
        <v>132.81418658442999</v>
      </c>
      <c r="G3">
        <v>114.12027756361</v>
      </c>
      <c r="I3" s="9">
        <f t="shared" ref="I3:I66" si="1">E3-G3</f>
        <v>220.86742420426003</v>
      </c>
      <c r="J3" s="9">
        <f t="shared" ref="J3:J66" si="2">D3-F3</f>
        <v>1338.5593722164699</v>
      </c>
      <c r="K3" s="9">
        <f t="shared" ref="K3:K66" si="3">I3*1</f>
        <v>220.86742420426003</v>
      </c>
      <c r="L3" s="10">
        <f t="shared" si="0"/>
        <v>0.16500383082637118</v>
      </c>
      <c r="M3" s="10">
        <f t="shared" ref="M3:M66" si="4">L3+ABS($N$2)*A3</f>
        <v>0.16548129932980954</v>
      </c>
      <c r="P3" s="8">
        <f t="shared" ref="P3:P66" si="5">(M3-$O$2)/$O$2*100</f>
        <v>-48.885330783290549</v>
      </c>
    </row>
    <row r="4" spans="1:16" ht="16" x14ac:dyDescent="0.2">
      <c r="A4" s="8">
        <v>1</v>
      </c>
      <c r="B4" s="8">
        <v>2</v>
      </c>
      <c r="D4">
        <v>1375.4465795542001</v>
      </c>
      <c r="E4">
        <v>329.27132974634998</v>
      </c>
      <c r="F4">
        <v>132.28141865844</v>
      </c>
      <c r="G4">
        <v>114.18889745567</v>
      </c>
      <c r="I4" s="9">
        <f t="shared" si="1"/>
        <v>215.08243229067998</v>
      </c>
      <c r="J4" s="9">
        <f t="shared" si="2"/>
        <v>1243.16516089576</v>
      </c>
      <c r="K4" s="9">
        <f t="shared" si="3"/>
        <v>215.08243229067998</v>
      </c>
      <c r="L4" s="10">
        <f t="shared" si="0"/>
        <v>0.17301195292160762</v>
      </c>
      <c r="M4" s="10">
        <f t="shared" si="4"/>
        <v>0.17396688992848433</v>
      </c>
      <c r="N4" s="1" t="s">
        <v>8</v>
      </c>
      <c r="P4" s="8">
        <f t="shared" si="5"/>
        <v>-46.264260255585619</v>
      </c>
    </row>
    <row r="5" spans="1:16" x14ac:dyDescent="0.2">
      <c r="A5" s="8">
        <v>1.5</v>
      </c>
      <c r="B5" s="8">
        <v>3</v>
      </c>
      <c r="D5">
        <v>1307.7386625673</v>
      </c>
      <c r="E5">
        <v>341.95003843197998</v>
      </c>
      <c r="F5">
        <v>132.75173477255001</v>
      </c>
      <c r="G5">
        <v>114.84117193524</v>
      </c>
      <c r="I5" s="9">
        <f t="shared" si="1"/>
        <v>227.10886649673998</v>
      </c>
      <c r="J5" s="9">
        <f t="shared" si="2"/>
        <v>1174.98692779475</v>
      </c>
      <c r="K5" s="9">
        <f t="shared" si="3"/>
        <v>227.10886649673998</v>
      </c>
      <c r="L5" s="10">
        <f t="shared" si="0"/>
        <v>0.19328629206367817</v>
      </c>
      <c r="M5" s="10">
        <f t="shared" si="4"/>
        <v>0.19471869757399321</v>
      </c>
      <c r="N5" s="8">
        <f>RSQ(V64:V83,U64:U83)</f>
        <v>0.92040790719425181</v>
      </c>
      <c r="P5" s="8">
        <f t="shared" si="5"/>
        <v>-39.854340900680654</v>
      </c>
    </row>
    <row r="6" spans="1:16" x14ac:dyDescent="0.2">
      <c r="A6" s="8">
        <v>2</v>
      </c>
      <c r="B6" s="8">
        <v>4</v>
      </c>
      <c r="D6">
        <v>1310.6495003842999</v>
      </c>
      <c r="E6">
        <v>380.42352036894999</v>
      </c>
      <c r="F6">
        <v>132.53276792598001</v>
      </c>
      <c r="G6">
        <v>114.41788743254</v>
      </c>
      <c r="I6" s="9">
        <f t="shared" si="1"/>
        <v>266.00563293641</v>
      </c>
      <c r="J6" s="9">
        <f t="shared" si="2"/>
        <v>1178.1167324583198</v>
      </c>
      <c r="K6" s="9">
        <f t="shared" si="3"/>
        <v>266.00563293641</v>
      </c>
      <c r="L6" s="10">
        <f t="shared" si="0"/>
        <v>0.22578885912378885</v>
      </c>
      <c r="M6" s="10">
        <f t="shared" si="4"/>
        <v>0.22769873313754224</v>
      </c>
      <c r="P6" s="8">
        <f t="shared" si="5"/>
        <v>-29.667306985589487</v>
      </c>
    </row>
    <row r="7" spans="1:16" x14ac:dyDescent="0.2">
      <c r="A7" s="8">
        <v>2.5</v>
      </c>
      <c r="B7" s="8">
        <v>5</v>
      </c>
      <c r="D7">
        <v>1359.3727901614</v>
      </c>
      <c r="E7">
        <v>433.97232897770999</v>
      </c>
      <c r="F7">
        <v>132.75173477255001</v>
      </c>
      <c r="G7">
        <v>114.19352351581</v>
      </c>
      <c r="I7" s="9">
        <f t="shared" si="1"/>
        <v>319.77880546189999</v>
      </c>
      <c r="J7" s="9">
        <f t="shared" si="2"/>
        <v>1226.62105538885</v>
      </c>
      <c r="K7" s="9">
        <f t="shared" si="3"/>
        <v>319.77880546189999</v>
      </c>
      <c r="L7" s="10">
        <f t="shared" si="0"/>
        <v>0.26069893717952464</v>
      </c>
      <c r="M7" s="10">
        <f t="shared" si="4"/>
        <v>0.26308627969671639</v>
      </c>
      <c r="P7" s="8">
        <f t="shared" si="5"/>
        <v>-18.736629355617236</v>
      </c>
    </row>
    <row r="8" spans="1:16" x14ac:dyDescent="0.2">
      <c r="A8" s="8">
        <v>3</v>
      </c>
      <c r="B8" s="8">
        <v>6</v>
      </c>
      <c r="D8">
        <v>1281.2382782474999</v>
      </c>
      <c r="E8">
        <v>457.58262874712</v>
      </c>
      <c r="F8">
        <v>133.36006168079999</v>
      </c>
      <c r="G8">
        <v>114.46569005396999</v>
      </c>
      <c r="I8" s="9">
        <f t="shared" si="1"/>
        <v>343.11693869315002</v>
      </c>
      <c r="J8" s="9">
        <f t="shared" si="2"/>
        <v>1147.8782165666998</v>
      </c>
      <c r="K8" s="9">
        <f t="shared" si="3"/>
        <v>343.11693869315002</v>
      </c>
      <c r="L8" s="10">
        <f t="shared" si="0"/>
        <v>0.29891406051716157</v>
      </c>
      <c r="M8" s="10">
        <f t="shared" si="4"/>
        <v>0.30177887153779165</v>
      </c>
      <c r="P8" s="8">
        <f t="shared" si="5"/>
        <v>-6.7850732516735759</v>
      </c>
    </row>
    <row r="9" spans="1:16" x14ac:dyDescent="0.2">
      <c r="A9" s="8">
        <v>3.5</v>
      </c>
      <c r="B9" s="8">
        <v>7</v>
      </c>
      <c r="D9">
        <v>1295.3305149885</v>
      </c>
      <c r="E9">
        <v>506.89777094543001</v>
      </c>
      <c r="F9">
        <v>132.90208172705999</v>
      </c>
      <c r="G9">
        <v>114.51657671549999</v>
      </c>
      <c r="I9" s="9">
        <f t="shared" si="1"/>
        <v>392.38119422993003</v>
      </c>
      <c r="J9" s="9">
        <f t="shared" si="2"/>
        <v>1162.42843326144</v>
      </c>
      <c r="K9" s="9">
        <f t="shared" si="3"/>
        <v>392.38119422993003</v>
      </c>
      <c r="L9" s="10">
        <f t="shared" si="0"/>
        <v>0.33755299079275031</v>
      </c>
      <c r="M9" s="10">
        <f t="shared" si="4"/>
        <v>0.34089527031681877</v>
      </c>
      <c r="P9" s="8">
        <f t="shared" si="5"/>
        <v>5.2973904021436242</v>
      </c>
    </row>
    <row r="10" spans="1:16" x14ac:dyDescent="0.2">
      <c r="A10" s="8">
        <v>4</v>
      </c>
      <c r="B10" s="8">
        <v>8</v>
      </c>
      <c r="D10">
        <v>2232.3008442056998</v>
      </c>
      <c r="E10">
        <v>812.29547198772002</v>
      </c>
      <c r="F10">
        <v>133.02081727063</v>
      </c>
      <c r="G10">
        <v>114.11256746338</v>
      </c>
      <c r="I10" s="9">
        <f t="shared" si="1"/>
        <v>698.18290452434007</v>
      </c>
      <c r="J10" s="9">
        <f t="shared" si="2"/>
        <v>2099.2800269350701</v>
      </c>
      <c r="K10" s="9">
        <f t="shared" si="3"/>
        <v>698.18290452434007</v>
      </c>
      <c r="L10" s="10">
        <f t="shared" si="0"/>
        <v>0.33258207364725934</v>
      </c>
      <c r="M10" s="10">
        <f t="shared" si="4"/>
        <v>0.33640182167476612</v>
      </c>
      <c r="P10" s="8">
        <f t="shared" si="5"/>
        <v>3.909432113738895</v>
      </c>
    </row>
    <row r="11" spans="1:16" x14ac:dyDescent="0.2">
      <c r="A11" s="8">
        <v>4.5</v>
      </c>
      <c r="B11" s="8">
        <v>9</v>
      </c>
      <c r="D11">
        <v>2352.9639293936998</v>
      </c>
      <c r="E11">
        <v>894.83269378358</v>
      </c>
      <c r="F11">
        <v>133.04626060139</v>
      </c>
      <c r="G11">
        <v>114.44487278334999</v>
      </c>
      <c r="I11" s="9">
        <f t="shared" si="1"/>
        <v>780.38782100023002</v>
      </c>
      <c r="J11" s="9">
        <f t="shared" si="2"/>
        <v>2219.91766879231</v>
      </c>
      <c r="K11" s="9">
        <f t="shared" si="3"/>
        <v>780.38782100023002</v>
      </c>
      <c r="L11" s="10">
        <f t="shared" si="0"/>
        <v>0.35153908271957685</v>
      </c>
      <c r="M11" s="10">
        <f t="shared" si="4"/>
        <v>0.35583629925052201</v>
      </c>
      <c r="P11" s="8">
        <f t="shared" si="5"/>
        <v>9.9124481445984785</v>
      </c>
    </row>
    <row r="12" spans="1:16" x14ac:dyDescent="0.2">
      <c r="A12" s="8">
        <v>5</v>
      </c>
      <c r="B12" s="8">
        <v>10</v>
      </c>
      <c r="D12">
        <v>2719.4159631619</v>
      </c>
      <c r="E12">
        <v>1048.9347659248001</v>
      </c>
      <c r="F12">
        <v>132.29144178874</v>
      </c>
      <c r="G12">
        <v>114.31148804935</v>
      </c>
      <c r="I12" s="9">
        <f t="shared" si="1"/>
        <v>934.62327787545007</v>
      </c>
      <c r="J12" s="9">
        <f t="shared" si="2"/>
        <v>2587.12452137316</v>
      </c>
      <c r="K12" s="9">
        <f t="shared" si="3"/>
        <v>934.62327787545007</v>
      </c>
      <c r="L12" s="10">
        <f t="shared" si="0"/>
        <v>0.36125948718517154</v>
      </c>
      <c r="M12" s="10">
        <f t="shared" si="4"/>
        <v>0.36603417221955503</v>
      </c>
      <c r="P12" s="8">
        <f t="shared" si="5"/>
        <v>13.062416785388853</v>
      </c>
    </row>
    <row r="13" spans="1:16" x14ac:dyDescent="0.2">
      <c r="A13" s="8">
        <v>5.5</v>
      </c>
      <c r="B13" s="8">
        <v>11</v>
      </c>
      <c r="D13">
        <v>2686.7296466973999</v>
      </c>
      <c r="E13">
        <v>1110.8341013825</v>
      </c>
      <c r="F13">
        <v>132.56746337702</v>
      </c>
      <c r="G13">
        <v>114.19814957593999</v>
      </c>
      <c r="I13" s="9">
        <f t="shared" si="1"/>
        <v>996.63595180656</v>
      </c>
      <c r="J13" s="9">
        <f t="shared" si="2"/>
        <v>2554.1621833203799</v>
      </c>
      <c r="K13" s="9">
        <f t="shared" si="3"/>
        <v>996.63595180656</v>
      </c>
      <c r="L13" s="10">
        <f t="shared" si="0"/>
        <v>0.39020073130632033</v>
      </c>
      <c r="M13" s="10">
        <f t="shared" si="4"/>
        <v>0.39545288484414215</v>
      </c>
      <c r="P13" s="8">
        <f t="shared" si="5"/>
        <v>22.14941193636496</v>
      </c>
    </row>
    <row r="14" spans="1:16" x14ac:dyDescent="0.2">
      <c r="A14" s="8">
        <v>6</v>
      </c>
      <c r="B14" s="8">
        <v>12</v>
      </c>
      <c r="D14">
        <v>2814.2956989247</v>
      </c>
      <c r="E14">
        <v>1191.2749615974999</v>
      </c>
      <c r="F14">
        <v>132.40246723206999</v>
      </c>
      <c r="G14">
        <v>114.46800308404001</v>
      </c>
      <c r="I14" s="9">
        <f t="shared" si="1"/>
        <v>1076.8069585134599</v>
      </c>
      <c r="J14" s="9">
        <f t="shared" si="2"/>
        <v>2681.8932316926298</v>
      </c>
      <c r="K14" s="9">
        <f t="shared" si="3"/>
        <v>1076.8069585134599</v>
      </c>
      <c r="L14" s="10">
        <f t="shared" si="0"/>
        <v>0.40151000263118308</v>
      </c>
      <c r="M14" s="10">
        <f t="shared" si="4"/>
        <v>0.40723962467244329</v>
      </c>
      <c r="P14" s="8">
        <f t="shared" si="5"/>
        <v>25.790157506450644</v>
      </c>
    </row>
    <row r="15" spans="1:16" x14ac:dyDescent="0.2">
      <c r="A15" s="8">
        <v>6.5</v>
      </c>
      <c r="B15" s="8">
        <v>13</v>
      </c>
      <c r="D15">
        <v>2784.1259600613998</v>
      </c>
      <c r="E15">
        <v>1245.7089093702</v>
      </c>
      <c r="F15">
        <v>133.15034695451001</v>
      </c>
      <c r="G15">
        <v>113.92444101773</v>
      </c>
      <c r="I15" s="9">
        <f t="shared" si="1"/>
        <v>1131.78446835247</v>
      </c>
      <c r="J15" s="9">
        <f t="shared" si="2"/>
        <v>2650.9756131068898</v>
      </c>
      <c r="K15" s="9">
        <f t="shared" si="3"/>
        <v>1131.78446835247</v>
      </c>
      <c r="L15" s="10">
        <f t="shared" si="0"/>
        <v>0.42693130135061541</v>
      </c>
      <c r="M15" s="10">
        <f t="shared" si="4"/>
        <v>0.43313839189531395</v>
      </c>
      <c r="P15" s="8">
        <f t="shared" si="5"/>
        <v>33.789894788421101</v>
      </c>
    </row>
    <row r="16" spans="1:16" x14ac:dyDescent="0.2">
      <c r="A16" s="8">
        <v>7</v>
      </c>
      <c r="B16" s="8">
        <v>14</v>
      </c>
      <c r="D16">
        <v>2917.4416282642001</v>
      </c>
      <c r="E16">
        <v>1271.6789554531999</v>
      </c>
      <c r="F16">
        <v>131.94680030839999</v>
      </c>
      <c r="G16">
        <v>114.54047802621</v>
      </c>
      <c r="I16" s="9">
        <f t="shared" si="1"/>
        <v>1157.13847742699</v>
      </c>
      <c r="J16" s="9">
        <f t="shared" si="2"/>
        <v>2785.4948279558002</v>
      </c>
      <c r="K16" s="9">
        <f t="shared" si="3"/>
        <v>1157.13847742699</v>
      </c>
      <c r="L16" s="10">
        <f t="shared" si="0"/>
        <v>0.41541576951201264</v>
      </c>
      <c r="M16" s="10">
        <f t="shared" si="4"/>
        <v>0.42210032856014956</v>
      </c>
      <c r="P16" s="8">
        <f t="shared" si="5"/>
        <v>30.380404057716039</v>
      </c>
    </row>
    <row r="17" spans="1:16" x14ac:dyDescent="0.2">
      <c r="A17" s="8">
        <v>7.5</v>
      </c>
      <c r="B17" s="8">
        <v>15</v>
      </c>
      <c r="D17">
        <v>3096.3717357911</v>
      </c>
      <c r="E17">
        <v>1357.4170506912001</v>
      </c>
      <c r="F17">
        <v>132.08789514264001</v>
      </c>
      <c r="G17">
        <v>114.25674633769999</v>
      </c>
      <c r="I17" s="9">
        <f t="shared" si="1"/>
        <v>1243.1603043535001</v>
      </c>
      <c r="J17" s="9">
        <f t="shared" si="2"/>
        <v>2964.2838406484602</v>
      </c>
      <c r="K17" s="9">
        <f t="shared" si="3"/>
        <v>1243.1603043535001</v>
      </c>
      <c r="L17" s="10">
        <f t="shared" si="0"/>
        <v>0.41937964485936308</v>
      </c>
      <c r="M17" s="10">
        <f t="shared" si="4"/>
        <v>0.42654167241093832</v>
      </c>
      <c r="P17" s="8">
        <f t="shared" si="5"/>
        <v>31.752267964575264</v>
      </c>
    </row>
    <row r="18" spans="1:16" x14ac:dyDescent="0.2">
      <c r="A18" s="8">
        <v>8</v>
      </c>
      <c r="B18" s="8">
        <v>16</v>
      </c>
      <c r="D18">
        <v>3144.7719568566999</v>
      </c>
      <c r="E18">
        <v>1397.3705701079</v>
      </c>
      <c r="F18">
        <v>132.61295296839</v>
      </c>
      <c r="G18">
        <v>114.25289128759</v>
      </c>
      <c r="I18" s="9">
        <f t="shared" si="1"/>
        <v>1283.1176788203099</v>
      </c>
      <c r="J18" s="9">
        <f t="shared" si="2"/>
        <v>3012.1590038883101</v>
      </c>
      <c r="K18" s="9">
        <f t="shared" si="3"/>
        <v>1283.1176788203099</v>
      </c>
      <c r="L18" s="10">
        <f t="shared" si="0"/>
        <v>0.42597939788834849</v>
      </c>
      <c r="M18" s="10">
        <f t="shared" si="4"/>
        <v>0.43361889394336206</v>
      </c>
      <c r="P18" s="8">
        <f t="shared" si="5"/>
        <v>33.938314599864455</v>
      </c>
    </row>
    <row r="19" spans="1:16" x14ac:dyDescent="0.2">
      <c r="A19" s="8">
        <v>8.5</v>
      </c>
      <c r="B19" s="8">
        <v>17</v>
      </c>
      <c r="D19">
        <v>3173.8836671803001</v>
      </c>
      <c r="E19">
        <v>1399.0801232665999</v>
      </c>
      <c r="F19">
        <v>132.61603700847999</v>
      </c>
      <c r="G19">
        <v>114.17270624518</v>
      </c>
      <c r="I19" s="9">
        <f t="shared" si="1"/>
        <v>1284.9074170214199</v>
      </c>
      <c r="J19" s="9">
        <f t="shared" si="2"/>
        <v>3041.2676301718202</v>
      </c>
      <c r="K19" s="9">
        <f t="shared" si="3"/>
        <v>1284.9074170214199</v>
      </c>
      <c r="L19" s="10">
        <f t="shared" si="0"/>
        <v>0.42249074177954782</v>
      </c>
      <c r="M19" s="10">
        <f t="shared" si="4"/>
        <v>0.43060770633799977</v>
      </c>
      <c r="P19" s="8">
        <f t="shared" si="5"/>
        <v>33.008204315373703</v>
      </c>
    </row>
    <row r="20" spans="1:16" x14ac:dyDescent="0.2">
      <c r="A20" s="8">
        <v>9</v>
      </c>
      <c r="B20" s="8">
        <v>18</v>
      </c>
      <c r="D20">
        <v>3160.907550077</v>
      </c>
      <c r="E20">
        <v>1404.0993836672001</v>
      </c>
      <c r="F20">
        <v>132.66229760987</v>
      </c>
      <c r="G20">
        <v>114.35312259059</v>
      </c>
      <c r="I20" s="9">
        <f t="shared" si="1"/>
        <v>1289.7462610766102</v>
      </c>
      <c r="J20" s="9">
        <f t="shared" si="2"/>
        <v>3028.2452524671298</v>
      </c>
      <c r="K20" s="9">
        <f t="shared" si="3"/>
        <v>1289.7462610766102</v>
      </c>
      <c r="L20" s="10">
        <f t="shared" si="0"/>
        <v>0.42590548438104414</v>
      </c>
      <c r="M20" s="10">
        <f t="shared" si="4"/>
        <v>0.43449991744293442</v>
      </c>
      <c r="P20" s="8">
        <f t="shared" si="5"/>
        <v>34.210449426791548</v>
      </c>
    </row>
    <row r="21" spans="1:16" x14ac:dyDescent="0.2">
      <c r="A21" s="8">
        <v>9.5</v>
      </c>
      <c r="B21" s="8">
        <v>19</v>
      </c>
      <c r="D21">
        <v>3162.1029185868001</v>
      </c>
      <c r="E21">
        <v>1418.9408602151</v>
      </c>
      <c r="F21">
        <v>133.01310717038999</v>
      </c>
      <c r="G21">
        <v>113.82729375482</v>
      </c>
      <c r="I21" s="9">
        <f t="shared" si="1"/>
        <v>1305.11356646028</v>
      </c>
      <c r="J21" s="9">
        <f t="shared" si="2"/>
        <v>3029.0898114164102</v>
      </c>
      <c r="K21" s="9">
        <f t="shared" si="3"/>
        <v>1305.11356646028</v>
      </c>
      <c r="L21" s="10">
        <f t="shared" si="0"/>
        <v>0.43085997699421319</v>
      </c>
      <c r="M21" s="10">
        <f t="shared" si="4"/>
        <v>0.4399318785595418</v>
      </c>
      <c r="P21" s="8">
        <f t="shared" si="5"/>
        <v>35.888300016543347</v>
      </c>
    </row>
    <row r="22" spans="1:16" x14ac:dyDescent="0.2">
      <c r="A22" s="8">
        <v>10</v>
      </c>
      <c r="B22" s="8">
        <v>20</v>
      </c>
      <c r="D22">
        <v>3125.0983102918999</v>
      </c>
      <c r="E22">
        <v>1404.4431643625001</v>
      </c>
      <c r="F22">
        <v>132.71703932150999</v>
      </c>
      <c r="G22">
        <v>114.22513492675</v>
      </c>
      <c r="I22" s="9">
        <f t="shared" si="1"/>
        <v>1290.2180294357499</v>
      </c>
      <c r="J22" s="9">
        <f t="shared" si="2"/>
        <v>2992.3812709703898</v>
      </c>
      <c r="K22" s="9">
        <f t="shared" si="3"/>
        <v>1290.2180294357499</v>
      </c>
      <c r="L22" s="10">
        <f t="shared" si="0"/>
        <v>0.43116765966702808</v>
      </c>
      <c r="M22" s="10">
        <f t="shared" si="4"/>
        <v>0.44071702973579507</v>
      </c>
      <c r="P22" s="8">
        <f t="shared" si="5"/>
        <v>36.130821333585402</v>
      </c>
    </row>
    <row r="23" spans="1:16" x14ac:dyDescent="0.2">
      <c r="A23" s="8">
        <v>10.5</v>
      </c>
      <c r="B23" s="8">
        <v>21</v>
      </c>
      <c r="D23">
        <v>3102.1586575134002</v>
      </c>
      <c r="E23">
        <v>1381.5789473683999</v>
      </c>
      <c r="F23">
        <v>132.80724749422001</v>
      </c>
      <c r="G23">
        <v>114.12875867386001</v>
      </c>
      <c r="I23" s="9">
        <f t="shared" si="1"/>
        <v>1267.45018869454</v>
      </c>
      <c r="J23" s="9">
        <f t="shared" si="2"/>
        <v>2969.3514100191801</v>
      </c>
      <c r="K23" s="9">
        <f t="shared" si="3"/>
        <v>1267.45018869454</v>
      </c>
      <c r="L23" s="10">
        <f t="shared" si="0"/>
        <v>0.4268441197016668</v>
      </c>
      <c r="M23" s="10">
        <f t="shared" si="4"/>
        <v>0.43687095827387212</v>
      </c>
      <c r="P23" s="8">
        <f t="shared" si="5"/>
        <v>34.942828059685574</v>
      </c>
    </row>
    <row r="24" spans="1:16" x14ac:dyDescent="0.2">
      <c r="A24" s="8">
        <v>11</v>
      </c>
      <c r="B24" s="8">
        <v>22</v>
      </c>
      <c r="D24">
        <v>3103.5080091533</v>
      </c>
      <c r="E24">
        <v>1374.0038138825</v>
      </c>
      <c r="F24">
        <v>132.70084811103001</v>
      </c>
      <c r="G24">
        <v>114.44178874325</v>
      </c>
      <c r="I24" s="9">
        <f t="shared" si="1"/>
        <v>1259.56202513925</v>
      </c>
      <c r="J24" s="9">
        <f t="shared" si="2"/>
        <v>2970.8071610422699</v>
      </c>
      <c r="K24" s="9">
        <f t="shared" si="3"/>
        <v>1259.56202513925</v>
      </c>
      <c r="L24" s="10">
        <f t="shared" si="0"/>
        <v>0.42397973239614406</v>
      </c>
      <c r="M24" s="10">
        <f t="shared" si="4"/>
        <v>0.43448403947178776</v>
      </c>
      <c r="P24" s="8">
        <f t="shared" si="5"/>
        <v>34.205544961777797</v>
      </c>
    </row>
    <row r="25" spans="1:16" x14ac:dyDescent="0.2">
      <c r="A25" s="8">
        <v>11.5</v>
      </c>
      <c r="B25" s="8">
        <v>23</v>
      </c>
      <c r="D25">
        <v>3087.5179252479002</v>
      </c>
      <c r="E25">
        <v>1360.5087719298001</v>
      </c>
      <c r="F25">
        <v>131.90285273709</v>
      </c>
      <c r="G25">
        <v>114.20046260601001</v>
      </c>
      <c r="I25" s="9">
        <f t="shared" si="1"/>
        <v>1246.3083093237901</v>
      </c>
      <c r="J25" s="9">
        <f t="shared" si="2"/>
        <v>2955.61507251081</v>
      </c>
      <c r="K25" s="9">
        <f t="shared" si="3"/>
        <v>1246.3083093237901</v>
      </c>
      <c r="L25" s="10">
        <f t="shared" si="0"/>
        <v>0.42167477115517782</v>
      </c>
      <c r="M25" s="10">
        <f t="shared" si="4"/>
        <v>0.43265654673425985</v>
      </c>
      <c r="P25" s="8">
        <f t="shared" si="5"/>
        <v>33.64106010969487</v>
      </c>
    </row>
    <row r="26" spans="1:16" x14ac:dyDescent="0.2">
      <c r="A26" s="8">
        <v>12</v>
      </c>
      <c r="B26" s="8">
        <v>24</v>
      </c>
      <c r="D26">
        <v>3072.0472921434002</v>
      </c>
      <c r="E26">
        <v>1338.1060259343999</v>
      </c>
      <c r="F26">
        <v>132.54202004626001</v>
      </c>
      <c r="G26">
        <v>114.14880493446</v>
      </c>
      <c r="I26" s="9">
        <f t="shared" si="1"/>
        <v>1223.9572209999399</v>
      </c>
      <c r="J26" s="9">
        <f t="shared" si="2"/>
        <v>2939.5052720971403</v>
      </c>
      <c r="K26" s="9">
        <f t="shared" si="3"/>
        <v>1223.9572209999399</v>
      </c>
      <c r="L26" s="10">
        <f t="shared" si="0"/>
        <v>0.41638204653626232</v>
      </c>
      <c r="M26" s="10">
        <f t="shared" si="4"/>
        <v>0.42784129061878268</v>
      </c>
      <c r="P26" s="8">
        <f t="shared" si="5"/>
        <v>32.15370036250188</v>
      </c>
    </row>
    <row r="27" spans="1:16" x14ac:dyDescent="0.2">
      <c r="A27" s="8">
        <v>12.5</v>
      </c>
      <c r="B27" s="8">
        <v>25</v>
      </c>
      <c r="D27">
        <v>3075.9421296296</v>
      </c>
      <c r="E27">
        <v>1342.9429012346</v>
      </c>
      <c r="F27">
        <v>132.61449498843999</v>
      </c>
      <c r="G27">
        <v>114.2467232074</v>
      </c>
      <c r="I27" s="9">
        <f t="shared" si="1"/>
        <v>1228.6961780271999</v>
      </c>
      <c r="J27" s="9">
        <f t="shared" si="2"/>
        <v>2943.3276346411599</v>
      </c>
      <c r="K27" s="9">
        <f t="shared" si="3"/>
        <v>1228.6961780271999</v>
      </c>
      <c r="L27" s="10">
        <f t="shared" si="0"/>
        <v>0.41745137835360224</v>
      </c>
      <c r="M27" s="10">
        <f t="shared" si="4"/>
        <v>0.42938809093956098</v>
      </c>
      <c r="P27" s="8">
        <f t="shared" si="5"/>
        <v>32.631483574629712</v>
      </c>
    </row>
    <row r="28" spans="1:16" x14ac:dyDescent="0.2">
      <c r="A28" s="8">
        <v>13</v>
      </c>
      <c r="B28" s="8">
        <v>26</v>
      </c>
      <c r="D28">
        <v>3056.7643898695001</v>
      </c>
      <c r="E28">
        <v>1316.2877973906</v>
      </c>
      <c r="F28">
        <v>132.65844255975</v>
      </c>
      <c r="G28">
        <v>114.37702390131</v>
      </c>
      <c r="I28" s="9">
        <f t="shared" si="1"/>
        <v>1201.91077348929</v>
      </c>
      <c r="J28" s="9">
        <f t="shared" si="2"/>
        <v>2924.1059473097503</v>
      </c>
      <c r="K28" s="9">
        <f t="shared" si="3"/>
        <v>1201.91077348929</v>
      </c>
      <c r="L28" s="10">
        <f t="shared" si="0"/>
        <v>0.41103530280600048</v>
      </c>
      <c r="M28" s="10">
        <f t="shared" si="4"/>
        <v>0.42344948389539755</v>
      </c>
      <c r="P28" s="8">
        <f t="shared" si="5"/>
        <v>30.797137724676897</v>
      </c>
    </row>
    <row r="29" spans="1:16" x14ac:dyDescent="0.2">
      <c r="A29" s="8">
        <v>13.5</v>
      </c>
      <c r="B29" s="8">
        <v>27</v>
      </c>
      <c r="D29">
        <v>3021.5628834355998</v>
      </c>
      <c r="E29">
        <v>1278.4010736196001</v>
      </c>
      <c r="F29">
        <v>132.36468774094001</v>
      </c>
      <c r="G29">
        <v>114.20817270625</v>
      </c>
      <c r="I29" s="9">
        <f t="shared" si="1"/>
        <v>1164.1929009133501</v>
      </c>
      <c r="J29" s="9">
        <f t="shared" si="2"/>
        <v>2889.1981956946597</v>
      </c>
      <c r="K29" s="9">
        <f t="shared" si="3"/>
        <v>1164.1929009133501</v>
      </c>
      <c r="L29" s="10">
        <f t="shared" si="0"/>
        <v>0.40294670772263835</v>
      </c>
      <c r="M29" s="10">
        <f t="shared" si="4"/>
        <v>0.41583835731547381</v>
      </c>
      <c r="P29" s="8">
        <f t="shared" si="5"/>
        <v>28.446175899534726</v>
      </c>
    </row>
    <row r="30" spans="1:16" x14ac:dyDescent="0.2">
      <c r="A30" s="8">
        <v>14</v>
      </c>
      <c r="B30" s="8">
        <v>28</v>
      </c>
      <c r="D30">
        <v>3058.0820552147002</v>
      </c>
      <c r="E30">
        <v>1262.9762269938999</v>
      </c>
      <c r="F30">
        <v>132.35543562065999</v>
      </c>
      <c r="G30">
        <v>114.19198149576</v>
      </c>
      <c r="I30" s="9">
        <f t="shared" si="1"/>
        <v>1148.7842454981399</v>
      </c>
      <c r="J30" s="9">
        <f t="shared" si="2"/>
        <v>2925.7266195940401</v>
      </c>
      <c r="K30" s="9">
        <f t="shared" si="3"/>
        <v>1148.7842454981399</v>
      </c>
      <c r="L30" s="10">
        <f t="shared" si="0"/>
        <v>0.39264920987646468</v>
      </c>
      <c r="M30" s="10">
        <f t="shared" si="4"/>
        <v>0.40601832797273846</v>
      </c>
      <c r="P30" s="8">
        <f t="shared" si="5"/>
        <v>25.412917437187872</v>
      </c>
    </row>
    <row r="31" spans="1:16" x14ac:dyDescent="0.2">
      <c r="A31" s="8">
        <v>14.5</v>
      </c>
      <c r="B31" s="8">
        <v>29</v>
      </c>
      <c r="D31">
        <v>3100.4</v>
      </c>
      <c r="E31">
        <v>1270.7330769231</v>
      </c>
      <c r="F31">
        <v>132.60986892829999</v>
      </c>
      <c r="G31">
        <v>113.95605242868</v>
      </c>
      <c r="I31" s="9">
        <f t="shared" si="1"/>
        <v>1156.7770244944199</v>
      </c>
      <c r="J31" s="9">
        <f t="shared" si="2"/>
        <v>2967.7901310717002</v>
      </c>
      <c r="K31" s="9">
        <f t="shared" si="3"/>
        <v>1156.7770244944199</v>
      </c>
      <c r="L31" s="10">
        <f t="shared" si="0"/>
        <v>0.38977723269020226</v>
      </c>
      <c r="M31" s="10">
        <f t="shared" si="4"/>
        <v>0.40362381928991437</v>
      </c>
      <c r="P31" s="8">
        <f t="shared" si="5"/>
        <v>24.673289939973479</v>
      </c>
    </row>
    <row r="32" spans="1:16" x14ac:dyDescent="0.2">
      <c r="A32" s="8">
        <v>15</v>
      </c>
      <c r="B32" s="8">
        <v>30</v>
      </c>
      <c r="D32">
        <v>3087.4769230769002</v>
      </c>
      <c r="E32">
        <v>1250.2961538462</v>
      </c>
      <c r="F32">
        <v>132.72706245181001</v>
      </c>
      <c r="G32">
        <v>114.18118735544</v>
      </c>
      <c r="I32" s="9">
        <f t="shared" si="1"/>
        <v>1136.11496649076</v>
      </c>
      <c r="J32" s="9">
        <f t="shared" si="2"/>
        <v>2954.7498606250902</v>
      </c>
      <c r="K32" s="9">
        <f t="shared" si="3"/>
        <v>1136.11496649076</v>
      </c>
      <c r="L32" s="10">
        <f t="shared" si="0"/>
        <v>0.38450461801541808</v>
      </c>
      <c r="M32" s="10">
        <f t="shared" si="4"/>
        <v>0.39882867311856857</v>
      </c>
      <c r="P32" s="8">
        <f t="shared" si="5"/>
        <v>23.192141850208884</v>
      </c>
    </row>
    <row r="33" spans="1:16" x14ac:dyDescent="0.2">
      <c r="A33" s="8">
        <v>15.5</v>
      </c>
      <c r="B33" s="8">
        <v>31</v>
      </c>
      <c r="D33">
        <v>3057.3507692307999</v>
      </c>
      <c r="E33">
        <v>1222.93</v>
      </c>
      <c r="F33">
        <v>132.90979182729001</v>
      </c>
      <c r="G33">
        <v>114.49036237471</v>
      </c>
      <c r="I33" s="9">
        <f t="shared" si="1"/>
        <v>1108.4396376252901</v>
      </c>
      <c r="J33" s="9">
        <f t="shared" si="2"/>
        <v>2924.4409774035098</v>
      </c>
      <c r="K33" s="9">
        <f t="shared" si="3"/>
        <v>1108.4396376252901</v>
      </c>
      <c r="L33" s="10">
        <f t="shared" si="0"/>
        <v>0.3790261613039726</v>
      </c>
      <c r="M33" s="10">
        <f t="shared" si="4"/>
        <v>0.39382768491056142</v>
      </c>
      <c r="P33" s="8">
        <f t="shared" si="5"/>
        <v>21.647412270224841</v>
      </c>
    </row>
    <row r="34" spans="1:16" x14ac:dyDescent="0.2">
      <c r="A34" s="8">
        <v>16</v>
      </c>
      <c r="B34" s="8">
        <v>32</v>
      </c>
      <c r="D34">
        <v>3070.18</v>
      </c>
      <c r="E34">
        <v>1215.75</v>
      </c>
      <c r="F34">
        <v>132.37316885120001</v>
      </c>
      <c r="G34">
        <v>114.01310717039</v>
      </c>
      <c r="I34" s="9">
        <f t="shared" si="1"/>
        <v>1101.73689282961</v>
      </c>
      <c r="J34" s="9">
        <f t="shared" si="2"/>
        <v>2937.8068311488</v>
      </c>
      <c r="K34" s="9">
        <f t="shared" si="3"/>
        <v>1101.73689282961</v>
      </c>
      <c r="L34" s="10">
        <f t="shared" si="0"/>
        <v>0.37502019572838519</v>
      </c>
      <c r="M34" s="10">
        <f t="shared" si="4"/>
        <v>0.39029918783841239</v>
      </c>
      <c r="P34" s="8">
        <f t="shared" si="5"/>
        <v>20.557512919630753</v>
      </c>
    </row>
    <row r="35" spans="1:16" x14ac:dyDescent="0.2">
      <c r="A35" s="8">
        <v>16.5</v>
      </c>
      <c r="B35" s="8">
        <v>33</v>
      </c>
      <c r="D35">
        <v>3060.4823076922999</v>
      </c>
      <c r="E35">
        <v>1197.7661538462</v>
      </c>
      <c r="F35">
        <v>132.52197378566001</v>
      </c>
      <c r="G35">
        <v>114.44564379337</v>
      </c>
      <c r="I35" s="9">
        <f t="shared" si="1"/>
        <v>1083.3205100528301</v>
      </c>
      <c r="J35" s="9">
        <f t="shared" si="2"/>
        <v>2927.9603339066398</v>
      </c>
      <c r="K35" s="9">
        <f t="shared" si="3"/>
        <v>1083.3205100528301</v>
      </c>
      <c r="L35" s="10">
        <f t="shared" si="0"/>
        <v>0.3699915253316996</v>
      </c>
      <c r="M35" s="10">
        <f t="shared" si="4"/>
        <v>0.38574798594516513</v>
      </c>
      <c r="P35" s="8">
        <f t="shared" si="5"/>
        <v>19.151715525883255</v>
      </c>
    </row>
    <row r="36" spans="1:16" x14ac:dyDescent="0.2">
      <c r="A36" s="8">
        <v>17</v>
      </c>
      <c r="B36" s="8">
        <v>34</v>
      </c>
      <c r="D36">
        <v>3042.8823076922999</v>
      </c>
      <c r="E36">
        <v>1182.5530769231</v>
      </c>
      <c r="F36">
        <v>132.60755589823</v>
      </c>
      <c r="G36">
        <v>114.33153430995</v>
      </c>
      <c r="I36" s="9">
        <f t="shared" si="1"/>
        <v>1068.2215426131499</v>
      </c>
      <c r="J36" s="9">
        <f t="shared" si="2"/>
        <v>2910.2747517940697</v>
      </c>
      <c r="K36" s="9">
        <f t="shared" si="3"/>
        <v>1068.2215426131499</v>
      </c>
      <c r="L36" s="10">
        <f t="shared" si="0"/>
        <v>0.36705178504353703</v>
      </c>
      <c r="M36" s="10">
        <f t="shared" si="4"/>
        <v>0.38328571416044088</v>
      </c>
      <c r="P36" s="8">
        <f t="shared" si="5"/>
        <v>18.391157031917256</v>
      </c>
    </row>
    <row r="37" spans="1:16" x14ac:dyDescent="0.2">
      <c r="A37" s="8">
        <v>17.5</v>
      </c>
      <c r="B37" s="8">
        <v>35</v>
      </c>
      <c r="D37">
        <v>3027.7784615384999</v>
      </c>
      <c r="E37">
        <v>1180.3069230768999</v>
      </c>
      <c r="F37">
        <v>132.32845026985001</v>
      </c>
      <c r="G37">
        <v>113.87047031611</v>
      </c>
      <c r="I37" s="9">
        <f t="shared" si="1"/>
        <v>1066.43645276079</v>
      </c>
      <c r="J37" s="9">
        <f t="shared" si="2"/>
        <v>2895.4500112686501</v>
      </c>
      <c r="K37" s="9">
        <f t="shared" si="3"/>
        <v>1066.43645276079</v>
      </c>
      <c r="L37" s="10">
        <f t="shared" si="0"/>
        <v>0.36831457929177913</v>
      </c>
      <c r="M37" s="10">
        <f t="shared" si="4"/>
        <v>0.38502597691212137</v>
      </c>
      <c r="P37" s="8">
        <f t="shared" si="5"/>
        <v>18.928697861379941</v>
      </c>
    </row>
    <row r="38" spans="1:16" x14ac:dyDescent="0.2">
      <c r="A38" s="8">
        <v>18</v>
      </c>
      <c r="B38" s="8">
        <v>36</v>
      </c>
      <c r="D38">
        <v>3030.0753846153998</v>
      </c>
      <c r="E38">
        <v>1158.9546153845999</v>
      </c>
      <c r="F38">
        <v>132.66461063994001</v>
      </c>
      <c r="G38">
        <v>114.16730917501999</v>
      </c>
      <c r="I38" s="9">
        <f t="shared" si="1"/>
        <v>1044.78730620958</v>
      </c>
      <c r="J38" s="9">
        <f t="shared" si="2"/>
        <v>2897.41077397546</v>
      </c>
      <c r="K38" s="9">
        <f t="shared" si="3"/>
        <v>1044.78730620958</v>
      </c>
      <c r="L38" s="10">
        <f t="shared" si="0"/>
        <v>0.36059343590279236</v>
      </c>
      <c r="M38" s="10">
        <f t="shared" si="4"/>
        <v>0.37778230202657292</v>
      </c>
      <c r="P38" s="8">
        <f t="shared" si="5"/>
        <v>16.691236304166409</v>
      </c>
    </row>
    <row r="39" spans="1:16" x14ac:dyDescent="0.2">
      <c r="A39" s="8">
        <v>18.5</v>
      </c>
      <c r="B39" s="8">
        <v>37</v>
      </c>
      <c r="D39">
        <v>3021.6384615385</v>
      </c>
      <c r="E39">
        <v>1155.9146153846</v>
      </c>
      <c r="F39">
        <v>132.37933693138001</v>
      </c>
      <c r="G39">
        <v>114.25057825752</v>
      </c>
      <c r="I39" s="9">
        <f t="shared" si="1"/>
        <v>1041.6640371270801</v>
      </c>
      <c r="J39" s="9">
        <f t="shared" si="2"/>
        <v>2889.2591246071202</v>
      </c>
      <c r="K39" s="9">
        <f t="shared" si="3"/>
        <v>1041.6640371270801</v>
      </c>
      <c r="L39" s="10">
        <f t="shared" si="0"/>
        <v>0.36052980788586242</v>
      </c>
      <c r="M39" s="10">
        <f t="shared" si="4"/>
        <v>0.37819614251308137</v>
      </c>
      <c r="P39" s="8">
        <f t="shared" si="5"/>
        <v>16.819065368006438</v>
      </c>
    </row>
    <row r="40" spans="1:16" x14ac:dyDescent="0.2">
      <c r="A40" s="8">
        <v>19</v>
      </c>
      <c r="B40" s="8">
        <v>38</v>
      </c>
      <c r="D40">
        <v>3018.3115384614998</v>
      </c>
      <c r="E40">
        <v>1143.0976923077001</v>
      </c>
      <c r="F40">
        <v>132.85582112568</v>
      </c>
      <c r="G40">
        <v>114.07632999229</v>
      </c>
      <c r="I40" s="9">
        <f t="shared" si="1"/>
        <v>1029.02136231541</v>
      </c>
      <c r="J40" s="9">
        <f t="shared" si="2"/>
        <v>2885.4557173358198</v>
      </c>
      <c r="K40" s="9">
        <f t="shared" si="3"/>
        <v>1029.02136231541</v>
      </c>
      <c r="L40" s="10">
        <f t="shared" si="0"/>
        <v>0.35662351570084716</v>
      </c>
      <c r="M40" s="10">
        <f t="shared" si="4"/>
        <v>0.37476731883150444</v>
      </c>
      <c r="P40" s="8">
        <f t="shared" si="5"/>
        <v>15.759953619452183</v>
      </c>
    </row>
    <row r="41" spans="1:16" x14ac:dyDescent="0.2">
      <c r="A41" s="8">
        <v>19.5</v>
      </c>
      <c r="B41" s="8">
        <v>39</v>
      </c>
      <c r="D41">
        <v>2991.4366412213999</v>
      </c>
      <c r="E41">
        <v>1140.0908396947</v>
      </c>
      <c r="F41">
        <v>132.63993831920001</v>
      </c>
      <c r="G41">
        <v>114.26368542791</v>
      </c>
      <c r="I41" s="9">
        <f t="shared" si="1"/>
        <v>1025.8271542667899</v>
      </c>
      <c r="J41" s="9">
        <f t="shared" si="2"/>
        <v>2858.7967029021997</v>
      </c>
      <c r="K41" s="9">
        <f t="shared" si="3"/>
        <v>1025.8271542667899</v>
      </c>
      <c r="L41" s="10">
        <f t="shared" si="0"/>
        <v>0.35883179563813977</v>
      </c>
      <c r="M41" s="10">
        <f t="shared" si="4"/>
        <v>0.37745306727223538</v>
      </c>
      <c r="P41" s="8">
        <f t="shared" si="5"/>
        <v>16.58954067069747</v>
      </c>
    </row>
    <row r="42" spans="1:16" x14ac:dyDescent="0.2">
      <c r="A42" s="8">
        <v>20</v>
      </c>
      <c r="B42" s="8">
        <v>40</v>
      </c>
      <c r="D42">
        <v>2947.627480916</v>
      </c>
      <c r="E42">
        <v>1115.4114503817</v>
      </c>
      <c r="F42">
        <v>132.68851195066</v>
      </c>
      <c r="G42">
        <v>114.06476484194</v>
      </c>
      <c r="I42" s="9">
        <f t="shared" si="1"/>
        <v>1001.34668553976</v>
      </c>
      <c r="J42" s="9">
        <f t="shared" si="2"/>
        <v>2814.9389689653399</v>
      </c>
      <c r="K42" s="9">
        <f t="shared" si="3"/>
        <v>1001.34668553976</v>
      </c>
      <c r="L42" s="10">
        <f t="shared" si="0"/>
        <v>0.35572589550949141</v>
      </c>
      <c r="M42" s="10">
        <f t="shared" si="4"/>
        <v>0.37482463564702539</v>
      </c>
      <c r="P42" s="8">
        <f t="shared" si="5"/>
        <v>15.777657916419722</v>
      </c>
    </row>
    <row r="43" spans="1:16" x14ac:dyDescent="0.2">
      <c r="A43" s="8">
        <v>20.5</v>
      </c>
      <c r="B43" s="8">
        <v>41</v>
      </c>
      <c r="D43">
        <v>2954.0374045802</v>
      </c>
      <c r="E43">
        <v>1097.2503816794001</v>
      </c>
      <c r="F43">
        <v>132.32922127987999</v>
      </c>
      <c r="G43">
        <v>114.13646877409001</v>
      </c>
      <c r="I43" s="9">
        <f t="shared" si="1"/>
        <v>983.11391290531014</v>
      </c>
      <c r="J43" s="9">
        <f t="shared" si="2"/>
        <v>2821.7081833003199</v>
      </c>
      <c r="K43" s="9">
        <f t="shared" si="3"/>
        <v>983.11391290531014</v>
      </c>
      <c r="L43" s="10">
        <f t="shared" si="0"/>
        <v>0.34841090893936549</v>
      </c>
      <c r="M43" s="10">
        <f t="shared" si="4"/>
        <v>0.36798711758033781</v>
      </c>
      <c r="P43" s="8">
        <f t="shared" si="5"/>
        <v>13.665652054383001</v>
      </c>
    </row>
    <row r="44" spans="1:16" x14ac:dyDescent="0.2">
      <c r="A44" s="8">
        <v>21</v>
      </c>
      <c r="B44" s="8">
        <v>42</v>
      </c>
      <c r="D44">
        <v>2976.3926096997998</v>
      </c>
      <c r="E44">
        <v>1114.6959199384</v>
      </c>
      <c r="F44">
        <v>132.84040092520999</v>
      </c>
      <c r="G44">
        <v>114.19429452583</v>
      </c>
      <c r="I44" s="9">
        <f t="shared" si="1"/>
        <v>1000.5016254125701</v>
      </c>
      <c r="J44" s="9">
        <f t="shared" si="2"/>
        <v>2843.5522087745899</v>
      </c>
      <c r="K44" s="9">
        <f t="shared" si="3"/>
        <v>1000.5016254125701</v>
      </c>
      <c r="L44" s="10">
        <f t="shared" si="0"/>
        <v>0.35184921955195247</v>
      </c>
      <c r="M44" s="10">
        <f t="shared" si="4"/>
        <v>0.37190289669636312</v>
      </c>
      <c r="P44" s="8">
        <f t="shared" si="5"/>
        <v>14.87517696778376</v>
      </c>
    </row>
    <row r="45" spans="1:16" x14ac:dyDescent="0.2">
      <c r="A45" s="8">
        <v>21.5</v>
      </c>
      <c r="B45" s="8">
        <v>43</v>
      </c>
      <c r="D45">
        <v>3006.9716908952</v>
      </c>
      <c r="E45">
        <v>1133.9166029073999</v>
      </c>
      <c r="F45">
        <v>132.63377023901</v>
      </c>
      <c r="G45">
        <v>114.16730917501999</v>
      </c>
      <c r="I45" s="9">
        <f t="shared" si="1"/>
        <v>1019.7492937323799</v>
      </c>
      <c r="J45" s="9">
        <f t="shared" si="2"/>
        <v>2874.3379206561899</v>
      </c>
      <c r="K45" s="9">
        <f t="shared" si="3"/>
        <v>1019.7492937323799</v>
      </c>
      <c r="L45" s="10">
        <f t="shared" si="0"/>
        <v>0.35477710759199071</v>
      </c>
      <c r="M45" s="10">
        <f t="shared" si="4"/>
        <v>0.37530825323983974</v>
      </c>
      <c r="P45" s="8">
        <f t="shared" si="5"/>
        <v>15.92704007249537</v>
      </c>
    </row>
    <row r="46" spans="1:16" x14ac:dyDescent="0.2">
      <c r="A46" s="8">
        <v>22</v>
      </c>
      <c r="B46" s="8">
        <v>44</v>
      </c>
      <c r="D46">
        <v>3004.1308339708999</v>
      </c>
      <c r="E46">
        <v>1148.5447589901</v>
      </c>
      <c r="F46">
        <v>132.55821125675001</v>
      </c>
      <c r="G46">
        <v>114.25905936777001</v>
      </c>
      <c r="I46" s="9">
        <f t="shared" si="1"/>
        <v>1034.28569962233</v>
      </c>
      <c r="J46" s="9">
        <f t="shared" si="2"/>
        <v>2871.5726227141499</v>
      </c>
      <c r="K46" s="9">
        <f t="shared" si="3"/>
        <v>1034.28569962233</v>
      </c>
      <c r="L46" s="10">
        <f t="shared" si="0"/>
        <v>0.36018093063052847</v>
      </c>
      <c r="M46" s="10">
        <f t="shared" si="4"/>
        <v>0.38118954478181583</v>
      </c>
      <c r="P46" s="8">
        <f t="shared" si="5"/>
        <v>17.743682031149518</v>
      </c>
    </row>
    <row r="47" spans="1:16" x14ac:dyDescent="0.2">
      <c r="A47" s="8">
        <v>22.5</v>
      </c>
      <c r="B47" s="8">
        <v>45</v>
      </c>
      <c r="D47">
        <v>3017.1426380367998</v>
      </c>
      <c r="E47">
        <v>1149.3404907976001</v>
      </c>
      <c r="F47">
        <v>132.04934464147999</v>
      </c>
      <c r="G47">
        <v>114.10331534309999</v>
      </c>
      <c r="I47" s="9">
        <f t="shared" si="1"/>
        <v>1035.2371754545002</v>
      </c>
      <c r="J47" s="9">
        <f t="shared" si="2"/>
        <v>2885.09329339532</v>
      </c>
      <c r="K47" s="9">
        <f t="shared" si="3"/>
        <v>1035.2371754545002</v>
      </c>
      <c r="L47" s="10">
        <f t="shared" si="0"/>
        <v>0.35882277284565106</v>
      </c>
      <c r="M47" s="10">
        <f t="shared" si="4"/>
        <v>0.3803088555003768</v>
      </c>
      <c r="P47" s="8">
        <f t="shared" si="5"/>
        <v>17.471650439146249</v>
      </c>
    </row>
    <row r="48" spans="1:16" x14ac:dyDescent="0.2">
      <c r="A48" s="8">
        <v>23</v>
      </c>
      <c r="B48" s="8">
        <v>46</v>
      </c>
      <c r="D48">
        <v>2950.4430863254001</v>
      </c>
      <c r="E48">
        <v>1115.4957983193001</v>
      </c>
      <c r="F48">
        <v>132.63377023901</v>
      </c>
      <c r="G48">
        <v>114.25134926753999</v>
      </c>
      <c r="I48" s="9">
        <f t="shared" si="1"/>
        <v>1001.2444490517601</v>
      </c>
      <c r="J48" s="9">
        <f t="shared" si="2"/>
        <v>2817.80931608639</v>
      </c>
      <c r="K48" s="9">
        <f t="shared" si="3"/>
        <v>1001.2444490517601</v>
      </c>
      <c r="L48" s="10">
        <f t="shared" si="0"/>
        <v>0.35532725487698091</v>
      </c>
      <c r="M48" s="10">
        <f t="shared" si="4"/>
        <v>0.37729080603514498</v>
      </c>
      <c r="P48" s="8">
        <f t="shared" si="5"/>
        <v>16.539420629978913</v>
      </c>
    </row>
    <row r="49" spans="1:25" x14ac:dyDescent="0.2">
      <c r="A49" s="8">
        <v>23.5</v>
      </c>
      <c r="B49" s="8">
        <v>47</v>
      </c>
      <c r="D49">
        <v>2733.2837423312999</v>
      </c>
      <c r="E49">
        <v>1032.5437116564001</v>
      </c>
      <c r="F49">
        <v>132.433307633</v>
      </c>
      <c r="G49">
        <v>113.97841171935001</v>
      </c>
      <c r="I49" s="9">
        <f t="shared" si="1"/>
        <v>918.5652999370501</v>
      </c>
      <c r="J49" s="9">
        <f t="shared" si="2"/>
        <v>2600.8504346983</v>
      </c>
      <c r="K49" s="9">
        <f t="shared" si="3"/>
        <v>918.5652999370501</v>
      </c>
      <c r="L49" s="10">
        <f t="shared" si="0"/>
        <v>0.35317882477298396</v>
      </c>
      <c r="M49" s="10">
        <f t="shared" si="4"/>
        <v>0.3756198444345864</v>
      </c>
      <c r="P49" s="8">
        <f t="shared" si="5"/>
        <v>16.023285877397907</v>
      </c>
    </row>
    <row r="50" spans="1:25" x14ac:dyDescent="0.2">
      <c r="A50" s="8">
        <v>24</v>
      </c>
      <c r="B50" s="8">
        <v>48</v>
      </c>
      <c r="D50">
        <v>2648.1273006135002</v>
      </c>
      <c r="E50">
        <v>1001.1947852761</v>
      </c>
      <c r="F50">
        <v>132.56437933692999</v>
      </c>
      <c r="G50">
        <v>114.03777949113</v>
      </c>
      <c r="I50" s="9">
        <f t="shared" si="1"/>
        <v>887.15700578497001</v>
      </c>
      <c r="J50" s="9">
        <f t="shared" si="2"/>
        <v>2515.5629212765703</v>
      </c>
      <c r="K50" s="9">
        <f t="shared" si="3"/>
        <v>887.15700578497001</v>
      </c>
      <c r="L50" s="10">
        <f t="shared" si="0"/>
        <v>0.35266738839303824</v>
      </c>
      <c r="M50" s="10">
        <f t="shared" si="4"/>
        <v>0.37558587655807901</v>
      </c>
      <c r="P50" s="8">
        <f t="shared" si="5"/>
        <v>16.012793714363767</v>
      </c>
    </row>
    <row r="51" spans="1:25" x14ac:dyDescent="0.2">
      <c r="A51" s="8">
        <v>24.5</v>
      </c>
      <c r="B51" s="8">
        <v>49</v>
      </c>
      <c r="D51">
        <v>2675.7524980784001</v>
      </c>
      <c r="E51">
        <v>1013.6994619523</v>
      </c>
      <c r="F51">
        <v>132.57902852737001</v>
      </c>
      <c r="G51">
        <v>114.26291441789</v>
      </c>
      <c r="I51" s="9">
        <f t="shared" si="1"/>
        <v>899.43654753441001</v>
      </c>
      <c r="J51" s="9">
        <f t="shared" si="2"/>
        <v>2543.1734695510299</v>
      </c>
      <c r="K51" s="9">
        <f t="shared" si="3"/>
        <v>899.43654753441001</v>
      </c>
      <c r="L51" s="10">
        <f t="shared" si="0"/>
        <v>0.35366700632230014</v>
      </c>
      <c r="M51" s="10">
        <f t="shared" si="4"/>
        <v>0.37706296299077924</v>
      </c>
      <c r="P51" s="8">
        <f t="shared" si="5"/>
        <v>16.469043361409902</v>
      </c>
    </row>
    <row r="52" spans="1:25" x14ac:dyDescent="0.2">
      <c r="A52" s="8">
        <v>25</v>
      </c>
      <c r="B52" s="8">
        <v>50</v>
      </c>
      <c r="D52">
        <v>2689.3160700685999</v>
      </c>
      <c r="E52">
        <v>1009.9200304646</v>
      </c>
      <c r="F52">
        <v>132.20971472629</v>
      </c>
      <c r="G52">
        <v>114.05628373169</v>
      </c>
      <c r="I52" s="9">
        <f t="shared" si="1"/>
        <v>895.86374673291004</v>
      </c>
      <c r="J52" s="9">
        <f t="shared" si="2"/>
        <v>2557.1063553423101</v>
      </c>
      <c r="K52" s="9">
        <f t="shared" si="3"/>
        <v>895.86374673291004</v>
      </c>
      <c r="L52" s="10">
        <f t="shared" si="0"/>
        <v>0.35034277900145622</v>
      </c>
      <c r="M52" s="10">
        <f t="shared" si="4"/>
        <v>0.3742162041733737</v>
      </c>
      <c r="P52" s="8">
        <f t="shared" si="5"/>
        <v>15.589722641299849</v>
      </c>
    </row>
    <row r="53" spans="1:25" x14ac:dyDescent="0.2">
      <c r="A53" s="8">
        <v>25.5</v>
      </c>
      <c r="B53" s="8">
        <v>51</v>
      </c>
      <c r="D53">
        <v>2662.0594059405998</v>
      </c>
      <c r="E53">
        <v>981.51256664128005</v>
      </c>
      <c r="F53">
        <v>132.46414803392</v>
      </c>
      <c r="G53">
        <v>114.04009252119999</v>
      </c>
      <c r="I53" s="9">
        <f t="shared" si="1"/>
        <v>867.47247412008005</v>
      </c>
      <c r="J53" s="9">
        <f t="shared" si="2"/>
        <v>2529.5952579066798</v>
      </c>
      <c r="K53" s="9">
        <f t="shared" si="3"/>
        <v>867.47247412008005</v>
      </c>
      <c r="L53" s="10">
        <f t="shared" si="0"/>
        <v>0.34292935654771151</v>
      </c>
      <c r="M53" s="10">
        <f t="shared" si="4"/>
        <v>0.36728025022306732</v>
      </c>
      <c r="P53" s="8">
        <f t="shared" si="5"/>
        <v>13.447311424394595</v>
      </c>
      <c r="S53" s="11"/>
      <c r="U53" s="12"/>
    </row>
    <row r="54" spans="1:25" x14ac:dyDescent="0.2">
      <c r="A54" s="8">
        <v>26</v>
      </c>
      <c r="B54" s="8">
        <v>52</v>
      </c>
      <c r="D54">
        <v>2678.8168582376002</v>
      </c>
      <c r="E54">
        <v>981.72107279694001</v>
      </c>
      <c r="F54">
        <v>132.61063993831999</v>
      </c>
      <c r="G54">
        <v>114.2166538165</v>
      </c>
      <c r="I54" s="9">
        <f t="shared" si="1"/>
        <v>867.50441898044005</v>
      </c>
      <c r="J54" s="9">
        <f t="shared" si="2"/>
        <v>2546.2062182992804</v>
      </c>
      <c r="K54" s="9">
        <f t="shared" si="3"/>
        <v>867.50441898044005</v>
      </c>
      <c r="L54" s="10">
        <f t="shared" si="0"/>
        <v>0.34070469734375375</v>
      </c>
      <c r="M54" s="10">
        <f t="shared" si="4"/>
        <v>0.36553305952254789</v>
      </c>
      <c r="P54" s="8">
        <f t="shared" si="5"/>
        <v>12.907630656372767</v>
      </c>
      <c r="S54" s="11"/>
    </row>
    <row r="55" spans="1:25" x14ac:dyDescent="0.2">
      <c r="A55" s="8">
        <v>26.5</v>
      </c>
      <c r="B55" s="8">
        <v>53</v>
      </c>
      <c r="D55">
        <v>2733.15</v>
      </c>
      <c r="E55">
        <v>995.55230769231002</v>
      </c>
      <c r="F55">
        <v>132.3932151118</v>
      </c>
      <c r="G55">
        <v>114.10408635312</v>
      </c>
      <c r="I55" s="9">
        <f t="shared" si="1"/>
        <v>881.44822133919001</v>
      </c>
      <c r="J55" s="9">
        <f t="shared" si="2"/>
        <v>2600.7567848881999</v>
      </c>
      <c r="K55" s="9">
        <f t="shared" si="3"/>
        <v>881.44822133919001</v>
      </c>
      <c r="L55" s="10">
        <f t="shared" si="0"/>
        <v>0.33891989687804708</v>
      </c>
      <c r="M55" s="10">
        <f t="shared" si="4"/>
        <v>0.3642257275602796</v>
      </c>
      <c r="P55" s="8">
        <f t="shared" si="5"/>
        <v>12.503815596433016</v>
      </c>
      <c r="S55" s="11"/>
    </row>
    <row r="56" spans="1:25" x14ac:dyDescent="0.2">
      <c r="A56" s="8">
        <v>27</v>
      </c>
      <c r="B56" s="8">
        <v>54</v>
      </c>
      <c r="D56">
        <v>2644.2446153845999</v>
      </c>
      <c r="E56">
        <v>972.52</v>
      </c>
      <c r="F56">
        <v>132.40246723206999</v>
      </c>
      <c r="G56">
        <v>113.96915959908</v>
      </c>
      <c r="I56" s="9">
        <f t="shared" si="1"/>
        <v>858.55084040091992</v>
      </c>
      <c r="J56" s="9">
        <f t="shared" si="2"/>
        <v>2511.8421481525297</v>
      </c>
      <c r="K56" s="9">
        <f t="shared" si="3"/>
        <v>858.55084040091992</v>
      </c>
      <c r="L56" s="10">
        <f t="shared" si="0"/>
        <v>0.34180127164136792</v>
      </c>
      <c r="M56" s="10">
        <f t="shared" si="4"/>
        <v>0.36758457082703877</v>
      </c>
      <c r="P56" s="8">
        <f t="shared" si="5"/>
        <v>13.541311453828905</v>
      </c>
      <c r="S56" s="11"/>
    </row>
    <row r="57" spans="1:25" x14ac:dyDescent="0.2">
      <c r="A57" s="8">
        <v>27.5</v>
      </c>
      <c r="B57" s="8">
        <v>55</v>
      </c>
      <c r="D57">
        <v>2660.7808429119</v>
      </c>
      <c r="E57">
        <v>956.93946360152995</v>
      </c>
      <c r="F57">
        <v>132.81187355436001</v>
      </c>
      <c r="G57">
        <v>113.98457979954</v>
      </c>
      <c r="I57" s="9">
        <f t="shared" si="1"/>
        <v>842.95488380198992</v>
      </c>
      <c r="J57" s="9">
        <f t="shared" si="2"/>
        <v>2527.9689693575401</v>
      </c>
      <c r="K57" s="9">
        <f t="shared" si="3"/>
        <v>842.95488380198992</v>
      </c>
      <c r="L57" s="10">
        <f t="shared" si="0"/>
        <v>0.33345143631894308</v>
      </c>
      <c r="M57" s="10">
        <f t="shared" si="4"/>
        <v>0.35971220400805232</v>
      </c>
      <c r="P57" s="8">
        <f t="shared" si="5"/>
        <v>11.10965647205898</v>
      </c>
      <c r="S57" s="11"/>
    </row>
    <row r="58" spans="1:25" x14ac:dyDescent="0.2">
      <c r="A58" s="8">
        <v>28</v>
      </c>
      <c r="B58" s="8">
        <v>56</v>
      </c>
      <c r="D58">
        <v>2682.7961685823998</v>
      </c>
      <c r="E58">
        <v>943.94406130267998</v>
      </c>
      <c r="F58">
        <v>132.41788743254</v>
      </c>
      <c r="G58">
        <v>114.40246723206999</v>
      </c>
      <c r="I58" s="9">
        <f t="shared" si="1"/>
        <v>829.54159407061002</v>
      </c>
      <c r="J58" s="9">
        <f t="shared" si="2"/>
        <v>2550.37828114986</v>
      </c>
      <c r="K58" s="9">
        <f t="shared" si="3"/>
        <v>829.54159407061002</v>
      </c>
      <c r="L58" s="10">
        <f t="shared" si="0"/>
        <v>0.32526217785096728</v>
      </c>
      <c r="M58" s="10">
        <f t="shared" si="4"/>
        <v>0.35200041404351484</v>
      </c>
      <c r="P58" s="8">
        <f t="shared" si="5"/>
        <v>8.7276012506986014</v>
      </c>
      <c r="S58" s="11"/>
    </row>
    <row r="59" spans="1:25" x14ac:dyDescent="0.2">
      <c r="A59" s="8">
        <v>28.5</v>
      </c>
      <c r="B59" s="8">
        <v>57</v>
      </c>
      <c r="D59">
        <v>2624.3639846742999</v>
      </c>
      <c r="E59">
        <v>946.54712643677999</v>
      </c>
      <c r="F59">
        <v>132.4132613724</v>
      </c>
      <c r="G59">
        <v>114.13569776407</v>
      </c>
      <c r="I59" s="9">
        <f t="shared" si="1"/>
        <v>832.41142867271003</v>
      </c>
      <c r="J59" s="9">
        <f t="shared" si="2"/>
        <v>2491.9507233018999</v>
      </c>
      <c r="K59" s="9">
        <f t="shared" si="3"/>
        <v>832.41142867271003</v>
      </c>
      <c r="L59" s="10">
        <f t="shared" si="0"/>
        <v>0.33404008389449336</v>
      </c>
      <c r="M59" s="10">
        <f t="shared" si="4"/>
        <v>0.36125578859047924</v>
      </c>
      <c r="P59" s="8">
        <f t="shared" si="5"/>
        <v>11.586446391272238</v>
      </c>
      <c r="R59" s="1"/>
      <c r="S59" s="11"/>
    </row>
    <row r="60" spans="1:25" x14ac:dyDescent="0.2">
      <c r="A60" s="8">
        <v>29</v>
      </c>
      <c r="B60" s="8">
        <v>58</v>
      </c>
      <c r="D60">
        <v>2652.4237547892999</v>
      </c>
      <c r="E60">
        <v>935.55632183908006</v>
      </c>
      <c r="F60">
        <v>132.45104086353001</v>
      </c>
      <c r="G60">
        <v>114.09329221279999</v>
      </c>
      <c r="I60" s="9">
        <f t="shared" si="1"/>
        <v>821.4630296262801</v>
      </c>
      <c r="J60" s="9">
        <f t="shared" si="2"/>
        <v>2519.9727139257698</v>
      </c>
      <c r="K60" s="9">
        <f t="shared" si="3"/>
        <v>821.4630296262801</v>
      </c>
      <c r="L60" s="10">
        <f t="shared" si="0"/>
        <v>0.32598092236743076</v>
      </c>
      <c r="M60" s="10">
        <f t="shared" si="4"/>
        <v>0.35367409556685503</v>
      </c>
      <c r="P60" s="8">
        <f t="shared" si="5"/>
        <v>9.2445761462676099</v>
      </c>
      <c r="S60" s="11"/>
    </row>
    <row r="61" spans="1:25" x14ac:dyDescent="0.2">
      <c r="A61" s="8">
        <v>29.5</v>
      </c>
      <c r="B61" s="8">
        <v>59</v>
      </c>
      <c r="C61" s="2"/>
      <c r="D61">
        <v>2582.8595679012001</v>
      </c>
      <c r="E61">
        <v>893.97376543209998</v>
      </c>
      <c r="F61">
        <v>132.37008481110001</v>
      </c>
      <c r="G61">
        <v>113.81264456437999</v>
      </c>
      <c r="I61" s="9">
        <f t="shared" si="1"/>
        <v>780.16112086772</v>
      </c>
      <c r="J61" s="9">
        <f t="shared" si="2"/>
        <v>2450.4894830901003</v>
      </c>
      <c r="K61" s="9">
        <f t="shared" si="3"/>
        <v>780.16112086772</v>
      </c>
      <c r="L61" s="10">
        <f t="shared" si="0"/>
        <v>0.31836950382824181</v>
      </c>
      <c r="M61" s="10">
        <f t="shared" si="4"/>
        <v>0.3465401455311044</v>
      </c>
      <c r="P61" s="8">
        <f t="shared" si="5"/>
        <v>7.0410069347449964</v>
      </c>
      <c r="S61" s="11"/>
    </row>
    <row r="62" spans="1:25" x14ac:dyDescent="0.2">
      <c r="A62" s="8">
        <v>30</v>
      </c>
      <c r="B62" s="8">
        <v>60</v>
      </c>
      <c r="D62">
        <v>2572.244819647</v>
      </c>
      <c r="E62">
        <v>868.56792018419003</v>
      </c>
      <c r="F62">
        <v>132.64687740941</v>
      </c>
      <c r="G62">
        <v>114.28604471858</v>
      </c>
      <c r="I62" s="9">
        <f t="shared" si="1"/>
        <v>754.28187546561003</v>
      </c>
      <c r="J62" s="9">
        <f t="shared" si="2"/>
        <v>2439.5979422375899</v>
      </c>
      <c r="K62" s="9">
        <f t="shared" si="3"/>
        <v>754.28187546561003</v>
      </c>
      <c r="L62" s="10">
        <f t="shared" si="0"/>
        <v>0.30918286263751543</v>
      </c>
      <c r="M62" s="10">
        <f t="shared" si="4"/>
        <v>0.33783097284381641</v>
      </c>
      <c r="P62" s="8">
        <f t="shared" si="5"/>
        <v>4.3508752832240889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2560.9769762087999</v>
      </c>
      <c r="E63">
        <v>864.99616270145998</v>
      </c>
      <c r="F63">
        <v>132.39707016190999</v>
      </c>
      <c r="G63">
        <v>114.21973785659</v>
      </c>
      <c r="I63" s="9">
        <f t="shared" si="1"/>
        <v>750.77642484487001</v>
      </c>
      <c r="J63" s="9">
        <f t="shared" si="2"/>
        <v>2428.5799060468898</v>
      </c>
      <c r="K63" s="9">
        <f t="shared" si="3"/>
        <v>750.77642484487001</v>
      </c>
      <c r="L63" s="10">
        <f t="shared" si="0"/>
        <v>0.30914215462934591</v>
      </c>
      <c r="M63" s="10">
        <f t="shared" si="4"/>
        <v>0.33826773333908522</v>
      </c>
      <c r="P63" s="8">
        <f t="shared" si="5"/>
        <v>4.4857839909330917</v>
      </c>
    </row>
    <row r="64" spans="1:25" x14ac:dyDescent="0.2">
      <c r="A64" s="8">
        <v>31</v>
      </c>
      <c r="B64" s="8">
        <v>62</v>
      </c>
      <c r="D64">
        <v>2579.8575803981998</v>
      </c>
      <c r="E64">
        <v>856.95941807044005</v>
      </c>
      <c r="F64">
        <v>132.59599074787999</v>
      </c>
      <c r="G64">
        <v>114.18427139553</v>
      </c>
      <c r="I64" s="9">
        <f t="shared" si="1"/>
        <v>742.77514667491005</v>
      </c>
      <c r="J64" s="9">
        <f t="shared" si="2"/>
        <v>2447.2615896503198</v>
      </c>
      <c r="K64" s="9">
        <f t="shared" si="3"/>
        <v>742.77514667491005</v>
      </c>
      <c r="L64" s="10">
        <f t="shared" si="0"/>
        <v>0.30351277109736458</v>
      </c>
      <c r="M64" s="10">
        <f t="shared" si="4"/>
        <v>0.33311581831054221</v>
      </c>
      <c r="P64" s="8">
        <f t="shared" si="5"/>
        <v>2.8944353999860981</v>
      </c>
      <c r="U64" s="8">
        <v>30.5</v>
      </c>
      <c r="V64" s="10">
        <f>L62</f>
        <v>0.30918286263751543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2633.0283742330998</v>
      </c>
      <c r="E65">
        <v>873.44325153373995</v>
      </c>
      <c r="F65">
        <v>132.77872012335999</v>
      </c>
      <c r="G65">
        <v>114.43947571318</v>
      </c>
      <c r="I65" s="9">
        <f t="shared" si="1"/>
        <v>759.00377582055989</v>
      </c>
      <c r="J65" s="9">
        <f t="shared" si="2"/>
        <v>2500.2496541097398</v>
      </c>
      <c r="K65" s="9">
        <f t="shared" si="3"/>
        <v>759.00377582055989</v>
      </c>
      <c r="L65" s="10">
        <f t="shared" si="0"/>
        <v>0.30357119520963088</v>
      </c>
      <c r="M65" s="10">
        <f t="shared" si="4"/>
        <v>0.3336517109262469</v>
      </c>
      <c r="P65" s="8">
        <f t="shared" si="5"/>
        <v>3.0599645195806295</v>
      </c>
      <c r="U65" s="8">
        <v>31</v>
      </c>
      <c r="V65" s="10">
        <f t="shared" ref="V65:V83" si="6">L63</f>
        <v>0.30914215462934591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2597.8613026819999</v>
      </c>
      <c r="E66">
        <v>870.72490421455996</v>
      </c>
      <c r="F66">
        <v>132.70161912104999</v>
      </c>
      <c r="G66">
        <v>114.54356206631</v>
      </c>
      <c r="I66" s="9">
        <f t="shared" si="1"/>
        <v>756.18134214825</v>
      </c>
      <c r="J66" s="9">
        <f t="shared" si="2"/>
        <v>2465.1596835609498</v>
      </c>
      <c r="K66" s="9">
        <f t="shared" si="3"/>
        <v>756.18134214825</v>
      </c>
      <c r="L66" s="10">
        <f t="shared" ref="L66:L129" si="7">K66/J66</f>
        <v>0.30674740755776836</v>
      </c>
      <c r="M66" s="10">
        <f t="shared" si="4"/>
        <v>0.33730539177782271</v>
      </c>
      <c r="P66" s="8">
        <f t="shared" si="5"/>
        <v>4.1885312452957226</v>
      </c>
      <c r="U66" s="8">
        <v>31.5</v>
      </c>
      <c r="V66" s="10">
        <f t="shared" si="6"/>
        <v>0.30351277109736458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2576.4383141763001</v>
      </c>
      <c r="E67">
        <v>861.00919540229995</v>
      </c>
      <c r="F67">
        <v>131.99383191982</v>
      </c>
      <c r="G67">
        <v>114.18581341557</v>
      </c>
      <c r="I67" s="9">
        <f t="shared" ref="I67:I130" si="8">E67-G67</f>
        <v>746.82338198672994</v>
      </c>
      <c r="J67" s="9">
        <f t="shared" ref="J67:J130" si="9">D67-F67</f>
        <v>2444.4444822564801</v>
      </c>
      <c r="K67" s="9">
        <f t="shared" ref="K67:K130" si="10">I67*1</f>
        <v>746.82338198672994</v>
      </c>
      <c r="L67" s="10">
        <f t="shared" si="7"/>
        <v>0.30551865154136498</v>
      </c>
      <c r="M67" s="10">
        <f t="shared" ref="M67:M130" si="11">L67+ABS($N$2)*A67</f>
        <v>0.33655410426485771</v>
      </c>
      <c r="P67" s="8">
        <f t="shared" ref="P67:P130" si="12">(M67-$O$2)/$O$2*100</f>
        <v>3.9564699014014262</v>
      </c>
      <c r="U67" s="8">
        <v>32</v>
      </c>
      <c r="V67" s="10">
        <f t="shared" si="6"/>
        <v>0.30357119520963088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2611.3800766283998</v>
      </c>
      <c r="E68">
        <v>851.62988505747001</v>
      </c>
      <c r="F68">
        <v>131.95913646877</v>
      </c>
      <c r="G68">
        <v>113.99151888975</v>
      </c>
      <c r="I68" s="9">
        <f t="shared" si="8"/>
        <v>737.63836616772005</v>
      </c>
      <c r="J68" s="9">
        <f t="shared" si="9"/>
        <v>2479.4209401596299</v>
      </c>
      <c r="K68" s="9">
        <f t="shared" si="10"/>
        <v>737.63836616772005</v>
      </c>
      <c r="L68" s="10">
        <f t="shared" si="7"/>
        <v>0.29750428990094335</v>
      </c>
      <c r="M68" s="10">
        <f t="shared" si="11"/>
        <v>0.32901721112787441</v>
      </c>
      <c r="P68" s="8">
        <f t="shared" si="12"/>
        <v>1.6284376634457536</v>
      </c>
      <c r="U68" s="8">
        <v>32.5</v>
      </c>
      <c r="V68" s="10">
        <f t="shared" si="6"/>
        <v>0.30674740755776836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2618.1786809815999</v>
      </c>
      <c r="E69">
        <v>858.27530674847003</v>
      </c>
      <c r="F69">
        <v>132.85736314572</v>
      </c>
      <c r="G69">
        <v>114.17116422514</v>
      </c>
      <c r="I69" s="9">
        <f t="shared" si="8"/>
        <v>744.10414252332998</v>
      </c>
      <c r="J69" s="9">
        <f t="shared" si="9"/>
        <v>2485.3213178358801</v>
      </c>
      <c r="K69" s="9">
        <f t="shared" si="10"/>
        <v>744.10414252332998</v>
      </c>
      <c r="L69" s="10">
        <f t="shared" si="7"/>
        <v>0.29939957348101232</v>
      </c>
      <c r="M69" s="10">
        <f t="shared" si="11"/>
        <v>0.3313899632113817</v>
      </c>
      <c r="P69" s="8">
        <f t="shared" si="12"/>
        <v>2.3613448763629878</v>
      </c>
      <c r="U69" s="8">
        <v>33</v>
      </c>
      <c r="V69" s="10">
        <f t="shared" si="6"/>
        <v>0.30551865154136498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2587.7584355827998</v>
      </c>
      <c r="E70">
        <v>844.90720858895997</v>
      </c>
      <c r="F70">
        <v>133</v>
      </c>
      <c r="G70">
        <v>114.15111796453</v>
      </c>
      <c r="I70" s="9">
        <f t="shared" si="8"/>
        <v>730.75609062442993</v>
      </c>
      <c r="J70" s="9">
        <f t="shared" si="9"/>
        <v>2454.7584355827998</v>
      </c>
      <c r="K70" s="9">
        <f t="shared" si="10"/>
        <v>730.75609062442993</v>
      </c>
      <c r="L70" s="10">
        <f t="shared" si="7"/>
        <v>0.29768961378512848</v>
      </c>
      <c r="M70" s="10">
        <f t="shared" si="11"/>
        <v>0.33015747201893625</v>
      </c>
      <c r="P70" s="8">
        <f t="shared" si="12"/>
        <v>1.980646997693331</v>
      </c>
      <c r="U70" s="8">
        <v>33.5</v>
      </c>
      <c r="V70" s="10">
        <f t="shared" si="6"/>
        <v>0.29750428990094335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2543.3726993864998</v>
      </c>
      <c r="E71">
        <v>833.33128834356</v>
      </c>
      <c r="F71">
        <v>132.51349267540999</v>
      </c>
      <c r="G71">
        <v>114.48419429453</v>
      </c>
      <c r="I71" s="9">
        <f t="shared" si="8"/>
        <v>718.84709404903003</v>
      </c>
      <c r="J71" s="9">
        <f t="shared" si="9"/>
        <v>2410.8592067110899</v>
      </c>
      <c r="K71" s="9">
        <f t="shared" si="10"/>
        <v>718.84709404903003</v>
      </c>
      <c r="L71" s="10">
        <f t="shared" si="7"/>
        <v>0.29817049956628783</v>
      </c>
      <c r="M71" s="10">
        <f t="shared" si="11"/>
        <v>0.33111582630353392</v>
      </c>
      <c r="P71" s="8">
        <f t="shared" si="12"/>
        <v>2.2766681339064068</v>
      </c>
      <c r="U71" s="8">
        <v>34</v>
      </c>
      <c r="V71" s="10">
        <f t="shared" si="6"/>
        <v>0.29939957348101232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2622.4640122512001</v>
      </c>
      <c r="E72">
        <v>842.85911179173002</v>
      </c>
      <c r="F72">
        <v>132.53199691596001</v>
      </c>
      <c r="G72">
        <v>113.866615266</v>
      </c>
      <c r="I72" s="9">
        <f t="shared" si="8"/>
        <v>728.99249652573008</v>
      </c>
      <c r="J72" s="9">
        <f t="shared" si="9"/>
        <v>2489.9320153352401</v>
      </c>
      <c r="K72" s="9">
        <f t="shared" si="10"/>
        <v>728.99249652573008</v>
      </c>
      <c r="L72" s="10">
        <f t="shared" si="7"/>
        <v>0.29277606458165878</v>
      </c>
      <c r="M72" s="10">
        <f t="shared" si="11"/>
        <v>0.3261988598223432</v>
      </c>
      <c r="P72" s="8">
        <f t="shared" si="12"/>
        <v>0.75789159387692229</v>
      </c>
      <c r="U72" s="8">
        <v>34.5</v>
      </c>
      <c r="V72" s="10">
        <f t="shared" si="6"/>
        <v>0.29768961378512848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2610.2297090351999</v>
      </c>
      <c r="E73">
        <v>831.21439509953996</v>
      </c>
      <c r="F73">
        <v>132.78026214341</v>
      </c>
      <c r="G73">
        <v>114.09946029298</v>
      </c>
      <c r="I73" s="9">
        <f t="shared" si="8"/>
        <v>717.11493480655997</v>
      </c>
      <c r="J73" s="9">
        <f t="shared" si="9"/>
        <v>2477.4494468917901</v>
      </c>
      <c r="K73" s="9">
        <f t="shared" si="10"/>
        <v>717.11493480655997</v>
      </c>
      <c r="L73" s="10">
        <f t="shared" si="7"/>
        <v>0.28945693955783958</v>
      </c>
      <c r="M73" s="10">
        <f t="shared" si="11"/>
        <v>0.32335720330196238</v>
      </c>
      <c r="P73" s="8">
        <f t="shared" si="12"/>
        <v>-0.11985310389271878</v>
      </c>
      <c r="U73" s="8">
        <v>35</v>
      </c>
      <c r="V73" s="10">
        <f t="shared" si="6"/>
        <v>0.29817049956628783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2612.5895865236998</v>
      </c>
      <c r="E74">
        <v>819.79173047473</v>
      </c>
      <c r="F74">
        <v>132.95759444872999</v>
      </c>
      <c r="G74">
        <v>114.13878180416</v>
      </c>
      <c r="I74" s="9">
        <f t="shared" si="8"/>
        <v>705.65294867057003</v>
      </c>
      <c r="J74" s="9">
        <f t="shared" si="9"/>
        <v>2479.6319920749697</v>
      </c>
      <c r="K74" s="9">
        <f t="shared" si="10"/>
        <v>705.65294867057003</v>
      </c>
      <c r="L74" s="10">
        <f t="shared" si="7"/>
        <v>0.28457970816874151</v>
      </c>
      <c r="M74" s="10">
        <f t="shared" si="11"/>
        <v>0.31895744041630264</v>
      </c>
      <c r="P74" s="8">
        <f t="shared" si="12"/>
        <v>-1.478873279847676</v>
      </c>
      <c r="U74" s="8">
        <v>35.5</v>
      </c>
      <c r="V74" s="10">
        <f t="shared" si="6"/>
        <v>0.29277606458165878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2543.1788990825999</v>
      </c>
      <c r="E75">
        <v>793.38761467890004</v>
      </c>
      <c r="F75">
        <v>132.40555127216999</v>
      </c>
      <c r="G75">
        <v>114.35466461064</v>
      </c>
      <c r="I75" s="9">
        <f t="shared" si="8"/>
        <v>679.03295006825999</v>
      </c>
      <c r="J75" s="9">
        <f t="shared" si="9"/>
        <v>2410.7733478104301</v>
      </c>
      <c r="K75" s="9">
        <f t="shared" si="10"/>
        <v>679.03295006825999</v>
      </c>
      <c r="L75" s="10">
        <f t="shared" si="7"/>
        <v>0.28166602666525553</v>
      </c>
      <c r="M75" s="10">
        <f t="shared" si="11"/>
        <v>0.31652122741625505</v>
      </c>
      <c r="P75" s="8">
        <f t="shared" si="12"/>
        <v>-2.2313826095616962</v>
      </c>
      <c r="U75" s="8">
        <v>36</v>
      </c>
      <c r="V75" s="10">
        <f t="shared" si="6"/>
        <v>0.28945693955783958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2505.9304281345999</v>
      </c>
      <c r="E76">
        <v>764.31651376146999</v>
      </c>
      <c r="F76">
        <v>133.11642251348999</v>
      </c>
      <c r="G76">
        <v>114.39552814187</v>
      </c>
      <c r="I76" s="9">
        <f t="shared" si="8"/>
        <v>649.92098561959995</v>
      </c>
      <c r="J76" s="9">
        <f t="shared" si="9"/>
        <v>2372.81400562111</v>
      </c>
      <c r="K76" s="9">
        <f t="shared" si="10"/>
        <v>649.92098561959995</v>
      </c>
      <c r="L76" s="10">
        <f t="shared" si="7"/>
        <v>0.2739030467958975</v>
      </c>
      <c r="M76" s="10">
        <f t="shared" si="11"/>
        <v>0.30923571605033534</v>
      </c>
      <c r="P76" s="8">
        <f t="shared" si="12"/>
        <v>-4.4817668224712452</v>
      </c>
      <c r="U76" s="8">
        <v>36.5</v>
      </c>
      <c r="V76" s="10">
        <f t="shared" si="6"/>
        <v>0.28457970816874151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2498.1055045871999</v>
      </c>
      <c r="E77">
        <v>754.97324159021002</v>
      </c>
      <c r="F77">
        <v>132.57208943716</v>
      </c>
      <c r="G77">
        <v>114.09714726291</v>
      </c>
      <c r="I77" s="9">
        <f t="shared" si="8"/>
        <v>640.87609432730005</v>
      </c>
      <c r="J77" s="9">
        <f t="shared" si="9"/>
        <v>2365.5334151500401</v>
      </c>
      <c r="K77" s="9">
        <f t="shared" si="10"/>
        <v>640.87609432730005</v>
      </c>
      <c r="L77" s="10">
        <f t="shared" si="7"/>
        <v>0.27092244405545662</v>
      </c>
      <c r="M77" s="10">
        <f t="shared" si="11"/>
        <v>0.30673258181333285</v>
      </c>
      <c r="P77" s="8">
        <f t="shared" si="12"/>
        <v>-5.2549471095948093</v>
      </c>
      <c r="U77" s="8">
        <v>37</v>
      </c>
      <c r="V77" s="10">
        <f t="shared" si="6"/>
        <v>0.28166602666525553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2516.1903669725002</v>
      </c>
      <c r="E78">
        <v>758.96559633028005</v>
      </c>
      <c r="F78">
        <v>132.63068619891999</v>
      </c>
      <c r="G78">
        <v>114.23515805706</v>
      </c>
      <c r="I78" s="9">
        <f t="shared" si="8"/>
        <v>644.73043827321999</v>
      </c>
      <c r="J78" s="9">
        <f t="shared" si="9"/>
        <v>2383.5596807735801</v>
      </c>
      <c r="K78" s="9">
        <f t="shared" si="10"/>
        <v>644.73043827321999</v>
      </c>
      <c r="L78" s="10">
        <f t="shared" si="7"/>
        <v>0.27049057905861784</v>
      </c>
      <c r="M78" s="10">
        <f t="shared" si="11"/>
        <v>0.30677818531993239</v>
      </c>
      <c r="P78" s="8">
        <f t="shared" si="12"/>
        <v>-5.2408608765014133</v>
      </c>
      <c r="U78" s="8">
        <v>37.5</v>
      </c>
      <c r="V78" s="10">
        <f t="shared" si="6"/>
        <v>0.2739030467958975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2565.2511485452001</v>
      </c>
      <c r="E79">
        <v>769.49081163859</v>
      </c>
      <c r="F79">
        <v>132.69313801078999</v>
      </c>
      <c r="G79">
        <v>114.20123361604</v>
      </c>
      <c r="I79" s="9">
        <f t="shared" si="8"/>
        <v>655.28957802255002</v>
      </c>
      <c r="J79" s="9">
        <f t="shared" si="9"/>
        <v>2432.5580105344102</v>
      </c>
      <c r="K79" s="9">
        <f t="shared" si="10"/>
        <v>655.28957802255002</v>
      </c>
      <c r="L79" s="10">
        <f t="shared" si="7"/>
        <v>0.26938291920881635</v>
      </c>
      <c r="M79" s="10">
        <f t="shared" si="11"/>
        <v>0.30614799397356923</v>
      </c>
      <c r="P79" s="8">
        <f t="shared" si="12"/>
        <v>-5.4355174470205156</v>
      </c>
      <c r="U79" s="8">
        <v>38</v>
      </c>
      <c r="V79" s="10">
        <f t="shared" si="6"/>
        <v>0.27092244405545662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2584.0646651269999</v>
      </c>
      <c r="E80">
        <v>785.48498845265999</v>
      </c>
      <c r="F80">
        <v>132.87124132613999</v>
      </c>
      <c r="G80">
        <v>114.40246723206999</v>
      </c>
      <c r="I80" s="9">
        <f t="shared" si="8"/>
        <v>671.08252122059002</v>
      </c>
      <c r="J80" s="9">
        <f t="shared" si="9"/>
        <v>2451.1934238008598</v>
      </c>
      <c r="K80" s="9">
        <f t="shared" si="10"/>
        <v>671.08252122059002</v>
      </c>
      <c r="L80" s="10">
        <f t="shared" si="7"/>
        <v>0.27377787273107101</v>
      </c>
      <c r="M80" s="10">
        <f t="shared" si="11"/>
        <v>0.31102041599926228</v>
      </c>
      <c r="P80" s="8">
        <f t="shared" si="12"/>
        <v>-3.9305000152251544</v>
      </c>
      <c r="U80" s="8">
        <v>38.5</v>
      </c>
      <c r="V80" s="10">
        <f t="shared" si="6"/>
        <v>0.27049057905861784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2528.2063125481</v>
      </c>
      <c r="E81">
        <v>770.47421093149001</v>
      </c>
      <c r="F81">
        <v>133.07632999229</v>
      </c>
      <c r="G81">
        <v>114.61912104856999</v>
      </c>
      <c r="I81" s="9">
        <f t="shared" si="8"/>
        <v>655.85508988291997</v>
      </c>
      <c r="J81" s="9">
        <f t="shared" si="9"/>
        <v>2395.1299825558099</v>
      </c>
      <c r="K81" s="9">
        <f t="shared" si="10"/>
        <v>655.85508988291997</v>
      </c>
      <c r="L81" s="10">
        <f t="shared" si="7"/>
        <v>0.27382859997563314</v>
      </c>
      <c r="M81" s="10">
        <f t="shared" si="11"/>
        <v>0.31154861174726273</v>
      </c>
      <c r="P81" s="8">
        <f t="shared" si="12"/>
        <v>-3.7673483415915894</v>
      </c>
      <c r="U81" s="8">
        <v>39</v>
      </c>
      <c r="V81" s="10">
        <f t="shared" si="6"/>
        <v>0.26938291920881635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2566.5741444866999</v>
      </c>
      <c r="E82">
        <v>784.24790874525002</v>
      </c>
      <c r="F82">
        <v>132.90747879721999</v>
      </c>
      <c r="G82">
        <v>114.33307632999001</v>
      </c>
      <c r="H82" s="13"/>
      <c r="I82" s="14">
        <f t="shared" si="8"/>
        <v>669.91483241525998</v>
      </c>
      <c r="J82" s="14">
        <f t="shared" si="9"/>
        <v>2433.6666656894799</v>
      </c>
      <c r="K82" s="9">
        <f t="shared" si="10"/>
        <v>669.91483241525998</v>
      </c>
      <c r="L82" s="15">
        <f t="shared" si="7"/>
        <v>0.27526975730074643</v>
      </c>
      <c r="M82" s="15">
        <f t="shared" si="11"/>
        <v>0.31346723757581441</v>
      </c>
      <c r="N82" s="13"/>
      <c r="O82" s="13"/>
      <c r="P82" s="13">
        <f t="shared" si="12"/>
        <v>-3.1747138567632005</v>
      </c>
      <c r="U82" s="8">
        <v>39.5</v>
      </c>
      <c r="V82" s="10">
        <f t="shared" si="6"/>
        <v>0.27377787273107101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2576.6707224335</v>
      </c>
      <c r="E83">
        <v>784.98174904943005</v>
      </c>
      <c r="F83">
        <v>132.92983808790001</v>
      </c>
      <c r="G83">
        <v>114.16114109483</v>
      </c>
      <c r="I83" s="9">
        <f t="shared" si="8"/>
        <v>670.82060795460006</v>
      </c>
      <c r="J83" s="9">
        <f t="shared" si="9"/>
        <v>2443.7408843456001</v>
      </c>
      <c r="K83" s="9">
        <f t="shared" si="10"/>
        <v>670.82060795460006</v>
      </c>
      <c r="L83" s="10">
        <f t="shared" si="7"/>
        <v>0.27450562056387434</v>
      </c>
      <c r="M83" s="10">
        <f t="shared" si="11"/>
        <v>0.31318056934238064</v>
      </c>
      <c r="P83" s="8">
        <f t="shared" si="12"/>
        <v>-3.263261336062969</v>
      </c>
      <c r="U83" s="8">
        <v>40</v>
      </c>
      <c r="V83" s="10">
        <f t="shared" si="6"/>
        <v>0.27382859997563314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2506.2421214450001</v>
      </c>
      <c r="E84">
        <v>767.29054573405006</v>
      </c>
      <c r="F84">
        <v>132.66923670008001</v>
      </c>
      <c r="G84">
        <v>114.22590593677999</v>
      </c>
      <c r="I84" s="9">
        <f t="shared" si="8"/>
        <v>653.06463979727005</v>
      </c>
      <c r="J84" s="9">
        <f t="shared" si="9"/>
        <v>2373.57288474492</v>
      </c>
      <c r="K84" s="9">
        <f t="shared" si="10"/>
        <v>653.06463979727005</v>
      </c>
      <c r="L84" s="10">
        <f t="shared" si="7"/>
        <v>0.27513991417518774</v>
      </c>
      <c r="M84" s="10">
        <f t="shared" si="11"/>
        <v>0.31429233145713237</v>
      </c>
      <c r="P84" s="8">
        <f t="shared" si="12"/>
        <v>-2.9198548425597668</v>
      </c>
      <c r="U84" s="8">
        <v>150.5</v>
      </c>
      <c r="V84" s="10">
        <f>L302</f>
        <v>0.17693207857057083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2562.3094688222</v>
      </c>
      <c r="E85">
        <v>775.26635873749001</v>
      </c>
      <c r="F85">
        <v>132.68388589052</v>
      </c>
      <c r="G85">
        <v>114.31996915960001</v>
      </c>
      <c r="I85" s="9">
        <f t="shared" si="8"/>
        <v>660.94638957789005</v>
      </c>
      <c r="J85" s="9">
        <f t="shared" si="9"/>
        <v>2429.6255829316801</v>
      </c>
      <c r="K85" s="9">
        <f t="shared" si="10"/>
        <v>660.94638957789005</v>
      </c>
      <c r="L85" s="10">
        <f t="shared" si="7"/>
        <v>0.27203631465732536</v>
      </c>
      <c r="M85" s="10">
        <f t="shared" si="11"/>
        <v>0.31166620044270837</v>
      </c>
      <c r="P85" s="8">
        <f t="shared" si="12"/>
        <v>-3.731026972979723</v>
      </c>
      <c r="U85" s="8">
        <v>151</v>
      </c>
      <c r="V85" s="10">
        <f t="shared" ref="V85:V103" si="13">L303</f>
        <v>0.17907212390476102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2584.4742109314998</v>
      </c>
      <c r="E86">
        <v>777.83371824480002</v>
      </c>
      <c r="F86">
        <v>133.04471858133999</v>
      </c>
      <c r="G86">
        <v>114.07401696222</v>
      </c>
      <c r="I86" s="9">
        <f t="shared" si="8"/>
        <v>663.75970128258007</v>
      </c>
      <c r="J86" s="9">
        <f t="shared" si="9"/>
        <v>2451.4294923501598</v>
      </c>
      <c r="K86" s="9">
        <f t="shared" si="10"/>
        <v>663.75970128258007</v>
      </c>
      <c r="L86" s="10">
        <f t="shared" si="7"/>
        <v>0.27076434519282894</v>
      </c>
      <c r="M86" s="10">
        <f t="shared" si="11"/>
        <v>0.31087169948165028</v>
      </c>
      <c r="P86" s="8">
        <f t="shared" si="12"/>
        <v>-3.9764362970623441</v>
      </c>
      <c r="U86" s="8">
        <v>151.5</v>
      </c>
      <c r="V86" s="10">
        <f t="shared" si="13"/>
        <v>0.18074698487615964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2576.6029074215999</v>
      </c>
      <c r="E87">
        <v>774.78576893649995</v>
      </c>
      <c r="F87">
        <v>132.60601387817999</v>
      </c>
      <c r="G87">
        <v>114.34926754048</v>
      </c>
      <c r="I87" s="9">
        <f t="shared" si="8"/>
        <v>660.43650139601993</v>
      </c>
      <c r="J87" s="9">
        <f t="shared" si="9"/>
        <v>2443.9968935434199</v>
      </c>
      <c r="K87" s="9">
        <f t="shared" si="10"/>
        <v>660.43650139601993</v>
      </c>
      <c r="L87" s="10">
        <f t="shared" si="7"/>
        <v>0.27022804453670501</v>
      </c>
      <c r="M87" s="10">
        <f t="shared" si="11"/>
        <v>0.31081286732896474</v>
      </c>
      <c r="P87" s="8">
        <f t="shared" si="12"/>
        <v>-3.994608658749176</v>
      </c>
      <c r="U87" s="8">
        <v>152</v>
      </c>
      <c r="V87" s="10">
        <f t="shared" si="13"/>
        <v>0.18302937059265345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2526.3649579189</v>
      </c>
      <c r="E88">
        <v>750.26243305279002</v>
      </c>
      <c r="F88">
        <v>132.79336931380001</v>
      </c>
      <c r="G88">
        <v>114.28141865844</v>
      </c>
      <c r="I88" s="9">
        <f t="shared" si="8"/>
        <v>635.98101439435004</v>
      </c>
      <c r="J88" s="9">
        <f t="shared" si="9"/>
        <v>2393.5715886050998</v>
      </c>
      <c r="K88" s="9">
        <f t="shared" si="10"/>
        <v>635.98101439435004</v>
      </c>
      <c r="L88" s="10">
        <f t="shared" si="7"/>
        <v>0.26570377816231527</v>
      </c>
      <c r="M88" s="10">
        <f t="shared" si="11"/>
        <v>0.30676606945801332</v>
      </c>
      <c r="P88" s="8">
        <f t="shared" si="12"/>
        <v>-5.2446032829048965</v>
      </c>
      <c r="U88" s="8">
        <v>152.5</v>
      </c>
      <c r="V88" s="10">
        <f t="shared" si="13"/>
        <v>0.18326747745451549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2486.7004608295001</v>
      </c>
      <c r="E89">
        <v>740.94854070660995</v>
      </c>
      <c r="F89">
        <v>132.48727833461999</v>
      </c>
      <c r="G89">
        <v>114.00771010023</v>
      </c>
      <c r="I89" s="9">
        <f t="shared" si="8"/>
        <v>626.9408306063799</v>
      </c>
      <c r="J89" s="9">
        <f t="shared" si="9"/>
        <v>2354.2131824948801</v>
      </c>
      <c r="K89" s="9">
        <f t="shared" si="10"/>
        <v>626.9408306063799</v>
      </c>
      <c r="L89" s="10">
        <f t="shared" si="7"/>
        <v>0.26630588736317357</v>
      </c>
      <c r="M89" s="10">
        <f t="shared" si="11"/>
        <v>0.30784564716230994</v>
      </c>
      <c r="P89" s="8">
        <f t="shared" si="12"/>
        <v>-4.9111380667605866</v>
      </c>
      <c r="U89" s="8">
        <v>153</v>
      </c>
      <c r="V89" s="10">
        <f t="shared" si="13"/>
        <v>0.18359509126330745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2519.1482334869002</v>
      </c>
      <c r="E90">
        <v>753.95084485407006</v>
      </c>
      <c r="F90">
        <v>132.80030840401</v>
      </c>
      <c r="G90">
        <v>114.17270624518</v>
      </c>
      <c r="I90" s="9">
        <f t="shared" si="8"/>
        <v>639.77813860889</v>
      </c>
      <c r="J90" s="9">
        <f t="shared" si="9"/>
        <v>2386.34792508289</v>
      </c>
      <c r="K90" s="9">
        <f t="shared" si="10"/>
        <v>639.77813860889</v>
      </c>
      <c r="L90" s="10">
        <f t="shared" si="7"/>
        <v>0.26809927080799306</v>
      </c>
      <c r="M90" s="10">
        <f t="shared" si="11"/>
        <v>0.31011649911056782</v>
      </c>
      <c r="P90" s="8">
        <f t="shared" si="12"/>
        <v>-4.2097062636177869</v>
      </c>
      <c r="U90" s="8">
        <v>153.5</v>
      </c>
      <c r="V90" s="10">
        <f t="shared" si="13"/>
        <v>0.18195316585366769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2539.2018348624001</v>
      </c>
      <c r="E91">
        <v>743.66666666667004</v>
      </c>
      <c r="F91">
        <v>132.42636854278999</v>
      </c>
      <c r="G91">
        <v>114.40092521203</v>
      </c>
      <c r="I91" s="9">
        <f t="shared" si="8"/>
        <v>629.26574145464008</v>
      </c>
      <c r="J91" s="9">
        <f t="shared" si="9"/>
        <v>2406.7754663196101</v>
      </c>
      <c r="K91" s="9">
        <f t="shared" si="10"/>
        <v>629.26574145464008</v>
      </c>
      <c r="L91" s="10">
        <f t="shared" si="7"/>
        <v>0.26145593980850229</v>
      </c>
      <c r="M91" s="10">
        <f t="shared" si="11"/>
        <v>0.30395063661451538</v>
      </c>
      <c r="P91" s="8">
        <f t="shared" si="12"/>
        <v>-6.1142478837152883</v>
      </c>
      <c r="U91" s="8">
        <v>154</v>
      </c>
      <c r="V91" s="10">
        <f t="shared" si="13"/>
        <v>0.18230623882706382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2458.3297380586</v>
      </c>
      <c r="E92">
        <v>710.44144838213003</v>
      </c>
      <c r="F92">
        <v>133.15959907479001</v>
      </c>
      <c r="G92">
        <v>113.86969930609</v>
      </c>
      <c r="I92" s="9">
        <f t="shared" si="8"/>
        <v>596.57174907604008</v>
      </c>
      <c r="J92" s="9">
        <f t="shared" si="9"/>
        <v>2325.1701389838099</v>
      </c>
      <c r="K92" s="9">
        <f t="shared" si="10"/>
        <v>596.57174907604008</v>
      </c>
      <c r="L92" s="10">
        <f t="shared" si="7"/>
        <v>0.25657122421878564</v>
      </c>
      <c r="M92" s="10">
        <f t="shared" si="11"/>
        <v>0.29954338952823706</v>
      </c>
      <c r="P92" s="8">
        <f t="shared" si="12"/>
        <v>-7.4755798159866353</v>
      </c>
      <c r="U92" s="8">
        <v>154.5</v>
      </c>
      <c r="V92" s="10">
        <f t="shared" si="13"/>
        <v>0.1805521228196667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2491.9519083969999</v>
      </c>
      <c r="E93">
        <v>714.10229007633995</v>
      </c>
      <c r="F93">
        <v>133.22127987664001</v>
      </c>
      <c r="G93">
        <v>114.10871241325999</v>
      </c>
      <c r="I93" s="9">
        <f t="shared" si="8"/>
        <v>599.99357766307992</v>
      </c>
      <c r="J93" s="9">
        <f t="shared" si="9"/>
        <v>2358.7306285203599</v>
      </c>
      <c r="K93" s="9">
        <f t="shared" si="10"/>
        <v>599.99357766307992</v>
      </c>
      <c r="L93" s="10">
        <f t="shared" si="7"/>
        <v>0.25437138535800419</v>
      </c>
      <c r="M93" s="10">
        <f t="shared" si="11"/>
        <v>0.29782101917089399</v>
      </c>
      <c r="P93" s="8">
        <f t="shared" si="12"/>
        <v>-8.0075939555952065</v>
      </c>
      <c r="U93" s="8">
        <v>155</v>
      </c>
      <c r="V93" s="10">
        <f t="shared" si="13"/>
        <v>0.17571494368821206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2551.2352941177001</v>
      </c>
      <c r="E94">
        <v>710.20091673033005</v>
      </c>
      <c r="F94">
        <v>132.93600616808001</v>
      </c>
      <c r="G94">
        <v>114.52043176561</v>
      </c>
      <c r="I94" s="9">
        <f t="shared" si="8"/>
        <v>595.68048496472011</v>
      </c>
      <c r="J94" s="9">
        <f t="shared" si="9"/>
        <v>2418.2992879496201</v>
      </c>
      <c r="K94" s="9">
        <f t="shared" si="10"/>
        <v>595.68048496472011</v>
      </c>
      <c r="L94" s="10">
        <f t="shared" si="7"/>
        <v>0.24632206937040202</v>
      </c>
      <c r="M94" s="10">
        <f t="shared" si="11"/>
        <v>0.29024917168673015</v>
      </c>
      <c r="P94" s="8">
        <f t="shared" si="12"/>
        <v>-10.346423062448181</v>
      </c>
      <c r="U94" s="8">
        <v>155.5</v>
      </c>
      <c r="V94" s="10">
        <f t="shared" si="13"/>
        <v>0.17679249982359116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2529.3391902214998</v>
      </c>
      <c r="E95">
        <v>687.48586707410004</v>
      </c>
      <c r="F95">
        <v>132.86738627602</v>
      </c>
      <c r="G95">
        <v>114.23361603700999</v>
      </c>
      <c r="I95" s="9">
        <f t="shared" si="8"/>
        <v>573.25225103708999</v>
      </c>
      <c r="J95" s="9">
        <f t="shared" si="9"/>
        <v>2396.4718039454797</v>
      </c>
      <c r="K95" s="9">
        <f t="shared" si="10"/>
        <v>573.25225103708999</v>
      </c>
      <c r="L95" s="10">
        <f t="shared" si="7"/>
        <v>0.23920675807380859</v>
      </c>
      <c r="M95" s="10">
        <f t="shared" si="11"/>
        <v>0.2836113288935751</v>
      </c>
      <c r="P95" s="8">
        <f t="shared" si="12"/>
        <v>-12.396752254077386</v>
      </c>
      <c r="U95" s="8">
        <v>156</v>
      </c>
      <c r="V95" s="10">
        <f t="shared" si="13"/>
        <v>0.17355729087702185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2482.9350649350999</v>
      </c>
      <c r="E96">
        <v>669.22230710465999</v>
      </c>
      <c r="F96">
        <v>132.49421742483</v>
      </c>
      <c r="G96">
        <v>114.13261372398</v>
      </c>
      <c r="I96" s="9">
        <f t="shared" si="8"/>
        <v>555.08969338068005</v>
      </c>
      <c r="J96" s="9">
        <f t="shared" si="9"/>
        <v>2350.44084751027</v>
      </c>
      <c r="K96" s="9">
        <f t="shared" si="10"/>
        <v>555.08969338068005</v>
      </c>
      <c r="L96" s="10">
        <f t="shared" si="7"/>
        <v>0.2361640770362993</v>
      </c>
      <c r="M96" s="10">
        <f t="shared" si="11"/>
        <v>0.28104611635950416</v>
      </c>
      <c r="P96" s="8">
        <f t="shared" si="12"/>
        <v>-13.189107587765376</v>
      </c>
      <c r="U96" s="8">
        <v>156.5</v>
      </c>
      <c r="V96" s="10">
        <f t="shared" si="13"/>
        <v>0.17046233581644968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2474.6539343009999</v>
      </c>
      <c r="E97">
        <v>649.40870893811996</v>
      </c>
      <c r="F97">
        <v>133.08404009252001</v>
      </c>
      <c r="G97">
        <v>114.85119506554</v>
      </c>
      <c r="I97" s="9">
        <f t="shared" si="8"/>
        <v>534.55751387257999</v>
      </c>
      <c r="J97" s="9">
        <f t="shared" si="9"/>
        <v>2341.56989420848</v>
      </c>
      <c r="K97" s="9">
        <f t="shared" si="10"/>
        <v>534.55751387257999</v>
      </c>
      <c r="L97" s="10">
        <f t="shared" si="7"/>
        <v>0.22829022323643952</v>
      </c>
      <c r="M97" s="10">
        <f t="shared" si="11"/>
        <v>0.27364973106308271</v>
      </c>
      <c r="P97" s="8">
        <f t="shared" si="12"/>
        <v>-15.473739080006817</v>
      </c>
      <c r="U97" s="8">
        <v>157</v>
      </c>
      <c r="V97" s="10">
        <f t="shared" si="13"/>
        <v>0.17331922247756607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2443.6490421456001</v>
      </c>
      <c r="E98">
        <v>627.13409961686</v>
      </c>
      <c r="F98">
        <v>133.05936777177999</v>
      </c>
      <c r="G98">
        <v>114.24518118736</v>
      </c>
      <c r="I98" s="9">
        <f t="shared" si="8"/>
        <v>512.88891842949999</v>
      </c>
      <c r="J98" s="9">
        <f t="shared" si="9"/>
        <v>2310.5896743738203</v>
      </c>
      <c r="K98" s="9">
        <f t="shared" si="10"/>
        <v>512.88891842949999</v>
      </c>
      <c r="L98" s="10">
        <f t="shared" si="7"/>
        <v>0.22197317166168634</v>
      </c>
      <c r="M98" s="10">
        <f t="shared" si="11"/>
        <v>0.26781014799176789</v>
      </c>
      <c r="P98" s="8">
        <f t="shared" si="12"/>
        <v>-17.277497923227266</v>
      </c>
      <c r="U98" s="8">
        <v>157.5</v>
      </c>
      <c r="V98" s="10">
        <f t="shared" si="13"/>
        <v>0.17594682640039921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2423.667179093</v>
      </c>
      <c r="E99">
        <v>616.81091468101999</v>
      </c>
      <c r="F99">
        <v>132.89899768697001</v>
      </c>
      <c r="G99">
        <v>114.15497301465</v>
      </c>
      <c r="I99" s="9">
        <f t="shared" si="8"/>
        <v>502.65594166636998</v>
      </c>
      <c r="J99" s="9">
        <f t="shared" si="9"/>
        <v>2290.7681814060297</v>
      </c>
      <c r="K99" s="9">
        <f t="shared" si="10"/>
        <v>502.65594166636998</v>
      </c>
      <c r="L99" s="10">
        <f t="shared" si="7"/>
        <v>0.21942680439967058</v>
      </c>
      <c r="M99" s="10">
        <f t="shared" si="11"/>
        <v>0.26574124923319048</v>
      </c>
      <c r="P99" s="8">
        <f t="shared" si="12"/>
        <v>-17.916549442135025</v>
      </c>
      <c r="U99" s="8">
        <v>158</v>
      </c>
      <c r="V99" s="10">
        <f t="shared" si="13"/>
        <v>0.17624910391748871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2446.7401998463001</v>
      </c>
      <c r="E100">
        <v>618.17371252882003</v>
      </c>
      <c r="F100">
        <v>132.85273708558</v>
      </c>
      <c r="G100">
        <v>114.01850424056001</v>
      </c>
      <c r="I100" s="9">
        <f t="shared" si="8"/>
        <v>504.15520828826004</v>
      </c>
      <c r="J100" s="9">
        <f t="shared" si="9"/>
        <v>2313.8874627607202</v>
      </c>
      <c r="K100" s="9">
        <f t="shared" si="10"/>
        <v>504.15520828826004</v>
      </c>
      <c r="L100" s="10">
        <f t="shared" si="7"/>
        <v>0.21788233714994415</v>
      </c>
      <c r="M100" s="10">
        <f t="shared" si="11"/>
        <v>0.26467425048690241</v>
      </c>
      <c r="P100" s="8">
        <f t="shared" si="12"/>
        <v>-18.246129208501618</v>
      </c>
      <c r="U100" s="8">
        <v>158.5</v>
      </c>
      <c r="V100" s="10">
        <f t="shared" si="13"/>
        <v>0.17311809239053977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2453.6490421456001</v>
      </c>
      <c r="E101">
        <v>592.79999999999995</v>
      </c>
      <c r="F101">
        <v>133.10177332305</v>
      </c>
      <c r="G101">
        <v>114.13723978412</v>
      </c>
      <c r="I101" s="9">
        <f t="shared" si="8"/>
        <v>478.66276021587998</v>
      </c>
      <c r="J101" s="9">
        <f t="shared" si="9"/>
        <v>2320.54726882255</v>
      </c>
      <c r="K101" s="9">
        <f t="shared" si="10"/>
        <v>478.66276021587998</v>
      </c>
      <c r="L101" s="10">
        <f t="shared" si="7"/>
        <v>0.20627149752426907</v>
      </c>
      <c r="M101" s="10">
        <f t="shared" si="11"/>
        <v>0.25354087936466563</v>
      </c>
      <c r="P101" s="8">
        <f t="shared" si="12"/>
        <v>-21.685059072387968</v>
      </c>
      <c r="U101" s="8">
        <v>159</v>
      </c>
      <c r="V101" s="10">
        <f t="shared" si="13"/>
        <v>0.16939141882115594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2430.9931034483002</v>
      </c>
      <c r="E102">
        <v>581.11417624521005</v>
      </c>
      <c r="F102">
        <v>133.11102544332999</v>
      </c>
      <c r="G102">
        <v>114.28527370856</v>
      </c>
      <c r="I102" s="9">
        <f t="shared" si="8"/>
        <v>466.82890253665005</v>
      </c>
      <c r="J102" s="9">
        <f t="shared" si="9"/>
        <v>2297.88207800497</v>
      </c>
      <c r="K102" s="9">
        <f t="shared" si="10"/>
        <v>466.82890253665005</v>
      </c>
      <c r="L102" s="10">
        <f t="shared" si="7"/>
        <v>0.20315616149543786</v>
      </c>
      <c r="M102" s="10">
        <f t="shared" si="11"/>
        <v>0.25090301183927277</v>
      </c>
      <c r="P102" s="8">
        <f t="shared" si="12"/>
        <v>-22.499856433443419</v>
      </c>
      <c r="U102" s="8">
        <v>159.5</v>
      </c>
      <c r="V102" s="10">
        <f t="shared" si="13"/>
        <v>0.1675819178844245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2462.3884615385</v>
      </c>
      <c r="E103">
        <v>586.12923076923005</v>
      </c>
      <c r="F103">
        <v>132.98843484964999</v>
      </c>
      <c r="G103">
        <v>114.07941403238</v>
      </c>
      <c r="I103" s="9">
        <f t="shared" si="8"/>
        <v>472.04981673685006</v>
      </c>
      <c r="J103" s="9">
        <f t="shared" si="9"/>
        <v>2329.4000266888502</v>
      </c>
      <c r="K103" s="9">
        <f t="shared" si="10"/>
        <v>472.04981673685006</v>
      </c>
      <c r="L103" s="10">
        <f t="shared" si="7"/>
        <v>0.20264866975546925</v>
      </c>
      <c r="M103" s="10">
        <f t="shared" si="11"/>
        <v>0.25087298860274254</v>
      </c>
      <c r="P103" s="8">
        <f t="shared" si="12"/>
        <v>-22.509130156880889</v>
      </c>
      <c r="U103" s="8">
        <v>160</v>
      </c>
      <c r="V103" s="10">
        <f t="shared" si="13"/>
        <v>0.16744793459416635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2402.1646153846</v>
      </c>
      <c r="E104">
        <v>557.32769230768997</v>
      </c>
      <c r="F104">
        <v>133.10562837316999</v>
      </c>
      <c r="G104">
        <v>114.44949884349001</v>
      </c>
      <c r="I104" s="9">
        <f t="shared" si="8"/>
        <v>442.87819346419997</v>
      </c>
      <c r="J104" s="9">
        <f t="shared" si="9"/>
        <v>2269.05898701143</v>
      </c>
      <c r="K104" s="9">
        <f t="shared" si="10"/>
        <v>442.87819346419997</v>
      </c>
      <c r="L104" s="10">
        <f t="shared" si="7"/>
        <v>0.19518143688609582</v>
      </c>
      <c r="M104" s="10">
        <f t="shared" si="11"/>
        <v>0.24388322423680744</v>
      </c>
      <c r="P104" s="8">
        <f t="shared" si="12"/>
        <v>-24.668162596887573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2396.9461123942001</v>
      </c>
      <c r="E105">
        <v>548.74210931486004</v>
      </c>
      <c r="F105">
        <v>133.20200462605999</v>
      </c>
      <c r="G105">
        <v>114.31457208944001</v>
      </c>
      <c r="I105" s="9">
        <f t="shared" si="8"/>
        <v>434.42753722542005</v>
      </c>
      <c r="J105" s="9">
        <f t="shared" si="9"/>
        <v>2263.7441077681401</v>
      </c>
      <c r="K105" s="9">
        <f t="shared" si="10"/>
        <v>434.42753722542005</v>
      </c>
      <c r="L105" s="10">
        <f t="shared" si="7"/>
        <v>0.19190664516128936</v>
      </c>
      <c r="M105" s="10">
        <f t="shared" si="11"/>
        <v>0.24108590101543934</v>
      </c>
      <c r="P105" s="8">
        <f t="shared" si="12"/>
        <v>-25.532213409465971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2349.3002309468998</v>
      </c>
      <c r="E106">
        <v>543.56505003848997</v>
      </c>
      <c r="F106">
        <v>132.66769468003</v>
      </c>
      <c r="G106">
        <v>114.11488049345</v>
      </c>
      <c r="I106" s="9">
        <f t="shared" si="8"/>
        <v>429.45016954503996</v>
      </c>
      <c r="J106" s="9">
        <f t="shared" si="9"/>
        <v>2216.6325362668699</v>
      </c>
      <c r="K106" s="9">
        <f t="shared" si="10"/>
        <v>429.45016954503996</v>
      </c>
      <c r="L106" s="10">
        <f t="shared" si="7"/>
        <v>0.193739901638499</v>
      </c>
      <c r="M106" s="10">
        <f t="shared" si="11"/>
        <v>0.24339662599608733</v>
      </c>
      <c r="P106" s="8">
        <f t="shared" si="12"/>
        <v>-24.818465429996646</v>
      </c>
      <c r="X106" s="8">
        <v>-13</v>
      </c>
    </row>
    <row r="107" spans="1:25" x14ac:dyDescent="0.2">
      <c r="A107" s="8">
        <v>52.5</v>
      </c>
      <c r="B107" s="8">
        <v>105</v>
      </c>
      <c r="D107">
        <v>2461.7677616501001</v>
      </c>
      <c r="E107">
        <v>549.26355996944005</v>
      </c>
      <c r="F107">
        <v>133.02467232074</v>
      </c>
      <c r="G107">
        <v>114.1734772552</v>
      </c>
      <c r="I107" s="9">
        <f t="shared" si="8"/>
        <v>435.09008271424005</v>
      </c>
      <c r="J107" s="9">
        <f t="shared" si="9"/>
        <v>2328.7430893293599</v>
      </c>
      <c r="K107" s="9">
        <f t="shared" si="10"/>
        <v>435.09008271424005</v>
      </c>
      <c r="L107" s="10">
        <f t="shared" si="7"/>
        <v>0.18683472844552335</v>
      </c>
      <c r="M107" s="10">
        <f t="shared" si="11"/>
        <v>0.23696892130655003</v>
      </c>
      <c r="P107" s="8">
        <f t="shared" si="12"/>
        <v>-26.803886141333827</v>
      </c>
      <c r="X107" s="8">
        <v>-13</v>
      </c>
    </row>
    <row r="108" spans="1:25" x14ac:dyDescent="0.2">
      <c r="A108" s="8">
        <v>53</v>
      </c>
      <c r="B108" s="8">
        <v>106</v>
      </c>
      <c r="D108">
        <v>2513.0239013106998</v>
      </c>
      <c r="E108">
        <v>557.66306861989005</v>
      </c>
      <c r="F108">
        <v>133.15420200463001</v>
      </c>
      <c r="G108">
        <v>114.45258288358001</v>
      </c>
      <c r="I108" s="9">
        <f t="shared" si="8"/>
        <v>443.21048573631003</v>
      </c>
      <c r="J108" s="9">
        <f t="shared" si="9"/>
        <v>2379.8696993060698</v>
      </c>
      <c r="K108" s="9">
        <f t="shared" si="10"/>
        <v>443.21048573631003</v>
      </c>
      <c r="L108" s="10">
        <f t="shared" si="7"/>
        <v>0.18623308909119807</v>
      </c>
      <c r="M108" s="10">
        <f t="shared" si="11"/>
        <v>0.23684475045566311</v>
      </c>
      <c r="P108" s="8">
        <f t="shared" si="12"/>
        <v>-26.842240638157016</v>
      </c>
      <c r="X108" s="8">
        <v>-13</v>
      </c>
    </row>
    <row r="109" spans="1:25" x14ac:dyDescent="0.2">
      <c r="A109" s="8">
        <v>53.5</v>
      </c>
      <c r="B109" s="8">
        <v>107</v>
      </c>
      <c r="D109">
        <v>2491.1742482651998</v>
      </c>
      <c r="E109">
        <v>550.01233616036995</v>
      </c>
      <c r="F109">
        <v>133.17733230531999</v>
      </c>
      <c r="G109">
        <v>114.37085582112999</v>
      </c>
      <c r="I109" s="9">
        <f t="shared" si="8"/>
        <v>435.64148033923993</v>
      </c>
      <c r="J109" s="9">
        <f t="shared" si="9"/>
        <v>2357.99691595988</v>
      </c>
      <c r="K109" s="9">
        <f t="shared" si="10"/>
        <v>435.64148033923993</v>
      </c>
      <c r="L109" s="10">
        <f t="shared" si="7"/>
        <v>0.18475065738663254</v>
      </c>
      <c r="M109" s="10">
        <f t="shared" si="11"/>
        <v>0.23583978725453592</v>
      </c>
      <c r="P109" s="8">
        <f t="shared" si="12"/>
        <v>-27.152658563376491</v>
      </c>
      <c r="X109" s="8">
        <v>-13</v>
      </c>
    </row>
    <row r="110" spans="1:25" x14ac:dyDescent="0.2">
      <c r="A110" s="8">
        <v>54</v>
      </c>
      <c r="B110" s="8">
        <v>108</v>
      </c>
      <c r="D110">
        <v>2464.6522744795998</v>
      </c>
      <c r="E110">
        <v>524.78180416345003</v>
      </c>
      <c r="F110">
        <v>133.20971472629</v>
      </c>
      <c r="G110">
        <v>114.37625289128999</v>
      </c>
      <c r="I110" s="9">
        <f t="shared" si="8"/>
        <v>410.40555127216004</v>
      </c>
      <c r="J110" s="9">
        <f t="shared" si="9"/>
        <v>2331.44255975331</v>
      </c>
      <c r="K110" s="9">
        <f t="shared" si="10"/>
        <v>410.40555127216004</v>
      </c>
      <c r="L110" s="10">
        <f t="shared" si="7"/>
        <v>0.17603073665927463</v>
      </c>
      <c r="M110" s="10">
        <f t="shared" si="11"/>
        <v>0.22759733503061635</v>
      </c>
      <c r="P110" s="8">
        <f t="shared" si="12"/>
        <v>-29.698627326411732</v>
      </c>
      <c r="X110" s="8">
        <v>-13</v>
      </c>
    </row>
    <row r="111" spans="1:25" x14ac:dyDescent="0.2">
      <c r="A111" s="8">
        <v>54.5</v>
      </c>
      <c r="B111" s="8">
        <v>109</v>
      </c>
      <c r="D111">
        <v>2466.6630686199001</v>
      </c>
      <c r="E111">
        <v>520.10639938319002</v>
      </c>
      <c r="F111">
        <v>133.17116422513999</v>
      </c>
      <c r="G111">
        <v>114.68619892059</v>
      </c>
      <c r="I111" s="9">
        <f t="shared" si="8"/>
        <v>405.42020046260001</v>
      </c>
      <c r="J111" s="9">
        <f t="shared" si="9"/>
        <v>2333.4919043947602</v>
      </c>
      <c r="K111" s="9">
        <f t="shared" si="10"/>
        <v>405.42020046260001</v>
      </c>
      <c r="L111" s="10">
        <f t="shared" si="7"/>
        <v>0.17373970730262903</v>
      </c>
      <c r="M111" s="10">
        <f t="shared" si="11"/>
        <v>0.22578377417740911</v>
      </c>
      <c r="P111" s="8">
        <f t="shared" si="12"/>
        <v>-30.258808830252288</v>
      </c>
      <c r="X111" s="8">
        <v>-13</v>
      </c>
    </row>
    <row r="112" spans="1:25" x14ac:dyDescent="0.2">
      <c r="A112" s="8">
        <v>55</v>
      </c>
      <c r="B112" s="8">
        <v>110</v>
      </c>
      <c r="D112">
        <v>2436.3245952196999</v>
      </c>
      <c r="E112">
        <v>498.53276792598001</v>
      </c>
      <c r="F112">
        <v>133.38396299152001</v>
      </c>
      <c r="G112">
        <v>114.84811102544001</v>
      </c>
      <c r="I112" s="9">
        <f t="shared" si="8"/>
        <v>383.68465690054001</v>
      </c>
      <c r="J112" s="9">
        <f t="shared" si="9"/>
        <v>2302.9406322281798</v>
      </c>
      <c r="K112" s="9">
        <f t="shared" si="10"/>
        <v>383.68465690054001</v>
      </c>
      <c r="L112" s="10">
        <f t="shared" si="7"/>
        <v>0.16660640380004541</v>
      </c>
      <c r="M112" s="10">
        <f t="shared" si="11"/>
        <v>0.21912793917826384</v>
      </c>
      <c r="P112" s="8">
        <f t="shared" si="12"/>
        <v>-32.31469554204476</v>
      </c>
      <c r="X112" s="8">
        <v>-13</v>
      </c>
    </row>
    <row r="113" spans="1:24" x14ac:dyDescent="0.2">
      <c r="A113" s="8">
        <v>55.5</v>
      </c>
      <c r="B113" s="8">
        <v>111</v>
      </c>
      <c r="D113">
        <v>2445.7355435620998</v>
      </c>
      <c r="E113">
        <v>495.94217424827002</v>
      </c>
      <c r="F113">
        <v>133.49961449499</v>
      </c>
      <c r="G113">
        <v>114.62143407863999</v>
      </c>
      <c r="I113" s="9">
        <f t="shared" si="8"/>
        <v>381.32074016963003</v>
      </c>
      <c r="J113" s="9">
        <f t="shared" si="9"/>
        <v>2312.2359290671097</v>
      </c>
      <c r="K113" s="9">
        <f t="shared" si="10"/>
        <v>381.32074016963003</v>
      </c>
      <c r="L113" s="10">
        <f t="shared" si="7"/>
        <v>0.1649142872386197</v>
      </c>
      <c r="M113" s="10">
        <f t="shared" si="11"/>
        <v>0.21791329112027646</v>
      </c>
      <c r="P113" s="8">
        <f t="shared" si="12"/>
        <v>-32.689881946491603</v>
      </c>
      <c r="X113" s="8">
        <v>-13</v>
      </c>
    </row>
    <row r="114" spans="1:24" x14ac:dyDescent="0.2">
      <c r="A114" s="8">
        <v>56</v>
      </c>
      <c r="B114" s="8">
        <v>112</v>
      </c>
      <c r="D114">
        <v>2482.8704703161002</v>
      </c>
      <c r="E114">
        <v>512.70161912105004</v>
      </c>
      <c r="F114">
        <v>132.93369313801</v>
      </c>
      <c r="G114">
        <v>114.09406322282</v>
      </c>
      <c r="I114" s="9">
        <f t="shared" si="8"/>
        <v>398.60755589823003</v>
      </c>
      <c r="J114" s="9">
        <f t="shared" si="9"/>
        <v>2349.9367771780903</v>
      </c>
      <c r="K114" s="9">
        <f t="shared" si="10"/>
        <v>398.60755589823003</v>
      </c>
      <c r="L114" s="10">
        <f t="shared" si="7"/>
        <v>0.1696248000241504</v>
      </c>
      <c r="M114" s="10">
        <f t="shared" si="11"/>
        <v>0.22310127240924552</v>
      </c>
      <c r="P114" s="8">
        <f t="shared" si="12"/>
        <v>-31.087393033471798</v>
      </c>
      <c r="X114" s="8">
        <v>-13</v>
      </c>
    </row>
    <row r="115" spans="1:24" x14ac:dyDescent="0.2">
      <c r="A115" s="8">
        <v>56.5</v>
      </c>
      <c r="B115" s="8">
        <v>113</v>
      </c>
      <c r="D115">
        <v>2484.4186584426002</v>
      </c>
      <c r="E115">
        <v>508.50963762529</v>
      </c>
      <c r="F115">
        <v>133.41403238242</v>
      </c>
      <c r="G115">
        <v>114.41249036238</v>
      </c>
      <c r="I115" s="9">
        <f t="shared" si="8"/>
        <v>394.09714726290997</v>
      </c>
      <c r="J115" s="9">
        <f t="shared" si="9"/>
        <v>2351.0046260601803</v>
      </c>
      <c r="K115" s="9">
        <f t="shared" si="10"/>
        <v>394.09714726290997</v>
      </c>
      <c r="L115" s="10">
        <f t="shared" si="7"/>
        <v>0.16762925214798025</v>
      </c>
      <c r="M115" s="10">
        <f t="shared" si="11"/>
        <v>0.22158319303651372</v>
      </c>
      <c r="P115" s="8">
        <f t="shared" si="12"/>
        <v>-31.556304779367895</v>
      </c>
      <c r="X115" s="8">
        <v>-13</v>
      </c>
    </row>
    <row r="116" spans="1:24" x14ac:dyDescent="0.2">
      <c r="A116" s="8">
        <v>57</v>
      </c>
      <c r="B116" s="8">
        <v>114</v>
      </c>
      <c r="D116">
        <v>2449.5358519660999</v>
      </c>
      <c r="E116">
        <v>489.27216653816998</v>
      </c>
      <c r="F116">
        <v>133.83191981496</v>
      </c>
      <c r="G116">
        <v>114.49807247494</v>
      </c>
      <c r="I116" s="9">
        <f t="shared" si="8"/>
        <v>374.77409406323</v>
      </c>
      <c r="J116" s="9">
        <f t="shared" si="9"/>
        <v>2315.7039321511397</v>
      </c>
      <c r="K116" s="9">
        <f t="shared" si="10"/>
        <v>374.77409406323</v>
      </c>
      <c r="L116" s="10">
        <f t="shared" si="7"/>
        <v>0.16184024600894856</v>
      </c>
      <c r="M116" s="10">
        <f t="shared" si="11"/>
        <v>0.21627165540092039</v>
      </c>
      <c r="P116" s="8">
        <f t="shared" si="12"/>
        <v>-33.196958378143144</v>
      </c>
      <c r="X116" s="8">
        <v>-13</v>
      </c>
    </row>
    <row r="117" spans="1:24" x14ac:dyDescent="0.2">
      <c r="A117" s="8">
        <v>57.5</v>
      </c>
      <c r="B117" s="8">
        <v>115</v>
      </c>
      <c r="D117">
        <v>2390.1382488478998</v>
      </c>
      <c r="E117">
        <v>477.70430107527</v>
      </c>
      <c r="F117">
        <v>133.67463377024001</v>
      </c>
      <c r="G117">
        <v>114.39552814187</v>
      </c>
      <c r="I117" s="9">
        <f t="shared" si="8"/>
        <v>363.30877293340001</v>
      </c>
      <c r="J117" s="9">
        <f t="shared" si="9"/>
        <v>2256.4636150776596</v>
      </c>
      <c r="K117" s="9">
        <f t="shared" si="10"/>
        <v>363.30877293340001</v>
      </c>
      <c r="L117" s="10">
        <f t="shared" si="7"/>
        <v>0.16100803509782993</v>
      </c>
      <c r="M117" s="10">
        <f t="shared" si="11"/>
        <v>0.21591691299324012</v>
      </c>
      <c r="P117" s="8">
        <f t="shared" si="12"/>
        <v>-33.306532939735014</v>
      </c>
      <c r="X117" s="8">
        <v>-13</v>
      </c>
    </row>
    <row r="118" spans="1:24" x14ac:dyDescent="0.2">
      <c r="A118" s="8">
        <v>58</v>
      </c>
      <c r="B118" s="8">
        <v>116</v>
      </c>
      <c r="D118">
        <v>2305.5519379845</v>
      </c>
      <c r="E118">
        <v>460.13488372093002</v>
      </c>
      <c r="F118">
        <v>133.23053199692001</v>
      </c>
      <c r="G118">
        <v>114.76638396299001</v>
      </c>
      <c r="I118" s="9">
        <f t="shared" si="8"/>
        <v>345.36849975794001</v>
      </c>
      <c r="J118" s="9">
        <f t="shared" si="9"/>
        <v>2172.32140598758</v>
      </c>
      <c r="K118" s="9">
        <f t="shared" si="10"/>
        <v>345.36849975794001</v>
      </c>
      <c r="L118" s="10">
        <f t="shared" si="7"/>
        <v>0.15898591194010203</v>
      </c>
      <c r="M118" s="10">
        <f t="shared" si="11"/>
        <v>0.21437225833895054</v>
      </c>
      <c r="P118" s="8">
        <f t="shared" si="12"/>
        <v>-33.78365338795377</v>
      </c>
      <c r="X118" s="8">
        <v>-13</v>
      </c>
    </row>
    <row r="119" spans="1:24" x14ac:dyDescent="0.2">
      <c r="A119" s="8">
        <v>58.5</v>
      </c>
      <c r="B119" s="8">
        <v>117</v>
      </c>
      <c r="D119">
        <v>2421.5357967667001</v>
      </c>
      <c r="E119">
        <v>480.37567359507</v>
      </c>
      <c r="F119">
        <v>133.32459521973999</v>
      </c>
      <c r="G119">
        <v>114.6599845798</v>
      </c>
      <c r="I119" s="9">
        <f t="shared" si="8"/>
        <v>365.71568901527002</v>
      </c>
      <c r="J119" s="9">
        <f t="shared" si="9"/>
        <v>2288.2112015469602</v>
      </c>
      <c r="K119" s="9">
        <f t="shared" si="10"/>
        <v>365.71568901527002</v>
      </c>
      <c r="L119" s="10">
        <f t="shared" si="7"/>
        <v>0.15982601989188128</v>
      </c>
      <c r="M119" s="10">
        <f t="shared" si="11"/>
        <v>0.21568983479416814</v>
      </c>
      <c r="P119" s="8">
        <f t="shared" si="12"/>
        <v>-33.376673959166794</v>
      </c>
      <c r="X119" s="8">
        <v>-13</v>
      </c>
    </row>
    <row r="120" spans="1:24" x14ac:dyDescent="0.2">
      <c r="A120" s="8">
        <v>59</v>
      </c>
      <c r="B120" s="8">
        <v>118</v>
      </c>
      <c r="D120">
        <v>2492.4788298691001</v>
      </c>
      <c r="E120">
        <v>495.19322555811999</v>
      </c>
      <c r="F120">
        <v>133.84811102544001</v>
      </c>
      <c r="G120">
        <v>114.58519660755999</v>
      </c>
      <c r="I120" s="9">
        <f t="shared" si="8"/>
        <v>380.60802895055997</v>
      </c>
      <c r="J120" s="9">
        <f t="shared" si="9"/>
        <v>2358.6307188436599</v>
      </c>
      <c r="K120" s="9">
        <f t="shared" si="10"/>
        <v>380.60802895055997</v>
      </c>
      <c r="L120" s="10">
        <f t="shared" si="7"/>
        <v>0.16136821500279472</v>
      </c>
      <c r="M120" s="10">
        <f t="shared" si="11"/>
        <v>0.21770949840851994</v>
      </c>
      <c r="P120" s="8">
        <f t="shared" si="12"/>
        <v>-32.752830431259355</v>
      </c>
      <c r="X120" s="8">
        <v>-13</v>
      </c>
    </row>
    <row r="121" spans="1:24" x14ac:dyDescent="0.2">
      <c r="A121" s="8">
        <v>59.5</v>
      </c>
      <c r="B121" s="8">
        <v>119</v>
      </c>
      <c r="D121">
        <v>2542.2601377199999</v>
      </c>
      <c r="E121">
        <v>491.99081866871001</v>
      </c>
      <c r="F121">
        <v>133.61295296839</v>
      </c>
      <c r="G121">
        <v>114.21588280648</v>
      </c>
      <c r="I121" s="9">
        <f t="shared" si="8"/>
        <v>377.77493586223</v>
      </c>
      <c r="J121" s="9">
        <f t="shared" si="9"/>
        <v>2408.64718475161</v>
      </c>
      <c r="K121" s="9">
        <f t="shared" si="10"/>
        <v>377.77493586223</v>
      </c>
      <c r="L121" s="10">
        <f t="shared" si="7"/>
        <v>0.156841125696534</v>
      </c>
      <c r="M121" s="10">
        <f t="shared" si="11"/>
        <v>0.21365987760569757</v>
      </c>
      <c r="P121" s="8">
        <f t="shared" si="12"/>
        <v>-34.003697016351992</v>
      </c>
      <c r="X121" s="8">
        <v>-13</v>
      </c>
    </row>
    <row r="122" spans="1:24" x14ac:dyDescent="0.2">
      <c r="A122" s="8">
        <v>60</v>
      </c>
      <c r="B122" s="8">
        <v>120</v>
      </c>
      <c r="D122">
        <v>2507.1759755164999</v>
      </c>
      <c r="E122">
        <v>490.50420811018</v>
      </c>
      <c r="F122">
        <v>133.37933693138001</v>
      </c>
      <c r="G122">
        <v>114.52197378565999</v>
      </c>
      <c r="I122" s="9">
        <f t="shared" si="8"/>
        <v>375.98223432451999</v>
      </c>
      <c r="J122" s="9">
        <f t="shared" si="9"/>
        <v>2373.79663858512</v>
      </c>
      <c r="K122" s="9">
        <f t="shared" si="10"/>
        <v>375.98223432451999</v>
      </c>
      <c r="L122" s="10">
        <f t="shared" si="7"/>
        <v>0.15838856126640266</v>
      </c>
      <c r="M122" s="10">
        <f t="shared" si="11"/>
        <v>0.21568478167900457</v>
      </c>
      <c r="P122" s="8">
        <f t="shared" si="12"/>
        <v>-33.378234789974549</v>
      </c>
      <c r="X122" s="8">
        <v>-13</v>
      </c>
    </row>
    <row r="123" spans="1:24" x14ac:dyDescent="0.2">
      <c r="A123" s="8">
        <v>60.5</v>
      </c>
      <c r="B123" s="8">
        <v>121</v>
      </c>
      <c r="D123">
        <v>2492.7210727969</v>
      </c>
      <c r="E123">
        <v>478.71647509578997</v>
      </c>
      <c r="F123">
        <v>133.30917501927999</v>
      </c>
      <c r="G123">
        <v>114.70161912105</v>
      </c>
      <c r="I123" s="9">
        <f t="shared" si="8"/>
        <v>364.01485597473999</v>
      </c>
      <c r="J123" s="9">
        <f t="shared" si="9"/>
        <v>2359.4118977776202</v>
      </c>
      <c r="K123" s="9">
        <f t="shared" si="10"/>
        <v>364.01485597473999</v>
      </c>
      <c r="L123" s="10">
        <f t="shared" si="7"/>
        <v>0.15428202948269154</v>
      </c>
      <c r="M123" s="10">
        <f t="shared" si="11"/>
        <v>0.2120557183987318</v>
      </c>
      <c r="P123" s="8">
        <f t="shared" si="12"/>
        <v>-34.499197520439608</v>
      </c>
      <c r="X123" s="8">
        <v>-13</v>
      </c>
    </row>
    <row r="124" spans="1:24" x14ac:dyDescent="0.2">
      <c r="A124" s="8">
        <v>61</v>
      </c>
      <c r="B124" s="8">
        <v>122</v>
      </c>
      <c r="D124">
        <v>2419.2213681783001</v>
      </c>
      <c r="E124">
        <v>461.09377401999001</v>
      </c>
      <c r="F124">
        <v>133.31996915959999</v>
      </c>
      <c r="G124">
        <v>114.74865073246001</v>
      </c>
      <c r="I124" s="9">
        <f t="shared" si="8"/>
        <v>346.34512328752999</v>
      </c>
      <c r="J124" s="9">
        <f t="shared" si="9"/>
        <v>2285.9013990187</v>
      </c>
      <c r="K124" s="9">
        <f t="shared" si="10"/>
        <v>346.34512328752999</v>
      </c>
      <c r="L124" s="10">
        <f t="shared" si="7"/>
        <v>0.15151358822222616</v>
      </c>
      <c r="M124" s="10">
        <f t="shared" si="11"/>
        <v>0.20976474564170478</v>
      </c>
      <c r="P124" s="8">
        <f t="shared" si="12"/>
        <v>-35.206844336932996</v>
      </c>
      <c r="X124" s="8">
        <v>-13</v>
      </c>
    </row>
    <row r="125" spans="1:24" x14ac:dyDescent="0.2">
      <c r="A125" s="8">
        <v>61.5</v>
      </c>
      <c r="B125" s="8">
        <v>123</v>
      </c>
      <c r="D125">
        <v>2369.5214067277998</v>
      </c>
      <c r="E125">
        <v>451.73165137615001</v>
      </c>
      <c r="F125">
        <v>133.45875096376</v>
      </c>
      <c r="G125">
        <v>114.84271395528</v>
      </c>
      <c r="I125" s="9">
        <f t="shared" si="8"/>
        <v>336.88893742086998</v>
      </c>
      <c r="J125" s="9">
        <f t="shared" si="9"/>
        <v>2236.0626557640398</v>
      </c>
      <c r="K125" s="9">
        <f t="shared" si="10"/>
        <v>336.88893742086998</v>
      </c>
      <c r="L125" s="10">
        <f t="shared" si="7"/>
        <v>0.15066167155578136</v>
      </c>
      <c r="M125" s="10">
        <f t="shared" si="11"/>
        <v>0.20939029747869833</v>
      </c>
      <c r="P125" s="8">
        <f t="shared" si="12"/>
        <v>-35.322505708147709</v>
      </c>
      <c r="X125" s="8">
        <v>-13</v>
      </c>
    </row>
    <row r="126" spans="1:24" x14ac:dyDescent="0.2">
      <c r="A126" s="8">
        <v>62</v>
      </c>
      <c r="B126" s="8">
        <v>124</v>
      </c>
      <c r="D126">
        <v>2381.8126911314998</v>
      </c>
      <c r="E126">
        <v>449.41207951069998</v>
      </c>
      <c r="F126">
        <v>134.00693909021001</v>
      </c>
      <c r="G126">
        <v>114.3932151118</v>
      </c>
      <c r="I126" s="9">
        <f t="shared" si="8"/>
        <v>335.01886439889995</v>
      </c>
      <c r="J126" s="9">
        <f t="shared" si="9"/>
        <v>2247.8057520412899</v>
      </c>
      <c r="K126" s="9">
        <f t="shared" si="10"/>
        <v>335.01886439889995</v>
      </c>
      <c r="L126" s="10">
        <f t="shared" si="7"/>
        <v>0.1490426226085865</v>
      </c>
      <c r="M126" s="10">
        <f t="shared" si="11"/>
        <v>0.2082487170349418</v>
      </c>
      <c r="P126" s="8">
        <f t="shared" si="12"/>
        <v>-35.675122632254549</v>
      </c>
      <c r="X126" s="8">
        <v>-13</v>
      </c>
    </row>
    <row r="127" spans="1:24" x14ac:dyDescent="0.2">
      <c r="A127" s="8">
        <v>62.5</v>
      </c>
      <c r="B127" s="8">
        <v>125</v>
      </c>
      <c r="D127">
        <v>2475.459752322</v>
      </c>
      <c r="E127">
        <v>457.2693498452</v>
      </c>
      <c r="F127">
        <v>134.24672320740001</v>
      </c>
      <c r="G127">
        <v>114.79568234387</v>
      </c>
      <c r="I127" s="9">
        <f t="shared" si="8"/>
        <v>342.47366750133</v>
      </c>
      <c r="J127" s="9">
        <f t="shared" si="9"/>
        <v>2341.2130291146</v>
      </c>
      <c r="K127" s="9">
        <f t="shared" si="10"/>
        <v>342.47366750133</v>
      </c>
      <c r="L127" s="10">
        <f t="shared" si="7"/>
        <v>0.1462804380645561</v>
      </c>
      <c r="M127" s="10">
        <f t="shared" si="11"/>
        <v>0.20596400099434975</v>
      </c>
      <c r="P127" s="8">
        <f t="shared" si="12"/>
        <v>-36.380836843720957</v>
      </c>
      <c r="X127" s="8">
        <v>-13</v>
      </c>
    </row>
    <row r="128" spans="1:24" x14ac:dyDescent="0.2">
      <c r="A128" s="8">
        <v>63</v>
      </c>
      <c r="B128" s="8">
        <v>126</v>
      </c>
      <c r="D128">
        <v>2479.399380805</v>
      </c>
      <c r="E128">
        <v>453.07120743034</v>
      </c>
      <c r="F128">
        <v>133.65612952967999</v>
      </c>
      <c r="G128">
        <v>114.86738627602</v>
      </c>
      <c r="I128" s="9">
        <f t="shared" si="8"/>
        <v>338.20382115432</v>
      </c>
      <c r="J128" s="9">
        <f t="shared" si="9"/>
        <v>2345.7432512753198</v>
      </c>
      <c r="K128" s="9">
        <f t="shared" si="10"/>
        <v>338.20382115432</v>
      </c>
      <c r="L128" s="10">
        <f t="shared" si="7"/>
        <v>0.14417768055836774</v>
      </c>
      <c r="M128" s="10">
        <f t="shared" si="11"/>
        <v>0.20433871199159975</v>
      </c>
      <c r="P128" s="8">
        <f t="shared" si="12"/>
        <v>-36.882864021979614</v>
      </c>
      <c r="X128" s="8">
        <v>-13</v>
      </c>
    </row>
    <row r="129" spans="1:24" x14ac:dyDescent="0.2">
      <c r="A129" s="8">
        <v>63.5</v>
      </c>
      <c r="B129" s="8">
        <v>127</v>
      </c>
      <c r="D129">
        <v>2427.3908668731001</v>
      </c>
      <c r="E129">
        <v>435.27476780185998</v>
      </c>
      <c r="F129">
        <v>133.88357748651001</v>
      </c>
      <c r="G129">
        <v>114.36545875096</v>
      </c>
      <c r="I129" s="9">
        <f t="shared" si="8"/>
        <v>320.90930905089999</v>
      </c>
      <c r="J129" s="9">
        <f t="shared" si="9"/>
        <v>2293.5072893865899</v>
      </c>
      <c r="K129" s="9">
        <f t="shared" si="10"/>
        <v>320.90930905089999</v>
      </c>
      <c r="L129" s="10">
        <f t="shared" si="7"/>
        <v>0.13992077136006348</v>
      </c>
      <c r="M129" s="10">
        <f t="shared" si="11"/>
        <v>0.20055927129673384</v>
      </c>
      <c r="P129" s="8">
        <f t="shared" si="12"/>
        <v>-38.050276060225805</v>
      </c>
      <c r="X129" s="8">
        <v>-13</v>
      </c>
    </row>
    <row r="130" spans="1:24" x14ac:dyDescent="0.2">
      <c r="A130" s="8">
        <v>64</v>
      </c>
      <c r="B130" s="8">
        <v>128</v>
      </c>
      <c r="D130">
        <v>2477.0069659443002</v>
      </c>
      <c r="E130">
        <v>446.71362229101999</v>
      </c>
      <c r="F130">
        <v>133.6067848882</v>
      </c>
      <c r="G130">
        <v>114.49113338473001</v>
      </c>
      <c r="I130" s="9">
        <f t="shared" si="8"/>
        <v>332.22248890628998</v>
      </c>
      <c r="J130" s="9">
        <f t="shared" si="9"/>
        <v>2343.4001810561003</v>
      </c>
      <c r="K130" s="9">
        <f t="shared" si="10"/>
        <v>332.22248890628998</v>
      </c>
      <c r="L130" s="10">
        <f t="shared" ref="L130:L193" si="14">K130/J130</f>
        <v>0.14176942188191147</v>
      </c>
      <c r="M130" s="10">
        <f t="shared" si="11"/>
        <v>0.20288539032202019</v>
      </c>
      <c r="P130" s="8">
        <f t="shared" si="12"/>
        <v>-37.331773093318127</v>
      </c>
      <c r="X130" s="8">
        <v>-13</v>
      </c>
    </row>
    <row r="131" spans="1:24" x14ac:dyDescent="0.2">
      <c r="A131" s="8">
        <v>64.5</v>
      </c>
      <c r="B131" s="8">
        <v>129</v>
      </c>
      <c r="D131">
        <v>2470.3621621622001</v>
      </c>
      <c r="E131">
        <v>447.79382239381999</v>
      </c>
      <c r="F131">
        <v>134.14417887433001</v>
      </c>
      <c r="G131">
        <v>114.20508866615</v>
      </c>
      <c r="I131" s="9">
        <f t="shared" ref="I131:I194" si="15">E131-G131</f>
        <v>333.58873372766999</v>
      </c>
      <c r="J131" s="9">
        <f t="shared" ref="J131:J194" si="16">D131-F131</f>
        <v>2336.2179832878701</v>
      </c>
      <c r="K131" s="9">
        <f t="shared" ref="K131:K194" si="17">I131*1</f>
        <v>333.58873372766999</v>
      </c>
      <c r="L131" s="10">
        <f t="shared" si="14"/>
        <v>0.14279007186572323</v>
      </c>
      <c r="M131" s="10">
        <f t="shared" ref="M131:M181" si="18">L131+ABS($N$2)*A131</f>
        <v>0.20438350880927031</v>
      </c>
      <c r="P131" s="8">
        <f t="shared" ref="P131:P194" si="19">(M131-$O$2)/$O$2*100</f>
        <v>-36.869026962889166</v>
      </c>
      <c r="X131" s="8">
        <v>-13</v>
      </c>
    </row>
    <row r="132" spans="1:24" x14ac:dyDescent="0.2">
      <c r="A132" s="8">
        <v>65</v>
      </c>
      <c r="B132" s="8">
        <v>130</v>
      </c>
      <c r="D132">
        <v>2456.7760617761001</v>
      </c>
      <c r="E132">
        <v>435.60540540541001</v>
      </c>
      <c r="F132">
        <v>134.08249807248001</v>
      </c>
      <c r="G132">
        <v>114.67540478026</v>
      </c>
      <c r="I132" s="9">
        <f t="shared" si="15"/>
        <v>320.93000062515</v>
      </c>
      <c r="J132" s="9">
        <f t="shared" si="16"/>
        <v>2322.6935637036199</v>
      </c>
      <c r="K132" s="9">
        <f t="shared" si="17"/>
        <v>320.93000062515</v>
      </c>
      <c r="L132" s="10">
        <f t="shared" si="14"/>
        <v>0.13817147713339137</v>
      </c>
      <c r="M132" s="10">
        <f t="shared" si="18"/>
        <v>0.20024238258037677</v>
      </c>
      <c r="P132" s="8">
        <f t="shared" si="19"/>
        <v>-38.148158189389036</v>
      </c>
      <c r="X132" s="8">
        <v>-13</v>
      </c>
    </row>
    <row r="133" spans="1:24" x14ac:dyDescent="0.2">
      <c r="A133" s="8">
        <v>65.5</v>
      </c>
      <c r="B133" s="8">
        <v>131</v>
      </c>
      <c r="D133">
        <v>2398.4136607828</v>
      </c>
      <c r="E133">
        <v>438.46508058326998</v>
      </c>
      <c r="F133">
        <v>133.49653045490001</v>
      </c>
      <c r="G133">
        <v>114.82575173476999</v>
      </c>
      <c r="I133" s="9">
        <f t="shared" si="15"/>
        <v>323.63932884849999</v>
      </c>
      <c r="J133" s="9">
        <f t="shared" si="16"/>
        <v>2264.9171303278999</v>
      </c>
      <c r="K133" s="9">
        <f t="shared" si="17"/>
        <v>323.63932884849999</v>
      </c>
      <c r="L133" s="10">
        <f t="shared" si="14"/>
        <v>0.14289234891417224</v>
      </c>
      <c r="M133" s="10">
        <f t="shared" si="18"/>
        <v>0.205440722864596</v>
      </c>
      <c r="P133" s="8">
        <f t="shared" si="19"/>
        <v>-36.542469539493979</v>
      </c>
      <c r="X133" s="8">
        <v>-13</v>
      </c>
    </row>
    <row r="134" spans="1:24" x14ac:dyDescent="0.2">
      <c r="A134" s="8">
        <v>66</v>
      </c>
      <c r="B134" s="8">
        <v>132</v>
      </c>
      <c r="D134">
        <v>2406.6162701458002</v>
      </c>
      <c r="E134">
        <v>432.05372217959001</v>
      </c>
      <c r="F134">
        <v>133.15651503469999</v>
      </c>
      <c r="G134">
        <v>114.83808789514001</v>
      </c>
      <c r="I134" s="9">
        <f t="shared" si="15"/>
        <v>317.21563428445</v>
      </c>
      <c r="J134" s="9">
        <f t="shared" si="16"/>
        <v>2273.4597551111001</v>
      </c>
      <c r="K134" s="9">
        <f t="shared" si="17"/>
        <v>317.21563428445</v>
      </c>
      <c r="L134" s="10">
        <f t="shared" si="14"/>
        <v>0.13952990967678169</v>
      </c>
      <c r="M134" s="10">
        <f t="shared" si="18"/>
        <v>0.20255575213064381</v>
      </c>
      <c r="P134" s="8">
        <f t="shared" si="19"/>
        <v>-37.433593342383354</v>
      </c>
      <c r="X134" s="8">
        <v>-13</v>
      </c>
    </row>
    <row r="135" spans="1:24" x14ac:dyDescent="0.2">
      <c r="A135" s="8">
        <v>66.5</v>
      </c>
      <c r="B135" s="8">
        <v>133</v>
      </c>
      <c r="D135">
        <v>2403.7851112817002</v>
      </c>
      <c r="E135">
        <v>429.16653875672</v>
      </c>
      <c r="F135">
        <v>133.98920585968</v>
      </c>
      <c r="G135">
        <v>114.4533538936</v>
      </c>
      <c r="I135" s="9">
        <f t="shared" si="15"/>
        <v>314.71318486311998</v>
      </c>
      <c r="J135" s="9">
        <f t="shared" si="16"/>
        <v>2269.79590542202</v>
      </c>
      <c r="K135" s="9">
        <f t="shared" si="17"/>
        <v>314.71318486311998</v>
      </c>
      <c r="L135" s="10">
        <f t="shared" si="14"/>
        <v>0.13865263573316994</v>
      </c>
      <c r="M135" s="10">
        <f t="shared" si="18"/>
        <v>0.20215594669047038</v>
      </c>
      <c r="P135" s="8">
        <f t="shared" si="19"/>
        <v>-37.557087192795876</v>
      </c>
      <c r="X135" s="8">
        <v>-13</v>
      </c>
    </row>
    <row r="136" spans="1:24" x14ac:dyDescent="0.2">
      <c r="A136" s="8">
        <v>67</v>
      </c>
      <c r="B136" s="8">
        <v>134</v>
      </c>
      <c r="D136">
        <v>2385.3844973138998</v>
      </c>
      <c r="E136">
        <v>426.66999232540002</v>
      </c>
      <c r="F136">
        <v>134.20200462605999</v>
      </c>
      <c r="G136">
        <v>114.57286044719</v>
      </c>
      <c r="I136" s="9">
        <f t="shared" si="15"/>
        <v>312.09713187821001</v>
      </c>
      <c r="J136" s="9">
        <f t="shared" si="16"/>
        <v>2251.1824926878398</v>
      </c>
      <c r="K136" s="9">
        <f t="shared" si="17"/>
        <v>312.09713187821001</v>
      </c>
      <c r="L136" s="10">
        <f t="shared" si="14"/>
        <v>0.13863697540823358</v>
      </c>
      <c r="M136" s="10">
        <f t="shared" si="18"/>
        <v>0.20261775486897238</v>
      </c>
      <c r="P136" s="8">
        <f t="shared" si="19"/>
        <v>-37.414441634770284</v>
      </c>
      <c r="X136" s="8">
        <v>-13</v>
      </c>
    </row>
    <row r="137" spans="1:24" x14ac:dyDescent="0.2">
      <c r="A137" s="8">
        <v>67.5</v>
      </c>
      <c r="B137" s="8">
        <v>135</v>
      </c>
      <c r="D137">
        <v>2381.8802762854998</v>
      </c>
      <c r="E137">
        <v>418.28933231004999</v>
      </c>
      <c r="F137">
        <v>133.78565921357</v>
      </c>
      <c r="G137">
        <v>114.61295296839</v>
      </c>
      <c r="I137" s="9">
        <f t="shared" si="15"/>
        <v>303.67637934165998</v>
      </c>
      <c r="J137" s="9">
        <f t="shared" si="16"/>
        <v>2248.0946170719299</v>
      </c>
      <c r="K137" s="9">
        <f t="shared" si="17"/>
        <v>303.67637934165998</v>
      </c>
      <c r="L137" s="10">
        <f t="shared" si="14"/>
        <v>0.13508167184581785</v>
      </c>
      <c r="M137" s="10">
        <f t="shared" si="18"/>
        <v>0.19953991980999503</v>
      </c>
      <c r="P137" s="8">
        <f t="shared" si="19"/>
        <v>-38.365138309139937</v>
      </c>
      <c r="X137" s="8">
        <v>-13</v>
      </c>
    </row>
    <row r="138" spans="1:24" x14ac:dyDescent="0.2">
      <c r="A138" s="8">
        <v>68</v>
      </c>
      <c r="B138" s="8">
        <v>136</v>
      </c>
      <c r="D138">
        <v>2351.9961627015</v>
      </c>
      <c r="E138">
        <v>407.69378357635998</v>
      </c>
      <c r="F138">
        <v>134.24749421742999</v>
      </c>
      <c r="G138">
        <v>114.44487278334999</v>
      </c>
      <c r="I138" s="9">
        <f t="shared" si="15"/>
        <v>293.24891079301</v>
      </c>
      <c r="J138" s="9">
        <f t="shared" si="16"/>
        <v>2217.7486684840701</v>
      </c>
      <c r="K138" s="9">
        <f t="shared" si="17"/>
        <v>293.24891079301</v>
      </c>
      <c r="L138" s="10">
        <f t="shared" si="14"/>
        <v>0.13222819833478186</v>
      </c>
      <c r="M138" s="10">
        <f t="shared" si="18"/>
        <v>0.19716391480239737</v>
      </c>
      <c r="P138" s="8">
        <f t="shared" si="19"/>
        <v>-39.099050301083807</v>
      </c>
      <c r="X138" s="8">
        <v>-13</v>
      </c>
    </row>
    <row r="139" spans="1:24" x14ac:dyDescent="0.2">
      <c r="A139" s="8">
        <v>68.5</v>
      </c>
      <c r="B139" s="8">
        <v>137</v>
      </c>
      <c r="D139">
        <v>2318.7214121258999</v>
      </c>
      <c r="E139">
        <v>400.45433614734998</v>
      </c>
      <c r="F139">
        <v>133.72860447186</v>
      </c>
      <c r="G139">
        <v>114.36545875096</v>
      </c>
      <c r="I139" s="9">
        <f t="shared" si="15"/>
        <v>286.08887739638999</v>
      </c>
      <c r="J139" s="9">
        <f t="shared" si="16"/>
        <v>2184.99280765404</v>
      </c>
      <c r="K139" s="9">
        <f t="shared" si="17"/>
        <v>286.08887739638999</v>
      </c>
      <c r="L139" s="10">
        <f t="shared" si="14"/>
        <v>0.13093355565941422</v>
      </c>
      <c r="M139" s="10">
        <f t="shared" si="18"/>
        <v>0.19634674063046809</v>
      </c>
      <c r="P139" s="8">
        <f t="shared" si="19"/>
        <v>-39.351463036902096</v>
      </c>
      <c r="X139" s="8">
        <v>-13</v>
      </c>
    </row>
    <row r="140" spans="1:24" x14ac:dyDescent="0.2">
      <c r="A140" s="8">
        <v>69</v>
      </c>
      <c r="B140" s="8">
        <v>138</v>
      </c>
      <c r="D140">
        <v>2279.4055087987999</v>
      </c>
      <c r="E140">
        <v>403.62356541699</v>
      </c>
      <c r="F140">
        <v>133.76869699305999</v>
      </c>
      <c r="G140">
        <v>114.51811873554</v>
      </c>
      <c r="I140" s="9">
        <f t="shared" si="15"/>
        <v>289.10544668145002</v>
      </c>
      <c r="J140" s="9">
        <f t="shared" si="16"/>
        <v>2145.6368118057399</v>
      </c>
      <c r="K140" s="9">
        <f t="shared" si="17"/>
        <v>289.10544668145002</v>
      </c>
      <c r="L140" s="10">
        <f t="shared" si="14"/>
        <v>0.1347410918244559</v>
      </c>
      <c r="M140" s="10">
        <f t="shared" si="18"/>
        <v>0.20063174529894812</v>
      </c>
      <c r="P140" s="8">
        <f t="shared" si="19"/>
        <v>-38.027889937654876</v>
      </c>
      <c r="X140" s="8">
        <v>-13</v>
      </c>
    </row>
    <row r="141" spans="1:24" x14ac:dyDescent="0.2">
      <c r="A141" s="8">
        <v>69.5</v>
      </c>
      <c r="B141" s="8">
        <v>139</v>
      </c>
      <c r="D141">
        <v>2265.1859219587</v>
      </c>
      <c r="E141">
        <v>392.22494261667998</v>
      </c>
      <c r="F141">
        <v>134.21125674634001</v>
      </c>
      <c r="G141">
        <v>114.72937548188</v>
      </c>
      <c r="I141" s="9">
        <f t="shared" si="15"/>
        <v>277.49556713480001</v>
      </c>
      <c r="J141" s="9">
        <f t="shared" si="16"/>
        <v>2130.9746652123599</v>
      </c>
      <c r="K141" s="9">
        <f t="shared" si="17"/>
        <v>277.49556713480001</v>
      </c>
      <c r="L141" s="10">
        <f t="shared" si="14"/>
        <v>0.13022002169469551</v>
      </c>
      <c r="M141" s="10">
        <f t="shared" si="18"/>
        <v>0.19658814367262606</v>
      </c>
      <c r="P141" s="8">
        <f t="shared" si="19"/>
        <v>-39.276897290211778</v>
      </c>
      <c r="X141" s="8">
        <v>-13</v>
      </c>
    </row>
    <row r="142" spans="1:24" x14ac:dyDescent="0.2">
      <c r="A142" s="8">
        <v>70</v>
      </c>
      <c r="B142" s="8">
        <v>140</v>
      </c>
      <c r="D142">
        <v>2337.4560061208999</v>
      </c>
      <c r="E142">
        <v>404.83397092578002</v>
      </c>
      <c r="F142">
        <v>133.91673091749999</v>
      </c>
      <c r="G142">
        <v>114.65381649961</v>
      </c>
      <c r="I142" s="9">
        <f t="shared" si="15"/>
        <v>290.18015442617002</v>
      </c>
      <c r="J142" s="9">
        <f t="shared" si="16"/>
        <v>2203.5392752033999</v>
      </c>
      <c r="K142" s="9">
        <f t="shared" si="17"/>
        <v>290.18015442617002</v>
      </c>
      <c r="L142" s="10">
        <f t="shared" si="14"/>
        <v>0.13168821526876787</v>
      </c>
      <c r="M142" s="10">
        <f t="shared" si="18"/>
        <v>0.19853380575013677</v>
      </c>
      <c r="P142" s="8">
        <f t="shared" si="19"/>
        <v>-38.675911717206063</v>
      </c>
      <c r="X142" s="8">
        <v>-13</v>
      </c>
    </row>
    <row r="143" spans="1:24" x14ac:dyDescent="0.2">
      <c r="A143" s="8">
        <v>70.5</v>
      </c>
      <c r="B143" s="8">
        <v>141</v>
      </c>
      <c r="D143">
        <v>2319.2915072686001</v>
      </c>
      <c r="E143">
        <v>400.34659525631002</v>
      </c>
      <c r="F143">
        <v>133.79336931380001</v>
      </c>
      <c r="G143">
        <v>114.77255204318</v>
      </c>
      <c r="I143" s="9">
        <f t="shared" si="15"/>
        <v>285.57404321313004</v>
      </c>
      <c r="J143" s="9">
        <f t="shared" si="16"/>
        <v>2185.4981379547999</v>
      </c>
      <c r="K143" s="9">
        <f t="shared" si="17"/>
        <v>285.57404321313004</v>
      </c>
      <c r="L143" s="10">
        <f t="shared" si="14"/>
        <v>0.13066771289055942</v>
      </c>
      <c r="M143" s="10">
        <f t="shared" si="18"/>
        <v>0.19799077187536668</v>
      </c>
      <c r="P143" s="8">
        <f t="shared" si="19"/>
        <v>-38.84364666366077</v>
      </c>
      <c r="X143" s="8">
        <v>-13</v>
      </c>
    </row>
    <row r="144" spans="1:24" x14ac:dyDescent="0.2">
      <c r="A144" s="8">
        <v>71</v>
      </c>
      <c r="B144" s="8">
        <v>142</v>
      </c>
      <c r="D144">
        <v>2328.2172915073002</v>
      </c>
      <c r="E144">
        <v>403.88064269319</v>
      </c>
      <c r="F144">
        <v>133.96067848882001</v>
      </c>
      <c r="G144">
        <v>114.70161912105</v>
      </c>
      <c r="I144" s="9">
        <f t="shared" si="15"/>
        <v>289.17902357214001</v>
      </c>
      <c r="J144" s="9">
        <f t="shared" si="16"/>
        <v>2194.25661301848</v>
      </c>
      <c r="K144" s="9">
        <f t="shared" si="17"/>
        <v>289.17902357214001</v>
      </c>
      <c r="L144" s="10">
        <f t="shared" si="14"/>
        <v>0.13178906325561318</v>
      </c>
      <c r="M144" s="10">
        <f t="shared" si="18"/>
        <v>0.19958959074385879</v>
      </c>
      <c r="P144" s="8">
        <f t="shared" si="19"/>
        <v>-38.349795709314975</v>
      </c>
    </row>
    <row r="145" spans="1:16" x14ac:dyDescent="0.2">
      <c r="A145" s="8">
        <v>71.5</v>
      </c>
      <c r="B145" s="8">
        <v>143</v>
      </c>
      <c r="D145">
        <v>2307.98</v>
      </c>
      <c r="E145">
        <v>400.35923076923001</v>
      </c>
      <c r="F145">
        <v>134.29915188897999</v>
      </c>
      <c r="G145">
        <v>114.43793369314</v>
      </c>
      <c r="I145" s="9">
        <f t="shared" si="15"/>
        <v>285.92129707609001</v>
      </c>
      <c r="J145" s="9">
        <f t="shared" si="16"/>
        <v>2173.6808481110202</v>
      </c>
      <c r="K145" s="9">
        <f t="shared" si="17"/>
        <v>285.92129707609001</v>
      </c>
      <c r="L145" s="10">
        <f t="shared" si="14"/>
        <v>0.13153784619511294</v>
      </c>
      <c r="M145" s="10">
        <f t="shared" si="18"/>
        <v>0.19981584218679688</v>
      </c>
      <c r="P145" s="8">
        <f t="shared" si="19"/>
        <v>-38.279910062342054</v>
      </c>
    </row>
    <row r="146" spans="1:16" x14ac:dyDescent="0.2">
      <c r="A146" s="8">
        <v>72</v>
      </c>
      <c r="B146" s="8">
        <v>144</v>
      </c>
      <c r="D146">
        <v>2361.9846390169</v>
      </c>
      <c r="E146">
        <v>405.75422427034999</v>
      </c>
      <c r="F146">
        <v>133.86507324594999</v>
      </c>
      <c r="G146">
        <v>114.89822667695</v>
      </c>
      <c r="I146" s="9">
        <f t="shared" si="15"/>
        <v>290.85599759339999</v>
      </c>
      <c r="J146" s="9">
        <f t="shared" si="16"/>
        <v>2228.11956577095</v>
      </c>
      <c r="K146" s="9">
        <f t="shared" si="17"/>
        <v>290.85599759339999</v>
      </c>
      <c r="L146" s="10">
        <f t="shared" si="14"/>
        <v>0.13053877451713913</v>
      </c>
      <c r="M146" s="10">
        <f t="shared" si="18"/>
        <v>0.19929423901226145</v>
      </c>
      <c r="P146" s="8">
        <f t="shared" si="19"/>
        <v>-38.441025389794412</v>
      </c>
    </row>
    <row r="147" spans="1:16" x14ac:dyDescent="0.2">
      <c r="A147" s="8">
        <v>72.5</v>
      </c>
      <c r="B147" s="8">
        <v>145</v>
      </c>
      <c r="D147">
        <v>2398.5554705432</v>
      </c>
      <c r="E147">
        <v>419.43075745982998</v>
      </c>
      <c r="F147">
        <v>133.37008481110001</v>
      </c>
      <c r="G147">
        <v>114.50269853508</v>
      </c>
      <c r="I147" s="9">
        <f t="shared" si="15"/>
        <v>304.92805892474996</v>
      </c>
      <c r="J147" s="9">
        <f t="shared" si="16"/>
        <v>2265.1853857321003</v>
      </c>
      <c r="K147" s="9">
        <f t="shared" si="17"/>
        <v>304.92805892474996</v>
      </c>
      <c r="L147" s="10">
        <f t="shared" si="14"/>
        <v>0.13461505660659126</v>
      </c>
      <c r="M147" s="10">
        <f t="shared" si="18"/>
        <v>0.20384798960515191</v>
      </c>
      <c r="P147" s="8">
        <f t="shared" si="19"/>
        <v>-37.034440741295342</v>
      </c>
    </row>
    <row r="148" spans="1:16" x14ac:dyDescent="0.2">
      <c r="A148" s="8">
        <v>73</v>
      </c>
      <c r="B148" s="8">
        <v>146</v>
      </c>
      <c r="D148">
        <v>2441.6478328172998</v>
      </c>
      <c r="E148">
        <v>418.42337461300002</v>
      </c>
      <c r="F148">
        <v>134.22513492675</v>
      </c>
      <c r="G148">
        <v>114.81187355436001</v>
      </c>
      <c r="I148" s="9">
        <f t="shared" si="15"/>
        <v>303.61150105863999</v>
      </c>
      <c r="J148" s="9">
        <f t="shared" si="16"/>
        <v>2307.4226978905499</v>
      </c>
      <c r="K148" s="9">
        <f t="shared" si="17"/>
        <v>303.61150105863999</v>
      </c>
      <c r="L148" s="10">
        <f t="shared" si="14"/>
        <v>0.13158035644539778</v>
      </c>
      <c r="M148" s="10">
        <f t="shared" si="18"/>
        <v>0.20129075794739679</v>
      </c>
      <c r="P148" s="8">
        <f t="shared" si="19"/>
        <v>-37.824330903060002</v>
      </c>
    </row>
    <row r="149" spans="1:16" x14ac:dyDescent="0.2">
      <c r="A149" s="8">
        <v>73.5</v>
      </c>
      <c r="B149" s="8">
        <v>147</v>
      </c>
      <c r="D149">
        <v>2391.3161538462</v>
      </c>
      <c r="E149">
        <v>420.24</v>
      </c>
      <c r="F149">
        <v>134.12104857362999</v>
      </c>
      <c r="G149">
        <v>114.72629144179</v>
      </c>
      <c r="I149" s="9">
        <f t="shared" si="15"/>
        <v>305.51370855821</v>
      </c>
      <c r="J149" s="9">
        <f t="shared" si="16"/>
        <v>2257.1951052725699</v>
      </c>
      <c r="K149" s="9">
        <f t="shared" si="17"/>
        <v>305.51370855821</v>
      </c>
      <c r="L149" s="10">
        <f t="shared" si="14"/>
        <v>0.13535104158455871</v>
      </c>
      <c r="M149" s="10">
        <f t="shared" si="18"/>
        <v>0.20553891158999604</v>
      </c>
      <c r="P149" s="8">
        <f t="shared" si="19"/>
        <v>-36.512140528059099</v>
      </c>
    </row>
    <row r="150" spans="1:16" x14ac:dyDescent="0.2">
      <c r="A150" s="8">
        <v>74</v>
      </c>
      <c r="B150" s="8">
        <v>148</v>
      </c>
      <c r="D150">
        <v>2423.0192307692</v>
      </c>
      <c r="E150">
        <v>418.87307692308002</v>
      </c>
      <c r="F150">
        <v>134.05705474171</v>
      </c>
      <c r="G150">
        <v>114.45412490362</v>
      </c>
      <c r="I150" s="9">
        <f t="shared" si="15"/>
        <v>304.41895201945999</v>
      </c>
      <c r="J150" s="9">
        <f t="shared" si="16"/>
        <v>2288.9621760274899</v>
      </c>
      <c r="K150" s="9">
        <f t="shared" si="17"/>
        <v>304.41895201945999</v>
      </c>
      <c r="L150" s="10">
        <f t="shared" si="14"/>
        <v>0.1329943129719082</v>
      </c>
      <c r="M150" s="10">
        <f t="shared" si="18"/>
        <v>0.20365965148078391</v>
      </c>
      <c r="P150" s="8">
        <f t="shared" si="19"/>
        <v>-37.092615537885372</v>
      </c>
    </row>
    <row r="151" spans="1:16" x14ac:dyDescent="0.2">
      <c r="A151" s="8">
        <v>74.5</v>
      </c>
      <c r="B151" s="8">
        <v>149</v>
      </c>
      <c r="D151">
        <v>2421.5784615385001</v>
      </c>
      <c r="E151">
        <v>425.93615384614998</v>
      </c>
      <c r="F151">
        <v>134.36083269082999</v>
      </c>
      <c r="G151">
        <v>114.86969930609</v>
      </c>
      <c r="I151" s="9">
        <f t="shared" si="15"/>
        <v>311.06645454005996</v>
      </c>
      <c r="J151" s="9">
        <f t="shared" si="16"/>
        <v>2287.2176288476699</v>
      </c>
      <c r="K151" s="9">
        <f t="shared" si="17"/>
        <v>311.06645454005996</v>
      </c>
      <c r="L151" s="10">
        <f t="shared" si="14"/>
        <v>0.13600212354815547</v>
      </c>
      <c r="M151" s="10">
        <f t="shared" si="18"/>
        <v>0.20714493056046951</v>
      </c>
      <c r="P151" s="8">
        <f t="shared" si="19"/>
        <v>-36.016065571166834</v>
      </c>
    </row>
    <row r="152" spans="1:16" x14ac:dyDescent="0.2">
      <c r="A152" s="8">
        <v>75</v>
      </c>
      <c r="B152" s="8">
        <v>150</v>
      </c>
      <c r="D152">
        <v>2455.7480798770998</v>
      </c>
      <c r="E152">
        <v>427.06528417818998</v>
      </c>
      <c r="F152">
        <v>134.43947571318</v>
      </c>
      <c r="G152">
        <v>114.89976869698999</v>
      </c>
      <c r="I152" s="9">
        <f t="shared" si="15"/>
        <v>312.16551548119998</v>
      </c>
      <c r="J152" s="9">
        <f t="shared" si="16"/>
        <v>2321.3086041639199</v>
      </c>
      <c r="K152" s="9">
        <f t="shared" si="17"/>
        <v>312.16551548119998</v>
      </c>
      <c r="L152" s="10">
        <f t="shared" si="14"/>
        <v>0.13447824857119098</v>
      </c>
      <c r="M152" s="10">
        <f t="shared" si="18"/>
        <v>0.20609852408694337</v>
      </c>
      <c r="P152" s="8">
        <f t="shared" si="19"/>
        <v>-36.339284696089891</v>
      </c>
    </row>
    <row r="153" spans="1:16" x14ac:dyDescent="0.2">
      <c r="A153" s="8">
        <v>75.5</v>
      </c>
      <c r="B153" s="8">
        <v>151</v>
      </c>
      <c r="D153">
        <v>2424.4539170507001</v>
      </c>
      <c r="E153">
        <v>414.06374807987999</v>
      </c>
      <c r="F153">
        <v>134.22590593678001</v>
      </c>
      <c r="G153">
        <v>114.79414032382</v>
      </c>
      <c r="I153" s="9">
        <f t="shared" si="15"/>
        <v>299.26960775606</v>
      </c>
      <c r="J153" s="9">
        <f t="shared" si="16"/>
        <v>2290.2280111139198</v>
      </c>
      <c r="K153" s="9">
        <f t="shared" si="17"/>
        <v>299.26960775606</v>
      </c>
      <c r="L153" s="10">
        <f t="shared" si="14"/>
        <v>0.13067240742134728</v>
      </c>
      <c r="M153" s="10">
        <f t="shared" si="18"/>
        <v>0.20277015144053803</v>
      </c>
      <c r="P153" s="8">
        <f t="shared" si="19"/>
        <v>-37.367368639955238</v>
      </c>
    </row>
    <row r="154" spans="1:16" x14ac:dyDescent="0.2">
      <c r="A154" s="8">
        <v>76</v>
      </c>
      <c r="B154" s="8">
        <v>152</v>
      </c>
      <c r="D154">
        <v>2400.0207373272001</v>
      </c>
      <c r="E154">
        <v>412.71505376343998</v>
      </c>
      <c r="F154">
        <v>134.33384734001999</v>
      </c>
      <c r="G154">
        <v>114.67463377024001</v>
      </c>
      <c r="I154" s="9">
        <f t="shared" si="15"/>
        <v>298.04041999319998</v>
      </c>
      <c r="J154" s="9">
        <f t="shared" si="16"/>
        <v>2265.6868899871802</v>
      </c>
      <c r="K154" s="9">
        <f t="shared" si="17"/>
        <v>298.04041999319998</v>
      </c>
      <c r="L154" s="10">
        <f t="shared" si="14"/>
        <v>0.1315452816143039</v>
      </c>
      <c r="M154" s="10">
        <f t="shared" si="18"/>
        <v>0.20412049413693301</v>
      </c>
      <c r="P154" s="8">
        <f t="shared" si="19"/>
        <v>-36.950268215103819</v>
      </c>
    </row>
    <row r="155" spans="1:16" x14ac:dyDescent="0.2">
      <c r="A155" s="8">
        <v>76.5</v>
      </c>
      <c r="B155" s="8">
        <v>153</v>
      </c>
      <c r="D155">
        <v>2430.8811349693001</v>
      </c>
      <c r="E155">
        <v>418.66027607362003</v>
      </c>
      <c r="F155">
        <v>134.68851195066</v>
      </c>
      <c r="G155">
        <v>114.62220508867</v>
      </c>
      <c r="I155" s="9">
        <f t="shared" si="15"/>
        <v>304.03807098495002</v>
      </c>
      <c r="J155" s="9">
        <f t="shared" si="16"/>
        <v>2296.19262301864</v>
      </c>
      <c r="K155" s="9">
        <f t="shared" si="17"/>
        <v>304.03807098495002</v>
      </c>
      <c r="L155" s="10">
        <f t="shared" si="14"/>
        <v>0.13240965411048702</v>
      </c>
      <c r="M155" s="10">
        <f t="shared" si="18"/>
        <v>0.20546233513655449</v>
      </c>
      <c r="P155" s="8">
        <f t="shared" si="19"/>
        <v>-36.535793835733784</v>
      </c>
    </row>
    <row r="156" spans="1:16" x14ac:dyDescent="0.2">
      <c r="A156" s="8">
        <v>77</v>
      </c>
      <c r="B156" s="8">
        <v>154</v>
      </c>
      <c r="D156">
        <v>2340.9930981594998</v>
      </c>
      <c r="E156">
        <v>422.21779141104003</v>
      </c>
      <c r="F156">
        <v>134.70393215112</v>
      </c>
      <c r="G156">
        <v>115.13107170393</v>
      </c>
      <c r="I156" s="9">
        <f t="shared" si="15"/>
        <v>307.08671970711003</v>
      </c>
      <c r="J156" s="9">
        <f t="shared" si="16"/>
        <v>2206.2891660083797</v>
      </c>
      <c r="K156" s="9">
        <f t="shared" si="17"/>
        <v>307.08671970711003</v>
      </c>
      <c r="L156" s="10">
        <f t="shared" si="14"/>
        <v>0.13918697713713185</v>
      </c>
      <c r="M156" s="10">
        <f t="shared" si="18"/>
        <v>0.21271712666663764</v>
      </c>
      <c r="P156" s="8">
        <f t="shared" si="19"/>
        <v>-34.294898515246132</v>
      </c>
    </row>
    <row r="157" spans="1:16" x14ac:dyDescent="0.2">
      <c r="A157" s="8">
        <v>77.5</v>
      </c>
      <c r="B157" s="8">
        <v>155</v>
      </c>
      <c r="D157">
        <v>2426.9336419752999</v>
      </c>
      <c r="E157">
        <v>421.48225308641997</v>
      </c>
      <c r="F157">
        <v>134.8164996145</v>
      </c>
      <c r="G157">
        <v>114.64302235929</v>
      </c>
      <c r="I157" s="9">
        <f t="shared" si="15"/>
        <v>306.83923072712997</v>
      </c>
      <c r="J157" s="9">
        <f t="shared" si="16"/>
        <v>2292.1171423607998</v>
      </c>
      <c r="K157" s="9">
        <f t="shared" si="17"/>
        <v>306.83923072712997</v>
      </c>
      <c r="L157" s="10">
        <f t="shared" si="14"/>
        <v>0.13386716806763915</v>
      </c>
      <c r="M157" s="10">
        <f t="shared" si="18"/>
        <v>0.2078747861005833</v>
      </c>
      <c r="P157" s="8">
        <f t="shared" si="19"/>
        <v>-35.790624239366878</v>
      </c>
    </row>
    <row r="158" spans="1:16" x14ac:dyDescent="0.2">
      <c r="A158" s="8">
        <v>78</v>
      </c>
      <c r="B158" s="8">
        <v>156</v>
      </c>
      <c r="D158">
        <v>2401.3774733638002</v>
      </c>
      <c r="E158">
        <v>415.33637747336002</v>
      </c>
      <c r="F158">
        <v>134.61989205859999</v>
      </c>
      <c r="G158">
        <v>115.10331534309999</v>
      </c>
      <c r="I158" s="9">
        <f t="shared" si="15"/>
        <v>300.23306213026001</v>
      </c>
      <c r="J158" s="9">
        <f t="shared" si="16"/>
        <v>2266.7575813052003</v>
      </c>
      <c r="K158" s="9">
        <f t="shared" si="17"/>
        <v>300.23306213026001</v>
      </c>
      <c r="L158" s="10">
        <f t="shared" si="14"/>
        <v>0.13245045019652504</v>
      </c>
      <c r="M158" s="10">
        <f t="shared" si="18"/>
        <v>0.20693553673290754</v>
      </c>
      <c r="P158" s="8">
        <f t="shared" si="19"/>
        <v>-36.080744155847988</v>
      </c>
    </row>
    <row r="159" spans="1:16" x14ac:dyDescent="0.2">
      <c r="A159" s="8">
        <v>78.5</v>
      </c>
      <c r="B159" s="8">
        <v>157</v>
      </c>
      <c r="D159">
        <v>2419.5941583396998</v>
      </c>
      <c r="E159">
        <v>420.64181398924001</v>
      </c>
      <c r="F159">
        <v>134.54973014648999</v>
      </c>
      <c r="G159">
        <v>114.69313801078999</v>
      </c>
      <c r="I159" s="9">
        <f t="shared" si="15"/>
        <v>305.94867597845001</v>
      </c>
      <c r="J159" s="9">
        <f t="shared" si="16"/>
        <v>2285.0444281932096</v>
      </c>
      <c r="K159" s="9">
        <f t="shared" si="17"/>
        <v>305.94867597845001</v>
      </c>
      <c r="L159" s="10">
        <f t="shared" si="14"/>
        <v>0.13389178442379976</v>
      </c>
      <c r="M159" s="10">
        <f t="shared" si="18"/>
        <v>0.20885433946362059</v>
      </c>
      <c r="P159" s="8">
        <f t="shared" si="19"/>
        <v>-35.488055028618923</v>
      </c>
    </row>
    <row r="160" spans="1:16" x14ac:dyDescent="0.2">
      <c r="A160" s="8">
        <v>79</v>
      </c>
      <c r="B160" s="8">
        <v>158</v>
      </c>
      <c r="D160">
        <v>2376.1437355879998</v>
      </c>
      <c r="E160">
        <v>417.99461952344001</v>
      </c>
      <c r="F160">
        <v>133.98535080956</v>
      </c>
      <c r="G160">
        <v>114.71472629144</v>
      </c>
      <c r="I160" s="9">
        <f t="shared" si="15"/>
        <v>303.27989323200001</v>
      </c>
      <c r="J160" s="9">
        <f t="shared" si="16"/>
        <v>2242.15838477844</v>
      </c>
      <c r="K160" s="9">
        <f t="shared" si="17"/>
        <v>303.27989323200001</v>
      </c>
      <c r="L160" s="10">
        <f t="shared" si="14"/>
        <v>0.13526247534112928</v>
      </c>
      <c r="M160" s="10">
        <f t="shared" si="18"/>
        <v>0.21070249888438847</v>
      </c>
      <c r="P160" s="8">
        <f t="shared" si="19"/>
        <v>-34.917186550821825</v>
      </c>
    </row>
    <row r="161" spans="1:16" x14ac:dyDescent="0.2">
      <c r="A161" s="8">
        <v>79.5</v>
      </c>
      <c r="B161" s="8">
        <v>159</v>
      </c>
      <c r="D161">
        <v>2355.1918335901</v>
      </c>
      <c r="E161">
        <v>409.95300462249998</v>
      </c>
      <c r="F161">
        <v>134.51580570547</v>
      </c>
      <c r="G161">
        <v>115.02698535080999</v>
      </c>
      <c r="I161" s="9">
        <f t="shared" si="15"/>
        <v>294.92601927169</v>
      </c>
      <c r="J161" s="9">
        <f t="shared" si="16"/>
        <v>2220.67602788463</v>
      </c>
      <c r="K161" s="9">
        <f t="shared" si="17"/>
        <v>294.92601927169</v>
      </c>
      <c r="L161" s="10">
        <f t="shared" si="14"/>
        <v>0.13280911558838704</v>
      </c>
      <c r="M161" s="10">
        <f t="shared" si="18"/>
        <v>0.20872660763508458</v>
      </c>
      <c r="P161" s="8">
        <f t="shared" si="19"/>
        <v>-35.52750945755141</v>
      </c>
    </row>
    <row r="162" spans="1:16" x14ac:dyDescent="0.2">
      <c r="A162" s="8">
        <v>80</v>
      </c>
      <c r="B162" s="4">
        <v>160</v>
      </c>
      <c r="C162" s="4" t="s">
        <v>7</v>
      </c>
      <c r="D162">
        <v>2328.5902140673002</v>
      </c>
      <c r="E162">
        <v>404.86926605504999</v>
      </c>
      <c r="F162">
        <v>134.63762528913</v>
      </c>
      <c r="G162">
        <v>115.03855050116</v>
      </c>
      <c r="H162" s="4"/>
      <c r="I162" s="5">
        <f t="shared" si="15"/>
        <v>289.83071555389</v>
      </c>
      <c r="J162" s="5">
        <f t="shared" si="16"/>
        <v>2193.9525887781701</v>
      </c>
      <c r="K162" s="9">
        <f t="shared" si="17"/>
        <v>289.83071555389</v>
      </c>
      <c r="L162" s="6">
        <f t="shared" si="14"/>
        <v>0.13210436589940125</v>
      </c>
      <c r="M162" s="6">
        <f t="shared" si="18"/>
        <v>0.20849932644953714</v>
      </c>
      <c r="N162" s="4"/>
      <c r="O162" s="4"/>
      <c r="P162" s="4">
        <f t="shared" si="19"/>
        <v>-35.597713176433778</v>
      </c>
    </row>
    <row r="163" spans="1:16" x14ac:dyDescent="0.2">
      <c r="A163" s="8">
        <v>80.5</v>
      </c>
      <c r="B163" s="8">
        <v>161</v>
      </c>
      <c r="D163">
        <v>2305.8975535168001</v>
      </c>
      <c r="E163">
        <v>395.35168195719001</v>
      </c>
      <c r="F163">
        <v>134.33770239013</v>
      </c>
      <c r="G163">
        <v>114.77023901311</v>
      </c>
      <c r="I163" s="9">
        <f t="shared" si="15"/>
        <v>280.58144294407998</v>
      </c>
      <c r="J163" s="9">
        <f t="shared" si="16"/>
        <v>2171.5598511266703</v>
      </c>
      <c r="K163" s="9">
        <f t="shared" si="17"/>
        <v>280.58144294407998</v>
      </c>
      <c r="L163" s="10">
        <f t="shared" si="14"/>
        <v>0.12920732661294412</v>
      </c>
      <c r="M163" s="10">
        <f t="shared" si="18"/>
        <v>0.20607975566651837</v>
      </c>
      <c r="P163" s="8">
        <f t="shared" si="19"/>
        <v>-36.345081977145995</v>
      </c>
    </row>
    <row r="164" spans="1:16" x14ac:dyDescent="0.2">
      <c r="A164" s="8">
        <v>81</v>
      </c>
      <c r="B164" s="8">
        <v>162</v>
      </c>
      <c r="D164">
        <v>2354.2189892801998</v>
      </c>
      <c r="E164">
        <v>405.23660030628002</v>
      </c>
      <c r="F164">
        <v>134.66846569005</v>
      </c>
      <c r="G164">
        <v>114.78565921357</v>
      </c>
      <c r="I164" s="9">
        <f t="shared" si="15"/>
        <v>290.45094109271002</v>
      </c>
      <c r="J164" s="9">
        <f t="shared" si="16"/>
        <v>2219.5505235901496</v>
      </c>
      <c r="K164" s="9">
        <f t="shared" si="17"/>
        <v>290.45094109271002</v>
      </c>
      <c r="L164" s="10">
        <f t="shared" si="14"/>
        <v>0.13086025211217187</v>
      </c>
      <c r="M164" s="10">
        <f t="shared" si="18"/>
        <v>0.20821014966918444</v>
      </c>
      <c r="P164" s="8">
        <f t="shared" si="19"/>
        <v>-35.687035507916214</v>
      </c>
    </row>
    <row r="165" spans="1:16" x14ac:dyDescent="0.2">
      <c r="A165" s="8">
        <v>81.5</v>
      </c>
      <c r="B165" s="8">
        <v>163</v>
      </c>
      <c r="D165">
        <v>2404.5321592649002</v>
      </c>
      <c r="E165">
        <v>452.21898928025001</v>
      </c>
      <c r="F165">
        <v>134.61063993831999</v>
      </c>
      <c r="G165">
        <v>114.9267540478</v>
      </c>
      <c r="I165" s="9">
        <f t="shared" si="15"/>
        <v>337.29223523245003</v>
      </c>
      <c r="J165" s="9">
        <f t="shared" si="16"/>
        <v>2269.92151932658</v>
      </c>
      <c r="K165" s="9">
        <f t="shared" si="17"/>
        <v>337.29223523245003</v>
      </c>
      <c r="L165" s="10">
        <f t="shared" si="14"/>
        <v>0.14859202503728625</v>
      </c>
      <c r="M165" s="10">
        <f t="shared" si="18"/>
        <v>0.22641939109773718</v>
      </c>
      <c r="P165" s="8">
        <f t="shared" si="19"/>
        <v>-30.062476382037939</v>
      </c>
    </row>
    <row r="166" spans="1:16" x14ac:dyDescent="0.2">
      <c r="A166" s="8">
        <v>82</v>
      </c>
      <c r="B166" s="8">
        <v>164</v>
      </c>
      <c r="D166">
        <v>2497.4637904468</v>
      </c>
      <c r="E166">
        <v>539.06779661017003</v>
      </c>
      <c r="F166">
        <v>134.41942945258</v>
      </c>
      <c r="G166">
        <v>114.91518889746</v>
      </c>
      <c r="I166" s="9">
        <f t="shared" si="15"/>
        <v>424.15260771271005</v>
      </c>
      <c r="J166" s="9">
        <f t="shared" si="16"/>
        <v>2363.0443609942199</v>
      </c>
      <c r="K166" s="9">
        <f t="shared" si="17"/>
        <v>424.15260771271005</v>
      </c>
      <c r="L166" s="10">
        <f t="shared" si="14"/>
        <v>0.17949413676442935</v>
      </c>
      <c r="M166" s="10">
        <f t="shared" si="18"/>
        <v>0.25779897132831864</v>
      </c>
      <c r="P166" s="8">
        <f t="shared" si="19"/>
        <v>-20.369798900405229</v>
      </c>
    </row>
    <row r="167" spans="1:16" x14ac:dyDescent="0.2">
      <c r="A167" s="8">
        <v>82.5</v>
      </c>
      <c r="B167" s="8">
        <v>165</v>
      </c>
      <c r="D167">
        <v>2531.3505392912002</v>
      </c>
      <c r="E167">
        <v>590.20724191063005</v>
      </c>
      <c r="F167">
        <v>134.96530454896001</v>
      </c>
      <c r="G167">
        <v>115.33616037009</v>
      </c>
      <c r="I167" s="9">
        <f t="shared" si="15"/>
        <v>474.87108154054005</v>
      </c>
      <c r="J167" s="9">
        <f t="shared" si="16"/>
        <v>2396.3852347422403</v>
      </c>
      <c r="K167" s="9">
        <f t="shared" si="17"/>
        <v>474.87108154054005</v>
      </c>
      <c r="L167" s="10">
        <f t="shared" si="14"/>
        <v>0.19816141188652336</v>
      </c>
      <c r="M167" s="10">
        <f t="shared" si="18"/>
        <v>0.27694371495385101</v>
      </c>
      <c r="P167" s="8">
        <f t="shared" si="19"/>
        <v>-14.456277302369806</v>
      </c>
    </row>
    <row r="168" spans="1:16" x14ac:dyDescent="0.2">
      <c r="A168" s="8">
        <v>83</v>
      </c>
      <c r="B168" s="8">
        <v>166</v>
      </c>
      <c r="D168">
        <v>2578.6512702078999</v>
      </c>
      <c r="E168">
        <v>645.62047729022004</v>
      </c>
      <c r="F168">
        <v>135.06090979183</v>
      </c>
      <c r="G168">
        <v>115.01619121049001</v>
      </c>
      <c r="I168" s="9">
        <f t="shared" si="15"/>
        <v>530.60428607973006</v>
      </c>
      <c r="J168" s="9">
        <f t="shared" si="16"/>
        <v>2443.5903604160699</v>
      </c>
      <c r="K168" s="9">
        <f t="shared" si="17"/>
        <v>530.60428607973006</v>
      </c>
      <c r="L168" s="10">
        <f t="shared" si="14"/>
        <v>0.21714125848384183</v>
      </c>
      <c r="M168" s="10">
        <f t="shared" si="18"/>
        <v>0.29640103005460783</v>
      </c>
      <c r="P168" s="8">
        <f t="shared" si="19"/>
        <v>-8.4462071056263515</v>
      </c>
    </row>
    <row r="169" spans="1:16" x14ac:dyDescent="0.2">
      <c r="A169" s="8">
        <v>83.5</v>
      </c>
      <c r="B169" s="8">
        <v>167</v>
      </c>
      <c r="D169">
        <v>2606.3625866051002</v>
      </c>
      <c r="E169">
        <v>701.85681293303003</v>
      </c>
      <c r="F169">
        <v>135.31148804935</v>
      </c>
      <c r="G169">
        <v>115.07401696222</v>
      </c>
      <c r="I169" s="9">
        <f t="shared" si="15"/>
        <v>586.78279597081007</v>
      </c>
      <c r="J169" s="9">
        <f t="shared" si="16"/>
        <v>2471.0510985557503</v>
      </c>
      <c r="K169" s="9">
        <f t="shared" si="17"/>
        <v>586.78279597081007</v>
      </c>
      <c r="L169" s="10">
        <f t="shared" si="14"/>
        <v>0.2374628336555912</v>
      </c>
      <c r="M169" s="10">
        <f t="shared" si="18"/>
        <v>0.31720007372979553</v>
      </c>
      <c r="P169" s="8">
        <f t="shared" si="19"/>
        <v>-2.0216972559529593</v>
      </c>
    </row>
    <row r="170" spans="1:16" x14ac:dyDescent="0.2">
      <c r="A170" s="8">
        <v>84</v>
      </c>
      <c r="B170" s="8">
        <v>168</v>
      </c>
      <c r="D170">
        <v>2627.1248073960001</v>
      </c>
      <c r="E170">
        <v>741.91448382125998</v>
      </c>
      <c r="F170">
        <v>135.22976098689</v>
      </c>
      <c r="G170">
        <v>114.73400154202</v>
      </c>
      <c r="I170" s="9">
        <f t="shared" si="15"/>
        <v>627.18048227923998</v>
      </c>
      <c r="J170" s="9">
        <f t="shared" si="16"/>
        <v>2491.8950464091099</v>
      </c>
      <c r="K170" s="9">
        <f t="shared" si="17"/>
        <v>627.18048227923998</v>
      </c>
      <c r="L170" s="10">
        <f t="shared" si="14"/>
        <v>0.25168816125824583</v>
      </c>
      <c r="M170" s="10">
        <f t="shared" si="18"/>
        <v>0.33190286983588851</v>
      </c>
      <c r="P170" s="8">
        <f t="shared" si="19"/>
        <v>2.5197739711120768</v>
      </c>
    </row>
    <row r="171" spans="1:16" x14ac:dyDescent="0.2">
      <c r="A171" s="8">
        <v>84.5</v>
      </c>
      <c r="B171" s="8">
        <v>169</v>
      </c>
      <c r="D171">
        <v>2676.3773006135002</v>
      </c>
      <c r="E171">
        <v>798.00690184048995</v>
      </c>
      <c r="F171">
        <v>135.08172706245</v>
      </c>
      <c r="G171">
        <v>114.83191981496</v>
      </c>
      <c r="I171" s="9">
        <f t="shared" si="15"/>
        <v>683.17498202552997</v>
      </c>
      <c r="J171" s="9">
        <f t="shared" si="16"/>
        <v>2541.2955735510504</v>
      </c>
      <c r="K171" s="9">
        <f t="shared" si="17"/>
        <v>683.17498202552997</v>
      </c>
      <c r="L171" s="10">
        <f t="shared" si="14"/>
        <v>0.268829406990586</v>
      </c>
      <c r="M171" s="10">
        <f t="shared" si="18"/>
        <v>0.349521584071667</v>
      </c>
      <c r="P171" s="8">
        <f t="shared" si="19"/>
        <v>7.9619281832969406</v>
      </c>
    </row>
    <row r="172" spans="1:16" x14ac:dyDescent="0.2">
      <c r="A172" s="8">
        <v>85</v>
      </c>
      <c r="B172" s="8">
        <v>170</v>
      </c>
      <c r="D172">
        <v>2630.7177914109998</v>
      </c>
      <c r="E172">
        <v>801.10046012270004</v>
      </c>
      <c r="F172">
        <v>134.80339244410001</v>
      </c>
      <c r="G172">
        <v>114.99537393986</v>
      </c>
      <c r="I172" s="9">
        <f t="shared" si="15"/>
        <v>686.10508618284007</v>
      </c>
      <c r="J172" s="9">
        <f t="shared" si="16"/>
        <v>2495.9143989668996</v>
      </c>
      <c r="K172" s="9">
        <f t="shared" si="17"/>
        <v>686.10508618284007</v>
      </c>
      <c r="L172" s="10">
        <f t="shared" si="14"/>
        <v>0.27489127290055715</v>
      </c>
      <c r="M172" s="10">
        <f t="shared" si="18"/>
        <v>0.35606091848507654</v>
      </c>
      <c r="P172" s="8">
        <f t="shared" si="19"/>
        <v>9.9818296271011153</v>
      </c>
    </row>
    <row r="173" spans="1:16" x14ac:dyDescent="0.2">
      <c r="A173" s="8">
        <v>85.5</v>
      </c>
      <c r="B173" s="8">
        <v>171</v>
      </c>
      <c r="D173">
        <v>2668.4731595091998</v>
      </c>
      <c r="E173">
        <v>847.21549079755005</v>
      </c>
      <c r="F173">
        <v>134.87895142637001</v>
      </c>
      <c r="G173">
        <v>115.14032382421</v>
      </c>
      <c r="I173" s="9">
        <f t="shared" si="15"/>
        <v>732.07516697334006</v>
      </c>
      <c r="J173" s="9">
        <f t="shared" si="16"/>
        <v>2533.5942080828299</v>
      </c>
      <c r="K173" s="9">
        <f t="shared" si="17"/>
        <v>732.07516697334006</v>
      </c>
      <c r="L173" s="10">
        <f t="shared" si="14"/>
        <v>0.28894728470637809</v>
      </c>
      <c r="M173" s="10">
        <f t="shared" si="18"/>
        <v>0.37059439879433581</v>
      </c>
      <c r="P173" s="8">
        <f t="shared" si="19"/>
        <v>14.471001766696032</v>
      </c>
    </row>
    <row r="174" spans="1:16" x14ac:dyDescent="0.2">
      <c r="A174" s="8">
        <v>86</v>
      </c>
      <c r="B174" s="8">
        <v>172</v>
      </c>
      <c r="D174">
        <v>2676.3335889570999</v>
      </c>
      <c r="E174">
        <v>862.58512269939001</v>
      </c>
      <c r="F174">
        <v>135.15574402467001</v>
      </c>
      <c r="G174">
        <v>115.13723978412</v>
      </c>
      <c r="I174" s="9">
        <f t="shared" si="15"/>
        <v>747.44788291527004</v>
      </c>
      <c r="J174" s="9">
        <f t="shared" si="16"/>
        <v>2541.1778449324297</v>
      </c>
      <c r="K174" s="9">
        <f t="shared" si="17"/>
        <v>747.44788291527004</v>
      </c>
      <c r="L174" s="10">
        <f t="shared" si="14"/>
        <v>0.29413442447793131</v>
      </c>
      <c r="M174" s="10">
        <f t="shared" si="18"/>
        <v>0.37625900706932741</v>
      </c>
      <c r="P174" s="8">
        <f t="shared" si="19"/>
        <v>16.220713543138878</v>
      </c>
    </row>
    <row r="175" spans="1:16" x14ac:dyDescent="0.2">
      <c r="A175" s="8">
        <v>86.5</v>
      </c>
      <c r="B175" s="8">
        <v>173</v>
      </c>
      <c r="D175">
        <v>2663.3604294479001</v>
      </c>
      <c r="E175">
        <v>873.69631901841001</v>
      </c>
      <c r="F175">
        <v>135.09868928296001</v>
      </c>
      <c r="G175">
        <v>115.18427139553</v>
      </c>
      <c r="I175" s="9">
        <f t="shared" si="15"/>
        <v>758.51204762288</v>
      </c>
      <c r="J175" s="9">
        <f t="shared" si="16"/>
        <v>2528.26174016494</v>
      </c>
      <c r="K175" s="9">
        <f t="shared" si="17"/>
        <v>758.51204762288</v>
      </c>
      <c r="L175" s="10">
        <f t="shared" si="14"/>
        <v>0.3000132603254107</v>
      </c>
      <c r="M175" s="10">
        <f t="shared" si="18"/>
        <v>0.38261531142024513</v>
      </c>
      <c r="P175" s="8">
        <f t="shared" si="19"/>
        <v>18.184079770342308</v>
      </c>
    </row>
    <row r="176" spans="1:16" x14ac:dyDescent="0.2">
      <c r="A176" s="8">
        <v>87</v>
      </c>
      <c r="B176" s="8">
        <v>174</v>
      </c>
      <c r="D176">
        <v>2658.5437116563999</v>
      </c>
      <c r="E176">
        <v>884.08512269939001</v>
      </c>
      <c r="F176">
        <v>135.69930609098</v>
      </c>
      <c r="G176">
        <v>115.23901310717</v>
      </c>
      <c r="I176" s="9">
        <f t="shared" si="15"/>
        <v>768.84610959222005</v>
      </c>
      <c r="J176" s="9">
        <f t="shared" si="16"/>
        <v>2522.8444055654199</v>
      </c>
      <c r="K176" s="9">
        <f t="shared" si="17"/>
        <v>768.84610959222005</v>
      </c>
      <c r="L176" s="10">
        <f t="shared" si="14"/>
        <v>0.3047536771971105</v>
      </c>
      <c r="M176" s="10">
        <f t="shared" si="18"/>
        <v>0.38783319679538331</v>
      </c>
      <c r="P176" s="8">
        <f t="shared" si="19"/>
        <v>19.795805603056078</v>
      </c>
    </row>
    <row r="177" spans="1:16" x14ac:dyDescent="0.2">
      <c r="A177" s="8">
        <v>87.5</v>
      </c>
      <c r="B177" s="8">
        <v>175</v>
      </c>
      <c r="D177">
        <v>2643.7162576687001</v>
      </c>
      <c r="E177">
        <v>884.84739263803999</v>
      </c>
      <c r="F177">
        <v>135.39784117194</v>
      </c>
      <c r="G177">
        <v>115.05011565149999</v>
      </c>
      <c r="I177" s="9">
        <f t="shared" si="15"/>
        <v>769.79727698654006</v>
      </c>
      <c r="J177" s="9">
        <f t="shared" si="16"/>
        <v>2508.3184164967602</v>
      </c>
      <c r="K177" s="9">
        <f t="shared" si="17"/>
        <v>769.79727698654006</v>
      </c>
      <c r="L177" s="10">
        <f t="shared" si="14"/>
        <v>0.30689774947379944</v>
      </c>
      <c r="M177" s="10">
        <f t="shared" si="18"/>
        <v>0.39045473757551058</v>
      </c>
      <c r="P177" s="8">
        <f t="shared" si="19"/>
        <v>20.605559879563511</v>
      </c>
    </row>
    <row r="178" spans="1:16" x14ac:dyDescent="0.2">
      <c r="A178" s="8">
        <v>88</v>
      </c>
      <c r="B178" s="8">
        <v>176</v>
      </c>
      <c r="D178">
        <v>2656.1088957054999</v>
      </c>
      <c r="E178">
        <v>900.94325153373995</v>
      </c>
      <c r="F178">
        <v>135.10100231302999</v>
      </c>
      <c r="G178">
        <v>114.83114880493</v>
      </c>
      <c r="I178" s="9">
        <f t="shared" si="15"/>
        <v>786.11210272880999</v>
      </c>
      <c r="J178" s="9">
        <f t="shared" si="16"/>
        <v>2521.0078933924697</v>
      </c>
      <c r="K178" s="9">
        <f t="shared" si="17"/>
        <v>786.11210272880999</v>
      </c>
      <c r="L178" s="10">
        <f t="shared" si="14"/>
        <v>0.31182453049401393</v>
      </c>
      <c r="M178" s="10">
        <f t="shared" si="18"/>
        <v>0.3958589870991634</v>
      </c>
      <c r="P178" s="8">
        <f t="shared" si="19"/>
        <v>22.274850777597404</v>
      </c>
    </row>
    <row r="179" spans="1:16" x14ac:dyDescent="0.2">
      <c r="A179" s="8">
        <v>88.5</v>
      </c>
      <c r="B179" s="8">
        <v>177</v>
      </c>
      <c r="D179">
        <v>2665.1702453988</v>
      </c>
      <c r="E179">
        <v>905.10736196318999</v>
      </c>
      <c r="F179">
        <v>135.50115651504001</v>
      </c>
      <c r="G179">
        <v>115.2266769468</v>
      </c>
      <c r="I179" s="9">
        <f t="shared" si="15"/>
        <v>789.88068501638998</v>
      </c>
      <c r="J179" s="9">
        <f t="shared" si="16"/>
        <v>2529.6690888837602</v>
      </c>
      <c r="K179" s="9">
        <f t="shared" si="17"/>
        <v>789.88068501638998</v>
      </c>
      <c r="L179" s="10">
        <f t="shared" si="14"/>
        <v>0.31224664462533797</v>
      </c>
      <c r="M179" s="10">
        <f t="shared" si="18"/>
        <v>0.39675856973392581</v>
      </c>
      <c r="P179" s="8">
        <f t="shared" si="19"/>
        <v>22.552718240538542</v>
      </c>
    </row>
    <row r="180" spans="1:16" x14ac:dyDescent="0.2">
      <c r="A180" s="8">
        <v>89</v>
      </c>
      <c r="B180" s="8">
        <v>178</v>
      </c>
      <c r="D180">
        <v>2675.0030674846998</v>
      </c>
      <c r="E180">
        <v>900.97315950919995</v>
      </c>
      <c r="F180">
        <v>135.36468774094001</v>
      </c>
      <c r="G180">
        <v>115.48804934464</v>
      </c>
      <c r="I180" s="9">
        <f t="shared" si="15"/>
        <v>785.48511016455996</v>
      </c>
      <c r="J180" s="9">
        <f t="shared" si="16"/>
        <v>2539.6383797437597</v>
      </c>
      <c r="K180" s="9">
        <f t="shared" si="17"/>
        <v>785.48511016455996</v>
      </c>
      <c r="L180" s="10">
        <f t="shared" si="14"/>
        <v>0.30929014005679523</v>
      </c>
      <c r="M180" s="10">
        <f t="shared" si="18"/>
        <v>0.3942795336688214</v>
      </c>
      <c r="P180" s="8">
        <f t="shared" si="19"/>
        <v>21.786981514048634</v>
      </c>
    </row>
    <row r="181" spans="1:16" x14ac:dyDescent="0.2">
      <c r="A181" s="8">
        <v>89.5</v>
      </c>
      <c r="B181" s="8">
        <v>179</v>
      </c>
      <c r="D181">
        <v>2669.8657975460001</v>
      </c>
      <c r="E181">
        <v>883.31288343558003</v>
      </c>
      <c r="F181">
        <v>134.95528141866001</v>
      </c>
      <c r="G181">
        <v>115.41942945258</v>
      </c>
      <c r="I181" s="9">
        <f t="shared" si="15"/>
        <v>767.89345398299997</v>
      </c>
      <c r="J181" s="9">
        <f t="shared" si="16"/>
        <v>2534.9105161273401</v>
      </c>
      <c r="K181" s="9">
        <f t="shared" si="17"/>
        <v>767.89345398299997</v>
      </c>
      <c r="L181" s="10">
        <f t="shared" si="14"/>
        <v>0.30292724303188978</v>
      </c>
      <c r="M181" s="10">
        <f t="shared" si="18"/>
        <v>0.38839410514735428</v>
      </c>
      <c r="P181" s="8">
        <f t="shared" si="19"/>
        <v>19.969061705032559</v>
      </c>
    </row>
    <row r="182" spans="1:16" x14ac:dyDescent="0.2">
      <c r="A182" s="8">
        <v>90</v>
      </c>
      <c r="B182" s="8">
        <v>180</v>
      </c>
      <c r="D182">
        <v>2668.6012269939001</v>
      </c>
      <c r="E182">
        <v>879.29371165644</v>
      </c>
      <c r="F182">
        <v>135.24286815728999</v>
      </c>
      <c r="G182">
        <v>115.19892058597</v>
      </c>
      <c r="I182" s="9">
        <f t="shared" si="15"/>
        <v>764.09479107047002</v>
      </c>
      <c r="J182" s="9">
        <f t="shared" si="16"/>
        <v>2533.35835883661</v>
      </c>
      <c r="K182" s="9">
        <f t="shared" si="17"/>
        <v>764.09479107047002</v>
      </c>
      <c r="L182" s="10">
        <f t="shared" si="14"/>
        <v>0.30161338541198884</v>
      </c>
      <c r="M182" s="10">
        <f>L182+ABS($N$2)*A182</f>
        <v>0.38755771603089173</v>
      </c>
      <c r="P182" s="8">
        <f t="shared" si="19"/>
        <v>19.710713763618141</v>
      </c>
    </row>
    <row r="183" spans="1:16" x14ac:dyDescent="0.2">
      <c r="A183" s="8">
        <v>90.5</v>
      </c>
      <c r="B183" s="8">
        <v>181</v>
      </c>
      <c r="D183">
        <v>2655.4762269939001</v>
      </c>
      <c r="E183">
        <v>870.99156441718003</v>
      </c>
      <c r="F183">
        <v>135.71781033152999</v>
      </c>
      <c r="G183">
        <v>115.50269853508</v>
      </c>
      <c r="I183" s="9">
        <f t="shared" si="15"/>
        <v>755.48886588210007</v>
      </c>
      <c r="J183" s="9">
        <f t="shared" si="16"/>
        <v>2519.7584166623701</v>
      </c>
      <c r="K183" s="9">
        <f t="shared" si="17"/>
        <v>755.48886588210007</v>
      </c>
      <c r="L183" s="10">
        <f t="shared" si="14"/>
        <v>0.29982591223281158</v>
      </c>
      <c r="M183" s="10">
        <f t="shared" ref="M183:M241" si="20">L183+ABS($N$2)*A183</f>
        <v>0.38624771135515279</v>
      </c>
      <c r="P183" s="8">
        <f t="shared" si="19"/>
        <v>19.306073142932149</v>
      </c>
    </row>
    <row r="184" spans="1:16" x14ac:dyDescent="0.2">
      <c r="A184" s="8">
        <v>91</v>
      </c>
      <c r="B184" s="8">
        <v>182</v>
      </c>
      <c r="D184">
        <v>2637.7515337423001</v>
      </c>
      <c r="E184">
        <v>850.73542944785004</v>
      </c>
      <c r="F184">
        <v>135.47725520431999</v>
      </c>
      <c r="G184">
        <v>115.433307633</v>
      </c>
      <c r="I184" s="9">
        <f t="shared" si="15"/>
        <v>735.30212181485001</v>
      </c>
      <c r="J184" s="9">
        <f t="shared" si="16"/>
        <v>2502.2742785379801</v>
      </c>
      <c r="K184" s="9">
        <f t="shared" si="17"/>
        <v>735.30212181485001</v>
      </c>
      <c r="L184" s="10">
        <f t="shared" si="14"/>
        <v>0.29385352681819904</v>
      </c>
      <c r="M184" s="10">
        <f t="shared" si="20"/>
        <v>0.38075279444397864</v>
      </c>
      <c r="P184" s="8">
        <f t="shared" si="19"/>
        <v>17.608776460917433</v>
      </c>
    </row>
    <row r="185" spans="1:16" x14ac:dyDescent="0.2">
      <c r="A185" s="8">
        <v>91.5</v>
      </c>
      <c r="B185" s="8">
        <v>183</v>
      </c>
      <c r="D185">
        <v>2544.8657975460001</v>
      </c>
      <c r="E185">
        <v>819.22776073620003</v>
      </c>
      <c r="F185">
        <v>135.48265227447999</v>
      </c>
      <c r="G185">
        <v>115.31380107941</v>
      </c>
      <c r="I185" s="9">
        <f t="shared" si="15"/>
        <v>703.91395965678998</v>
      </c>
      <c r="J185" s="9">
        <f t="shared" si="16"/>
        <v>2409.3831452715199</v>
      </c>
      <c r="K185" s="9">
        <f t="shared" si="17"/>
        <v>703.91395965678998</v>
      </c>
      <c r="L185" s="10">
        <f t="shared" si="14"/>
        <v>0.29215526017032217</v>
      </c>
      <c r="M185" s="10">
        <f t="shared" si="20"/>
        <v>0.3795319962995401</v>
      </c>
      <c r="P185" s="8">
        <f t="shared" si="19"/>
        <v>17.231690387832028</v>
      </c>
    </row>
    <row r="186" spans="1:16" x14ac:dyDescent="0.2">
      <c r="A186" s="8">
        <v>92</v>
      </c>
      <c r="B186" s="8">
        <v>184</v>
      </c>
      <c r="D186">
        <v>2580.1740797545999</v>
      </c>
      <c r="E186">
        <v>834.69785276074003</v>
      </c>
      <c r="F186">
        <v>135.62760215883</v>
      </c>
      <c r="G186">
        <v>115.25597532768001</v>
      </c>
      <c r="I186" s="9">
        <f t="shared" si="15"/>
        <v>719.44187743305997</v>
      </c>
      <c r="J186" s="9">
        <f t="shared" si="16"/>
        <v>2444.5464775957698</v>
      </c>
      <c r="K186" s="9">
        <f t="shared" si="17"/>
        <v>719.44187743305997</v>
      </c>
      <c r="L186" s="10">
        <f t="shared" si="14"/>
        <v>0.2943048471472044</v>
      </c>
      <c r="M186" s="10">
        <f t="shared" si="20"/>
        <v>0.38215905177986065</v>
      </c>
      <c r="P186" s="8">
        <f t="shared" si="19"/>
        <v>18.043148071777949</v>
      </c>
    </row>
    <row r="187" spans="1:16" x14ac:dyDescent="0.2">
      <c r="A187" s="8">
        <v>92.5</v>
      </c>
      <c r="B187" s="8">
        <v>185</v>
      </c>
      <c r="D187">
        <v>2620.0023006135002</v>
      </c>
      <c r="E187">
        <v>838.78144171779002</v>
      </c>
      <c r="F187">
        <v>135.36160370085</v>
      </c>
      <c r="G187">
        <v>115.43407864302</v>
      </c>
      <c r="I187" s="9">
        <f t="shared" si="15"/>
        <v>723.34736307476999</v>
      </c>
      <c r="J187" s="9">
        <f t="shared" si="16"/>
        <v>2484.6406969126501</v>
      </c>
      <c r="K187" s="9">
        <f t="shared" si="17"/>
        <v>723.34736307476999</v>
      </c>
      <c r="L187" s="10">
        <f t="shared" si="14"/>
        <v>0.29112755175168087</v>
      </c>
      <c r="M187" s="10">
        <f t="shared" si="20"/>
        <v>0.3794592248877755</v>
      </c>
      <c r="P187" s="8">
        <f t="shared" si="19"/>
        <v>17.209212399951557</v>
      </c>
    </row>
    <row r="188" spans="1:16" x14ac:dyDescent="0.2">
      <c r="A188" s="8">
        <v>93</v>
      </c>
      <c r="B188" s="8">
        <v>186</v>
      </c>
      <c r="D188">
        <v>2648.2832948422001</v>
      </c>
      <c r="E188">
        <v>840.98460354119004</v>
      </c>
      <c r="F188">
        <v>135.66538164996001</v>
      </c>
      <c r="G188">
        <v>115.28835774865</v>
      </c>
      <c r="I188" s="9">
        <f t="shared" si="15"/>
        <v>725.69624579254003</v>
      </c>
      <c r="J188" s="9">
        <f t="shared" si="16"/>
        <v>2512.6179131922399</v>
      </c>
      <c r="K188" s="9">
        <f t="shared" si="17"/>
        <v>725.69624579254003</v>
      </c>
      <c r="L188" s="10">
        <f t="shared" si="14"/>
        <v>0.2888207721446015</v>
      </c>
      <c r="M188" s="10">
        <f t="shared" si="20"/>
        <v>0.37762991378413446</v>
      </c>
      <c r="P188" s="8">
        <f t="shared" si="19"/>
        <v>16.644165882092715</v>
      </c>
    </row>
    <row r="189" spans="1:16" x14ac:dyDescent="0.2">
      <c r="A189" s="8">
        <v>93.5</v>
      </c>
      <c r="B189" s="8">
        <v>187</v>
      </c>
      <c r="D189">
        <v>2596.117013087</v>
      </c>
      <c r="E189">
        <v>815.58506543495002</v>
      </c>
      <c r="F189">
        <v>135.89822667695</v>
      </c>
      <c r="G189">
        <v>115.04086353123</v>
      </c>
      <c r="I189" s="9">
        <f t="shared" si="15"/>
        <v>700.54420190372002</v>
      </c>
      <c r="J189" s="9">
        <f t="shared" si="16"/>
        <v>2460.2187864100501</v>
      </c>
      <c r="K189" s="9">
        <f t="shared" si="17"/>
        <v>700.54420190372002</v>
      </c>
      <c r="L189" s="10">
        <f t="shared" si="14"/>
        <v>0.28474874095484559</v>
      </c>
      <c r="M189" s="10">
        <f t="shared" si="20"/>
        <v>0.37403535109781694</v>
      </c>
      <c r="P189" s="8">
        <f t="shared" si="19"/>
        <v>15.533859863020085</v>
      </c>
    </row>
    <row r="190" spans="1:16" x14ac:dyDescent="0.2">
      <c r="A190" s="8">
        <v>94</v>
      </c>
      <c r="B190" s="8">
        <v>188</v>
      </c>
      <c r="D190">
        <v>2615.7690531178</v>
      </c>
      <c r="E190">
        <v>809.54965357968001</v>
      </c>
      <c r="F190">
        <v>135.66075558982001</v>
      </c>
      <c r="G190">
        <v>115.29606784888</v>
      </c>
      <c r="I190" s="9">
        <f t="shared" si="15"/>
        <v>694.25358573080007</v>
      </c>
      <c r="J190" s="9">
        <f t="shared" si="16"/>
        <v>2480.1082975279801</v>
      </c>
      <c r="K190" s="9">
        <f t="shared" si="17"/>
        <v>694.25358573080007</v>
      </c>
      <c r="L190" s="10">
        <f t="shared" si="14"/>
        <v>0.27992873795986628</v>
      </c>
      <c r="M190" s="10">
        <f t="shared" si="20"/>
        <v>0.36969281660627595</v>
      </c>
      <c r="P190" s="8">
        <f t="shared" si="19"/>
        <v>14.192516671999563</v>
      </c>
    </row>
    <row r="191" spans="1:16" x14ac:dyDescent="0.2">
      <c r="A191" s="8">
        <v>94.5</v>
      </c>
      <c r="B191" s="8">
        <v>189</v>
      </c>
      <c r="D191">
        <v>2662.8252501924999</v>
      </c>
      <c r="E191">
        <v>818.84988452656</v>
      </c>
      <c r="F191">
        <v>135.85427910563001</v>
      </c>
      <c r="G191">
        <v>115.53276792598</v>
      </c>
      <c r="I191" s="9">
        <f t="shared" si="15"/>
        <v>703.31711660057999</v>
      </c>
      <c r="J191" s="9">
        <f t="shared" si="16"/>
        <v>2526.9709710868697</v>
      </c>
      <c r="K191" s="9">
        <f t="shared" si="17"/>
        <v>703.31711660057999</v>
      </c>
      <c r="L191" s="10">
        <f t="shared" si="14"/>
        <v>0.27832417730468739</v>
      </c>
      <c r="M191" s="10">
        <f t="shared" si="20"/>
        <v>0.36856572445453539</v>
      </c>
      <c r="P191" s="8">
        <f t="shared" si="19"/>
        <v>13.844374962052342</v>
      </c>
    </row>
    <row r="192" spans="1:16" x14ac:dyDescent="0.2">
      <c r="A192" s="8">
        <v>95</v>
      </c>
      <c r="B192" s="8">
        <v>190</v>
      </c>
      <c r="D192">
        <v>2696.2059953881999</v>
      </c>
      <c r="E192">
        <v>812.79093005381003</v>
      </c>
      <c r="F192">
        <v>136.02467232074</v>
      </c>
      <c r="G192">
        <v>115.43793369314</v>
      </c>
      <c r="I192" s="9">
        <f t="shared" si="15"/>
        <v>697.35299636066998</v>
      </c>
      <c r="J192" s="9">
        <f t="shared" si="16"/>
        <v>2560.1813230674597</v>
      </c>
      <c r="K192" s="9">
        <f t="shared" si="17"/>
        <v>697.35299636066998</v>
      </c>
      <c r="L192" s="10">
        <f t="shared" si="14"/>
        <v>0.27238422141332641</v>
      </c>
      <c r="M192" s="10">
        <f t="shared" si="20"/>
        <v>0.36310323706661279</v>
      </c>
      <c r="P192" s="8">
        <f t="shared" si="19"/>
        <v>12.157095269030172</v>
      </c>
    </row>
    <row r="193" spans="1:16" x14ac:dyDescent="0.2">
      <c r="A193" s="8">
        <v>95.5</v>
      </c>
      <c r="B193" s="8">
        <v>191</v>
      </c>
      <c r="D193">
        <v>2678.3543428132002</v>
      </c>
      <c r="E193">
        <v>797.92390468869996</v>
      </c>
      <c r="F193">
        <v>135.28835774864999</v>
      </c>
      <c r="G193">
        <v>115.65612952968</v>
      </c>
      <c r="I193" s="9">
        <f t="shared" si="15"/>
        <v>682.26777515901995</v>
      </c>
      <c r="J193" s="9">
        <f t="shared" si="16"/>
        <v>2543.0659850645502</v>
      </c>
      <c r="K193" s="9">
        <f t="shared" si="17"/>
        <v>682.26777515901995</v>
      </c>
      <c r="L193" s="10">
        <f t="shared" si="14"/>
        <v>0.26828551801879497</v>
      </c>
      <c r="M193" s="10">
        <f t="shared" si="20"/>
        <v>0.35948200217551968</v>
      </c>
      <c r="P193" s="8">
        <f t="shared" si="19"/>
        <v>11.038550609519584</v>
      </c>
    </row>
    <row r="194" spans="1:16" x14ac:dyDescent="0.2">
      <c r="A194" s="8">
        <v>96</v>
      </c>
      <c r="B194" s="8">
        <v>192</v>
      </c>
      <c r="D194">
        <v>2685.7949308756001</v>
      </c>
      <c r="E194">
        <v>787.22811059907997</v>
      </c>
      <c r="F194">
        <v>135.36006168079999</v>
      </c>
      <c r="G194">
        <v>115.52814186584</v>
      </c>
      <c r="I194" s="9">
        <f t="shared" si="15"/>
        <v>671.69996873323998</v>
      </c>
      <c r="J194" s="9">
        <f t="shared" si="16"/>
        <v>2550.4348691948003</v>
      </c>
      <c r="K194" s="9">
        <f t="shared" si="17"/>
        <v>671.69996873323998</v>
      </c>
      <c r="L194" s="10">
        <f t="shared" ref="L194:L257" si="21">K194/J194</f>
        <v>0.26336683866987082</v>
      </c>
      <c r="M194" s="10">
        <f t="shared" si="20"/>
        <v>0.35504079133003386</v>
      </c>
      <c r="P194" s="8">
        <f t="shared" si="19"/>
        <v>9.6667277859857279</v>
      </c>
    </row>
    <row r="195" spans="1:16" x14ac:dyDescent="0.2">
      <c r="A195" s="8">
        <v>96.5</v>
      </c>
      <c r="B195" s="8">
        <v>193</v>
      </c>
      <c r="D195">
        <v>2674.9754601227</v>
      </c>
      <c r="E195">
        <v>774.11273006135002</v>
      </c>
      <c r="F195">
        <v>135.80339244410001</v>
      </c>
      <c r="G195">
        <v>115.46800308404001</v>
      </c>
      <c r="I195" s="9">
        <f t="shared" ref="I195:I241" si="22">E195-G195</f>
        <v>658.64472697731003</v>
      </c>
      <c r="J195" s="9">
        <f t="shared" ref="J195:J241" si="23">D195-F195</f>
        <v>2539.1720676785999</v>
      </c>
      <c r="K195" s="9">
        <f t="shared" ref="K195:K258" si="24">I195*1</f>
        <v>658.64472697731003</v>
      </c>
      <c r="L195" s="10">
        <f t="shared" si="21"/>
        <v>0.25939349891300045</v>
      </c>
      <c r="M195" s="10">
        <f t="shared" si="20"/>
        <v>0.35154492007660187</v>
      </c>
      <c r="P195" s="8">
        <f t="shared" ref="P195:P241" si="25">(M195-$O$2)/$O$2*100</f>
        <v>8.5869060570830342</v>
      </c>
    </row>
    <row r="196" spans="1:16" x14ac:dyDescent="0.2">
      <c r="A196" s="8">
        <v>97</v>
      </c>
      <c r="B196" s="8">
        <v>194</v>
      </c>
      <c r="D196">
        <v>2674.7346625767</v>
      </c>
      <c r="E196">
        <v>762.44785276074003</v>
      </c>
      <c r="F196">
        <v>135.88589051657999</v>
      </c>
      <c r="G196">
        <v>115.76869699306</v>
      </c>
      <c r="I196" s="9">
        <f t="shared" si="22"/>
        <v>646.67915576768007</v>
      </c>
      <c r="J196" s="9">
        <f t="shared" si="23"/>
        <v>2538.8487720601202</v>
      </c>
      <c r="K196" s="9">
        <f t="shared" si="24"/>
        <v>646.67915576768007</v>
      </c>
      <c r="L196" s="10">
        <f t="shared" si="21"/>
        <v>0.25471353901986826</v>
      </c>
      <c r="M196" s="10">
        <f t="shared" si="20"/>
        <v>0.34734242868690801</v>
      </c>
      <c r="P196" s="8">
        <f t="shared" si="25"/>
        <v>7.2888200610204192</v>
      </c>
    </row>
    <row r="197" spans="1:16" x14ac:dyDescent="0.2">
      <c r="A197" s="8">
        <v>97.5</v>
      </c>
      <c r="B197" s="8">
        <v>195</v>
      </c>
      <c r="D197">
        <v>2648.1441717790999</v>
      </c>
      <c r="E197">
        <v>750.88190184048995</v>
      </c>
      <c r="F197">
        <v>135.57517347725999</v>
      </c>
      <c r="G197">
        <v>115.58057054742</v>
      </c>
      <c r="I197" s="9">
        <f t="shared" si="22"/>
        <v>635.30133129307001</v>
      </c>
      <c r="J197" s="9">
        <f t="shared" si="23"/>
        <v>2512.5689983018401</v>
      </c>
      <c r="K197" s="9">
        <f t="shared" si="24"/>
        <v>635.30133129307001</v>
      </c>
      <c r="L197" s="10">
        <f t="shared" si="21"/>
        <v>0.25284930751053941</v>
      </c>
      <c r="M197" s="10">
        <f t="shared" si="20"/>
        <v>0.34595566568101754</v>
      </c>
      <c r="P197" s="8">
        <f t="shared" si="25"/>
        <v>6.8604699536962865</v>
      </c>
    </row>
    <row r="198" spans="1:16" x14ac:dyDescent="0.2">
      <c r="A198" s="8">
        <v>98</v>
      </c>
      <c r="B198" s="8">
        <v>196</v>
      </c>
      <c r="D198">
        <v>2636.7440613027002</v>
      </c>
      <c r="E198">
        <v>756.09885057471001</v>
      </c>
      <c r="F198">
        <v>135.98380878950999</v>
      </c>
      <c r="G198">
        <v>115.62760215883</v>
      </c>
      <c r="I198" s="9">
        <f t="shared" si="22"/>
        <v>640.47124841588004</v>
      </c>
      <c r="J198" s="9">
        <f t="shared" si="23"/>
        <v>2500.7602525131902</v>
      </c>
      <c r="K198" s="9">
        <f t="shared" si="24"/>
        <v>640.47124841588004</v>
      </c>
      <c r="L198" s="10">
        <f t="shared" si="21"/>
        <v>0.25611061587060391</v>
      </c>
      <c r="M198" s="10">
        <f t="shared" si="20"/>
        <v>0.34969444254452037</v>
      </c>
      <c r="P198" s="8">
        <f t="shared" si="25"/>
        <v>8.0153215497799764</v>
      </c>
    </row>
    <row r="199" spans="1:16" x14ac:dyDescent="0.2">
      <c r="A199" s="8">
        <v>98.5</v>
      </c>
      <c r="B199" s="8">
        <v>197</v>
      </c>
      <c r="D199">
        <v>2467.7138437742001</v>
      </c>
      <c r="E199">
        <v>704.35189481825</v>
      </c>
      <c r="F199">
        <v>135.55435620662999</v>
      </c>
      <c r="G199">
        <v>115.40709329221001</v>
      </c>
      <c r="I199" s="9">
        <f t="shared" si="22"/>
        <v>588.94480152604001</v>
      </c>
      <c r="J199" s="9">
        <f t="shared" si="23"/>
        <v>2332.1594875675701</v>
      </c>
      <c r="K199" s="9">
        <f t="shared" si="24"/>
        <v>588.94480152604001</v>
      </c>
      <c r="L199" s="10">
        <f t="shared" si="21"/>
        <v>0.25253195789808797</v>
      </c>
      <c r="M199" s="10">
        <f t="shared" si="20"/>
        <v>0.34659325307544275</v>
      </c>
      <c r="P199" s="8">
        <f t="shared" si="25"/>
        <v>7.0574110515410364</v>
      </c>
    </row>
    <row r="200" spans="1:16" x14ac:dyDescent="0.2">
      <c r="A200" s="8">
        <v>99</v>
      </c>
      <c r="B200" s="8">
        <v>198</v>
      </c>
      <c r="D200">
        <v>2497.4390804598002</v>
      </c>
      <c r="E200">
        <v>703.35249042145995</v>
      </c>
      <c r="F200">
        <v>135.82883577486999</v>
      </c>
      <c r="G200">
        <v>115.51811873554</v>
      </c>
      <c r="I200" s="9">
        <f t="shared" si="22"/>
        <v>587.8343716859199</v>
      </c>
      <c r="J200" s="9">
        <f t="shared" si="23"/>
        <v>2361.61024468493</v>
      </c>
      <c r="K200" s="9">
        <f t="shared" si="24"/>
        <v>587.8343716859199</v>
      </c>
      <c r="L200" s="10">
        <f t="shared" si="21"/>
        <v>0.24891252610751813</v>
      </c>
      <c r="M200" s="10">
        <f t="shared" si="20"/>
        <v>0.3434512897883113</v>
      </c>
      <c r="P200" s="8">
        <f t="shared" si="25"/>
        <v>6.0869061379151903</v>
      </c>
    </row>
    <row r="201" spans="1:16" x14ac:dyDescent="0.2">
      <c r="A201" s="8">
        <v>99.5</v>
      </c>
      <c r="B201" s="8">
        <v>199</v>
      </c>
      <c r="D201">
        <v>2450.2928516525999</v>
      </c>
      <c r="E201">
        <v>684.78785549577003</v>
      </c>
      <c r="F201">
        <v>136.21742482651999</v>
      </c>
      <c r="G201">
        <v>115.32074016962</v>
      </c>
      <c r="I201" s="9">
        <f t="shared" si="22"/>
        <v>569.46711532615006</v>
      </c>
      <c r="J201" s="9">
        <f t="shared" si="23"/>
        <v>2314.0754268260798</v>
      </c>
      <c r="K201" s="9">
        <f t="shared" si="24"/>
        <v>569.46711532615006</v>
      </c>
      <c r="L201" s="10">
        <f t="shared" si="21"/>
        <v>0.24608839829703175</v>
      </c>
      <c r="M201" s="10">
        <f t="shared" si="20"/>
        <v>0.34110463048126327</v>
      </c>
      <c r="P201" s="8">
        <f t="shared" si="25"/>
        <v>5.3620585887972023</v>
      </c>
    </row>
    <row r="202" spans="1:16" x14ac:dyDescent="0.2">
      <c r="A202" s="8">
        <v>100</v>
      </c>
      <c r="B202" s="8">
        <v>200</v>
      </c>
      <c r="D202">
        <v>2438.2567049807999</v>
      </c>
      <c r="E202">
        <v>676.24980842911998</v>
      </c>
      <c r="F202">
        <v>136.35620663069</v>
      </c>
      <c r="G202">
        <v>115.42868157286</v>
      </c>
      <c r="I202" s="9">
        <f t="shared" si="22"/>
        <v>560.82112685625998</v>
      </c>
      <c r="J202" s="9">
        <f t="shared" si="23"/>
        <v>2301.90049835011</v>
      </c>
      <c r="K202" s="9">
        <f t="shared" si="24"/>
        <v>560.82112685625998</v>
      </c>
      <c r="L202" s="10">
        <f t="shared" si="21"/>
        <v>0.24363395692308562</v>
      </c>
      <c r="M202" s="10">
        <f t="shared" si="20"/>
        <v>0.33912765761075547</v>
      </c>
      <c r="P202" s="8">
        <f t="shared" si="25"/>
        <v>4.7514015856453593</v>
      </c>
    </row>
    <row r="203" spans="1:16" x14ac:dyDescent="0.2">
      <c r="A203" s="8">
        <v>100.5</v>
      </c>
      <c r="B203" s="8">
        <v>201</v>
      </c>
      <c r="D203">
        <v>2460.0114942528999</v>
      </c>
      <c r="E203">
        <v>676.30038314175999</v>
      </c>
      <c r="F203">
        <v>136.09175019275</v>
      </c>
      <c r="G203">
        <v>115.41017733231</v>
      </c>
      <c r="I203" s="9">
        <f t="shared" si="22"/>
        <v>560.89020580944998</v>
      </c>
      <c r="J203" s="9">
        <f t="shared" si="23"/>
        <v>2323.9197440601497</v>
      </c>
      <c r="K203" s="9">
        <f t="shared" si="24"/>
        <v>560.89020580944998</v>
      </c>
      <c r="L203" s="10">
        <f t="shared" si="21"/>
        <v>0.24135523924312102</v>
      </c>
      <c r="M203" s="10">
        <f t="shared" si="20"/>
        <v>0.33732640843422923</v>
      </c>
      <c r="P203" s="8">
        <f t="shared" si="25"/>
        <v>4.1950229724250807</v>
      </c>
    </row>
    <row r="204" spans="1:16" x14ac:dyDescent="0.2">
      <c r="A204" s="8">
        <v>101</v>
      </c>
      <c r="B204" s="8">
        <v>202</v>
      </c>
      <c r="D204">
        <v>2408.4567049808002</v>
      </c>
      <c r="E204">
        <v>665.84597701149005</v>
      </c>
      <c r="F204">
        <v>136.45181187355001</v>
      </c>
      <c r="G204">
        <v>115.68851195066</v>
      </c>
      <c r="I204" s="9">
        <f t="shared" si="22"/>
        <v>550.15746506083008</v>
      </c>
      <c r="J204" s="9">
        <f t="shared" si="23"/>
        <v>2272.0048931072502</v>
      </c>
      <c r="K204" s="9">
        <f t="shared" si="24"/>
        <v>550.15746506083008</v>
      </c>
      <c r="L204" s="10">
        <f t="shared" si="21"/>
        <v>0.24214625009386362</v>
      </c>
      <c r="M204" s="10">
        <f t="shared" si="20"/>
        <v>0.33859488778841018</v>
      </c>
      <c r="P204" s="8">
        <f t="shared" si="25"/>
        <v>4.5868370496638668</v>
      </c>
    </row>
    <row r="205" spans="1:16" x14ac:dyDescent="0.2">
      <c r="A205" s="8">
        <v>101.5</v>
      </c>
      <c r="B205" s="8">
        <v>203</v>
      </c>
      <c r="D205">
        <v>2410.6567049808</v>
      </c>
      <c r="E205">
        <v>658.52183908046004</v>
      </c>
      <c r="F205">
        <v>136.26445643792999</v>
      </c>
      <c r="G205">
        <v>115.8365458751</v>
      </c>
      <c r="I205" s="9">
        <f t="shared" si="22"/>
        <v>542.68529320536004</v>
      </c>
      <c r="J205" s="9">
        <f t="shared" si="23"/>
        <v>2274.3922485428702</v>
      </c>
      <c r="K205" s="9">
        <f t="shared" si="24"/>
        <v>542.68529320536004</v>
      </c>
      <c r="L205" s="10">
        <f t="shared" si="21"/>
        <v>0.23860672826028184</v>
      </c>
      <c r="M205" s="10">
        <f t="shared" si="20"/>
        <v>0.33553283445826676</v>
      </c>
      <c r="P205" s="8">
        <f t="shared" si="25"/>
        <v>3.6410151125139558</v>
      </c>
    </row>
    <row r="206" spans="1:16" x14ac:dyDescent="0.2">
      <c r="A206" s="8">
        <v>102</v>
      </c>
      <c r="B206" s="8">
        <v>204</v>
      </c>
      <c r="D206">
        <v>2431.1494252873999</v>
      </c>
      <c r="E206">
        <v>655.96091954022995</v>
      </c>
      <c r="F206">
        <v>136.32228218967001</v>
      </c>
      <c r="G206">
        <v>115.67848882036</v>
      </c>
      <c r="I206" s="9">
        <f t="shared" si="22"/>
        <v>540.28243071986992</v>
      </c>
      <c r="J206" s="9">
        <f t="shared" si="23"/>
        <v>2294.8271430977297</v>
      </c>
      <c r="K206" s="9">
        <f t="shared" si="24"/>
        <v>540.28243071986992</v>
      </c>
      <c r="L206" s="10">
        <f t="shared" si="21"/>
        <v>0.23543491384303403</v>
      </c>
      <c r="M206" s="10">
        <f t="shared" si="20"/>
        <v>0.3328384885444573</v>
      </c>
      <c r="P206" s="8">
        <f t="shared" si="25"/>
        <v>2.8087724319360037</v>
      </c>
    </row>
    <row r="207" spans="1:16" x14ac:dyDescent="0.2">
      <c r="A207" s="8">
        <v>102.5</v>
      </c>
      <c r="B207" s="8">
        <v>205</v>
      </c>
      <c r="D207">
        <v>2425.5555555556002</v>
      </c>
      <c r="E207">
        <v>655.29272030650998</v>
      </c>
      <c r="F207">
        <v>136.37085582112999</v>
      </c>
      <c r="G207">
        <v>115.71858134156</v>
      </c>
      <c r="I207" s="9">
        <f t="shared" si="22"/>
        <v>539.57413896494995</v>
      </c>
      <c r="J207" s="9">
        <f t="shared" si="23"/>
        <v>2289.1846997344701</v>
      </c>
      <c r="K207" s="9">
        <f t="shared" si="24"/>
        <v>539.57413896494995</v>
      </c>
      <c r="L207" s="10">
        <f t="shared" si="21"/>
        <v>0.23570581221669745</v>
      </c>
      <c r="M207" s="10">
        <f t="shared" si="20"/>
        <v>0.33358685542155908</v>
      </c>
      <c r="P207" s="8">
        <f t="shared" si="25"/>
        <v>3.0399316356086845</v>
      </c>
    </row>
    <row r="208" spans="1:16" x14ac:dyDescent="0.2">
      <c r="A208" s="8">
        <v>103</v>
      </c>
      <c r="B208" s="8">
        <v>206</v>
      </c>
      <c r="D208">
        <v>2464.9497293117001</v>
      </c>
      <c r="E208">
        <v>667.70920340294003</v>
      </c>
      <c r="F208">
        <v>136.33153430995</v>
      </c>
      <c r="G208">
        <v>115.35929067078</v>
      </c>
      <c r="I208" s="9">
        <f t="shared" si="22"/>
        <v>552.34991273216008</v>
      </c>
      <c r="J208" s="9">
        <f t="shared" si="23"/>
        <v>2328.6181950017503</v>
      </c>
      <c r="K208" s="9">
        <f t="shared" si="24"/>
        <v>552.34991273216008</v>
      </c>
      <c r="L208" s="10">
        <f t="shared" si="21"/>
        <v>0.23720072011708423</v>
      </c>
      <c r="M208" s="10">
        <f t="shared" si="20"/>
        <v>0.33555923182538416</v>
      </c>
      <c r="P208" s="8">
        <f t="shared" si="25"/>
        <v>3.6491688597582832</v>
      </c>
    </row>
    <row r="209" spans="1:16" x14ac:dyDescent="0.2">
      <c r="A209" s="8">
        <v>103.5</v>
      </c>
      <c r="B209" s="8">
        <v>207</v>
      </c>
      <c r="D209">
        <v>2482.7447795824</v>
      </c>
      <c r="E209">
        <v>666.79195668986995</v>
      </c>
      <c r="F209">
        <v>135.80339244410001</v>
      </c>
      <c r="G209">
        <v>115.42020046261</v>
      </c>
      <c r="I209" s="9">
        <f t="shared" si="22"/>
        <v>551.37175622725999</v>
      </c>
      <c r="J209" s="9">
        <f t="shared" si="23"/>
        <v>2346.9413871382999</v>
      </c>
      <c r="K209" s="9">
        <f t="shared" si="24"/>
        <v>551.37175622725999</v>
      </c>
      <c r="L209" s="10">
        <f t="shared" si="21"/>
        <v>0.23493205209507387</v>
      </c>
      <c r="M209" s="10">
        <f t="shared" si="20"/>
        <v>0.33376803230681218</v>
      </c>
      <c r="P209" s="8">
        <f t="shared" si="25"/>
        <v>3.0958944338035961</v>
      </c>
    </row>
    <row r="210" spans="1:16" x14ac:dyDescent="0.2">
      <c r="A210" s="8">
        <v>104</v>
      </c>
      <c r="B210" s="8">
        <v>208</v>
      </c>
      <c r="D210">
        <v>2433.9123750960998</v>
      </c>
      <c r="E210">
        <v>650.41583397387001</v>
      </c>
      <c r="F210">
        <v>135.82420971472999</v>
      </c>
      <c r="G210">
        <v>115.78874325366</v>
      </c>
      <c r="I210" s="9">
        <f t="shared" si="22"/>
        <v>534.62709072021005</v>
      </c>
      <c r="J210" s="9">
        <f t="shared" si="23"/>
        <v>2298.0881653813699</v>
      </c>
      <c r="K210" s="9">
        <f t="shared" si="24"/>
        <v>534.62709072021005</v>
      </c>
      <c r="L210" s="10">
        <f t="shared" si="21"/>
        <v>0.2326399390475466</v>
      </c>
      <c r="M210" s="10">
        <f t="shared" si="20"/>
        <v>0.33195338776272326</v>
      </c>
      <c r="P210" s="8">
        <f t="shared" si="25"/>
        <v>2.5353781942486484</v>
      </c>
    </row>
    <row r="211" spans="1:16" x14ac:dyDescent="0.2">
      <c r="A211" s="8">
        <v>104.5</v>
      </c>
      <c r="B211" s="8">
        <v>209</v>
      </c>
      <c r="D211">
        <v>2375.2774788624001</v>
      </c>
      <c r="E211">
        <v>631.67717140661</v>
      </c>
      <c r="F211">
        <v>135.82883577486999</v>
      </c>
      <c r="G211">
        <v>115.78411719352</v>
      </c>
      <c r="I211" s="9">
        <f t="shared" si="22"/>
        <v>515.89305421308995</v>
      </c>
      <c r="J211" s="9">
        <f t="shared" si="23"/>
        <v>2239.4486430875299</v>
      </c>
      <c r="K211" s="9">
        <f t="shared" si="24"/>
        <v>515.89305421308995</v>
      </c>
      <c r="L211" s="10">
        <f t="shared" si="21"/>
        <v>0.23036610185524403</v>
      </c>
      <c r="M211" s="10">
        <f t="shared" si="20"/>
        <v>0.33015701907385903</v>
      </c>
      <c r="P211" s="8">
        <f t="shared" si="25"/>
        <v>1.9805070898131696</v>
      </c>
    </row>
    <row r="212" spans="1:16" x14ac:dyDescent="0.2">
      <c r="A212" s="8">
        <v>105</v>
      </c>
      <c r="B212" s="8">
        <v>210</v>
      </c>
      <c r="D212">
        <v>2337.5597867479</v>
      </c>
      <c r="E212">
        <v>609.88042650419004</v>
      </c>
      <c r="F212">
        <v>136.18504240555001</v>
      </c>
      <c r="G212">
        <v>115.79953739398999</v>
      </c>
      <c r="I212" s="9">
        <f t="shared" si="22"/>
        <v>494.08088911020002</v>
      </c>
      <c r="J212" s="9">
        <f t="shared" si="23"/>
        <v>2201.3747443423499</v>
      </c>
      <c r="K212" s="9">
        <f t="shared" si="24"/>
        <v>494.08088911020002</v>
      </c>
      <c r="L212" s="10">
        <f t="shared" si="21"/>
        <v>0.22444197217216841</v>
      </c>
      <c r="M212" s="10">
        <f t="shared" si="20"/>
        <v>0.32471035789422176</v>
      </c>
      <c r="P212" s="8">
        <f t="shared" si="25"/>
        <v>0.29811587304019244</v>
      </c>
    </row>
    <row r="213" spans="1:16" x14ac:dyDescent="0.2">
      <c r="A213" s="8">
        <v>105.5</v>
      </c>
      <c r="B213" s="8">
        <v>211</v>
      </c>
      <c r="D213">
        <v>2346.8310291859002</v>
      </c>
      <c r="E213">
        <v>601.17665130568002</v>
      </c>
      <c r="F213">
        <v>135.87124132613999</v>
      </c>
      <c r="G213">
        <v>115.54124903624</v>
      </c>
      <c r="I213" s="9">
        <f t="shared" si="22"/>
        <v>485.63540226944002</v>
      </c>
      <c r="J213" s="9">
        <f t="shared" si="23"/>
        <v>2210.9597878597601</v>
      </c>
      <c r="K213" s="9">
        <f t="shared" si="24"/>
        <v>485.63540226944002</v>
      </c>
      <c r="L213" s="10">
        <f t="shared" si="21"/>
        <v>0.21964913379973403</v>
      </c>
      <c r="M213" s="10">
        <f t="shared" si="20"/>
        <v>0.3203949880252257</v>
      </c>
      <c r="P213" s="8">
        <f t="shared" si="25"/>
        <v>-1.0348365771449353</v>
      </c>
    </row>
    <row r="214" spans="1:16" x14ac:dyDescent="0.2">
      <c r="A214" s="8">
        <v>106</v>
      </c>
      <c r="B214" s="8">
        <v>212</v>
      </c>
      <c r="D214">
        <v>2334.3456221197998</v>
      </c>
      <c r="E214">
        <v>597.03763440859996</v>
      </c>
      <c r="F214">
        <v>136.71087124133001</v>
      </c>
      <c r="G214">
        <v>115.7101002313</v>
      </c>
      <c r="I214" s="9">
        <f t="shared" si="22"/>
        <v>481.32753417729998</v>
      </c>
      <c r="J214" s="9">
        <f t="shared" si="23"/>
        <v>2197.6347508784697</v>
      </c>
      <c r="K214" s="9">
        <f t="shared" si="24"/>
        <v>481.32753417729998</v>
      </c>
      <c r="L214" s="10">
        <f t="shared" si="21"/>
        <v>0.21902071487761873</v>
      </c>
      <c r="M214" s="10">
        <f t="shared" si="20"/>
        <v>0.32024403760654879</v>
      </c>
      <c r="P214" s="8">
        <f t="shared" si="25"/>
        <v>-1.0814628772165598</v>
      </c>
    </row>
    <row r="215" spans="1:16" x14ac:dyDescent="0.2">
      <c r="A215" s="8">
        <v>106.5</v>
      </c>
      <c r="B215" s="8">
        <v>213</v>
      </c>
      <c r="D215">
        <v>2336.9539170507001</v>
      </c>
      <c r="E215">
        <v>591.37173579109003</v>
      </c>
      <c r="F215">
        <v>135.77563608327</v>
      </c>
      <c r="G215">
        <v>115.75944487277999</v>
      </c>
      <c r="I215" s="9">
        <f t="shared" si="22"/>
        <v>475.61229091831001</v>
      </c>
      <c r="J215" s="9">
        <f t="shared" si="23"/>
        <v>2201.1782809674301</v>
      </c>
      <c r="K215" s="9">
        <f t="shared" si="24"/>
        <v>475.61229091831001</v>
      </c>
      <c r="L215" s="10">
        <f t="shared" si="21"/>
        <v>0.21607168080418993</v>
      </c>
      <c r="M215" s="10">
        <f t="shared" si="20"/>
        <v>0.31777247203655834</v>
      </c>
      <c r="P215" s="8">
        <f t="shared" si="25"/>
        <v>-1.8448920808130562</v>
      </c>
    </row>
    <row r="216" spans="1:16" x14ac:dyDescent="0.2">
      <c r="A216" s="8">
        <v>107</v>
      </c>
      <c r="B216" s="8">
        <v>214</v>
      </c>
      <c r="D216">
        <v>2292.3602150537999</v>
      </c>
      <c r="E216">
        <v>575.26113671275004</v>
      </c>
      <c r="F216">
        <v>136.15420200463001</v>
      </c>
      <c r="G216">
        <v>115.77640709329</v>
      </c>
      <c r="I216" s="9">
        <f t="shared" si="22"/>
        <v>459.48472961946004</v>
      </c>
      <c r="J216" s="9">
        <f t="shared" si="23"/>
        <v>2156.20601304917</v>
      </c>
      <c r="K216" s="9">
        <f t="shared" si="24"/>
        <v>459.48472961946004</v>
      </c>
      <c r="L216" s="10">
        <f t="shared" si="21"/>
        <v>0.21309871451925219</v>
      </c>
      <c r="M216" s="10">
        <f t="shared" si="20"/>
        <v>0.31527697425505896</v>
      </c>
      <c r="P216" s="8">
        <f t="shared" si="25"/>
        <v>-2.6157135823903959</v>
      </c>
    </row>
    <row r="217" spans="1:16" x14ac:dyDescent="0.2">
      <c r="A217" s="8">
        <v>107.5</v>
      </c>
      <c r="B217" s="8">
        <v>215</v>
      </c>
      <c r="D217">
        <v>2284.1218195837</v>
      </c>
      <c r="E217">
        <v>570.96376252891002</v>
      </c>
      <c r="F217">
        <v>136.43947571318</v>
      </c>
      <c r="G217">
        <v>116.29221279877</v>
      </c>
      <c r="I217" s="9">
        <f t="shared" si="22"/>
        <v>454.67154973014004</v>
      </c>
      <c r="J217" s="9">
        <f t="shared" si="23"/>
        <v>2147.6823438705201</v>
      </c>
      <c r="K217" s="9">
        <f t="shared" si="24"/>
        <v>454.67154973014004</v>
      </c>
      <c r="L217" s="10">
        <f t="shared" si="21"/>
        <v>0.2117033513022871</v>
      </c>
      <c r="M217" s="10">
        <f t="shared" si="20"/>
        <v>0.31435907954153219</v>
      </c>
      <c r="P217" s="8">
        <f t="shared" si="25"/>
        <v>-2.8992373693542519</v>
      </c>
    </row>
    <row r="218" spans="1:16" x14ac:dyDescent="0.2">
      <c r="A218" s="8">
        <v>108</v>
      </c>
      <c r="B218" s="8">
        <v>216</v>
      </c>
      <c r="D218">
        <v>2267.4132613724</v>
      </c>
      <c r="E218">
        <v>561.78488820355005</v>
      </c>
      <c r="F218">
        <v>136.31457208943999</v>
      </c>
      <c r="G218">
        <v>115.9167309175</v>
      </c>
      <c r="I218" s="9">
        <f t="shared" si="22"/>
        <v>445.86815728605006</v>
      </c>
      <c r="J218" s="9">
        <f t="shared" si="23"/>
        <v>2131.0986892829601</v>
      </c>
      <c r="K218" s="9">
        <f t="shared" si="24"/>
        <v>445.86815728605006</v>
      </c>
      <c r="L218" s="10">
        <f t="shared" si="21"/>
        <v>0.209219854307202</v>
      </c>
      <c r="M218" s="10">
        <f t="shared" si="20"/>
        <v>0.31235305104988542</v>
      </c>
      <c r="P218" s="8">
        <f t="shared" si="25"/>
        <v>-3.5188692141916484</v>
      </c>
    </row>
    <row r="219" spans="1:16" x14ac:dyDescent="0.2">
      <c r="A219" s="8">
        <v>108.5</v>
      </c>
      <c r="B219" s="8">
        <v>217</v>
      </c>
      <c r="D219">
        <v>2285.6845740599001</v>
      </c>
      <c r="E219">
        <v>572.65387567153005</v>
      </c>
      <c r="F219">
        <v>136.75327679259999</v>
      </c>
      <c r="G219">
        <v>115.95296838858999</v>
      </c>
      <c r="I219" s="9">
        <f t="shared" si="22"/>
        <v>456.70090728294008</v>
      </c>
      <c r="J219" s="9">
        <f t="shared" si="23"/>
        <v>2148.9312972673001</v>
      </c>
      <c r="K219" s="9">
        <f t="shared" si="24"/>
        <v>456.70090728294008</v>
      </c>
      <c r="L219" s="10">
        <f t="shared" si="21"/>
        <v>0.21252466649990448</v>
      </c>
      <c r="M219" s="10">
        <f t="shared" si="20"/>
        <v>0.31613533174602626</v>
      </c>
      <c r="P219" s="8">
        <f t="shared" si="25"/>
        <v>-2.3505799425279572</v>
      </c>
    </row>
    <row r="220" spans="1:16" x14ac:dyDescent="0.2">
      <c r="A220" s="8">
        <v>109</v>
      </c>
      <c r="B220" s="8">
        <v>218</v>
      </c>
      <c r="D220">
        <v>2239.5794320798</v>
      </c>
      <c r="E220">
        <v>557.98388334612002</v>
      </c>
      <c r="F220">
        <v>136.26676946800001</v>
      </c>
      <c r="G220">
        <v>115.77717810332</v>
      </c>
      <c r="I220" s="9">
        <f t="shared" si="22"/>
        <v>442.20670524280001</v>
      </c>
      <c r="J220" s="9">
        <f t="shared" si="23"/>
        <v>2103.3126626118001</v>
      </c>
      <c r="K220" s="9">
        <f t="shared" si="24"/>
        <v>442.20670524280001</v>
      </c>
      <c r="L220" s="10">
        <f t="shared" si="21"/>
        <v>0.21024297200478381</v>
      </c>
      <c r="M220" s="10">
        <f t="shared" si="20"/>
        <v>0.31433110575434398</v>
      </c>
      <c r="P220" s="8">
        <f t="shared" si="25"/>
        <v>-2.9078780489032723</v>
      </c>
    </row>
    <row r="221" spans="1:16" x14ac:dyDescent="0.2">
      <c r="A221" s="8">
        <v>109.5</v>
      </c>
      <c r="B221" s="8">
        <v>219</v>
      </c>
      <c r="D221">
        <v>2238.3077513430999</v>
      </c>
      <c r="E221">
        <v>550.41749808135</v>
      </c>
      <c r="F221">
        <v>136.37548188125999</v>
      </c>
      <c r="G221">
        <v>115.87201233616</v>
      </c>
      <c r="I221" s="9">
        <f t="shared" si="22"/>
        <v>434.54548574519004</v>
      </c>
      <c r="J221" s="9">
        <f t="shared" si="23"/>
        <v>2101.93226946184</v>
      </c>
      <c r="K221" s="9">
        <f t="shared" si="24"/>
        <v>434.54548574519004</v>
      </c>
      <c r="L221" s="10">
        <f t="shared" si="21"/>
        <v>0.20673619795391751</v>
      </c>
      <c r="M221" s="10">
        <f t="shared" si="20"/>
        <v>0.311301800206916</v>
      </c>
      <c r="P221" s="8">
        <f t="shared" si="25"/>
        <v>-3.8435846915283034</v>
      </c>
    </row>
    <row r="222" spans="1:16" x14ac:dyDescent="0.2">
      <c r="A222" s="8">
        <v>110</v>
      </c>
      <c r="B222" s="8">
        <v>220</v>
      </c>
      <c r="D222">
        <v>2242.6219512194998</v>
      </c>
      <c r="E222">
        <v>546.80030487805004</v>
      </c>
      <c r="F222">
        <v>136.43253662298</v>
      </c>
      <c r="G222">
        <v>115.71395528142</v>
      </c>
      <c r="I222" s="9">
        <f t="shared" si="22"/>
        <v>431.08634959663004</v>
      </c>
      <c r="J222" s="9">
        <f t="shared" si="23"/>
        <v>2106.1894145965198</v>
      </c>
      <c r="K222" s="9">
        <f t="shared" si="24"/>
        <v>431.08634959663004</v>
      </c>
      <c r="L222" s="10">
        <f t="shared" si="21"/>
        <v>0.20467596437864197</v>
      </c>
      <c r="M222" s="10">
        <f t="shared" si="20"/>
        <v>0.30971903513507881</v>
      </c>
      <c r="P222" s="8">
        <f t="shared" si="25"/>
        <v>-4.332476871021516</v>
      </c>
    </row>
    <row r="223" spans="1:16" x14ac:dyDescent="0.2">
      <c r="A223" s="8">
        <v>110.5</v>
      </c>
      <c r="B223" s="8">
        <v>221</v>
      </c>
      <c r="D223">
        <v>2188.6844512194998</v>
      </c>
      <c r="E223">
        <v>536.93368902438999</v>
      </c>
      <c r="F223">
        <v>136.10562837316999</v>
      </c>
      <c r="G223">
        <v>115.69930609098</v>
      </c>
      <c r="I223" s="9">
        <f t="shared" si="22"/>
        <v>421.23438293340996</v>
      </c>
      <c r="J223" s="9">
        <f t="shared" si="23"/>
        <v>2052.5788228463298</v>
      </c>
      <c r="K223" s="9">
        <f t="shared" si="24"/>
        <v>421.23438293340996</v>
      </c>
      <c r="L223" s="10">
        <f t="shared" si="21"/>
        <v>0.20522202521279082</v>
      </c>
      <c r="M223" s="10">
        <f t="shared" si="20"/>
        <v>0.31074256447266602</v>
      </c>
      <c r="P223" s="8">
        <f t="shared" si="25"/>
        <v>-4.0163241472016633</v>
      </c>
    </row>
    <row r="224" spans="1:16" x14ac:dyDescent="0.2">
      <c r="A224" s="8">
        <v>111</v>
      </c>
      <c r="B224" s="8">
        <v>222</v>
      </c>
      <c r="D224">
        <v>2217.9296754249999</v>
      </c>
      <c r="E224">
        <v>541.69242658424002</v>
      </c>
      <c r="F224">
        <v>136.36468774094001</v>
      </c>
      <c r="G224">
        <v>115.88511950655</v>
      </c>
      <c r="I224" s="9">
        <f t="shared" si="22"/>
        <v>425.80730707769004</v>
      </c>
      <c r="J224" s="9">
        <f t="shared" si="23"/>
        <v>2081.5649876840598</v>
      </c>
      <c r="K224" s="9">
        <f t="shared" si="24"/>
        <v>425.80730707769004</v>
      </c>
      <c r="L224" s="10">
        <f t="shared" si="21"/>
        <v>0.2045611401023042</v>
      </c>
      <c r="M224" s="10">
        <f t="shared" si="20"/>
        <v>0.31055914786561772</v>
      </c>
      <c r="P224" s="8">
        <f t="shared" si="25"/>
        <v>-4.072978761566513</v>
      </c>
    </row>
    <row r="225" spans="1:16" x14ac:dyDescent="0.2">
      <c r="A225" s="8">
        <v>111.5</v>
      </c>
      <c r="B225" s="8">
        <v>223</v>
      </c>
      <c r="D225">
        <v>2206.3400309119002</v>
      </c>
      <c r="E225">
        <v>543.57573415765</v>
      </c>
      <c r="F225">
        <v>136.31457208943999</v>
      </c>
      <c r="G225">
        <v>115.55281418657999</v>
      </c>
      <c r="I225" s="9">
        <f t="shared" si="22"/>
        <v>428.02291997107</v>
      </c>
      <c r="J225" s="9">
        <f t="shared" si="23"/>
        <v>2070.0254588224602</v>
      </c>
      <c r="K225" s="9">
        <f t="shared" si="24"/>
        <v>428.02291997107</v>
      </c>
      <c r="L225" s="10">
        <f t="shared" si="21"/>
        <v>0.20677181439814371</v>
      </c>
      <c r="M225" s="10">
        <f t="shared" si="20"/>
        <v>0.31324729066489559</v>
      </c>
      <c r="P225" s="8">
        <f t="shared" si="25"/>
        <v>-3.2426521291987185</v>
      </c>
    </row>
    <row r="226" spans="1:16" x14ac:dyDescent="0.2">
      <c r="A226" s="8">
        <v>112</v>
      </c>
      <c r="B226" s="8">
        <v>224</v>
      </c>
      <c r="D226">
        <v>2206.9149922719998</v>
      </c>
      <c r="E226">
        <v>540.81916537867005</v>
      </c>
      <c r="F226">
        <v>136.21742482651999</v>
      </c>
      <c r="G226">
        <v>115.72089437163</v>
      </c>
      <c r="I226" s="9">
        <f t="shared" si="22"/>
        <v>425.09827100704007</v>
      </c>
      <c r="J226" s="9">
        <f t="shared" si="23"/>
        <v>2070.6975674454798</v>
      </c>
      <c r="K226" s="9">
        <f t="shared" si="24"/>
        <v>425.09827100704007</v>
      </c>
      <c r="L226" s="10">
        <f t="shared" si="21"/>
        <v>0.20529230230924714</v>
      </c>
      <c r="M226" s="10">
        <f t="shared" si="20"/>
        <v>0.3122452470794374</v>
      </c>
      <c r="P226" s="8">
        <f t="shared" si="25"/>
        <v>-3.5521682293191281</v>
      </c>
    </row>
    <row r="227" spans="1:16" x14ac:dyDescent="0.2">
      <c r="A227" s="8">
        <v>112.5</v>
      </c>
      <c r="B227" s="8">
        <v>225</v>
      </c>
      <c r="D227">
        <v>2218.4466769706</v>
      </c>
      <c r="E227">
        <v>541.80293663060002</v>
      </c>
      <c r="F227">
        <v>135.90593677717999</v>
      </c>
      <c r="G227">
        <v>115.52968388588999</v>
      </c>
      <c r="I227" s="9">
        <f t="shared" si="22"/>
        <v>426.27325274471002</v>
      </c>
      <c r="J227" s="9">
        <f t="shared" si="23"/>
        <v>2082.5407401934199</v>
      </c>
      <c r="K227" s="9">
        <f t="shared" si="24"/>
        <v>426.27325274471002</v>
      </c>
      <c r="L227" s="10">
        <f t="shared" si="21"/>
        <v>0.20468903417712689</v>
      </c>
      <c r="M227" s="10">
        <f t="shared" si="20"/>
        <v>0.31211944745075548</v>
      </c>
      <c r="P227" s="8">
        <f t="shared" si="25"/>
        <v>-3.5910258309557084</v>
      </c>
    </row>
    <row r="228" spans="1:16" x14ac:dyDescent="0.2">
      <c r="A228" s="8">
        <v>113</v>
      </c>
      <c r="B228" s="8">
        <v>226</v>
      </c>
      <c r="D228">
        <v>2226.3849693252</v>
      </c>
      <c r="E228">
        <v>536.64953987729996</v>
      </c>
      <c r="F228">
        <v>136.45875096376</v>
      </c>
      <c r="G228">
        <v>115.9167309175</v>
      </c>
      <c r="I228" s="9">
        <f t="shared" si="22"/>
        <v>420.73280895979997</v>
      </c>
      <c r="J228" s="9">
        <f t="shared" si="23"/>
        <v>2089.9262183614401</v>
      </c>
      <c r="K228" s="9">
        <f t="shared" si="24"/>
        <v>420.73280895979997</v>
      </c>
      <c r="L228" s="10">
        <f t="shared" si="21"/>
        <v>0.20131467095028174</v>
      </c>
      <c r="M228" s="10">
        <f t="shared" si="20"/>
        <v>0.30922255272734867</v>
      </c>
      <c r="P228" s="8">
        <f t="shared" si="25"/>
        <v>-4.485832773747803</v>
      </c>
    </row>
    <row r="229" spans="1:16" x14ac:dyDescent="0.2">
      <c r="A229" s="8">
        <v>113.5</v>
      </c>
      <c r="B229" s="8">
        <v>227</v>
      </c>
      <c r="D229">
        <v>2228.2492331287999</v>
      </c>
      <c r="E229">
        <v>530.37576687116996</v>
      </c>
      <c r="F229">
        <v>136.23978411719</v>
      </c>
      <c r="G229">
        <v>115.44949884349001</v>
      </c>
      <c r="I229" s="9">
        <f t="shared" si="22"/>
        <v>414.92626802767995</v>
      </c>
      <c r="J229" s="9">
        <f t="shared" si="23"/>
        <v>2092.0094490116098</v>
      </c>
      <c r="K229" s="9">
        <f t="shared" si="24"/>
        <v>414.92626802767995</v>
      </c>
      <c r="L229" s="10">
        <f t="shared" si="21"/>
        <v>0.19833862042244402</v>
      </c>
      <c r="M229" s="10">
        <f t="shared" si="20"/>
        <v>0.30672397070294932</v>
      </c>
      <c r="P229" s="8">
        <f t="shared" si="25"/>
        <v>-5.2576069512846271</v>
      </c>
    </row>
    <row r="230" spans="1:16" x14ac:dyDescent="0.2">
      <c r="A230" s="8">
        <v>114</v>
      </c>
      <c r="B230" s="8">
        <v>228</v>
      </c>
      <c r="D230">
        <v>2249.0192159877001</v>
      </c>
      <c r="E230">
        <v>533.16756341276005</v>
      </c>
      <c r="F230">
        <v>136.64302235929</v>
      </c>
      <c r="G230">
        <v>115.46260601388001</v>
      </c>
      <c r="I230" s="9">
        <f t="shared" si="22"/>
        <v>417.70495739888003</v>
      </c>
      <c r="J230" s="9">
        <f t="shared" si="23"/>
        <v>2112.37619362841</v>
      </c>
      <c r="K230" s="9">
        <f t="shared" si="24"/>
        <v>417.70495739888003</v>
      </c>
      <c r="L230" s="10">
        <f t="shared" si="21"/>
        <v>0.19774174631337418</v>
      </c>
      <c r="M230" s="10">
        <f t="shared" si="20"/>
        <v>0.30660456509731782</v>
      </c>
      <c r="P230" s="8">
        <f t="shared" si="25"/>
        <v>-5.2944895359585065</v>
      </c>
    </row>
    <row r="231" spans="1:16" x14ac:dyDescent="0.2">
      <c r="A231" s="8">
        <v>114.5</v>
      </c>
      <c r="B231" s="8">
        <v>229</v>
      </c>
      <c r="D231">
        <v>2256.5859676176001</v>
      </c>
      <c r="E231">
        <v>538.84502698535005</v>
      </c>
      <c r="F231">
        <v>136.06476484193999</v>
      </c>
      <c r="G231">
        <v>115.59290670778999</v>
      </c>
      <c r="I231" s="9">
        <f t="shared" si="22"/>
        <v>423.25212027756004</v>
      </c>
      <c r="J231" s="9">
        <f t="shared" si="23"/>
        <v>2120.5212027756602</v>
      </c>
      <c r="K231" s="9">
        <f t="shared" si="24"/>
        <v>423.25212027756004</v>
      </c>
      <c r="L231" s="10">
        <f t="shared" si="21"/>
        <v>0.19959815526651814</v>
      </c>
      <c r="M231" s="10">
        <f t="shared" si="20"/>
        <v>0.30893844255390013</v>
      </c>
      <c r="P231" s="8">
        <f t="shared" si="25"/>
        <v>-4.5735901070279867</v>
      </c>
    </row>
    <row r="232" spans="1:16" x14ac:dyDescent="0.2">
      <c r="A232" s="8">
        <v>115</v>
      </c>
      <c r="B232" s="8">
        <v>230</v>
      </c>
      <c r="D232">
        <v>2284.3068619892001</v>
      </c>
      <c r="E232">
        <v>544.67925983038003</v>
      </c>
      <c r="F232">
        <v>136.71781033152999</v>
      </c>
      <c r="G232">
        <v>116.11488049345</v>
      </c>
      <c r="I232" s="9">
        <f t="shared" si="22"/>
        <v>428.56437933693002</v>
      </c>
      <c r="J232" s="9">
        <f t="shared" si="23"/>
        <v>2147.5890516576701</v>
      </c>
      <c r="K232" s="9">
        <f t="shared" si="24"/>
        <v>428.56437933693002</v>
      </c>
      <c r="L232" s="10">
        <f t="shared" si="21"/>
        <v>0.19955604588602829</v>
      </c>
      <c r="M232" s="10">
        <f t="shared" si="20"/>
        <v>0.30937380167684864</v>
      </c>
      <c r="P232" s="8">
        <f t="shared" si="25"/>
        <v>-4.4391142620224535</v>
      </c>
    </row>
    <row r="233" spans="1:16" x14ac:dyDescent="0.2">
      <c r="A233" s="8">
        <v>115.5</v>
      </c>
      <c r="B233" s="8">
        <v>231</v>
      </c>
      <c r="D233">
        <v>2254.9159599075001</v>
      </c>
      <c r="E233">
        <v>539.85042405550996</v>
      </c>
      <c r="F233">
        <v>136.32690824981</v>
      </c>
      <c r="G233">
        <v>115.88049344642</v>
      </c>
      <c r="I233" s="9">
        <f t="shared" si="22"/>
        <v>423.96993060908994</v>
      </c>
      <c r="J233" s="9">
        <f t="shared" si="23"/>
        <v>2118.5890516576901</v>
      </c>
      <c r="K233" s="9">
        <f t="shared" si="24"/>
        <v>423.96993060908994</v>
      </c>
      <c r="L233" s="10">
        <f t="shared" si="21"/>
        <v>0.20011900386125125</v>
      </c>
      <c r="M233" s="10">
        <f t="shared" si="20"/>
        <v>0.31041422815550995</v>
      </c>
      <c r="P233" s="8">
        <f t="shared" si="25"/>
        <v>-4.1177422670208461</v>
      </c>
    </row>
    <row r="234" spans="1:16" x14ac:dyDescent="0.2">
      <c r="A234" s="8">
        <v>116</v>
      </c>
      <c r="B234" s="8">
        <v>232</v>
      </c>
      <c r="D234">
        <v>2202.2503852079999</v>
      </c>
      <c r="E234">
        <v>527.26040061633</v>
      </c>
      <c r="F234">
        <v>136.83500385504999</v>
      </c>
      <c r="G234">
        <v>115.87432536623</v>
      </c>
      <c r="I234" s="9">
        <f t="shared" si="22"/>
        <v>411.38607525010002</v>
      </c>
      <c r="J234" s="9">
        <f t="shared" si="23"/>
        <v>2065.4153813529501</v>
      </c>
      <c r="K234" s="9">
        <f t="shared" si="24"/>
        <v>411.38607525010002</v>
      </c>
      <c r="L234" s="10">
        <f t="shared" si="21"/>
        <v>0.19917837301115751</v>
      </c>
      <c r="M234" s="10">
        <f t="shared" si="20"/>
        <v>0.30995106580885456</v>
      </c>
      <c r="P234" s="8">
        <f t="shared" si="25"/>
        <v>-4.2608061070970669</v>
      </c>
    </row>
    <row r="235" spans="1:16" x14ac:dyDescent="0.2">
      <c r="A235" s="8">
        <v>116.5</v>
      </c>
      <c r="B235" s="8">
        <v>233</v>
      </c>
      <c r="D235">
        <v>2281.4351496546001</v>
      </c>
      <c r="E235">
        <v>538.92478894858004</v>
      </c>
      <c r="F235">
        <v>136.29067077872</v>
      </c>
      <c r="G235">
        <v>115.85042405551</v>
      </c>
      <c r="I235" s="9">
        <f t="shared" si="22"/>
        <v>423.07436489307003</v>
      </c>
      <c r="J235" s="9">
        <f t="shared" si="23"/>
        <v>2145.1444788758799</v>
      </c>
      <c r="K235" s="9">
        <f t="shared" si="24"/>
        <v>423.07436489307003</v>
      </c>
      <c r="L235" s="10">
        <f t="shared" si="21"/>
        <v>0.19722418189509253</v>
      </c>
      <c r="M235" s="10">
        <f t="shared" si="20"/>
        <v>0.30847434319622791</v>
      </c>
      <c r="P235" s="8">
        <f t="shared" si="25"/>
        <v>-4.7169433756279853</v>
      </c>
    </row>
    <row r="236" spans="1:16" x14ac:dyDescent="0.2">
      <c r="A236" s="8">
        <v>117</v>
      </c>
      <c r="B236" s="8">
        <v>234</v>
      </c>
      <c r="D236">
        <v>2317.0475825018998</v>
      </c>
      <c r="E236">
        <v>540.87567152725001</v>
      </c>
      <c r="F236">
        <v>136.68003084040001</v>
      </c>
      <c r="G236">
        <v>115.86815728605001</v>
      </c>
      <c r="I236" s="9">
        <f t="shared" si="22"/>
        <v>425.0075142412</v>
      </c>
      <c r="J236" s="9">
        <f t="shared" si="23"/>
        <v>2180.3675516614999</v>
      </c>
      <c r="K236" s="9">
        <f t="shared" si="24"/>
        <v>425.0075142412</v>
      </c>
      <c r="L236" s="10">
        <f t="shared" si="21"/>
        <v>0.19492471070638187</v>
      </c>
      <c r="M236" s="10">
        <f t="shared" si="20"/>
        <v>0.30665234051095558</v>
      </c>
      <c r="P236" s="8">
        <f t="shared" si="25"/>
        <v>-5.2797324336473945</v>
      </c>
    </row>
    <row r="237" spans="1:16" x14ac:dyDescent="0.2">
      <c r="A237" s="8">
        <v>117.5</v>
      </c>
      <c r="B237" s="8">
        <v>235</v>
      </c>
      <c r="D237">
        <v>2346.5987654321002</v>
      </c>
      <c r="E237">
        <v>541.97916666667004</v>
      </c>
      <c r="F237">
        <v>136.69005397070001</v>
      </c>
      <c r="G237">
        <v>115.94371626831</v>
      </c>
      <c r="I237" s="9">
        <f t="shared" si="22"/>
        <v>426.03545039836001</v>
      </c>
      <c r="J237" s="9">
        <f t="shared" si="23"/>
        <v>2209.9087114614003</v>
      </c>
      <c r="K237" s="9">
        <f t="shared" si="24"/>
        <v>426.03545039836001</v>
      </c>
      <c r="L237" s="10">
        <f t="shared" si="21"/>
        <v>0.19278418524203433</v>
      </c>
      <c r="M237" s="10">
        <f t="shared" si="20"/>
        <v>0.3049892835500464</v>
      </c>
      <c r="P237" s="8">
        <f t="shared" si="25"/>
        <v>-5.7934255626576885</v>
      </c>
    </row>
    <row r="238" spans="1:16" x14ac:dyDescent="0.2">
      <c r="A238" s="8">
        <v>118</v>
      </c>
      <c r="B238" s="8">
        <v>236</v>
      </c>
      <c r="D238">
        <v>2253.5195702226001</v>
      </c>
      <c r="E238">
        <v>534.99309286262996</v>
      </c>
      <c r="F238">
        <v>136.57825751735001</v>
      </c>
      <c r="G238">
        <v>116.1233616037</v>
      </c>
      <c r="I238" s="9">
        <f t="shared" si="22"/>
        <v>418.86973125892996</v>
      </c>
      <c r="J238" s="9">
        <f t="shared" si="23"/>
        <v>2116.9413127052503</v>
      </c>
      <c r="K238" s="9">
        <f t="shared" si="24"/>
        <v>418.86973125892996</v>
      </c>
      <c r="L238" s="10">
        <f t="shared" si="21"/>
        <v>0.19786553776668195</v>
      </c>
      <c r="M238" s="10">
        <f t="shared" si="20"/>
        <v>0.31054810457813242</v>
      </c>
      <c r="P238" s="8">
        <f t="shared" si="25"/>
        <v>-4.0763898659581415</v>
      </c>
    </row>
    <row r="239" spans="1:16" x14ac:dyDescent="0.2">
      <c r="A239" s="8">
        <v>118.5</v>
      </c>
      <c r="B239" s="8">
        <v>237</v>
      </c>
      <c r="D239">
        <v>2263.5326170376002</v>
      </c>
      <c r="E239">
        <v>533.84804297773996</v>
      </c>
      <c r="F239">
        <v>136.00693909021001</v>
      </c>
      <c r="G239">
        <v>116.22590593677999</v>
      </c>
      <c r="I239" s="9">
        <f t="shared" si="22"/>
        <v>417.62213704095996</v>
      </c>
      <c r="J239" s="9">
        <f t="shared" si="23"/>
        <v>2127.5256779473902</v>
      </c>
      <c r="K239" s="9">
        <f t="shared" si="24"/>
        <v>417.62213704095996</v>
      </c>
      <c r="L239" s="10">
        <f t="shared" si="21"/>
        <v>0.19629475750622971</v>
      </c>
      <c r="M239" s="10">
        <f t="shared" si="20"/>
        <v>0.30945479282111849</v>
      </c>
      <c r="P239" s="8">
        <f t="shared" si="25"/>
        <v>-4.4140973231562359</v>
      </c>
    </row>
    <row r="240" spans="1:16" x14ac:dyDescent="0.2">
      <c r="A240" s="8">
        <v>119</v>
      </c>
      <c r="B240" s="8">
        <v>238</v>
      </c>
      <c r="D240">
        <v>2204.5506912442002</v>
      </c>
      <c r="E240">
        <v>525.57219662058003</v>
      </c>
      <c r="F240">
        <v>136.05319969160001</v>
      </c>
      <c r="G240">
        <v>115.94525828835999</v>
      </c>
      <c r="I240" s="9">
        <f t="shared" si="22"/>
        <v>409.62693833222005</v>
      </c>
      <c r="J240" s="9">
        <f t="shared" si="23"/>
        <v>2068.4974915526</v>
      </c>
      <c r="K240" s="9">
        <f t="shared" si="24"/>
        <v>409.62693833222005</v>
      </c>
      <c r="L240" s="10">
        <f t="shared" si="21"/>
        <v>0.19803115063231569</v>
      </c>
      <c r="M240" s="10">
        <f t="shared" si="20"/>
        <v>0.31166865445064285</v>
      </c>
      <c r="P240" s="8">
        <f t="shared" si="25"/>
        <v>-3.7302689670640472</v>
      </c>
    </row>
    <row r="241" spans="1:16" x14ac:dyDescent="0.2">
      <c r="A241" s="8">
        <v>119.5</v>
      </c>
      <c r="B241" s="8">
        <v>239</v>
      </c>
      <c r="D241">
        <v>2264.0529953916998</v>
      </c>
      <c r="E241">
        <v>535.64362519200995</v>
      </c>
      <c r="F241">
        <v>136.35003855049999</v>
      </c>
      <c r="G241">
        <v>115.71703932151</v>
      </c>
      <c r="I241" s="9">
        <f t="shared" si="22"/>
        <v>419.92658587049993</v>
      </c>
      <c r="J241" s="9">
        <f t="shared" si="23"/>
        <v>2127.7029568411999</v>
      </c>
      <c r="K241" s="9">
        <f t="shared" si="24"/>
        <v>419.92658587049993</v>
      </c>
      <c r="L241" s="10">
        <f t="shared" si="21"/>
        <v>0.1973614712149131</v>
      </c>
      <c r="M241" s="10">
        <f t="shared" si="20"/>
        <v>0.31147644353667858</v>
      </c>
      <c r="P241" s="8">
        <f t="shared" si="25"/>
        <v>-3.7896400097553644</v>
      </c>
    </row>
    <row r="242" spans="1:16" x14ac:dyDescent="0.2">
      <c r="A242" s="8">
        <v>120</v>
      </c>
      <c r="B242" s="8">
        <v>240</v>
      </c>
      <c r="D242">
        <v>2257.3456221197998</v>
      </c>
      <c r="E242">
        <v>528.90783410137999</v>
      </c>
      <c r="F242">
        <v>136.48727833461999</v>
      </c>
      <c r="G242">
        <v>116.05474171164001</v>
      </c>
      <c r="I242" s="9">
        <f>E242-G242</f>
        <v>412.85309238973997</v>
      </c>
      <c r="J242" s="9">
        <f>D242-F242</f>
        <v>2120.8583437851798</v>
      </c>
      <c r="K242" s="9">
        <f t="shared" si="24"/>
        <v>412.85309238973997</v>
      </c>
      <c r="L242" s="10">
        <f t="shared" si="21"/>
        <v>0.19466320963846398</v>
      </c>
      <c r="M242" s="10">
        <f>L242+ABS($N$2)*A242</f>
        <v>0.30925565046366782</v>
      </c>
      <c r="O242" s="11"/>
      <c r="P242" s="8">
        <f>(M242-$O$2)/$O$2*100</f>
        <v>-4.4756093838504132</v>
      </c>
    </row>
    <row r="243" spans="1:16" x14ac:dyDescent="0.2">
      <c r="A243" s="8">
        <v>120.5</v>
      </c>
      <c r="B243" s="8">
        <v>241</v>
      </c>
      <c r="D243">
        <v>2212.5882806476998</v>
      </c>
      <c r="E243">
        <v>515.31148804935003</v>
      </c>
      <c r="F243">
        <v>136.84734001542</v>
      </c>
      <c r="G243">
        <v>116.02929838087999</v>
      </c>
      <c r="I243" s="9">
        <f t="shared" ref="I243:I274" si="26">E243-G243</f>
        <v>399.28218966847004</v>
      </c>
      <c r="J243" s="9">
        <f t="shared" ref="J243:J274" si="27">D243-F243</f>
        <v>2075.7409406322799</v>
      </c>
      <c r="K243" s="9">
        <f t="shared" si="24"/>
        <v>399.28218966847004</v>
      </c>
      <c r="L243" s="10">
        <f t="shared" si="21"/>
        <v>0.19235646503500908</v>
      </c>
      <c r="M243" s="10">
        <f t="shared" ref="M243:M274" si="28">L243+ABS($N$2)*A243</f>
        <v>0.30742637436365128</v>
      </c>
      <c r="P243" s="8">
        <f t="shared" ref="P243:P274" si="29">(M243-$O$2)/$O$2*100</f>
        <v>-5.0406450896193391</v>
      </c>
    </row>
    <row r="244" spans="1:16" x14ac:dyDescent="0.2">
      <c r="A244" s="8">
        <v>121</v>
      </c>
      <c r="B244" s="8">
        <v>242</v>
      </c>
      <c r="D244">
        <v>2260.1630934149998</v>
      </c>
      <c r="E244">
        <v>517.91730474732003</v>
      </c>
      <c r="F244">
        <v>136.79722436392001</v>
      </c>
      <c r="G244">
        <v>115.88666152659999</v>
      </c>
      <c r="I244" s="9">
        <f t="shared" si="26"/>
        <v>402.03064322072004</v>
      </c>
      <c r="J244" s="9">
        <f t="shared" si="27"/>
        <v>2123.3658690510797</v>
      </c>
      <c r="K244" s="9">
        <f t="shared" si="24"/>
        <v>402.03064322072004</v>
      </c>
      <c r="L244" s="10">
        <f t="shared" si="21"/>
        <v>0.18933649121919119</v>
      </c>
      <c r="M244" s="10">
        <f t="shared" si="28"/>
        <v>0.30488386905127174</v>
      </c>
      <c r="N244" s="1"/>
      <c r="P244" s="8">
        <f t="shared" si="29"/>
        <v>-5.8259865061439546</v>
      </c>
    </row>
    <row r="245" spans="1:16" x14ac:dyDescent="0.2">
      <c r="A245" s="8">
        <v>121.5</v>
      </c>
      <c r="B245" s="8">
        <v>243</v>
      </c>
      <c r="D245">
        <v>2328.9362519200999</v>
      </c>
      <c r="E245">
        <v>549.37019969278003</v>
      </c>
      <c r="F245">
        <v>136.43484965305001</v>
      </c>
      <c r="G245">
        <v>115.63299922899</v>
      </c>
      <c r="I245" s="9">
        <f t="shared" si="26"/>
        <v>433.73720046379003</v>
      </c>
      <c r="J245" s="9">
        <f t="shared" si="27"/>
        <v>2192.5014022670498</v>
      </c>
      <c r="K245" s="9">
        <f t="shared" si="24"/>
        <v>433.73720046379003</v>
      </c>
      <c r="L245" s="10">
        <f t="shared" si="21"/>
        <v>0.19782755897684037</v>
      </c>
      <c r="M245" s="10">
        <f t="shared" si="28"/>
        <v>0.31385240531235925</v>
      </c>
      <c r="P245" s="8">
        <f t="shared" si="29"/>
        <v>-3.0557413714964499</v>
      </c>
    </row>
    <row r="246" spans="1:16" x14ac:dyDescent="0.2">
      <c r="A246" s="8">
        <v>122</v>
      </c>
      <c r="B246" s="8">
        <v>244</v>
      </c>
      <c r="D246">
        <v>2288.5084226645999</v>
      </c>
      <c r="E246">
        <v>544.26799387442998</v>
      </c>
      <c r="F246">
        <v>136.21665381650001</v>
      </c>
      <c r="G246">
        <v>115.39629915189001</v>
      </c>
      <c r="I246" s="9">
        <f t="shared" si="26"/>
        <v>428.87169472253998</v>
      </c>
      <c r="J246" s="9">
        <f t="shared" si="27"/>
        <v>2152.2917688480998</v>
      </c>
      <c r="K246" s="9">
        <f t="shared" si="24"/>
        <v>428.87169472253998</v>
      </c>
      <c r="L246" s="10">
        <f t="shared" si="21"/>
        <v>0.19926280485292699</v>
      </c>
      <c r="M246" s="10">
        <f t="shared" si="28"/>
        <v>0.31576511969188426</v>
      </c>
      <c r="P246" s="8">
        <f t="shared" si="29"/>
        <v>-2.4649328438173801</v>
      </c>
    </row>
    <row r="247" spans="1:16" x14ac:dyDescent="0.2">
      <c r="A247" s="8">
        <v>122.5</v>
      </c>
      <c r="B247" s="8">
        <v>245</v>
      </c>
      <c r="D247">
        <v>2328.471669219</v>
      </c>
      <c r="E247">
        <v>555.11179173048004</v>
      </c>
      <c r="F247">
        <v>136.31842713955001</v>
      </c>
      <c r="G247">
        <v>115.93446414803</v>
      </c>
      <c r="I247" s="9">
        <f t="shared" si="26"/>
        <v>439.17732758245006</v>
      </c>
      <c r="J247" s="9">
        <f t="shared" si="27"/>
        <v>2192.1532420794501</v>
      </c>
      <c r="K247" s="9">
        <f t="shared" si="24"/>
        <v>439.17732758245006</v>
      </c>
      <c r="L247" s="10">
        <f t="shared" si="21"/>
        <v>0.2003406144936527</v>
      </c>
      <c r="M247" s="10">
        <f t="shared" si="28"/>
        <v>0.31732039783604826</v>
      </c>
      <c r="P247" s="8">
        <f t="shared" si="29"/>
        <v>-1.9845309603363961</v>
      </c>
    </row>
    <row r="248" spans="1:16" x14ac:dyDescent="0.2">
      <c r="A248" s="8">
        <v>123</v>
      </c>
      <c r="B248" s="8">
        <v>246</v>
      </c>
      <c r="D248">
        <v>2392.0076569677999</v>
      </c>
      <c r="E248">
        <v>561.50612557426996</v>
      </c>
      <c r="F248">
        <v>136.65073245951999</v>
      </c>
      <c r="G248">
        <v>115.59059367771999</v>
      </c>
      <c r="I248" s="9">
        <f t="shared" si="26"/>
        <v>445.91553189654996</v>
      </c>
      <c r="J248" s="9">
        <f t="shared" si="27"/>
        <v>2255.3569245082799</v>
      </c>
      <c r="K248" s="9">
        <f t="shared" si="24"/>
        <v>445.91553189654996</v>
      </c>
      <c r="L248" s="10">
        <f t="shared" si="21"/>
        <v>0.19771395252384272</v>
      </c>
      <c r="M248" s="10">
        <f t="shared" si="28"/>
        <v>0.31517120436967666</v>
      </c>
      <c r="P248" s="8">
        <f t="shared" si="29"/>
        <v>-2.648384299421874</v>
      </c>
    </row>
    <row r="249" spans="1:16" x14ac:dyDescent="0.2">
      <c r="A249" s="8">
        <v>123.5</v>
      </c>
      <c r="B249" s="8">
        <v>247</v>
      </c>
      <c r="D249">
        <v>2377.3728943338001</v>
      </c>
      <c r="E249">
        <v>557.55742725880998</v>
      </c>
      <c r="F249">
        <v>135.97378565920999</v>
      </c>
      <c r="G249">
        <v>116.3400154202</v>
      </c>
      <c r="I249" s="9">
        <f t="shared" si="26"/>
        <v>441.21741183860996</v>
      </c>
      <c r="J249" s="9">
        <f t="shared" si="27"/>
        <v>2241.39910867459</v>
      </c>
      <c r="K249" s="9">
        <f t="shared" si="24"/>
        <v>441.21741183860996</v>
      </c>
      <c r="L249" s="10">
        <f t="shared" si="21"/>
        <v>0.19684910649380766</v>
      </c>
      <c r="M249" s="10">
        <f t="shared" si="28"/>
        <v>0.31478382684307993</v>
      </c>
      <c r="P249" s="8">
        <f t="shared" si="29"/>
        <v>-2.7680393553959979</v>
      </c>
    </row>
    <row r="250" spans="1:16" x14ac:dyDescent="0.2">
      <c r="A250" s="8">
        <v>124</v>
      </c>
      <c r="B250" s="8">
        <v>248</v>
      </c>
      <c r="D250">
        <v>2390.5344563552999</v>
      </c>
      <c r="E250">
        <v>560.64471669218995</v>
      </c>
      <c r="F250">
        <v>136.42636854278999</v>
      </c>
      <c r="G250">
        <v>116.02698535080999</v>
      </c>
      <c r="I250" s="9">
        <f t="shared" si="26"/>
        <v>444.61773134137997</v>
      </c>
      <c r="J250" s="9">
        <f t="shared" si="27"/>
        <v>2254.1080878125099</v>
      </c>
      <c r="K250" s="9">
        <f t="shared" si="24"/>
        <v>444.61773134137997</v>
      </c>
      <c r="L250" s="10">
        <f t="shared" si="21"/>
        <v>0.19724774235332143</v>
      </c>
      <c r="M250" s="10">
        <f t="shared" si="28"/>
        <v>0.31565993120603208</v>
      </c>
      <c r="P250" s="8">
        <f t="shared" si="29"/>
        <v>-2.4974239753320311</v>
      </c>
    </row>
    <row r="251" spans="1:16" x14ac:dyDescent="0.2">
      <c r="A251" s="8">
        <v>124.5</v>
      </c>
      <c r="B251" s="8">
        <v>249</v>
      </c>
      <c r="D251">
        <v>2378.3101071975998</v>
      </c>
      <c r="E251">
        <v>558.57733537519005</v>
      </c>
      <c r="F251">
        <v>136.67309175019</v>
      </c>
      <c r="G251">
        <v>115.63839629915</v>
      </c>
      <c r="I251" s="9">
        <f t="shared" si="26"/>
        <v>442.93893907604001</v>
      </c>
      <c r="J251" s="9">
        <f t="shared" si="27"/>
        <v>2241.6370154474098</v>
      </c>
      <c r="K251" s="9">
        <f t="shared" si="24"/>
        <v>442.93893907604001</v>
      </c>
      <c r="L251" s="10">
        <f t="shared" si="21"/>
        <v>0.1975961924360147</v>
      </c>
      <c r="M251" s="10">
        <f t="shared" si="28"/>
        <v>0.31648584979216365</v>
      </c>
      <c r="P251" s="8">
        <f t="shared" si="29"/>
        <v>-2.2423102222915228</v>
      </c>
    </row>
    <row r="252" spans="1:16" x14ac:dyDescent="0.2">
      <c r="A252" s="8">
        <v>125</v>
      </c>
      <c r="B252" s="8">
        <v>250</v>
      </c>
      <c r="D252">
        <v>2331.9187116563999</v>
      </c>
      <c r="E252">
        <v>542.77914110429003</v>
      </c>
      <c r="F252">
        <v>136.22050886662001</v>
      </c>
      <c r="G252">
        <v>116.01310717039</v>
      </c>
      <c r="I252" s="9">
        <f t="shared" si="26"/>
        <v>426.76603393390002</v>
      </c>
      <c r="J252" s="9">
        <f t="shared" si="27"/>
        <v>2195.6982027897798</v>
      </c>
      <c r="K252" s="9">
        <f t="shared" si="24"/>
        <v>426.76603393390002</v>
      </c>
      <c r="L252" s="10">
        <f t="shared" si="21"/>
        <v>0.19436461413124334</v>
      </c>
      <c r="M252" s="10">
        <f t="shared" si="28"/>
        <v>0.3137317399908307</v>
      </c>
      <c r="P252" s="8">
        <f t="shared" si="29"/>
        <v>-3.0930130633482702</v>
      </c>
    </row>
    <row r="253" spans="1:16" x14ac:dyDescent="0.2">
      <c r="A253" s="8">
        <v>125.5</v>
      </c>
      <c r="B253" s="8">
        <v>251</v>
      </c>
      <c r="D253">
        <v>2289.0398467433001</v>
      </c>
      <c r="E253">
        <v>523.79310344828002</v>
      </c>
      <c r="F253">
        <v>136.8565921357</v>
      </c>
      <c r="G253">
        <v>115.85427910563</v>
      </c>
      <c r="I253" s="9">
        <f t="shared" si="26"/>
        <v>407.93882434265004</v>
      </c>
      <c r="J253" s="9">
        <f t="shared" si="27"/>
        <v>2152.1832546076002</v>
      </c>
      <c r="K253" s="9">
        <f t="shared" si="24"/>
        <v>407.93882434265004</v>
      </c>
      <c r="L253" s="10">
        <f t="shared" si="21"/>
        <v>0.18954650979153168</v>
      </c>
      <c r="M253" s="10">
        <f t="shared" si="28"/>
        <v>0.30939110415455734</v>
      </c>
      <c r="P253" s="8">
        <f t="shared" si="29"/>
        <v>-4.433769788488032</v>
      </c>
    </row>
    <row r="254" spans="1:16" x14ac:dyDescent="0.2">
      <c r="A254" s="8">
        <v>126</v>
      </c>
      <c r="B254" s="8">
        <v>252</v>
      </c>
      <c r="D254">
        <v>2336.3703703704</v>
      </c>
      <c r="E254">
        <v>532.07638888889005</v>
      </c>
      <c r="F254">
        <v>136.30146491904</v>
      </c>
      <c r="G254">
        <v>115.57979953739</v>
      </c>
      <c r="I254" s="9">
        <f t="shared" si="26"/>
        <v>416.49658935150006</v>
      </c>
      <c r="J254" s="9">
        <f t="shared" si="27"/>
        <v>2200.06890545136</v>
      </c>
      <c r="K254" s="9">
        <f t="shared" si="24"/>
        <v>416.49658935150006</v>
      </c>
      <c r="L254" s="10">
        <f t="shared" si="21"/>
        <v>0.18931070218732662</v>
      </c>
      <c r="M254" s="10">
        <f t="shared" si="28"/>
        <v>0.30963276505379067</v>
      </c>
      <c r="P254" s="8">
        <f t="shared" si="29"/>
        <v>-4.3591243936491537</v>
      </c>
    </row>
    <row r="255" spans="1:16" x14ac:dyDescent="0.2">
      <c r="A255" s="8">
        <v>126.5</v>
      </c>
      <c r="B255" s="8">
        <v>253</v>
      </c>
      <c r="D255">
        <v>2294.0023148147998</v>
      </c>
      <c r="E255">
        <v>537.31018518518999</v>
      </c>
      <c r="F255">
        <v>136.53970701618999</v>
      </c>
      <c r="G255">
        <v>115.57286044719</v>
      </c>
      <c r="I255" s="9">
        <f t="shared" si="26"/>
        <v>421.73732473799998</v>
      </c>
      <c r="J255" s="9">
        <f t="shared" si="27"/>
        <v>2157.46260779861</v>
      </c>
      <c r="K255" s="9">
        <f t="shared" si="24"/>
        <v>421.73732473799998</v>
      </c>
      <c r="L255" s="10">
        <f t="shared" si="21"/>
        <v>0.19547839355988847</v>
      </c>
      <c r="M255" s="10">
        <f t="shared" si="28"/>
        <v>0.31627792492979084</v>
      </c>
      <c r="P255" s="8">
        <f t="shared" si="29"/>
        <v>-2.3065350658548671</v>
      </c>
    </row>
    <row r="256" spans="1:16" x14ac:dyDescent="0.2">
      <c r="A256" s="8">
        <v>127</v>
      </c>
      <c r="B256" s="8">
        <v>254</v>
      </c>
      <c r="D256">
        <v>2370.5210727969002</v>
      </c>
      <c r="E256">
        <v>537.25440613027001</v>
      </c>
      <c r="F256">
        <v>136.71395528142</v>
      </c>
      <c r="G256">
        <v>115.72320740169999</v>
      </c>
      <c r="I256" s="9">
        <f t="shared" si="26"/>
        <v>421.53119872857002</v>
      </c>
      <c r="J256" s="9">
        <f t="shared" si="27"/>
        <v>2233.8071175154801</v>
      </c>
      <c r="K256" s="9">
        <f t="shared" si="24"/>
        <v>421.53119872857002</v>
      </c>
      <c r="L256" s="10">
        <f t="shared" si="21"/>
        <v>0.18870528051563021</v>
      </c>
      <c r="M256" s="10">
        <f t="shared" si="28"/>
        <v>0.30998228038897091</v>
      </c>
      <c r="P256" s="8">
        <f t="shared" si="29"/>
        <v>-4.2511643956538574</v>
      </c>
    </row>
    <row r="257" spans="1:16" x14ac:dyDescent="0.2">
      <c r="A257" s="8">
        <v>127.5</v>
      </c>
      <c r="B257" s="8">
        <v>255</v>
      </c>
      <c r="D257">
        <v>2383.7494252873998</v>
      </c>
      <c r="E257">
        <v>536.72873563218002</v>
      </c>
      <c r="F257">
        <v>136.48882035467</v>
      </c>
      <c r="G257">
        <v>116.09560524286999</v>
      </c>
      <c r="I257" s="9">
        <f t="shared" si="26"/>
        <v>420.63313038931005</v>
      </c>
      <c r="J257" s="9">
        <f t="shared" si="27"/>
        <v>2247.2606049327296</v>
      </c>
      <c r="K257" s="9">
        <f t="shared" si="24"/>
        <v>420.63313038931005</v>
      </c>
      <c r="L257" s="10">
        <f t="shared" si="21"/>
        <v>0.18717594633484952</v>
      </c>
      <c r="M257" s="10">
        <f t="shared" si="28"/>
        <v>0.30893041471162858</v>
      </c>
      <c r="P257" s="8">
        <f t="shared" si="29"/>
        <v>-4.5760697860243216</v>
      </c>
    </row>
    <row r="258" spans="1:16" x14ac:dyDescent="0.2">
      <c r="A258" s="8">
        <v>128</v>
      </c>
      <c r="B258" s="8">
        <v>256</v>
      </c>
      <c r="D258">
        <v>2406.9846743295002</v>
      </c>
      <c r="E258">
        <v>541.64444444443996</v>
      </c>
      <c r="F258">
        <v>136.17810331534</v>
      </c>
      <c r="G258">
        <v>116.01156515034999</v>
      </c>
      <c r="I258" s="9">
        <f t="shared" si="26"/>
        <v>425.63287929408995</v>
      </c>
      <c r="J258" s="9">
        <f t="shared" si="27"/>
        <v>2270.80657101416</v>
      </c>
      <c r="K258" s="9">
        <f t="shared" si="24"/>
        <v>425.63287929408995</v>
      </c>
      <c r="L258" s="10">
        <f t="shared" ref="L258:L321" si="30">K258/J258</f>
        <v>0.18743687143022444</v>
      </c>
      <c r="M258" s="10">
        <f t="shared" si="28"/>
        <v>0.30966880831044186</v>
      </c>
      <c r="P258" s="8">
        <f t="shared" si="29"/>
        <v>-4.3479911770942934</v>
      </c>
    </row>
    <row r="259" spans="1:16" x14ac:dyDescent="0.2">
      <c r="A259" s="8">
        <v>128.5</v>
      </c>
      <c r="B259" s="8">
        <v>257</v>
      </c>
      <c r="D259">
        <v>2413.1210727969001</v>
      </c>
      <c r="E259">
        <v>539.78160919540005</v>
      </c>
      <c r="F259">
        <v>136.30609097918</v>
      </c>
      <c r="G259">
        <v>115.70470316114</v>
      </c>
      <c r="I259" s="9">
        <f t="shared" si="26"/>
        <v>424.07690603426005</v>
      </c>
      <c r="J259" s="9">
        <f t="shared" si="27"/>
        <v>2276.8149818177199</v>
      </c>
      <c r="K259" s="9">
        <f t="shared" ref="K259:K322" si="31">I259*1</f>
        <v>424.07690603426005</v>
      </c>
      <c r="L259" s="10">
        <f t="shared" si="30"/>
        <v>0.18625883500454379</v>
      </c>
      <c r="M259" s="10">
        <f t="shared" si="28"/>
        <v>0.30896824038819959</v>
      </c>
      <c r="P259" s="8">
        <f t="shared" si="29"/>
        <v>-4.5643860069287019</v>
      </c>
    </row>
    <row r="260" spans="1:16" x14ac:dyDescent="0.2">
      <c r="A260" s="8">
        <v>129</v>
      </c>
      <c r="B260" s="8">
        <v>258</v>
      </c>
      <c r="D260">
        <v>2434.2436781608999</v>
      </c>
      <c r="E260">
        <v>543.63678160920006</v>
      </c>
      <c r="F260">
        <v>136.28912875866999</v>
      </c>
      <c r="G260">
        <v>116.13801079414</v>
      </c>
      <c r="I260" s="9">
        <f t="shared" si="26"/>
        <v>427.49877081506008</v>
      </c>
      <c r="J260" s="9">
        <f t="shared" si="27"/>
        <v>2297.95454940223</v>
      </c>
      <c r="K260" s="9">
        <f t="shared" si="31"/>
        <v>427.49877081506008</v>
      </c>
      <c r="L260" s="10">
        <f t="shared" si="30"/>
        <v>0.18603447615022059</v>
      </c>
      <c r="M260" s="10">
        <f t="shared" si="28"/>
        <v>0.30922135003731471</v>
      </c>
      <c r="P260" s="8">
        <f t="shared" si="29"/>
        <v>-4.4862042664995805</v>
      </c>
    </row>
    <row r="261" spans="1:16" x14ac:dyDescent="0.2">
      <c r="A261" s="8">
        <v>129.5</v>
      </c>
      <c r="B261" s="8">
        <v>259</v>
      </c>
      <c r="D261">
        <v>2404.8429118774002</v>
      </c>
      <c r="E261">
        <v>545.22835249041998</v>
      </c>
      <c r="F261">
        <v>136.84811102544001</v>
      </c>
      <c r="G261">
        <v>115.61141094833999</v>
      </c>
      <c r="I261" s="9">
        <f t="shared" si="26"/>
        <v>429.61694154207999</v>
      </c>
      <c r="J261" s="9">
        <f t="shared" si="27"/>
        <v>2267.99480085196</v>
      </c>
      <c r="K261" s="9">
        <f t="shared" si="31"/>
        <v>429.61694154207999</v>
      </c>
      <c r="L261" s="10">
        <f t="shared" si="30"/>
        <v>0.18942589347237335</v>
      </c>
      <c r="M261" s="10">
        <f t="shared" si="28"/>
        <v>0.31309023586290585</v>
      </c>
      <c r="P261" s="8">
        <f t="shared" si="29"/>
        <v>-3.2911639809010773</v>
      </c>
    </row>
    <row r="262" spans="1:16" x14ac:dyDescent="0.2">
      <c r="A262" s="8">
        <v>130</v>
      </c>
      <c r="B262" s="8">
        <v>260</v>
      </c>
      <c r="D262">
        <v>2436.6344827585999</v>
      </c>
      <c r="E262">
        <v>547.88352490422005</v>
      </c>
      <c r="F262">
        <v>136.26908249806999</v>
      </c>
      <c r="G262">
        <v>115.60601387817999</v>
      </c>
      <c r="I262" s="9">
        <f t="shared" si="26"/>
        <v>432.27751102604009</v>
      </c>
      <c r="J262" s="9">
        <f t="shared" si="27"/>
        <v>2300.3654002605299</v>
      </c>
      <c r="K262" s="9">
        <f t="shared" si="31"/>
        <v>432.27751102604009</v>
      </c>
      <c r="L262" s="10">
        <f t="shared" si="30"/>
        <v>0.1879168896285269</v>
      </c>
      <c r="M262" s="10">
        <f t="shared" si="28"/>
        <v>0.31205870052249773</v>
      </c>
      <c r="P262" s="8">
        <f t="shared" si="29"/>
        <v>-3.6097896378414482</v>
      </c>
    </row>
    <row r="263" spans="1:16" x14ac:dyDescent="0.2">
      <c r="A263" s="8">
        <v>130.5</v>
      </c>
      <c r="B263" s="8">
        <v>261</v>
      </c>
      <c r="D263">
        <v>2460.2896551724002</v>
      </c>
      <c r="E263">
        <v>548.70421455939004</v>
      </c>
      <c r="F263">
        <v>136.86430223593001</v>
      </c>
      <c r="G263">
        <v>115.75019275251</v>
      </c>
      <c r="I263" s="9">
        <f t="shared" si="26"/>
        <v>432.95402180688006</v>
      </c>
      <c r="J263" s="9">
        <f t="shared" si="27"/>
        <v>2323.4253529364701</v>
      </c>
      <c r="K263" s="9">
        <f t="shared" si="31"/>
        <v>432.95402180688006</v>
      </c>
      <c r="L263" s="10">
        <f t="shared" si="30"/>
        <v>0.1863429876323289</v>
      </c>
      <c r="M263" s="10">
        <f t="shared" si="28"/>
        <v>0.31096226702973806</v>
      </c>
      <c r="P263" s="8">
        <f t="shared" si="29"/>
        <v>-3.9484613519717264</v>
      </c>
    </row>
    <row r="264" spans="1:16" x14ac:dyDescent="0.2">
      <c r="A264" s="8">
        <v>131</v>
      </c>
      <c r="B264" s="8">
        <v>262</v>
      </c>
      <c r="D264">
        <v>2379.1785440612998</v>
      </c>
      <c r="E264">
        <v>555.24214559386996</v>
      </c>
      <c r="F264">
        <v>136.68696993060999</v>
      </c>
      <c r="G264">
        <v>115.93831919815</v>
      </c>
      <c r="I264" s="9">
        <f t="shared" si="26"/>
        <v>439.30382639571997</v>
      </c>
      <c r="J264" s="9">
        <f t="shared" si="27"/>
        <v>2242.49157413069</v>
      </c>
      <c r="K264" s="9">
        <f t="shared" si="31"/>
        <v>439.30382639571997</v>
      </c>
      <c r="L264" s="10">
        <f t="shared" si="30"/>
        <v>0.1958998782708995</v>
      </c>
      <c r="M264" s="10">
        <f t="shared" si="28"/>
        <v>0.32099662617174701</v>
      </c>
      <c r="P264" s="8">
        <f t="shared" si="29"/>
        <v>-0.84899965797559651</v>
      </c>
    </row>
    <row r="265" spans="1:16" x14ac:dyDescent="0.2">
      <c r="A265" s="8">
        <v>131.5</v>
      </c>
      <c r="B265" s="8">
        <v>263</v>
      </c>
      <c r="D265">
        <v>2351.9164750957998</v>
      </c>
      <c r="E265">
        <v>555.33026819922998</v>
      </c>
      <c r="F265">
        <v>136.62297609869</v>
      </c>
      <c r="G265">
        <v>115.54973014649001</v>
      </c>
      <c r="I265" s="9">
        <f t="shared" si="26"/>
        <v>439.78053805273998</v>
      </c>
      <c r="J265" s="9">
        <f t="shared" si="27"/>
        <v>2215.29349899711</v>
      </c>
      <c r="K265" s="9">
        <f t="shared" si="31"/>
        <v>439.78053805273998</v>
      </c>
      <c r="L265" s="10">
        <f t="shared" si="30"/>
        <v>0.1985202133495331</v>
      </c>
      <c r="M265" s="10">
        <f t="shared" si="28"/>
        <v>0.32409442975381897</v>
      </c>
      <c r="P265" s="8">
        <f t="shared" si="29"/>
        <v>0.10786499100424139</v>
      </c>
    </row>
    <row r="266" spans="1:16" x14ac:dyDescent="0.2">
      <c r="A266" s="8">
        <v>132</v>
      </c>
      <c r="B266" s="8">
        <v>264</v>
      </c>
      <c r="D266">
        <v>2354.5287356322001</v>
      </c>
      <c r="E266">
        <v>551.34099616857998</v>
      </c>
      <c r="F266">
        <v>136.69545104086001</v>
      </c>
      <c r="G266">
        <v>115.89514263685</v>
      </c>
      <c r="I266" s="9">
        <f t="shared" si="26"/>
        <v>435.44585353172999</v>
      </c>
      <c r="J266" s="9">
        <f t="shared" si="27"/>
        <v>2217.8332845913401</v>
      </c>
      <c r="K266" s="9">
        <f t="shared" si="31"/>
        <v>435.44585353172999</v>
      </c>
      <c r="L266" s="10">
        <f t="shared" si="30"/>
        <v>0.1963384067490743</v>
      </c>
      <c r="M266" s="10">
        <f t="shared" si="28"/>
        <v>0.32239009165679855</v>
      </c>
      <c r="P266" s="8">
        <f t="shared" si="29"/>
        <v>-0.41857925626389525</v>
      </c>
    </row>
    <row r="267" spans="1:16" x14ac:dyDescent="0.2">
      <c r="A267" s="8">
        <v>132.5</v>
      </c>
      <c r="B267" s="8">
        <v>265</v>
      </c>
      <c r="D267">
        <v>2352.8153256705</v>
      </c>
      <c r="E267">
        <v>551.46130268198999</v>
      </c>
      <c r="F267">
        <v>136.15497301465001</v>
      </c>
      <c r="G267">
        <v>115.62760215883</v>
      </c>
      <c r="I267" s="9">
        <f t="shared" si="26"/>
        <v>435.83370052316002</v>
      </c>
      <c r="J267" s="9">
        <f t="shared" si="27"/>
        <v>2216.6603526558501</v>
      </c>
      <c r="K267" s="9">
        <f t="shared" si="31"/>
        <v>435.83370052316002</v>
      </c>
      <c r="L267" s="10">
        <f t="shared" si="30"/>
        <v>0.19661726705265153</v>
      </c>
      <c r="M267" s="10">
        <f t="shared" si="28"/>
        <v>0.32314642046381414</v>
      </c>
      <c r="P267" s="8">
        <f t="shared" si="29"/>
        <v>-0.18496073292476592</v>
      </c>
    </row>
    <row r="268" spans="1:16" x14ac:dyDescent="0.2">
      <c r="A268" s="8">
        <v>133</v>
      </c>
      <c r="B268" s="8">
        <v>266</v>
      </c>
      <c r="D268">
        <v>2363.3092862624999</v>
      </c>
      <c r="E268">
        <v>552.96469685342004</v>
      </c>
      <c r="F268">
        <v>136.23901310717</v>
      </c>
      <c r="G268">
        <v>115.8134155744</v>
      </c>
      <c r="I268" s="9">
        <f t="shared" si="26"/>
        <v>437.15128127902005</v>
      </c>
      <c r="J268" s="9">
        <f t="shared" si="27"/>
        <v>2227.0702731553297</v>
      </c>
      <c r="K268" s="9">
        <f t="shared" si="31"/>
        <v>437.15128127902005</v>
      </c>
      <c r="L268" s="10">
        <f t="shared" si="30"/>
        <v>0.19628984614825867</v>
      </c>
      <c r="M268" s="10">
        <f t="shared" si="28"/>
        <v>0.32329646806285961</v>
      </c>
      <c r="P268" s="8">
        <f t="shared" si="29"/>
        <v>-0.13861330017537324</v>
      </c>
    </row>
    <row r="269" spans="1:16" x14ac:dyDescent="0.2">
      <c r="A269" s="8">
        <v>133.5</v>
      </c>
      <c r="B269" s="8">
        <v>267</v>
      </c>
      <c r="D269">
        <v>2328.5850077280002</v>
      </c>
      <c r="E269">
        <v>540.91035548686</v>
      </c>
      <c r="F269">
        <v>136.66306861989</v>
      </c>
      <c r="G269">
        <v>115.79645335389</v>
      </c>
      <c r="I269" s="9">
        <f t="shared" si="26"/>
        <v>425.11390213297</v>
      </c>
      <c r="J269" s="9">
        <f t="shared" si="27"/>
        <v>2191.9219391081101</v>
      </c>
      <c r="K269" s="9">
        <f t="shared" si="31"/>
        <v>425.11390213297</v>
      </c>
      <c r="L269" s="10">
        <f t="shared" si="30"/>
        <v>0.1939457307069741</v>
      </c>
      <c r="M269" s="10">
        <f t="shared" si="28"/>
        <v>0.32142982112501339</v>
      </c>
      <c r="P269" s="8">
        <f t="shared" si="29"/>
        <v>-0.71519229223556813</v>
      </c>
    </row>
    <row r="270" spans="1:16" x14ac:dyDescent="0.2">
      <c r="A270" s="8">
        <v>134</v>
      </c>
      <c r="B270" s="8">
        <v>268</v>
      </c>
      <c r="D270">
        <v>2348.8253477589001</v>
      </c>
      <c r="E270">
        <v>543.92735703246001</v>
      </c>
      <c r="F270">
        <v>136.47031611411001</v>
      </c>
      <c r="G270">
        <v>115.59136468774</v>
      </c>
      <c r="I270" s="9">
        <f t="shared" si="26"/>
        <v>428.33599234472001</v>
      </c>
      <c r="J270" s="9">
        <f t="shared" si="27"/>
        <v>2212.35503164479</v>
      </c>
      <c r="K270" s="9">
        <f t="shared" si="31"/>
        <v>428.33599234472001</v>
      </c>
      <c r="L270" s="10">
        <f t="shared" si="30"/>
        <v>0.19361087448350042</v>
      </c>
      <c r="M270" s="10">
        <f t="shared" si="28"/>
        <v>0.32157243340497804</v>
      </c>
      <c r="P270" s="8">
        <f t="shared" si="29"/>
        <v>-0.67114151703525116</v>
      </c>
    </row>
    <row r="271" spans="1:16" x14ac:dyDescent="0.2">
      <c r="A271" s="8">
        <v>134.5</v>
      </c>
      <c r="B271" s="8">
        <v>269</v>
      </c>
      <c r="D271">
        <v>2315.4747320061001</v>
      </c>
      <c r="E271">
        <v>530.26493108729005</v>
      </c>
      <c r="F271">
        <v>136.89514263685001</v>
      </c>
      <c r="G271">
        <v>116.08789514263999</v>
      </c>
      <c r="I271" s="9">
        <f t="shared" si="26"/>
        <v>414.17703594465007</v>
      </c>
      <c r="J271" s="9">
        <f t="shared" si="27"/>
        <v>2178.5795893692502</v>
      </c>
      <c r="K271" s="9">
        <f t="shared" si="31"/>
        <v>414.17703594465007</v>
      </c>
      <c r="L271" s="10">
        <f t="shared" si="30"/>
        <v>0.19011333713291789</v>
      </c>
      <c r="M271" s="10">
        <f t="shared" si="28"/>
        <v>0.31855236455783387</v>
      </c>
      <c r="P271" s="8">
        <f t="shared" si="29"/>
        <v>-1.6039950827170117</v>
      </c>
    </row>
    <row r="272" spans="1:16" x14ac:dyDescent="0.2">
      <c r="A272" s="8">
        <v>135</v>
      </c>
      <c r="B272" s="8">
        <v>270</v>
      </c>
      <c r="D272">
        <v>2236.4517611025999</v>
      </c>
      <c r="E272">
        <v>510.14395099541002</v>
      </c>
      <c r="F272">
        <v>136.56206630686</v>
      </c>
      <c r="G272">
        <v>116.06861989206</v>
      </c>
      <c r="I272" s="9">
        <f t="shared" si="26"/>
        <v>394.07533110335004</v>
      </c>
      <c r="J272" s="9">
        <f t="shared" si="27"/>
        <v>2099.8896947957401</v>
      </c>
      <c r="K272" s="9">
        <f t="shared" si="31"/>
        <v>394.07533110335004</v>
      </c>
      <c r="L272" s="10">
        <f t="shared" si="30"/>
        <v>0.18766477690709485</v>
      </c>
      <c r="M272" s="10">
        <f t="shared" si="28"/>
        <v>0.31658127283544918</v>
      </c>
      <c r="P272" s="8">
        <f t="shared" si="29"/>
        <v>-2.2128354882101187</v>
      </c>
    </row>
    <row r="273" spans="1:16" x14ac:dyDescent="0.2">
      <c r="A273" s="8">
        <v>135.5</v>
      </c>
      <c r="B273" s="8">
        <v>271</v>
      </c>
      <c r="D273">
        <v>2237.4419677170999</v>
      </c>
      <c r="E273">
        <v>502.83243658724001</v>
      </c>
      <c r="F273">
        <v>136.97686969930999</v>
      </c>
      <c r="G273">
        <v>115.84271395528</v>
      </c>
      <c r="I273" s="9">
        <f t="shared" si="26"/>
        <v>386.98972263196003</v>
      </c>
      <c r="J273" s="9">
        <f t="shared" si="27"/>
        <v>2100.4650980177898</v>
      </c>
      <c r="K273" s="9">
        <f t="shared" si="31"/>
        <v>386.98972263196003</v>
      </c>
      <c r="L273" s="10">
        <f t="shared" si="30"/>
        <v>0.1842400156980292</v>
      </c>
      <c r="M273" s="10">
        <f t="shared" si="28"/>
        <v>0.31363398012982185</v>
      </c>
      <c r="P273" s="8">
        <f t="shared" si="29"/>
        <v>-3.1232096050625087</v>
      </c>
    </row>
    <row r="274" spans="1:16" x14ac:dyDescent="0.2">
      <c r="A274" s="8">
        <v>136</v>
      </c>
      <c r="B274" s="8">
        <v>272</v>
      </c>
      <c r="D274">
        <v>2189.1852421213998</v>
      </c>
      <c r="E274">
        <v>489.82321291314003</v>
      </c>
      <c r="F274">
        <v>136.87972243639001</v>
      </c>
      <c r="G274">
        <v>115.85042405551</v>
      </c>
      <c r="I274" s="9">
        <f t="shared" si="26"/>
        <v>373.97278885763001</v>
      </c>
      <c r="J274" s="9">
        <f t="shared" si="27"/>
        <v>2052.30551968501</v>
      </c>
      <c r="K274" s="9">
        <f t="shared" si="31"/>
        <v>373.97278885763001</v>
      </c>
      <c r="L274" s="10">
        <f t="shared" si="30"/>
        <v>0.18222081715934171</v>
      </c>
      <c r="M274" s="10">
        <f t="shared" si="28"/>
        <v>0.31209225009457275</v>
      </c>
      <c r="P274" s="8">
        <f t="shared" si="29"/>
        <v>-3.5994266827164769</v>
      </c>
    </row>
    <row r="275" spans="1:16" x14ac:dyDescent="0.2">
      <c r="A275" s="8">
        <v>136.5</v>
      </c>
      <c r="B275" s="8">
        <v>273</v>
      </c>
      <c r="D275">
        <v>2139.7097767514001</v>
      </c>
      <c r="E275">
        <v>482.93687451886001</v>
      </c>
      <c r="F275">
        <v>136.36622976099</v>
      </c>
      <c r="G275">
        <v>115.71858134156</v>
      </c>
      <c r="I275" s="9">
        <f>E275-G275</f>
        <v>367.21829317729998</v>
      </c>
      <c r="J275" s="9">
        <f>D275-F275</f>
        <v>2003.3435469904102</v>
      </c>
      <c r="K275" s="9">
        <f t="shared" si="31"/>
        <v>367.21829317729998</v>
      </c>
      <c r="L275" s="10">
        <f t="shared" si="30"/>
        <v>0.18330270598318793</v>
      </c>
      <c r="M275" s="10">
        <f>L275+ABS($N$2)*A275</f>
        <v>0.31365160742185727</v>
      </c>
      <c r="O275" s="11"/>
      <c r="P275" s="8">
        <f>(M275-$O$2)/$O$2*100</f>
        <v>-3.117764801297819</v>
      </c>
    </row>
    <row r="276" spans="1:16" x14ac:dyDescent="0.2">
      <c r="A276" s="8">
        <v>137</v>
      </c>
      <c r="B276" s="8">
        <v>274</v>
      </c>
      <c r="D276">
        <v>2095.2963818322</v>
      </c>
      <c r="E276">
        <v>466.75288683602997</v>
      </c>
      <c r="F276">
        <v>136.81572860447</v>
      </c>
      <c r="G276">
        <v>115.50424055513</v>
      </c>
      <c r="I276" s="9">
        <f t="shared" ref="I276:I291" si="32">E276-G276</f>
        <v>351.24864628089995</v>
      </c>
      <c r="J276" s="9">
        <f t="shared" ref="J276:J291" si="33">D276-F276</f>
        <v>1958.48065322773</v>
      </c>
      <c r="K276" s="9">
        <f t="shared" si="31"/>
        <v>351.24864628089995</v>
      </c>
      <c r="L276" s="10">
        <f t="shared" si="30"/>
        <v>0.17934751905872268</v>
      </c>
      <c r="M276" s="10">
        <f t="shared" ref="M276:M291" si="34">L276+ABS($N$2)*A276</f>
        <v>0.31017388900083043</v>
      </c>
      <c r="P276" s="8">
        <f t="shared" ref="P276:P291" si="35">(M276-$O$2)/$O$2*100</f>
        <v>-4.1919793949683575</v>
      </c>
    </row>
    <row r="277" spans="1:16" x14ac:dyDescent="0.2">
      <c r="A277" s="8">
        <v>137.5</v>
      </c>
      <c r="B277" s="8">
        <v>275</v>
      </c>
      <c r="D277">
        <v>2183.168591224</v>
      </c>
      <c r="E277">
        <v>482.56966897614001</v>
      </c>
      <c r="F277">
        <v>136.69699306090999</v>
      </c>
      <c r="G277">
        <v>116.05165767155</v>
      </c>
      <c r="I277" s="9">
        <f t="shared" si="32"/>
        <v>366.51801130459</v>
      </c>
      <c r="J277" s="9">
        <f t="shared" si="33"/>
        <v>2046.47159816309</v>
      </c>
      <c r="K277" s="9">
        <f t="shared" si="31"/>
        <v>366.51801130459</v>
      </c>
      <c r="L277" s="10">
        <f t="shared" si="30"/>
        <v>0.17909753139675921</v>
      </c>
      <c r="M277" s="10">
        <f t="shared" si="34"/>
        <v>0.31040136984230526</v>
      </c>
      <c r="N277" s="1"/>
      <c r="P277" s="8">
        <f t="shared" si="35"/>
        <v>-4.1217140053913113</v>
      </c>
    </row>
    <row r="278" spans="1:16" x14ac:dyDescent="0.2">
      <c r="A278" s="8">
        <v>138</v>
      </c>
      <c r="B278" s="8">
        <v>276</v>
      </c>
      <c r="D278">
        <v>2158.4188562597001</v>
      </c>
      <c r="E278">
        <v>488.54868624419998</v>
      </c>
      <c r="F278">
        <v>136.18350038551</v>
      </c>
      <c r="G278">
        <v>115.41017733231</v>
      </c>
      <c r="I278" s="9">
        <f t="shared" si="32"/>
        <v>373.13850891188997</v>
      </c>
      <c r="J278" s="9">
        <f t="shared" si="33"/>
        <v>2022.2353558741902</v>
      </c>
      <c r="K278" s="9">
        <f t="shared" si="31"/>
        <v>373.13850891188997</v>
      </c>
      <c r="L278" s="10">
        <f t="shared" si="30"/>
        <v>0.18451784448728831</v>
      </c>
      <c r="M278" s="10">
        <f t="shared" si="34"/>
        <v>0.31629915143627274</v>
      </c>
      <c r="P278" s="8">
        <f t="shared" si="35"/>
        <v>-2.2999785192127837</v>
      </c>
    </row>
    <row r="279" spans="1:16" x14ac:dyDescent="0.2">
      <c r="A279" s="8">
        <v>138.5</v>
      </c>
      <c r="B279" s="8">
        <v>277</v>
      </c>
      <c r="D279">
        <v>2187.0084942085</v>
      </c>
      <c r="E279">
        <v>494.44169884169997</v>
      </c>
      <c r="F279">
        <v>136.34309946029001</v>
      </c>
      <c r="G279">
        <v>115.43253662298</v>
      </c>
      <c r="I279" s="9">
        <f t="shared" si="32"/>
        <v>379.00916221872001</v>
      </c>
      <c r="J279" s="9">
        <f t="shared" si="33"/>
        <v>2050.66539474821</v>
      </c>
      <c r="K279" s="9">
        <f t="shared" si="31"/>
        <v>379.00916221872001</v>
      </c>
      <c r="L279" s="10">
        <f t="shared" si="30"/>
        <v>0.18482252794111079</v>
      </c>
      <c r="M279" s="10">
        <f t="shared" si="34"/>
        <v>0.31708130339353358</v>
      </c>
      <c r="P279" s="8">
        <f t="shared" si="35"/>
        <v>-2.0583836155317994</v>
      </c>
    </row>
    <row r="280" spans="1:16" x14ac:dyDescent="0.2">
      <c r="A280" s="8">
        <v>139</v>
      </c>
      <c r="B280" s="8">
        <v>278</v>
      </c>
      <c r="D280">
        <v>2235.5976833977002</v>
      </c>
      <c r="E280">
        <v>505.81776061775997</v>
      </c>
      <c r="F280">
        <v>136.51734772552001</v>
      </c>
      <c r="G280">
        <v>115.66306861989</v>
      </c>
      <c r="I280" s="9">
        <f t="shared" si="32"/>
        <v>390.15469199786997</v>
      </c>
      <c r="J280" s="9">
        <f t="shared" si="33"/>
        <v>2099.0803356721804</v>
      </c>
      <c r="K280" s="9">
        <f t="shared" si="31"/>
        <v>390.15469199786997</v>
      </c>
      <c r="L280" s="10">
        <f t="shared" si="30"/>
        <v>0.18586934733630966</v>
      </c>
      <c r="M280" s="10">
        <f t="shared" si="34"/>
        <v>0.31860559129217081</v>
      </c>
      <c r="P280" s="8">
        <f t="shared" si="35"/>
        <v>-1.5875541499340506</v>
      </c>
    </row>
    <row r="281" spans="1:16" x14ac:dyDescent="0.2">
      <c r="A281" s="8">
        <v>139.5</v>
      </c>
      <c r="B281" s="8">
        <v>279</v>
      </c>
      <c r="D281">
        <v>2301.9025326169999</v>
      </c>
      <c r="E281">
        <v>509.57099002301999</v>
      </c>
      <c r="F281">
        <v>136.72783346183999</v>
      </c>
      <c r="G281">
        <v>115.30454895914001</v>
      </c>
      <c r="I281" s="9">
        <f t="shared" si="32"/>
        <v>394.26644106387999</v>
      </c>
      <c r="J281" s="9">
        <f t="shared" si="33"/>
        <v>2165.1746991551599</v>
      </c>
      <c r="K281" s="9">
        <f t="shared" si="31"/>
        <v>394.26644106387999</v>
      </c>
      <c r="L281" s="10">
        <f t="shared" si="30"/>
        <v>0.18209451700027751</v>
      </c>
      <c r="M281" s="10">
        <f t="shared" si="34"/>
        <v>0.31530822945957698</v>
      </c>
      <c r="P281" s="8">
        <f t="shared" si="35"/>
        <v>-2.6060593226842572</v>
      </c>
    </row>
    <row r="282" spans="1:16" x14ac:dyDescent="0.2">
      <c r="A282" s="8">
        <v>140</v>
      </c>
      <c r="B282" s="8">
        <v>280</v>
      </c>
      <c r="D282">
        <v>2308.5548733691999</v>
      </c>
      <c r="E282">
        <v>513.47352264005997</v>
      </c>
      <c r="F282">
        <v>136.63916730918001</v>
      </c>
      <c r="G282">
        <v>115.80724749421999</v>
      </c>
      <c r="I282" s="9">
        <f t="shared" si="32"/>
        <v>397.66627514583996</v>
      </c>
      <c r="J282" s="9">
        <f t="shared" si="33"/>
        <v>2171.9157060600201</v>
      </c>
      <c r="K282" s="9">
        <f t="shared" si="31"/>
        <v>397.66627514583996</v>
      </c>
      <c r="L282" s="10">
        <f t="shared" si="30"/>
        <v>0.18309470944764678</v>
      </c>
      <c r="M282" s="10">
        <f t="shared" si="34"/>
        <v>0.31678589041038457</v>
      </c>
      <c r="P282" s="8">
        <f t="shared" si="35"/>
        <v>-2.149632215688654</v>
      </c>
    </row>
    <row r="283" spans="1:16" x14ac:dyDescent="0.2">
      <c r="A283" s="8">
        <v>140.5</v>
      </c>
      <c r="B283" s="8">
        <v>281</v>
      </c>
      <c r="D283">
        <v>2310.7184615384999</v>
      </c>
      <c r="E283">
        <v>508.71076923076998</v>
      </c>
      <c r="F283">
        <v>136.15188897455999</v>
      </c>
      <c r="G283">
        <v>115.70084811103</v>
      </c>
      <c r="I283" s="9">
        <f t="shared" si="32"/>
        <v>393.00992111974</v>
      </c>
      <c r="J283" s="9">
        <f t="shared" si="33"/>
        <v>2174.5665725639401</v>
      </c>
      <c r="K283" s="9">
        <f t="shared" si="31"/>
        <v>393.00992111974</v>
      </c>
      <c r="L283" s="10">
        <f t="shared" si="30"/>
        <v>0.18073023198197999</v>
      </c>
      <c r="M283" s="10">
        <f t="shared" si="34"/>
        <v>0.31489888144815614</v>
      </c>
      <c r="P283" s="8">
        <f t="shared" si="35"/>
        <v>-2.7325007289521186</v>
      </c>
    </row>
    <row r="284" spans="1:16" x14ac:dyDescent="0.2">
      <c r="A284" s="8">
        <v>141</v>
      </c>
      <c r="B284" s="8">
        <v>282</v>
      </c>
      <c r="D284">
        <v>2341.7815384615001</v>
      </c>
      <c r="E284">
        <v>514.74923076923005</v>
      </c>
      <c r="F284">
        <v>136.31611410948</v>
      </c>
      <c r="G284">
        <v>115.97532767926</v>
      </c>
      <c r="I284" s="9">
        <f t="shared" si="32"/>
        <v>398.77390308997008</v>
      </c>
      <c r="J284" s="9">
        <f t="shared" si="33"/>
        <v>2205.4654243520199</v>
      </c>
      <c r="K284" s="9">
        <f t="shared" si="31"/>
        <v>398.77390308997008</v>
      </c>
      <c r="L284" s="10">
        <f t="shared" si="30"/>
        <v>0.180811677520237</v>
      </c>
      <c r="M284" s="10">
        <f t="shared" si="34"/>
        <v>0.31545779548985153</v>
      </c>
      <c r="P284" s="8">
        <f t="shared" si="35"/>
        <v>-2.5598606392408594</v>
      </c>
    </row>
    <row r="285" spans="1:16" x14ac:dyDescent="0.2">
      <c r="A285" s="8">
        <v>141.5</v>
      </c>
      <c r="B285" s="8">
        <v>283</v>
      </c>
      <c r="D285">
        <v>2351.3153846154</v>
      </c>
      <c r="E285">
        <v>514.42461538461998</v>
      </c>
      <c r="F285">
        <v>136.64379336931</v>
      </c>
      <c r="G285">
        <v>115.65458750964</v>
      </c>
      <c r="I285" s="9">
        <f t="shared" si="32"/>
        <v>398.77002787497997</v>
      </c>
      <c r="J285" s="9">
        <f t="shared" si="33"/>
        <v>2214.67159124609</v>
      </c>
      <c r="K285" s="9">
        <f t="shared" si="31"/>
        <v>398.77002787497997</v>
      </c>
      <c r="L285" s="10">
        <f t="shared" si="30"/>
        <v>0.18005831178364964</v>
      </c>
      <c r="M285" s="10">
        <f t="shared" si="34"/>
        <v>0.31518189825670251</v>
      </c>
      <c r="P285" s="8">
        <f t="shared" si="35"/>
        <v>-2.6450811195448685</v>
      </c>
    </row>
    <row r="286" spans="1:16" x14ac:dyDescent="0.2">
      <c r="A286" s="8">
        <v>142</v>
      </c>
      <c r="B286" s="8">
        <v>284</v>
      </c>
      <c r="D286">
        <v>2344.9507692307998</v>
      </c>
      <c r="E286">
        <v>514.09230769230999</v>
      </c>
      <c r="F286">
        <v>136.65073245951999</v>
      </c>
      <c r="G286">
        <v>115.71472629144</v>
      </c>
      <c r="I286" s="9">
        <f t="shared" si="32"/>
        <v>398.37758140086999</v>
      </c>
      <c r="J286" s="9">
        <f t="shared" si="33"/>
        <v>2208.3000367712798</v>
      </c>
      <c r="K286" s="9">
        <f t="shared" si="31"/>
        <v>398.37758140086999</v>
      </c>
      <c r="L286" s="10">
        <f t="shared" si="30"/>
        <v>0.1804001153680781</v>
      </c>
      <c r="M286" s="10">
        <f t="shared" si="34"/>
        <v>0.31600117034456932</v>
      </c>
      <c r="P286" s="8">
        <f t="shared" si="35"/>
        <v>-2.3920203692401896</v>
      </c>
    </row>
    <row r="287" spans="1:16" x14ac:dyDescent="0.2">
      <c r="A287" s="8">
        <v>142.5</v>
      </c>
      <c r="B287" s="8">
        <v>285</v>
      </c>
      <c r="D287">
        <v>2358.6576506954998</v>
      </c>
      <c r="E287">
        <v>512.95208655331999</v>
      </c>
      <c r="F287">
        <v>137.03084040093</v>
      </c>
      <c r="G287">
        <v>115.47340015419999</v>
      </c>
      <c r="I287" s="9">
        <f t="shared" si="32"/>
        <v>397.47868639911997</v>
      </c>
      <c r="J287" s="9">
        <f t="shared" si="33"/>
        <v>2221.6268102945696</v>
      </c>
      <c r="K287" s="9">
        <f t="shared" si="31"/>
        <v>397.47868639911997</v>
      </c>
      <c r="L287" s="10">
        <f t="shared" si="30"/>
        <v>0.17891334609272991</v>
      </c>
      <c r="M287" s="10">
        <f t="shared" si="34"/>
        <v>0.31499186957265946</v>
      </c>
      <c r="P287" s="8">
        <f t="shared" si="35"/>
        <v>-2.703778104436124</v>
      </c>
    </row>
    <row r="288" spans="1:16" x14ac:dyDescent="0.2">
      <c r="A288" s="8">
        <v>143</v>
      </c>
      <c r="B288" s="8">
        <v>286</v>
      </c>
      <c r="D288">
        <v>2354.8222565688002</v>
      </c>
      <c r="E288">
        <v>511.38717156105002</v>
      </c>
      <c r="F288">
        <v>135.96838858904999</v>
      </c>
      <c r="G288">
        <v>115.94911333847</v>
      </c>
      <c r="I288" s="9">
        <f t="shared" si="32"/>
        <v>395.43805822258003</v>
      </c>
      <c r="J288" s="9">
        <f t="shared" si="33"/>
        <v>2218.8538679797502</v>
      </c>
      <c r="K288" s="9">
        <f t="shared" si="31"/>
        <v>395.43805822258003</v>
      </c>
      <c r="L288" s="10">
        <f t="shared" si="30"/>
        <v>0.178217260689918</v>
      </c>
      <c r="M288" s="10">
        <f t="shared" si="34"/>
        <v>0.31477325267328593</v>
      </c>
      <c r="P288" s="8">
        <f t="shared" si="35"/>
        <v>-2.7713055564317068</v>
      </c>
    </row>
    <row r="289" spans="1:16" x14ac:dyDescent="0.2">
      <c r="A289" s="8">
        <v>143.5</v>
      </c>
      <c r="B289" s="8">
        <v>287</v>
      </c>
      <c r="D289">
        <v>2361.2183908045999</v>
      </c>
      <c r="E289">
        <v>513.52873563217997</v>
      </c>
      <c r="F289">
        <v>136.39167309174999</v>
      </c>
      <c r="G289">
        <v>116.06630686199</v>
      </c>
      <c r="I289" s="9">
        <f t="shared" si="32"/>
        <v>397.46242877018994</v>
      </c>
      <c r="J289" s="9">
        <f t="shared" si="33"/>
        <v>2224.82671771285</v>
      </c>
      <c r="K289" s="9">
        <f t="shared" si="31"/>
        <v>397.46242877018994</v>
      </c>
      <c r="L289" s="10">
        <f t="shared" si="30"/>
        <v>0.17864871255177409</v>
      </c>
      <c r="M289" s="10">
        <f t="shared" si="34"/>
        <v>0.31568217303858037</v>
      </c>
      <c r="P289" s="8">
        <f t="shared" si="35"/>
        <v>-2.4905538098324644</v>
      </c>
    </row>
    <row r="290" spans="1:16" x14ac:dyDescent="0.2">
      <c r="A290" s="8">
        <v>144</v>
      </c>
      <c r="B290" s="8">
        <v>288</v>
      </c>
      <c r="D290">
        <v>2385.9166029073999</v>
      </c>
      <c r="E290">
        <v>518.26931905126003</v>
      </c>
      <c r="F290">
        <v>136.53508095605</v>
      </c>
      <c r="G290">
        <v>115.68311488049</v>
      </c>
      <c r="I290" s="9">
        <f t="shared" si="32"/>
        <v>402.58620417077003</v>
      </c>
      <c r="J290" s="9">
        <f t="shared" si="33"/>
        <v>2249.3815219513499</v>
      </c>
      <c r="K290" s="9">
        <f t="shared" si="31"/>
        <v>402.58620417077003</v>
      </c>
      <c r="L290" s="10">
        <f t="shared" si="30"/>
        <v>0.17897639873093849</v>
      </c>
      <c r="M290" s="10">
        <f t="shared" si="34"/>
        <v>0.3164873277211831</v>
      </c>
      <c r="P290" s="8">
        <f t="shared" si="35"/>
        <v>-2.2418537123821816</v>
      </c>
    </row>
    <row r="291" spans="1:16" x14ac:dyDescent="0.2">
      <c r="A291" s="8">
        <v>144.5</v>
      </c>
      <c r="B291" s="8">
        <v>289</v>
      </c>
      <c r="D291">
        <v>2408.6732976282001</v>
      </c>
      <c r="E291">
        <v>523.93649579189002</v>
      </c>
      <c r="F291">
        <v>136.63068619891999</v>
      </c>
      <c r="G291">
        <v>115.58288357748999</v>
      </c>
      <c r="I291" s="9">
        <f t="shared" si="32"/>
        <v>408.35361221440002</v>
      </c>
      <c r="J291" s="9">
        <f t="shared" si="33"/>
        <v>2272.04261142928</v>
      </c>
      <c r="K291" s="9">
        <f t="shared" si="31"/>
        <v>408.35361221440002</v>
      </c>
      <c r="L291" s="10">
        <f t="shared" si="30"/>
        <v>0.17972973313098028</v>
      </c>
      <c r="M291" s="10">
        <f t="shared" si="34"/>
        <v>0.31771813062466325</v>
      </c>
      <c r="P291" s="8">
        <f t="shared" si="35"/>
        <v>-1.8616773206258665</v>
      </c>
    </row>
    <row r="292" spans="1:16" x14ac:dyDescent="0.2">
      <c r="A292" s="8">
        <v>145</v>
      </c>
      <c r="B292" s="8">
        <v>290</v>
      </c>
      <c r="D292">
        <v>2459.0833333332998</v>
      </c>
      <c r="E292">
        <v>535.87654320987997</v>
      </c>
      <c r="F292">
        <v>136.50578257517</v>
      </c>
      <c r="G292">
        <v>115.72243639167</v>
      </c>
      <c r="I292" s="9">
        <f>E292-G292</f>
        <v>420.15410681820998</v>
      </c>
      <c r="J292" s="9">
        <f>D292-F292</f>
        <v>2322.5775507581297</v>
      </c>
      <c r="K292" s="9">
        <f t="shared" si="31"/>
        <v>420.15410681820998</v>
      </c>
      <c r="L292" s="10">
        <f t="shared" si="30"/>
        <v>0.18089992589529008</v>
      </c>
      <c r="M292" s="10">
        <f>L292+ABS($N$2)*A292</f>
        <v>0.31936579189241138</v>
      </c>
      <c r="O292" s="11"/>
      <c r="P292" s="8">
        <f>(M292-$O$2)/$O$2*100</f>
        <v>-1.3527396882576497</v>
      </c>
    </row>
    <row r="293" spans="1:16" x14ac:dyDescent="0.2">
      <c r="A293" s="8">
        <v>145.5</v>
      </c>
      <c r="B293" s="8">
        <v>291</v>
      </c>
      <c r="D293">
        <v>2438.3705118410999</v>
      </c>
      <c r="E293">
        <v>532.56990068754999</v>
      </c>
      <c r="F293">
        <v>136.39013107170001</v>
      </c>
      <c r="G293">
        <v>115.45643793369</v>
      </c>
      <c r="I293" s="9">
        <f t="shared" ref="I293:I301" si="36">E293-G293</f>
        <v>417.11346275386001</v>
      </c>
      <c r="J293" s="9">
        <f t="shared" ref="J293:J301" si="37">D293-F293</f>
        <v>2301.9803807693997</v>
      </c>
      <c r="K293" s="9">
        <f t="shared" si="31"/>
        <v>417.11346275386001</v>
      </c>
      <c r="L293" s="10">
        <f t="shared" si="30"/>
        <v>0.18119766190815517</v>
      </c>
      <c r="M293" s="10">
        <f t="shared" ref="M293:M301" si="38">L293+ABS($N$2)*A293</f>
        <v>0.32014099640871485</v>
      </c>
      <c r="P293" s="8">
        <f t="shared" ref="P293:P301" si="39">(M293-$O$2)/$O$2*100</f>
        <v>-1.1132907439562227</v>
      </c>
    </row>
    <row r="294" spans="1:16" x14ac:dyDescent="0.2">
      <c r="A294" s="8">
        <v>146</v>
      </c>
      <c r="B294" s="8">
        <v>292</v>
      </c>
      <c r="D294">
        <v>2393.6822001527999</v>
      </c>
      <c r="E294">
        <v>520.73109243698002</v>
      </c>
      <c r="F294">
        <v>136.27679259830001</v>
      </c>
      <c r="G294">
        <v>115.33230531997</v>
      </c>
      <c r="I294" s="9">
        <f t="shared" si="36"/>
        <v>405.39878711700999</v>
      </c>
      <c r="J294" s="9">
        <f t="shared" si="37"/>
        <v>2257.4054075545</v>
      </c>
      <c r="K294" s="9">
        <f t="shared" si="31"/>
        <v>405.39878711700999</v>
      </c>
      <c r="L294" s="10">
        <f t="shared" si="30"/>
        <v>0.17958616815585107</v>
      </c>
      <c r="M294" s="10">
        <f t="shared" si="38"/>
        <v>0.31900697115984911</v>
      </c>
      <c r="N294" s="1"/>
      <c r="P294" s="8">
        <f t="shared" si="39"/>
        <v>-1.4635739826903009</v>
      </c>
    </row>
    <row r="295" spans="1:16" x14ac:dyDescent="0.2">
      <c r="A295" s="8">
        <v>146.5</v>
      </c>
      <c r="B295" s="8">
        <v>293</v>
      </c>
      <c r="D295">
        <v>2356.2519260401</v>
      </c>
      <c r="E295">
        <v>520.06933744221999</v>
      </c>
      <c r="F295">
        <v>136.32228218967001</v>
      </c>
      <c r="G295">
        <v>115.6098689283</v>
      </c>
      <c r="I295" s="9">
        <f t="shared" si="36"/>
        <v>404.45946851392</v>
      </c>
      <c r="J295" s="9">
        <f t="shared" si="37"/>
        <v>2219.9296438504298</v>
      </c>
      <c r="K295" s="9">
        <f t="shared" si="31"/>
        <v>404.45946851392</v>
      </c>
      <c r="L295" s="10">
        <f t="shared" si="30"/>
        <v>0.182194723888813</v>
      </c>
      <c r="M295" s="10">
        <f t="shared" si="38"/>
        <v>0.32209299539624936</v>
      </c>
      <c r="P295" s="8">
        <f t="shared" si="39"/>
        <v>-0.51034779533746777</v>
      </c>
    </row>
    <row r="296" spans="1:16" x14ac:dyDescent="0.2">
      <c r="A296" s="8">
        <v>147</v>
      </c>
      <c r="B296" s="8">
        <v>294</v>
      </c>
      <c r="D296">
        <v>2359.8790446840999</v>
      </c>
      <c r="E296">
        <v>519.42064714946002</v>
      </c>
      <c r="F296">
        <v>136.29067077872</v>
      </c>
      <c r="G296">
        <v>115.46646106399</v>
      </c>
      <c r="I296" s="9">
        <f t="shared" si="36"/>
        <v>403.95418608547004</v>
      </c>
      <c r="J296" s="9">
        <f t="shared" si="37"/>
        <v>2223.5883739053797</v>
      </c>
      <c r="K296" s="9">
        <f t="shared" si="31"/>
        <v>403.95418608547004</v>
      </c>
      <c r="L296" s="10">
        <f t="shared" si="30"/>
        <v>0.18166770020297807</v>
      </c>
      <c r="M296" s="10">
        <f t="shared" si="38"/>
        <v>0.32204344021385278</v>
      </c>
      <c r="P296" s="8">
        <f t="shared" si="39"/>
        <v>-0.52565464128582096</v>
      </c>
    </row>
    <row r="297" spans="1:16" x14ac:dyDescent="0.2">
      <c r="A297" s="8">
        <v>147.5</v>
      </c>
      <c r="B297" s="8">
        <v>295</v>
      </c>
      <c r="D297">
        <v>2360.3325581395002</v>
      </c>
      <c r="E297">
        <v>514.5511627907</v>
      </c>
      <c r="F297">
        <v>136.11488049344999</v>
      </c>
      <c r="G297">
        <v>115.69545104085999</v>
      </c>
      <c r="I297" s="9">
        <f t="shared" si="36"/>
        <v>398.85571174984</v>
      </c>
      <c r="J297" s="9">
        <f t="shared" si="37"/>
        <v>2224.2176776460501</v>
      </c>
      <c r="K297" s="9">
        <f t="shared" si="31"/>
        <v>398.85571174984</v>
      </c>
      <c r="L297" s="10">
        <f t="shared" si="30"/>
        <v>0.17932404537489327</v>
      </c>
      <c r="M297" s="10">
        <f t="shared" si="38"/>
        <v>0.32017725388920631</v>
      </c>
      <c r="P297" s="8">
        <f t="shared" si="39"/>
        <v>-1.1020913568988442</v>
      </c>
    </row>
    <row r="298" spans="1:16" x14ac:dyDescent="0.2">
      <c r="A298" s="8">
        <v>148</v>
      </c>
      <c r="B298" s="8">
        <v>296</v>
      </c>
      <c r="D298">
        <v>2355.0875576037001</v>
      </c>
      <c r="E298">
        <v>505.52688172043003</v>
      </c>
      <c r="F298">
        <v>136.10100231302999</v>
      </c>
      <c r="G298">
        <v>116.08866615266</v>
      </c>
      <c r="I298" s="9">
        <f t="shared" si="36"/>
        <v>389.43821556777004</v>
      </c>
      <c r="J298" s="9">
        <f t="shared" si="37"/>
        <v>2218.9865552906704</v>
      </c>
      <c r="K298" s="9">
        <f t="shared" si="31"/>
        <v>389.43821556777004</v>
      </c>
      <c r="L298" s="10">
        <f t="shared" si="30"/>
        <v>0.17550273778777203</v>
      </c>
      <c r="M298" s="10">
        <f t="shared" si="38"/>
        <v>0.31683341480552341</v>
      </c>
      <c r="P298" s="8">
        <f t="shared" si="39"/>
        <v>-2.1349526491933242</v>
      </c>
    </row>
    <row r="299" spans="1:16" x14ac:dyDescent="0.2">
      <c r="A299" s="8">
        <v>148.5</v>
      </c>
      <c r="B299" s="8">
        <v>297</v>
      </c>
      <c r="D299">
        <v>2351.9116743472</v>
      </c>
      <c r="E299">
        <v>504.10983102918999</v>
      </c>
      <c r="F299">
        <v>136.49730146492001</v>
      </c>
      <c r="G299">
        <v>115.67309175019</v>
      </c>
      <c r="I299" s="9">
        <f t="shared" si="36"/>
        <v>388.43673927899999</v>
      </c>
      <c r="J299" s="9">
        <f t="shared" si="37"/>
        <v>2215.4143728822801</v>
      </c>
      <c r="K299" s="9">
        <f t="shared" si="31"/>
        <v>388.43673927899999</v>
      </c>
      <c r="L299" s="10">
        <f t="shared" si="30"/>
        <v>0.17533367302914046</v>
      </c>
      <c r="M299" s="10">
        <f t="shared" si="38"/>
        <v>0.31714181855033019</v>
      </c>
      <c r="P299" s="8">
        <f t="shared" si="39"/>
        <v>-2.0396913993431207</v>
      </c>
    </row>
    <row r="300" spans="1:16" x14ac:dyDescent="0.2">
      <c r="A300" s="8">
        <v>149</v>
      </c>
      <c r="B300" s="8">
        <v>298</v>
      </c>
      <c r="D300">
        <v>2355.9662058372001</v>
      </c>
      <c r="E300">
        <v>505.35714285713999</v>
      </c>
      <c r="F300">
        <v>136.1734772552</v>
      </c>
      <c r="G300">
        <v>115.60138781804</v>
      </c>
      <c r="I300" s="9">
        <f t="shared" si="36"/>
        <v>389.75575503909999</v>
      </c>
      <c r="J300" s="9">
        <f t="shared" si="37"/>
        <v>2219.7927285820001</v>
      </c>
      <c r="K300" s="9">
        <f t="shared" si="31"/>
        <v>389.75575503909999</v>
      </c>
      <c r="L300" s="10">
        <f t="shared" si="30"/>
        <v>0.17558204872942137</v>
      </c>
      <c r="M300" s="10">
        <f t="shared" si="38"/>
        <v>0.31786766275404948</v>
      </c>
      <c r="P300" s="8">
        <f t="shared" si="39"/>
        <v>-1.8154891086538654</v>
      </c>
    </row>
    <row r="301" spans="1:16" x14ac:dyDescent="0.2">
      <c r="A301" s="8">
        <v>149.5</v>
      </c>
      <c r="B301" s="8">
        <v>299</v>
      </c>
      <c r="D301">
        <v>2351.2459646426</v>
      </c>
      <c r="E301">
        <v>505.2574942352</v>
      </c>
      <c r="F301">
        <v>136.41865844256</v>
      </c>
      <c r="G301">
        <v>115.71087124133</v>
      </c>
      <c r="I301" s="9">
        <f t="shared" si="36"/>
        <v>389.54662299387002</v>
      </c>
      <c r="J301" s="9">
        <f t="shared" si="37"/>
        <v>2214.8273062000399</v>
      </c>
      <c r="K301" s="9">
        <f t="shared" si="31"/>
        <v>389.54662299387002</v>
      </c>
      <c r="L301" s="10">
        <f t="shared" si="30"/>
        <v>0.17588126257221012</v>
      </c>
      <c r="M301" s="10">
        <f t="shared" si="38"/>
        <v>0.31864434510027656</v>
      </c>
      <c r="P301" s="8">
        <f t="shared" si="39"/>
        <v>-1.575583685052304</v>
      </c>
    </row>
    <row r="302" spans="1:16" x14ac:dyDescent="0.2">
      <c r="A302" s="8">
        <v>150</v>
      </c>
      <c r="B302" s="8">
        <v>300</v>
      </c>
      <c r="D302">
        <v>2368.9353846153999</v>
      </c>
      <c r="E302">
        <v>510.58153846153999</v>
      </c>
      <c r="F302">
        <v>136.22127987664001</v>
      </c>
      <c r="G302">
        <v>115.54279105628</v>
      </c>
      <c r="I302" s="9">
        <f>E302-G302</f>
        <v>395.03874740525998</v>
      </c>
      <c r="J302" s="9">
        <f>D302-F302</f>
        <v>2232.7141047387599</v>
      </c>
      <c r="K302" s="9">
        <f t="shared" si="31"/>
        <v>395.03874740525998</v>
      </c>
      <c r="L302" s="10">
        <f t="shared" si="30"/>
        <v>0.17693207857057083</v>
      </c>
      <c r="M302" s="10">
        <f>L302+ABS($N$2)*A302</f>
        <v>0.3201726296020756</v>
      </c>
      <c r="O302" s="11"/>
      <c r="P302" s="8">
        <f>(M302-$O$2)/$O$2*100</f>
        <v>-1.1035197292164833</v>
      </c>
    </row>
    <row r="303" spans="1:16" x14ac:dyDescent="0.2">
      <c r="A303" s="8">
        <v>150.5</v>
      </c>
      <c r="B303" s="8">
        <v>301</v>
      </c>
      <c r="D303">
        <v>2367.1182795699001</v>
      </c>
      <c r="E303">
        <v>514.86482334869004</v>
      </c>
      <c r="F303">
        <v>136.77563608327</v>
      </c>
      <c r="G303">
        <v>115.47262914418</v>
      </c>
      <c r="I303" s="9">
        <f t="shared" ref="I303:I309" si="40">E303-G303</f>
        <v>399.39219420451002</v>
      </c>
      <c r="J303" s="9">
        <f t="shared" ref="J303:J309" si="41">D303-F303</f>
        <v>2230.3426434866301</v>
      </c>
      <c r="K303" s="9">
        <f t="shared" si="31"/>
        <v>399.39219420451002</v>
      </c>
      <c r="L303" s="10">
        <f t="shared" si="30"/>
        <v>0.17907212390476102</v>
      </c>
      <c r="M303" s="10">
        <f t="shared" ref="M303:M309" si="42">L303+ABS($N$2)*A303</f>
        <v>0.32279014343970414</v>
      </c>
      <c r="P303" s="8">
        <f t="shared" ref="P303:P309" si="43">(M303-$O$2)/$O$2*100</f>
        <v>-0.29500931430918925</v>
      </c>
    </row>
    <row r="304" spans="1:16" x14ac:dyDescent="0.2">
      <c r="A304" s="8">
        <v>151</v>
      </c>
      <c r="B304" s="8">
        <v>302</v>
      </c>
      <c r="D304">
        <v>2290.5102817973998</v>
      </c>
      <c r="E304">
        <v>504.65955826352001</v>
      </c>
      <c r="F304">
        <v>135.81187355436001</v>
      </c>
      <c r="G304">
        <v>115.20431765613</v>
      </c>
      <c r="I304" s="9">
        <f t="shared" si="40"/>
        <v>389.45524060739001</v>
      </c>
      <c r="J304" s="9">
        <f t="shared" si="41"/>
        <v>2154.6984082430399</v>
      </c>
      <c r="K304" s="9">
        <f t="shared" si="31"/>
        <v>389.45524060739001</v>
      </c>
      <c r="L304" s="10">
        <f t="shared" si="30"/>
        <v>0.18074698487615964</v>
      </c>
      <c r="M304" s="10">
        <f t="shared" si="42"/>
        <v>0.32494247291454115</v>
      </c>
      <c r="N304" s="1"/>
      <c r="P304" s="8">
        <f t="shared" si="43"/>
        <v>0.36981269033559644</v>
      </c>
    </row>
    <row r="305" spans="1:16" x14ac:dyDescent="0.2">
      <c r="A305" s="8">
        <v>151.5</v>
      </c>
      <c r="B305" s="8">
        <v>303</v>
      </c>
      <c r="D305">
        <v>2292.9784780937998</v>
      </c>
      <c r="E305">
        <v>510.42659492697999</v>
      </c>
      <c r="F305">
        <v>136.32382420971999</v>
      </c>
      <c r="G305">
        <v>115.69545104085999</v>
      </c>
      <c r="I305" s="9">
        <f t="shared" si="40"/>
        <v>394.73114388611998</v>
      </c>
      <c r="J305" s="9">
        <f t="shared" si="41"/>
        <v>2156.6546538840798</v>
      </c>
      <c r="K305" s="9">
        <f t="shared" si="31"/>
        <v>394.73114388611998</v>
      </c>
      <c r="L305" s="10">
        <f t="shared" si="30"/>
        <v>0.18302937059265345</v>
      </c>
      <c r="M305" s="10">
        <f t="shared" si="42"/>
        <v>0.32770232713447328</v>
      </c>
      <c r="P305" s="8">
        <f t="shared" si="43"/>
        <v>1.2222898953702004</v>
      </c>
    </row>
    <row r="306" spans="1:16" x14ac:dyDescent="0.2">
      <c r="A306" s="8">
        <v>152</v>
      </c>
      <c r="B306" s="8">
        <v>304</v>
      </c>
      <c r="D306">
        <v>2293.6358024690999</v>
      </c>
      <c r="E306">
        <v>510.83333333333002</v>
      </c>
      <c r="F306">
        <v>136.133384734</v>
      </c>
      <c r="G306">
        <v>115.433307633</v>
      </c>
      <c r="I306" s="9">
        <f t="shared" si="40"/>
        <v>395.40002570033005</v>
      </c>
      <c r="J306" s="9">
        <f t="shared" si="41"/>
        <v>2157.5024177350997</v>
      </c>
      <c r="K306" s="9">
        <f t="shared" si="31"/>
        <v>395.40002570033005</v>
      </c>
      <c r="L306" s="10">
        <f t="shared" si="30"/>
        <v>0.18326747745451549</v>
      </c>
      <c r="M306" s="10">
        <f t="shared" si="42"/>
        <v>0.32841790249977365</v>
      </c>
      <c r="P306" s="8">
        <f t="shared" si="43"/>
        <v>1.4433202972650785</v>
      </c>
    </row>
    <row r="307" spans="1:16" x14ac:dyDescent="0.2">
      <c r="A307" s="8">
        <v>152.5</v>
      </c>
      <c r="B307" s="8">
        <v>305</v>
      </c>
      <c r="D307">
        <v>2281.2800925925999</v>
      </c>
      <c r="E307">
        <v>509.59182098765001</v>
      </c>
      <c r="F307">
        <v>136.09483423284999</v>
      </c>
      <c r="G307">
        <v>115.74633770238999</v>
      </c>
      <c r="I307" s="9">
        <f t="shared" si="40"/>
        <v>393.84548328526</v>
      </c>
      <c r="J307" s="9">
        <f t="shared" si="41"/>
        <v>2145.1852583597497</v>
      </c>
      <c r="K307" s="9">
        <f t="shared" si="31"/>
        <v>393.84548328526</v>
      </c>
      <c r="L307" s="10">
        <f t="shared" si="30"/>
        <v>0.18359509126330745</v>
      </c>
      <c r="M307" s="10">
        <f t="shared" si="42"/>
        <v>0.32922298481200396</v>
      </c>
      <c r="P307" s="8">
        <f t="shared" si="43"/>
        <v>1.6919980406024666</v>
      </c>
    </row>
    <row r="308" spans="1:16" x14ac:dyDescent="0.2">
      <c r="A308" s="8">
        <v>153</v>
      </c>
      <c r="B308" s="8">
        <v>306</v>
      </c>
      <c r="D308">
        <v>2280.8464506173</v>
      </c>
      <c r="E308">
        <v>506.06712962963002</v>
      </c>
      <c r="F308">
        <v>135.75944487277999</v>
      </c>
      <c r="G308">
        <v>115.76175790284999</v>
      </c>
      <c r="I308" s="9">
        <f t="shared" si="40"/>
        <v>390.30537172678004</v>
      </c>
      <c r="J308" s="9">
        <f t="shared" si="41"/>
        <v>2145.08700574452</v>
      </c>
      <c r="K308" s="9">
        <f t="shared" si="31"/>
        <v>390.30537172678004</v>
      </c>
      <c r="L308" s="10">
        <f t="shared" si="30"/>
        <v>0.18195316585366769</v>
      </c>
      <c r="M308" s="10">
        <f t="shared" si="42"/>
        <v>0.32805852790580259</v>
      </c>
      <c r="P308" s="8">
        <f t="shared" si="43"/>
        <v>1.3323149234245608</v>
      </c>
    </row>
    <row r="309" spans="1:16" x14ac:dyDescent="0.2">
      <c r="A309" s="8">
        <v>153.5</v>
      </c>
      <c r="B309" s="8">
        <v>307</v>
      </c>
      <c r="D309">
        <v>2285.4390432098999</v>
      </c>
      <c r="E309">
        <v>507.65354938271997</v>
      </c>
      <c r="F309">
        <v>136.49807247493999</v>
      </c>
      <c r="G309">
        <v>115.88820354665</v>
      </c>
      <c r="I309" s="9">
        <f t="shared" si="40"/>
        <v>391.76534583606997</v>
      </c>
      <c r="J309" s="9">
        <f t="shared" si="41"/>
        <v>2148.94097073496</v>
      </c>
      <c r="K309" s="9">
        <f t="shared" si="31"/>
        <v>391.76534583606997</v>
      </c>
      <c r="L309" s="10">
        <f t="shared" si="30"/>
        <v>0.18230623882706382</v>
      </c>
      <c r="M309" s="10">
        <f t="shared" si="42"/>
        <v>0.32888906938263707</v>
      </c>
      <c r="P309" s="8">
        <f t="shared" si="43"/>
        <v>1.5888566174472905</v>
      </c>
    </row>
    <row r="310" spans="1:16" x14ac:dyDescent="0.2">
      <c r="A310" s="8">
        <v>154</v>
      </c>
      <c r="B310" s="8">
        <v>308</v>
      </c>
      <c r="D310">
        <v>2261.1635802469</v>
      </c>
      <c r="E310">
        <v>499.56712962963002</v>
      </c>
      <c r="F310">
        <v>135.85890516577001</v>
      </c>
      <c r="G310">
        <v>115.83885890517</v>
      </c>
      <c r="I310" s="9">
        <f>E310-G310</f>
        <v>383.72827072446</v>
      </c>
      <c r="J310" s="9">
        <f>D310-F310</f>
        <v>2125.30467508113</v>
      </c>
      <c r="K310" s="9">
        <f t="shared" si="31"/>
        <v>383.72827072446</v>
      </c>
      <c r="L310" s="10">
        <f t="shared" si="30"/>
        <v>0.1805521228196667</v>
      </c>
      <c r="M310" s="10">
        <f>L310+ABS($N$2)*A310</f>
        <v>0.32761242187867828</v>
      </c>
      <c r="O310" s="11"/>
      <c r="P310" s="8">
        <f>(M310-$O$2)/$O$2*100</f>
        <v>1.1945195223466842</v>
      </c>
    </row>
    <row r="311" spans="1:16" x14ac:dyDescent="0.2">
      <c r="A311" s="8">
        <v>154.5</v>
      </c>
      <c r="B311" s="8">
        <v>309</v>
      </c>
      <c r="D311">
        <v>2243.7260802469</v>
      </c>
      <c r="E311">
        <v>485.90046296295998</v>
      </c>
      <c r="F311">
        <v>136.1434078643</v>
      </c>
      <c r="G311">
        <v>115.566692367</v>
      </c>
      <c r="I311" s="9">
        <f t="shared" ref="I311:I319" si="44">E311-G311</f>
        <v>370.33377059596</v>
      </c>
      <c r="J311" s="9">
        <f t="shared" ref="J311:J319" si="45">D311-F311</f>
        <v>2107.5826723825999</v>
      </c>
      <c r="K311" s="9">
        <f t="shared" si="31"/>
        <v>370.33377059596</v>
      </c>
      <c r="L311" s="10">
        <f t="shared" si="30"/>
        <v>0.17571494368821206</v>
      </c>
      <c r="M311" s="10">
        <f t="shared" ref="M311:M319" si="46">L311+ABS($N$2)*A311</f>
        <v>0.32325271125066202</v>
      </c>
      <c r="P311" s="8">
        <f t="shared" ref="P311:P319" si="47">(M311-$O$2)/$O$2*100</f>
        <v>-0.15212911731311515</v>
      </c>
    </row>
    <row r="312" spans="1:16" x14ac:dyDescent="0.2">
      <c r="A312" s="8">
        <v>155</v>
      </c>
      <c r="B312" s="8">
        <v>310</v>
      </c>
      <c r="D312">
        <v>2240.4266975309001</v>
      </c>
      <c r="E312">
        <v>487.30555555555998</v>
      </c>
      <c r="F312">
        <v>136.55589822668</v>
      </c>
      <c r="G312">
        <v>115.35697764071</v>
      </c>
      <c r="I312" s="9">
        <f t="shared" si="44"/>
        <v>371.94857791484998</v>
      </c>
      <c r="J312" s="9">
        <f t="shared" si="45"/>
        <v>2103.8707993042203</v>
      </c>
      <c r="K312" s="9">
        <f t="shared" si="31"/>
        <v>371.94857791484998</v>
      </c>
      <c r="L312" s="10">
        <f t="shared" si="30"/>
        <v>0.17679249982359116</v>
      </c>
      <c r="M312" s="10">
        <f t="shared" si="46"/>
        <v>0.32480773588947942</v>
      </c>
      <c r="N312" s="1"/>
      <c r="P312" s="8">
        <f t="shared" si="47"/>
        <v>0.32819446220247339</v>
      </c>
    </row>
    <row r="313" spans="1:16" x14ac:dyDescent="0.2">
      <c r="A313" s="8">
        <v>155.5</v>
      </c>
      <c r="B313" s="8">
        <v>311</v>
      </c>
      <c r="D313">
        <v>2186.5810185185001</v>
      </c>
      <c r="E313">
        <v>471.55787037036998</v>
      </c>
      <c r="F313">
        <v>136.30223592907001</v>
      </c>
      <c r="G313">
        <v>115.71703932151</v>
      </c>
      <c r="I313" s="9">
        <f t="shared" si="44"/>
        <v>355.84083104885997</v>
      </c>
      <c r="J313" s="9">
        <f t="shared" si="45"/>
        <v>2050.2787825894302</v>
      </c>
      <c r="K313" s="9">
        <f t="shared" si="31"/>
        <v>355.84083104885997</v>
      </c>
      <c r="L313" s="10">
        <f t="shared" si="30"/>
        <v>0.17355729087702185</v>
      </c>
      <c r="M313" s="10">
        <f t="shared" si="46"/>
        <v>0.32204999544634849</v>
      </c>
      <c r="P313" s="8">
        <f t="shared" si="47"/>
        <v>-0.52362982916497236</v>
      </c>
    </row>
    <row r="314" spans="1:16" x14ac:dyDescent="0.2">
      <c r="A314" s="8">
        <v>156</v>
      </c>
      <c r="B314" s="8">
        <v>312</v>
      </c>
      <c r="D314">
        <v>2258.0353846153998</v>
      </c>
      <c r="E314">
        <v>477.10461538461999</v>
      </c>
      <c r="F314">
        <v>135.83885890517001</v>
      </c>
      <c r="G314">
        <v>115.3500385505</v>
      </c>
      <c r="I314" s="9">
        <f t="shared" si="44"/>
        <v>361.75457683411997</v>
      </c>
      <c r="J314" s="9">
        <f t="shared" si="45"/>
        <v>2122.1965257102297</v>
      </c>
      <c r="K314" s="9">
        <f t="shared" si="31"/>
        <v>361.75457683411997</v>
      </c>
      <c r="L314" s="10">
        <f t="shared" si="30"/>
        <v>0.17046233581644968</v>
      </c>
      <c r="M314" s="10">
        <f t="shared" si="46"/>
        <v>0.31943250888921471</v>
      </c>
      <c r="P314" s="8">
        <f t="shared" si="47"/>
        <v>-1.3321318175402597</v>
      </c>
    </row>
    <row r="315" spans="1:16" x14ac:dyDescent="0.2">
      <c r="A315" s="8">
        <v>156.5</v>
      </c>
      <c r="B315" s="8">
        <v>313</v>
      </c>
      <c r="D315">
        <v>2211.9361538461999</v>
      </c>
      <c r="E315">
        <v>475.10615384614999</v>
      </c>
      <c r="F315">
        <v>136.09097918273</v>
      </c>
      <c r="G315">
        <v>115.32228218967001</v>
      </c>
      <c r="I315" s="9">
        <f t="shared" si="44"/>
        <v>359.78387165647996</v>
      </c>
      <c r="J315" s="9">
        <f t="shared" si="45"/>
        <v>2075.8451746634701</v>
      </c>
      <c r="K315" s="9">
        <f t="shared" si="31"/>
        <v>359.78387165647996</v>
      </c>
      <c r="L315" s="10">
        <f t="shared" si="30"/>
        <v>0.17331922247756607</v>
      </c>
      <c r="M315" s="10">
        <f t="shared" si="46"/>
        <v>0.32276686405376942</v>
      </c>
      <c r="P315" s="8">
        <f t="shared" si="47"/>
        <v>-0.302199964349044</v>
      </c>
    </row>
    <row r="316" spans="1:16" x14ac:dyDescent="0.2">
      <c r="A316" s="8">
        <v>157</v>
      </c>
      <c r="B316" s="8">
        <v>314</v>
      </c>
      <c r="D316">
        <v>2226.4369747899</v>
      </c>
      <c r="E316">
        <v>483.39648586707</v>
      </c>
      <c r="F316">
        <v>136.44178874324999</v>
      </c>
      <c r="G316">
        <v>115.66846569005</v>
      </c>
      <c r="I316" s="9">
        <f t="shared" si="44"/>
        <v>367.72802017701997</v>
      </c>
      <c r="J316" s="9">
        <f t="shared" si="45"/>
        <v>2089.9951860466499</v>
      </c>
      <c r="K316" s="9">
        <f t="shared" si="31"/>
        <v>367.72802017701997</v>
      </c>
      <c r="L316" s="10">
        <f t="shared" si="30"/>
        <v>0.17594682640039921</v>
      </c>
      <c r="M316" s="10">
        <f t="shared" si="46"/>
        <v>0.32587193648004087</v>
      </c>
      <c r="P316" s="8">
        <f t="shared" si="47"/>
        <v>0.65690992060821007</v>
      </c>
    </row>
    <row r="317" spans="1:16" x14ac:dyDescent="0.2">
      <c r="A317" s="8">
        <v>157.5</v>
      </c>
      <c r="B317" s="8">
        <v>315</v>
      </c>
      <c r="D317">
        <v>2212.4935064934998</v>
      </c>
      <c r="E317">
        <v>481.46753246753002</v>
      </c>
      <c r="F317">
        <v>136.40169622204999</v>
      </c>
      <c r="G317">
        <v>115.55821125675</v>
      </c>
      <c r="I317" s="9">
        <f t="shared" si="44"/>
        <v>365.90932121078004</v>
      </c>
      <c r="J317" s="9">
        <f t="shared" si="45"/>
        <v>2076.09181027145</v>
      </c>
      <c r="K317" s="9">
        <f t="shared" si="31"/>
        <v>365.90932121078004</v>
      </c>
      <c r="L317" s="10">
        <f t="shared" si="30"/>
        <v>0.17624910391748871</v>
      </c>
      <c r="M317" s="10">
        <f t="shared" si="46"/>
        <v>0.32665168250056875</v>
      </c>
      <c r="P317" s="8">
        <f t="shared" si="47"/>
        <v>0.89776166684023029</v>
      </c>
    </row>
    <row r="318" spans="1:16" x14ac:dyDescent="0.2">
      <c r="A318" s="8">
        <v>158</v>
      </c>
      <c r="B318" s="8">
        <v>316</v>
      </c>
      <c r="D318">
        <v>2169.7958715596001</v>
      </c>
      <c r="E318">
        <v>467.82568807338998</v>
      </c>
      <c r="F318">
        <v>135.49113338473001</v>
      </c>
      <c r="G318">
        <v>115.65073245952</v>
      </c>
      <c r="I318" s="9">
        <f t="shared" si="44"/>
        <v>352.17495561387</v>
      </c>
      <c r="J318" s="9">
        <f t="shared" si="45"/>
        <v>2034.3047381748702</v>
      </c>
      <c r="K318" s="9">
        <f t="shared" si="31"/>
        <v>352.17495561387</v>
      </c>
      <c r="L318" s="10">
        <f t="shared" si="30"/>
        <v>0.17311809239053977</v>
      </c>
      <c r="M318" s="10">
        <f t="shared" si="46"/>
        <v>0.32399813947705813</v>
      </c>
      <c r="P318" s="8">
        <f t="shared" si="47"/>
        <v>7.8122381625727239E-2</v>
      </c>
    </row>
    <row r="319" spans="1:16" x14ac:dyDescent="0.2">
      <c r="A319" s="8">
        <v>158.5</v>
      </c>
      <c r="B319" s="8">
        <v>317</v>
      </c>
      <c r="D319">
        <v>2228.0323325634999</v>
      </c>
      <c r="E319">
        <v>469.54811393379998</v>
      </c>
      <c r="F319">
        <v>136.37779491133</v>
      </c>
      <c r="G319">
        <v>115.23978411719</v>
      </c>
      <c r="I319" s="9">
        <f t="shared" si="44"/>
        <v>354.30832981661001</v>
      </c>
      <c r="J319" s="9">
        <f t="shared" si="45"/>
        <v>2091.6545376521699</v>
      </c>
      <c r="K319" s="9">
        <f t="shared" si="31"/>
        <v>354.30832981661001</v>
      </c>
      <c r="L319" s="10">
        <f t="shared" si="30"/>
        <v>0.16939141882115594</v>
      </c>
      <c r="M319" s="10">
        <f t="shared" si="46"/>
        <v>0.32074893441111268</v>
      </c>
      <c r="P319" s="8">
        <f t="shared" si="47"/>
        <v>-0.92550789463921412</v>
      </c>
    </row>
    <row r="320" spans="1:16" x14ac:dyDescent="0.2">
      <c r="A320" s="8">
        <v>159</v>
      </c>
      <c r="B320" s="8">
        <v>318</v>
      </c>
      <c r="D320">
        <v>2281.8552732870999</v>
      </c>
      <c r="E320">
        <v>474.71362586604999</v>
      </c>
      <c r="F320">
        <v>136.23515805706</v>
      </c>
      <c r="G320">
        <v>115.14649190439999</v>
      </c>
      <c r="I320" s="9">
        <f>E320-G320</f>
        <v>359.56713396165003</v>
      </c>
      <c r="J320" s="9">
        <f>D320-F320</f>
        <v>2145.62011523004</v>
      </c>
      <c r="K320" s="9">
        <f t="shared" si="31"/>
        <v>359.56713396165003</v>
      </c>
      <c r="L320" s="10">
        <f t="shared" si="30"/>
        <v>0.1675819178844245</v>
      </c>
      <c r="M320" s="10">
        <f>L320+ABS($N$2)*A320</f>
        <v>0.31941690197781958</v>
      </c>
      <c r="O320" s="11"/>
      <c r="P320" s="8">
        <f>(M320-$O$2)/$O$2*100</f>
        <v>-1.3369525562985802</v>
      </c>
    </row>
    <row r="321" spans="1:16" x14ac:dyDescent="0.2">
      <c r="A321" s="8">
        <v>159.5</v>
      </c>
      <c r="B321" s="8">
        <v>319</v>
      </c>
      <c r="D321">
        <v>2265.2047729022001</v>
      </c>
      <c r="E321">
        <v>472.00615858353001</v>
      </c>
      <c r="F321">
        <v>136.79953739398999</v>
      </c>
      <c r="G321">
        <v>115.60909791827</v>
      </c>
      <c r="I321" s="9">
        <f t="shared" ref="I321" si="48">E321-G321</f>
        <v>356.39706066526003</v>
      </c>
      <c r="J321" s="9">
        <f t="shared" ref="J321" si="49">D321-F321</f>
        <v>2128.4052355082104</v>
      </c>
      <c r="K321" s="9">
        <f t="shared" si="31"/>
        <v>356.39706066526003</v>
      </c>
      <c r="L321" s="10">
        <f t="shared" si="30"/>
        <v>0.16744793459416635</v>
      </c>
      <c r="M321" s="10">
        <f t="shared" ref="M321" si="50">L321+ABS($N$2)*A321</f>
        <v>0.31976038719099975</v>
      </c>
      <c r="P321" s="8">
        <f t="shared" ref="P321" si="51">(M321-$O$2)/$O$2*100</f>
        <v>-1.230855171738265</v>
      </c>
    </row>
    <row r="322" spans="1:16" x14ac:dyDescent="0.2">
      <c r="A322" s="8">
        <v>160</v>
      </c>
      <c r="B322" s="8">
        <v>320</v>
      </c>
      <c r="D322">
        <v>2199.2371843916999</v>
      </c>
      <c r="E322">
        <v>452.72762050496999</v>
      </c>
      <c r="F322">
        <v>136.56360832691001</v>
      </c>
      <c r="G322">
        <v>115.59136468774</v>
      </c>
      <c r="I322" s="9">
        <f>E322-G322</f>
        <v>337.13625581722999</v>
      </c>
      <c r="J322" s="9">
        <f>D322-F322</f>
        <v>2062.6735760647898</v>
      </c>
      <c r="K322" s="9">
        <f t="shared" si="31"/>
        <v>337.13625581722999</v>
      </c>
      <c r="L322" s="10">
        <f t="shared" ref="L322" si="52">K322/J322</f>
        <v>0.16344624749613815</v>
      </c>
      <c r="M322" s="10">
        <f>L322+ABS($N$2)*A322</f>
        <v>0.31623616859640991</v>
      </c>
      <c r="O322" s="11"/>
      <c r="P322" s="8">
        <f>(M322-$O$2)/$O$2*100</f>
        <v>-2.3194329653583963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C7EA-BFB1-4040-B836-E54892838A42}">
  <dimension ref="A1:Y798"/>
  <sheetViews>
    <sheetView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639.89590110605002</v>
      </c>
      <c r="E2">
        <v>309.54261548470998</v>
      </c>
      <c r="F2">
        <v>147.60208062418999</v>
      </c>
      <c r="G2">
        <v>123.42717815345</v>
      </c>
      <c r="H2" s="4"/>
      <c r="I2" s="5">
        <f>E2-G2</f>
        <v>186.11543733125998</v>
      </c>
      <c r="J2" s="5">
        <f>D2-F2</f>
        <v>492.29382048186005</v>
      </c>
      <c r="K2" s="9">
        <f>I2*1</f>
        <v>186.11543733125998</v>
      </c>
      <c r="L2" s="6">
        <f t="shared" ref="L2:L65" si="0">K2/J2</f>
        <v>0.37805763466437403</v>
      </c>
      <c r="M2" s="6">
        <f>L2+ABS($N$2)*A2</f>
        <v>0.37805763466437403</v>
      </c>
      <c r="N2" s="4">
        <f>LINEST(V64:V103,U64:U103)</f>
        <v>-6.850539119975385E-4</v>
      </c>
      <c r="O2" s="7">
        <f>AVERAGE(M62:M81)</f>
        <v>0.3552391046633912</v>
      </c>
      <c r="P2" s="4">
        <f>(M2-$O$2)/$O$2*100</f>
        <v>6.4234285306525178</v>
      </c>
    </row>
    <row r="3" spans="1:16" x14ac:dyDescent="0.2">
      <c r="A3" s="8">
        <v>0.5</v>
      </c>
      <c r="B3" s="8">
        <v>1</v>
      </c>
      <c r="D3">
        <v>638.56083279115001</v>
      </c>
      <c r="E3">
        <v>303.95185426155001</v>
      </c>
      <c r="F3">
        <v>148.07542262678999</v>
      </c>
      <c r="G3">
        <v>123.19505851756</v>
      </c>
      <c r="I3" s="9">
        <f t="shared" ref="I3:I66" si="1">E3-G3</f>
        <v>180.75679574399001</v>
      </c>
      <c r="J3" s="9">
        <f t="shared" ref="J3:J66" si="2">D3-F3</f>
        <v>490.48541016436002</v>
      </c>
      <c r="K3" s="9">
        <f t="shared" ref="K3:K66" si="3">I3*1</f>
        <v>180.75679574399001</v>
      </c>
      <c r="L3" s="10">
        <f t="shared" si="0"/>
        <v>0.36852634553068359</v>
      </c>
      <c r="M3" s="10">
        <f t="shared" ref="M3:M66" si="4">L3+ABS($N$2)*A3</f>
        <v>0.36886887248668238</v>
      </c>
      <c r="P3" s="8">
        <f t="shared" ref="P3:P66" si="5">(M3-$O$2)/$O$2*100</f>
        <v>3.8367870103169341</v>
      </c>
    </row>
    <row r="4" spans="1:16" ht="16" x14ac:dyDescent="0.2">
      <c r="A4" s="8">
        <v>1</v>
      </c>
      <c r="B4" s="8">
        <v>2</v>
      </c>
      <c r="D4">
        <v>635.60312296682002</v>
      </c>
      <c r="E4">
        <v>299.45608327911998</v>
      </c>
      <c r="F4">
        <v>147.68595578674001</v>
      </c>
      <c r="G4">
        <v>123.40377113133999</v>
      </c>
      <c r="I4" s="9">
        <f t="shared" si="1"/>
        <v>176.05231214777999</v>
      </c>
      <c r="J4" s="9">
        <f t="shared" si="2"/>
        <v>487.91716718008001</v>
      </c>
      <c r="K4" s="9">
        <f t="shared" si="3"/>
        <v>176.05231214777999</v>
      </c>
      <c r="L4" s="10">
        <f t="shared" si="0"/>
        <v>0.36082418080362966</v>
      </c>
      <c r="M4" s="10">
        <f t="shared" si="4"/>
        <v>0.36150923471562718</v>
      </c>
      <c r="N4" s="1" t="s">
        <v>8</v>
      </c>
      <c r="P4" s="8">
        <f t="shared" si="5"/>
        <v>1.7650449992484007</v>
      </c>
    </row>
    <row r="5" spans="1:16" x14ac:dyDescent="0.2">
      <c r="A5" s="8">
        <v>1.5</v>
      </c>
      <c r="B5" s="8">
        <v>3</v>
      </c>
      <c r="D5">
        <v>612.25439167209004</v>
      </c>
      <c r="E5">
        <v>300.48145738452001</v>
      </c>
      <c r="F5">
        <v>148.01560468139999</v>
      </c>
      <c r="G5">
        <v>123.41157347204</v>
      </c>
      <c r="I5" s="9">
        <f t="shared" si="1"/>
        <v>177.06988391248001</v>
      </c>
      <c r="J5" s="9">
        <f t="shared" si="2"/>
        <v>464.23878699069007</v>
      </c>
      <c r="K5" s="9">
        <f t="shared" si="3"/>
        <v>177.06988391248001</v>
      </c>
      <c r="L5" s="10">
        <f t="shared" si="0"/>
        <v>0.38141984012212876</v>
      </c>
      <c r="M5" s="10">
        <f t="shared" si="4"/>
        <v>0.38244742099012508</v>
      </c>
      <c r="N5" s="8">
        <f>RSQ(V64:V83,U64:U83)</f>
        <v>0.88768012728260537</v>
      </c>
      <c r="P5" s="8">
        <f t="shared" si="5"/>
        <v>7.6591557544080811</v>
      </c>
    </row>
    <row r="6" spans="1:16" x14ac:dyDescent="0.2">
      <c r="A6" s="8">
        <v>2</v>
      </c>
      <c r="B6" s="8">
        <v>4</v>
      </c>
      <c r="D6">
        <v>646.038935756</v>
      </c>
      <c r="E6">
        <v>322.00064892927003</v>
      </c>
      <c r="F6">
        <v>147.83680104031001</v>
      </c>
      <c r="G6">
        <v>123.47659297788999</v>
      </c>
      <c r="I6" s="9">
        <f t="shared" si="1"/>
        <v>198.52405595138003</v>
      </c>
      <c r="J6" s="9">
        <f t="shared" si="2"/>
        <v>498.20213471569002</v>
      </c>
      <c r="K6" s="9">
        <f t="shared" si="3"/>
        <v>198.52405595138003</v>
      </c>
      <c r="L6" s="10">
        <f t="shared" si="0"/>
        <v>0.39848094200694695</v>
      </c>
      <c r="M6" s="10">
        <f t="shared" si="4"/>
        <v>0.39985104983094205</v>
      </c>
      <c r="P6" s="8">
        <f t="shared" si="5"/>
        <v>12.55828668125463</v>
      </c>
    </row>
    <row r="7" spans="1:16" x14ac:dyDescent="0.2">
      <c r="A7" s="8">
        <v>2.5</v>
      </c>
      <c r="B7" s="8">
        <v>5</v>
      </c>
      <c r="D7">
        <v>675.82738481505999</v>
      </c>
      <c r="E7">
        <v>340.20116807267999</v>
      </c>
      <c r="F7">
        <v>148.21976592978001</v>
      </c>
      <c r="G7">
        <v>124.08907672302</v>
      </c>
      <c r="I7" s="9">
        <f t="shared" si="1"/>
        <v>216.11209134965998</v>
      </c>
      <c r="J7" s="9">
        <f t="shared" si="2"/>
        <v>527.60761888527998</v>
      </c>
      <c r="K7" s="9">
        <f t="shared" si="3"/>
        <v>216.11209134965998</v>
      </c>
      <c r="L7" s="10">
        <f t="shared" si="0"/>
        <v>0.40960760158516624</v>
      </c>
      <c r="M7" s="10">
        <f t="shared" si="4"/>
        <v>0.41132023636516007</v>
      </c>
      <c r="P7" s="8">
        <f t="shared" si="5"/>
        <v>15.786868890717665</v>
      </c>
    </row>
    <row r="8" spans="1:16" x14ac:dyDescent="0.2">
      <c r="A8" s="8">
        <v>3</v>
      </c>
      <c r="B8" s="8">
        <v>6</v>
      </c>
      <c r="D8">
        <v>594.54769630110002</v>
      </c>
      <c r="E8">
        <v>311.78520441272002</v>
      </c>
      <c r="F8">
        <v>148.44668400520001</v>
      </c>
      <c r="G8">
        <v>123.53771131339001</v>
      </c>
      <c r="I8" s="9">
        <f t="shared" si="1"/>
        <v>188.24749309933003</v>
      </c>
      <c r="J8" s="9">
        <f t="shared" si="2"/>
        <v>446.10101229589998</v>
      </c>
      <c r="K8" s="9">
        <f t="shared" si="3"/>
        <v>188.24749309933003</v>
      </c>
      <c r="L8" s="10">
        <f t="shared" si="0"/>
        <v>0.42198400790551216</v>
      </c>
      <c r="M8" s="10">
        <f t="shared" si="4"/>
        <v>0.42403916964150479</v>
      </c>
      <c r="P8" s="8">
        <f t="shared" si="5"/>
        <v>19.367255483684847</v>
      </c>
    </row>
    <row r="9" spans="1:16" x14ac:dyDescent="0.2">
      <c r="A9" s="8">
        <v>3.5</v>
      </c>
      <c r="B9" s="8">
        <v>7</v>
      </c>
      <c r="D9">
        <v>642.17522464698004</v>
      </c>
      <c r="E9">
        <v>328.66302952503003</v>
      </c>
      <c r="F9">
        <v>147.84330299090001</v>
      </c>
      <c r="G9">
        <v>123.70091027308</v>
      </c>
      <c r="I9" s="9">
        <f t="shared" si="1"/>
        <v>204.96211925195001</v>
      </c>
      <c r="J9" s="9">
        <f t="shared" si="2"/>
        <v>494.33192165608</v>
      </c>
      <c r="K9" s="9">
        <f t="shared" si="3"/>
        <v>204.96211925195001</v>
      </c>
      <c r="L9" s="10">
        <f t="shared" si="0"/>
        <v>0.41462448665119317</v>
      </c>
      <c r="M9" s="10">
        <f t="shared" si="4"/>
        <v>0.41702217534318453</v>
      </c>
      <c r="P9" s="8">
        <f t="shared" si="5"/>
        <v>17.391967795419433</v>
      </c>
    </row>
    <row r="10" spans="1:16" x14ac:dyDescent="0.2">
      <c r="A10" s="8">
        <v>4</v>
      </c>
      <c r="B10" s="8">
        <v>8</v>
      </c>
      <c r="D10">
        <v>706.67472240365998</v>
      </c>
      <c r="E10">
        <v>351.03200522534001</v>
      </c>
      <c r="F10">
        <v>147.77243172952001</v>
      </c>
      <c r="G10">
        <v>123.39596879064</v>
      </c>
      <c r="I10" s="9">
        <f t="shared" si="1"/>
        <v>227.63603643470003</v>
      </c>
      <c r="J10" s="9">
        <f t="shared" si="2"/>
        <v>558.90229067413998</v>
      </c>
      <c r="K10" s="9">
        <f t="shared" si="3"/>
        <v>227.63603643470003</v>
      </c>
      <c r="L10" s="10">
        <f t="shared" si="0"/>
        <v>0.40729129265175973</v>
      </c>
      <c r="M10" s="10">
        <f t="shared" si="4"/>
        <v>0.41003150829974988</v>
      </c>
      <c r="P10" s="8">
        <f t="shared" si="5"/>
        <v>15.424091243636459</v>
      </c>
    </row>
    <row r="11" spans="1:16" x14ac:dyDescent="0.2">
      <c r="A11" s="8">
        <v>4.5</v>
      </c>
      <c r="B11" s="8">
        <v>9</v>
      </c>
      <c r="D11">
        <v>747.30894839973996</v>
      </c>
      <c r="E11">
        <v>368.03853690398</v>
      </c>
      <c r="F11">
        <v>148.03055916775</v>
      </c>
      <c r="G11">
        <v>123.0533159948</v>
      </c>
      <c r="I11" s="9">
        <f t="shared" si="1"/>
        <v>244.98522090917999</v>
      </c>
      <c r="J11" s="9">
        <f t="shared" si="2"/>
        <v>599.27838923198999</v>
      </c>
      <c r="K11" s="9">
        <f t="shared" si="3"/>
        <v>244.98522090917999</v>
      </c>
      <c r="L11" s="10">
        <f t="shared" si="0"/>
        <v>0.40880035941750337</v>
      </c>
      <c r="M11" s="10">
        <f t="shared" si="4"/>
        <v>0.41188310202149231</v>
      </c>
      <c r="P11" s="8">
        <f t="shared" si="5"/>
        <v>15.945315877252433</v>
      </c>
    </row>
    <row r="12" spans="1:16" x14ac:dyDescent="0.2">
      <c r="A12" s="8">
        <v>5</v>
      </c>
      <c r="B12" s="8">
        <v>10</v>
      </c>
      <c r="D12">
        <v>790.4</v>
      </c>
      <c r="E12">
        <v>380.05555555555998</v>
      </c>
      <c r="F12">
        <v>147.8355006502</v>
      </c>
      <c r="G12">
        <v>123.73016905071999</v>
      </c>
      <c r="I12" s="9">
        <f t="shared" si="1"/>
        <v>256.32538650483997</v>
      </c>
      <c r="J12" s="9">
        <f t="shared" si="2"/>
        <v>642.56449934979992</v>
      </c>
      <c r="K12" s="9">
        <f t="shared" si="3"/>
        <v>256.32538650483997</v>
      </c>
      <c r="L12" s="10">
        <f t="shared" si="0"/>
        <v>0.39890997209495899</v>
      </c>
      <c r="M12" s="10">
        <f t="shared" si="4"/>
        <v>0.40233524165494666</v>
      </c>
      <c r="P12" s="8">
        <f t="shared" si="5"/>
        <v>13.257588022631028</v>
      </c>
    </row>
    <row r="13" spans="1:16" x14ac:dyDescent="0.2">
      <c r="A13" s="8">
        <v>5.5</v>
      </c>
      <c r="B13" s="8">
        <v>11</v>
      </c>
      <c r="D13">
        <v>789.21045751634006</v>
      </c>
      <c r="E13">
        <v>379.58104575162997</v>
      </c>
      <c r="F13">
        <v>147.18205461638999</v>
      </c>
      <c r="G13">
        <v>123.44603381013999</v>
      </c>
      <c r="I13" s="9">
        <f t="shared" si="1"/>
        <v>256.13501194149001</v>
      </c>
      <c r="J13" s="9">
        <f t="shared" si="2"/>
        <v>642.02840289995004</v>
      </c>
      <c r="K13" s="9">
        <f t="shared" si="3"/>
        <v>256.13501194149001</v>
      </c>
      <c r="L13" s="10">
        <f t="shared" si="0"/>
        <v>0.39894654315068456</v>
      </c>
      <c r="M13" s="10">
        <f t="shared" si="4"/>
        <v>0.40271433966667103</v>
      </c>
      <c r="P13" s="8">
        <f t="shared" si="5"/>
        <v>13.364304317866482</v>
      </c>
    </row>
    <row r="14" spans="1:16" x14ac:dyDescent="0.2">
      <c r="A14" s="8">
        <v>6</v>
      </c>
      <c r="B14" s="8">
        <v>12</v>
      </c>
      <c r="D14">
        <v>784.27067183462998</v>
      </c>
      <c r="E14">
        <v>375.87403100774998</v>
      </c>
      <c r="F14">
        <v>147.65279583875</v>
      </c>
      <c r="G14">
        <v>122.92392717815</v>
      </c>
      <c r="I14" s="9">
        <f t="shared" si="1"/>
        <v>252.95010382959998</v>
      </c>
      <c r="J14" s="9">
        <f t="shared" si="2"/>
        <v>636.61787599588001</v>
      </c>
      <c r="K14" s="9">
        <f t="shared" si="3"/>
        <v>252.95010382959998</v>
      </c>
      <c r="L14" s="10">
        <f t="shared" si="0"/>
        <v>0.39733427754271383</v>
      </c>
      <c r="M14" s="10">
        <f t="shared" si="4"/>
        <v>0.40144460101469909</v>
      </c>
      <c r="P14" s="8">
        <f t="shared" si="5"/>
        <v>13.006872200933554</v>
      </c>
    </row>
    <row r="15" spans="1:16" x14ac:dyDescent="0.2">
      <c r="A15" s="8">
        <v>6.5</v>
      </c>
      <c r="B15" s="8">
        <v>13</v>
      </c>
      <c r="D15">
        <v>766.10233160621999</v>
      </c>
      <c r="E15">
        <v>369.35556994819001</v>
      </c>
      <c r="F15">
        <v>147.87971391417</v>
      </c>
      <c r="G15">
        <v>123.13263979193999</v>
      </c>
      <c r="I15" s="9">
        <f t="shared" si="1"/>
        <v>246.22293015625002</v>
      </c>
      <c r="J15" s="9">
        <f t="shared" si="2"/>
        <v>618.22261769204999</v>
      </c>
      <c r="K15" s="9">
        <f t="shared" si="3"/>
        <v>246.22293015625002</v>
      </c>
      <c r="L15" s="10">
        <f t="shared" si="0"/>
        <v>0.39827551291385938</v>
      </c>
      <c r="M15" s="10">
        <f t="shared" si="4"/>
        <v>0.40272836334184337</v>
      </c>
      <c r="P15" s="8">
        <f t="shared" si="5"/>
        <v>13.368251990008497</v>
      </c>
    </row>
    <row r="16" spans="1:16" x14ac:dyDescent="0.2">
      <c r="A16" s="8">
        <v>7</v>
      </c>
      <c r="B16" s="8">
        <v>14</v>
      </c>
      <c r="D16">
        <v>764.78950777201999</v>
      </c>
      <c r="E16">
        <v>369.81606217617002</v>
      </c>
      <c r="F16">
        <v>147.46293888167</v>
      </c>
      <c r="G16">
        <v>122.93172951886</v>
      </c>
      <c r="I16" s="9">
        <f t="shared" si="1"/>
        <v>246.88433265731004</v>
      </c>
      <c r="J16" s="9">
        <f t="shared" si="2"/>
        <v>617.32656889035002</v>
      </c>
      <c r="K16" s="9">
        <f t="shared" si="3"/>
        <v>246.88433265731004</v>
      </c>
      <c r="L16" s="10">
        <f t="shared" si="0"/>
        <v>0.39992500744150183</v>
      </c>
      <c r="M16" s="10">
        <f t="shared" si="4"/>
        <v>0.40472038482548461</v>
      </c>
      <c r="P16" s="8">
        <f t="shared" si="5"/>
        <v>13.92900711451226</v>
      </c>
    </row>
    <row r="17" spans="1:16" x14ac:dyDescent="0.2">
      <c r="A17" s="8">
        <v>7.5</v>
      </c>
      <c r="B17" s="8">
        <v>15</v>
      </c>
      <c r="D17">
        <v>753.28367875647996</v>
      </c>
      <c r="E17">
        <v>366.24352331606002</v>
      </c>
      <c r="F17">
        <v>147.37061118336001</v>
      </c>
      <c r="G17">
        <v>123.33485045514</v>
      </c>
      <c r="I17" s="9">
        <f t="shared" si="1"/>
        <v>242.90867286092003</v>
      </c>
      <c r="J17" s="9">
        <f t="shared" si="2"/>
        <v>605.91306757311997</v>
      </c>
      <c r="K17" s="9">
        <f t="shared" si="3"/>
        <v>242.90867286092003</v>
      </c>
      <c r="L17" s="10">
        <f t="shared" si="0"/>
        <v>0.40089690396321825</v>
      </c>
      <c r="M17" s="10">
        <f t="shared" si="4"/>
        <v>0.40603480830319977</v>
      </c>
      <c r="P17" s="8">
        <f t="shared" si="5"/>
        <v>14.299018034047888</v>
      </c>
    </row>
    <row r="18" spans="1:16" x14ac:dyDescent="0.2">
      <c r="A18" s="8">
        <v>8</v>
      </c>
      <c r="B18" s="8">
        <v>16</v>
      </c>
      <c r="D18">
        <v>759.96567357513004</v>
      </c>
      <c r="E18">
        <v>372.76230569948001</v>
      </c>
      <c r="F18">
        <v>146.99739921976999</v>
      </c>
      <c r="G18">
        <v>123.60728218465999</v>
      </c>
      <c r="I18" s="9">
        <f t="shared" si="1"/>
        <v>249.15502351482002</v>
      </c>
      <c r="J18" s="9">
        <f t="shared" si="2"/>
        <v>612.96827435536011</v>
      </c>
      <c r="K18" s="9">
        <f t="shared" si="3"/>
        <v>249.15502351482002</v>
      </c>
      <c r="L18" s="10">
        <f t="shared" si="0"/>
        <v>0.40647295127443372</v>
      </c>
      <c r="M18" s="10">
        <f t="shared" si="4"/>
        <v>0.41195338257041403</v>
      </c>
      <c r="P18" s="8">
        <f t="shared" si="5"/>
        <v>15.96509988976657</v>
      </c>
    </row>
    <row r="19" spans="1:16" x14ac:dyDescent="0.2">
      <c r="A19" s="8">
        <v>8.5</v>
      </c>
      <c r="B19" s="8">
        <v>17</v>
      </c>
      <c r="D19">
        <v>746.61298701298995</v>
      </c>
      <c r="E19">
        <v>367.95324675325003</v>
      </c>
      <c r="F19">
        <v>147.28543563068999</v>
      </c>
      <c r="G19">
        <v>123.48764629388999</v>
      </c>
      <c r="I19" s="9">
        <f t="shared" si="1"/>
        <v>244.46560045936002</v>
      </c>
      <c r="J19" s="9">
        <f t="shared" si="2"/>
        <v>599.32755138229993</v>
      </c>
      <c r="K19" s="9">
        <f t="shared" si="3"/>
        <v>244.46560045936002</v>
      </c>
      <c r="L19" s="10">
        <f t="shared" si="0"/>
        <v>0.40789982021604065</v>
      </c>
      <c r="M19" s="10">
        <f t="shared" si="4"/>
        <v>0.41372277846801975</v>
      </c>
      <c r="P19" s="8">
        <f t="shared" si="5"/>
        <v>16.463185791453078</v>
      </c>
    </row>
    <row r="20" spans="1:16" x14ac:dyDescent="0.2">
      <c r="A20" s="8">
        <v>9</v>
      </c>
      <c r="B20" s="8">
        <v>18</v>
      </c>
      <c r="D20">
        <v>732.01818181817998</v>
      </c>
      <c r="E20">
        <v>360.14935064935003</v>
      </c>
      <c r="F20">
        <v>147.21586475942999</v>
      </c>
      <c r="G20">
        <v>123.42132639792</v>
      </c>
      <c r="I20" s="9">
        <f t="shared" si="1"/>
        <v>236.72802425143004</v>
      </c>
      <c r="J20" s="9">
        <f t="shared" si="2"/>
        <v>584.80231705874996</v>
      </c>
      <c r="K20" s="9">
        <f t="shared" si="3"/>
        <v>236.72802425143004</v>
      </c>
      <c r="L20" s="10">
        <f t="shared" si="0"/>
        <v>0.40480007918239497</v>
      </c>
      <c r="M20" s="10">
        <f t="shared" si="4"/>
        <v>0.4109655643903728</v>
      </c>
      <c r="P20" s="8">
        <f t="shared" si="5"/>
        <v>15.687028538084371</v>
      </c>
    </row>
    <row r="21" spans="1:16" x14ac:dyDescent="0.2">
      <c r="A21" s="8">
        <v>9.5</v>
      </c>
      <c r="B21" s="8">
        <v>19</v>
      </c>
      <c r="D21">
        <v>760.71038961039005</v>
      </c>
      <c r="E21">
        <v>369.98506493507</v>
      </c>
      <c r="F21">
        <v>147.5422626788</v>
      </c>
      <c r="G21">
        <v>123.31859557867</v>
      </c>
      <c r="I21" s="9">
        <f t="shared" si="1"/>
        <v>246.6664693564</v>
      </c>
      <c r="J21" s="9">
        <f t="shared" si="2"/>
        <v>613.16812693159</v>
      </c>
      <c r="K21" s="9">
        <f t="shared" si="3"/>
        <v>246.6664693564</v>
      </c>
      <c r="L21" s="10">
        <f t="shared" si="0"/>
        <v>0.40228194930934513</v>
      </c>
      <c r="M21" s="10">
        <f t="shared" si="4"/>
        <v>0.40878996147332175</v>
      </c>
      <c r="P21" s="8">
        <f t="shared" si="5"/>
        <v>15.074595140834216</v>
      </c>
    </row>
    <row r="22" spans="1:16" x14ac:dyDescent="0.2">
      <c r="A22" s="8">
        <v>10</v>
      </c>
      <c r="B22" s="8">
        <v>20</v>
      </c>
      <c r="D22">
        <v>735.7</v>
      </c>
      <c r="E22">
        <v>353.92857142857002</v>
      </c>
      <c r="F22">
        <v>148.02600780233999</v>
      </c>
      <c r="G22">
        <v>122.88296488947</v>
      </c>
      <c r="I22" s="9">
        <f t="shared" si="1"/>
        <v>231.04560653910002</v>
      </c>
      <c r="J22" s="9">
        <f t="shared" si="2"/>
        <v>587.67399219766003</v>
      </c>
      <c r="K22" s="9">
        <f t="shared" si="3"/>
        <v>231.04560653910002</v>
      </c>
      <c r="L22" s="10">
        <f t="shared" si="0"/>
        <v>0.39315268262099551</v>
      </c>
      <c r="M22" s="10">
        <f t="shared" si="4"/>
        <v>0.40000322174097092</v>
      </c>
      <c r="P22" s="8">
        <f t="shared" si="5"/>
        <v>12.601123156189745</v>
      </c>
    </row>
    <row r="23" spans="1:16" x14ac:dyDescent="0.2">
      <c r="A23" s="8">
        <v>10.5</v>
      </c>
      <c r="B23" s="8">
        <v>21</v>
      </c>
      <c r="D23">
        <v>762.77973856208996</v>
      </c>
      <c r="E23">
        <v>358.37712418300998</v>
      </c>
      <c r="F23">
        <v>146.90182054616</v>
      </c>
      <c r="G23">
        <v>122.97074122236999</v>
      </c>
      <c r="I23" s="9">
        <f t="shared" si="1"/>
        <v>235.40638296063997</v>
      </c>
      <c r="J23" s="9">
        <f t="shared" si="2"/>
        <v>615.87791801592994</v>
      </c>
      <c r="K23" s="9">
        <f t="shared" si="3"/>
        <v>235.40638296063997</v>
      </c>
      <c r="L23" s="10">
        <f t="shared" si="0"/>
        <v>0.382228971155532</v>
      </c>
      <c r="M23" s="10">
        <f t="shared" si="4"/>
        <v>0.38942203723150615</v>
      </c>
      <c r="P23" s="8">
        <f t="shared" si="5"/>
        <v>9.6225139967361351</v>
      </c>
    </row>
    <row r="24" spans="1:16" x14ac:dyDescent="0.2">
      <c r="A24" s="8">
        <v>11</v>
      </c>
      <c r="B24" s="8">
        <v>22</v>
      </c>
      <c r="D24">
        <v>752.63333333333003</v>
      </c>
      <c r="E24">
        <v>349.95882352940998</v>
      </c>
      <c r="F24">
        <v>146.9577373212</v>
      </c>
      <c r="G24">
        <v>122.87906371912</v>
      </c>
      <c r="I24" s="9">
        <f t="shared" si="1"/>
        <v>227.07975981029</v>
      </c>
      <c r="J24" s="9">
        <f t="shared" si="2"/>
        <v>605.67559601212997</v>
      </c>
      <c r="K24" s="9">
        <f t="shared" si="3"/>
        <v>227.07975981029</v>
      </c>
      <c r="L24" s="10">
        <f t="shared" si="0"/>
        <v>0.37491977769192181</v>
      </c>
      <c r="M24" s="10">
        <f t="shared" si="4"/>
        <v>0.38245537072389474</v>
      </c>
      <c r="P24" s="8">
        <f t="shared" si="5"/>
        <v>7.6613936087617542</v>
      </c>
    </row>
    <row r="25" spans="1:16" x14ac:dyDescent="0.2">
      <c r="A25" s="8">
        <v>11.5</v>
      </c>
      <c r="B25" s="8">
        <v>23</v>
      </c>
      <c r="D25">
        <v>733.458984375</v>
      </c>
      <c r="E25">
        <v>341.703125</v>
      </c>
      <c r="F25">
        <v>147.67880364109001</v>
      </c>
      <c r="G25">
        <v>122.84915474642</v>
      </c>
      <c r="I25" s="9">
        <f t="shared" si="1"/>
        <v>218.85397025358</v>
      </c>
      <c r="J25" s="9">
        <f t="shared" si="2"/>
        <v>585.78018073391002</v>
      </c>
      <c r="K25" s="9">
        <f t="shared" si="3"/>
        <v>218.85397025358</v>
      </c>
      <c r="L25" s="10">
        <f t="shared" si="0"/>
        <v>0.37361108731842563</v>
      </c>
      <c r="M25" s="10">
        <f t="shared" si="4"/>
        <v>0.38148920730639735</v>
      </c>
      <c r="P25" s="8">
        <f t="shared" si="5"/>
        <v>7.3894180844419077</v>
      </c>
    </row>
    <row r="26" spans="1:16" x14ac:dyDescent="0.2">
      <c r="A26" s="8">
        <v>12</v>
      </c>
      <c r="B26" s="8">
        <v>24</v>
      </c>
      <c r="D26">
        <v>739.35286458332996</v>
      </c>
      <c r="E26">
        <v>340.42317708333002</v>
      </c>
      <c r="F26">
        <v>146.65994798439999</v>
      </c>
      <c r="G26">
        <v>122.76137841352001</v>
      </c>
      <c r="I26" s="9">
        <f t="shared" si="1"/>
        <v>217.66179866981003</v>
      </c>
      <c r="J26" s="9">
        <f t="shared" si="2"/>
        <v>592.69291659892997</v>
      </c>
      <c r="K26" s="9">
        <f t="shared" si="3"/>
        <v>217.66179866981003</v>
      </c>
      <c r="L26" s="10">
        <f t="shared" si="0"/>
        <v>0.36724211235529214</v>
      </c>
      <c r="M26" s="10">
        <f t="shared" si="4"/>
        <v>0.37546275929926259</v>
      </c>
      <c r="P26" s="8">
        <f t="shared" si="5"/>
        <v>5.6929697126205818</v>
      </c>
    </row>
    <row r="27" spans="1:16" x14ac:dyDescent="0.2">
      <c r="A27" s="8">
        <v>12.5</v>
      </c>
      <c r="B27" s="8">
        <v>25</v>
      </c>
      <c r="D27">
        <v>773.68913612564995</v>
      </c>
      <c r="E27">
        <v>347.47643979058</v>
      </c>
      <c r="F27">
        <v>147.74057217165</v>
      </c>
      <c r="G27">
        <v>122.93823146944</v>
      </c>
      <c r="I27" s="9">
        <f t="shared" si="1"/>
        <v>224.53820832114002</v>
      </c>
      <c r="J27" s="9">
        <f t="shared" si="2"/>
        <v>625.94856395399995</v>
      </c>
      <c r="K27" s="9">
        <f t="shared" si="3"/>
        <v>224.53820832114002</v>
      </c>
      <c r="L27" s="10">
        <f t="shared" si="0"/>
        <v>0.35871670813137452</v>
      </c>
      <c r="M27" s="10">
        <f t="shared" si="4"/>
        <v>0.36727988203134376</v>
      </c>
      <c r="P27" s="8">
        <f t="shared" si="5"/>
        <v>3.3894853381532606</v>
      </c>
    </row>
    <row r="28" spans="1:16" x14ac:dyDescent="0.2">
      <c r="A28" s="8">
        <v>13</v>
      </c>
      <c r="B28" s="8">
        <v>26</v>
      </c>
      <c r="D28">
        <v>761.64725130889997</v>
      </c>
      <c r="E28">
        <v>340.91230366491999</v>
      </c>
      <c r="F28">
        <v>147.1677503251</v>
      </c>
      <c r="G28">
        <v>122.83615084525</v>
      </c>
      <c r="I28" s="9">
        <f t="shared" si="1"/>
        <v>218.07615281966997</v>
      </c>
      <c r="J28" s="9">
        <f t="shared" si="2"/>
        <v>614.47950098379999</v>
      </c>
      <c r="K28" s="9">
        <f t="shared" si="3"/>
        <v>218.07615281966997</v>
      </c>
      <c r="L28" s="10">
        <f t="shared" si="0"/>
        <v>0.35489573284466536</v>
      </c>
      <c r="M28" s="10">
        <f t="shared" si="4"/>
        <v>0.36380143370063334</v>
      </c>
      <c r="P28" s="8">
        <f t="shared" si="5"/>
        <v>2.4103002526581121</v>
      </c>
    </row>
    <row r="29" spans="1:16" x14ac:dyDescent="0.2">
      <c r="A29" s="8">
        <v>13.5</v>
      </c>
      <c r="B29" s="8">
        <v>27</v>
      </c>
      <c r="D29">
        <v>766.42539267016002</v>
      </c>
      <c r="E29">
        <v>341.70287958115</v>
      </c>
      <c r="F29">
        <v>147.24057217165</v>
      </c>
      <c r="G29">
        <v>122.99934980494</v>
      </c>
      <c r="I29" s="9">
        <f t="shared" si="1"/>
        <v>218.70352977621002</v>
      </c>
      <c r="J29" s="9">
        <f t="shared" si="2"/>
        <v>619.18482049851002</v>
      </c>
      <c r="K29" s="9">
        <f t="shared" si="3"/>
        <v>218.70352977621002</v>
      </c>
      <c r="L29" s="10">
        <f t="shared" si="0"/>
        <v>0.35321203384819783</v>
      </c>
      <c r="M29" s="10">
        <f t="shared" si="4"/>
        <v>0.3624602616601646</v>
      </c>
      <c r="P29" s="8">
        <f t="shared" si="5"/>
        <v>2.0327595982474507</v>
      </c>
    </row>
    <row r="30" spans="1:16" x14ac:dyDescent="0.2">
      <c r="A30" s="8">
        <v>14</v>
      </c>
      <c r="B30" s="8">
        <v>28</v>
      </c>
      <c r="D30">
        <v>758.62238219895005</v>
      </c>
      <c r="E30">
        <v>337.87303664922001</v>
      </c>
      <c r="F30">
        <v>147.52600780233999</v>
      </c>
      <c r="G30">
        <v>122.59167750325</v>
      </c>
      <c r="I30" s="9">
        <f t="shared" si="1"/>
        <v>215.28135914597001</v>
      </c>
      <c r="J30" s="9">
        <f t="shared" si="2"/>
        <v>611.09637439661003</v>
      </c>
      <c r="K30" s="9">
        <f t="shared" si="3"/>
        <v>215.28135914597001</v>
      </c>
      <c r="L30" s="10">
        <f t="shared" si="0"/>
        <v>0.35228708296385575</v>
      </c>
      <c r="M30" s="10">
        <f t="shared" si="4"/>
        <v>0.36187783773182131</v>
      </c>
      <c r="P30" s="8">
        <f t="shared" si="5"/>
        <v>1.8688069475686444</v>
      </c>
    </row>
    <row r="31" spans="1:16" x14ac:dyDescent="0.2">
      <c r="A31" s="8">
        <v>14.5</v>
      </c>
      <c r="B31" s="8">
        <v>29</v>
      </c>
      <c r="D31">
        <v>738.97976501306005</v>
      </c>
      <c r="E31">
        <v>328.61684073107</v>
      </c>
      <c r="F31">
        <v>146.79713914173999</v>
      </c>
      <c r="G31">
        <v>122.92782834851</v>
      </c>
      <c r="I31" s="9">
        <f t="shared" si="1"/>
        <v>205.68901238256001</v>
      </c>
      <c r="J31" s="9">
        <f t="shared" si="2"/>
        <v>592.18262587132006</v>
      </c>
      <c r="K31" s="9">
        <f t="shared" si="3"/>
        <v>205.68901238256001</v>
      </c>
      <c r="L31" s="10">
        <f t="shared" si="0"/>
        <v>0.34734050510164033</v>
      </c>
      <c r="M31" s="10">
        <f t="shared" si="4"/>
        <v>0.35727378682560462</v>
      </c>
      <c r="P31" s="8">
        <f t="shared" si="5"/>
        <v>0.57276412858358983</v>
      </c>
    </row>
    <row r="32" spans="1:16" x14ac:dyDescent="0.2">
      <c r="A32" s="8">
        <v>15</v>
      </c>
      <c r="B32" s="8">
        <v>30</v>
      </c>
      <c r="D32">
        <v>732.95365535248004</v>
      </c>
      <c r="E32">
        <v>324.52480417754998</v>
      </c>
      <c r="F32">
        <v>146.86475942782999</v>
      </c>
      <c r="G32">
        <v>122.8966189857</v>
      </c>
      <c r="I32" s="9">
        <f t="shared" si="1"/>
        <v>201.62818519184998</v>
      </c>
      <c r="J32" s="9">
        <f t="shared" si="2"/>
        <v>586.08889592465005</v>
      </c>
      <c r="K32" s="9">
        <f t="shared" si="3"/>
        <v>201.62818519184998</v>
      </c>
      <c r="L32" s="10">
        <f t="shared" si="0"/>
        <v>0.34402321319148849</v>
      </c>
      <c r="M32" s="10">
        <f t="shared" si="4"/>
        <v>0.35429902187145157</v>
      </c>
      <c r="P32" s="8">
        <f t="shared" si="5"/>
        <v>-0.26463381412652032</v>
      </c>
    </row>
    <row r="33" spans="1:16" x14ac:dyDescent="0.2">
      <c r="A33" s="8">
        <v>15.5</v>
      </c>
      <c r="B33" s="8">
        <v>31</v>
      </c>
      <c r="D33">
        <v>735.29967426710004</v>
      </c>
      <c r="E33">
        <v>324.03322475570002</v>
      </c>
      <c r="F33">
        <v>146.96618985696</v>
      </c>
      <c r="G33">
        <v>123.07737321195999</v>
      </c>
      <c r="I33" s="9">
        <f t="shared" si="1"/>
        <v>200.95585154374004</v>
      </c>
      <c r="J33" s="9">
        <f t="shared" si="2"/>
        <v>588.33348441014004</v>
      </c>
      <c r="K33" s="9">
        <f t="shared" si="3"/>
        <v>200.95585154374004</v>
      </c>
      <c r="L33" s="10">
        <f t="shared" si="0"/>
        <v>0.34156793191061918</v>
      </c>
      <c r="M33" s="10">
        <f t="shared" si="4"/>
        <v>0.35218626754658106</v>
      </c>
      <c r="P33" s="8">
        <f t="shared" si="5"/>
        <v>-0.8593752987027935</v>
      </c>
    </row>
    <row r="34" spans="1:16" x14ac:dyDescent="0.2">
      <c r="A34" s="8">
        <v>16</v>
      </c>
      <c r="B34" s="8">
        <v>32</v>
      </c>
      <c r="D34">
        <v>726.92508143323005</v>
      </c>
      <c r="E34">
        <v>321.47100977199</v>
      </c>
      <c r="F34">
        <v>146.56566970091001</v>
      </c>
      <c r="G34">
        <v>123.40767230169</v>
      </c>
      <c r="I34" s="9">
        <f t="shared" si="1"/>
        <v>198.06333747029998</v>
      </c>
      <c r="J34" s="9">
        <f t="shared" si="2"/>
        <v>580.35941173232004</v>
      </c>
      <c r="K34" s="9">
        <f t="shared" si="3"/>
        <v>198.06333747029998</v>
      </c>
      <c r="L34" s="10">
        <f t="shared" si="0"/>
        <v>0.34127703189838682</v>
      </c>
      <c r="M34" s="10">
        <f t="shared" si="4"/>
        <v>0.35223789449034743</v>
      </c>
      <c r="P34" s="8">
        <f t="shared" si="5"/>
        <v>-0.844842286123762</v>
      </c>
    </row>
    <row r="35" spans="1:16" x14ac:dyDescent="0.2">
      <c r="A35" s="8">
        <v>16.5</v>
      </c>
      <c r="B35" s="8">
        <v>33</v>
      </c>
      <c r="D35">
        <v>716.11400651465999</v>
      </c>
      <c r="E35">
        <v>319.25993485342002</v>
      </c>
      <c r="F35">
        <v>147.40507152146</v>
      </c>
      <c r="G35">
        <v>122.66710013004</v>
      </c>
      <c r="I35" s="9">
        <f t="shared" si="1"/>
        <v>196.59283472338001</v>
      </c>
      <c r="J35" s="9">
        <f t="shared" si="2"/>
        <v>568.70893499320005</v>
      </c>
      <c r="K35" s="9">
        <f t="shared" si="3"/>
        <v>196.59283472338001</v>
      </c>
      <c r="L35" s="10">
        <f t="shared" si="0"/>
        <v>0.34568269043589167</v>
      </c>
      <c r="M35" s="10">
        <f t="shared" si="4"/>
        <v>0.35698607998385107</v>
      </c>
      <c r="P35" s="8">
        <f t="shared" si="5"/>
        <v>0.49177449709969884</v>
      </c>
    </row>
    <row r="36" spans="1:16" x14ac:dyDescent="0.2">
      <c r="A36" s="8">
        <v>17</v>
      </c>
      <c r="B36" s="8">
        <v>34</v>
      </c>
      <c r="D36">
        <v>715.76156351791997</v>
      </c>
      <c r="E36">
        <v>319.87687296416999</v>
      </c>
      <c r="F36">
        <v>146.57152145644</v>
      </c>
      <c r="G36">
        <v>122.60728218465999</v>
      </c>
      <c r="I36" s="9">
        <f t="shared" si="1"/>
        <v>197.26959077951</v>
      </c>
      <c r="J36" s="9">
        <f t="shared" si="2"/>
        <v>569.19004206147997</v>
      </c>
      <c r="K36" s="9">
        <f t="shared" si="3"/>
        <v>197.26959077951</v>
      </c>
      <c r="L36" s="10">
        <f t="shared" si="0"/>
        <v>0.34657948347979406</v>
      </c>
      <c r="M36" s="10">
        <f t="shared" si="4"/>
        <v>0.35822539998375219</v>
      </c>
      <c r="P36" s="8">
        <f t="shared" si="5"/>
        <v>0.84064374703079725</v>
      </c>
    </row>
    <row r="37" spans="1:16" x14ac:dyDescent="0.2">
      <c r="A37" s="8">
        <v>17.5</v>
      </c>
      <c r="B37" s="8">
        <v>35</v>
      </c>
      <c r="D37">
        <v>717.58501628664999</v>
      </c>
      <c r="E37">
        <v>323.69250814332003</v>
      </c>
      <c r="F37">
        <v>147.21586475942999</v>
      </c>
      <c r="G37">
        <v>122.28478543563</v>
      </c>
      <c r="I37" s="9">
        <f t="shared" si="1"/>
        <v>201.40772270769003</v>
      </c>
      <c r="J37" s="9">
        <f t="shared" si="2"/>
        <v>570.36915152721997</v>
      </c>
      <c r="K37" s="9">
        <f t="shared" si="3"/>
        <v>201.40772270769003</v>
      </c>
      <c r="L37" s="10">
        <f t="shared" si="0"/>
        <v>0.35311819050592214</v>
      </c>
      <c r="M37" s="10">
        <f t="shared" si="4"/>
        <v>0.36510663396587906</v>
      </c>
      <c r="P37" s="8">
        <f t="shared" si="5"/>
        <v>2.7777148328976584</v>
      </c>
    </row>
    <row r="38" spans="1:16" x14ac:dyDescent="0.2">
      <c r="A38" s="8">
        <v>18</v>
      </c>
      <c r="B38" s="8">
        <v>36</v>
      </c>
      <c r="D38">
        <v>731.90077319587999</v>
      </c>
      <c r="E38">
        <v>333.46005154638999</v>
      </c>
      <c r="F38">
        <v>146.53771131338999</v>
      </c>
      <c r="G38">
        <v>122.57672301690999</v>
      </c>
      <c r="I38" s="9">
        <f t="shared" si="1"/>
        <v>210.88332852948</v>
      </c>
      <c r="J38" s="9">
        <f t="shared" si="2"/>
        <v>585.36306188249</v>
      </c>
      <c r="K38" s="9">
        <f t="shared" si="3"/>
        <v>210.88332852948</v>
      </c>
      <c r="L38" s="10">
        <f t="shared" si="0"/>
        <v>0.36026073775699607</v>
      </c>
      <c r="M38" s="10">
        <f t="shared" si="4"/>
        <v>0.37259170817295179</v>
      </c>
      <c r="P38" s="8">
        <f t="shared" si="5"/>
        <v>4.884767268514298</v>
      </c>
    </row>
    <row r="39" spans="1:16" x14ac:dyDescent="0.2">
      <c r="A39" s="8">
        <v>18.5</v>
      </c>
      <c r="B39" s="8">
        <v>37</v>
      </c>
      <c r="D39">
        <v>728.34987113401996</v>
      </c>
      <c r="E39">
        <v>331.99548969071998</v>
      </c>
      <c r="F39">
        <v>146.50455136541001</v>
      </c>
      <c r="G39">
        <v>122.28088426527999</v>
      </c>
      <c r="I39" s="9">
        <f t="shared" si="1"/>
        <v>209.71460542543997</v>
      </c>
      <c r="J39" s="9">
        <f t="shared" si="2"/>
        <v>581.8453197686099</v>
      </c>
      <c r="K39" s="9">
        <f t="shared" si="3"/>
        <v>209.71460542543997</v>
      </c>
      <c r="L39" s="10">
        <f t="shared" si="0"/>
        <v>0.36043016640374448</v>
      </c>
      <c r="M39" s="10">
        <f t="shared" si="4"/>
        <v>0.37310366377569892</v>
      </c>
      <c r="P39" s="8">
        <f t="shared" si="5"/>
        <v>5.0288830474436041</v>
      </c>
    </row>
    <row r="40" spans="1:16" x14ac:dyDescent="0.2">
      <c r="A40" s="8">
        <v>19</v>
      </c>
      <c r="B40" s="8">
        <v>38</v>
      </c>
      <c r="D40">
        <v>716.89239690722002</v>
      </c>
      <c r="E40">
        <v>329.98840206185997</v>
      </c>
      <c r="F40">
        <v>147.01300390117001</v>
      </c>
      <c r="G40">
        <v>122.25357607282</v>
      </c>
      <c r="I40" s="9">
        <f t="shared" si="1"/>
        <v>207.73482598903996</v>
      </c>
      <c r="J40" s="9">
        <f t="shared" si="2"/>
        <v>569.87939300605001</v>
      </c>
      <c r="K40" s="9">
        <f t="shared" si="3"/>
        <v>207.73482598903996</v>
      </c>
      <c r="L40" s="10">
        <f t="shared" si="0"/>
        <v>0.36452419325650998</v>
      </c>
      <c r="M40" s="10">
        <f t="shared" si="4"/>
        <v>0.37754021758446321</v>
      </c>
      <c r="P40" s="8">
        <f t="shared" si="5"/>
        <v>6.277775342949238</v>
      </c>
    </row>
    <row r="41" spans="1:16" x14ac:dyDescent="0.2">
      <c r="A41" s="8">
        <v>19.5</v>
      </c>
      <c r="B41" s="8">
        <v>39</v>
      </c>
      <c r="D41">
        <v>711.36855670103</v>
      </c>
      <c r="E41">
        <v>328.69394329897</v>
      </c>
      <c r="F41">
        <v>146.83615084524999</v>
      </c>
      <c r="G41">
        <v>122.61183355007</v>
      </c>
      <c r="I41" s="9">
        <f t="shared" si="1"/>
        <v>206.0821097489</v>
      </c>
      <c r="J41" s="9">
        <f t="shared" si="2"/>
        <v>564.53240585577998</v>
      </c>
      <c r="K41" s="9">
        <f t="shared" si="3"/>
        <v>206.0821097489</v>
      </c>
      <c r="L41" s="10">
        <f t="shared" si="0"/>
        <v>0.36504921172150995</v>
      </c>
      <c r="M41" s="10">
        <f t="shared" si="4"/>
        <v>0.37840776300546197</v>
      </c>
      <c r="P41" s="8">
        <f t="shared" si="5"/>
        <v>6.521989847943221</v>
      </c>
    </row>
    <row r="42" spans="1:16" x14ac:dyDescent="0.2">
      <c r="A42" s="8">
        <v>20</v>
      </c>
      <c r="B42" s="8">
        <v>40</v>
      </c>
      <c r="D42">
        <v>704.19523195876002</v>
      </c>
      <c r="E42">
        <v>326.38788659794</v>
      </c>
      <c r="F42">
        <v>146.4200260078</v>
      </c>
      <c r="G42">
        <v>122.29973992198001</v>
      </c>
      <c r="I42" s="9">
        <f t="shared" si="1"/>
        <v>204.08814667595999</v>
      </c>
      <c r="J42" s="9">
        <f t="shared" si="2"/>
        <v>557.77520595096007</v>
      </c>
      <c r="K42" s="9">
        <f t="shared" si="3"/>
        <v>204.08814667595999</v>
      </c>
      <c r="L42" s="10">
        <f t="shared" si="0"/>
        <v>0.36589677077525662</v>
      </c>
      <c r="M42" s="10">
        <f t="shared" si="4"/>
        <v>0.37959784901520738</v>
      </c>
      <c r="P42" s="8">
        <f t="shared" si="5"/>
        <v>6.8569997030302838</v>
      </c>
    </row>
    <row r="43" spans="1:16" x14ac:dyDescent="0.2">
      <c r="A43" s="8">
        <v>20.5</v>
      </c>
      <c r="B43" s="8">
        <v>41</v>
      </c>
      <c r="D43">
        <v>716.76610824741999</v>
      </c>
      <c r="E43">
        <v>329.28930412371</v>
      </c>
      <c r="F43">
        <v>146.57217165150001</v>
      </c>
      <c r="G43">
        <v>122.32509752926001</v>
      </c>
      <c r="I43" s="9">
        <f t="shared" si="1"/>
        <v>206.96420659444999</v>
      </c>
      <c r="J43" s="9">
        <f t="shared" si="2"/>
        <v>570.19393659591992</v>
      </c>
      <c r="K43" s="9">
        <f t="shared" si="3"/>
        <v>206.96420659444999</v>
      </c>
      <c r="L43" s="10">
        <f t="shared" si="0"/>
        <v>0.36297160196061429</v>
      </c>
      <c r="M43" s="10">
        <f t="shared" si="4"/>
        <v>0.37701520715656384</v>
      </c>
      <c r="P43" s="8">
        <f t="shared" si="5"/>
        <v>6.129984623682323</v>
      </c>
    </row>
    <row r="44" spans="1:16" x14ac:dyDescent="0.2">
      <c r="A44" s="8">
        <v>21</v>
      </c>
      <c r="B44" s="8">
        <v>42</v>
      </c>
      <c r="D44">
        <v>719.91043814432999</v>
      </c>
      <c r="E44">
        <v>329.62564432990001</v>
      </c>
      <c r="F44">
        <v>146.94148244473001</v>
      </c>
      <c r="G44">
        <v>122.26918075423001</v>
      </c>
      <c r="I44" s="9">
        <f t="shared" si="1"/>
        <v>207.35646357567001</v>
      </c>
      <c r="J44" s="9">
        <f t="shared" si="2"/>
        <v>572.96895569959997</v>
      </c>
      <c r="K44" s="9">
        <f t="shared" si="3"/>
        <v>207.35646357567001</v>
      </c>
      <c r="L44" s="10">
        <f t="shared" si="0"/>
        <v>0.36189825210073728</v>
      </c>
      <c r="M44" s="10">
        <f t="shared" si="4"/>
        <v>0.37628438425268557</v>
      </c>
      <c r="P44" s="8">
        <f t="shared" si="5"/>
        <v>5.9242575811680238</v>
      </c>
    </row>
    <row r="45" spans="1:16" x14ac:dyDescent="0.2">
      <c r="A45" s="8">
        <v>21.5</v>
      </c>
      <c r="B45" s="8">
        <v>43</v>
      </c>
      <c r="D45">
        <v>750.13040671400995</v>
      </c>
      <c r="E45">
        <v>338.11620400257999</v>
      </c>
      <c r="F45">
        <v>147.04811443432999</v>
      </c>
      <c r="G45">
        <v>122.55396618986001</v>
      </c>
      <c r="I45" s="9">
        <f t="shared" si="1"/>
        <v>215.56223781271999</v>
      </c>
      <c r="J45" s="9">
        <f t="shared" si="2"/>
        <v>603.0822922796799</v>
      </c>
      <c r="K45" s="9">
        <f t="shared" si="3"/>
        <v>215.56223781271999</v>
      </c>
      <c r="L45" s="10">
        <f t="shared" si="0"/>
        <v>0.35743420188625408</v>
      </c>
      <c r="M45" s="10">
        <f t="shared" si="4"/>
        <v>0.37216286099420115</v>
      </c>
      <c r="P45" s="8">
        <f t="shared" si="5"/>
        <v>4.7640465558672513</v>
      </c>
    </row>
    <row r="46" spans="1:16" x14ac:dyDescent="0.2">
      <c r="A46" s="8">
        <v>22</v>
      </c>
      <c r="B46" s="8">
        <v>44</v>
      </c>
      <c r="D46">
        <v>748.97675919948006</v>
      </c>
      <c r="E46">
        <v>339.53389283409001</v>
      </c>
      <c r="F46">
        <v>146.09882964889999</v>
      </c>
      <c r="G46">
        <v>122.42522756827</v>
      </c>
      <c r="I46" s="9">
        <f t="shared" si="1"/>
        <v>217.10866526582001</v>
      </c>
      <c r="J46" s="9">
        <f t="shared" si="2"/>
        <v>602.87792955058012</v>
      </c>
      <c r="K46" s="9">
        <f t="shared" si="3"/>
        <v>217.10866526582001</v>
      </c>
      <c r="L46" s="10">
        <f t="shared" si="0"/>
        <v>0.36012044001621568</v>
      </c>
      <c r="M46" s="10">
        <f t="shared" si="4"/>
        <v>0.37519162608016154</v>
      </c>
      <c r="P46" s="8">
        <f t="shared" si="5"/>
        <v>5.6166455648728384</v>
      </c>
    </row>
    <row r="47" spans="1:16" x14ac:dyDescent="0.2">
      <c r="A47" s="8">
        <v>22.5</v>
      </c>
      <c r="B47" s="8">
        <v>45</v>
      </c>
      <c r="D47">
        <v>752.78437701742996</v>
      </c>
      <c r="E47">
        <v>340.91220142026998</v>
      </c>
      <c r="F47">
        <v>146.52860858258001</v>
      </c>
      <c r="G47">
        <v>122.17750325098</v>
      </c>
      <c r="I47" s="9">
        <f t="shared" si="1"/>
        <v>218.73469816928997</v>
      </c>
      <c r="J47" s="9">
        <f t="shared" si="2"/>
        <v>606.25576843484998</v>
      </c>
      <c r="K47" s="9">
        <f t="shared" si="3"/>
        <v>218.73469816928997</v>
      </c>
      <c r="L47" s="10">
        <f t="shared" si="0"/>
        <v>0.3607960691804879</v>
      </c>
      <c r="M47" s="10">
        <f t="shared" si="4"/>
        <v>0.3762097822004325</v>
      </c>
      <c r="P47" s="8">
        <f t="shared" si="5"/>
        <v>5.9032570631299661</v>
      </c>
    </row>
    <row r="48" spans="1:16" x14ac:dyDescent="0.2">
      <c r="A48" s="8">
        <v>23</v>
      </c>
      <c r="B48" s="8">
        <v>46</v>
      </c>
      <c r="D48">
        <v>751.64364105874995</v>
      </c>
      <c r="E48">
        <v>339.54744996772001</v>
      </c>
      <c r="F48">
        <v>146.38556566969999</v>
      </c>
      <c r="G48">
        <v>122.23081924576999</v>
      </c>
      <c r="I48" s="9">
        <f t="shared" si="1"/>
        <v>217.31663072195002</v>
      </c>
      <c r="J48" s="9">
        <f t="shared" si="2"/>
        <v>605.25807538904996</v>
      </c>
      <c r="K48" s="9">
        <f t="shared" si="3"/>
        <v>217.31663072195002</v>
      </c>
      <c r="L48" s="10">
        <f t="shared" si="0"/>
        <v>0.35904788314020009</v>
      </c>
      <c r="M48" s="10">
        <f t="shared" si="4"/>
        <v>0.37480412311614347</v>
      </c>
      <c r="P48" s="8">
        <f t="shared" si="5"/>
        <v>5.5075632710231073</v>
      </c>
    </row>
    <row r="49" spans="1:25" x14ac:dyDescent="0.2">
      <c r="A49" s="8">
        <v>23.5</v>
      </c>
      <c r="B49" s="8">
        <v>47</v>
      </c>
      <c r="D49">
        <v>753.56100710136002</v>
      </c>
      <c r="E49">
        <v>342.17624273724999</v>
      </c>
      <c r="F49">
        <v>146.5422626788</v>
      </c>
      <c r="G49">
        <v>122.21196358908</v>
      </c>
      <c r="I49" s="9">
        <f t="shared" si="1"/>
        <v>219.96427914816999</v>
      </c>
      <c r="J49" s="9">
        <f t="shared" si="2"/>
        <v>607.01874442256008</v>
      </c>
      <c r="K49" s="9">
        <f t="shared" si="3"/>
        <v>219.96427914816999</v>
      </c>
      <c r="L49" s="10">
        <f t="shared" si="0"/>
        <v>0.36236818248078295</v>
      </c>
      <c r="M49" s="10">
        <f t="shared" si="4"/>
        <v>0.37846694941272513</v>
      </c>
      <c r="P49" s="8">
        <f t="shared" si="5"/>
        <v>6.5386508535831371</v>
      </c>
    </row>
    <row r="50" spans="1:25" x14ac:dyDescent="0.2">
      <c r="A50" s="8">
        <v>24</v>
      </c>
      <c r="B50" s="8">
        <v>48</v>
      </c>
      <c r="D50">
        <v>758.36539703033998</v>
      </c>
      <c r="E50">
        <v>342.81149128470003</v>
      </c>
      <c r="F50">
        <v>147.00260078023001</v>
      </c>
      <c r="G50">
        <v>122.633289987</v>
      </c>
      <c r="I50" s="9">
        <f t="shared" si="1"/>
        <v>220.17820129770001</v>
      </c>
      <c r="J50" s="9">
        <f t="shared" si="2"/>
        <v>611.36279625011002</v>
      </c>
      <c r="K50" s="9">
        <f t="shared" si="3"/>
        <v>220.17820129770001</v>
      </c>
      <c r="L50" s="10">
        <f t="shared" si="0"/>
        <v>0.36014327768748389</v>
      </c>
      <c r="M50" s="10">
        <f t="shared" si="4"/>
        <v>0.3765845715754248</v>
      </c>
      <c r="P50" s="8">
        <f t="shared" si="5"/>
        <v>6.0087604747961549</v>
      </c>
    </row>
    <row r="51" spans="1:25" x14ac:dyDescent="0.2">
      <c r="A51" s="8">
        <v>24.5</v>
      </c>
      <c r="B51" s="8">
        <v>49</v>
      </c>
      <c r="D51">
        <v>754.45577792124004</v>
      </c>
      <c r="E51">
        <v>342.04002582311</v>
      </c>
      <c r="F51">
        <v>146.51690507152</v>
      </c>
      <c r="G51">
        <v>122.20351105332</v>
      </c>
      <c r="I51" s="9">
        <f t="shared" si="1"/>
        <v>219.83651476979</v>
      </c>
      <c r="J51" s="9">
        <f t="shared" si="2"/>
        <v>607.93887284972004</v>
      </c>
      <c r="K51" s="9">
        <f t="shared" si="3"/>
        <v>219.83651476979</v>
      </c>
      <c r="L51" s="10">
        <f t="shared" si="0"/>
        <v>0.36160957061242682</v>
      </c>
      <c r="M51" s="10">
        <f t="shared" si="4"/>
        <v>0.37839339145636652</v>
      </c>
      <c r="P51" s="8">
        <f t="shared" si="5"/>
        <v>6.5179442491037953</v>
      </c>
    </row>
    <row r="52" spans="1:25" x14ac:dyDescent="0.2">
      <c r="A52" s="8">
        <v>25</v>
      </c>
      <c r="B52" s="8">
        <v>50</v>
      </c>
      <c r="D52">
        <v>735.95739186571996</v>
      </c>
      <c r="E52">
        <v>333.03486120078003</v>
      </c>
      <c r="F52">
        <v>145.96228868661001</v>
      </c>
      <c r="G52">
        <v>122.35760728219</v>
      </c>
      <c r="I52" s="9">
        <f t="shared" si="1"/>
        <v>210.67725391859003</v>
      </c>
      <c r="J52" s="9">
        <f t="shared" si="2"/>
        <v>589.99510317910995</v>
      </c>
      <c r="K52" s="9">
        <f t="shared" si="3"/>
        <v>210.67725391859003</v>
      </c>
      <c r="L52" s="10">
        <f t="shared" si="0"/>
        <v>0.35708305506839588</v>
      </c>
      <c r="M52" s="10">
        <f t="shared" si="4"/>
        <v>0.37420940286833437</v>
      </c>
      <c r="P52" s="8">
        <f t="shared" si="5"/>
        <v>5.3401491997674588</v>
      </c>
    </row>
    <row r="53" spans="1:25" x14ac:dyDescent="0.2">
      <c r="A53" s="8">
        <v>25.5</v>
      </c>
      <c r="B53" s="8">
        <v>51</v>
      </c>
      <c r="D53">
        <v>721.68560361523998</v>
      </c>
      <c r="E53">
        <v>329.62104583602002</v>
      </c>
      <c r="F53">
        <v>146.45188556567001</v>
      </c>
      <c r="G53">
        <v>122.0344603381</v>
      </c>
      <c r="I53" s="9">
        <f t="shared" si="1"/>
        <v>207.58658549792</v>
      </c>
      <c r="J53" s="9">
        <f t="shared" si="2"/>
        <v>575.23371804956992</v>
      </c>
      <c r="K53" s="9">
        <f t="shared" si="3"/>
        <v>207.58658549792</v>
      </c>
      <c r="L53" s="10">
        <f t="shared" si="0"/>
        <v>0.36087346583537988</v>
      </c>
      <c r="M53" s="10">
        <f t="shared" si="4"/>
        <v>0.37834234059131711</v>
      </c>
      <c r="P53" s="8">
        <f t="shared" si="5"/>
        <v>6.5035734029950056</v>
      </c>
      <c r="S53" s="11"/>
      <c r="U53" s="12"/>
    </row>
    <row r="54" spans="1:25" x14ac:dyDescent="0.2">
      <c r="A54" s="8">
        <v>26</v>
      </c>
      <c r="B54" s="8">
        <v>52</v>
      </c>
      <c r="D54">
        <v>762.27846454130997</v>
      </c>
      <c r="E54">
        <v>342.75471698113</v>
      </c>
      <c r="F54">
        <v>146.03706111834001</v>
      </c>
      <c r="G54">
        <v>122.21521456437</v>
      </c>
      <c r="I54" s="9">
        <f t="shared" si="1"/>
        <v>220.53950241676</v>
      </c>
      <c r="J54" s="9">
        <f t="shared" si="2"/>
        <v>616.24140342296994</v>
      </c>
      <c r="K54" s="9">
        <f t="shared" si="3"/>
        <v>220.53950241676</v>
      </c>
      <c r="L54" s="10">
        <f t="shared" si="0"/>
        <v>0.35787842425347099</v>
      </c>
      <c r="M54" s="10">
        <f t="shared" si="4"/>
        <v>0.37568982596540701</v>
      </c>
      <c r="P54" s="8">
        <f t="shared" si="5"/>
        <v>5.7568891018892758</v>
      </c>
      <c r="S54" s="11"/>
    </row>
    <row r="55" spans="1:25" x14ac:dyDescent="0.2">
      <c r="A55" s="8">
        <v>26.5</v>
      </c>
      <c r="B55" s="8">
        <v>53</v>
      </c>
      <c r="D55">
        <v>773.62719583603996</v>
      </c>
      <c r="E55">
        <v>345.68770331815</v>
      </c>
      <c r="F55">
        <v>146.53120936280999</v>
      </c>
      <c r="G55">
        <v>122.26137841352001</v>
      </c>
      <c r="I55" s="9">
        <f t="shared" si="1"/>
        <v>223.42632490463001</v>
      </c>
      <c r="J55" s="9">
        <f t="shared" si="2"/>
        <v>627.09598647322991</v>
      </c>
      <c r="K55" s="9">
        <f t="shared" si="3"/>
        <v>223.42632490463001</v>
      </c>
      <c r="L55" s="10">
        <f t="shared" si="0"/>
        <v>0.35628728252778868</v>
      </c>
      <c r="M55" s="10">
        <f t="shared" si="4"/>
        <v>0.37444121119572343</v>
      </c>
      <c r="P55" s="8">
        <f t="shared" si="5"/>
        <v>5.4054033692397949</v>
      </c>
      <c r="S55" s="11"/>
    </row>
    <row r="56" spans="1:25" x14ac:dyDescent="0.2">
      <c r="A56" s="8">
        <v>27</v>
      </c>
      <c r="B56" s="8">
        <v>54</v>
      </c>
      <c r="D56">
        <v>750.73116883116995</v>
      </c>
      <c r="E56">
        <v>335.59870129870001</v>
      </c>
      <c r="F56">
        <v>146.58387516254999</v>
      </c>
      <c r="G56">
        <v>121.98244473342</v>
      </c>
      <c r="I56" s="9">
        <f t="shared" si="1"/>
        <v>213.61625656528003</v>
      </c>
      <c r="J56" s="9">
        <f t="shared" si="2"/>
        <v>604.14729366862002</v>
      </c>
      <c r="K56" s="9">
        <f t="shared" si="3"/>
        <v>213.61625656528003</v>
      </c>
      <c r="L56" s="10">
        <f t="shared" si="0"/>
        <v>0.35358307287634788</v>
      </c>
      <c r="M56" s="10">
        <f t="shared" si="4"/>
        <v>0.37207952850028142</v>
      </c>
      <c r="P56" s="8">
        <f t="shared" si="5"/>
        <v>4.7405884137804746</v>
      </c>
      <c r="S56" s="11"/>
    </row>
    <row r="57" spans="1:25" x14ac:dyDescent="0.2">
      <c r="A57" s="8">
        <v>27.5</v>
      </c>
      <c r="B57" s="8">
        <v>55</v>
      </c>
      <c r="D57">
        <v>738.11883116882996</v>
      </c>
      <c r="E57">
        <v>328.90974025973998</v>
      </c>
      <c r="F57">
        <v>146.46488946683999</v>
      </c>
      <c r="G57">
        <v>122.20546163848999</v>
      </c>
      <c r="I57" s="9">
        <f t="shared" si="1"/>
        <v>206.70427862124998</v>
      </c>
      <c r="J57" s="9">
        <f t="shared" si="2"/>
        <v>591.65394170198999</v>
      </c>
      <c r="K57" s="9">
        <f t="shared" si="3"/>
        <v>206.70427862124998</v>
      </c>
      <c r="L57" s="10">
        <f t="shared" si="0"/>
        <v>0.34936685797551031</v>
      </c>
      <c r="M57" s="10">
        <f t="shared" si="4"/>
        <v>0.36820584055544264</v>
      </c>
      <c r="P57" s="8">
        <f t="shared" si="5"/>
        <v>3.6501431632472285</v>
      </c>
      <c r="S57" s="11"/>
    </row>
    <row r="58" spans="1:25" x14ac:dyDescent="0.2">
      <c r="A58" s="8">
        <v>28</v>
      </c>
      <c r="B58" s="8">
        <v>56</v>
      </c>
      <c r="D58">
        <v>747.49514563107005</v>
      </c>
      <c r="E58">
        <v>331.47249190938999</v>
      </c>
      <c r="F58">
        <v>146.42197659298</v>
      </c>
      <c r="G58">
        <v>122.31079323797</v>
      </c>
      <c r="I58" s="9">
        <f t="shared" si="1"/>
        <v>209.16169867141997</v>
      </c>
      <c r="J58" s="9">
        <f t="shared" si="2"/>
        <v>601.0731690380901</v>
      </c>
      <c r="K58" s="9">
        <f t="shared" si="3"/>
        <v>209.16169867141997</v>
      </c>
      <c r="L58" s="10">
        <f t="shared" si="0"/>
        <v>0.34798042808356561</v>
      </c>
      <c r="M58" s="10">
        <f t="shared" si="4"/>
        <v>0.36716193761949667</v>
      </c>
      <c r="P58" s="8">
        <f t="shared" si="5"/>
        <v>3.356283922459216</v>
      </c>
      <c r="S58" s="11"/>
    </row>
    <row r="59" spans="1:25" x14ac:dyDescent="0.2">
      <c r="A59" s="8">
        <v>28.5</v>
      </c>
      <c r="B59" s="8">
        <v>57</v>
      </c>
      <c r="D59">
        <v>752.61618122976995</v>
      </c>
      <c r="E59">
        <v>330.3644012945</v>
      </c>
      <c r="F59">
        <v>146.35825747723999</v>
      </c>
      <c r="G59">
        <v>122.42132639792</v>
      </c>
      <c r="I59" s="9">
        <f t="shared" si="1"/>
        <v>207.94307489658001</v>
      </c>
      <c r="J59" s="9">
        <f t="shared" si="2"/>
        <v>606.2579237525299</v>
      </c>
      <c r="K59" s="9">
        <f t="shared" si="3"/>
        <v>207.94307489658001</v>
      </c>
      <c r="L59" s="10">
        <f t="shared" si="0"/>
        <v>0.34299440345370374</v>
      </c>
      <c r="M59" s="10">
        <f t="shared" si="4"/>
        <v>0.3625184399456336</v>
      </c>
      <c r="P59" s="8">
        <f t="shared" si="5"/>
        <v>2.0491368170573363</v>
      </c>
      <c r="R59" s="1"/>
      <c r="S59" s="11"/>
    </row>
    <row r="60" spans="1:25" x14ac:dyDescent="0.2">
      <c r="A60" s="8">
        <v>29</v>
      </c>
      <c r="B60" s="8">
        <v>58</v>
      </c>
      <c r="D60">
        <v>730.02658884565994</v>
      </c>
      <c r="E60">
        <v>320.71595330739001</v>
      </c>
      <c r="F60">
        <v>146.38036410922999</v>
      </c>
      <c r="G60">
        <v>122.46684005202</v>
      </c>
      <c r="I60" s="9">
        <f t="shared" si="1"/>
        <v>198.24911325536999</v>
      </c>
      <c r="J60" s="9">
        <f t="shared" si="2"/>
        <v>583.64622473642999</v>
      </c>
      <c r="K60" s="9">
        <f t="shared" si="3"/>
        <v>198.24911325536999</v>
      </c>
      <c r="L60" s="10">
        <f t="shared" si="0"/>
        <v>0.33967342690325414</v>
      </c>
      <c r="M60" s="10">
        <f t="shared" si="4"/>
        <v>0.35953999035118278</v>
      </c>
      <c r="P60" s="8">
        <f t="shared" si="5"/>
        <v>1.2107016461115412</v>
      </c>
      <c r="S60" s="11"/>
    </row>
    <row r="61" spans="1:25" x14ac:dyDescent="0.2">
      <c r="A61" s="8">
        <v>29.5</v>
      </c>
      <c r="B61" s="8">
        <v>59</v>
      </c>
      <c r="C61" s="2"/>
      <c r="D61">
        <v>740.728802589</v>
      </c>
      <c r="E61">
        <v>324.38317152104003</v>
      </c>
      <c r="F61">
        <v>146.18920676203001</v>
      </c>
      <c r="G61">
        <v>122.32249674902999</v>
      </c>
      <c r="I61" s="9">
        <f t="shared" si="1"/>
        <v>202.06067477201003</v>
      </c>
      <c r="J61" s="9">
        <f t="shared" si="2"/>
        <v>594.53959582696996</v>
      </c>
      <c r="K61" s="9">
        <f t="shared" si="3"/>
        <v>202.06067477201003</v>
      </c>
      <c r="L61" s="10">
        <f t="shared" si="0"/>
        <v>0.33986075307727048</v>
      </c>
      <c r="M61" s="10">
        <f t="shared" si="4"/>
        <v>0.36006984348119786</v>
      </c>
      <c r="P61" s="8">
        <f t="shared" si="5"/>
        <v>1.3598555886419232</v>
      </c>
      <c r="S61" s="11"/>
    </row>
    <row r="62" spans="1:25" x14ac:dyDescent="0.2">
      <c r="A62" s="8">
        <v>30</v>
      </c>
      <c r="B62" s="8">
        <v>60</v>
      </c>
      <c r="D62">
        <v>748.52233009709005</v>
      </c>
      <c r="E62">
        <v>328.10614886731003</v>
      </c>
      <c r="F62">
        <v>146.44148244473001</v>
      </c>
      <c r="G62">
        <v>122.04356306891999</v>
      </c>
      <c r="I62" s="9">
        <f t="shared" si="1"/>
        <v>206.06258579839005</v>
      </c>
      <c r="J62" s="9">
        <f t="shared" si="2"/>
        <v>602.08084765236003</v>
      </c>
      <c r="K62" s="9">
        <f t="shared" si="3"/>
        <v>206.06258579839005</v>
      </c>
      <c r="L62" s="10">
        <f t="shared" si="0"/>
        <v>0.34225069042118089</v>
      </c>
      <c r="M62" s="10">
        <f t="shared" si="4"/>
        <v>0.36280230778110706</v>
      </c>
      <c r="P62" s="8">
        <f t="shared" si="5"/>
        <v>2.1290457661980686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742.55663430420998</v>
      </c>
      <c r="E63">
        <v>326.98834951456001</v>
      </c>
      <c r="F63">
        <v>146.43433029908999</v>
      </c>
      <c r="G63">
        <v>122.55006501951</v>
      </c>
      <c r="I63" s="9">
        <f t="shared" si="1"/>
        <v>204.43828449505003</v>
      </c>
      <c r="J63" s="9">
        <f t="shared" si="2"/>
        <v>596.12230400511999</v>
      </c>
      <c r="K63" s="9">
        <f t="shared" si="3"/>
        <v>204.43828449505003</v>
      </c>
      <c r="L63" s="10">
        <f t="shared" si="0"/>
        <v>0.34294688039938553</v>
      </c>
      <c r="M63" s="10">
        <f t="shared" si="4"/>
        <v>0.36384102471531043</v>
      </c>
      <c r="P63" s="8">
        <f t="shared" si="5"/>
        <v>2.42144514469206</v>
      </c>
    </row>
    <row r="64" spans="1:25" x14ac:dyDescent="0.2">
      <c r="A64" s="8">
        <v>31</v>
      </c>
      <c r="B64" s="8">
        <v>62</v>
      </c>
      <c r="D64">
        <v>761.63305139883005</v>
      </c>
      <c r="E64">
        <v>330.59531554977002</v>
      </c>
      <c r="F64">
        <v>146.12418725617999</v>
      </c>
      <c r="G64">
        <v>122.1566970091</v>
      </c>
      <c r="I64" s="9">
        <f t="shared" si="1"/>
        <v>208.43861854067001</v>
      </c>
      <c r="J64" s="9">
        <f t="shared" si="2"/>
        <v>615.50886414265005</v>
      </c>
      <c r="K64" s="9">
        <f t="shared" si="3"/>
        <v>208.43861854067001</v>
      </c>
      <c r="L64" s="10">
        <f t="shared" si="0"/>
        <v>0.33864438139490771</v>
      </c>
      <c r="M64" s="10">
        <f t="shared" si="4"/>
        <v>0.3598810526668314</v>
      </c>
      <c r="P64" s="8">
        <f t="shared" si="5"/>
        <v>1.3067108723401111</v>
      </c>
      <c r="U64" s="8">
        <v>30.5</v>
      </c>
      <c r="V64" s="10">
        <f>L62</f>
        <v>0.34225069042118089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761.25113858165003</v>
      </c>
      <c r="E65">
        <v>330.22186076772999</v>
      </c>
      <c r="F65">
        <v>146.60208062418999</v>
      </c>
      <c r="G65">
        <v>122.11508452536</v>
      </c>
      <c r="I65" s="9">
        <f t="shared" si="1"/>
        <v>208.10677624236999</v>
      </c>
      <c r="J65" s="9">
        <f t="shared" si="2"/>
        <v>614.64905795746006</v>
      </c>
      <c r="K65" s="9">
        <f t="shared" si="3"/>
        <v>208.10677624236999</v>
      </c>
      <c r="L65" s="10">
        <f t="shared" si="0"/>
        <v>0.338578207430968</v>
      </c>
      <c r="M65" s="10">
        <f t="shared" si="4"/>
        <v>0.36015740565889048</v>
      </c>
      <c r="P65" s="8">
        <f t="shared" si="5"/>
        <v>1.3845043889972768</v>
      </c>
      <c r="U65" s="8">
        <v>31</v>
      </c>
      <c r="V65" s="10">
        <f t="shared" ref="V65:V83" si="6">L63</f>
        <v>0.34294688039938553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767.38972023422002</v>
      </c>
      <c r="E66">
        <v>329.93689004554</v>
      </c>
      <c r="F66">
        <v>146.73081924576999</v>
      </c>
      <c r="G66">
        <v>122.08972691808</v>
      </c>
      <c r="I66" s="9">
        <f t="shared" si="1"/>
        <v>207.84716312745999</v>
      </c>
      <c r="J66" s="9">
        <f t="shared" si="2"/>
        <v>620.65890098845</v>
      </c>
      <c r="K66" s="9">
        <f t="shared" si="3"/>
        <v>207.84716312745999</v>
      </c>
      <c r="L66" s="10">
        <f t="shared" ref="L66:L129" si="7">K66/J66</f>
        <v>0.33488146677095326</v>
      </c>
      <c r="M66" s="10">
        <f t="shared" si="4"/>
        <v>0.35680319195487448</v>
      </c>
      <c r="P66" s="8">
        <f t="shared" si="5"/>
        <v>0.44029141807609651</v>
      </c>
      <c r="U66" s="8">
        <v>31.5</v>
      </c>
      <c r="V66" s="10">
        <f t="shared" si="6"/>
        <v>0.33864438139490771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766.28106701366005</v>
      </c>
      <c r="E67">
        <v>329.74430709173998</v>
      </c>
      <c r="F67">
        <v>146.68595578674001</v>
      </c>
      <c r="G67">
        <v>122.13719115735</v>
      </c>
      <c r="I67" s="9">
        <f t="shared" ref="I67:I130" si="8">E67-G67</f>
        <v>207.60711593438998</v>
      </c>
      <c r="J67" s="9">
        <f t="shared" ref="J67:J130" si="9">D67-F67</f>
        <v>619.59511122692004</v>
      </c>
      <c r="K67" s="9">
        <f t="shared" ref="K67:K130" si="10">I67*1</f>
        <v>207.60711593438998</v>
      </c>
      <c r="L67" s="10">
        <f t="shared" si="7"/>
        <v>0.33506900259959621</v>
      </c>
      <c r="M67" s="10">
        <f t="shared" ref="M67:M130" si="11">L67+ABS($N$2)*A67</f>
        <v>0.35733325473951622</v>
      </c>
      <c r="P67" s="8">
        <f t="shared" ref="P67:P130" si="12">(M67-$O$2)/$O$2*100</f>
        <v>0.58950437849721971</v>
      </c>
      <c r="U67" s="8">
        <v>32</v>
      </c>
      <c r="V67" s="10">
        <f t="shared" si="6"/>
        <v>0.338578207430968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764.86238532109996</v>
      </c>
      <c r="E68">
        <v>328.79226736566</v>
      </c>
      <c r="F68">
        <v>146.44538361509001</v>
      </c>
      <c r="G68">
        <v>122.02210663199</v>
      </c>
      <c r="I68" s="9">
        <f t="shared" si="8"/>
        <v>206.77016073367</v>
      </c>
      <c r="J68" s="9">
        <f t="shared" si="9"/>
        <v>618.41700170600996</v>
      </c>
      <c r="K68" s="9">
        <f t="shared" si="10"/>
        <v>206.77016073367</v>
      </c>
      <c r="L68" s="10">
        <f t="shared" si="7"/>
        <v>0.33435393943448977</v>
      </c>
      <c r="M68" s="10">
        <f t="shared" si="11"/>
        <v>0.35696071853040856</v>
      </c>
      <c r="P68" s="8">
        <f t="shared" si="12"/>
        <v>0.48463523424558858</v>
      </c>
      <c r="U68" s="8">
        <v>32.5</v>
      </c>
      <c r="V68" s="10">
        <f t="shared" si="6"/>
        <v>0.33488146677095326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766.03735255569995</v>
      </c>
      <c r="E69">
        <v>330.04390563564999</v>
      </c>
      <c r="F69">
        <v>146.93433029908999</v>
      </c>
      <c r="G69">
        <v>122.46879063719</v>
      </c>
      <c r="I69" s="9">
        <f t="shared" si="8"/>
        <v>207.57511499845998</v>
      </c>
      <c r="J69" s="9">
        <f t="shared" si="9"/>
        <v>619.10302225660996</v>
      </c>
      <c r="K69" s="9">
        <f t="shared" si="10"/>
        <v>207.57511499845998</v>
      </c>
      <c r="L69" s="10">
        <f t="shared" si="7"/>
        <v>0.33528364026047808</v>
      </c>
      <c r="M69" s="10">
        <f t="shared" si="11"/>
        <v>0.35823294631239561</v>
      </c>
      <c r="P69" s="8">
        <f t="shared" si="12"/>
        <v>0.84276804262335758</v>
      </c>
      <c r="U69" s="8">
        <v>33</v>
      </c>
      <c r="V69" s="10">
        <f t="shared" si="6"/>
        <v>0.33506900259959621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763.42726081258002</v>
      </c>
      <c r="E70">
        <v>329.60157273918998</v>
      </c>
      <c r="F70">
        <v>146.85955786736</v>
      </c>
      <c r="G70">
        <v>122.27633289987</v>
      </c>
      <c r="I70" s="9">
        <f t="shared" si="8"/>
        <v>207.32523983931998</v>
      </c>
      <c r="J70" s="9">
        <f t="shared" si="9"/>
        <v>616.56770294522005</v>
      </c>
      <c r="K70" s="9">
        <f t="shared" si="10"/>
        <v>207.32523983931998</v>
      </c>
      <c r="L70" s="10">
        <f t="shared" si="7"/>
        <v>0.33625705473862638</v>
      </c>
      <c r="M70" s="10">
        <f t="shared" si="11"/>
        <v>0.3595488877465427</v>
      </c>
      <c r="P70" s="8">
        <f t="shared" si="12"/>
        <v>1.2132062677151649</v>
      </c>
      <c r="U70" s="8">
        <v>33.5</v>
      </c>
      <c r="V70" s="10">
        <f t="shared" si="6"/>
        <v>0.33435393943448977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738.91661237785002</v>
      </c>
      <c r="E71">
        <v>321.85928338762</v>
      </c>
      <c r="F71">
        <v>146.54356306892001</v>
      </c>
      <c r="G71">
        <v>122.03576072822</v>
      </c>
      <c r="I71" s="9">
        <f t="shared" si="8"/>
        <v>199.8235226594</v>
      </c>
      <c r="J71" s="9">
        <f t="shared" si="9"/>
        <v>592.37304930893004</v>
      </c>
      <c r="K71" s="9">
        <f t="shared" si="10"/>
        <v>199.8235226594</v>
      </c>
      <c r="L71" s="10">
        <f t="shared" si="7"/>
        <v>0.33732716721754419</v>
      </c>
      <c r="M71" s="10">
        <f t="shared" si="11"/>
        <v>0.36096152718145924</v>
      </c>
      <c r="P71" s="8">
        <f t="shared" si="12"/>
        <v>1.6108650322971485</v>
      </c>
      <c r="U71" s="8">
        <v>34</v>
      </c>
      <c r="V71" s="10">
        <f t="shared" si="6"/>
        <v>0.33528364026047808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741.01237785015996</v>
      </c>
      <c r="E72">
        <v>319.54788273615998</v>
      </c>
      <c r="F72">
        <v>146.66319895968999</v>
      </c>
      <c r="G72">
        <v>121.88101430429001</v>
      </c>
      <c r="I72" s="9">
        <f t="shared" si="8"/>
        <v>197.66686843186997</v>
      </c>
      <c r="J72" s="9">
        <f t="shared" si="9"/>
        <v>594.34917889046994</v>
      </c>
      <c r="K72" s="9">
        <f t="shared" si="10"/>
        <v>197.66686843186997</v>
      </c>
      <c r="L72" s="10">
        <f t="shared" si="7"/>
        <v>0.33257700263147355</v>
      </c>
      <c r="M72" s="10">
        <f t="shared" si="11"/>
        <v>0.35655388955138739</v>
      </c>
      <c r="P72" s="8">
        <f t="shared" si="12"/>
        <v>0.37011265672511523</v>
      </c>
      <c r="U72" s="8">
        <v>34.5</v>
      </c>
      <c r="V72" s="10">
        <f t="shared" si="6"/>
        <v>0.33625705473862638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727.21834625323004</v>
      </c>
      <c r="E73">
        <v>315.60077519380002</v>
      </c>
      <c r="F73">
        <v>146.43107932379999</v>
      </c>
      <c r="G73">
        <v>122.04421326398</v>
      </c>
      <c r="I73" s="9">
        <f t="shared" si="8"/>
        <v>193.55656192982002</v>
      </c>
      <c r="J73" s="9">
        <f t="shared" si="9"/>
        <v>580.78726692943007</v>
      </c>
      <c r="K73" s="9">
        <f t="shared" si="10"/>
        <v>193.55656192982002</v>
      </c>
      <c r="L73" s="10">
        <f t="shared" si="7"/>
        <v>0.33326584956508448</v>
      </c>
      <c r="M73" s="10">
        <f t="shared" si="11"/>
        <v>0.35758526344099711</v>
      </c>
      <c r="P73" s="8">
        <f t="shared" si="12"/>
        <v>0.66044496419644649</v>
      </c>
      <c r="U73" s="8">
        <v>35</v>
      </c>
      <c r="V73" s="10">
        <f t="shared" si="6"/>
        <v>0.33732716721754419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737.39018087855004</v>
      </c>
      <c r="E74">
        <v>318.60012919897002</v>
      </c>
      <c r="F74">
        <v>146.1911573472</v>
      </c>
      <c r="G74">
        <v>122.21651495448999</v>
      </c>
      <c r="I74" s="9">
        <f t="shared" si="8"/>
        <v>196.38361424448004</v>
      </c>
      <c r="J74" s="9">
        <f t="shared" si="9"/>
        <v>591.19902353135001</v>
      </c>
      <c r="K74" s="9">
        <f t="shared" si="10"/>
        <v>196.38361424448004</v>
      </c>
      <c r="L74" s="10">
        <f t="shared" si="7"/>
        <v>0.33217851591066816</v>
      </c>
      <c r="M74" s="10">
        <f t="shared" si="11"/>
        <v>0.35684045674257953</v>
      </c>
      <c r="P74" s="8">
        <f t="shared" si="12"/>
        <v>0.45078147595988705</v>
      </c>
      <c r="U74" s="8">
        <v>35.5</v>
      </c>
      <c r="V74" s="10">
        <f t="shared" si="6"/>
        <v>0.33257700263147355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775.96723460025999</v>
      </c>
      <c r="E75">
        <v>326.87287024902002</v>
      </c>
      <c r="F75">
        <v>146.27958387516</v>
      </c>
      <c r="G75">
        <v>121.94018205462</v>
      </c>
      <c r="I75" s="9">
        <f t="shared" si="8"/>
        <v>204.93268819440004</v>
      </c>
      <c r="J75" s="9">
        <f t="shared" si="9"/>
        <v>629.68765072509996</v>
      </c>
      <c r="K75" s="9">
        <f t="shared" si="10"/>
        <v>204.93268819440004</v>
      </c>
      <c r="L75" s="10">
        <f t="shared" si="7"/>
        <v>0.3254513375931945</v>
      </c>
      <c r="M75" s="10">
        <f t="shared" si="11"/>
        <v>0.35045580538110466</v>
      </c>
      <c r="P75" s="8">
        <f t="shared" si="12"/>
        <v>-1.3465013337478677</v>
      </c>
      <c r="U75" s="8">
        <v>36</v>
      </c>
      <c r="V75" s="10">
        <f t="shared" si="6"/>
        <v>0.33326584956508448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780.85124508519004</v>
      </c>
      <c r="E76">
        <v>329.14285714286001</v>
      </c>
      <c r="F76">
        <v>146.37646293888</v>
      </c>
      <c r="G76">
        <v>122.16384915475</v>
      </c>
      <c r="I76" s="9">
        <f t="shared" si="8"/>
        <v>206.97900798811003</v>
      </c>
      <c r="J76" s="9">
        <f t="shared" si="9"/>
        <v>634.47478214631008</v>
      </c>
      <c r="K76" s="9">
        <f t="shared" si="10"/>
        <v>206.97900798811003</v>
      </c>
      <c r="L76" s="10">
        <f t="shared" si="7"/>
        <v>0.32622101588961278</v>
      </c>
      <c r="M76" s="10">
        <f t="shared" si="11"/>
        <v>0.35156801063352172</v>
      </c>
      <c r="P76" s="8">
        <f t="shared" si="12"/>
        <v>-1.0334149539499733</v>
      </c>
      <c r="U76" s="8">
        <v>36.5</v>
      </c>
      <c r="V76" s="10">
        <f t="shared" si="6"/>
        <v>0.33217851591066816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764.34652822841997</v>
      </c>
      <c r="E77">
        <v>324.44841012329999</v>
      </c>
      <c r="F77">
        <v>145.97464239272</v>
      </c>
      <c r="G77">
        <v>122.19765929779</v>
      </c>
      <c r="I77" s="9">
        <f t="shared" si="8"/>
        <v>202.25075082551001</v>
      </c>
      <c r="J77" s="9">
        <f t="shared" si="9"/>
        <v>618.37188583569991</v>
      </c>
      <c r="K77" s="9">
        <f t="shared" si="10"/>
        <v>202.25075082551001</v>
      </c>
      <c r="L77" s="10">
        <f t="shared" si="7"/>
        <v>0.32706977056723374</v>
      </c>
      <c r="M77" s="10">
        <f t="shared" si="11"/>
        <v>0.35275929226714142</v>
      </c>
      <c r="P77" s="8">
        <f t="shared" si="12"/>
        <v>-0.69806853009595915</v>
      </c>
      <c r="U77" s="8">
        <v>37</v>
      </c>
      <c r="V77" s="10">
        <f t="shared" si="6"/>
        <v>0.3254513375931945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765.26865671641997</v>
      </c>
      <c r="E78">
        <v>322.39065541856002</v>
      </c>
      <c r="F78">
        <v>145.75617685306</v>
      </c>
      <c r="G78">
        <v>122.36345903771</v>
      </c>
      <c r="I78" s="9">
        <f t="shared" si="8"/>
        <v>200.02719638085</v>
      </c>
      <c r="J78" s="9">
        <f t="shared" si="9"/>
        <v>619.51247986336</v>
      </c>
      <c r="K78" s="9">
        <f t="shared" si="10"/>
        <v>200.02719638085</v>
      </c>
      <c r="L78" s="10">
        <f t="shared" si="7"/>
        <v>0.32287839693716597</v>
      </c>
      <c r="M78" s="10">
        <f t="shared" si="11"/>
        <v>0.34891044559307244</v>
      </c>
      <c r="P78" s="8">
        <f t="shared" si="12"/>
        <v>-1.7815209494786675</v>
      </c>
      <c r="U78" s="8">
        <v>37.5</v>
      </c>
      <c r="V78" s="10">
        <f t="shared" si="6"/>
        <v>0.32622101588961278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768.82933160285995</v>
      </c>
      <c r="E79">
        <v>321.45295262816001</v>
      </c>
      <c r="F79">
        <v>145.65734720416</v>
      </c>
      <c r="G79">
        <v>122.28608582575001</v>
      </c>
      <c r="I79" s="9">
        <f t="shared" si="8"/>
        <v>199.16686680241</v>
      </c>
      <c r="J79" s="9">
        <f t="shared" si="9"/>
        <v>623.17198439869992</v>
      </c>
      <c r="K79" s="9">
        <f t="shared" si="10"/>
        <v>199.16686680241</v>
      </c>
      <c r="L79" s="10">
        <f t="shared" si="7"/>
        <v>0.31960176610729152</v>
      </c>
      <c r="M79" s="10">
        <f t="shared" si="11"/>
        <v>0.34597634171919678</v>
      </c>
      <c r="P79" s="8">
        <f t="shared" si="12"/>
        <v>-2.6074727761098848</v>
      </c>
      <c r="U79" s="8">
        <v>38</v>
      </c>
      <c r="V79" s="10">
        <f t="shared" si="6"/>
        <v>0.32706977056723374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768.58403634004003</v>
      </c>
      <c r="E80">
        <v>320.38221933809001</v>
      </c>
      <c r="F80">
        <v>146.70221066319999</v>
      </c>
      <c r="G80">
        <v>122.20416124838</v>
      </c>
      <c r="I80" s="9">
        <f t="shared" si="8"/>
        <v>198.17805808971002</v>
      </c>
      <c r="J80" s="9">
        <f t="shared" si="9"/>
        <v>621.88182567683998</v>
      </c>
      <c r="K80" s="9">
        <f t="shared" si="10"/>
        <v>198.17805808971002</v>
      </c>
      <c r="L80" s="10">
        <f t="shared" si="7"/>
        <v>0.31867478660277326</v>
      </c>
      <c r="M80" s="10">
        <f t="shared" si="11"/>
        <v>0.34539188917067726</v>
      </c>
      <c r="P80" s="8">
        <f t="shared" si="12"/>
        <v>-2.7719964844649438</v>
      </c>
      <c r="U80" s="8">
        <v>38.5</v>
      </c>
      <c r="V80" s="10">
        <f t="shared" si="6"/>
        <v>0.32287839693716597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766.60903225806999</v>
      </c>
      <c r="E81">
        <v>317.71935483870999</v>
      </c>
      <c r="F81">
        <v>146.01365409623</v>
      </c>
      <c r="G81">
        <v>122.133289987</v>
      </c>
      <c r="I81" s="9">
        <f t="shared" si="8"/>
        <v>195.58606485170998</v>
      </c>
      <c r="J81" s="9">
        <f t="shared" si="9"/>
        <v>620.59537816184002</v>
      </c>
      <c r="K81" s="9">
        <f t="shared" si="10"/>
        <v>195.58606485170998</v>
      </c>
      <c r="L81" s="10">
        <f t="shared" si="7"/>
        <v>0.31515875195690657</v>
      </c>
      <c r="M81" s="10">
        <f t="shared" si="11"/>
        <v>0.34221838148080935</v>
      </c>
      <c r="P81" s="8">
        <f t="shared" si="12"/>
        <v>-3.6653406147163072</v>
      </c>
      <c r="U81" s="8">
        <v>39</v>
      </c>
      <c r="V81" s="10">
        <f t="shared" si="6"/>
        <v>0.31960176610729152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757.70709677418995</v>
      </c>
      <c r="E82">
        <v>314.58193548386998</v>
      </c>
      <c r="F82">
        <v>146.02210663199</v>
      </c>
      <c r="G82">
        <v>121.97269180754</v>
      </c>
      <c r="H82" s="13"/>
      <c r="I82" s="14">
        <f t="shared" si="8"/>
        <v>192.60924367632998</v>
      </c>
      <c r="J82" s="14">
        <f t="shared" si="9"/>
        <v>611.68499014219992</v>
      </c>
      <c r="K82" s="9">
        <f t="shared" si="10"/>
        <v>192.60924367632998</v>
      </c>
      <c r="L82" s="15">
        <f t="shared" si="7"/>
        <v>0.31488306363632307</v>
      </c>
      <c r="M82" s="15">
        <f t="shared" si="11"/>
        <v>0.34228522011622459</v>
      </c>
      <c r="N82" s="13"/>
      <c r="O82" s="13"/>
      <c r="P82" s="13">
        <f t="shared" si="12"/>
        <v>-3.6465255027148946</v>
      </c>
      <c r="U82" s="8">
        <v>39.5</v>
      </c>
      <c r="V82" s="10">
        <f t="shared" si="6"/>
        <v>0.31867478660277326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766.75612903225999</v>
      </c>
      <c r="E83">
        <v>317.89806451612998</v>
      </c>
      <c r="F83">
        <v>146.18465539662</v>
      </c>
      <c r="G83">
        <v>122.48569570871</v>
      </c>
      <c r="I83" s="9">
        <f t="shared" si="8"/>
        <v>195.41236880741997</v>
      </c>
      <c r="J83" s="9">
        <f t="shared" si="9"/>
        <v>620.57147363564002</v>
      </c>
      <c r="K83" s="9">
        <f t="shared" si="10"/>
        <v>195.41236880741997</v>
      </c>
      <c r="L83" s="10">
        <f t="shared" si="7"/>
        <v>0.31489099500914802</v>
      </c>
      <c r="M83" s="10">
        <f t="shared" si="11"/>
        <v>0.34263567844504833</v>
      </c>
      <c r="P83" s="8">
        <f t="shared" si="12"/>
        <v>-3.5478712936981753</v>
      </c>
      <c r="U83" s="8">
        <v>40</v>
      </c>
      <c r="V83" s="10">
        <f t="shared" si="6"/>
        <v>0.31515875195690657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771.93419354839</v>
      </c>
      <c r="E84">
        <v>320.52129032258</v>
      </c>
      <c r="F84">
        <v>146.6677503251</v>
      </c>
      <c r="G84">
        <v>122.14044213264</v>
      </c>
      <c r="I84" s="9">
        <f t="shared" si="8"/>
        <v>198.38084818994</v>
      </c>
      <c r="J84" s="9">
        <f t="shared" si="9"/>
        <v>625.26644322329003</v>
      </c>
      <c r="K84" s="9">
        <f t="shared" si="10"/>
        <v>198.38084818994</v>
      </c>
      <c r="L84" s="10">
        <f t="shared" si="7"/>
        <v>0.3172741002496049</v>
      </c>
      <c r="M84" s="10">
        <f t="shared" si="11"/>
        <v>0.34536131064150399</v>
      </c>
      <c r="P84" s="8">
        <f t="shared" si="12"/>
        <v>-2.7806043569575398</v>
      </c>
      <c r="U84" s="8">
        <v>150.5</v>
      </c>
      <c r="V84" s="10">
        <f>L302</f>
        <v>0.26294715136156033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750.18023255814001</v>
      </c>
      <c r="E85">
        <v>313.11434108526998</v>
      </c>
      <c r="F85">
        <v>146.75422626788</v>
      </c>
      <c r="G85">
        <v>122.03771131339001</v>
      </c>
      <c r="I85" s="9">
        <f t="shared" si="8"/>
        <v>191.07662977187999</v>
      </c>
      <c r="J85" s="9">
        <f t="shared" si="9"/>
        <v>603.42600629026003</v>
      </c>
      <c r="K85" s="9">
        <f t="shared" si="10"/>
        <v>191.07662977187999</v>
      </c>
      <c r="L85" s="10">
        <f t="shared" si="7"/>
        <v>0.31665295791041576</v>
      </c>
      <c r="M85" s="10">
        <f t="shared" si="11"/>
        <v>0.34508269525831359</v>
      </c>
      <c r="P85" s="8">
        <f t="shared" si="12"/>
        <v>-2.8590347379411898</v>
      </c>
      <c r="U85" s="8">
        <v>151</v>
      </c>
      <c r="V85" s="10">
        <f t="shared" ref="V85:V103" si="13">L303</f>
        <v>0.25825160912141376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734.52464332036004</v>
      </c>
      <c r="E86">
        <v>308.28015564202002</v>
      </c>
      <c r="F86">
        <v>146.35760728219</v>
      </c>
      <c r="G86">
        <v>122.53381014304</v>
      </c>
      <c r="I86" s="9">
        <f t="shared" si="8"/>
        <v>185.74634549898002</v>
      </c>
      <c r="J86" s="9">
        <f t="shared" si="9"/>
        <v>588.16703603817007</v>
      </c>
      <c r="K86" s="9">
        <f t="shared" si="10"/>
        <v>185.74634549898002</v>
      </c>
      <c r="L86" s="10">
        <f t="shared" si="7"/>
        <v>0.3158054330112538</v>
      </c>
      <c r="M86" s="10">
        <f t="shared" si="11"/>
        <v>0.34457769731515042</v>
      </c>
      <c r="P86" s="8">
        <f t="shared" si="12"/>
        <v>-3.0011919319363947</v>
      </c>
      <c r="U86" s="8">
        <v>151.5</v>
      </c>
      <c r="V86" s="10">
        <f t="shared" si="13"/>
        <v>0.25707692012373407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730.73839110530002</v>
      </c>
      <c r="E87">
        <v>308.23348593852</v>
      </c>
      <c r="F87">
        <v>146.13719115735</v>
      </c>
      <c r="G87">
        <v>122.16579973992</v>
      </c>
      <c r="I87" s="9">
        <f t="shared" si="8"/>
        <v>186.0676861986</v>
      </c>
      <c r="J87" s="9">
        <f t="shared" si="9"/>
        <v>584.60119994795002</v>
      </c>
      <c r="K87" s="9">
        <f t="shared" si="10"/>
        <v>186.0676861986</v>
      </c>
      <c r="L87" s="10">
        <f t="shared" si="7"/>
        <v>0.31828139630087404</v>
      </c>
      <c r="M87" s="10">
        <f t="shared" si="11"/>
        <v>0.34739618756076945</v>
      </c>
      <c r="P87" s="8">
        <f t="shared" si="12"/>
        <v>-2.2077854041585172</v>
      </c>
      <c r="U87" s="8">
        <v>152</v>
      </c>
      <c r="V87" s="10">
        <f t="shared" si="13"/>
        <v>0.25704106726496628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743.81730148482995</v>
      </c>
      <c r="E88">
        <v>304.91220142026998</v>
      </c>
      <c r="F88">
        <v>146.69765929779001</v>
      </c>
      <c r="G88">
        <v>122.23016905071999</v>
      </c>
      <c r="I88" s="9">
        <f t="shared" si="8"/>
        <v>182.68203236954997</v>
      </c>
      <c r="J88" s="9">
        <f t="shared" si="9"/>
        <v>597.11964218703997</v>
      </c>
      <c r="K88" s="9">
        <f t="shared" si="10"/>
        <v>182.68203236954997</v>
      </c>
      <c r="L88" s="10">
        <f t="shared" si="7"/>
        <v>0.30593874236065943</v>
      </c>
      <c r="M88" s="10">
        <f t="shared" si="11"/>
        <v>0.33539606057655358</v>
      </c>
      <c r="P88" s="8">
        <f t="shared" si="12"/>
        <v>-5.5858276373148756</v>
      </c>
      <c r="U88" s="8">
        <v>152.5</v>
      </c>
      <c r="V88" s="10">
        <f t="shared" si="13"/>
        <v>0.25321483107044024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773.78981723237996</v>
      </c>
      <c r="E89">
        <v>307.37728459530001</v>
      </c>
      <c r="F89">
        <v>146.09492847854</v>
      </c>
      <c r="G89">
        <v>122.39531859557999</v>
      </c>
      <c r="I89" s="9">
        <f t="shared" si="8"/>
        <v>184.98196599972002</v>
      </c>
      <c r="J89" s="9">
        <f t="shared" si="9"/>
        <v>627.6948887538399</v>
      </c>
      <c r="K89" s="9">
        <f t="shared" si="10"/>
        <v>184.98196599972002</v>
      </c>
      <c r="L89" s="10">
        <f t="shared" si="7"/>
        <v>0.29470044971524934</v>
      </c>
      <c r="M89" s="10">
        <f t="shared" si="11"/>
        <v>0.32450029488714227</v>
      </c>
      <c r="P89" s="8">
        <f t="shared" si="12"/>
        <v>-8.6529915689815908</v>
      </c>
      <c r="U89" s="8">
        <v>153</v>
      </c>
      <c r="V89" s="10">
        <f t="shared" si="13"/>
        <v>0.2574842568735865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764.24372990354004</v>
      </c>
      <c r="E90">
        <v>299.73440514470002</v>
      </c>
      <c r="F90">
        <v>146.57282184655</v>
      </c>
      <c r="G90">
        <v>122.02990897269</v>
      </c>
      <c r="I90" s="9">
        <f t="shared" si="8"/>
        <v>177.70449617201001</v>
      </c>
      <c r="J90" s="9">
        <f t="shared" si="9"/>
        <v>617.67090805699002</v>
      </c>
      <c r="K90" s="9">
        <f t="shared" si="10"/>
        <v>177.70449617201001</v>
      </c>
      <c r="L90" s="10">
        <f t="shared" si="7"/>
        <v>0.2877009324124003</v>
      </c>
      <c r="M90" s="10">
        <f t="shared" si="11"/>
        <v>0.31784330454029197</v>
      </c>
      <c r="P90" s="8">
        <f t="shared" si="12"/>
        <v>-10.526937950295148</v>
      </c>
      <c r="U90" s="8">
        <v>153.5</v>
      </c>
      <c r="V90" s="10">
        <f t="shared" si="13"/>
        <v>0.24969139227316162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736.78580729167004</v>
      </c>
      <c r="E91">
        <v>289.90559895833002</v>
      </c>
      <c r="F91">
        <v>146.75942782835</v>
      </c>
      <c r="G91">
        <v>121.97334200260001</v>
      </c>
      <c r="I91" s="9">
        <f t="shared" si="8"/>
        <v>167.93225695573</v>
      </c>
      <c r="J91" s="9">
        <f t="shared" si="9"/>
        <v>590.02637946332004</v>
      </c>
      <c r="K91" s="9">
        <f t="shared" si="10"/>
        <v>167.93225695573</v>
      </c>
      <c r="L91" s="10">
        <f t="shared" si="7"/>
        <v>0.28461821844046853</v>
      </c>
      <c r="M91" s="10">
        <f t="shared" si="11"/>
        <v>0.31510311752435899</v>
      </c>
      <c r="P91" s="8">
        <f t="shared" si="12"/>
        <v>-11.298302076586781</v>
      </c>
      <c r="U91" s="8">
        <v>154</v>
      </c>
      <c r="V91" s="10">
        <f t="shared" si="13"/>
        <v>0.24888465488838621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738.44075520832996</v>
      </c>
      <c r="E92">
        <v>285.54361979166998</v>
      </c>
      <c r="F92">
        <v>146.50325097529</v>
      </c>
      <c r="G92">
        <v>122.06501950585</v>
      </c>
      <c r="I92" s="9">
        <f t="shared" si="8"/>
        <v>163.47860028581999</v>
      </c>
      <c r="J92" s="9">
        <f t="shared" si="9"/>
        <v>591.93750423303993</v>
      </c>
      <c r="K92" s="9">
        <f t="shared" si="10"/>
        <v>163.47860028581999</v>
      </c>
      <c r="L92" s="10">
        <f t="shared" si="7"/>
        <v>0.27617543932722344</v>
      </c>
      <c r="M92" s="10">
        <f t="shared" si="11"/>
        <v>0.30700286536711269</v>
      </c>
      <c r="P92" s="8">
        <f t="shared" si="12"/>
        <v>-13.578527437733815</v>
      </c>
      <c r="U92" s="8">
        <v>154.5</v>
      </c>
      <c r="V92" s="10">
        <f t="shared" si="13"/>
        <v>0.25164515598963261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730.47591145832996</v>
      </c>
      <c r="E93">
        <v>282.05078125</v>
      </c>
      <c r="F93">
        <v>146.50195058518</v>
      </c>
      <c r="G93">
        <v>122.33420026008</v>
      </c>
      <c r="I93" s="9">
        <f t="shared" si="8"/>
        <v>159.71658098992</v>
      </c>
      <c r="J93" s="9">
        <f t="shared" si="9"/>
        <v>583.97396087314996</v>
      </c>
      <c r="K93" s="9">
        <f t="shared" si="10"/>
        <v>159.71658098992</v>
      </c>
      <c r="L93" s="10">
        <f t="shared" si="7"/>
        <v>0.2734994908867408</v>
      </c>
      <c r="M93" s="10">
        <f t="shared" si="11"/>
        <v>0.30466944388262879</v>
      </c>
      <c r="P93" s="8">
        <f t="shared" si="12"/>
        <v>-14.235386847030812</v>
      </c>
      <c r="U93" s="8">
        <v>155</v>
      </c>
      <c r="V93" s="10">
        <f t="shared" si="13"/>
        <v>0.25019232687046244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732.29622395832996</v>
      </c>
      <c r="E94">
        <v>279.54036458333002</v>
      </c>
      <c r="F94">
        <v>147.03966189856999</v>
      </c>
      <c r="G94">
        <v>122.27373211964</v>
      </c>
      <c r="I94" s="9">
        <f t="shared" si="8"/>
        <v>157.26663246369003</v>
      </c>
      <c r="J94" s="9">
        <f t="shared" si="9"/>
        <v>585.25656205975997</v>
      </c>
      <c r="K94" s="9">
        <f t="shared" si="10"/>
        <v>157.26663246369003</v>
      </c>
      <c r="L94" s="10">
        <f t="shared" si="7"/>
        <v>0.26871400110441085</v>
      </c>
      <c r="M94" s="10">
        <f t="shared" si="11"/>
        <v>0.30022648105629762</v>
      </c>
      <c r="P94" s="8">
        <f t="shared" si="12"/>
        <v>-15.486083284446147</v>
      </c>
      <c r="U94" s="8">
        <v>155.5</v>
      </c>
      <c r="V94" s="10">
        <f t="shared" si="13"/>
        <v>0.25153689205439211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733.54727979275003</v>
      </c>
      <c r="E95">
        <v>276.11528497409</v>
      </c>
      <c r="F95">
        <v>147.51560468139999</v>
      </c>
      <c r="G95">
        <v>122.06892067619999</v>
      </c>
      <c r="I95" s="9">
        <f t="shared" si="8"/>
        <v>154.04636429789002</v>
      </c>
      <c r="J95" s="9">
        <f t="shared" si="9"/>
        <v>586.03167511135007</v>
      </c>
      <c r="K95" s="9">
        <f t="shared" si="10"/>
        <v>154.04636429789002</v>
      </c>
      <c r="L95" s="10">
        <f t="shared" si="7"/>
        <v>0.26286354618736291</v>
      </c>
      <c r="M95" s="10">
        <f t="shared" si="11"/>
        <v>0.29471855309524847</v>
      </c>
      <c r="P95" s="8">
        <f t="shared" si="12"/>
        <v>-17.036567982989745</v>
      </c>
      <c r="U95" s="8">
        <v>156</v>
      </c>
      <c r="V95" s="10">
        <f t="shared" si="13"/>
        <v>0.2537727812295365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718.96373056995003</v>
      </c>
      <c r="E96">
        <v>269.85751295337002</v>
      </c>
      <c r="F96">
        <v>146.97659297788999</v>
      </c>
      <c r="G96">
        <v>122.19570871261</v>
      </c>
      <c r="I96" s="9">
        <f t="shared" si="8"/>
        <v>147.66180424076003</v>
      </c>
      <c r="J96" s="9">
        <f t="shared" si="9"/>
        <v>571.98713759205998</v>
      </c>
      <c r="K96" s="9">
        <f t="shared" si="10"/>
        <v>147.66180424076003</v>
      </c>
      <c r="L96" s="10">
        <f t="shared" si="7"/>
        <v>0.25815581249323849</v>
      </c>
      <c r="M96" s="10">
        <f t="shared" si="11"/>
        <v>0.29035334635712279</v>
      </c>
      <c r="P96" s="8">
        <f t="shared" si="12"/>
        <v>-18.26537603954139</v>
      </c>
      <c r="U96" s="8">
        <v>156.5</v>
      </c>
      <c r="V96" s="10">
        <f t="shared" si="13"/>
        <v>0.25099622446529168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757.99417475728001</v>
      </c>
      <c r="E97">
        <v>271.90226537217001</v>
      </c>
      <c r="F97">
        <v>147.04486345903999</v>
      </c>
      <c r="G97">
        <v>122.41027308193</v>
      </c>
      <c r="I97" s="9">
        <f t="shared" si="8"/>
        <v>149.49199229024001</v>
      </c>
      <c r="J97" s="9">
        <f t="shared" si="9"/>
        <v>610.94931129823999</v>
      </c>
      <c r="K97" s="9">
        <f t="shared" si="10"/>
        <v>149.49199229024001</v>
      </c>
      <c r="L97" s="10">
        <f t="shared" si="7"/>
        <v>0.24468804453282089</v>
      </c>
      <c r="M97" s="10">
        <f t="shared" si="11"/>
        <v>0.27722810535270398</v>
      </c>
      <c r="P97" s="8">
        <f t="shared" si="12"/>
        <v>-21.960138477605661</v>
      </c>
      <c r="U97" s="8">
        <v>157</v>
      </c>
      <c r="V97" s="10">
        <f t="shared" si="13"/>
        <v>0.24558560151830022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761.82524271845</v>
      </c>
      <c r="E98">
        <v>270.69190938511002</v>
      </c>
      <c r="F98">
        <v>146.57022106631999</v>
      </c>
      <c r="G98">
        <v>122.21066319896001</v>
      </c>
      <c r="I98" s="9">
        <f t="shared" si="8"/>
        <v>148.48124618615003</v>
      </c>
      <c r="J98" s="9">
        <f t="shared" si="9"/>
        <v>615.25502165213004</v>
      </c>
      <c r="K98" s="9">
        <f t="shared" si="10"/>
        <v>148.48124618615003</v>
      </c>
      <c r="L98" s="10">
        <f t="shared" si="7"/>
        <v>0.24133284729222818</v>
      </c>
      <c r="M98" s="10">
        <f t="shared" si="11"/>
        <v>0.27421543506811002</v>
      </c>
      <c r="P98" s="8">
        <f t="shared" si="12"/>
        <v>-22.808206791325976</v>
      </c>
      <c r="U98" s="8">
        <v>157.5</v>
      </c>
      <c r="V98" s="10">
        <f t="shared" si="13"/>
        <v>0.24244527054857459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767.18381877023</v>
      </c>
      <c r="E99">
        <v>268.00388349514998</v>
      </c>
      <c r="F99">
        <v>147.05916775033</v>
      </c>
      <c r="G99">
        <v>122.07477243173</v>
      </c>
      <c r="I99" s="9">
        <f t="shared" si="8"/>
        <v>145.92911106341998</v>
      </c>
      <c r="J99" s="9">
        <f t="shared" si="9"/>
        <v>620.12465101990006</v>
      </c>
      <c r="K99" s="9">
        <f t="shared" si="10"/>
        <v>145.92911106341998</v>
      </c>
      <c r="L99" s="10">
        <f t="shared" si="7"/>
        <v>0.23532222243288481</v>
      </c>
      <c r="M99" s="10">
        <f t="shared" si="11"/>
        <v>0.26854733716476542</v>
      </c>
      <c r="P99" s="8">
        <f t="shared" si="12"/>
        <v>-24.403779415211353</v>
      </c>
      <c r="U99" s="8">
        <v>158</v>
      </c>
      <c r="V99" s="10">
        <f t="shared" si="13"/>
        <v>0.23815469236449843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777.93237971391</v>
      </c>
      <c r="E100">
        <v>267.97074122237001</v>
      </c>
      <c r="F100">
        <v>146.90572171651999</v>
      </c>
      <c r="G100">
        <v>122.27178153446</v>
      </c>
      <c r="I100" s="9">
        <f t="shared" si="8"/>
        <v>145.69895968791002</v>
      </c>
      <c r="J100" s="9">
        <f t="shared" si="9"/>
        <v>631.02665799738998</v>
      </c>
      <c r="K100" s="9">
        <f t="shared" si="10"/>
        <v>145.69895968791002</v>
      </c>
      <c r="L100" s="10">
        <f t="shared" si="7"/>
        <v>0.23089192483610202</v>
      </c>
      <c r="M100" s="10">
        <f t="shared" si="11"/>
        <v>0.26445956652398139</v>
      </c>
      <c r="P100" s="8">
        <f t="shared" si="12"/>
        <v>-25.554489060383279</v>
      </c>
      <c r="U100" s="8">
        <v>158.5</v>
      </c>
      <c r="V100" s="10">
        <f t="shared" si="13"/>
        <v>0.23775854224986223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777.19310793238003</v>
      </c>
      <c r="E101">
        <v>267.29648894667997</v>
      </c>
      <c r="F101">
        <v>147.50065019505999</v>
      </c>
      <c r="G101">
        <v>122.53641092328</v>
      </c>
      <c r="I101" s="9">
        <f t="shared" si="8"/>
        <v>144.76007802339996</v>
      </c>
      <c r="J101" s="9">
        <f t="shared" si="9"/>
        <v>629.69245773732007</v>
      </c>
      <c r="K101" s="9">
        <f t="shared" si="10"/>
        <v>144.76007802339996</v>
      </c>
      <c r="L101" s="10">
        <f t="shared" si="7"/>
        <v>0.22989012532176062</v>
      </c>
      <c r="M101" s="10">
        <f t="shared" si="11"/>
        <v>0.26380029396563875</v>
      </c>
      <c r="P101" s="8">
        <f t="shared" si="12"/>
        <v>-25.740074641950191</v>
      </c>
      <c r="U101" s="8">
        <v>159</v>
      </c>
      <c r="V101" s="10">
        <f t="shared" si="13"/>
        <v>0.23787910951444127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763.68790637191</v>
      </c>
      <c r="E102">
        <v>264.13784135241002</v>
      </c>
      <c r="F102">
        <v>146.90117035111001</v>
      </c>
      <c r="G102">
        <v>122.29778933679999</v>
      </c>
      <c r="I102" s="9">
        <f t="shared" si="8"/>
        <v>141.84005201561001</v>
      </c>
      <c r="J102" s="9">
        <f t="shared" si="9"/>
        <v>616.78673602079994</v>
      </c>
      <c r="K102" s="9">
        <f t="shared" si="10"/>
        <v>141.84005201561001</v>
      </c>
      <c r="L102" s="10">
        <f t="shared" si="7"/>
        <v>0.2299661191333186</v>
      </c>
      <c r="M102" s="10">
        <f t="shared" si="11"/>
        <v>0.26421881473319553</v>
      </c>
      <c r="P102" s="8">
        <f t="shared" si="12"/>
        <v>-25.622260819636526</v>
      </c>
      <c r="U102" s="8">
        <v>159.5</v>
      </c>
      <c r="V102" s="10">
        <f t="shared" si="13"/>
        <v>0.24109044987642558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765.45253576073003</v>
      </c>
      <c r="E103">
        <v>262.09882964889999</v>
      </c>
      <c r="F103">
        <v>147.00650195059001</v>
      </c>
      <c r="G103">
        <v>122.58517555266999</v>
      </c>
      <c r="I103" s="9">
        <f t="shared" si="8"/>
        <v>139.51365409623</v>
      </c>
      <c r="J103" s="9">
        <f t="shared" si="9"/>
        <v>618.44603381014008</v>
      </c>
      <c r="K103" s="9">
        <f t="shared" si="10"/>
        <v>139.51365409623</v>
      </c>
      <c r="L103" s="10">
        <f t="shared" si="7"/>
        <v>0.22558743442287157</v>
      </c>
      <c r="M103" s="10">
        <f t="shared" si="11"/>
        <v>0.26018265697874726</v>
      </c>
      <c r="P103" s="8">
        <f t="shared" si="12"/>
        <v>-26.758441409403734</v>
      </c>
      <c r="U103" s="8">
        <v>160</v>
      </c>
      <c r="V103" s="10">
        <f t="shared" si="13"/>
        <v>0.24801108993242724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766.66384915474998</v>
      </c>
      <c r="E104">
        <v>260.47724317295001</v>
      </c>
      <c r="F104">
        <v>146.70351105332</v>
      </c>
      <c r="G104">
        <v>122.27308192458</v>
      </c>
      <c r="I104" s="9">
        <f t="shared" si="8"/>
        <v>138.20416124837001</v>
      </c>
      <c r="J104" s="9">
        <f t="shared" si="9"/>
        <v>619.96033810143001</v>
      </c>
      <c r="K104" s="9">
        <f t="shared" si="10"/>
        <v>138.20416124837001</v>
      </c>
      <c r="L104" s="10">
        <f t="shared" si="7"/>
        <v>0.22292419813758926</v>
      </c>
      <c r="M104" s="10">
        <f t="shared" si="11"/>
        <v>0.25786194764946374</v>
      </c>
      <c r="P104" s="8">
        <f t="shared" si="12"/>
        <v>-27.411722340139814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764.84720416125003</v>
      </c>
      <c r="E105">
        <v>257.67035110532998</v>
      </c>
      <c r="F105">
        <v>147.34265279584</v>
      </c>
      <c r="G105">
        <v>122.5533159948</v>
      </c>
      <c r="I105" s="9">
        <f t="shared" si="8"/>
        <v>135.11703511052997</v>
      </c>
      <c r="J105" s="9">
        <f t="shared" si="9"/>
        <v>617.50455136541007</v>
      </c>
      <c r="K105" s="9">
        <f t="shared" si="10"/>
        <v>135.11703511052997</v>
      </c>
      <c r="L105" s="10">
        <f t="shared" si="7"/>
        <v>0.21881139954638826</v>
      </c>
      <c r="M105" s="10">
        <f t="shared" si="11"/>
        <v>0.25409167601426147</v>
      </c>
      <c r="P105" s="8">
        <f t="shared" si="12"/>
        <v>-28.473055843604982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736.95562700965002</v>
      </c>
      <c r="E106">
        <v>254.24308681671999</v>
      </c>
      <c r="F106">
        <v>147.76332899869999</v>
      </c>
      <c r="G106">
        <v>122.366710013</v>
      </c>
      <c r="I106" s="9">
        <f t="shared" si="8"/>
        <v>131.87637680372001</v>
      </c>
      <c r="J106" s="9">
        <f t="shared" si="9"/>
        <v>589.19229801095003</v>
      </c>
      <c r="K106" s="9">
        <f t="shared" si="10"/>
        <v>131.87637680372001</v>
      </c>
      <c r="L106" s="10">
        <f t="shared" si="7"/>
        <v>0.22382569705836364</v>
      </c>
      <c r="M106" s="10">
        <f t="shared" si="11"/>
        <v>0.25944850048223567</v>
      </c>
      <c r="P106" s="8">
        <f t="shared" si="12"/>
        <v>-26.965106860046404</v>
      </c>
      <c r="X106" s="8">
        <v>-13</v>
      </c>
    </row>
    <row r="107" spans="1:25" x14ac:dyDescent="0.2">
      <c r="A107" s="8">
        <v>52.5</v>
      </c>
      <c r="B107" s="8">
        <v>105</v>
      </c>
      <c r="D107">
        <v>706.91208791208999</v>
      </c>
      <c r="E107">
        <v>248.71428571429001</v>
      </c>
      <c r="F107">
        <v>147.54096228869</v>
      </c>
      <c r="G107">
        <v>122.08257477242999</v>
      </c>
      <c r="I107" s="9">
        <f t="shared" si="8"/>
        <v>126.63171094186002</v>
      </c>
      <c r="J107" s="9">
        <f t="shared" si="9"/>
        <v>559.37112562339996</v>
      </c>
      <c r="K107" s="9">
        <f t="shared" si="10"/>
        <v>126.63171094186002</v>
      </c>
      <c r="L107" s="10">
        <f t="shared" si="7"/>
        <v>0.22638228028079446</v>
      </c>
      <c r="M107" s="10">
        <f t="shared" si="11"/>
        <v>0.26234761066066525</v>
      </c>
      <c r="P107" s="8">
        <f t="shared" si="12"/>
        <v>-26.149005777600358</v>
      </c>
      <c r="X107" s="8">
        <v>-13</v>
      </c>
    </row>
    <row r="108" spans="1:25" x14ac:dyDescent="0.2">
      <c r="A108" s="8">
        <v>53</v>
      </c>
      <c r="B108" s="8">
        <v>106</v>
      </c>
      <c r="D108">
        <v>696.55462184874</v>
      </c>
      <c r="E108">
        <v>246.20168067226999</v>
      </c>
      <c r="F108">
        <v>147.41807542263001</v>
      </c>
      <c r="G108">
        <v>122.4388816645</v>
      </c>
      <c r="I108" s="9">
        <f t="shared" si="8"/>
        <v>123.76279900776998</v>
      </c>
      <c r="J108" s="9">
        <f t="shared" si="9"/>
        <v>549.13654642611004</v>
      </c>
      <c r="K108" s="9">
        <f t="shared" si="10"/>
        <v>123.76279900776998</v>
      </c>
      <c r="L108" s="10">
        <f t="shared" si="7"/>
        <v>0.22537709393636776</v>
      </c>
      <c r="M108" s="10">
        <f t="shared" si="11"/>
        <v>0.26168495127223729</v>
      </c>
      <c r="P108" s="8">
        <f t="shared" si="12"/>
        <v>-26.335544753667161</v>
      </c>
      <c r="X108" s="8">
        <v>-13</v>
      </c>
    </row>
    <row r="109" spans="1:25" x14ac:dyDescent="0.2">
      <c r="A109" s="8">
        <v>53.5</v>
      </c>
      <c r="B109" s="8">
        <v>107</v>
      </c>
      <c r="D109">
        <v>734.45454545455004</v>
      </c>
      <c r="E109">
        <v>248.71157619358999</v>
      </c>
      <c r="F109">
        <v>147.3355006502</v>
      </c>
      <c r="G109">
        <v>122.64434330298999</v>
      </c>
      <c r="I109" s="9">
        <f t="shared" si="8"/>
        <v>126.0672328906</v>
      </c>
      <c r="J109" s="9">
        <f t="shared" si="9"/>
        <v>587.1190448043501</v>
      </c>
      <c r="K109" s="9">
        <f t="shared" si="10"/>
        <v>126.0672328906</v>
      </c>
      <c r="L109" s="10">
        <f t="shared" si="7"/>
        <v>0.21472175703755325</v>
      </c>
      <c r="M109" s="10">
        <f t="shared" si="11"/>
        <v>0.25137214132942154</v>
      </c>
      <c r="P109" s="8">
        <f t="shared" si="12"/>
        <v>-29.23860632752956</v>
      </c>
      <c r="X109" s="8">
        <v>-13</v>
      </c>
    </row>
    <row r="110" spans="1:25" x14ac:dyDescent="0.2">
      <c r="A110" s="8">
        <v>54</v>
      </c>
      <c r="B110" s="8">
        <v>108</v>
      </c>
      <c r="D110">
        <v>710.67298888161997</v>
      </c>
      <c r="E110">
        <v>246.64617396992</v>
      </c>
      <c r="F110">
        <v>147.99024707411999</v>
      </c>
      <c r="G110">
        <v>122.05721716515001</v>
      </c>
      <c r="I110" s="9">
        <f t="shared" si="8"/>
        <v>124.58895680476999</v>
      </c>
      <c r="J110" s="9">
        <f t="shared" si="9"/>
        <v>562.68274180749995</v>
      </c>
      <c r="K110" s="9">
        <f t="shared" si="10"/>
        <v>124.58895680476999</v>
      </c>
      <c r="L110" s="10">
        <f t="shared" si="7"/>
        <v>0.22141954523885729</v>
      </c>
      <c r="M110" s="10">
        <f t="shared" si="11"/>
        <v>0.2584124564867244</v>
      </c>
      <c r="P110" s="8">
        <f t="shared" si="12"/>
        <v>-27.256753804853616</v>
      </c>
      <c r="X110" s="8">
        <v>-13</v>
      </c>
    </row>
    <row r="111" spans="1:25" x14ac:dyDescent="0.2">
      <c r="A111" s="8">
        <v>54.5</v>
      </c>
      <c r="B111" s="8">
        <v>109</v>
      </c>
      <c r="D111">
        <v>700.58598312784</v>
      </c>
      <c r="E111">
        <v>246.53861129136999</v>
      </c>
      <c r="F111">
        <v>147.39856957087</v>
      </c>
      <c r="G111">
        <v>122.45188556567</v>
      </c>
      <c r="I111" s="9">
        <f t="shared" si="8"/>
        <v>124.08672572569999</v>
      </c>
      <c r="J111" s="9">
        <f t="shared" si="9"/>
        <v>553.18741355697</v>
      </c>
      <c r="K111" s="9">
        <f t="shared" si="10"/>
        <v>124.08672572569999</v>
      </c>
      <c r="L111" s="10">
        <f t="shared" si="7"/>
        <v>0.22431227226922604</v>
      </c>
      <c r="M111" s="10">
        <f t="shared" si="11"/>
        <v>0.26164771047309188</v>
      </c>
      <c r="P111" s="8">
        <f t="shared" si="12"/>
        <v>-26.346028058758446</v>
      </c>
      <c r="X111" s="8">
        <v>-13</v>
      </c>
    </row>
    <row r="112" spans="1:25" x14ac:dyDescent="0.2">
      <c r="A112" s="8">
        <v>55</v>
      </c>
      <c r="B112" s="8">
        <v>110</v>
      </c>
      <c r="D112">
        <v>701.88319273198999</v>
      </c>
      <c r="E112">
        <v>245.36404931862</v>
      </c>
      <c r="F112">
        <v>147.37386215865001</v>
      </c>
      <c r="G112">
        <v>122.59232769831</v>
      </c>
      <c r="I112" s="9">
        <f t="shared" si="8"/>
        <v>122.77172162031</v>
      </c>
      <c r="J112" s="9">
        <f t="shared" si="9"/>
        <v>554.50933057333998</v>
      </c>
      <c r="K112" s="9">
        <f t="shared" si="10"/>
        <v>122.77172162031</v>
      </c>
      <c r="L112" s="10">
        <f t="shared" si="7"/>
        <v>0.22140605189342633</v>
      </c>
      <c r="M112" s="10">
        <f t="shared" si="11"/>
        <v>0.25908401705329093</v>
      </c>
      <c r="P112" s="8">
        <f t="shared" si="12"/>
        <v>-27.067709142328962</v>
      </c>
      <c r="X112" s="8">
        <v>-13</v>
      </c>
    </row>
    <row r="113" spans="1:24" x14ac:dyDescent="0.2">
      <c r="A113" s="8">
        <v>55.5</v>
      </c>
      <c r="B113" s="8">
        <v>111</v>
      </c>
      <c r="D113">
        <v>695.53406878650003</v>
      </c>
      <c r="E113">
        <v>244.60220635951001</v>
      </c>
      <c r="F113">
        <v>147.25292587775999</v>
      </c>
      <c r="G113">
        <v>123.1566970091</v>
      </c>
      <c r="I113" s="9">
        <f t="shared" si="8"/>
        <v>121.44550935041001</v>
      </c>
      <c r="J113" s="9">
        <f t="shared" si="9"/>
        <v>548.28114290874009</v>
      </c>
      <c r="K113" s="9">
        <f t="shared" si="10"/>
        <v>121.44550935041001</v>
      </c>
      <c r="L113" s="10">
        <f t="shared" si="7"/>
        <v>0.22150225467561682</v>
      </c>
      <c r="M113" s="10">
        <f t="shared" si="11"/>
        <v>0.25952274679148019</v>
      </c>
      <c r="P113" s="8">
        <f t="shared" si="12"/>
        <v>-26.944206483857563</v>
      </c>
      <c r="X113" s="8">
        <v>-13</v>
      </c>
    </row>
    <row r="114" spans="1:24" x14ac:dyDescent="0.2">
      <c r="A114" s="8">
        <v>56</v>
      </c>
      <c r="B114" s="8">
        <v>112</v>
      </c>
      <c r="D114">
        <v>693.85204412718997</v>
      </c>
      <c r="E114">
        <v>243.51914341336999</v>
      </c>
      <c r="F114">
        <v>147.4811443433</v>
      </c>
      <c r="G114">
        <v>122.46618985696</v>
      </c>
      <c r="I114" s="9">
        <f t="shared" si="8"/>
        <v>121.05295355640999</v>
      </c>
      <c r="J114" s="9">
        <f t="shared" si="9"/>
        <v>546.37089978388997</v>
      </c>
      <c r="K114" s="9">
        <f t="shared" si="10"/>
        <v>121.05295355640999</v>
      </c>
      <c r="L114" s="10">
        <f t="shared" si="7"/>
        <v>0.22155820085639799</v>
      </c>
      <c r="M114" s="10">
        <f t="shared" si="11"/>
        <v>0.25992121992826012</v>
      </c>
      <c r="P114" s="8">
        <f t="shared" si="12"/>
        <v>-26.83203608044505</v>
      </c>
      <c r="X114" s="8">
        <v>-13</v>
      </c>
    </row>
    <row r="115" spans="1:24" x14ac:dyDescent="0.2">
      <c r="A115" s="8">
        <v>56.5</v>
      </c>
      <c r="B115" s="8">
        <v>113</v>
      </c>
      <c r="D115">
        <v>695.07397793640996</v>
      </c>
      <c r="E115">
        <v>242.57884490590999</v>
      </c>
      <c r="F115">
        <v>147.77243172952001</v>
      </c>
      <c r="G115">
        <v>122.65539661899</v>
      </c>
      <c r="I115" s="9">
        <f t="shared" si="8"/>
        <v>119.92344828691999</v>
      </c>
      <c r="J115" s="9">
        <f t="shared" si="9"/>
        <v>547.30154620688995</v>
      </c>
      <c r="K115" s="9">
        <f t="shared" si="10"/>
        <v>119.92344828691999</v>
      </c>
      <c r="L115" s="10">
        <f t="shared" si="7"/>
        <v>0.21911768588643224</v>
      </c>
      <c r="M115" s="10">
        <f t="shared" si="11"/>
        <v>0.25782323191429318</v>
      </c>
      <c r="P115" s="8">
        <f t="shared" si="12"/>
        <v>-27.422620840519507</v>
      </c>
      <c r="X115" s="8">
        <v>-13</v>
      </c>
    </row>
    <row r="116" spans="1:24" x14ac:dyDescent="0.2">
      <c r="A116" s="8">
        <v>57</v>
      </c>
      <c r="B116" s="8">
        <v>114</v>
      </c>
      <c r="D116">
        <v>695.01622323166998</v>
      </c>
      <c r="E116">
        <v>243.09149902660999</v>
      </c>
      <c r="F116">
        <v>148.34460338100999</v>
      </c>
      <c r="G116">
        <v>122.61768530559</v>
      </c>
      <c r="I116" s="9">
        <f t="shared" si="8"/>
        <v>120.47381372101999</v>
      </c>
      <c r="J116" s="9">
        <f t="shared" si="9"/>
        <v>546.67161985066002</v>
      </c>
      <c r="K116" s="9">
        <f t="shared" si="10"/>
        <v>120.47381372101999</v>
      </c>
      <c r="L116" s="10">
        <f t="shared" si="7"/>
        <v>0.22037693076865977</v>
      </c>
      <c r="M116" s="10">
        <f t="shared" si="11"/>
        <v>0.25942500375251948</v>
      </c>
      <c r="P116" s="8">
        <f t="shared" si="12"/>
        <v>-26.971721202163511</v>
      </c>
      <c r="X116" s="8">
        <v>-13</v>
      </c>
    </row>
    <row r="117" spans="1:24" x14ac:dyDescent="0.2">
      <c r="A117" s="8">
        <v>57.5</v>
      </c>
      <c r="B117" s="8">
        <v>115</v>
      </c>
      <c r="D117">
        <v>696.71122647631</v>
      </c>
      <c r="E117">
        <v>241.30824140169</v>
      </c>
      <c r="F117">
        <v>148.04096228869</v>
      </c>
      <c r="G117">
        <v>122.4388816645</v>
      </c>
      <c r="I117" s="9">
        <f t="shared" si="8"/>
        <v>118.86935973719</v>
      </c>
      <c r="J117" s="9">
        <f t="shared" si="9"/>
        <v>548.67026418761998</v>
      </c>
      <c r="K117" s="9">
        <f t="shared" si="10"/>
        <v>118.86935973719</v>
      </c>
      <c r="L117" s="10">
        <f t="shared" si="7"/>
        <v>0.2166499034045376</v>
      </c>
      <c r="M117" s="10">
        <f t="shared" si="11"/>
        <v>0.25604050334439604</v>
      </c>
      <c r="P117" s="8">
        <f t="shared" si="12"/>
        <v>-27.9244598966635</v>
      </c>
      <c r="X117" s="8">
        <v>-13</v>
      </c>
    </row>
    <row r="118" spans="1:24" x14ac:dyDescent="0.2">
      <c r="A118" s="8">
        <v>58</v>
      </c>
      <c r="B118" s="8">
        <v>116</v>
      </c>
      <c r="D118">
        <v>694.31343283581998</v>
      </c>
      <c r="E118">
        <v>240.83711875405999</v>
      </c>
      <c r="F118">
        <v>147.82899869961</v>
      </c>
      <c r="G118">
        <v>122.77438231469</v>
      </c>
      <c r="I118" s="9">
        <f t="shared" si="8"/>
        <v>118.06273643936998</v>
      </c>
      <c r="J118" s="9">
        <f t="shared" si="9"/>
        <v>546.48443413620998</v>
      </c>
      <c r="K118" s="9">
        <f t="shared" si="10"/>
        <v>118.06273643936998</v>
      </c>
      <c r="L118" s="10">
        <f t="shared" si="7"/>
        <v>0.21604043786898261</v>
      </c>
      <c r="M118" s="10">
        <f t="shared" si="11"/>
        <v>0.25577356476483987</v>
      </c>
      <c r="P118" s="8">
        <f t="shared" si="12"/>
        <v>-27.9996032511118</v>
      </c>
      <c r="X118" s="8">
        <v>-13</v>
      </c>
    </row>
    <row r="119" spans="1:24" x14ac:dyDescent="0.2">
      <c r="A119" s="8">
        <v>58.5</v>
      </c>
      <c r="B119" s="8">
        <v>117</v>
      </c>
      <c r="D119">
        <v>693.11161583387002</v>
      </c>
      <c r="E119">
        <v>240.98637248540001</v>
      </c>
      <c r="F119">
        <v>147.55136540961999</v>
      </c>
      <c r="G119">
        <v>122.40832249675</v>
      </c>
      <c r="I119" s="9">
        <f t="shared" si="8"/>
        <v>118.57804998865001</v>
      </c>
      <c r="J119" s="9">
        <f t="shared" si="9"/>
        <v>545.56025042425006</v>
      </c>
      <c r="K119" s="9">
        <f t="shared" si="10"/>
        <v>118.57804998865001</v>
      </c>
      <c r="L119" s="10">
        <f t="shared" si="7"/>
        <v>0.2173509706699468</v>
      </c>
      <c r="M119" s="10">
        <f t="shared" si="11"/>
        <v>0.25742662452180282</v>
      </c>
      <c r="P119" s="8">
        <f t="shared" si="12"/>
        <v>-27.534266035905912</v>
      </c>
      <c r="X119" s="8">
        <v>-13</v>
      </c>
    </row>
    <row r="120" spans="1:24" x14ac:dyDescent="0.2">
      <c r="A120" s="8">
        <v>59</v>
      </c>
      <c r="B120" s="8">
        <v>118</v>
      </c>
      <c r="D120">
        <v>694.27514600909001</v>
      </c>
      <c r="E120">
        <v>240.08890330954</v>
      </c>
      <c r="F120">
        <v>147.83420026008</v>
      </c>
      <c r="G120">
        <v>122.63979193758</v>
      </c>
      <c r="I120" s="9">
        <f t="shared" si="8"/>
        <v>117.44911137196</v>
      </c>
      <c r="J120" s="9">
        <f t="shared" si="9"/>
        <v>546.44094574900998</v>
      </c>
      <c r="K120" s="9">
        <f t="shared" si="10"/>
        <v>117.44911137196</v>
      </c>
      <c r="L120" s="10">
        <f t="shared" si="7"/>
        <v>0.21493468285209077</v>
      </c>
      <c r="M120" s="10">
        <f t="shared" si="11"/>
        <v>0.25535286365994553</v>
      </c>
      <c r="P120" s="8">
        <f t="shared" si="12"/>
        <v>-28.118030839564646</v>
      </c>
      <c r="X120" s="8">
        <v>-13</v>
      </c>
    </row>
    <row r="121" spans="1:24" x14ac:dyDescent="0.2">
      <c r="A121" s="8">
        <v>59.5</v>
      </c>
      <c r="B121" s="8">
        <v>119</v>
      </c>
      <c r="D121">
        <v>699.11810512653994</v>
      </c>
      <c r="E121">
        <v>241.15184944840999</v>
      </c>
      <c r="F121">
        <v>147.76918075423001</v>
      </c>
      <c r="G121">
        <v>123.16384915475</v>
      </c>
      <c r="I121" s="9">
        <f t="shared" si="8"/>
        <v>117.98800029365999</v>
      </c>
      <c r="J121" s="9">
        <f t="shared" si="9"/>
        <v>551.34892437230997</v>
      </c>
      <c r="K121" s="9">
        <f t="shared" si="10"/>
        <v>117.98800029365999</v>
      </c>
      <c r="L121" s="10">
        <f t="shared" si="7"/>
        <v>0.213998785665511</v>
      </c>
      <c r="M121" s="10">
        <f t="shared" si="11"/>
        <v>0.25475949342936455</v>
      </c>
      <c r="P121" s="8">
        <f t="shared" si="12"/>
        <v>-28.285064880240778</v>
      </c>
      <c r="X121" s="8">
        <v>-13</v>
      </c>
    </row>
    <row r="122" spans="1:24" x14ac:dyDescent="0.2">
      <c r="A122" s="8">
        <v>60</v>
      </c>
      <c r="B122" s="8">
        <v>120</v>
      </c>
      <c r="D122">
        <v>700.23880597015</v>
      </c>
      <c r="E122">
        <v>240.18559377028001</v>
      </c>
      <c r="F122">
        <v>148.09687906372</v>
      </c>
      <c r="G122">
        <v>122.62158647594001</v>
      </c>
      <c r="I122" s="9">
        <f t="shared" si="8"/>
        <v>117.56400729434</v>
      </c>
      <c r="J122" s="9">
        <f t="shared" si="9"/>
        <v>552.14192690642994</v>
      </c>
      <c r="K122" s="9">
        <f t="shared" si="10"/>
        <v>117.56400729434</v>
      </c>
      <c r="L122" s="10">
        <f t="shared" si="7"/>
        <v>0.21292352847216992</v>
      </c>
      <c r="M122" s="10">
        <f t="shared" si="11"/>
        <v>0.25402676319202222</v>
      </c>
      <c r="P122" s="8">
        <f t="shared" si="12"/>
        <v>-28.491328838156289</v>
      </c>
      <c r="X122" s="8">
        <v>-13</v>
      </c>
    </row>
    <row r="123" spans="1:24" x14ac:dyDescent="0.2">
      <c r="A123" s="8">
        <v>60.5</v>
      </c>
      <c r="B123" s="8">
        <v>121</v>
      </c>
      <c r="D123">
        <v>700.77157689811997</v>
      </c>
      <c r="E123">
        <v>242.13303049967999</v>
      </c>
      <c r="F123">
        <v>148.70156046814</v>
      </c>
      <c r="G123">
        <v>123.08712613784</v>
      </c>
      <c r="I123" s="9">
        <f t="shared" si="8"/>
        <v>119.04590436183999</v>
      </c>
      <c r="J123" s="9">
        <f t="shared" si="9"/>
        <v>552.07001642998</v>
      </c>
      <c r="K123" s="9">
        <f t="shared" si="10"/>
        <v>119.04590436183999</v>
      </c>
      <c r="L123" s="10">
        <f t="shared" si="7"/>
        <v>0.21563551871855513</v>
      </c>
      <c r="M123" s="10">
        <f t="shared" si="11"/>
        <v>0.2570812803944062</v>
      </c>
      <c r="P123" s="8">
        <f t="shared" si="12"/>
        <v>-27.631480594456232</v>
      </c>
      <c r="X123" s="8">
        <v>-13</v>
      </c>
    </row>
    <row r="124" spans="1:24" x14ac:dyDescent="0.2">
      <c r="A124" s="8">
        <v>61</v>
      </c>
      <c r="B124" s="8">
        <v>122</v>
      </c>
      <c r="D124">
        <v>701.13043478261</v>
      </c>
      <c r="E124">
        <v>240.96560674886001</v>
      </c>
      <c r="F124">
        <v>147.8322496749</v>
      </c>
      <c r="G124">
        <v>122.78803641092</v>
      </c>
      <c r="I124" s="9">
        <f t="shared" si="8"/>
        <v>118.17757033794001</v>
      </c>
      <c r="J124" s="9">
        <f t="shared" si="9"/>
        <v>553.29818510770997</v>
      </c>
      <c r="K124" s="9">
        <f t="shared" si="10"/>
        <v>118.17757033794001</v>
      </c>
      <c r="L124" s="10">
        <f t="shared" si="7"/>
        <v>0.2135874895648438</v>
      </c>
      <c r="M124" s="10">
        <f t="shared" si="11"/>
        <v>0.25537577819669366</v>
      </c>
      <c r="P124" s="8">
        <f t="shared" si="12"/>
        <v>-28.111580385082775</v>
      </c>
      <c r="X124" s="8">
        <v>-13</v>
      </c>
    </row>
    <row r="125" spans="1:24" x14ac:dyDescent="0.2">
      <c r="A125" s="8">
        <v>61.5</v>
      </c>
      <c r="B125" s="8">
        <v>123</v>
      </c>
      <c r="D125">
        <v>702.65152498377995</v>
      </c>
      <c r="E125">
        <v>241.25178455547999</v>
      </c>
      <c r="F125">
        <v>148.06501950584999</v>
      </c>
      <c r="G125">
        <v>122.81209362809</v>
      </c>
      <c r="I125" s="9">
        <f t="shared" si="8"/>
        <v>118.43969092738999</v>
      </c>
      <c r="J125" s="9">
        <f t="shared" si="9"/>
        <v>554.5865054779299</v>
      </c>
      <c r="K125" s="9">
        <f t="shared" si="10"/>
        <v>118.43969092738999</v>
      </c>
      <c r="L125" s="10">
        <f t="shared" si="7"/>
        <v>0.21356396118099086</v>
      </c>
      <c r="M125" s="10">
        <f t="shared" si="11"/>
        <v>0.25569477676883945</v>
      </c>
      <c r="P125" s="8">
        <f t="shared" si="12"/>
        <v>-28.021782114577597</v>
      </c>
      <c r="X125" s="8">
        <v>-13</v>
      </c>
    </row>
    <row r="126" spans="1:24" x14ac:dyDescent="0.2">
      <c r="A126" s="8">
        <v>62</v>
      </c>
      <c r="B126" s="8">
        <v>124</v>
      </c>
      <c r="D126">
        <v>695.54315379623995</v>
      </c>
      <c r="E126">
        <v>239.83257624919</v>
      </c>
      <c r="F126">
        <v>148.56957087126</v>
      </c>
      <c r="G126">
        <v>122.7100130039</v>
      </c>
      <c r="I126" s="9">
        <f t="shared" si="8"/>
        <v>117.12256324529</v>
      </c>
      <c r="J126" s="9">
        <f t="shared" si="9"/>
        <v>546.97358292497995</v>
      </c>
      <c r="K126" s="9">
        <f t="shared" si="10"/>
        <v>117.12256324529</v>
      </c>
      <c r="L126" s="10">
        <f t="shared" si="7"/>
        <v>0.21412837274328461</v>
      </c>
      <c r="M126" s="10">
        <f t="shared" si="11"/>
        <v>0.25660171528713199</v>
      </c>
      <c r="P126" s="8">
        <f t="shared" si="12"/>
        <v>-27.76647843140006</v>
      </c>
      <c r="X126" s="8">
        <v>-13</v>
      </c>
    </row>
    <row r="127" spans="1:24" x14ac:dyDescent="0.2">
      <c r="A127" s="8">
        <v>62.5</v>
      </c>
      <c r="B127" s="8">
        <v>125</v>
      </c>
      <c r="D127">
        <v>705.57495133031</v>
      </c>
      <c r="E127">
        <v>242.97728747567001</v>
      </c>
      <c r="F127">
        <v>148.25747724317</v>
      </c>
      <c r="G127">
        <v>122.82119635891</v>
      </c>
      <c r="I127" s="9">
        <f t="shared" si="8"/>
        <v>120.15609111676001</v>
      </c>
      <c r="J127" s="9">
        <f t="shared" si="9"/>
        <v>557.31747408714</v>
      </c>
      <c r="K127" s="9">
        <f t="shared" si="10"/>
        <v>120.15609111676001</v>
      </c>
      <c r="L127" s="10">
        <f t="shared" si="7"/>
        <v>0.21559720752264241</v>
      </c>
      <c r="M127" s="10">
        <f t="shared" si="11"/>
        <v>0.25841307702248856</v>
      </c>
      <c r="P127" s="8">
        <f t="shared" si="12"/>
        <v>-27.256579123700554</v>
      </c>
      <c r="X127" s="8">
        <v>-13</v>
      </c>
    </row>
    <row r="128" spans="1:24" x14ac:dyDescent="0.2">
      <c r="A128" s="8">
        <v>63</v>
      </c>
      <c r="B128" s="8">
        <v>126</v>
      </c>
      <c r="D128">
        <v>694.50454545455</v>
      </c>
      <c r="E128">
        <v>241.54675324675</v>
      </c>
      <c r="F128">
        <v>148.14434330298999</v>
      </c>
      <c r="G128">
        <v>122.92912873861999</v>
      </c>
      <c r="I128" s="9">
        <f t="shared" si="8"/>
        <v>118.61762450813001</v>
      </c>
      <c r="J128" s="9">
        <f t="shared" si="9"/>
        <v>546.36020215155997</v>
      </c>
      <c r="K128" s="9">
        <f t="shared" si="10"/>
        <v>118.61762450813001</v>
      </c>
      <c r="L128" s="10">
        <f t="shared" si="7"/>
        <v>0.21710516988795159</v>
      </c>
      <c r="M128" s="10">
        <f t="shared" si="11"/>
        <v>0.26026356634379649</v>
      </c>
      <c r="P128" s="8">
        <f t="shared" si="12"/>
        <v>-26.735665379403912</v>
      </c>
      <c r="X128" s="8">
        <v>-13</v>
      </c>
    </row>
    <row r="129" spans="1:24" x14ac:dyDescent="0.2">
      <c r="A129" s="8">
        <v>63.5</v>
      </c>
      <c r="B129" s="8">
        <v>127</v>
      </c>
      <c r="D129">
        <v>698.05324675325005</v>
      </c>
      <c r="E129">
        <v>242.65649350648999</v>
      </c>
      <c r="F129">
        <v>148.4811443433</v>
      </c>
      <c r="G129">
        <v>122.64759427828</v>
      </c>
      <c r="I129" s="9">
        <f t="shared" si="8"/>
        <v>120.00889922821</v>
      </c>
      <c r="J129" s="9">
        <f t="shared" si="9"/>
        <v>549.57210240995005</v>
      </c>
      <c r="K129" s="9">
        <f t="shared" si="10"/>
        <v>120.00889922821</v>
      </c>
      <c r="L129" s="10">
        <f t="shared" si="7"/>
        <v>0.21836788785666938</v>
      </c>
      <c r="M129" s="10">
        <f t="shared" si="11"/>
        <v>0.26186881126851308</v>
      </c>
      <c r="P129" s="8">
        <f t="shared" si="12"/>
        <v>-26.2837880653234</v>
      </c>
      <c r="X129" s="8">
        <v>-13</v>
      </c>
    </row>
    <row r="130" spans="1:24" x14ac:dyDescent="0.2">
      <c r="A130" s="8">
        <v>64</v>
      </c>
      <c r="B130" s="8">
        <v>128</v>
      </c>
      <c r="D130">
        <v>695.64025974026003</v>
      </c>
      <c r="E130">
        <v>242.94090909091</v>
      </c>
      <c r="F130">
        <v>148.28673602081</v>
      </c>
      <c r="G130">
        <v>122.66514954486</v>
      </c>
      <c r="I130" s="9">
        <f t="shared" si="8"/>
        <v>120.27575954605</v>
      </c>
      <c r="J130" s="9">
        <f t="shared" si="9"/>
        <v>547.3535237194501</v>
      </c>
      <c r="K130" s="9">
        <f t="shared" si="10"/>
        <v>120.27575954605</v>
      </c>
      <c r="L130" s="10">
        <f t="shared" ref="L130:L193" si="14">K130/J130</f>
        <v>0.21974054122961706</v>
      </c>
      <c r="M130" s="10">
        <f t="shared" si="11"/>
        <v>0.26358399159745954</v>
      </c>
      <c r="P130" s="8">
        <f t="shared" si="12"/>
        <v>-25.800963875522648</v>
      </c>
      <c r="X130" s="8">
        <v>-13</v>
      </c>
    </row>
    <row r="131" spans="1:24" x14ac:dyDescent="0.2">
      <c r="A131" s="8">
        <v>64.5</v>
      </c>
      <c r="B131" s="8">
        <v>129</v>
      </c>
      <c r="D131">
        <v>695.34675324675004</v>
      </c>
      <c r="E131">
        <v>242.14415584416</v>
      </c>
      <c r="F131">
        <v>147.91547464239</v>
      </c>
      <c r="G131">
        <v>122.58907672302</v>
      </c>
      <c r="I131" s="9">
        <f t="shared" ref="I131:I194" si="15">E131-G131</f>
        <v>119.55507912114</v>
      </c>
      <c r="J131" s="9">
        <f t="shared" ref="J131:J194" si="16">D131-F131</f>
        <v>547.43127860436005</v>
      </c>
      <c r="K131" s="9">
        <f t="shared" ref="K131:K194" si="17">I131*1</f>
        <v>119.55507912114</v>
      </c>
      <c r="L131" s="10">
        <f t="shared" si="14"/>
        <v>0.21839285366729097</v>
      </c>
      <c r="M131" s="10">
        <f t="shared" ref="M131:M181" si="18">L131+ABS($N$2)*A131</f>
        <v>0.26257883099113222</v>
      </c>
      <c r="P131" s="8">
        <f t="shared" ref="P131:P194" si="19">(M131-$O$2)/$O$2*100</f>
        <v>-26.083917129579454</v>
      </c>
      <c r="X131" s="8">
        <v>-13</v>
      </c>
    </row>
    <row r="132" spans="1:24" x14ac:dyDescent="0.2">
      <c r="A132" s="8">
        <v>65</v>
      </c>
      <c r="B132" s="8">
        <v>130</v>
      </c>
      <c r="D132">
        <v>696.99480519481006</v>
      </c>
      <c r="E132">
        <v>243.18376623377</v>
      </c>
      <c r="F132">
        <v>148.51300390117001</v>
      </c>
      <c r="G132">
        <v>122.79128738622001</v>
      </c>
      <c r="I132" s="9">
        <f t="shared" si="15"/>
        <v>120.39247884755</v>
      </c>
      <c r="J132" s="9">
        <f t="shared" si="16"/>
        <v>548.48180129364005</v>
      </c>
      <c r="K132" s="9">
        <f t="shared" si="17"/>
        <v>120.39247884755</v>
      </c>
      <c r="L132" s="10">
        <f t="shared" si="14"/>
        <v>0.21950131902935394</v>
      </c>
      <c r="M132" s="10">
        <f t="shared" si="18"/>
        <v>0.26402982330919395</v>
      </c>
      <c r="P132" s="8">
        <f t="shared" si="19"/>
        <v>-25.675462007659071</v>
      </c>
      <c r="X132" s="8">
        <v>-13</v>
      </c>
    </row>
    <row r="133" spans="1:24" x14ac:dyDescent="0.2">
      <c r="A133" s="8">
        <v>65.5</v>
      </c>
      <c r="B133" s="8">
        <v>131</v>
      </c>
      <c r="D133">
        <v>696.11233766234</v>
      </c>
      <c r="E133">
        <v>242.59805194805</v>
      </c>
      <c r="F133">
        <v>148.28738621586999</v>
      </c>
      <c r="G133">
        <v>122.75227568271001</v>
      </c>
      <c r="I133" s="9">
        <f t="shared" si="15"/>
        <v>119.84577626533999</v>
      </c>
      <c r="J133" s="9">
        <f t="shared" si="16"/>
        <v>547.82495144646998</v>
      </c>
      <c r="K133" s="9">
        <f t="shared" si="17"/>
        <v>119.84577626533999</v>
      </c>
      <c r="L133" s="10">
        <f t="shared" si="14"/>
        <v>0.21876655298175218</v>
      </c>
      <c r="M133" s="10">
        <f t="shared" si="18"/>
        <v>0.26363758421759098</v>
      </c>
      <c r="P133" s="8">
        <f t="shared" si="19"/>
        <v>-25.785877523984237</v>
      </c>
      <c r="X133" s="8">
        <v>-13</v>
      </c>
    </row>
    <row r="134" spans="1:24" x14ac:dyDescent="0.2">
      <c r="A134" s="8">
        <v>66</v>
      </c>
      <c r="B134" s="8">
        <v>132</v>
      </c>
      <c r="D134">
        <v>690.60649350648998</v>
      </c>
      <c r="E134">
        <v>239.98246753247</v>
      </c>
      <c r="F134">
        <v>148.29388816644999</v>
      </c>
      <c r="G134">
        <v>122.67360208062</v>
      </c>
      <c r="I134" s="9">
        <f t="shared" si="15"/>
        <v>117.30886545185</v>
      </c>
      <c r="J134" s="9">
        <f t="shared" si="16"/>
        <v>542.31260534004002</v>
      </c>
      <c r="K134" s="9">
        <f t="shared" si="17"/>
        <v>117.30886545185</v>
      </c>
      <c r="L134" s="10">
        <f t="shared" si="14"/>
        <v>0.21631226030288411</v>
      </c>
      <c r="M134" s="10">
        <f t="shared" si="18"/>
        <v>0.26152581849472167</v>
      </c>
      <c r="P134" s="8">
        <f t="shared" si="19"/>
        <v>-26.380340716562745</v>
      </c>
      <c r="X134" s="8">
        <v>-13</v>
      </c>
    </row>
    <row r="135" spans="1:24" x14ac:dyDescent="0.2">
      <c r="A135" s="8">
        <v>66.5</v>
      </c>
      <c r="B135" s="8">
        <v>133</v>
      </c>
      <c r="D135">
        <v>686.95519480519999</v>
      </c>
      <c r="E135">
        <v>241.37467532468</v>
      </c>
      <c r="F135">
        <v>148.73797139141999</v>
      </c>
      <c r="G135">
        <v>122.95903771131</v>
      </c>
      <c r="I135" s="9">
        <f t="shared" si="15"/>
        <v>118.41563761337</v>
      </c>
      <c r="J135" s="9">
        <f t="shared" si="16"/>
        <v>538.21722341377995</v>
      </c>
      <c r="K135" s="9">
        <f t="shared" si="17"/>
        <v>118.41563761337</v>
      </c>
      <c r="L135" s="10">
        <f t="shared" si="14"/>
        <v>0.22001458233218296</v>
      </c>
      <c r="M135" s="10">
        <f t="shared" si="18"/>
        <v>0.26557066748001928</v>
      </c>
      <c r="P135" s="8">
        <f t="shared" si="19"/>
        <v>-25.241713540613087</v>
      </c>
      <c r="X135" s="8">
        <v>-13</v>
      </c>
    </row>
    <row r="136" spans="1:24" x14ac:dyDescent="0.2">
      <c r="A136" s="8">
        <v>67</v>
      </c>
      <c r="B136" s="8">
        <v>134</v>
      </c>
      <c r="D136">
        <v>679.91948051947998</v>
      </c>
      <c r="E136">
        <v>239.07662337662001</v>
      </c>
      <c r="F136">
        <v>148.34980494147999</v>
      </c>
      <c r="G136">
        <v>122.94408322497</v>
      </c>
      <c r="I136" s="9">
        <f t="shared" si="15"/>
        <v>116.13254015165001</v>
      </c>
      <c r="J136" s="9">
        <f t="shared" si="16"/>
        <v>531.56967557799999</v>
      </c>
      <c r="K136" s="9">
        <f t="shared" si="17"/>
        <v>116.13254015165001</v>
      </c>
      <c r="L136" s="10">
        <f t="shared" si="14"/>
        <v>0.21847096530736781</v>
      </c>
      <c r="M136" s="10">
        <f t="shared" si="18"/>
        <v>0.26436957741120287</v>
      </c>
      <c r="P136" s="8">
        <f t="shared" si="19"/>
        <v>-25.579821044277278</v>
      </c>
      <c r="X136" s="8">
        <v>-13</v>
      </c>
    </row>
    <row r="137" spans="1:24" x14ac:dyDescent="0.2">
      <c r="A137" s="8">
        <v>67.5</v>
      </c>
      <c r="B137" s="8">
        <v>135</v>
      </c>
      <c r="D137">
        <v>679.4</v>
      </c>
      <c r="E137">
        <v>238.53116883116999</v>
      </c>
      <c r="F137">
        <v>148.77048114434001</v>
      </c>
      <c r="G137">
        <v>122.66189856957</v>
      </c>
      <c r="I137" s="9">
        <f t="shared" si="15"/>
        <v>115.86927026159999</v>
      </c>
      <c r="J137" s="9">
        <f t="shared" si="16"/>
        <v>530.62951885565997</v>
      </c>
      <c r="K137" s="9">
        <f t="shared" si="17"/>
        <v>115.86927026159999</v>
      </c>
      <c r="L137" s="10">
        <f t="shared" si="14"/>
        <v>0.21836190061849603</v>
      </c>
      <c r="M137" s="10">
        <f t="shared" si="18"/>
        <v>0.26460303967832988</v>
      </c>
      <c r="P137" s="8">
        <f t="shared" si="19"/>
        <v>-25.514101289874613</v>
      </c>
      <c r="X137" s="8">
        <v>-13</v>
      </c>
    </row>
    <row r="138" spans="1:24" x14ac:dyDescent="0.2">
      <c r="A138" s="8">
        <v>68</v>
      </c>
      <c r="B138" s="8">
        <v>136</v>
      </c>
      <c r="D138">
        <v>676.19740259740001</v>
      </c>
      <c r="E138">
        <v>238.78051948052001</v>
      </c>
      <c r="F138">
        <v>148.16840052015999</v>
      </c>
      <c r="G138">
        <v>123.04941482445</v>
      </c>
      <c r="I138" s="9">
        <f t="shared" si="15"/>
        <v>115.73110465607002</v>
      </c>
      <c r="J138" s="9">
        <f t="shared" si="16"/>
        <v>528.02900207723997</v>
      </c>
      <c r="K138" s="9">
        <f t="shared" si="17"/>
        <v>115.73110465607002</v>
      </c>
      <c r="L138" s="10">
        <f t="shared" si="14"/>
        <v>0.21917565929293575</v>
      </c>
      <c r="M138" s="10">
        <f t="shared" si="18"/>
        <v>0.26575932530876839</v>
      </c>
      <c r="P138" s="8">
        <f t="shared" si="19"/>
        <v>-25.188606259834451</v>
      </c>
      <c r="X138" s="8">
        <v>-13</v>
      </c>
    </row>
    <row r="139" spans="1:24" x14ac:dyDescent="0.2">
      <c r="A139" s="8">
        <v>68.5</v>
      </c>
      <c r="B139" s="8">
        <v>137</v>
      </c>
      <c r="D139">
        <v>690.66818181817996</v>
      </c>
      <c r="E139">
        <v>241.31298701298999</v>
      </c>
      <c r="F139">
        <v>148.73407022107</v>
      </c>
      <c r="G139">
        <v>122.76007802341</v>
      </c>
      <c r="I139" s="9">
        <f t="shared" si="15"/>
        <v>118.55290898957999</v>
      </c>
      <c r="J139" s="9">
        <f t="shared" si="16"/>
        <v>541.9341115971099</v>
      </c>
      <c r="K139" s="9">
        <f t="shared" si="17"/>
        <v>118.55290898957999</v>
      </c>
      <c r="L139" s="10">
        <f t="shared" si="14"/>
        <v>0.21875889790402378</v>
      </c>
      <c r="M139" s="10">
        <f t="shared" si="18"/>
        <v>0.26568509087585518</v>
      </c>
      <c r="P139" s="8">
        <f t="shared" si="19"/>
        <v>-25.209503292829609</v>
      </c>
      <c r="X139" s="8">
        <v>-13</v>
      </c>
    </row>
    <row r="140" spans="1:24" x14ac:dyDescent="0.2">
      <c r="A140" s="8">
        <v>69</v>
      </c>
      <c r="B140" s="8">
        <v>138</v>
      </c>
      <c r="D140">
        <v>671.71103896104</v>
      </c>
      <c r="E140">
        <v>237.62597402597001</v>
      </c>
      <c r="F140">
        <v>148.46879063719001</v>
      </c>
      <c r="G140">
        <v>122.58907672302</v>
      </c>
      <c r="I140" s="9">
        <f t="shared" si="15"/>
        <v>115.03689730295001</v>
      </c>
      <c r="J140" s="9">
        <f t="shared" si="16"/>
        <v>523.24224832384994</v>
      </c>
      <c r="K140" s="9">
        <f t="shared" si="17"/>
        <v>115.03689730295001</v>
      </c>
      <c r="L140" s="10">
        <f t="shared" si="14"/>
        <v>0.2198539924317241</v>
      </c>
      <c r="M140" s="10">
        <f t="shared" si="18"/>
        <v>0.26712271235955426</v>
      </c>
      <c r="P140" s="8">
        <f t="shared" si="19"/>
        <v>-24.804812068010396</v>
      </c>
      <c r="X140" s="8">
        <v>-13</v>
      </c>
    </row>
    <row r="141" spans="1:24" x14ac:dyDescent="0.2">
      <c r="A141" s="8">
        <v>69.5</v>
      </c>
      <c r="B141" s="8">
        <v>139</v>
      </c>
      <c r="D141">
        <v>703.38277202073004</v>
      </c>
      <c r="E141">
        <v>243.08419689119</v>
      </c>
      <c r="F141">
        <v>148.95318595578999</v>
      </c>
      <c r="G141">
        <v>123.03836150845</v>
      </c>
      <c r="I141" s="9">
        <f t="shared" si="15"/>
        <v>120.04583538274001</v>
      </c>
      <c r="J141" s="9">
        <f t="shared" si="16"/>
        <v>554.42958606494005</v>
      </c>
      <c r="K141" s="9">
        <f t="shared" si="17"/>
        <v>120.04583538274001</v>
      </c>
      <c r="L141" s="10">
        <f t="shared" si="14"/>
        <v>0.21652133724458042</v>
      </c>
      <c r="M141" s="10">
        <f t="shared" si="18"/>
        <v>0.26413258412840934</v>
      </c>
      <c r="P141" s="8">
        <f t="shared" si="19"/>
        <v>-25.646534781498886</v>
      </c>
      <c r="X141" s="8">
        <v>-13</v>
      </c>
    </row>
    <row r="142" spans="1:24" x14ac:dyDescent="0.2">
      <c r="A142" s="8">
        <v>70</v>
      </c>
      <c r="B142" s="8">
        <v>140</v>
      </c>
      <c r="D142">
        <v>696.94624352332005</v>
      </c>
      <c r="E142">
        <v>241.95466321244001</v>
      </c>
      <c r="F142">
        <v>148.96553966190001</v>
      </c>
      <c r="G142">
        <v>122.62483745124</v>
      </c>
      <c r="I142" s="9">
        <f t="shared" si="15"/>
        <v>119.32982576120001</v>
      </c>
      <c r="J142" s="9">
        <f t="shared" si="16"/>
        <v>547.98070386142001</v>
      </c>
      <c r="K142" s="9">
        <f t="shared" si="17"/>
        <v>119.32982576120001</v>
      </c>
      <c r="L142" s="10">
        <f t="shared" si="14"/>
        <v>0.21776282434824126</v>
      </c>
      <c r="M142" s="10">
        <f t="shared" si="18"/>
        <v>0.26571659818806898</v>
      </c>
      <c r="P142" s="8">
        <f t="shared" si="19"/>
        <v>-25.200633967409015</v>
      </c>
      <c r="X142" s="8">
        <v>-13</v>
      </c>
    </row>
    <row r="143" spans="1:24" x14ac:dyDescent="0.2">
      <c r="A143" s="8">
        <v>70.5</v>
      </c>
      <c r="B143" s="8">
        <v>141</v>
      </c>
      <c r="D143">
        <v>700.65414507772005</v>
      </c>
      <c r="E143">
        <v>243.2079015544</v>
      </c>
      <c r="F143">
        <v>149.04876462939001</v>
      </c>
      <c r="G143">
        <v>122.72041612484</v>
      </c>
      <c r="I143" s="9">
        <f t="shared" si="15"/>
        <v>120.48748542956</v>
      </c>
      <c r="J143" s="9">
        <f t="shared" si="16"/>
        <v>551.60538044833004</v>
      </c>
      <c r="K143" s="9">
        <f t="shared" si="17"/>
        <v>120.48748542956</v>
      </c>
      <c r="L143" s="10">
        <f t="shared" si="14"/>
        <v>0.21843058407376484</v>
      </c>
      <c r="M143" s="10">
        <f t="shared" si="18"/>
        <v>0.26672688486959129</v>
      </c>
      <c r="P143" s="8">
        <f t="shared" si="19"/>
        <v>-24.91623772041374</v>
      </c>
      <c r="X143" s="8">
        <v>-13</v>
      </c>
    </row>
    <row r="144" spans="1:24" x14ac:dyDescent="0.2">
      <c r="A144" s="8">
        <v>71</v>
      </c>
      <c r="B144" s="8">
        <v>142</v>
      </c>
      <c r="D144">
        <v>708.75454545455</v>
      </c>
      <c r="E144">
        <v>245.24415584415999</v>
      </c>
      <c r="F144">
        <v>148.27243172952001</v>
      </c>
      <c r="G144">
        <v>122.98764629388999</v>
      </c>
      <c r="I144" s="9">
        <f t="shared" si="15"/>
        <v>122.25650955027</v>
      </c>
      <c r="J144" s="9">
        <f t="shared" si="16"/>
        <v>560.48211372502999</v>
      </c>
      <c r="K144" s="9">
        <f t="shared" si="17"/>
        <v>122.25650955027</v>
      </c>
      <c r="L144" s="10">
        <f t="shared" si="14"/>
        <v>0.21812740595366883</v>
      </c>
      <c r="M144" s="10">
        <f t="shared" si="18"/>
        <v>0.26676623370549407</v>
      </c>
      <c r="P144" s="8">
        <f t="shared" si="19"/>
        <v>-24.905161001835676</v>
      </c>
    </row>
    <row r="145" spans="1:16" x14ac:dyDescent="0.2">
      <c r="A145" s="8">
        <v>71.5</v>
      </c>
      <c r="B145" s="8">
        <v>143</v>
      </c>
      <c r="D145">
        <v>685.48636363636001</v>
      </c>
      <c r="E145">
        <v>241.43246753247001</v>
      </c>
      <c r="F145">
        <v>149.16449934981</v>
      </c>
      <c r="G145">
        <v>122.92522756827</v>
      </c>
      <c r="I145" s="9">
        <f t="shared" si="15"/>
        <v>118.50723996420001</v>
      </c>
      <c r="J145" s="9">
        <f t="shared" si="16"/>
        <v>536.32186428654995</v>
      </c>
      <c r="K145" s="9">
        <f t="shared" si="17"/>
        <v>118.50723996420001</v>
      </c>
      <c r="L145" s="10">
        <f t="shared" si="14"/>
        <v>0.22096291025137677</v>
      </c>
      <c r="M145" s="10">
        <f t="shared" si="18"/>
        <v>0.26994426495920076</v>
      </c>
      <c r="P145" s="8">
        <f t="shared" si="19"/>
        <v>-24.010543485918319</v>
      </c>
    </row>
    <row r="146" spans="1:16" x14ac:dyDescent="0.2">
      <c r="A146" s="8">
        <v>72</v>
      </c>
      <c r="B146" s="8">
        <v>144</v>
      </c>
      <c r="D146">
        <v>700.86533505155001</v>
      </c>
      <c r="E146">
        <v>243.31829896907001</v>
      </c>
      <c r="F146">
        <v>149.18010403120999</v>
      </c>
      <c r="G146">
        <v>122.56566970090999</v>
      </c>
      <c r="I146" s="9">
        <f t="shared" si="15"/>
        <v>120.75262926816002</v>
      </c>
      <c r="J146" s="9">
        <f t="shared" si="16"/>
        <v>551.68523102033998</v>
      </c>
      <c r="K146" s="9">
        <f t="shared" si="17"/>
        <v>120.75262926816002</v>
      </c>
      <c r="L146" s="10">
        <f t="shared" si="14"/>
        <v>0.21887957566822741</v>
      </c>
      <c r="M146" s="10">
        <f t="shared" si="18"/>
        <v>0.2682034573320502</v>
      </c>
      <c r="P146" s="8">
        <f t="shared" si="19"/>
        <v>-24.500581774017284</v>
      </c>
    </row>
    <row r="147" spans="1:16" x14ac:dyDescent="0.2">
      <c r="A147" s="8">
        <v>72.5</v>
      </c>
      <c r="B147" s="8">
        <v>145</v>
      </c>
      <c r="D147">
        <v>698.20360824741999</v>
      </c>
      <c r="E147">
        <v>242.76481958763</v>
      </c>
      <c r="F147">
        <v>149.30754226267999</v>
      </c>
      <c r="G147">
        <v>122.82639791938</v>
      </c>
      <c r="I147" s="9">
        <f t="shared" si="15"/>
        <v>119.93842166825</v>
      </c>
      <c r="J147" s="9">
        <f t="shared" si="16"/>
        <v>548.89606598474006</v>
      </c>
      <c r="K147" s="9">
        <f t="shared" si="17"/>
        <v>119.93842166825</v>
      </c>
      <c r="L147" s="10">
        <f t="shared" si="14"/>
        <v>0.21850843739073988</v>
      </c>
      <c r="M147" s="10">
        <f t="shared" si="18"/>
        <v>0.26817484601056141</v>
      </c>
      <c r="P147" s="8">
        <f t="shared" si="19"/>
        <v>-24.508635876483257</v>
      </c>
    </row>
    <row r="148" spans="1:16" x14ac:dyDescent="0.2">
      <c r="A148" s="8">
        <v>73</v>
      </c>
      <c r="B148" s="8">
        <v>146</v>
      </c>
      <c r="D148">
        <v>690.06966145832996</v>
      </c>
      <c r="E148">
        <v>242.59765625</v>
      </c>
      <c r="F148">
        <v>149.12483745124001</v>
      </c>
      <c r="G148">
        <v>122.79193758127001</v>
      </c>
      <c r="I148" s="9">
        <f t="shared" si="15"/>
        <v>119.80571866872999</v>
      </c>
      <c r="J148" s="9">
        <f t="shared" si="16"/>
        <v>540.94482400708989</v>
      </c>
      <c r="K148" s="9">
        <f t="shared" si="17"/>
        <v>119.80571866872999</v>
      </c>
      <c r="L148" s="10">
        <f t="shared" si="14"/>
        <v>0.22147493302784566</v>
      </c>
      <c r="M148" s="10">
        <f t="shared" si="18"/>
        <v>0.27148386860366597</v>
      </c>
      <c r="P148" s="8">
        <f t="shared" si="19"/>
        <v>-23.577144227713326</v>
      </c>
    </row>
    <row r="149" spans="1:16" x14ac:dyDescent="0.2">
      <c r="A149" s="8">
        <v>73.5</v>
      </c>
      <c r="B149" s="8">
        <v>147</v>
      </c>
      <c r="D149">
        <v>692.40979381443003</v>
      </c>
      <c r="E149">
        <v>242.00451030927999</v>
      </c>
      <c r="F149">
        <v>149.54291287385999</v>
      </c>
      <c r="G149">
        <v>122.95968790636999</v>
      </c>
      <c r="I149" s="9">
        <f t="shared" si="15"/>
        <v>119.04482240291</v>
      </c>
      <c r="J149" s="9">
        <f t="shared" si="16"/>
        <v>542.86688094057001</v>
      </c>
      <c r="K149" s="9">
        <f t="shared" si="17"/>
        <v>119.04482240291</v>
      </c>
      <c r="L149" s="10">
        <f t="shared" si="14"/>
        <v>0.21928916016510935</v>
      </c>
      <c r="M149" s="10">
        <f t="shared" si="18"/>
        <v>0.26964062269692846</v>
      </c>
      <c r="P149" s="8">
        <f t="shared" si="19"/>
        <v>-24.096018946892702</v>
      </c>
    </row>
    <row r="150" spans="1:16" x14ac:dyDescent="0.2">
      <c r="A150" s="8">
        <v>74</v>
      </c>
      <c r="B150" s="8">
        <v>148</v>
      </c>
      <c r="D150">
        <v>713.42459546926</v>
      </c>
      <c r="E150">
        <v>243.35857605178001</v>
      </c>
      <c r="F150">
        <v>148.94343302991001</v>
      </c>
      <c r="G150">
        <v>122.51235370611001</v>
      </c>
      <c r="I150" s="9">
        <f t="shared" si="15"/>
        <v>120.84622234567</v>
      </c>
      <c r="J150" s="9">
        <f t="shared" si="16"/>
        <v>564.48116243934999</v>
      </c>
      <c r="K150" s="9">
        <f t="shared" si="17"/>
        <v>120.84622234567</v>
      </c>
      <c r="L150" s="10">
        <f t="shared" si="14"/>
        <v>0.21408371153333958</v>
      </c>
      <c r="M150" s="10">
        <f t="shared" si="18"/>
        <v>0.26477770102115744</v>
      </c>
      <c r="P150" s="8">
        <f t="shared" si="19"/>
        <v>-25.464934027449193</v>
      </c>
    </row>
    <row r="151" spans="1:16" x14ac:dyDescent="0.2">
      <c r="A151" s="8">
        <v>74.5</v>
      </c>
      <c r="B151" s="8">
        <v>149</v>
      </c>
      <c r="D151">
        <v>722.38511326860998</v>
      </c>
      <c r="E151">
        <v>245.60194174757001</v>
      </c>
      <c r="F151">
        <v>148.90702210663</v>
      </c>
      <c r="G151">
        <v>122.51755526658</v>
      </c>
      <c r="I151" s="9">
        <f t="shared" si="15"/>
        <v>123.08438648099001</v>
      </c>
      <c r="J151" s="9">
        <f t="shared" si="16"/>
        <v>573.47809116198005</v>
      </c>
      <c r="K151" s="9">
        <f t="shared" si="17"/>
        <v>123.08438648099001</v>
      </c>
      <c r="L151" s="10">
        <f t="shared" si="14"/>
        <v>0.21462787921260723</v>
      </c>
      <c r="M151" s="10">
        <f t="shared" si="18"/>
        <v>0.26566439565642386</v>
      </c>
      <c r="P151" s="8">
        <f t="shared" si="19"/>
        <v>-25.215329008287068</v>
      </c>
    </row>
    <row r="152" spans="1:16" x14ac:dyDescent="0.2">
      <c r="A152" s="8">
        <v>75</v>
      </c>
      <c r="B152" s="8">
        <v>150</v>
      </c>
      <c r="D152">
        <v>717.68155339806003</v>
      </c>
      <c r="E152">
        <v>246.25566343041999</v>
      </c>
      <c r="F152">
        <v>148.75747724317</v>
      </c>
      <c r="G152">
        <v>122.54551365410001</v>
      </c>
      <c r="I152" s="9">
        <f t="shared" si="15"/>
        <v>123.71014977631998</v>
      </c>
      <c r="J152" s="9">
        <f t="shared" si="16"/>
        <v>568.92407615489003</v>
      </c>
      <c r="K152" s="9">
        <f t="shared" si="17"/>
        <v>123.71014977631998</v>
      </c>
      <c r="L152" s="10">
        <f t="shared" si="14"/>
        <v>0.21744579806223527</v>
      </c>
      <c r="M152" s="10">
        <f t="shared" si="18"/>
        <v>0.26882484146205066</v>
      </c>
      <c r="P152" s="8">
        <f t="shared" si="19"/>
        <v>-24.325661805510649</v>
      </c>
    </row>
    <row r="153" spans="1:16" x14ac:dyDescent="0.2">
      <c r="A153" s="8">
        <v>75.5</v>
      </c>
      <c r="B153" s="8">
        <v>151</v>
      </c>
      <c r="D153">
        <v>693.00387596898997</v>
      </c>
      <c r="E153">
        <v>242.57428940569</v>
      </c>
      <c r="F153">
        <v>149.17815344603</v>
      </c>
      <c r="G153">
        <v>123.22496749024999</v>
      </c>
      <c r="I153" s="9">
        <f t="shared" si="15"/>
        <v>119.34932191544</v>
      </c>
      <c r="J153" s="9">
        <f t="shared" si="16"/>
        <v>543.82572252295995</v>
      </c>
      <c r="K153" s="9">
        <f t="shared" si="17"/>
        <v>119.34932191544</v>
      </c>
      <c r="L153" s="10">
        <f t="shared" si="14"/>
        <v>0.21946244352279817</v>
      </c>
      <c r="M153" s="10">
        <f t="shared" si="18"/>
        <v>0.27118401387861235</v>
      </c>
      <c r="P153" s="8">
        <f t="shared" si="19"/>
        <v>-23.661553494913157</v>
      </c>
    </row>
    <row r="154" spans="1:16" x14ac:dyDescent="0.2">
      <c r="A154" s="8">
        <v>76</v>
      </c>
      <c r="B154" s="8">
        <v>152</v>
      </c>
      <c r="D154">
        <v>683.88953488371999</v>
      </c>
      <c r="E154">
        <v>242.64793281653999</v>
      </c>
      <c r="F154">
        <v>149.55981794537999</v>
      </c>
      <c r="G154">
        <v>122.97074122236999</v>
      </c>
      <c r="I154" s="9">
        <f t="shared" si="15"/>
        <v>119.67719159417</v>
      </c>
      <c r="J154" s="9">
        <f t="shared" si="16"/>
        <v>534.32971693833997</v>
      </c>
      <c r="K154" s="9">
        <f t="shared" si="17"/>
        <v>119.67719159417</v>
      </c>
      <c r="L154" s="10">
        <f t="shared" si="14"/>
        <v>0.22397629740660743</v>
      </c>
      <c r="M154" s="10">
        <f t="shared" si="18"/>
        <v>0.27604039471842035</v>
      </c>
      <c r="P154" s="8">
        <f t="shared" si="19"/>
        <v>-22.294479663216141</v>
      </c>
    </row>
    <row r="155" spans="1:16" x14ac:dyDescent="0.2">
      <c r="A155" s="8">
        <v>76.5</v>
      </c>
      <c r="B155" s="8">
        <v>153</v>
      </c>
      <c r="D155">
        <v>744.99935107072997</v>
      </c>
      <c r="E155">
        <v>250.23166774821999</v>
      </c>
      <c r="F155">
        <v>148.61118335501001</v>
      </c>
      <c r="G155">
        <v>123.00975292587999</v>
      </c>
      <c r="I155" s="9">
        <f t="shared" si="15"/>
        <v>127.22191482234</v>
      </c>
      <c r="J155" s="9">
        <f t="shared" si="16"/>
        <v>596.38816771571999</v>
      </c>
      <c r="K155" s="9">
        <f t="shared" si="17"/>
        <v>127.22191482234</v>
      </c>
      <c r="L155" s="10">
        <f t="shared" si="14"/>
        <v>0.21332065542082115</v>
      </c>
      <c r="M155" s="10">
        <f t="shared" si="18"/>
        <v>0.26572727968863286</v>
      </c>
      <c r="P155" s="8">
        <f t="shared" si="19"/>
        <v>-25.197627119226013</v>
      </c>
    </row>
    <row r="156" spans="1:16" x14ac:dyDescent="0.2">
      <c r="A156" s="8">
        <v>77</v>
      </c>
      <c r="B156" s="8">
        <v>154</v>
      </c>
      <c r="D156">
        <v>737.10123296561005</v>
      </c>
      <c r="E156">
        <v>249.31862426996</v>
      </c>
      <c r="F156">
        <v>148.70481144343</v>
      </c>
      <c r="G156">
        <v>122.866710013</v>
      </c>
      <c r="I156" s="9">
        <f t="shared" si="15"/>
        <v>126.45191425695999</v>
      </c>
      <c r="J156" s="9">
        <f t="shared" si="16"/>
        <v>588.39642152218005</v>
      </c>
      <c r="K156" s="9">
        <f t="shared" si="17"/>
        <v>126.45191425695999</v>
      </c>
      <c r="L156" s="10">
        <f t="shared" si="14"/>
        <v>0.21490938699088144</v>
      </c>
      <c r="M156" s="10">
        <f t="shared" si="18"/>
        <v>0.26765853821469188</v>
      </c>
      <c r="P156" s="8">
        <f t="shared" si="19"/>
        <v>-24.65397680012925</v>
      </c>
    </row>
    <row r="157" spans="1:16" x14ac:dyDescent="0.2">
      <c r="A157" s="8">
        <v>77.5</v>
      </c>
      <c r="B157" s="8">
        <v>155</v>
      </c>
      <c r="D157">
        <v>708.84700520832996</v>
      </c>
      <c r="E157">
        <v>245.19466145832999</v>
      </c>
      <c r="F157">
        <v>149.55201560468001</v>
      </c>
      <c r="G157">
        <v>122.56371911574</v>
      </c>
      <c r="I157" s="9">
        <f t="shared" si="15"/>
        <v>122.63094234258999</v>
      </c>
      <c r="J157" s="9">
        <f t="shared" si="16"/>
        <v>559.29498960364992</v>
      </c>
      <c r="K157" s="9">
        <f t="shared" si="17"/>
        <v>122.63094234258999</v>
      </c>
      <c r="L157" s="10">
        <f t="shared" si="14"/>
        <v>0.21925986218738283</v>
      </c>
      <c r="M157" s="10">
        <f t="shared" si="18"/>
        <v>0.27235154036719206</v>
      </c>
      <c r="P157" s="8">
        <f t="shared" si="19"/>
        <v>-23.3328941572296</v>
      </c>
    </row>
    <row r="158" spans="1:16" x14ac:dyDescent="0.2">
      <c r="A158" s="8">
        <v>78</v>
      </c>
      <c r="B158" s="8">
        <v>156</v>
      </c>
      <c r="D158">
        <v>719.87622789783995</v>
      </c>
      <c r="E158">
        <v>247.37524557956999</v>
      </c>
      <c r="F158">
        <v>149.10598179454001</v>
      </c>
      <c r="G158">
        <v>122.54031209363001</v>
      </c>
      <c r="I158" s="9">
        <f t="shared" si="15"/>
        <v>124.83493348593998</v>
      </c>
      <c r="J158" s="9">
        <f t="shared" si="16"/>
        <v>570.7702461033</v>
      </c>
      <c r="K158" s="9">
        <f t="shared" si="17"/>
        <v>124.83493348593998</v>
      </c>
      <c r="L158" s="10">
        <f t="shared" si="14"/>
        <v>0.21871310625982932</v>
      </c>
      <c r="M158" s="10">
        <f t="shared" si="18"/>
        <v>0.2721473113956373</v>
      </c>
      <c r="P158" s="8">
        <f t="shared" si="19"/>
        <v>-23.390384723125567</v>
      </c>
    </row>
    <row r="159" spans="1:16" x14ac:dyDescent="0.2">
      <c r="A159" s="8">
        <v>78.5</v>
      </c>
      <c r="B159" s="8">
        <v>157</v>
      </c>
      <c r="D159">
        <v>731.46193884189995</v>
      </c>
      <c r="E159">
        <v>247.76903057905</v>
      </c>
      <c r="F159">
        <v>149.41807542263001</v>
      </c>
      <c r="G159">
        <v>122.77958387516</v>
      </c>
      <c r="I159" s="9">
        <f t="shared" si="15"/>
        <v>124.98944670389</v>
      </c>
      <c r="J159" s="9">
        <f t="shared" si="16"/>
        <v>582.04386341926988</v>
      </c>
      <c r="K159" s="9">
        <f t="shared" si="17"/>
        <v>124.98944670389</v>
      </c>
      <c r="L159" s="10">
        <f t="shared" si="14"/>
        <v>0.21474231507163064</v>
      </c>
      <c r="M159" s="10">
        <f t="shared" si="18"/>
        <v>0.26851904716343739</v>
      </c>
      <c r="P159" s="8">
        <f t="shared" si="19"/>
        <v>-24.411743065878373</v>
      </c>
    </row>
    <row r="160" spans="1:16" x14ac:dyDescent="0.2">
      <c r="A160" s="8">
        <v>79</v>
      </c>
      <c r="B160" s="8">
        <v>158</v>
      </c>
      <c r="D160">
        <v>736.08783344177004</v>
      </c>
      <c r="E160">
        <v>248.15614834092</v>
      </c>
      <c r="F160">
        <v>149.53315994798001</v>
      </c>
      <c r="G160">
        <v>122.84720416125</v>
      </c>
      <c r="I160" s="9">
        <f t="shared" si="15"/>
        <v>125.30894417966999</v>
      </c>
      <c r="J160" s="9">
        <f t="shared" si="16"/>
        <v>586.55467349379001</v>
      </c>
      <c r="K160" s="9">
        <f t="shared" si="17"/>
        <v>125.30894417966999</v>
      </c>
      <c r="L160" s="10">
        <f t="shared" si="14"/>
        <v>0.21363557370240044</v>
      </c>
      <c r="M160" s="10">
        <f t="shared" si="18"/>
        <v>0.26775483275020595</v>
      </c>
      <c r="P160" s="8">
        <f t="shared" si="19"/>
        <v>-24.626869836326566</v>
      </c>
    </row>
    <row r="161" spans="1:16" x14ac:dyDescent="0.2">
      <c r="A161" s="8">
        <v>79.5</v>
      </c>
      <c r="B161" s="8">
        <v>159</v>
      </c>
      <c r="D161">
        <v>734.78464541313997</v>
      </c>
      <c r="E161">
        <v>247.92192582953999</v>
      </c>
      <c r="F161">
        <v>149.29388816644999</v>
      </c>
      <c r="G161">
        <v>122.81469440831999</v>
      </c>
      <c r="I161" s="9">
        <f t="shared" si="15"/>
        <v>125.10723142121999</v>
      </c>
      <c r="J161" s="9">
        <f t="shared" si="16"/>
        <v>585.49075724669001</v>
      </c>
      <c r="K161" s="9">
        <f t="shared" si="17"/>
        <v>125.10723142121999</v>
      </c>
      <c r="L161" s="10">
        <f t="shared" si="14"/>
        <v>0.21367925944646032</v>
      </c>
      <c r="M161" s="10">
        <f t="shared" si="18"/>
        <v>0.26814104545026463</v>
      </c>
      <c r="P161" s="8">
        <f t="shared" si="19"/>
        <v>-24.518150752478906</v>
      </c>
    </row>
    <row r="162" spans="1:16" x14ac:dyDescent="0.2">
      <c r="A162" s="8">
        <v>80</v>
      </c>
      <c r="B162" s="4">
        <v>160</v>
      </c>
      <c r="C162" s="4" t="s">
        <v>7</v>
      </c>
      <c r="D162">
        <v>714.78585209002995</v>
      </c>
      <c r="E162">
        <v>246.29774919613999</v>
      </c>
      <c r="F162">
        <v>149.45383615085001</v>
      </c>
      <c r="G162">
        <v>122.81079323797</v>
      </c>
      <c r="H162" s="4"/>
      <c r="I162" s="5">
        <f t="shared" si="15"/>
        <v>123.48695595816999</v>
      </c>
      <c r="J162" s="5">
        <f t="shared" si="16"/>
        <v>565.33201593917988</v>
      </c>
      <c r="K162" s="9">
        <f t="shared" si="17"/>
        <v>123.48695595816999</v>
      </c>
      <c r="L162" s="6">
        <f t="shared" si="14"/>
        <v>0.21843262450477435</v>
      </c>
      <c r="M162" s="6">
        <f t="shared" si="18"/>
        <v>0.27323693746457745</v>
      </c>
      <c r="N162" s="4"/>
      <c r="O162" s="4"/>
      <c r="P162" s="4">
        <f t="shared" si="19"/>
        <v>-23.083654395682416</v>
      </c>
    </row>
    <row r="163" spans="1:16" x14ac:dyDescent="0.2">
      <c r="A163" s="8">
        <v>80.5</v>
      </c>
      <c r="B163" s="8">
        <v>161</v>
      </c>
      <c r="D163">
        <v>706.44694533762004</v>
      </c>
      <c r="E163">
        <v>245.86623794211999</v>
      </c>
      <c r="F163">
        <v>149.61508452536</v>
      </c>
      <c r="G163">
        <v>122.78023407022</v>
      </c>
      <c r="I163" s="9">
        <f t="shared" si="15"/>
        <v>123.08600387189999</v>
      </c>
      <c r="J163" s="9">
        <f t="shared" si="16"/>
        <v>556.83186081226006</v>
      </c>
      <c r="K163" s="9">
        <f t="shared" si="17"/>
        <v>123.08600387189999</v>
      </c>
      <c r="L163" s="10">
        <f t="shared" si="14"/>
        <v>0.22104698479780296</v>
      </c>
      <c r="M163" s="10">
        <f t="shared" si="18"/>
        <v>0.27619382471360482</v>
      </c>
      <c r="P163" s="8">
        <f t="shared" si="19"/>
        <v>-22.251289036629618</v>
      </c>
    </row>
    <row r="164" spans="1:16" x14ac:dyDescent="0.2">
      <c r="A164" s="8">
        <v>81</v>
      </c>
      <c r="B164" s="8">
        <v>162</v>
      </c>
      <c r="D164">
        <v>688.04271844660002</v>
      </c>
      <c r="E164">
        <v>246.18576051779999</v>
      </c>
      <c r="F164">
        <v>149.20546163848999</v>
      </c>
      <c r="G164">
        <v>122.76267880364</v>
      </c>
      <c r="I164" s="9">
        <f t="shared" si="15"/>
        <v>123.42308171415999</v>
      </c>
      <c r="J164" s="9">
        <f t="shared" si="16"/>
        <v>538.83725680811006</v>
      </c>
      <c r="K164" s="9">
        <f t="shared" si="17"/>
        <v>123.42308171415999</v>
      </c>
      <c r="L164" s="10">
        <f t="shared" si="14"/>
        <v>0.22905446896021378</v>
      </c>
      <c r="M164" s="10">
        <f t="shared" si="18"/>
        <v>0.28454383583201437</v>
      </c>
      <c r="P164" s="8">
        <f t="shared" si="19"/>
        <v>-19.900756392898955</v>
      </c>
    </row>
    <row r="165" spans="1:16" x14ac:dyDescent="0.2">
      <c r="A165" s="8">
        <v>81.5</v>
      </c>
      <c r="B165" s="8">
        <v>163</v>
      </c>
      <c r="D165">
        <v>678.25308241402001</v>
      </c>
      <c r="E165">
        <v>274.00713822193001</v>
      </c>
      <c r="F165">
        <v>149.57217165150001</v>
      </c>
      <c r="G165">
        <v>123.28933680103999</v>
      </c>
      <c r="I165" s="9">
        <f t="shared" si="15"/>
        <v>150.71780142089</v>
      </c>
      <c r="J165" s="9">
        <f t="shared" si="16"/>
        <v>528.68091076251994</v>
      </c>
      <c r="K165" s="9">
        <f t="shared" si="17"/>
        <v>150.71780142089</v>
      </c>
      <c r="L165" s="10">
        <f t="shared" si="14"/>
        <v>0.28508273772077136</v>
      </c>
      <c r="M165" s="10">
        <f t="shared" si="18"/>
        <v>0.34091463154857077</v>
      </c>
      <c r="P165" s="8">
        <f t="shared" si="19"/>
        <v>-4.0323469254303159</v>
      </c>
    </row>
    <row r="166" spans="1:16" x14ac:dyDescent="0.2">
      <c r="A166" s="8">
        <v>82</v>
      </c>
      <c r="B166" s="8">
        <v>164</v>
      </c>
      <c r="D166">
        <v>683.63530175210997</v>
      </c>
      <c r="E166">
        <v>303.17001946788002</v>
      </c>
      <c r="F166">
        <v>150.05396618986001</v>
      </c>
      <c r="G166">
        <v>122.59492847854</v>
      </c>
      <c r="I166" s="9">
        <f t="shared" si="15"/>
        <v>180.57509098934003</v>
      </c>
      <c r="J166" s="9">
        <f t="shared" si="16"/>
        <v>533.58133556224993</v>
      </c>
      <c r="K166" s="9">
        <f t="shared" si="17"/>
        <v>180.57509098934003</v>
      </c>
      <c r="L166" s="10">
        <f t="shared" si="14"/>
        <v>0.33842092845894411</v>
      </c>
      <c r="M166" s="10">
        <f t="shared" si="18"/>
        <v>0.39459534924274225</v>
      </c>
      <c r="P166" s="8">
        <f t="shared" si="19"/>
        <v>11.07880412451869</v>
      </c>
    </row>
    <row r="167" spans="1:16" x14ac:dyDescent="0.2">
      <c r="A167" s="8">
        <v>82.5</v>
      </c>
      <c r="B167" s="8">
        <v>165</v>
      </c>
      <c r="D167">
        <v>715.35435630689005</v>
      </c>
      <c r="E167">
        <v>319.01560468140002</v>
      </c>
      <c r="F167">
        <v>150.07932379714001</v>
      </c>
      <c r="G167">
        <v>123.43368010403</v>
      </c>
      <c r="I167" s="9">
        <f t="shared" si="15"/>
        <v>195.58192457737002</v>
      </c>
      <c r="J167" s="9">
        <f t="shared" si="16"/>
        <v>565.27503250975008</v>
      </c>
      <c r="K167" s="9">
        <f t="shared" si="17"/>
        <v>195.58192457737002</v>
      </c>
      <c r="L167" s="10">
        <f t="shared" si="14"/>
        <v>0.34599427416599465</v>
      </c>
      <c r="M167" s="10">
        <f t="shared" si="18"/>
        <v>0.40251122190579158</v>
      </c>
      <c r="P167" s="8">
        <f t="shared" si="19"/>
        <v>13.30712655837632</v>
      </c>
    </row>
    <row r="168" spans="1:16" x14ac:dyDescent="0.2">
      <c r="A168" s="8">
        <v>83</v>
      </c>
      <c r="B168" s="8">
        <v>166</v>
      </c>
      <c r="D168">
        <v>725.01245901639004</v>
      </c>
      <c r="E168">
        <v>325.72524590163999</v>
      </c>
      <c r="F168">
        <v>149.63654096229001</v>
      </c>
      <c r="G168">
        <v>123.18205461639</v>
      </c>
      <c r="I168" s="9">
        <f t="shared" si="15"/>
        <v>202.54319128524997</v>
      </c>
      <c r="J168" s="9">
        <f t="shared" si="16"/>
        <v>575.3759180541</v>
      </c>
      <c r="K168" s="9">
        <f t="shared" si="17"/>
        <v>202.54319128524997</v>
      </c>
      <c r="L168" s="10">
        <f t="shared" si="14"/>
        <v>0.35201888874710557</v>
      </c>
      <c r="M168" s="10">
        <f t="shared" si="18"/>
        <v>0.40887836344290129</v>
      </c>
      <c r="P168" s="8">
        <f t="shared" si="19"/>
        <v>15.099480343059717</v>
      </c>
    </row>
    <row r="169" spans="1:16" x14ac:dyDescent="0.2">
      <c r="A169" s="8">
        <v>83.5</v>
      </c>
      <c r="B169" s="8">
        <v>167</v>
      </c>
      <c r="D169">
        <v>718.65180327868995</v>
      </c>
      <c r="E169">
        <v>324.57901639343999</v>
      </c>
      <c r="F169">
        <v>150.28153446034</v>
      </c>
      <c r="G169">
        <v>123.43563068921</v>
      </c>
      <c r="I169" s="9">
        <f t="shared" si="15"/>
        <v>201.14338570422998</v>
      </c>
      <c r="J169" s="9">
        <f t="shared" si="16"/>
        <v>568.37026881834993</v>
      </c>
      <c r="K169" s="9">
        <f t="shared" si="17"/>
        <v>201.14338570422998</v>
      </c>
      <c r="L169" s="10">
        <f t="shared" si="14"/>
        <v>0.35389498138671122</v>
      </c>
      <c r="M169" s="10">
        <f t="shared" si="18"/>
        <v>0.41109698303850567</v>
      </c>
      <c r="P169" s="8">
        <f t="shared" si="19"/>
        <v>15.724022958576848</v>
      </c>
    </row>
    <row r="170" spans="1:16" x14ac:dyDescent="0.2">
      <c r="A170" s="8">
        <v>84</v>
      </c>
      <c r="B170" s="8">
        <v>168</v>
      </c>
      <c r="D170">
        <v>718.47278688525</v>
      </c>
      <c r="E170">
        <v>330.85245901639001</v>
      </c>
      <c r="F170">
        <v>150.23276983094999</v>
      </c>
      <c r="G170">
        <v>123.59817945384</v>
      </c>
      <c r="I170" s="9">
        <f t="shared" si="15"/>
        <v>207.25427956255001</v>
      </c>
      <c r="J170" s="9">
        <f t="shared" si="16"/>
        <v>568.24001705429998</v>
      </c>
      <c r="K170" s="9">
        <f t="shared" si="17"/>
        <v>207.25427956255001</v>
      </c>
      <c r="L170" s="10">
        <f t="shared" si="14"/>
        <v>0.36473017271281893</v>
      </c>
      <c r="M170" s="10">
        <f t="shared" si="18"/>
        <v>0.42227470132061218</v>
      </c>
      <c r="P170" s="8">
        <f t="shared" si="19"/>
        <v>18.87055669750686</v>
      </c>
    </row>
    <row r="171" spans="1:16" x14ac:dyDescent="0.2">
      <c r="A171" s="8">
        <v>84.5</v>
      </c>
      <c r="B171" s="8">
        <v>169</v>
      </c>
      <c r="D171">
        <v>783.73298429319004</v>
      </c>
      <c r="E171">
        <v>371.05235602094001</v>
      </c>
      <c r="F171">
        <v>150.05916775033</v>
      </c>
      <c r="G171">
        <v>123.20611183355</v>
      </c>
      <c r="I171" s="9">
        <f t="shared" si="15"/>
        <v>247.84624418739003</v>
      </c>
      <c r="J171" s="9">
        <f t="shared" si="16"/>
        <v>633.6738165428601</v>
      </c>
      <c r="K171" s="9">
        <f t="shared" si="17"/>
        <v>247.84624418739003</v>
      </c>
      <c r="L171" s="10">
        <f t="shared" si="14"/>
        <v>0.39112590376475864</v>
      </c>
      <c r="M171" s="10">
        <f t="shared" si="18"/>
        <v>0.44901295932855068</v>
      </c>
      <c r="P171" s="8">
        <f t="shared" si="19"/>
        <v>26.397390781067138</v>
      </c>
    </row>
    <row r="172" spans="1:16" x14ac:dyDescent="0.2">
      <c r="A172" s="8">
        <v>85</v>
      </c>
      <c r="B172" s="8">
        <v>170</v>
      </c>
      <c r="D172">
        <v>779.01701570680996</v>
      </c>
      <c r="E172">
        <v>374.99934554973999</v>
      </c>
      <c r="F172">
        <v>149.83745123537</v>
      </c>
      <c r="G172">
        <v>123.51430429129</v>
      </c>
      <c r="I172" s="9">
        <f t="shared" si="15"/>
        <v>251.48504125845</v>
      </c>
      <c r="J172" s="9">
        <f t="shared" si="16"/>
        <v>629.17956447144002</v>
      </c>
      <c r="K172" s="9">
        <f t="shared" si="17"/>
        <v>251.48504125845</v>
      </c>
      <c r="L172" s="10">
        <f t="shared" si="14"/>
        <v>0.3997031300114095</v>
      </c>
      <c r="M172" s="10">
        <f t="shared" si="18"/>
        <v>0.45793271253120027</v>
      </c>
      <c r="P172" s="8">
        <f t="shared" si="19"/>
        <v>28.908306129505917</v>
      </c>
    </row>
    <row r="173" spans="1:16" x14ac:dyDescent="0.2">
      <c r="A173" s="8">
        <v>85.5</v>
      </c>
      <c r="B173" s="8">
        <v>171</v>
      </c>
      <c r="D173">
        <v>755.37581274382001</v>
      </c>
      <c r="E173">
        <v>368.36280884265</v>
      </c>
      <c r="F173">
        <v>150.42197659298</v>
      </c>
      <c r="G173">
        <v>123.85565669701001</v>
      </c>
      <c r="I173" s="9">
        <f t="shared" si="15"/>
        <v>244.50715214563999</v>
      </c>
      <c r="J173" s="9">
        <f t="shared" si="16"/>
        <v>604.95383615084006</v>
      </c>
      <c r="K173" s="9">
        <f t="shared" si="17"/>
        <v>244.50715214563999</v>
      </c>
      <c r="L173" s="10">
        <f t="shared" si="14"/>
        <v>0.40417489324701833</v>
      </c>
      <c r="M173" s="10">
        <f t="shared" si="18"/>
        <v>0.46274700272280789</v>
      </c>
      <c r="P173" s="8">
        <f t="shared" si="19"/>
        <v>30.263531420980915</v>
      </c>
    </row>
    <row r="174" spans="1:16" x14ac:dyDescent="0.2">
      <c r="A174" s="8">
        <v>86</v>
      </c>
      <c r="B174" s="8">
        <v>172</v>
      </c>
      <c r="D174">
        <v>758.05851755526999</v>
      </c>
      <c r="E174">
        <v>373.02470741221998</v>
      </c>
      <c r="F174">
        <v>150.06566970091001</v>
      </c>
      <c r="G174">
        <v>123.69700910272999</v>
      </c>
      <c r="I174" s="9">
        <f t="shared" si="15"/>
        <v>249.32769830948999</v>
      </c>
      <c r="J174" s="9">
        <f t="shared" si="16"/>
        <v>607.99284785435998</v>
      </c>
      <c r="K174" s="9">
        <f t="shared" si="17"/>
        <v>249.32769830948999</v>
      </c>
      <c r="L174" s="10">
        <f t="shared" si="14"/>
        <v>0.4100832751394709</v>
      </c>
      <c r="M174" s="10">
        <f t="shared" si="18"/>
        <v>0.4689979115712592</v>
      </c>
      <c r="P174" s="8">
        <f t="shared" si="19"/>
        <v>32.023165640973225</v>
      </c>
    </row>
    <row r="175" spans="1:16" x14ac:dyDescent="0.2">
      <c r="A175" s="8">
        <v>86.5</v>
      </c>
      <c r="B175" s="8">
        <v>173</v>
      </c>
      <c r="D175">
        <v>761.25422626787997</v>
      </c>
      <c r="E175">
        <v>381.23146944082998</v>
      </c>
      <c r="F175">
        <v>150.72366710013</v>
      </c>
      <c r="G175">
        <v>123.75552665799999</v>
      </c>
      <c r="I175" s="9">
        <f t="shared" si="15"/>
        <v>257.47594278282997</v>
      </c>
      <c r="J175" s="9">
        <f t="shared" si="16"/>
        <v>610.53055916774997</v>
      </c>
      <c r="K175" s="9">
        <f t="shared" si="17"/>
        <v>257.47594278282997</v>
      </c>
      <c r="L175" s="10">
        <f t="shared" si="14"/>
        <v>0.42172490617637642</v>
      </c>
      <c r="M175" s="10">
        <f t="shared" si="18"/>
        <v>0.48098206956416351</v>
      </c>
      <c r="P175" s="8">
        <f t="shared" si="19"/>
        <v>35.396712594442761</v>
      </c>
    </row>
    <row r="176" spans="1:16" x14ac:dyDescent="0.2">
      <c r="A176" s="8">
        <v>87</v>
      </c>
      <c r="B176" s="8">
        <v>174</v>
      </c>
      <c r="D176">
        <v>768.46749024707003</v>
      </c>
      <c r="E176">
        <v>384.93107932380002</v>
      </c>
      <c r="F176">
        <v>150.72041612484</v>
      </c>
      <c r="G176">
        <v>123.73992197659</v>
      </c>
      <c r="I176" s="9">
        <f t="shared" si="15"/>
        <v>261.19115734721004</v>
      </c>
      <c r="J176" s="9">
        <f t="shared" si="16"/>
        <v>617.74707412223006</v>
      </c>
      <c r="K176" s="9">
        <f t="shared" si="17"/>
        <v>261.19115734721004</v>
      </c>
      <c r="L176" s="10">
        <f t="shared" si="14"/>
        <v>0.42281245559655967</v>
      </c>
      <c r="M176" s="10">
        <f t="shared" si="18"/>
        <v>0.48241214594034554</v>
      </c>
      <c r="P176" s="8">
        <f t="shared" si="19"/>
        <v>35.799279867417148</v>
      </c>
    </row>
    <row r="177" spans="1:16" x14ac:dyDescent="0.2">
      <c r="A177" s="8">
        <v>87.5</v>
      </c>
      <c r="B177" s="8">
        <v>175</v>
      </c>
      <c r="D177">
        <v>760.37581274382001</v>
      </c>
      <c r="E177">
        <v>386.81924577373002</v>
      </c>
      <c r="F177">
        <v>151.20611183355001</v>
      </c>
      <c r="G177">
        <v>123.73732119636</v>
      </c>
      <c r="I177" s="9">
        <f t="shared" si="15"/>
        <v>263.08192457737005</v>
      </c>
      <c r="J177" s="9">
        <f t="shared" si="16"/>
        <v>609.16970091026997</v>
      </c>
      <c r="K177" s="9">
        <f t="shared" si="17"/>
        <v>263.08192457737005</v>
      </c>
      <c r="L177" s="10">
        <f t="shared" si="14"/>
        <v>0.4318696812797026</v>
      </c>
      <c r="M177" s="10">
        <f t="shared" si="18"/>
        <v>0.49181189857948721</v>
      </c>
      <c r="P177" s="8">
        <f t="shared" si="19"/>
        <v>38.445315316709376</v>
      </c>
    </row>
    <row r="178" spans="1:16" x14ac:dyDescent="0.2">
      <c r="A178" s="8">
        <v>88</v>
      </c>
      <c r="B178" s="8">
        <v>176</v>
      </c>
      <c r="D178">
        <v>758.71846553965997</v>
      </c>
      <c r="E178">
        <v>391.39401820545999</v>
      </c>
      <c r="F178">
        <v>150.28348504550999</v>
      </c>
      <c r="G178">
        <v>123.64109232769999</v>
      </c>
      <c r="I178" s="9">
        <f t="shared" si="15"/>
        <v>267.75292587775999</v>
      </c>
      <c r="J178" s="9">
        <f t="shared" si="16"/>
        <v>608.43498049414995</v>
      </c>
      <c r="K178" s="9">
        <f t="shared" si="17"/>
        <v>267.75292587775999</v>
      </c>
      <c r="L178" s="10">
        <f t="shared" si="14"/>
        <v>0.44006826441882135</v>
      </c>
      <c r="M178" s="10">
        <f t="shared" si="18"/>
        <v>0.50035300867460475</v>
      </c>
      <c r="P178" s="8">
        <f t="shared" si="19"/>
        <v>40.849642425688756</v>
      </c>
    </row>
    <row r="179" spans="1:16" x14ac:dyDescent="0.2">
      <c r="A179" s="8">
        <v>88.5</v>
      </c>
      <c r="B179" s="8">
        <v>177</v>
      </c>
      <c r="D179">
        <v>756.48244473342004</v>
      </c>
      <c r="E179">
        <v>389.95903771130997</v>
      </c>
      <c r="F179">
        <v>150.85175552666001</v>
      </c>
      <c r="G179">
        <v>123.86996098829999</v>
      </c>
      <c r="I179" s="9">
        <f t="shared" si="15"/>
        <v>266.08907672300995</v>
      </c>
      <c r="J179" s="9">
        <f t="shared" si="16"/>
        <v>605.63068920676005</v>
      </c>
      <c r="K179" s="9">
        <f t="shared" si="17"/>
        <v>266.08907672300995</v>
      </c>
      <c r="L179" s="10">
        <f t="shared" si="14"/>
        <v>0.43935864127283042</v>
      </c>
      <c r="M179" s="10">
        <f t="shared" si="18"/>
        <v>0.49998591248461255</v>
      </c>
      <c r="P179" s="8">
        <f t="shared" si="19"/>
        <v>40.746304649758926</v>
      </c>
    </row>
    <row r="180" spans="1:16" x14ac:dyDescent="0.2">
      <c r="A180" s="8">
        <v>89</v>
      </c>
      <c r="B180" s="8">
        <v>178</v>
      </c>
      <c r="D180">
        <v>758.12353706112003</v>
      </c>
      <c r="E180">
        <v>390.08842652796</v>
      </c>
      <c r="F180">
        <v>150.87516254876999</v>
      </c>
      <c r="G180">
        <v>123.97724317295</v>
      </c>
      <c r="I180" s="9">
        <f t="shared" si="15"/>
        <v>266.11118335500998</v>
      </c>
      <c r="J180" s="9">
        <f t="shared" si="16"/>
        <v>607.24837451234998</v>
      </c>
      <c r="K180" s="9">
        <f t="shared" si="17"/>
        <v>266.11118335500998</v>
      </c>
      <c r="L180" s="10">
        <f t="shared" si="14"/>
        <v>0.43822461207691205</v>
      </c>
      <c r="M180" s="10">
        <f t="shared" si="18"/>
        <v>0.49919441024469297</v>
      </c>
      <c r="P180" s="8">
        <f t="shared" si="19"/>
        <v>40.523496341346608</v>
      </c>
    </row>
    <row r="181" spans="1:16" x14ac:dyDescent="0.2">
      <c r="A181" s="8">
        <v>89.5</v>
      </c>
      <c r="B181" s="8">
        <v>179</v>
      </c>
      <c r="D181">
        <v>766.24707412223995</v>
      </c>
      <c r="E181">
        <v>388.96749024706997</v>
      </c>
      <c r="F181">
        <v>150.98049414824001</v>
      </c>
      <c r="G181">
        <v>123.80624187255999</v>
      </c>
      <c r="I181" s="9">
        <f t="shared" si="15"/>
        <v>265.16124837450997</v>
      </c>
      <c r="J181" s="9">
        <f t="shared" si="16"/>
        <v>615.26657997399991</v>
      </c>
      <c r="K181" s="9">
        <f t="shared" si="17"/>
        <v>265.16124837450997</v>
      </c>
      <c r="L181" s="10">
        <f t="shared" si="14"/>
        <v>0.43096969184595596</v>
      </c>
      <c r="M181" s="10">
        <f t="shared" si="18"/>
        <v>0.49228201696973567</v>
      </c>
      <c r="P181" s="8">
        <f t="shared" si="19"/>
        <v>38.577653897703698</v>
      </c>
    </row>
    <row r="182" spans="1:16" x14ac:dyDescent="0.2">
      <c r="A182" s="8">
        <v>90</v>
      </c>
      <c r="B182" s="8">
        <v>180</v>
      </c>
      <c r="D182">
        <v>761.15214564369001</v>
      </c>
      <c r="E182">
        <v>384.78153446034003</v>
      </c>
      <c r="F182">
        <v>150.76332899869999</v>
      </c>
      <c r="G182">
        <v>123.73992197659</v>
      </c>
      <c r="I182" s="9">
        <f t="shared" si="15"/>
        <v>261.04161248375004</v>
      </c>
      <c r="J182" s="9">
        <f t="shared" si="16"/>
        <v>610.38881664499002</v>
      </c>
      <c r="K182" s="9">
        <f t="shared" si="17"/>
        <v>261.04161248375004</v>
      </c>
      <c r="L182" s="10">
        <f t="shared" si="14"/>
        <v>0.42766447445509997</v>
      </c>
      <c r="M182" s="10">
        <f>L182+ABS($N$2)*A182</f>
        <v>0.48931932653487842</v>
      </c>
      <c r="P182" s="8">
        <f t="shared" si="19"/>
        <v>37.743654938702676</v>
      </c>
    </row>
    <row r="183" spans="1:16" x14ac:dyDescent="0.2">
      <c r="A183" s="8">
        <v>90.5</v>
      </c>
      <c r="B183" s="8">
        <v>181</v>
      </c>
      <c r="D183">
        <v>763.48569570870995</v>
      </c>
      <c r="E183">
        <v>383.4388816645</v>
      </c>
      <c r="F183">
        <v>150.84070221066</v>
      </c>
      <c r="G183">
        <v>123.60273081925</v>
      </c>
      <c r="I183" s="9">
        <f t="shared" si="15"/>
        <v>259.83615084525002</v>
      </c>
      <c r="J183" s="9">
        <f t="shared" si="16"/>
        <v>612.64499349804998</v>
      </c>
      <c r="K183" s="9">
        <f t="shared" si="17"/>
        <v>259.83615084525002</v>
      </c>
      <c r="L183" s="10">
        <f t="shared" si="14"/>
        <v>0.42412188723138089</v>
      </c>
      <c r="M183" s="10">
        <f t="shared" ref="M183:M241" si="20">L183+ABS($N$2)*A183</f>
        <v>0.48611926626715812</v>
      </c>
      <c r="P183" s="8">
        <f t="shared" si="19"/>
        <v>36.842836243431911</v>
      </c>
    </row>
    <row r="184" spans="1:16" x14ac:dyDescent="0.2">
      <c r="A184" s="8">
        <v>91</v>
      </c>
      <c r="B184" s="8">
        <v>182</v>
      </c>
      <c r="D184">
        <v>765.80819245774001</v>
      </c>
      <c r="E184">
        <v>384.24512353706001</v>
      </c>
      <c r="F184">
        <v>150.81209362809</v>
      </c>
      <c r="G184">
        <v>123.78868660598</v>
      </c>
      <c r="I184" s="9">
        <f t="shared" si="15"/>
        <v>260.45643693108002</v>
      </c>
      <c r="J184" s="9">
        <f t="shared" si="16"/>
        <v>614.99609882965001</v>
      </c>
      <c r="K184" s="9">
        <f t="shared" si="17"/>
        <v>260.45643693108002</v>
      </c>
      <c r="L184" s="10">
        <f t="shared" si="14"/>
        <v>0.42350908798727971</v>
      </c>
      <c r="M184" s="10">
        <f t="shared" si="20"/>
        <v>0.48584899397905573</v>
      </c>
      <c r="P184" s="8">
        <f t="shared" si="19"/>
        <v>36.766754448225697</v>
      </c>
    </row>
    <row r="185" spans="1:16" x14ac:dyDescent="0.2">
      <c r="A185" s="8">
        <v>91.5</v>
      </c>
      <c r="B185" s="8">
        <v>183</v>
      </c>
      <c r="D185">
        <v>767.09167750325003</v>
      </c>
      <c r="E185">
        <v>387.89271781535001</v>
      </c>
      <c r="F185">
        <v>151.30559167749999</v>
      </c>
      <c r="G185">
        <v>124.29258777633</v>
      </c>
      <c r="I185" s="9">
        <f t="shared" si="15"/>
        <v>263.60013003902003</v>
      </c>
      <c r="J185" s="9">
        <f t="shared" si="16"/>
        <v>615.78608582574998</v>
      </c>
      <c r="K185" s="9">
        <f t="shared" si="17"/>
        <v>263.60013003902003</v>
      </c>
      <c r="L185" s="10">
        <f t="shared" si="14"/>
        <v>0.42807094233956333</v>
      </c>
      <c r="M185" s="10">
        <f t="shared" si="20"/>
        <v>0.49075337528733809</v>
      </c>
      <c r="P185" s="8">
        <f t="shared" si="19"/>
        <v>38.147340437746621</v>
      </c>
    </row>
    <row r="186" spans="1:16" x14ac:dyDescent="0.2">
      <c r="A186" s="8">
        <v>92</v>
      </c>
      <c r="B186" s="8">
        <v>184</v>
      </c>
      <c r="D186">
        <v>764.03055916774997</v>
      </c>
      <c r="E186">
        <v>385.05266579974</v>
      </c>
      <c r="F186">
        <v>150.59622886866001</v>
      </c>
      <c r="G186">
        <v>123.78608582575001</v>
      </c>
      <c r="I186" s="9">
        <f t="shared" si="15"/>
        <v>261.26657997399002</v>
      </c>
      <c r="J186" s="9">
        <f t="shared" si="16"/>
        <v>613.43433029908999</v>
      </c>
      <c r="K186" s="9">
        <f t="shared" si="17"/>
        <v>261.26657997399002</v>
      </c>
      <c r="L186" s="10">
        <f t="shared" si="14"/>
        <v>0.42590798569523358</v>
      </c>
      <c r="M186" s="10">
        <f t="shared" si="20"/>
        <v>0.48893294559900713</v>
      </c>
      <c r="P186" s="8">
        <f t="shared" si="19"/>
        <v>37.634888496382821</v>
      </c>
    </row>
    <row r="187" spans="1:16" x14ac:dyDescent="0.2">
      <c r="A187" s="8">
        <v>92.5</v>
      </c>
      <c r="B187" s="8">
        <v>185</v>
      </c>
      <c r="D187">
        <v>760.44668400520004</v>
      </c>
      <c r="E187">
        <v>382.60143042913</v>
      </c>
      <c r="F187">
        <v>151.43498049415001</v>
      </c>
      <c r="G187">
        <v>123.95253576073</v>
      </c>
      <c r="I187" s="9">
        <f t="shared" si="15"/>
        <v>258.64889466839998</v>
      </c>
      <c r="J187" s="9">
        <f t="shared" si="16"/>
        <v>609.01170351104997</v>
      </c>
      <c r="K187" s="9">
        <f t="shared" si="17"/>
        <v>258.64889466839998</v>
      </c>
      <c r="L187" s="10">
        <f t="shared" si="14"/>
        <v>0.42470266692289771</v>
      </c>
      <c r="M187" s="10">
        <f t="shared" si="20"/>
        <v>0.48807015378267005</v>
      </c>
      <c r="P187" s="8">
        <f t="shared" si="19"/>
        <v>37.392012133670825</v>
      </c>
    </row>
    <row r="188" spans="1:16" x14ac:dyDescent="0.2">
      <c r="A188" s="8">
        <v>93</v>
      </c>
      <c r="B188" s="8">
        <v>186</v>
      </c>
      <c r="D188">
        <v>727.15847347994998</v>
      </c>
      <c r="E188">
        <v>371.71992238033999</v>
      </c>
      <c r="F188">
        <v>151.35045513654001</v>
      </c>
      <c r="G188">
        <v>124.03836150845</v>
      </c>
      <c r="I188" s="9">
        <f t="shared" si="15"/>
        <v>247.68156087188999</v>
      </c>
      <c r="J188" s="9">
        <f t="shared" si="16"/>
        <v>575.80801834340991</v>
      </c>
      <c r="K188" s="9">
        <f t="shared" si="17"/>
        <v>247.68156087188999</v>
      </c>
      <c r="L188" s="10">
        <f t="shared" si="14"/>
        <v>0.43014607817457234</v>
      </c>
      <c r="M188" s="10">
        <f t="shared" si="20"/>
        <v>0.49385609199034342</v>
      </c>
      <c r="P188" s="8">
        <f t="shared" si="19"/>
        <v>39.020756866927563</v>
      </c>
    </row>
    <row r="189" spans="1:16" x14ac:dyDescent="0.2">
      <c r="A189" s="8">
        <v>93.5</v>
      </c>
      <c r="B189" s="8">
        <v>187</v>
      </c>
      <c r="D189">
        <v>725.51811125485006</v>
      </c>
      <c r="E189">
        <v>371.19340232859003</v>
      </c>
      <c r="F189">
        <v>151.37516254876999</v>
      </c>
      <c r="G189">
        <v>123.85695708713</v>
      </c>
      <c r="I189" s="9">
        <f t="shared" si="15"/>
        <v>247.33644524146001</v>
      </c>
      <c r="J189" s="9">
        <f t="shared" si="16"/>
        <v>574.14294870608001</v>
      </c>
      <c r="K189" s="9">
        <f t="shared" si="17"/>
        <v>247.33644524146001</v>
      </c>
      <c r="L189" s="10">
        <f t="shared" si="14"/>
        <v>0.43079244602562999</v>
      </c>
      <c r="M189" s="10">
        <f t="shared" si="20"/>
        <v>0.49484498679739986</v>
      </c>
      <c r="P189" s="8">
        <f t="shared" si="19"/>
        <v>39.299131289696547</v>
      </c>
    </row>
    <row r="190" spans="1:16" x14ac:dyDescent="0.2">
      <c r="A190" s="8">
        <v>94</v>
      </c>
      <c r="B190" s="8">
        <v>188</v>
      </c>
      <c r="D190">
        <v>715.37128072445</v>
      </c>
      <c r="E190">
        <v>363.26455368693001</v>
      </c>
      <c r="F190">
        <v>150.83029908973</v>
      </c>
      <c r="G190">
        <v>123.66579973992</v>
      </c>
      <c r="I190" s="9">
        <f t="shared" si="15"/>
        <v>239.59875394701001</v>
      </c>
      <c r="J190" s="9">
        <f t="shared" si="16"/>
        <v>564.54098163471997</v>
      </c>
      <c r="K190" s="9">
        <f t="shared" si="17"/>
        <v>239.59875394701001</v>
      </c>
      <c r="L190" s="10">
        <f t="shared" si="14"/>
        <v>0.42441339378624554</v>
      </c>
      <c r="M190" s="10">
        <f t="shared" si="20"/>
        <v>0.48880846151401414</v>
      </c>
      <c r="P190" s="8">
        <f t="shared" si="19"/>
        <v>37.599846159162951</v>
      </c>
    </row>
    <row r="191" spans="1:16" x14ac:dyDescent="0.2">
      <c r="A191" s="8">
        <v>94.5</v>
      </c>
      <c r="B191" s="8">
        <v>189</v>
      </c>
      <c r="D191">
        <v>725.28654592497003</v>
      </c>
      <c r="E191">
        <v>365.21216041397003</v>
      </c>
      <c r="F191">
        <v>150.93823146944001</v>
      </c>
      <c r="G191">
        <v>123.69180754225999</v>
      </c>
      <c r="I191" s="9">
        <f t="shared" si="15"/>
        <v>241.52035287171003</v>
      </c>
      <c r="J191" s="9">
        <f t="shared" si="16"/>
        <v>574.34831445553004</v>
      </c>
      <c r="K191" s="9">
        <f t="shared" si="17"/>
        <v>241.52035287171003</v>
      </c>
      <c r="L191" s="10">
        <f t="shared" si="14"/>
        <v>0.42051199036018094</v>
      </c>
      <c r="M191" s="10">
        <f t="shared" si="20"/>
        <v>0.48524958504394833</v>
      </c>
      <c r="P191" s="8">
        <f t="shared" si="19"/>
        <v>36.598020508960936</v>
      </c>
    </row>
    <row r="192" spans="1:16" x14ac:dyDescent="0.2">
      <c r="A192" s="8">
        <v>95</v>
      </c>
      <c r="B192" s="8">
        <v>190</v>
      </c>
      <c r="D192">
        <v>733.63001293661</v>
      </c>
      <c r="E192">
        <v>364.02587322122002</v>
      </c>
      <c r="F192">
        <v>151.47919375813001</v>
      </c>
      <c r="G192">
        <v>123.95383615084999</v>
      </c>
      <c r="I192" s="9">
        <f t="shared" si="15"/>
        <v>240.07203707037002</v>
      </c>
      <c r="J192" s="9">
        <f t="shared" si="16"/>
        <v>582.15081917847999</v>
      </c>
      <c r="K192" s="9">
        <f t="shared" si="17"/>
        <v>240.07203707037002</v>
      </c>
      <c r="L192" s="10">
        <f t="shared" si="14"/>
        <v>0.41238804303179549</v>
      </c>
      <c r="M192" s="10">
        <f t="shared" si="20"/>
        <v>0.47746816467156167</v>
      </c>
      <c r="P192" s="8">
        <f t="shared" si="19"/>
        <v>34.407546467607865</v>
      </c>
    </row>
    <row r="193" spans="1:16" x14ac:dyDescent="0.2">
      <c r="A193" s="8">
        <v>95.5</v>
      </c>
      <c r="B193" s="8">
        <v>191</v>
      </c>
      <c r="D193">
        <v>724.89255663430004</v>
      </c>
      <c r="E193">
        <v>362.03948220065001</v>
      </c>
      <c r="F193">
        <v>151.32769830948999</v>
      </c>
      <c r="G193">
        <v>123.95318595579</v>
      </c>
      <c r="I193" s="9">
        <f t="shared" si="15"/>
        <v>238.08629624486002</v>
      </c>
      <c r="J193" s="9">
        <f t="shared" si="16"/>
        <v>573.56485832481007</v>
      </c>
      <c r="K193" s="9">
        <f t="shared" si="17"/>
        <v>238.08629624486002</v>
      </c>
      <c r="L193" s="10">
        <f t="shared" si="14"/>
        <v>0.41509916932538365</v>
      </c>
      <c r="M193" s="10">
        <f t="shared" si="20"/>
        <v>0.48052181792114856</v>
      </c>
      <c r="P193" s="8">
        <f t="shared" si="19"/>
        <v>35.267151508128499</v>
      </c>
    </row>
    <row r="194" spans="1:16" x14ac:dyDescent="0.2">
      <c r="A194" s="8">
        <v>96</v>
      </c>
      <c r="B194" s="8">
        <v>192</v>
      </c>
      <c r="D194">
        <v>736.41165048543996</v>
      </c>
      <c r="E194">
        <v>363.60129449838001</v>
      </c>
      <c r="F194">
        <v>151.30169050715</v>
      </c>
      <c r="G194">
        <v>124.28608582575001</v>
      </c>
      <c r="I194" s="9">
        <f t="shared" si="15"/>
        <v>239.31520867263001</v>
      </c>
      <c r="J194" s="9">
        <f t="shared" si="16"/>
        <v>585.10995997828991</v>
      </c>
      <c r="K194" s="9">
        <f t="shared" si="17"/>
        <v>239.31520867263001</v>
      </c>
      <c r="L194" s="10">
        <f t="shared" ref="L194:L257" si="21">K194/J194</f>
        <v>0.40900894710715507</v>
      </c>
      <c r="M194" s="10">
        <f t="shared" si="20"/>
        <v>0.47477412265891877</v>
      </c>
      <c r="P194" s="8">
        <f t="shared" si="19"/>
        <v>33.649172184687728</v>
      </c>
    </row>
    <row r="195" spans="1:16" x14ac:dyDescent="0.2">
      <c r="A195" s="8">
        <v>96.5</v>
      </c>
      <c r="B195" s="8">
        <v>193</v>
      </c>
      <c r="D195">
        <v>727.01553398058002</v>
      </c>
      <c r="E195">
        <v>359.72233009708998</v>
      </c>
      <c r="F195">
        <v>151</v>
      </c>
      <c r="G195">
        <v>124.52405721717</v>
      </c>
      <c r="I195" s="9">
        <f t="shared" ref="I195:I241" si="22">E195-G195</f>
        <v>235.19827287991998</v>
      </c>
      <c r="J195" s="9">
        <f t="shared" ref="J195:J241" si="23">D195-F195</f>
        <v>576.01553398058002</v>
      </c>
      <c r="K195" s="9">
        <f t="shared" ref="K195:K258" si="24">I195*1</f>
        <v>235.19827287991998</v>
      </c>
      <c r="L195" s="10">
        <f t="shared" si="21"/>
        <v>0.40831932301299628</v>
      </c>
      <c r="M195" s="10">
        <f t="shared" si="20"/>
        <v>0.47442702552075877</v>
      </c>
      <c r="P195" s="8">
        <f t="shared" ref="P195:P241" si="25">(M195-$O$2)/$O$2*100</f>
        <v>33.551464152659868</v>
      </c>
    </row>
    <row r="196" spans="1:16" x14ac:dyDescent="0.2">
      <c r="A196" s="8">
        <v>97</v>
      </c>
      <c r="B196" s="8">
        <v>194</v>
      </c>
      <c r="D196">
        <v>741.62135922330003</v>
      </c>
      <c r="E196">
        <v>364.09902912620998</v>
      </c>
      <c r="F196">
        <v>151.53966189856999</v>
      </c>
      <c r="G196">
        <v>124.36345903771</v>
      </c>
      <c r="I196" s="9">
        <f t="shared" si="22"/>
        <v>239.73557008849997</v>
      </c>
      <c r="J196" s="9">
        <f t="shared" si="23"/>
        <v>590.08169732473004</v>
      </c>
      <c r="K196" s="9">
        <f t="shared" si="24"/>
        <v>239.73557008849997</v>
      </c>
      <c r="L196" s="10">
        <f t="shared" si="21"/>
        <v>0.406275217779836</v>
      </c>
      <c r="M196" s="10">
        <f t="shared" si="20"/>
        <v>0.47272544724359722</v>
      </c>
      <c r="P196" s="8">
        <f t="shared" si="25"/>
        <v>33.072468947789645</v>
      </c>
    </row>
    <row r="197" spans="1:16" x14ac:dyDescent="0.2">
      <c r="A197" s="8">
        <v>97.5</v>
      </c>
      <c r="B197" s="8">
        <v>195</v>
      </c>
      <c r="D197">
        <v>751.08349514562997</v>
      </c>
      <c r="E197">
        <v>369.2213592233</v>
      </c>
      <c r="F197">
        <v>151.00845253576</v>
      </c>
      <c r="G197">
        <v>124.34980494148</v>
      </c>
      <c r="I197" s="9">
        <f t="shared" si="22"/>
        <v>244.87155428182001</v>
      </c>
      <c r="J197" s="9">
        <f t="shared" si="23"/>
        <v>600.07504260987002</v>
      </c>
      <c r="K197" s="9">
        <f t="shared" si="24"/>
        <v>244.87155428182001</v>
      </c>
      <c r="L197" s="10">
        <f t="shared" si="21"/>
        <v>0.40806821962935669</v>
      </c>
      <c r="M197" s="10">
        <f t="shared" si="20"/>
        <v>0.4748609760491167</v>
      </c>
      <c r="P197" s="8">
        <f t="shared" si="25"/>
        <v>33.673621460980172</v>
      </c>
    </row>
    <row r="198" spans="1:16" x14ac:dyDescent="0.2">
      <c r="A198" s="8">
        <v>98</v>
      </c>
      <c r="B198" s="8">
        <v>196</v>
      </c>
      <c r="D198">
        <v>759.95922330097005</v>
      </c>
      <c r="E198">
        <v>369.20841423948002</v>
      </c>
      <c r="F198">
        <v>150.85955786736</v>
      </c>
      <c r="G198">
        <v>124.44018205462</v>
      </c>
      <c r="I198" s="9">
        <f t="shared" si="22"/>
        <v>244.76823218486004</v>
      </c>
      <c r="J198" s="9">
        <f t="shared" si="23"/>
        <v>609.09966543361008</v>
      </c>
      <c r="K198" s="9">
        <f t="shared" si="24"/>
        <v>244.76823218486004</v>
      </c>
      <c r="L198" s="10">
        <f t="shared" si="21"/>
        <v>0.40185251458086541</v>
      </c>
      <c r="M198" s="10">
        <f t="shared" si="20"/>
        <v>0.46898779795662415</v>
      </c>
      <c r="P198" s="8">
        <f t="shared" si="25"/>
        <v>32.020318652986177</v>
      </c>
    </row>
    <row r="199" spans="1:16" x14ac:dyDescent="0.2">
      <c r="A199" s="8">
        <v>98.5</v>
      </c>
      <c r="B199" s="8">
        <v>197</v>
      </c>
      <c r="D199">
        <v>758.39223300971003</v>
      </c>
      <c r="E199">
        <v>368.91326860841002</v>
      </c>
      <c r="F199">
        <v>151.59427828349001</v>
      </c>
      <c r="G199">
        <v>123.95123537060999</v>
      </c>
      <c r="I199" s="9">
        <f t="shared" si="22"/>
        <v>244.96203323780003</v>
      </c>
      <c r="J199" s="9">
        <f t="shared" si="23"/>
        <v>606.79795472622004</v>
      </c>
      <c r="K199" s="9">
        <f t="shared" si="24"/>
        <v>244.96203323780003</v>
      </c>
      <c r="L199" s="10">
        <f t="shared" si="21"/>
        <v>0.4036962078231196</v>
      </c>
      <c r="M199" s="10">
        <f t="shared" si="20"/>
        <v>0.47117401815487714</v>
      </c>
      <c r="P199" s="8">
        <f t="shared" si="25"/>
        <v>32.635740820634233</v>
      </c>
    </row>
    <row r="200" spans="1:16" x14ac:dyDescent="0.2">
      <c r="A200" s="8">
        <v>99</v>
      </c>
      <c r="B200" s="8">
        <v>198</v>
      </c>
      <c r="D200">
        <v>747.52723735408995</v>
      </c>
      <c r="E200">
        <v>359.76005188067001</v>
      </c>
      <c r="F200">
        <v>151.72561768531</v>
      </c>
      <c r="G200">
        <v>124.31989596878999</v>
      </c>
      <c r="I200" s="9">
        <f t="shared" si="22"/>
        <v>235.44015591188003</v>
      </c>
      <c r="J200" s="9">
        <f t="shared" si="23"/>
        <v>595.80161966877995</v>
      </c>
      <c r="K200" s="9">
        <f t="shared" si="24"/>
        <v>235.44015591188003</v>
      </c>
      <c r="L200" s="10">
        <f t="shared" si="21"/>
        <v>0.39516535057888347</v>
      </c>
      <c r="M200" s="10">
        <f t="shared" si="20"/>
        <v>0.46298568786663979</v>
      </c>
      <c r="P200" s="8">
        <f t="shared" si="25"/>
        <v>30.330721417999424</v>
      </c>
    </row>
    <row r="201" spans="1:16" x14ac:dyDescent="0.2">
      <c r="A201" s="8">
        <v>99.5</v>
      </c>
      <c r="B201" s="8">
        <v>199</v>
      </c>
      <c r="D201">
        <v>738.20752269779996</v>
      </c>
      <c r="E201">
        <v>354.72827496757998</v>
      </c>
      <c r="F201">
        <v>151.58777633290001</v>
      </c>
      <c r="G201">
        <v>124.19960988296999</v>
      </c>
      <c r="I201" s="9">
        <f t="shared" si="22"/>
        <v>230.52866508461</v>
      </c>
      <c r="J201" s="9">
        <f t="shared" si="23"/>
        <v>586.61974636489992</v>
      </c>
      <c r="K201" s="9">
        <f t="shared" si="24"/>
        <v>230.52866508461</v>
      </c>
      <c r="L201" s="10">
        <f t="shared" si="21"/>
        <v>0.39297801772464092</v>
      </c>
      <c r="M201" s="10">
        <f t="shared" si="20"/>
        <v>0.46114088196839598</v>
      </c>
      <c r="P201" s="8">
        <f t="shared" si="25"/>
        <v>29.811407560367716</v>
      </c>
    </row>
    <row r="202" spans="1:16" x14ac:dyDescent="0.2">
      <c r="A202" s="8">
        <v>100</v>
      </c>
      <c r="B202" s="8">
        <v>200</v>
      </c>
      <c r="D202">
        <v>702.72762395363998</v>
      </c>
      <c r="E202">
        <v>340.21506761107997</v>
      </c>
      <c r="F202">
        <v>151.22756827047999</v>
      </c>
      <c r="G202">
        <v>124.24382314694</v>
      </c>
      <c r="I202" s="9">
        <f t="shared" si="22"/>
        <v>215.97124446413997</v>
      </c>
      <c r="J202" s="9">
        <f t="shared" si="23"/>
        <v>551.50005568315999</v>
      </c>
      <c r="K202" s="9">
        <f t="shared" si="24"/>
        <v>215.97124446413997</v>
      </c>
      <c r="L202" s="10">
        <f t="shared" si="21"/>
        <v>0.391606931383914</v>
      </c>
      <c r="M202" s="10">
        <f t="shared" si="20"/>
        <v>0.46011232258366785</v>
      </c>
      <c r="P202" s="8">
        <f t="shared" si="25"/>
        <v>29.521867537542036</v>
      </c>
    </row>
    <row r="203" spans="1:16" x14ac:dyDescent="0.2">
      <c r="A203" s="8">
        <v>100.5</v>
      </c>
      <c r="B203" s="8">
        <v>201</v>
      </c>
      <c r="D203">
        <v>697.74629748872997</v>
      </c>
      <c r="E203">
        <v>338.05344494526997</v>
      </c>
      <c r="F203">
        <v>152.11508452536</v>
      </c>
      <c r="G203">
        <v>124.23016905071999</v>
      </c>
      <c r="I203" s="9">
        <f t="shared" si="22"/>
        <v>213.82327589454997</v>
      </c>
      <c r="J203" s="9">
        <f t="shared" si="23"/>
        <v>545.63121296336999</v>
      </c>
      <c r="K203" s="9">
        <f t="shared" si="24"/>
        <v>213.82327589454997</v>
      </c>
      <c r="L203" s="10">
        <f t="shared" si="21"/>
        <v>0.3918824121759043</v>
      </c>
      <c r="M203" s="10">
        <f t="shared" si="20"/>
        <v>0.46073033033165689</v>
      </c>
      <c r="P203" s="8">
        <f t="shared" si="25"/>
        <v>29.695837052687228</v>
      </c>
    </row>
    <row r="204" spans="1:16" x14ac:dyDescent="0.2">
      <c r="A204" s="8">
        <v>101</v>
      </c>
      <c r="B204" s="8">
        <v>202</v>
      </c>
      <c r="D204">
        <v>698.27366387637005</v>
      </c>
      <c r="E204">
        <v>334.69735994848998</v>
      </c>
      <c r="F204">
        <v>152.16449934981</v>
      </c>
      <c r="G204">
        <v>124.60143042913</v>
      </c>
      <c r="I204" s="9">
        <f t="shared" si="22"/>
        <v>210.09592951935997</v>
      </c>
      <c r="J204" s="9">
        <f t="shared" si="23"/>
        <v>546.10916452656011</v>
      </c>
      <c r="K204" s="9">
        <f t="shared" si="24"/>
        <v>210.09592951935997</v>
      </c>
      <c r="L204" s="10">
        <f t="shared" si="21"/>
        <v>0.38471416186816604</v>
      </c>
      <c r="M204" s="10">
        <f t="shared" si="20"/>
        <v>0.45390460697991741</v>
      </c>
      <c r="P204" s="8">
        <f t="shared" si="25"/>
        <v>27.77439223928268</v>
      </c>
    </row>
    <row r="205" spans="1:16" x14ac:dyDescent="0.2">
      <c r="A205" s="8">
        <v>101.5</v>
      </c>
      <c r="B205" s="8">
        <v>203</v>
      </c>
      <c r="D205">
        <v>703.62974887314999</v>
      </c>
      <c r="E205">
        <v>337.03799098518999</v>
      </c>
      <c r="F205">
        <v>152.00455136541001</v>
      </c>
      <c r="G205">
        <v>124.34590377113</v>
      </c>
      <c r="I205" s="9">
        <f t="shared" si="22"/>
        <v>212.69208721406</v>
      </c>
      <c r="J205" s="9">
        <f t="shared" si="23"/>
        <v>551.62519750774004</v>
      </c>
      <c r="K205" s="9">
        <f t="shared" si="24"/>
        <v>212.69208721406</v>
      </c>
      <c r="L205" s="10">
        <f t="shared" si="21"/>
        <v>0.38557355279455963</v>
      </c>
      <c r="M205" s="10">
        <f t="shared" si="20"/>
        <v>0.45510652486230979</v>
      </c>
      <c r="P205" s="8">
        <f t="shared" si="25"/>
        <v>28.112732772916011</v>
      </c>
    </row>
    <row r="206" spans="1:16" x14ac:dyDescent="0.2">
      <c r="A206" s="8">
        <v>102</v>
      </c>
      <c r="B206" s="8">
        <v>204</v>
      </c>
      <c r="D206">
        <v>696.91108247423006</v>
      </c>
      <c r="E206">
        <v>332.75386597938001</v>
      </c>
      <c r="F206">
        <v>152.02860858258001</v>
      </c>
      <c r="G206">
        <v>124.33355006502001</v>
      </c>
      <c r="I206" s="9">
        <f t="shared" si="22"/>
        <v>208.42031591436</v>
      </c>
      <c r="J206" s="9">
        <f t="shared" si="23"/>
        <v>544.88247389165008</v>
      </c>
      <c r="K206" s="9">
        <f t="shared" si="24"/>
        <v>208.42031591436</v>
      </c>
      <c r="L206" s="10">
        <f t="shared" si="21"/>
        <v>0.38250508302420533</v>
      </c>
      <c r="M206" s="10">
        <f t="shared" si="20"/>
        <v>0.45238058204795428</v>
      </c>
      <c r="P206" s="8">
        <f t="shared" si="25"/>
        <v>27.345378397068654</v>
      </c>
    </row>
    <row r="207" spans="1:16" x14ac:dyDescent="0.2">
      <c r="A207" s="8">
        <v>102.5</v>
      </c>
      <c r="B207" s="8">
        <v>205</v>
      </c>
      <c r="D207">
        <v>702.63853092783995</v>
      </c>
      <c r="E207">
        <v>334.22809278351002</v>
      </c>
      <c r="F207">
        <v>151.69180754225999</v>
      </c>
      <c r="G207">
        <v>124.29908972692</v>
      </c>
      <c r="I207" s="9">
        <f t="shared" si="22"/>
        <v>209.92900305659003</v>
      </c>
      <c r="J207" s="9">
        <f t="shared" si="23"/>
        <v>550.94672338557996</v>
      </c>
      <c r="K207" s="9">
        <f t="shared" si="24"/>
        <v>209.92900305659003</v>
      </c>
      <c r="L207" s="10">
        <f t="shared" si="21"/>
        <v>0.38103321817865005</v>
      </c>
      <c r="M207" s="10">
        <f t="shared" si="20"/>
        <v>0.45125124415839774</v>
      </c>
      <c r="P207" s="8">
        <f t="shared" si="25"/>
        <v>27.027469170654335</v>
      </c>
    </row>
    <row r="208" spans="1:16" x14ac:dyDescent="0.2">
      <c r="A208" s="8">
        <v>103</v>
      </c>
      <c r="B208" s="8">
        <v>206</v>
      </c>
      <c r="D208">
        <v>719.18412491867002</v>
      </c>
      <c r="E208">
        <v>334.08588158751002</v>
      </c>
      <c r="F208">
        <v>152.06631989597</v>
      </c>
      <c r="G208">
        <v>124.36475942782999</v>
      </c>
      <c r="I208" s="9">
        <f t="shared" si="22"/>
        <v>209.72112215968002</v>
      </c>
      <c r="J208" s="9">
        <f t="shared" si="23"/>
        <v>567.11780502270005</v>
      </c>
      <c r="K208" s="9">
        <f t="shared" si="24"/>
        <v>209.72112215968002</v>
      </c>
      <c r="L208" s="10">
        <f t="shared" si="21"/>
        <v>0.36980168900055166</v>
      </c>
      <c r="M208" s="10">
        <f t="shared" si="20"/>
        <v>0.44036224193629814</v>
      </c>
      <c r="P208" s="8">
        <f t="shared" si="25"/>
        <v>23.962209158692101</v>
      </c>
    </row>
    <row r="209" spans="1:16" x14ac:dyDescent="0.2">
      <c r="A209" s="8">
        <v>103.5</v>
      </c>
      <c r="B209" s="8">
        <v>207</v>
      </c>
      <c r="D209">
        <v>719.22511385816995</v>
      </c>
      <c r="E209">
        <v>332.31099544567002</v>
      </c>
      <c r="F209">
        <v>151.78478543563</v>
      </c>
      <c r="G209">
        <v>124.3966189857</v>
      </c>
      <c r="I209" s="9">
        <f t="shared" si="22"/>
        <v>207.91437645997001</v>
      </c>
      <c r="J209" s="9">
        <f t="shared" si="23"/>
        <v>567.44032842254001</v>
      </c>
      <c r="K209" s="9">
        <f t="shared" si="24"/>
        <v>207.91437645997001</v>
      </c>
      <c r="L209" s="10">
        <f t="shared" si="21"/>
        <v>0.36640747237328575</v>
      </c>
      <c r="M209" s="10">
        <f t="shared" si="20"/>
        <v>0.43731055226503102</v>
      </c>
      <c r="P209" s="8">
        <f t="shared" si="25"/>
        <v>23.103156866529957</v>
      </c>
    </row>
    <row r="210" spans="1:16" x14ac:dyDescent="0.2">
      <c r="A210" s="8">
        <v>104</v>
      </c>
      <c r="B210" s="8">
        <v>208</v>
      </c>
      <c r="D210">
        <v>721.56213402732999</v>
      </c>
      <c r="E210">
        <v>331.69616135328999</v>
      </c>
      <c r="F210">
        <v>151.55136540961999</v>
      </c>
      <c r="G210">
        <v>124.24057217165</v>
      </c>
      <c r="I210" s="9">
        <f t="shared" si="22"/>
        <v>207.45558918163999</v>
      </c>
      <c r="J210" s="9">
        <f t="shared" si="23"/>
        <v>570.01076861771003</v>
      </c>
      <c r="K210" s="9">
        <f t="shared" si="24"/>
        <v>207.45558918163999</v>
      </c>
      <c r="L210" s="10">
        <f t="shared" si="21"/>
        <v>0.36395029814037522</v>
      </c>
      <c r="M210" s="10">
        <f t="shared" si="20"/>
        <v>0.43519590498811922</v>
      </c>
      <c r="P210" s="8">
        <f t="shared" si="25"/>
        <v>22.50788251493076</v>
      </c>
    </row>
    <row r="211" spans="1:16" x14ac:dyDescent="0.2">
      <c r="A211" s="8">
        <v>104.5</v>
      </c>
      <c r="B211" s="8">
        <v>209</v>
      </c>
      <c r="D211">
        <v>709.30535829567998</v>
      </c>
      <c r="E211">
        <v>322.78114912847002</v>
      </c>
      <c r="F211">
        <v>152.55786736021</v>
      </c>
      <c r="G211">
        <v>124.76007802341</v>
      </c>
      <c r="I211" s="9">
        <f t="shared" si="22"/>
        <v>198.02107110506</v>
      </c>
      <c r="J211" s="9">
        <f t="shared" si="23"/>
        <v>556.74749093546995</v>
      </c>
      <c r="K211" s="9">
        <f t="shared" si="24"/>
        <v>198.02107110506</v>
      </c>
      <c r="L211" s="10">
        <f t="shared" si="21"/>
        <v>0.35567483343721384</v>
      </c>
      <c r="M211" s="10">
        <f t="shared" si="20"/>
        <v>0.42726296724095664</v>
      </c>
      <c r="P211" s="8">
        <f t="shared" si="25"/>
        <v>20.274756250670109</v>
      </c>
    </row>
    <row r="212" spans="1:16" x14ac:dyDescent="0.2">
      <c r="A212" s="8">
        <v>105</v>
      </c>
      <c r="B212" s="8">
        <v>210</v>
      </c>
      <c r="D212">
        <v>708.79728857326995</v>
      </c>
      <c r="E212">
        <v>320.46417043254002</v>
      </c>
      <c r="F212">
        <v>151.24187256177001</v>
      </c>
      <c r="G212">
        <v>124.53315994798</v>
      </c>
      <c r="I212" s="9">
        <f t="shared" si="22"/>
        <v>195.93101048456003</v>
      </c>
      <c r="J212" s="9">
        <f t="shared" si="23"/>
        <v>557.55541601149991</v>
      </c>
      <c r="K212" s="9">
        <f t="shared" si="24"/>
        <v>195.93101048456003</v>
      </c>
      <c r="L212" s="10">
        <f t="shared" si="21"/>
        <v>0.35141082815796526</v>
      </c>
      <c r="M212" s="10">
        <f t="shared" si="20"/>
        <v>0.42334148891770679</v>
      </c>
      <c r="P212" s="8">
        <f t="shared" si="25"/>
        <v>19.170857982779339</v>
      </c>
    </row>
    <row r="213" spans="1:16" x14ac:dyDescent="0.2">
      <c r="A213" s="8">
        <v>105.5</v>
      </c>
      <c r="B213" s="8">
        <v>211</v>
      </c>
      <c r="D213">
        <v>690.03276539974001</v>
      </c>
      <c r="E213">
        <v>316.40563564875998</v>
      </c>
      <c r="F213">
        <v>152.03576072822</v>
      </c>
      <c r="G213">
        <v>124.16710013004</v>
      </c>
      <c r="I213" s="9">
        <f t="shared" si="22"/>
        <v>192.23853551871997</v>
      </c>
      <c r="J213" s="9">
        <f t="shared" si="23"/>
        <v>537.99700467152002</v>
      </c>
      <c r="K213" s="9">
        <f t="shared" si="24"/>
        <v>192.23853551871997</v>
      </c>
      <c r="L213" s="10">
        <f t="shared" si="21"/>
        <v>0.35732268739320089</v>
      </c>
      <c r="M213" s="10">
        <f t="shared" si="20"/>
        <v>0.42959587510894121</v>
      </c>
      <c r="P213" s="8">
        <f t="shared" si="25"/>
        <v>20.931471076644893</v>
      </c>
    </row>
    <row r="214" spans="1:16" x14ac:dyDescent="0.2">
      <c r="A214" s="8">
        <v>106</v>
      </c>
      <c r="B214" s="8">
        <v>212</v>
      </c>
      <c r="D214">
        <v>693.14875491480996</v>
      </c>
      <c r="E214">
        <v>318.09501965923999</v>
      </c>
      <c r="F214">
        <v>151.96293888167</v>
      </c>
      <c r="G214">
        <v>124.47594278283999</v>
      </c>
      <c r="I214" s="9">
        <f t="shared" si="22"/>
        <v>193.61907687640002</v>
      </c>
      <c r="J214" s="9">
        <f t="shared" si="23"/>
        <v>541.18581603313999</v>
      </c>
      <c r="K214" s="9">
        <f t="shared" si="24"/>
        <v>193.61907687640002</v>
      </c>
      <c r="L214" s="10">
        <f t="shared" si="21"/>
        <v>0.35776820297253242</v>
      </c>
      <c r="M214" s="10">
        <f t="shared" si="20"/>
        <v>0.43038391764427153</v>
      </c>
      <c r="P214" s="8">
        <f t="shared" si="25"/>
        <v>21.153305476345068</v>
      </c>
    </row>
    <row r="215" spans="1:16" x14ac:dyDescent="0.2">
      <c r="A215" s="8">
        <v>106.5</v>
      </c>
      <c r="B215" s="8">
        <v>213</v>
      </c>
      <c r="D215">
        <v>677.40301441678002</v>
      </c>
      <c r="E215">
        <v>313.04914809961002</v>
      </c>
      <c r="F215">
        <v>151.85630689206999</v>
      </c>
      <c r="G215">
        <v>124.62613784135</v>
      </c>
      <c r="I215" s="9">
        <f t="shared" si="22"/>
        <v>188.42301025826004</v>
      </c>
      <c r="J215" s="9">
        <f t="shared" si="23"/>
        <v>525.54670752470997</v>
      </c>
      <c r="K215" s="9">
        <f t="shared" si="24"/>
        <v>188.42301025826004</v>
      </c>
      <c r="L215" s="10">
        <f t="shared" si="21"/>
        <v>0.35852762002014982</v>
      </c>
      <c r="M215" s="10">
        <f t="shared" si="20"/>
        <v>0.43148586164788766</v>
      </c>
      <c r="P215" s="8">
        <f t="shared" si="25"/>
        <v>21.463503309058414</v>
      </c>
    </row>
    <row r="216" spans="1:16" x14ac:dyDescent="0.2">
      <c r="A216" s="8">
        <v>107</v>
      </c>
      <c r="B216" s="8">
        <v>214</v>
      </c>
      <c r="D216">
        <v>701.26230569947995</v>
      </c>
      <c r="E216">
        <v>315.96049222798001</v>
      </c>
      <c r="F216">
        <v>152.46879063719001</v>
      </c>
      <c r="G216">
        <v>124.48504551364999</v>
      </c>
      <c r="I216" s="9">
        <f t="shared" si="22"/>
        <v>191.47544671433002</v>
      </c>
      <c r="J216" s="9">
        <f t="shared" si="23"/>
        <v>548.79351506229</v>
      </c>
      <c r="K216" s="9">
        <f t="shared" si="24"/>
        <v>191.47544671433002</v>
      </c>
      <c r="L216" s="10">
        <f t="shared" si="21"/>
        <v>0.34890253156981432</v>
      </c>
      <c r="M216" s="10">
        <f t="shared" si="20"/>
        <v>0.42220330015355095</v>
      </c>
      <c r="P216" s="8">
        <f t="shared" si="25"/>
        <v>18.850457230380659</v>
      </c>
    </row>
    <row r="217" spans="1:16" x14ac:dyDescent="0.2">
      <c r="A217" s="8">
        <v>107.5</v>
      </c>
      <c r="B217" s="8">
        <v>215</v>
      </c>
      <c r="D217">
        <v>702.72085492227995</v>
      </c>
      <c r="E217">
        <v>314.71373056994997</v>
      </c>
      <c r="F217">
        <v>152.05136540961999</v>
      </c>
      <c r="G217">
        <v>124.35565669701001</v>
      </c>
      <c r="I217" s="9">
        <f t="shared" si="22"/>
        <v>190.35807387293997</v>
      </c>
      <c r="J217" s="9">
        <f t="shared" si="23"/>
        <v>550.66948951265999</v>
      </c>
      <c r="K217" s="9">
        <f t="shared" si="24"/>
        <v>190.35807387293997</v>
      </c>
      <c r="L217" s="10">
        <f t="shared" si="21"/>
        <v>0.34568480276872793</v>
      </c>
      <c r="M217" s="10">
        <f t="shared" si="20"/>
        <v>0.41932809830846329</v>
      </c>
      <c r="P217" s="8">
        <f t="shared" si="25"/>
        <v>18.041086356694873</v>
      </c>
    </row>
    <row r="218" spans="1:16" x14ac:dyDescent="0.2">
      <c r="A218" s="8">
        <v>108</v>
      </c>
      <c r="B218" s="8">
        <v>216</v>
      </c>
      <c r="D218">
        <v>703.41764705881997</v>
      </c>
      <c r="E218">
        <v>311.89215686275003</v>
      </c>
      <c r="F218">
        <v>151.54746423927</v>
      </c>
      <c r="G218">
        <v>124.32054616385</v>
      </c>
      <c r="I218" s="9">
        <f t="shared" si="22"/>
        <v>187.57161069890003</v>
      </c>
      <c r="J218" s="9">
        <f t="shared" si="23"/>
        <v>551.87018281955</v>
      </c>
      <c r="K218" s="9">
        <f t="shared" si="24"/>
        <v>187.57161069890003</v>
      </c>
      <c r="L218" s="10">
        <f t="shared" si="21"/>
        <v>0.339883575047634</v>
      </c>
      <c r="M218" s="10">
        <f t="shared" si="20"/>
        <v>0.41386939754336816</v>
      </c>
      <c r="P218" s="8">
        <f t="shared" si="25"/>
        <v>16.504459140423862</v>
      </c>
    </row>
    <row r="219" spans="1:16" x14ac:dyDescent="0.2">
      <c r="A219" s="8">
        <v>108.5</v>
      </c>
      <c r="B219" s="8">
        <v>217</v>
      </c>
      <c r="D219">
        <v>701.87320261438003</v>
      </c>
      <c r="E219">
        <v>310.42287581698997</v>
      </c>
      <c r="F219">
        <v>152.44148244473001</v>
      </c>
      <c r="G219">
        <v>124.67815344603</v>
      </c>
      <c r="I219" s="9">
        <f t="shared" si="22"/>
        <v>185.74472237095998</v>
      </c>
      <c r="J219" s="9">
        <f t="shared" si="23"/>
        <v>549.43172016965002</v>
      </c>
      <c r="K219" s="9">
        <f t="shared" si="24"/>
        <v>185.74472237095998</v>
      </c>
      <c r="L219" s="10">
        <f t="shared" si="21"/>
        <v>0.33806698003094343</v>
      </c>
      <c r="M219" s="10">
        <f t="shared" si="20"/>
        <v>0.41239532948267638</v>
      </c>
      <c r="P219" s="8">
        <f t="shared" si="25"/>
        <v>16.089508184478699</v>
      </c>
    </row>
    <row r="220" spans="1:16" x14ac:dyDescent="0.2">
      <c r="A220" s="8">
        <v>109</v>
      </c>
      <c r="B220" s="8">
        <v>218</v>
      </c>
      <c r="D220">
        <v>709.87058823529003</v>
      </c>
      <c r="E220">
        <v>316.12026143791002</v>
      </c>
      <c r="F220">
        <v>152.12483745124001</v>
      </c>
      <c r="G220">
        <v>124.07802340702</v>
      </c>
      <c r="I220" s="9">
        <f t="shared" si="22"/>
        <v>192.04223803089002</v>
      </c>
      <c r="J220" s="9">
        <f t="shared" si="23"/>
        <v>557.74575078404996</v>
      </c>
      <c r="K220" s="9">
        <f t="shared" si="24"/>
        <v>192.04223803089002</v>
      </c>
      <c r="L220" s="10">
        <f t="shared" si="21"/>
        <v>0.34431860352306948</v>
      </c>
      <c r="M220" s="10">
        <f t="shared" si="20"/>
        <v>0.41898947993080116</v>
      </c>
      <c r="P220" s="8">
        <f t="shared" si="25"/>
        <v>17.945765100330657</v>
      </c>
    </row>
    <row r="221" spans="1:16" x14ac:dyDescent="0.2">
      <c r="A221" s="8">
        <v>109.5</v>
      </c>
      <c r="B221" s="8">
        <v>219</v>
      </c>
      <c r="D221">
        <v>721.13003901169998</v>
      </c>
      <c r="E221">
        <v>317.82964889467002</v>
      </c>
      <c r="F221">
        <v>151.88101430429001</v>
      </c>
      <c r="G221">
        <v>124.59817945384</v>
      </c>
      <c r="I221" s="9">
        <f t="shared" si="22"/>
        <v>193.23146944083001</v>
      </c>
      <c r="J221" s="9">
        <f t="shared" si="23"/>
        <v>569.24902470740994</v>
      </c>
      <c r="K221" s="9">
        <f t="shared" si="24"/>
        <v>193.23146944083001</v>
      </c>
      <c r="L221" s="10">
        <f t="shared" si="21"/>
        <v>0.33944980325640373</v>
      </c>
      <c r="M221" s="10">
        <f t="shared" si="20"/>
        <v>0.41446320662013419</v>
      </c>
      <c r="P221" s="8">
        <f t="shared" si="25"/>
        <v>16.67161671653832</v>
      </c>
    </row>
    <row r="222" spans="1:16" x14ac:dyDescent="0.2">
      <c r="A222" s="8">
        <v>110</v>
      </c>
      <c r="B222" s="8">
        <v>220</v>
      </c>
      <c r="D222">
        <v>716.64304291286999</v>
      </c>
      <c r="E222">
        <v>318.73862158648001</v>
      </c>
      <c r="F222">
        <v>152.66970091027</v>
      </c>
      <c r="G222">
        <v>124.46293888165999</v>
      </c>
      <c r="I222" s="9">
        <f t="shared" si="22"/>
        <v>194.27568270482001</v>
      </c>
      <c r="J222" s="9">
        <f t="shared" si="23"/>
        <v>563.97334200260002</v>
      </c>
      <c r="K222" s="9">
        <f t="shared" si="24"/>
        <v>194.27568270482001</v>
      </c>
      <c r="L222" s="10">
        <f t="shared" si="21"/>
        <v>0.3444767123477343</v>
      </c>
      <c r="M222" s="10">
        <f t="shared" si="20"/>
        <v>0.41983264266746356</v>
      </c>
      <c r="P222" s="8">
        <f t="shared" si="25"/>
        <v>18.183115866503023</v>
      </c>
    </row>
    <row r="223" spans="1:16" x14ac:dyDescent="0.2">
      <c r="A223" s="8">
        <v>110.5</v>
      </c>
      <c r="B223" s="8">
        <v>221</v>
      </c>
      <c r="D223">
        <v>718.89206762029005</v>
      </c>
      <c r="E223">
        <v>320.52470741221998</v>
      </c>
      <c r="F223">
        <v>152.12938881664999</v>
      </c>
      <c r="G223">
        <v>124.48764629388999</v>
      </c>
      <c r="I223" s="9">
        <f t="shared" si="22"/>
        <v>196.03706111832997</v>
      </c>
      <c r="J223" s="9">
        <f t="shared" si="23"/>
        <v>566.76267880364003</v>
      </c>
      <c r="K223" s="9">
        <f t="shared" si="24"/>
        <v>196.03706111832997</v>
      </c>
      <c r="L223" s="10">
        <f t="shared" si="21"/>
        <v>0.3458891498151182</v>
      </c>
      <c r="M223" s="10">
        <f t="shared" si="20"/>
        <v>0.42158760709084619</v>
      </c>
      <c r="P223" s="8">
        <f t="shared" si="25"/>
        <v>18.677139300394273</v>
      </c>
    </row>
    <row r="224" spans="1:16" x14ac:dyDescent="0.2">
      <c r="A224" s="8">
        <v>111</v>
      </c>
      <c r="B224" s="8">
        <v>222</v>
      </c>
      <c r="D224">
        <v>719.39011703511005</v>
      </c>
      <c r="E224">
        <v>322.98894668400999</v>
      </c>
      <c r="F224">
        <v>151.99934980494001</v>
      </c>
      <c r="G224">
        <v>124.48244473342</v>
      </c>
      <c r="I224" s="9">
        <f t="shared" si="22"/>
        <v>198.50650195059001</v>
      </c>
      <c r="J224" s="9">
        <f t="shared" si="23"/>
        <v>567.39076723017001</v>
      </c>
      <c r="K224" s="9">
        <f t="shared" si="24"/>
        <v>198.50650195059001</v>
      </c>
      <c r="L224" s="10">
        <f t="shared" si="21"/>
        <v>0.34985853386307053</v>
      </c>
      <c r="M224" s="10">
        <f t="shared" si="20"/>
        <v>0.42589951809479731</v>
      </c>
      <c r="P224" s="8">
        <f t="shared" si="25"/>
        <v>19.890944578964859</v>
      </c>
    </row>
    <row r="225" spans="1:16" x14ac:dyDescent="0.2">
      <c r="A225" s="8">
        <v>111.5</v>
      </c>
      <c r="B225" s="8">
        <v>223</v>
      </c>
      <c r="D225">
        <v>715.46163849155005</v>
      </c>
      <c r="E225">
        <v>321.96358907671998</v>
      </c>
      <c r="F225">
        <v>152.30429128738999</v>
      </c>
      <c r="G225">
        <v>124.9200260078</v>
      </c>
      <c r="I225" s="9">
        <f t="shared" si="22"/>
        <v>197.04356306891998</v>
      </c>
      <c r="J225" s="9">
        <f t="shared" si="23"/>
        <v>563.15734720416003</v>
      </c>
      <c r="K225" s="9">
        <f t="shared" si="24"/>
        <v>197.04356306891998</v>
      </c>
      <c r="L225" s="10">
        <f t="shared" si="21"/>
        <v>0.34989077927715689</v>
      </c>
      <c r="M225" s="10">
        <f t="shared" si="20"/>
        <v>0.42627429046488241</v>
      </c>
      <c r="P225" s="8">
        <f t="shared" si="25"/>
        <v>19.996443203740476</v>
      </c>
    </row>
    <row r="226" spans="1:16" x14ac:dyDescent="0.2">
      <c r="A226" s="8">
        <v>112</v>
      </c>
      <c r="B226" s="8">
        <v>224</v>
      </c>
      <c r="D226">
        <v>712.26397919375995</v>
      </c>
      <c r="E226">
        <v>327.16970091027002</v>
      </c>
      <c r="F226">
        <v>151.99869960987999</v>
      </c>
      <c r="G226">
        <v>124.74447334200001</v>
      </c>
      <c r="I226" s="9">
        <f t="shared" si="22"/>
        <v>202.42522756827003</v>
      </c>
      <c r="J226" s="9">
        <f t="shared" si="23"/>
        <v>560.26527958387999</v>
      </c>
      <c r="K226" s="9">
        <f t="shared" si="24"/>
        <v>202.42522756827003</v>
      </c>
      <c r="L226" s="10">
        <f t="shared" si="21"/>
        <v>0.36130246678611821</v>
      </c>
      <c r="M226" s="10">
        <f t="shared" si="20"/>
        <v>0.43802850492984252</v>
      </c>
      <c r="P226" s="8">
        <f t="shared" si="25"/>
        <v>23.305260929789494</v>
      </c>
    </row>
    <row r="227" spans="1:16" x14ac:dyDescent="0.2">
      <c r="A227" s="8">
        <v>112.5</v>
      </c>
      <c r="B227" s="8">
        <v>225</v>
      </c>
      <c r="D227">
        <v>709.66970091026997</v>
      </c>
      <c r="E227">
        <v>334.14434330299002</v>
      </c>
      <c r="F227">
        <v>152.05721716515001</v>
      </c>
      <c r="G227">
        <v>124.36605981795</v>
      </c>
      <c r="I227" s="9">
        <f t="shared" si="22"/>
        <v>209.77828348504002</v>
      </c>
      <c r="J227" s="9">
        <f t="shared" si="23"/>
        <v>557.61248374512002</v>
      </c>
      <c r="K227" s="9">
        <f t="shared" si="24"/>
        <v>209.77828348504002</v>
      </c>
      <c r="L227" s="10">
        <f t="shared" si="21"/>
        <v>0.37620801111929181</v>
      </c>
      <c r="M227" s="10">
        <f t="shared" si="20"/>
        <v>0.4532765762190149</v>
      </c>
      <c r="P227" s="8">
        <f t="shared" si="25"/>
        <v>27.597601240584048</v>
      </c>
    </row>
    <row r="228" spans="1:16" x14ac:dyDescent="0.2">
      <c r="A228" s="8">
        <v>113</v>
      </c>
      <c r="B228" s="8">
        <v>226</v>
      </c>
      <c r="D228">
        <v>724.13674659753997</v>
      </c>
      <c r="E228">
        <v>344.02203499676</v>
      </c>
      <c r="F228">
        <v>151.56306892068</v>
      </c>
      <c r="G228">
        <v>124.55916775033</v>
      </c>
      <c r="I228" s="9">
        <f t="shared" si="22"/>
        <v>219.46286724642999</v>
      </c>
      <c r="J228" s="9">
        <f t="shared" si="23"/>
        <v>572.57367767685992</v>
      </c>
      <c r="K228" s="9">
        <f t="shared" si="24"/>
        <v>219.46286724642999</v>
      </c>
      <c r="L228" s="10">
        <f t="shared" si="21"/>
        <v>0.38329192521890076</v>
      </c>
      <c r="M228" s="10">
        <f t="shared" si="20"/>
        <v>0.46070301727462259</v>
      </c>
      <c r="P228" s="8">
        <f t="shared" si="25"/>
        <v>29.688148412367021</v>
      </c>
    </row>
    <row r="229" spans="1:16" x14ac:dyDescent="0.2">
      <c r="A229" s="8">
        <v>113.5</v>
      </c>
      <c r="B229" s="8">
        <v>227</v>
      </c>
      <c r="D229">
        <v>722.19766688269999</v>
      </c>
      <c r="E229">
        <v>343.68502916397</v>
      </c>
      <c r="F229">
        <v>152.17620286086</v>
      </c>
      <c r="G229">
        <v>124.60143042913</v>
      </c>
      <c r="I229" s="9">
        <f t="shared" si="22"/>
        <v>219.08359873484</v>
      </c>
      <c r="J229" s="9">
        <f t="shared" si="23"/>
        <v>570.02146402183996</v>
      </c>
      <c r="K229" s="9">
        <f t="shared" si="24"/>
        <v>219.08359873484</v>
      </c>
      <c r="L229" s="10">
        <f t="shared" si="21"/>
        <v>0.38434271788482333</v>
      </c>
      <c r="M229" s="10">
        <f t="shared" si="20"/>
        <v>0.46209633689654395</v>
      </c>
      <c r="P229" s="8">
        <f t="shared" si="25"/>
        <v>30.080368639146837</v>
      </c>
    </row>
    <row r="230" spans="1:16" x14ac:dyDescent="0.2">
      <c r="A230" s="8">
        <v>114</v>
      </c>
      <c r="B230" s="8">
        <v>228</v>
      </c>
      <c r="D230">
        <v>752.14711600778003</v>
      </c>
      <c r="E230">
        <v>362.92806221645998</v>
      </c>
      <c r="F230">
        <v>152.40767230169001</v>
      </c>
      <c r="G230">
        <v>124.52860858258001</v>
      </c>
      <c r="I230" s="9">
        <f t="shared" si="22"/>
        <v>238.39945363387997</v>
      </c>
      <c r="J230" s="9">
        <f t="shared" si="23"/>
        <v>599.73944370609001</v>
      </c>
      <c r="K230" s="9">
        <f t="shared" si="24"/>
        <v>238.39945363387997</v>
      </c>
      <c r="L230" s="10">
        <f t="shared" si="21"/>
        <v>0.39750504345802318</v>
      </c>
      <c r="M230" s="10">
        <f t="shared" si="20"/>
        <v>0.47560118942574259</v>
      </c>
      <c r="P230" s="8">
        <f t="shared" si="25"/>
        <v>33.881991926649278</v>
      </c>
    </row>
    <row r="231" spans="1:16" x14ac:dyDescent="0.2">
      <c r="A231" s="8">
        <v>114.5</v>
      </c>
      <c r="B231" s="8">
        <v>229</v>
      </c>
      <c r="D231">
        <v>757.79714841218004</v>
      </c>
      <c r="E231">
        <v>368.16785482825998</v>
      </c>
      <c r="F231">
        <v>152.14369310793001</v>
      </c>
      <c r="G231">
        <v>124.52015604681</v>
      </c>
      <c r="I231" s="9">
        <f t="shared" si="22"/>
        <v>243.64769878144998</v>
      </c>
      <c r="J231" s="9">
        <f t="shared" si="23"/>
        <v>605.65345530424997</v>
      </c>
      <c r="K231" s="9">
        <f t="shared" si="24"/>
        <v>243.64769878144998</v>
      </c>
      <c r="L231" s="10">
        <f t="shared" si="21"/>
        <v>0.40228896020919019</v>
      </c>
      <c r="M231" s="10">
        <f t="shared" si="20"/>
        <v>0.48072763313290834</v>
      </c>
      <c r="P231" s="8">
        <f t="shared" si="25"/>
        <v>35.325088601499679</v>
      </c>
    </row>
    <row r="232" spans="1:16" x14ac:dyDescent="0.2">
      <c r="A232" s="8">
        <v>115</v>
      </c>
      <c r="B232" s="8">
        <v>230</v>
      </c>
      <c r="D232">
        <v>748.87686325339996</v>
      </c>
      <c r="E232">
        <v>363.70576798445001</v>
      </c>
      <c r="F232">
        <v>151.92197659298</v>
      </c>
      <c r="G232">
        <v>124.54941482445</v>
      </c>
      <c r="I232" s="9">
        <f t="shared" si="22"/>
        <v>239.15635316000001</v>
      </c>
      <c r="J232" s="9">
        <f t="shared" si="23"/>
        <v>596.95488666042002</v>
      </c>
      <c r="K232" s="9">
        <f t="shared" si="24"/>
        <v>239.15635316000001</v>
      </c>
      <c r="L232" s="10">
        <f t="shared" si="21"/>
        <v>0.40062718055283292</v>
      </c>
      <c r="M232" s="10">
        <f t="shared" si="20"/>
        <v>0.47940838043254985</v>
      </c>
      <c r="P232" s="8">
        <f t="shared" si="25"/>
        <v>34.953718253179346</v>
      </c>
    </row>
    <row r="233" spans="1:16" x14ac:dyDescent="0.2">
      <c r="A233" s="8">
        <v>115.5</v>
      </c>
      <c r="B233" s="8">
        <v>231</v>
      </c>
      <c r="D233">
        <v>746.39598185352997</v>
      </c>
      <c r="E233">
        <v>363.62994167207</v>
      </c>
      <c r="F233">
        <v>152.09947984395001</v>
      </c>
      <c r="G233">
        <v>124.70481144343</v>
      </c>
      <c r="I233" s="9">
        <f t="shared" si="22"/>
        <v>238.92513022864</v>
      </c>
      <c r="J233" s="9">
        <f t="shared" si="23"/>
        <v>594.29650200957997</v>
      </c>
      <c r="K233" s="9">
        <f t="shared" si="24"/>
        <v>238.92513022864</v>
      </c>
      <c r="L233" s="10">
        <f t="shared" si="21"/>
        <v>0.40203018092943205</v>
      </c>
      <c r="M233" s="10">
        <f t="shared" si="20"/>
        <v>0.48115390776514777</v>
      </c>
      <c r="P233" s="8">
        <f t="shared" si="25"/>
        <v>35.445085140913143</v>
      </c>
    </row>
    <row r="234" spans="1:16" x14ac:dyDescent="0.2">
      <c r="A234" s="8">
        <v>116</v>
      </c>
      <c r="B234" s="8">
        <v>232</v>
      </c>
      <c r="D234">
        <v>756.27867790019002</v>
      </c>
      <c r="E234">
        <v>370.93324692158001</v>
      </c>
      <c r="F234">
        <v>152.23016905072001</v>
      </c>
      <c r="G234">
        <v>124.72041612484</v>
      </c>
      <c r="I234" s="9">
        <f t="shared" si="22"/>
        <v>246.21283079674001</v>
      </c>
      <c r="J234" s="9">
        <f t="shared" si="23"/>
        <v>604.04850884946995</v>
      </c>
      <c r="K234" s="9">
        <f t="shared" si="24"/>
        <v>246.21283079674001</v>
      </c>
      <c r="L234" s="10">
        <f t="shared" si="21"/>
        <v>0.40760440128509068</v>
      </c>
      <c r="M234" s="10">
        <f t="shared" si="20"/>
        <v>0.48707065507680514</v>
      </c>
      <c r="P234" s="8">
        <f t="shared" si="25"/>
        <v>37.110652707654936</v>
      </c>
    </row>
    <row r="235" spans="1:16" x14ac:dyDescent="0.2">
      <c r="A235" s="8">
        <v>116.5</v>
      </c>
      <c r="B235" s="8">
        <v>233</v>
      </c>
      <c r="D235">
        <v>749.85288399221997</v>
      </c>
      <c r="E235">
        <v>373.38107582631</v>
      </c>
      <c r="F235">
        <v>152.06436931079</v>
      </c>
      <c r="G235">
        <v>124.27373211964</v>
      </c>
      <c r="I235" s="9">
        <f t="shared" si="22"/>
        <v>249.10734370667001</v>
      </c>
      <c r="J235" s="9">
        <f t="shared" si="23"/>
        <v>597.78851468143</v>
      </c>
      <c r="K235" s="9">
        <f t="shared" si="24"/>
        <v>249.10734370667001</v>
      </c>
      <c r="L235" s="10">
        <f t="shared" si="21"/>
        <v>0.41671483741942222</v>
      </c>
      <c r="M235" s="10">
        <f t="shared" si="20"/>
        <v>0.49652361816713547</v>
      </c>
      <c r="P235" s="8">
        <f t="shared" si="25"/>
        <v>39.771666927721597</v>
      </c>
    </row>
    <row r="236" spans="1:16" x14ac:dyDescent="0.2">
      <c r="A236" s="8">
        <v>117</v>
      </c>
      <c r="B236" s="8">
        <v>234</v>
      </c>
      <c r="D236">
        <v>747.74076474400999</v>
      </c>
      <c r="E236">
        <v>373.66234607907001</v>
      </c>
      <c r="F236">
        <v>152.48244473342001</v>
      </c>
      <c r="G236">
        <v>124.58582574771999</v>
      </c>
      <c r="I236" s="9">
        <f t="shared" si="22"/>
        <v>249.07652033135003</v>
      </c>
      <c r="J236" s="9">
        <f t="shared" si="23"/>
        <v>595.25832001058996</v>
      </c>
      <c r="K236" s="9">
        <f t="shared" si="24"/>
        <v>249.07652033135003</v>
      </c>
      <c r="L236" s="10">
        <f t="shared" si="21"/>
        <v>0.4184343367547031</v>
      </c>
      <c r="M236" s="10">
        <f t="shared" si="20"/>
        <v>0.49858564445841513</v>
      </c>
      <c r="P236" s="8">
        <f t="shared" si="25"/>
        <v>40.352128443419183</v>
      </c>
    </row>
    <row r="237" spans="1:16" x14ac:dyDescent="0.2">
      <c r="A237" s="8">
        <v>117.5</v>
      </c>
      <c r="B237" s="8">
        <v>235</v>
      </c>
      <c r="D237">
        <v>748.21386908620002</v>
      </c>
      <c r="E237">
        <v>376.82436811406001</v>
      </c>
      <c r="F237">
        <v>152.01300390117001</v>
      </c>
      <c r="G237">
        <v>124.70221066320001</v>
      </c>
      <c r="I237" s="9">
        <f t="shared" si="22"/>
        <v>252.12215745086002</v>
      </c>
      <c r="J237" s="9">
        <f t="shared" si="23"/>
        <v>596.20086518503001</v>
      </c>
      <c r="K237" s="9">
        <f t="shared" si="24"/>
        <v>252.12215745086002</v>
      </c>
      <c r="L237" s="10">
        <f t="shared" si="21"/>
        <v>0.42288123378119269</v>
      </c>
      <c r="M237" s="10">
        <f t="shared" si="20"/>
        <v>0.50337506844090352</v>
      </c>
      <c r="P237" s="8">
        <f t="shared" si="25"/>
        <v>41.700353883584796</v>
      </c>
    </row>
    <row r="238" spans="1:16" x14ac:dyDescent="0.2">
      <c r="A238" s="8">
        <v>118</v>
      </c>
      <c r="B238" s="8">
        <v>236</v>
      </c>
      <c r="D238">
        <v>741.45819831496999</v>
      </c>
      <c r="E238">
        <v>376.29099157485001</v>
      </c>
      <c r="F238">
        <v>152.06631989597</v>
      </c>
      <c r="G238">
        <v>124.39206762029001</v>
      </c>
      <c r="I238" s="9">
        <f t="shared" si="22"/>
        <v>251.89892395456002</v>
      </c>
      <c r="J238" s="9">
        <f t="shared" si="23"/>
        <v>589.39187841900002</v>
      </c>
      <c r="K238" s="9">
        <f t="shared" si="24"/>
        <v>251.89892395456002</v>
      </c>
      <c r="L238" s="10">
        <f t="shared" si="21"/>
        <v>0.42738784360290166</v>
      </c>
      <c r="M238" s="10">
        <f t="shared" si="20"/>
        <v>0.50822420521861122</v>
      </c>
      <c r="P238" s="8">
        <f t="shared" si="25"/>
        <v>43.065388507884542</v>
      </c>
    </row>
    <row r="239" spans="1:16" x14ac:dyDescent="0.2">
      <c r="A239" s="8">
        <v>118.5</v>
      </c>
      <c r="B239" s="8">
        <v>237</v>
      </c>
      <c r="D239">
        <v>739.03175631885995</v>
      </c>
      <c r="E239">
        <v>376.92611795203999</v>
      </c>
      <c r="F239">
        <v>151.90637191157001</v>
      </c>
      <c r="G239">
        <v>124.7633289987</v>
      </c>
      <c r="I239" s="9">
        <f t="shared" si="22"/>
        <v>252.16278895334</v>
      </c>
      <c r="J239" s="9">
        <f t="shared" si="23"/>
        <v>587.12538440728997</v>
      </c>
      <c r="K239" s="9">
        <f t="shared" si="24"/>
        <v>252.16278895334</v>
      </c>
      <c r="L239" s="10">
        <f t="shared" si="21"/>
        <v>0.42948711748837315</v>
      </c>
      <c r="M239" s="10">
        <f t="shared" si="20"/>
        <v>0.5106660060600815</v>
      </c>
      <c r="P239" s="8">
        <f t="shared" si="25"/>
        <v>43.752756764761564</v>
      </c>
    </row>
    <row r="240" spans="1:16" x14ac:dyDescent="0.2">
      <c r="A240" s="8">
        <v>119</v>
      </c>
      <c r="B240" s="8">
        <v>238</v>
      </c>
      <c r="D240">
        <v>741.23136746598004</v>
      </c>
      <c r="E240">
        <v>375.72002592352999</v>
      </c>
      <c r="F240">
        <v>152.26527958387999</v>
      </c>
      <c r="G240">
        <v>124.40572171652001</v>
      </c>
      <c r="I240" s="9">
        <f t="shared" si="22"/>
        <v>251.31430420700997</v>
      </c>
      <c r="J240" s="9">
        <f t="shared" si="23"/>
        <v>588.96608788210006</v>
      </c>
      <c r="K240" s="9">
        <f t="shared" si="24"/>
        <v>251.31430420700997</v>
      </c>
      <c r="L240" s="10">
        <f t="shared" si="21"/>
        <v>0.42670420144345961</v>
      </c>
      <c r="M240" s="10">
        <f t="shared" si="20"/>
        <v>0.50822561697116675</v>
      </c>
      <c r="P240" s="8">
        <f t="shared" si="25"/>
        <v>43.065785916992098</v>
      </c>
    </row>
    <row r="241" spans="1:16" x14ac:dyDescent="0.2">
      <c r="A241" s="8">
        <v>119.5</v>
      </c>
      <c r="B241" s="8">
        <v>239</v>
      </c>
      <c r="D241">
        <v>744.54698639014998</v>
      </c>
      <c r="E241">
        <v>382.43486714193</v>
      </c>
      <c r="F241">
        <v>152.27243172952001</v>
      </c>
      <c r="G241">
        <v>124.75422626788</v>
      </c>
      <c r="I241" s="9">
        <f t="shared" si="22"/>
        <v>257.68064087405003</v>
      </c>
      <c r="J241" s="9">
        <f t="shared" si="23"/>
        <v>592.27455466062997</v>
      </c>
      <c r="K241" s="9">
        <f t="shared" si="24"/>
        <v>257.68064087405003</v>
      </c>
      <c r="L241" s="10">
        <f t="shared" si="21"/>
        <v>0.43506957853642658</v>
      </c>
      <c r="M241" s="10">
        <f t="shared" si="20"/>
        <v>0.51693352102013246</v>
      </c>
      <c r="P241" s="8">
        <f t="shared" si="25"/>
        <v>45.517065614146198</v>
      </c>
    </row>
    <row r="242" spans="1:16" x14ac:dyDescent="0.2">
      <c r="A242" s="8">
        <v>120</v>
      </c>
      <c r="B242" s="8">
        <v>240</v>
      </c>
      <c r="D242">
        <v>748.94235751295003</v>
      </c>
      <c r="E242">
        <v>381.47603626942998</v>
      </c>
      <c r="F242">
        <v>152.09167750325</v>
      </c>
      <c r="G242">
        <v>124.31989596878999</v>
      </c>
      <c r="I242" s="9">
        <f>E242-G242</f>
        <v>257.15614030064</v>
      </c>
      <c r="J242" s="9">
        <f>D242-F242</f>
        <v>596.8506800097</v>
      </c>
      <c r="K242" s="9">
        <f t="shared" si="24"/>
        <v>257.15614030064</v>
      </c>
      <c r="L242" s="10">
        <f t="shared" si="21"/>
        <v>0.43085506796517464</v>
      </c>
      <c r="M242" s="10">
        <f>L242+ABS($N$2)*A242</f>
        <v>0.51306153740487925</v>
      </c>
      <c r="O242" s="11"/>
      <c r="P242" s="8">
        <f>(M242-$O$2)/$O$2*100</f>
        <v>44.427100133312628</v>
      </c>
    </row>
    <row r="243" spans="1:16" x14ac:dyDescent="0.2">
      <c r="A243" s="8">
        <v>120.5</v>
      </c>
      <c r="B243" s="8">
        <v>241</v>
      </c>
      <c r="D243">
        <v>749.52007772021</v>
      </c>
      <c r="E243">
        <v>381.0628238342</v>
      </c>
      <c r="F243">
        <v>152.17945383615</v>
      </c>
      <c r="G243">
        <v>124.9200260078</v>
      </c>
      <c r="I243" s="9">
        <f t="shared" ref="I243:I274" si="26">E243-G243</f>
        <v>256.1427978264</v>
      </c>
      <c r="J243" s="9">
        <f t="shared" ref="J243:J274" si="27">D243-F243</f>
        <v>597.34062388406005</v>
      </c>
      <c r="K243" s="9">
        <f t="shared" si="24"/>
        <v>256.1427978264</v>
      </c>
      <c r="L243" s="10">
        <f t="shared" si="21"/>
        <v>0.42880525379455131</v>
      </c>
      <c r="M243" s="10">
        <f t="shared" ref="M243:M274" si="28">L243+ABS($N$2)*A243</f>
        <v>0.51135425019025471</v>
      </c>
      <c r="P243" s="8">
        <f t="shared" ref="P243:P274" si="29">(M243-$O$2)/$O$2*100</f>
        <v>43.946497859460401</v>
      </c>
    </row>
    <row r="244" spans="1:16" x14ac:dyDescent="0.2">
      <c r="A244" s="8">
        <v>121</v>
      </c>
      <c r="B244" s="8">
        <v>242</v>
      </c>
      <c r="D244">
        <v>733.89961139896002</v>
      </c>
      <c r="E244">
        <v>373.12888601036002</v>
      </c>
      <c r="F244">
        <v>151.87126137841</v>
      </c>
      <c r="G244">
        <v>124.95123537060999</v>
      </c>
      <c r="I244" s="9">
        <f t="shared" si="26"/>
        <v>248.17765063975003</v>
      </c>
      <c r="J244" s="9">
        <f t="shared" si="27"/>
        <v>582.02835002055008</v>
      </c>
      <c r="K244" s="9">
        <f t="shared" si="24"/>
        <v>248.17765063975003</v>
      </c>
      <c r="L244" s="10">
        <f t="shared" si="21"/>
        <v>0.42640130954271804</v>
      </c>
      <c r="M244" s="10">
        <f t="shared" si="28"/>
        <v>0.50929283289442018</v>
      </c>
      <c r="N244" s="1"/>
      <c r="P244" s="8">
        <f t="shared" si="29"/>
        <v>43.366207776309828</v>
      </c>
    </row>
    <row r="245" spans="1:16" x14ac:dyDescent="0.2">
      <c r="A245" s="8">
        <v>121.5</v>
      </c>
      <c r="B245" s="8">
        <v>243</v>
      </c>
      <c r="D245">
        <v>740.45984455959001</v>
      </c>
      <c r="E245">
        <v>374.3121761658</v>
      </c>
      <c r="F245">
        <v>152.89206762028999</v>
      </c>
      <c r="G245">
        <v>124.81534460338</v>
      </c>
      <c r="I245" s="9">
        <f t="shared" si="26"/>
        <v>249.49683156242</v>
      </c>
      <c r="J245" s="9">
        <f t="shared" si="27"/>
        <v>587.56777693930007</v>
      </c>
      <c r="K245" s="9">
        <f t="shared" si="24"/>
        <v>249.49683156242</v>
      </c>
      <c r="L245" s="10">
        <f t="shared" si="21"/>
        <v>0.42462647094446571</v>
      </c>
      <c r="M245" s="10">
        <f t="shared" si="28"/>
        <v>0.50786052125216663</v>
      </c>
      <c r="P245" s="8">
        <f t="shared" si="29"/>
        <v>42.963011274727961</v>
      </c>
    </row>
    <row r="246" spans="1:16" x14ac:dyDescent="0.2">
      <c r="A246" s="8">
        <v>122</v>
      </c>
      <c r="B246" s="8">
        <v>244</v>
      </c>
      <c r="D246">
        <v>743.43264248704997</v>
      </c>
      <c r="E246">
        <v>374.00906735750999</v>
      </c>
      <c r="F246">
        <v>152.08842652796</v>
      </c>
      <c r="G246">
        <v>124.67230169051</v>
      </c>
      <c r="I246" s="9">
        <f t="shared" si="26"/>
        <v>249.33676566700001</v>
      </c>
      <c r="J246" s="9">
        <f t="shared" si="27"/>
        <v>591.34421595908998</v>
      </c>
      <c r="K246" s="9">
        <f t="shared" si="24"/>
        <v>249.33676566700001</v>
      </c>
      <c r="L246" s="10">
        <f t="shared" si="21"/>
        <v>0.42164404240025488</v>
      </c>
      <c r="M246" s="10">
        <f t="shared" si="28"/>
        <v>0.5052206196639546</v>
      </c>
      <c r="P246" s="8">
        <f t="shared" si="29"/>
        <v>42.219877550552667</v>
      </c>
    </row>
    <row r="247" spans="1:16" x14ac:dyDescent="0.2">
      <c r="A247" s="8">
        <v>122.5</v>
      </c>
      <c r="B247" s="8">
        <v>245</v>
      </c>
      <c r="D247">
        <v>747.22344559585997</v>
      </c>
      <c r="E247">
        <v>374.26360103627002</v>
      </c>
      <c r="F247">
        <v>151.94603381013999</v>
      </c>
      <c r="G247">
        <v>124.58972691808</v>
      </c>
      <c r="I247" s="9">
        <f t="shared" si="26"/>
        <v>249.67387411819001</v>
      </c>
      <c r="J247" s="9">
        <f t="shared" si="27"/>
        <v>595.27741178572001</v>
      </c>
      <c r="K247" s="9">
        <f t="shared" si="24"/>
        <v>249.67387411819001</v>
      </c>
      <c r="L247" s="10">
        <f t="shared" si="21"/>
        <v>0.41942440478165544</v>
      </c>
      <c r="M247" s="10">
        <f t="shared" si="28"/>
        <v>0.50334350900135394</v>
      </c>
      <c r="P247" s="8">
        <f t="shared" si="29"/>
        <v>41.691469884291003</v>
      </c>
    </row>
    <row r="248" spans="1:16" x14ac:dyDescent="0.2">
      <c r="A248" s="8">
        <v>123</v>
      </c>
      <c r="B248" s="8">
        <v>246</v>
      </c>
      <c r="D248">
        <v>723.07147498376003</v>
      </c>
      <c r="E248">
        <v>366.71669915529998</v>
      </c>
      <c r="F248">
        <v>152.47919375813001</v>
      </c>
      <c r="G248">
        <v>124.1866059818</v>
      </c>
      <c r="I248" s="9">
        <f t="shared" si="26"/>
        <v>242.53009317349998</v>
      </c>
      <c r="J248" s="9">
        <f t="shared" si="27"/>
        <v>570.59228122563002</v>
      </c>
      <c r="K248" s="9">
        <f t="shared" si="24"/>
        <v>242.53009317349998</v>
      </c>
      <c r="L248" s="10">
        <f t="shared" si="21"/>
        <v>0.42504972666743102</v>
      </c>
      <c r="M248" s="10">
        <f t="shared" si="28"/>
        <v>0.50931135784312831</v>
      </c>
      <c r="P248" s="8">
        <f t="shared" si="29"/>
        <v>43.371422559385501</v>
      </c>
    </row>
    <row r="249" spans="1:16" x14ac:dyDescent="0.2">
      <c r="A249" s="8">
        <v>123.5</v>
      </c>
      <c r="B249" s="8">
        <v>247</v>
      </c>
      <c r="D249">
        <v>730.98765432099003</v>
      </c>
      <c r="E249">
        <v>369.30929174788997</v>
      </c>
      <c r="F249">
        <v>152.43628088426999</v>
      </c>
      <c r="G249">
        <v>124.54291287386</v>
      </c>
      <c r="I249" s="9">
        <f t="shared" si="26"/>
        <v>244.76637887402995</v>
      </c>
      <c r="J249" s="9">
        <f t="shared" si="27"/>
        <v>578.55137343672004</v>
      </c>
      <c r="K249" s="9">
        <f t="shared" si="24"/>
        <v>244.76637887402995</v>
      </c>
      <c r="L249" s="10">
        <f t="shared" si="21"/>
        <v>0.42306766540033397</v>
      </c>
      <c r="M249" s="10">
        <f t="shared" si="28"/>
        <v>0.50767182353203</v>
      </c>
      <c r="P249" s="8">
        <f t="shared" si="29"/>
        <v>42.909892764502175</v>
      </c>
    </row>
    <row r="250" spans="1:16" x14ac:dyDescent="0.2">
      <c r="A250" s="8">
        <v>124</v>
      </c>
      <c r="B250" s="8">
        <v>248</v>
      </c>
      <c r="D250">
        <v>729.05133203379</v>
      </c>
      <c r="E250">
        <v>368.86549707602001</v>
      </c>
      <c r="F250">
        <v>151.99934980494001</v>
      </c>
      <c r="G250">
        <v>124.5344603381</v>
      </c>
      <c r="I250" s="9">
        <f t="shared" si="26"/>
        <v>244.33103673791999</v>
      </c>
      <c r="J250" s="9">
        <f t="shared" si="27"/>
        <v>577.05198222884997</v>
      </c>
      <c r="K250" s="9">
        <f t="shared" si="24"/>
        <v>244.33103673791999</v>
      </c>
      <c r="L250" s="10">
        <f t="shared" si="21"/>
        <v>0.42341252480269975</v>
      </c>
      <c r="M250" s="10">
        <f t="shared" si="28"/>
        <v>0.50835920989039451</v>
      </c>
      <c r="P250" s="8">
        <f t="shared" si="29"/>
        <v>43.10339239597316</v>
      </c>
    </row>
    <row r="251" spans="1:16" x14ac:dyDescent="0.2">
      <c r="A251" s="8">
        <v>124.5</v>
      </c>
      <c r="B251" s="8">
        <v>249</v>
      </c>
      <c r="D251">
        <v>726.37451737452</v>
      </c>
      <c r="E251">
        <v>366.30888030888002</v>
      </c>
      <c r="F251">
        <v>152.73472041612999</v>
      </c>
      <c r="G251">
        <v>124.65799739921999</v>
      </c>
      <c r="I251" s="9">
        <f t="shared" si="26"/>
        <v>241.65088290966003</v>
      </c>
      <c r="J251" s="9">
        <f t="shared" si="27"/>
        <v>573.63979695838998</v>
      </c>
      <c r="K251" s="9">
        <f t="shared" si="24"/>
        <v>241.65088290966003</v>
      </c>
      <c r="L251" s="10">
        <f t="shared" si="21"/>
        <v>0.4212589227437939</v>
      </c>
      <c r="M251" s="10">
        <f t="shared" si="28"/>
        <v>0.50654813478748739</v>
      </c>
      <c r="P251" s="8">
        <f t="shared" si="29"/>
        <v>42.593573775463121</v>
      </c>
    </row>
    <row r="252" spans="1:16" x14ac:dyDescent="0.2">
      <c r="A252" s="8">
        <v>125</v>
      </c>
      <c r="B252" s="8">
        <v>250</v>
      </c>
      <c r="D252">
        <v>734.68918918918996</v>
      </c>
      <c r="E252">
        <v>368.29729729730002</v>
      </c>
      <c r="F252">
        <v>152.63068920676</v>
      </c>
      <c r="G252">
        <v>124.38101430429001</v>
      </c>
      <c r="I252" s="9">
        <f t="shared" si="26"/>
        <v>243.91628299301001</v>
      </c>
      <c r="J252" s="9">
        <f t="shared" si="27"/>
        <v>582.05849998243002</v>
      </c>
      <c r="K252" s="9">
        <f t="shared" si="24"/>
        <v>243.91628299301001</v>
      </c>
      <c r="L252" s="10">
        <f t="shared" si="21"/>
        <v>0.41905802080095533</v>
      </c>
      <c r="M252" s="10">
        <f t="shared" si="28"/>
        <v>0.50468975980064767</v>
      </c>
      <c r="P252" s="8">
        <f t="shared" si="29"/>
        <v>42.070440212056404</v>
      </c>
    </row>
    <row r="253" spans="1:16" x14ac:dyDescent="0.2">
      <c r="A253" s="8">
        <v>125.5</v>
      </c>
      <c r="B253" s="8">
        <v>251</v>
      </c>
      <c r="D253">
        <v>729.37129987130004</v>
      </c>
      <c r="E253">
        <v>368.40154440153998</v>
      </c>
      <c r="F253">
        <v>152.11313394018001</v>
      </c>
      <c r="G253">
        <v>124.29778933679999</v>
      </c>
      <c r="I253" s="9">
        <f t="shared" si="26"/>
        <v>244.10375506473997</v>
      </c>
      <c r="J253" s="9">
        <f t="shared" si="27"/>
        <v>577.25816593112006</v>
      </c>
      <c r="K253" s="9">
        <f t="shared" si="24"/>
        <v>244.10375506473997</v>
      </c>
      <c r="L253" s="10">
        <f t="shared" si="21"/>
        <v>0.42286756510581275</v>
      </c>
      <c r="M253" s="10">
        <f t="shared" si="28"/>
        <v>0.50884183106150382</v>
      </c>
      <c r="P253" s="8">
        <f t="shared" si="29"/>
        <v>43.23925051653864</v>
      </c>
    </row>
    <row r="254" spans="1:16" x14ac:dyDescent="0.2">
      <c r="A254" s="8">
        <v>126</v>
      </c>
      <c r="B254" s="8">
        <v>252</v>
      </c>
      <c r="D254">
        <v>725.48391248390999</v>
      </c>
      <c r="E254">
        <v>366.95045045044998</v>
      </c>
      <c r="F254">
        <v>152.49869960987999</v>
      </c>
      <c r="G254">
        <v>124.68400520156</v>
      </c>
      <c r="I254" s="9">
        <f t="shared" si="26"/>
        <v>242.26644524888997</v>
      </c>
      <c r="J254" s="9">
        <f t="shared" si="27"/>
        <v>572.98521287403003</v>
      </c>
      <c r="K254" s="9">
        <f t="shared" si="24"/>
        <v>242.26644524888997</v>
      </c>
      <c r="L254" s="10">
        <f t="shared" si="21"/>
        <v>0.42281448073277222</v>
      </c>
      <c r="M254" s="10">
        <f t="shared" si="28"/>
        <v>0.50913127364446209</v>
      </c>
      <c r="P254" s="8">
        <f t="shared" si="29"/>
        <v>43.320728760109972</v>
      </c>
    </row>
    <row r="255" spans="1:16" x14ac:dyDescent="0.2">
      <c r="A255" s="8">
        <v>126.5</v>
      </c>
      <c r="B255" s="8">
        <v>253</v>
      </c>
      <c r="D255">
        <v>719.86100386099997</v>
      </c>
      <c r="E255">
        <v>365.99034749035002</v>
      </c>
      <c r="F255">
        <v>151.89011703510999</v>
      </c>
      <c r="G255">
        <v>124.26007802341</v>
      </c>
      <c r="I255" s="9">
        <f t="shared" si="26"/>
        <v>241.73026946694</v>
      </c>
      <c r="J255" s="9">
        <f t="shared" si="27"/>
        <v>567.97088682588992</v>
      </c>
      <c r="K255" s="9">
        <f t="shared" si="24"/>
        <v>241.73026946694</v>
      </c>
      <c r="L255" s="10">
        <f t="shared" si="21"/>
        <v>0.42560327487532268</v>
      </c>
      <c r="M255" s="10">
        <f t="shared" si="28"/>
        <v>0.51226259474301128</v>
      </c>
      <c r="P255" s="8">
        <f t="shared" si="29"/>
        <v>44.202197342099645</v>
      </c>
    </row>
    <row r="256" spans="1:16" x14ac:dyDescent="0.2">
      <c r="A256" s="8">
        <v>127</v>
      </c>
      <c r="B256" s="8">
        <v>254</v>
      </c>
      <c r="D256">
        <v>716.55920205919995</v>
      </c>
      <c r="E256">
        <v>362.23423423422997</v>
      </c>
      <c r="F256">
        <v>151.98634590377</v>
      </c>
      <c r="G256">
        <v>124.46488946684001</v>
      </c>
      <c r="I256" s="9">
        <f t="shared" si="26"/>
        <v>237.76934476738995</v>
      </c>
      <c r="J256" s="9">
        <f t="shared" si="27"/>
        <v>564.57285615542992</v>
      </c>
      <c r="K256" s="9">
        <f t="shared" si="24"/>
        <v>237.76934476738995</v>
      </c>
      <c r="L256" s="10">
        <f t="shared" si="21"/>
        <v>0.4211490902813273</v>
      </c>
      <c r="M256" s="10">
        <f t="shared" si="28"/>
        <v>0.50815093710501469</v>
      </c>
      <c r="P256" s="8">
        <f t="shared" si="29"/>
        <v>43.04476349429941</v>
      </c>
    </row>
    <row r="257" spans="1:16" x14ac:dyDescent="0.2">
      <c r="A257" s="8">
        <v>127.5</v>
      </c>
      <c r="B257" s="8">
        <v>255</v>
      </c>
      <c r="D257">
        <v>709.36550836550998</v>
      </c>
      <c r="E257">
        <v>358.17760617761002</v>
      </c>
      <c r="F257">
        <v>152.06697009102999</v>
      </c>
      <c r="G257">
        <v>124.58842652796</v>
      </c>
      <c r="I257" s="9">
        <f t="shared" si="26"/>
        <v>233.58917964965002</v>
      </c>
      <c r="J257" s="9">
        <f t="shared" si="27"/>
        <v>557.29853827448005</v>
      </c>
      <c r="K257" s="9">
        <f t="shared" si="24"/>
        <v>233.58917964965002</v>
      </c>
      <c r="L257" s="10">
        <f t="shared" si="21"/>
        <v>0.41914550928644806</v>
      </c>
      <c r="M257" s="10">
        <f t="shared" si="28"/>
        <v>0.50648988306613418</v>
      </c>
      <c r="P257" s="8">
        <f t="shared" si="29"/>
        <v>42.577175884412135</v>
      </c>
    </row>
    <row r="258" spans="1:16" x14ac:dyDescent="0.2">
      <c r="A258" s="8">
        <v>128</v>
      </c>
      <c r="B258" s="8">
        <v>256</v>
      </c>
      <c r="D258">
        <v>696.01930501930997</v>
      </c>
      <c r="E258">
        <v>350.97490347489997</v>
      </c>
      <c r="F258">
        <v>152.18010403120999</v>
      </c>
      <c r="G258">
        <v>124.34590377113</v>
      </c>
      <c r="I258" s="9">
        <f t="shared" si="26"/>
        <v>226.62899970376998</v>
      </c>
      <c r="J258" s="9">
        <f t="shared" si="27"/>
        <v>543.83920098809995</v>
      </c>
      <c r="K258" s="9">
        <f t="shared" si="24"/>
        <v>226.62899970376998</v>
      </c>
      <c r="L258" s="10">
        <f t="shared" ref="L258:L321" si="30">K258/J258</f>
        <v>0.41672060287674806</v>
      </c>
      <c r="M258" s="10">
        <f t="shared" si="28"/>
        <v>0.50440750361243303</v>
      </c>
      <c r="P258" s="8">
        <f t="shared" si="29"/>
        <v>41.990984942490265</v>
      </c>
    </row>
    <row r="259" spans="1:16" x14ac:dyDescent="0.2">
      <c r="A259" s="8">
        <v>128.5</v>
      </c>
      <c r="B259" s="8">
        <v>257</v>
      </c>
      <c r="D259">
        <v>693.25997425997002</v>
      </c>
      <c r="E259">
        <v>346.99613899614002</v>
      </c>
      <c r="F259">
        <v>152.54031209363001</v>
      </c>
      <c r="G259">
        <v>124.41417425228001</v>
      </c>
      <c r="I259" s="9">
        <f t="shared" si="26"/>
        <v>222.58196474386</v>
      </c>
      <c r="J259" s="9">
        <f t="shared" si="27"/>
        <v>540.71966216633996</v>
      </c>
      <c r="K259" s="9">
        <f t="shared" ref="K259:K322" si="31">I259*1</f>
        <v>222.58196474386</v>
      </c>
      <c r="L259" s="10">
        <f t="shared" si="30"/>
        <v>0.41164022749257412</v>
      </c>
      <c r="M259" s="10">
        <f t="shared" si="28"/>
        <v>0.49966965518425782</v>
      </c>
      <c r="P259" s="8">
        <f t="shared" si="29"/>
        <v>40.657278048744828</v>
      </c>
    </row>
    <row r="260" spans="1:16" x14ac:dyDescent="0.2">
      <c r="A260" s="8">
        <v>129</v>
      </c>
      <c r="B260" s="8">
        <v>258</v>
      </c>
      <c r="D260">
        <v>691.97425997426001</v>
      </c>
      <c r="E260">
        <v>344.32175032175002</v>
      </c>
      <c r="F260">
        <v>152.35955786736</v>
      </c>
      <c r="G260">
        <v>124.28543563069</v>
      </c>
      <c r="I260" s="9">
        <f t="shared" si="26"/>
        <v>220.03631469106</v>
      </c>
      <c r="J260" s="9">
        <f t="shared" si="27"/>
        <v>539.61470210690004</v>
      </c>
      <c r="K260" s="9">
        <f t="shared" si="31"/>
        <v>220.03631469106</v>
      </c>
      <c r="L260" s="10">
        <f t="shared" si="30"/>
        <v>0.40776560355368124</v>
      </c>
      <c r="M260" s="10">
        <f t="shared" si="28"/>
        <v>0.49613755820136374</v>
      </c>
      <c r="P260" s="8">
        <f t="shared" si="29"/>
        <v>39.662990838658274</v>
      </c>
    </row>
    <row r="261" spans="1:16" x14ac:dyDescent="0.2">
      <c r="A261" s="8">
        <v>129.5</v>
      </c>
      <c r="B261" s="8">
        <v>259</v>
      </c>
      <c r="D261">
        <v>690.06241956242002</v>
      </c>
      <c r="E261">
        <v>345.89639639640001</v>
      </c>
      <c r="F261">
        <v>152.46944083225</v>
      </c>
      <c r="G261">
        <v>124.67685305592001</v>
      </c>
      <c r="I261" s="9">
        <f t="shared" si="26"/>
        <v>221.21954334048002</v>
      </c>
      <c r="J261" s="9">
        <f t="shared" si="27"/>
        <v>537.59297873016999</v>
      </c>
      <c r="K261" s="9">
        <f t="shared" si="31"/>
        <v>221.21954334048002</v>
      </c>
      <c r="L261" s="10">
        <f t="shared" si="30"/>
        <v>0.41150006062767996</v>
      </c>
      <c r="M261" s="10">
        <f t="shared" si="28"/>
        <v>0.50021454223136119</v>
      </c>
      <c r="P261" s="8">
        <f t="shared" si="29"/>
        <v>40.810664047062687</v>
      </c>
    </row>
    <row r="262" spans="1:16" x14ac:dyDescent="0.2">
      <c r="A262" s="8">
        <v>130</v>
      </c>
      <c r="B262" s="8">
        <v>260</v>
      </c>
      <c r="D262">
        <v>691.66666666667004</v>
      </c>
      <c r="E262">
        <v>344.55405405405003</v>
      </c>
      <c r="F262">
        <v>152.52405721717</v>
      </c>
      <c r="G262">
        <v>124.72951885566</v>
      </c>
      <c r="I262" s="9">
        <f t="shared" si="26"/>
        <v>219.82453519839004</v>
      </c>
      <c r="J262" s="9">
        <f t="shared" si="27"/>
        <v>539.14260944950001</v>
      </c>
      <c r="K262" s="9">
        <f t="shared" si="31"/>
        <v>219.82453519839004</v>
      </c>
      <c r="L262" s="10">
        <f t="shared" si="30"/>
        <v>0.40772984984964428</v>
      </c>
      <c r="M262" s="10">
        <f t="shared" si="28"/>
        <v>0.49678685840932429</v>
      </c>
      <c r="P262" s="8">
        <f t="shared" si="29"/>
        <v>39.845769198201722</v>
      </c>
    </row>
    <row r="263" spans="1:16" x14ac:dyDescent="0.2">
      <c r="A263" s="8">
        <v>130.5</v>
      </c>
      <c r="B263" s="8">
        <v>261</v>
      </c>
      <c r="D263">
        <v>699.76319176318998</v>
      </c>
      <c r="E263">
        <v>347.94980694981001</v>
      </c>
      <c r="F263">
        <v>152.33094928478999</v>
      </c>
      <c r="G263">
        <v>124.72171651495</v>
      </c>
      <c r="I263" s="9">
        <f t="shared" si="26"/>
        <v>223.22809043486001</v>
      </c>
      <c r="J263" s="9">
        <f t="shared" si="27"/>
        <v>547.43224247839998</v>
      </c>
      <c r="K263" s="9">
        <f t="shared" si="31"/>
        <v>223.22809043486001</v>
      </c>
      <c r="L263" s="10">
        <f t="shared" si="30"/>
        <v>0.4077730047909407</v>
      </c>
      <c r="M263" s="10">
        <f t="shared" si="28"/>
        <v>0.4971725403066195</v>
      </c>
      <c r="P263" s="8">
        <f t="shared" si="29"/>
        <v>39.954338860784517</v>
      </c>
    </row>
    <row r="264" spans="1:16" x14ac:dyDescent="0.2">
      <c r="A264" s="8">
        <v>131</v>
      </c>
      <c r="B264" s="8">
        <v>262</v>
      </c>
      <c r="D264">
        <v>701.70969855832004</v>
      </c>
      <c r="E264">
        <v>348.42267365662002</v>
      </c>
      <c r="F264">
        <v>152.12613784134999</v>
      </c>
      <c r="G264">
        <v>124.60533159948</v>
      </c>
      <c r="I264" s="9">
        <f t="shared" si="26"/>
        <v>223.81734205714002</v>
      </c>
      <c r="J264" s="9">
        <f t="shared" si="27"/>
        <v>549.58356071697006</v>
      </c>
      <c r="K264" s="9">
        <f t="shared" si="31"/>
        <v>223.81734205714002</v>
      </c>
      <c r="L264" s="10">
        <f t="shared" si="30"/>
        <v>0.40724897550639017</v>
      </c>
      <c r="M264" s="10">
        <f t="shared" si="28"/>
        <v>0.49699103797806771</v>
      </c>
      <c r="P264" s="8">
        <f t="shared" si="29"/>
        <v>39.903245857179584</v>
      </c>
    </row>
    <row r="265" spans="1:16" x14ac:dyDescent="0.2">
      <c r="A265" s="8">
        <v>131.5</v>
      </c>
      <c r="B265" s="8">
        <v>263</v>
      </c>
      <c r="D265">
        <v>707.75557011796002</v>
      </c>
      <c r="E265">
        <v>348.09436435125002</v>
      </c>
      <c r="F265">
        <v>152.41287386216001</v>
      </c>
      <c r="G265">
        <v>124.60923276983</v>
      </c>
      <c r="I265" s="9">
        <f t="shared" si="26"/>
        <v>223.48513158142003</v>
      </c>
      <c r="J265" s="9">
        <f t="shared" si="27"/>
        <v>555.34269625579998</v>
      </c>
      <c r="K265" s="9">
        <f t="shared" si="31"/>
        <v>223.48513158142003</v>
      </c>
      <c r="L265" s="10">
        <f t="shared" si="30"/>
        <v>0.40242742560258521</v>
      </c>
      <c r="M265" s="10">
        <f t="shared" si="28"/>
        <v>0.49251201503026154</v>
      </c>
      <c r="P265" s="8">
        <f t="shared" si="29"/>
        <v>38.642398476075442</v>
      </c>
    </row>
    <row r="266" spans="1:16" x14ac:dyDescent="0.2">
      <c r="A266" s="8">
        <v>132</v>
      </c>
      <c r="B266" s="8">
        <v>264</v>
      </c>
      <c r="D266">
        <v>689.599609375</v>
      </c>
      <c r="E266">
        <v>342.48958333333002</v>
      </c>
      <c r="F266">
        <v>152.63068920676</v>
      </c>
      <c r="G266">
        <v>124.17100130039</v>
      </c>
      <c r="I266" s="9">
        <f t="shared" si="26"/>
        <v>218.31858203294001</v>
      </c>
      <c r="J266" s="9">
        <f t="shared" si="27"/>
        <v>536.96892016823995</v>
      </c>
      <c r="K266" s="9">
        <f t="shared" si="31"/>
        <v>218.31858203294001</v>
      </c>
      <c r="L266" s="10">
        <f t="shared" si="30"/>
        <v>0.40657582558882127</v>
      </c>
      <c r="M266" s="10">
        <f t="shared" si="28"/>
        <v>0.49700294197249634</v>
      </c>
      <c r="P266" s="8">
        <f t="shared" si="29"/>
        <v>39.906596838046376</v>
      </c>
    </row>
    <row r="267" spans="1:16" x14ac:dyDescent="0.2">
      <c r="A267" s="8">
        <v>132.5</v>
      </c>
      <c r="B267" s="8">
        <v>265</v>
      </c>
      <c r="D267">
        <v>684.37565104167004</v>
      </c>
      <c r="E267">
        <v>338.048828125</v>
      </c>
      <c r="F267">
        <v>152.63198959688</v>
      </c>
      <c r="G267">
        <v>124.55071521456</v>
      </c>
      <c r="I267" s="9">
        <f t="shared" si="26"/>
        <v>213.49811291044</v>
      </c>
      <c r="J267" s="9">
        <f t="shared" si="27"/>
        <v>531.74366144479006</v>
      </c>
      <c r="K267" s="9">
        <f t="shared" si="31"/>
        <v>213.49811291044</v>
      </c>
      <c r="L267" s="10">
        <f t="shared" si="30"/>
        <v>0.40150570357594589</v>
      </c>
      <c r="M267" s="10">
        <f t="shared" si="28"/>
        <v>0.49227534691561975</v>
      </c>
      <c r="P267" s="8">
        <f t="shared" si="29"/>
        <v>38.575776273864335</v>
      </c>
    </row>
    <row r="268" spans="1:16" x14ac:dyDescent="0.2">
      <c r="A268" s="8">
        <v>133</v>
      </c>
      <c r="B268" s="8">
        <v>266</v>
      </c>
      <c r="D268">
        <v>681.87890625</v>
      </c>
      <c r="E268">
        <v>334.72721354166998</v>
      </c>
      <c r="F268">
        <v>152.63784135240999</v>
      </c>
      <c r="G268">
        <v>124.75097529259</v>
      </c>
      <c r="I268" s="9">
        <f t="shared" si="26"/>
        <v>209.97623824907998</v>
      </c>
      <c r="J268" s="9">
        <f t="shared" si="27"/>
        <v>529.24106489759004</v>
      </c>
      <c r="K268" s="9">
        <f t="shared" si="31"/>
        <v>209.97623824907998</v>
      </c>
      <c r="L268" s="10">
        <f t="shared" si="30"/>
        <v>0.39674970854673025</v>
      </c>
      <c r="M268" s="10">
        <f t="shared" si="28"/>
        <v>0.48786187884240284</v>
      </c>
      <c r="P268" s="8">
        <f t="shared" si="29"/>
        <v>37.333382625395103</v>
      </c>
    </row>
    <row r="269" spans="1:16" x14ac:dyDescent="0.2">
      <c r="A269" s="8">
        <v>133.5</v>
      </c>
      <c r="B269" s="8">
        <v>267</v>
      </c>
      <c r="D269">
        <v>687.32877604167004</v>
      </c>
      <c r="E269">
        <v>337.99479166666998</v>
      </c>
      <c r="F269">
        <v>151.91417425227999</v>
      </c>
      <c r="G269">
        <v>124.45578673602</v>
      </c>
      <c r="I269" s="9">
        <f t="shared" si="26"/>
        <v>213.53900493064998</v>
      </c>
      <c r="J269" s="9">
        <f t="shared" si="27"/>
        <v>535.41460178939008</v>
      </c>
      <c r="K269" s="9">
        <f t="shared" si="31"/>
        <v>213.53900493064998</v>
      </c>
      <c r="L269" s="10">
        <f t="shared" si="30"/>
        <v>0.39882925160611771</v>
      </c>
      <c r="M269" s="10">
        <f t="shared" si="28"/>
        <v>0.49028394885778909</v>
      </c>
      <c r="P269" s="8">
        <f t="shared" si="29"/>
        <v>38.015196644063266</v>
      </c>
    </row>
    <row r="270" spans="1:16" x14ac:dyDescent="0.2">
      <c r="A270" s="8">
        <v>134</v>
      </c>
      <c r="B270" s="8">
        <v>268</v>
      </c>
      <c r="D270">
        <v>701.39767591994996</v>
      </c>
      <c r="E270">
        <v>341.78502259522003</v>
      </c>
      <c r="F270">
        <v>151.96618985696</v>
      </c>
      <c r="G270">
        <v>124.34720416125</v>
      </c>
      <c r="I270" s="9">
        <f t="shared" si="26"/>
        <v>217.43781843397002</v>
      </c>
      <c r="J270" s="9">
        <f t="shared" si="27"/>
        <v>549.43148606298996</v>
      </c>
      <c r="K270" s="9">
        <f t="shared" si="31"/>
        <v>217.43781843397002</v>
      </c>
      <c r="L270" s="10">
        <f t="shared" si="30"/>
        <v>0.39575056026010441</v>
      </c>
      <c r="M270" s="10">
        <f t="shared" si="28"/>
        <v>0.48754778446777458</v>
      </c>
      <c r="P270" s="8">
        <f t="shared" si="29"/>
        <v>37.24496488914226</v>
      </c>
    </row>
    <row r="271" spans="1:16" x14ac:dyDescent="0.2">
      <c r="A271" s="8">
        <v>134.5</v>
      </c>
      <c r="B271" s="8">
        <v>269</v>
      </c>
      <c r="D271">
        <v>714.85861846352998</v>
      </c>
      <c r="E271">
        <v>348.19109102647002</v>
      </c>
      <c r="F271">
        <v>152.60208062418999</v>
      </c>
      <c r="G271">
        <v>124.04161248375</v>
      </c>
      <c r="I271" s="9">
        <f t="shared" si="26"/>
        <v>224.14947854272003</v>
      </c>
      <c r="J271" s="9">
        <f t="shared" si="27"/>
        <v>562.25653783934001</v>
      </c>
      <c r="K271" s="9">
        <f t="shared" si="31"/>
        <v>224.14947854272003</v>
      </c>
      <c r="L271" s="10">
        <f t="shared" si="30"/>
        <v>0.39866051074139547</v>
      </c>
      <c r="M271" s="10">
        <f t="shared" si="28"/>
        <v>0.49080026190506443</v>
      </c>
      <c r="P271" s="8">
        <f t="shared" si="29"/>
        <v>38.16053904598283</v>
      </c>
    </row>
    <row r="272" spans="1:16" x14ac:dyDescent="0.2">
      <c r="A272" s="8">
        <v>135</v>
      </c>
      <c r="B272" s="8">
        <v>270</v>
      </c>
      <c r="D272">
        <v>709.74887023886004</v>
      </c>
      <c r="E272">
        <v>343.23369916075001</v>
      </c>
      <c r="F272">
        <v>151.73537061118</v>
      </c>
      <c r="G272">
        <v>124.41547464239</v>
      </c>
      <c r="I272" s="9">
        <f t="shared" si="26"/>
        <v>218.81822451836001</v>
      </c>
      <c r="J272" s="9">
        <f t="shared" si="27"/>
        <v>558.01349962768006</v>
      </c>
      <c r="K272" s="9">
        <f t="shared" si="31"/>
        <v>218.81822451836001</v>
      </c>
      <c r="L272" s="10">
        <f t="shared" si="30"/>
        <v>0.39213786882281659</v>
      </c>
      <c r="M272" s="10">
        <f t="shared" si="28"/>
        <v>0.48462014694248429</v>
      </c>
      <c r="P272" s="8">
        <f t="shared" si="29"/>
        <v>36.420833343133438</v>
      </c>
    </row>
    <row r="273" spans="1:16" x14ac:dyDescent="0.2">
      <c r="A273" s="8">
        <v>135.5</v>
      </c>
      <c r="B273" s="8">
        <v>271</v>
      </c>
      <c r="D273">
        <v>708.06262104584005</v>
      </c>
      <c r="E273">
        <v>341.50742414461001</v>
      </c>
      <c r="F273">
        <v>152.00520156047</v>
      </c>
      <c r="G273">
        <v>123.8966189857</v>
      </c>
      <c r="I273" s="9">
        <f t="shared" si="26"/>
        <v>217.61080515891001</v>
      </c>
      <c r="J273" s="9">
        <f t="shared" si="27"/>
        <v>556.05741948537002</v>
      </c>
      <c r="K273" s="9">
        <f t="shared" si="31"/>
        <v>217.61080515891001</v>
      </c>
      <c r="L273" s="10">
        <f t="shared" si="30"/>
        <v>0.39134592495916765</v>
      </c>
      <c r="M273" s="10">
        <f t="shared" si="28"/>
        <v>0.48417073003483413</v>
      </c>
      <c r="P273" s="8">
        <f t="shared" si="29"/>
        <v>36.294322240681467</v>
      </c>
    </row>
    <row r="274" spans="1:16" x14ac:dyDescent="0.2">
      <c r="A274" s="8">
        <v>136</v>
      </c>
      <c r="B274" s="8">
        <v>272</v>
      </c>
      <c r="D274">
        <v>714.11555842479004</v>
      </c>
      <c r="E274">
        <v>344.05681084571</v>
      </c>
      <c r="F274">
        <v>152.1677503251</v>
      </c>
      <c r="G274">
        <v>124.12873862159</v>
      </c>
      <c r="I274" s="9">
        <f t="shared" si="26"/>
        <v>219.92807222412</v>
      </c>
      <c r="J274" s="9">
        <f t="shared" si="27"/>
        <v>561.94780809969006</v>
      </c>
      <c r="K274" s="9">
        <f t="shared" si="31"/>
        <v>219.92807222412</v>
      </c>
      <c r="L274" s="10">
        <f t="shared" si="30"/>
        <v>0.39136743493642129</v>
      </c>
      <c r="M274" s="10">
        <f t="shared" si="28"/>
        <v>0.48453476696808651</v>
      </c>
      <c r="P274" s="8">
        <f t="shared" si="29"/>
        <v>36.396798834185248</v>
      </c>
    </row>
    <row r="275" spans="1:16" x14ac:dyDescent="0.2">
      <c r="A275" s="8">
        <v>136.5</v>
      </c>
      <c r="B275" s="8">
        <v>273</v>
      </c>
      <c r="D275">
        <v>699.39561855670001</v>
      </c>
      <c r="E275">
        <v>335.55541237112999</v>
      </c>
      <c r="F275">
        <v>152.29583875162999</v>
      </c>
      <c r="G275">
        <v>124.29973992198001</v>
      </c>
      <c r="I275" s="9">
        <f>E275-G275</f>
        <v>211.25567244914998</v>
      </c>
      <c r="J275" s="9">
        <f>D275-F275</f>
        <v>547.09977980507006</v>
      </c>
      <c r="K275" s="9">
        <f t="shared" si="31"/>
        <v>211.25567244914998</v>
      </c>
      <c r="L275" s="10">
        <f t="shared" si="30"/>
        <v>0.38613737429106576</v>
      </c>
      <c r="M275" s="10">
        <f>L275+ABS($N$2)*A275</f>
        <v>0.47964723327872977</v>
      </c>
      <c r="O275" s="11"/>
      <c r="P275" s="8">
        <f>(M275-$O$2)/$O$2*100</f>
        <v>35.020955458499472</v>
      </c>
    </row>
    <row r="276" spans="1:16" x14ac:dyDescent="0.2">
      <c r="A276" s="8">
        <v>137</v>
      </c>
      <c r="B276" s="8">
        <v>274</v>
      </c>
      <c r="D276">
        <v>675.71585051546003</v>
      </c>
      <c r="E276">
        <v>322.52641752577</v>
      </c>
      <c r="F276">
        <v>152.67230169051001</v>
      </c>
      <c r="G276">
        <v>124.36150845253999</v>
      </c>
      <c r="I276" s="9">
        <f t="shared" ref="I276:I291" si="32">E276-G276</f>
        <v>198.16490907323001</v>
      </c>
      <c r="J276" s="9">
        <f t="shared" ref="J276:J291" si="33">D276-F276</f>
        <v>523.04354882494999</v>
      </c>
      <c r="K276" s="9">
        <f t="shared" si="31"/>
        <v>198.16490907323001</v>
      </c>
      <c r="L276" s="10">
        <f t="shared" si="30"/>
        <v>0.37886885235162515</v>
      </c>
      <c r="M276" s="10">
        <f t="shared" ref="M276:M291" si="34">L276+ABS($N$2)*A276</f>
        <v>0.47272123829528789</v>
      </c>
      <c r="P276" s="8">
        <f t="shared" ref="P276:P291" si="35">(M276-$O$2)/$O$2*100</f>
        <v>33.071284126565267</v>
      </c>
    </row>
    <row r="277" spans="1:16" x14ac:dyDescent="0.2">
      <c r="A277" s="8">
        <v>137.5</v>
      </c>
      <c r="B277" s="8">
        <v>275</v>
      </c>
      <c r="D277">
        <v>664.73086900129999</v>
      </c>
      <c r="E277">
        <v>319.69195849546003</v>
      </c>
      <c r="F277">
        <v>152.45448634589999</v>
      </c>
      <c r="G277">
        <v>124.53315994798</v>
      </c>
      <c r="I277" s="9">
        <f t="shared" si="32"/>
        <v>195.15879854748005</v>
      </c>
      <c r="J277" s="9">
        <f t="shared" si="33"/>
        <v>512.27638265539997</v>
      </c>
      <c r="K277" s="9">
        <f t="shared" si="31"/>
        <v>195.15879854748005</v>
      </c>
      <c r="L277" s="10">
        <f t="shared" si="30"/>
        <v>0.3809638803488628</v>
      </c>
      <c r="M277" s="10">
        <f t="shared" si="34"/>
        <v>0.47515879324852434</v>
      </c>
      <c r="N277" s="1"/>
      <c r="P277" s="8">
        <f t="shared" si="35"/>
        <v>33.757457163609203</v>
      </c>
    </row>
    <row r="278" spans="1:16" x14ac:dyDescent="0.2">
      <c r="A278" s="8">
        <v>138</v>
      </c>
      <c r="B278" s="8">
        <v>276</v>
      </c>
      <c r="D278">
        <v>675.13615928066997</v>
      </c>
      <c r="E278">
        <v>315.14579319204</v>
      </c>
      <c r="F278">
        <v>152.11573472041999</v>
      </c>
      <c r="G278">
        <v>124.13784135241001</v>
      </c>
      <c r="I278" s="9">
        <f t="shared" si="32"/>
        <v>191.00795183962998</v>
      </c>
      <c r="J278" s="9">
        <f t="shared" si="33"/>
        <v>523.02042456024992</v>
      </c>
      <c r="K278" s="9">
        <f t="shared" si="31"/>
        <v>191.00795183962998</v>
      </c>
      <c r="L278" s="10">
        <f t="shared" si="30"/>
        <v>0.36520170698922028</v>
      </c>
      <c r="M278" s="10">
        <f t="shared" si="34"/>
        <v>0.4597391468448806</v>
      </c>
      <c r="P278" s="8">
        <f t="shared" si="35"/>
        <v>29.416818365339871</v>
      </c>
    </row>
    <row r="279" spans="1:16" x14ac:dyDescent="0.2">
      <c r="A279" s="8">
        <v>138.5</v>
      </c>
      <c r="B279" s="8">
        <v>277</v>
      </c>
      <c r="D279">
        <v>674.96339113680006</v>
      </c>
      <c r="E279">
        <v>312.08542068079998</v>
      </c>
      <c r="F279">
        <v>151.92587776332999</v>
      </c>
      <c r="G279">
        <v>124.52600780234</v>
      </c>
      <c r="I279" s="9">
        <f t="shared" si="32"/>
        <v>187.55941287845997</v>
      </c>
      <c r="J279" s="9">
        <f t="shared" si="33"/>
        <v>523.03751337347012</v>
      </c>
      <c r="K279" s="9">
        <f t="shared" si="31"/>
        <v>187.55941287845997</v>
      </c>
      <c r="L279" s="10">
        <f t="shared" si="30"/>
        <v>0.3585964832020278</v>
      </c>
      <c r="M279" s="10">
        <f t="shared" si="34"/>
        <v>0.45347645001368686</v>
      </c>
      <c r="P279" s="8">
        <f t="shared" si="35"/>
        <v>27.653865821833158</v>
      </c>
    </row>
    <row r="280" spans="1:16" x14ac:dyDescent="0.2">
      <c r="A280" s="8">
        <v>139</v>
      </c>
      <c r="B280" s="8">
        <v>278</v>
      </c>
      <c r="D280">
        <v>676.51123956326001</v>
      </c>
      <c r="E280">
        <v>307.46178548491002</v>
      </c>
      <c r="F280">
        <v>152.06566970091001</v>
      </c>
      <c r="G280">
        <v>124.30299089727001</v>
      </c>
      <c r="I280" s="9">
        <f t="shared" si="32"/>
        <v>183.15879458764002</v>
      </c>
      <c r="J280" s="9">
        <f t="shared" si="33"/>
        <v>524.44556986235</v>
      </c>
      <c r="K280" s="9">
        <f t="shared" si="31"/>
        <v>183.15879458764002</v>
      </c>
      <c r="L280" s="10">
        <f t="shared" si="30"/>
        <v>0.34924271480777935</v>
      </c>
      <c r="M280" s="10">
        <f t="shared" si="34"/>
        <v>0.4444652085754372</v>
      </c>
      <c r="P280" s="8">
        <f t="shared" si="35"/>
        <v>25.117196485615708</v>
      </c>
    </row>
    <row r="281" spans="1:16" x14ac:dyDescent="0.2">
      <c r="A281" s="8">
        <v>139.5</v>
      </c>
      <c r="B281" s="8">
        <v>279</v>
      </c>
      <c r="D281">
        <v>684.19781631342005</v>
      </c>
      <c r="E281">
        <v>305.79190751444997</v>
      </c>
      <c r="F281">
        <v>151.7477243173</v>
      </c>
      <c r="G281">
        <v>124.41547464239</v>
      </c>
      <c r="I281" s="9">
        <f t="shared" si="32"/>
        <v>181.37643287205998</v>
      </c>
      <c r="J281" s="9">
        <f t="shared" si="33"/>
        <v>532.45009199612002</v>
      </c>
      <c r="K281" s="9">
        <f t="shared" si="31"/>
        <v>181.37643287205998</v>
      </c>
      <c r="L281" s="10">
        <f t="shared" si="30"/>
        <v>0.34064494606826301</v>
      </c>
      <c r="M281" s="10">
        <f t="shared" si="34"/>
        <v>0.43620996679191965</v>
      </c>
      <c r="P281" s="8">
        <f t="shared" si="35"/>
        <v>22.793341460888104</v>
      </c>
    </row>
    <row r="282" spans="1:16" x14ac:dyDescent="0.2">
      <c r="A282" s="8">
        <v>140</v>
      </c>
      <c r="B282" s="8">
        <v>280</v>
      </c>
      <c r="D282">
        <v>686.16120745022999</v>
      </c>
      <c r="E282">
        <v>302.40205523443001</v>
      </c>
      <c r="F282">
        <v>152.33289986995999</v>
      </c>
      <c r="G282">
        <v>123.81014304291</v>
      </c>
      <c r="I282" s="9">
        <f t="shared" si="32"/>
        <v>178.59191219152001</v>
      </c>
      <c r="J282" s="9">
        <f t="shared" si="33"/>
        <v>533.82830758027001</v>
      </c>
      <c r="K282" s="9">
        <f t="shared" si="31"/>
        <v>178.59191219152001</v>
      </c>
      <c r="L282" s="10">
        <f t="shared" si="30"/>
        <v>0.33454934789996266</v>
      </c>
      <c r="M282" s="10">
        <f t="shared" si="34"/>
        <v>0.43045689557961803</v>
      </c>
      <c r="P282" s="8">
        <f t="shared" si="35"/>
        <v>21.173848804595952</v>
      </c>
    </row>
    <row r="283" spans="1:16" x14ac:dyDescent="0.2">
      <c r="A283" s="8">
        <v>140.5</v>
      </c>
      <c r="B283" s="8">
        <v>281</v>
      </c>
      <c r="D283">
        <v>676.15671162492004</v>
      </c>
      <c r="E283">
        <v>296.48876043673999</v>
      </c>
      <c r="F283">
        <v>151.88166449934999</v>
      </c>
      <c r="G283">
        <v>124.31209362809</v>
      </c>
      <c r="I283" s="9">
        <f t="shared" si="32"/>
        <v>172.17666680865</v>
      </c>
      <c r="J283" s="9">
        <f t="shared" si="33"/>
        <v>524.27504712557004</v>
      </c>
      <c r="K283" s="9">
        <f t="shared" si="31"/>
        <v>172.17666680865</v>
      </c>
      <c r="L283" s="10">
        <f t="shared" si="30"/>
        <v>0.32840904359770468</v>
      </c>
      <c r="M283" s="10">
        <f t="shared" si="34"/>
        <v>0.42465911823335883</v>
      </c>
      <c r="P283" s="8">
        <f t="shared" si="35"/>
        <v>19.541771347427236</v>
      </c>
    </row>
    <row r="284" spans="1:16" x14ac:dyDescent="0.2">
      <c r="A284" s="8">
        <v>141</v>
      </c>
      <c r="B284" s="8">
        <v>282</v>
      </c>
      <c r="D284">
        <v>691.55129870129997</v>
      </c>
      <c r="E284">
        <v>295.95259740260002</v>
      </c>
      <c r="F284">
        <v>152.16970091027</v>
      </c>
      <c r="G284">
        <v>124.19960988296999</v>
      </c>
      <c r="I284" s="9">
        <f t="shared" si="32"/>
        <v>171.75298751963004</v>
      </c>
      <c r="J284" s="9">
        <f t="shared" si="33"/>
        <v>539.38159779103</v>
      </c>
      <c r="K284" s="9">
        <f t="shared" si="31"/>
        <v>171.75298751963004</v>
      </c>
      <c r="L284" s="10">
        <f t="shared" si="30"/>
        <v>0.31842574574850713</v>
      </c>
      <c r="M284" s="10">
        <f t="shared" si="34"/>
        <v>0.41501834734016008</v>
      </c>
      <c r="P284" s="8">
        <f t="shared" si="35"/>
        <v>16.827889129326859</v>
      </c>
    </row>
    <row r="285" spans="1:16" x14ac:dyDescent="0.2">
      <c r="A285" s="8">
        <v>141.5</v>
      </c>
      <c r="B285" s="8">
        <v>283</v>
      </c>
      <c r="D285">
        <v>686.65454545454998</v>
      </c>
      <c r="E285">
        <v>292.89480519480998</v>
      </c>
      <c r="F285">
        <v>152.10923276982999</v>
      </c>
      <c r="G285">
        <v>124.51040312094</v>
      </c>
      <c r="I285" s="9">
        <f t="shared" si="32"/>
        <v>168.38440207386998</v>
      </c>
      <c r="J285" s="9">
        <f t="shared" si="33"/>
        <v>534.54531268471999</v>
      </c>
      <c r="K285" s="9">
        <f t="shared" si="31"/>
        <v>168.38440207386998</v>
      </c>
      <c r="L285" s="10">
        <f t="shared" si="30"/>
        <v>0.31500491740947084</v>
      </c>
      <c r="M285" s="10">
        <f t="shared" si="34"/>
        <v>0.41194004595712252</v>
      </c>
      <c r="P285" s="8">
        <f t="shared" si="35"/>
        <v>15.961345625915428</v>
      </c>
    </row>
    <row r="286" spans="1:16" x14ac:dyDescent="0.2">
      <c r="A286" s="8">
        <v>142</v>
      </c>
      <c r="B286" s="8">
        <v>284</v>
      </c>
      <c r="D286">
        <v>682.40454545454998</v>
      </c>
      <c r="E286">
        <v>290.36298701299</v>
      </c>
      <c r="F286">
        <v>151.99479843953</v>
      </c>
      <c r="G286">
        <v>123.96618985696</v>
      </c>
      <c r="I286" s="9">
        <f t="shared" si="32"/>
        <v>166.39679715603</v>
      </c>
      <c r="J286" s="9">
        <f t="shared" si="33"/>
        <v>530.40974701502</v>
      </c>
      <c r="K286" s="9">
        <f t="shared" si="31"/>
        <v>166.39679715603</v>
      </c>
      <c r="L286" s="10">
        <f t="shared" si="30"/>
        <v>0.31371368662144516</v>
      </c>
      <c r="M286" s="10">
        <f t="shared" si="34"/>
        <v>0.41099134212509564</v>
      </c>
      <c r="P286" s="8">
        <f t="shared" si="35"/>
        <v>15.694284984343934</v>
      </c>
    </row>
    <row r="287" spans="1:16" x14ac:dyDescent="0.2">
      <c r="A287" s="8">
        <v>142.5</v>
      </c>
      <c r="B287" s="8">
        <v>285</v>
      </c>
      <c r="D287">
        <v>684.24480519481006</v>
      </c>
      <c r="E287">
        <v>287.45</v>
      </c>
      <c r="F287">
        <v>151.88036410922999</v>
      </c>
      <c r="G287">
        <v>124.16384915475</v>
      </c>
      <c r="I287" s="9">
        <f t="shared" si="32"/>
        <v>163.28615084525001</v>
      </c>
      <c r="J287" s="9">
        <f t="shared" si="33"/>
        <v>532.3644410855801</v>
      </c>
      <c r="K287" s="9">
        <f t="shared" si="31"/>
        <v>163.28615084525001</v>
      </c>
      <c r="L287" s="10">
        <f t="shared" si="30"/>
        <v>0.30671874047838776</v>
      </c>
      <c r="M287" s="10">
        <f t="shared" si="34"/>
        <v>0.40433892293803697</v>
      </c>
      <c r="P287" s="8">
        <f t="shared" si="35"/>
        <v>13.821625386982825</v>
      </c>
    </row>
    <row r="288" spans="1:16" x14ac:dyDescent="0.2">
      <c r="A288" s="8">
        <v>143</v>
      </c>
      <c r="B288" s="8">
        <v>286</v>
      </c>
      <c r="D288">
        <v>666.10584415584003</v>
      </c>
      <c r="E288">
        <v>282.20649350649001</v>
      </c>
      <c r="F288">
        <v>152.00325097529</v>
      </c>
      <c r="G288">
        <v>124.32639791938</v>
      </c>
      <c r="I288" s="9">
        <f t="shared" si="32"/>
        <v>157.88009558711002</v>
      </c>
      <c r="J288" s="9">
        <f t="shared" si="33"/>
        <v>514.10259318055</v>
      </c>
      <c r="K288" s="9">
        <f t="shared" si="31"/>
        <v>157.88009558711002</v>
      </c>
      <c r="L288" s="10">
        <f t="shared" si="30"/>
        <v>0.3070984229244364</v>
      </c>
      <c r="M288" s="10">
        <f t="shared" si="34"/>
        <v>0.4050611323400844</v>
      </c>
      <c r="P288" s="8">
        <f t="shared" si="35"/>
        <v>14.024927724075404</v>
      </c>
    </row>
    <row r="289" spans="1:16" x14ac:dyDescent="0.2">
      <c r="A289" s="8">
        <v>143.5</v>
      </c>
      <c r="B289" s="8">
        <v>287</v>
      </c>
      <c r="D289">
        <v>660.42912621359005</v>
      </c>
      <c r="E289">
        <v>277.34110032362997</v>
      </c>
      <c r="F289">
        <v>152.11053315994999</v>
      </c>
      <c r="G289">
        <v>124.44213263979</v>
      </c>
      <c r="I289" s="9">
        <f t="shared" si="32"/>
        <v>152.89896768383997</v>
      </c>
      <c r="J289" s="9">
        <f t="shared" si="33"/>
        <v>508.31859305364003</v>
      </c>
      <c r="K289" s="9">
        <f t="shared" si="31"/>
        <v>152.89896768383997</v>
      </c>
      <c r="L289" s="10">
        <f t="shared" si="30"/>
        <v>0.30079357665302908</v>
      </c>
      <c r="M289" s="10">
        <f t="shared" si="34"/>
        <v>0.39909881302467587</v>
      </c>
      <c r="P289" s="8">
        <f t="shared" si="35"/>
        <v>12.346531613642078</v>
      </c>
    </row>
    <row r="290" spans="1:16" x14ac:dyDescent="0.2">
      <c r="A290" s="8">
        <v>144</v>
      </c>
      <c r="B290" s="8">
        <v>288</v>
      </c>
      <c r="D290">
        <v>662.84077669903002</v>
      </c>
      <c r="E290">
        <v>278.02459546926002</v>
      </c>
      <c r="F290">
        <v>152.02145643693001</v>
      </c>
      <c r="G290">
        <v>124.13263979193999</v>
      </c>
      <c r="I290" s="9">
        <f t="shared" si="32"/>
        <v>153.89195567732003</v>
      </c>
      <c r="J290" s="9">
        <f t="shared" si="33"/>
        <v>510.81932026210001</v>
      </c>
      <c r="K290" s="9">
        <f t="shared" si="31"/>
        <v>153.89195567732003</v>
      </c>
      <c r="L290" s="10">
        <f t="shared" si="30"/>
        <v>0.30126494745413795</v>
      </c>
      <c r="M290" s="10">
        <f t="shared" si="34"/>
        <v>0.39991271078178348</v>
      </c>
      <c r="P290" s="8">
        <f t="shared" si="35"/>
        <v>12.57564427224953</v>
      </c>
    </row>
    <row r="291" spans="1:16" x14ac:dyDescent="0.2">
      <c r="A291" s="8">
        <v>144.5</v>
      </c>
      <c r="B291" s="8">
        <v>289</v>
      </c>
      <c r="D291">
        <v>679.37248539909001</v>
      </c>
      <c r="E291">
        <v>278.26411421155001</v>
      </c>
      <c r="F291">
        <v>151.61573472041999</v>
      </c>
      <c r="G291">
        <v>124.03901170351</v>
      </c>
      <c r="I291" s="9">
        <f t="shared" si="32"/>
        <v>154.22510250804001</v>
      </c>
      <c r="J291" s="9">
        <f t="shared" si="33"/>
        <v>527.75675067866996</v>
      </c>
      <c r="K291" s="9">
        <f t="shared" si="31"/>
        <v>154.22510250804001</v>
      </c>
      <c r="L291" s="10">
        <f t="shared" si="30"/>
        <v>0.29222762628751581</v>
      </c>
      <c r="M291" s="10">
        <f t="shared" si="34"/>
        <v>0.39121791657116012</v>
      </c>
      <c r="P291" s="8">
        <f t="shared" si="35"/>
        <v>10.128055001675799</v>
      </c>
    </row>
    <row r="292" spans="1:16" x14ac:dyDescent="0.2">
      <c r="A292" s="8">
        <v>145</v>
      </c>
      <c r="B292" s="8">
        <v>290</v>
      </c>
      <c r="D292">
        <v>675.34912394548996</v>
      </c>
      <c r="E292">
        <v>275.19338092148001</v>
      </c>
      <c r="F292">
        <v>151.67620286086</v>
      </c>
      <c r="G292">
        <v>124.04876462939001</v>
      </c>
      <c r="I292" s="9">
        <f>E292-G292</f>
        <v>151.14461629209001</v>
      </c>
      <c r="J292" s="9">
        <f>D292-F292</f>
        <v>523.67292108462993</v>
      </c>
      <c r="K292" s="9">
        <f t="shared" si="31"/>
        <v>151.14461629209001</v>
      </c>
      <c r="L292" s="10">
        <f t="shared" si="30"/>
        <v>0.288624082335668</v>
      </c>
      <c r="M292" s="10">
        <f>L292+ABS($N$2)*A292</f>
        <v>0.3879568995753111</v>
      </c>
      <c r="O292" s="11"/>
      <c r="P292" s="8">
        <f>(M292-$O$2)/$O$2*100</f>
        <v>9.2100769544844514</v>
      </c>
    </row>
    <row r="293" spans="1:16" x14ac:dyDescent="0.2">
      <c r="A293" s="8">
        <v>145.5</v>
      </c>
      <c r="B293" s="8">
        <v>291</v>
      </c>
      <c r="D293">
        <v>677.22128487994996</v>
      </c>
      <c r="E293">
        <v>275.63400389357997</v>
      </c>
      <c r="F293">
        <v>151.4388816645</v>
      </c>
      <c r="G293">
        <v>124.12158647594001</v>
      </c>
      <c r="I293" s="9">
        <f t="shared" ref="I293:I301" si="36">E293-G293</f>
        <v>151.51241741763997</v>
      </c>
      <c r="J293" s="9">
        <f t="shared" ref="J293:J301" si="37">D293-F293</f>
        <v>525.7824032154499</v>
      </c>
      <c r="K293" s="9">
        <f t="shared" si="31"/>
        <v>151.51241741763997</v>
      </c>
      <c r="L293" s="10">
        <f t="shared" si="30"/>
        <v>0.28816562990898481</v>
      </c>
      <c r="M293" s="10">
        <f t="shared" ref="M293:M301" si="38">L293+ABS($N$2)*A293</f>
        <v>0.38784097410462665</v>
      </c>
      <c r="P293" s="8">
        <f t="shared" ref="P293:P301" si="39">(M293-$O$2)/$O$2*100</f>
        <v>9.1774438718191025</v>
      </c>
    </row>
    <row r="294" spans="1:16" x14ac:dyDescent="0.2">
      <c r="A294" s="8">
        <v>146</v>
      </c>
      <c r="B294" s="8">
        <v>292</v>
      </c>
      <c r="D294">
        <v>676.19792342635003</v>
      </c>
      <c r="E294">
        <v>271.86956521739</v>
      </c>
      <c r="F294">
        <v>151.86931079324</v>
      </c>
      <c r="G294">
        <v>124.15799739921999</v>
      </c>
      <c r="I294" s="9">
        <f t="shared" si="36"/>
        <v>147.71156781817001</v>
      </c>
      <c r="J294" s="9">
        <f t="shared" si="37"/>
        <v>524.32861263310997</v>
      </c>
      <c r="K294" s="9">
        <f t="shared" si="31"/>
        <v>147.71156781817001</v>
      </c>
      <c r="L294" s="10">
        <f t="shared" si="30"/>
        <v>0.28171563454525544</v>
      </c>
      <c r="M294" s="10">
        <f t="shared" si="38"/>
        <v>0.38173350569689607</v>
      </c>
      <c r="N294" s="1"/>
      <c r="P294" s="8">
        <f t="shared" si="39"/>
        <v>7.4581882134315656</v>
      </c>
    </row>
    <row r="295" spans="1:16" x14ac:dyDescent="0.2">
      <c r="A295" s="8">
        <v>146.5</v>
      </c>
      <c r="B295" s="8">
        <v>293</v>
      </c>
      <c r="D295">
        <v>673.84295911746005</v>
      </c>
      <c r="E295">
        <v>269.48994159636999</v>
      </c>
      <c r="F295">
        <v>152.56371911574001</v>
      </c>
      <c r="G295">
        <v>124.05071521456</v>
      </c>
      <c r="I295" s="9">
        <f t="shared" si="36"/>
        <v>145.43922638180999</v>
      </c>
      <c r="J295" s="9">
        <f t="shared" si="37"/>
        <v>521.27924000172004</v>
      </c>
      <c r="K295" s="9">
        <f t="shared" si="31"/>
        <v>145.43922638180999</v>
      </c>
      <c r="L295" s="10">
        <f t="shared" si="30"/>
        <v>0.27900444756121517</v>
      </c>
      <c r="M295" s="10">
        <f t="shared" si="38"/>
        <v>0.37936484566885453</v>
      </c>
      <c r="P295" s="8">
        <f t="shared" si="39"/>
        <v>6.7914091350736321</v>
      </c>
    </row>
    <row r="296" spans="1:16" x14ac:dyDescent="0.2">
      <c r="A296" s="8">
        <v>147</v>
      </c>
      <c r="B296" s="8">
        <v>294</v>
      </c>
      <c r="D296">
        <v>666.85269305646</v>
      </c>
      <c r="E296">
        <v>268.30045425049002</v>
      </c>
      <c r="F296">
        <v>151.48829648895</v>
      </c>
      <c r="G296">
        <v>124.0533159948</v>
      </c>
      <c r="I296" s="9">
        <f t="shared" si="36"/>
        <v>144.24713825569</v>
      </c>
      <c r="J296" s="9">
        <f t="shared" si="37"/>
        <v>515.36439656750997</v>
      </c>
      <c r="K296" s="9">
        <f t="shared" si="31"/>
        <v>144.24713825569</v>
      </c>
      <c r="L296" s="10">
        <f t="shared" si="30"/>
        <v>0.27989348743611631</v>
      </c>
      <c r="M296" s="10">
        <f t="shared" si="38"/>
        <v>0.38059641249975446</v>
      </c>
      <c r="P296" s="8">
        <f t="shared" si="39"/>
        <v>7.1380958637396379</v>
      </c>
    </row>
    <row r="297" spans="1:16" x14ac:dyDescent="0.2">
      <c r="A297" s="8">
        <v>147.5</v>
      </c>
      <c r="B297" s="8">
        <v>295</v>
      </c>
      <c r="D297">
        <v>656.8022121015</v>
      </c>
      <c r="E297">
        <v>262.74365647364999</v>
      </c>
      <c r="F297">
        <v>152.11313394018001</v>
      </c>
      <c r="G297">
        <v>124.08647594278</v>
      </c>
      <c r="I297" s="9">
        <f t="shared" si="36"/>
        <v>138.65718053086999</v>
      </c>
      <c r="J297" s="9">
        <f t="shared" si="37"/>
        <v>504.68907816132003</v>
      </c>
      <c r="K297" s="9">
        <f t="shared" si="31"/>
        <v>138.65718053086999</v>
      </c>
      <c r="L297" s="10">
        <f t="shared" si="30"/>
        <v>0.27473782677450626</v>
      </c>
      <c r="M297" s="10">
        <f t="shared" si="38"/>
        <v>0.37578327879414319</v>
      </c>
      <c r="P297" s="8">
        <f t="shared" si="39"/>
        <v>5.7831961236977945</v>
      </c>
    </row>
    <row r="298" spans="1:16" x14ac:dyDescent="0.2">
      <c r="A298" s="8">
        <v>148</v>
      </c>
      <c r="B298" s="8">
        <v>296</v>
      </c>
      <c r="D298">
        <v>654.56994144436999</v>
      </c>
      <c r="E298">
        <v>260.93754066362999</v>
      </c>
      <c r="F298">
        <v>151.61378413524</v>
      </c>
      <c r="G298">
        <v>124.18075422627</v>
      </c>
      <c r="I298" s="9">
        <f t="shared" si="36"/>
        <v>136.75678643736001</v>
      </c>
      <c r="J298" s="9">
        <f t="shared" si="37"/>
        <v>502.95615730912999</v>
      </c>
      <c r="K298" s="9">
        <f t="shared" si="31"/>
        <v>136.75678643736001</v>
      </c>
      <c r="L298" s="10">
        <f t="shared" si="30"/>
        <v>0.27190597917922638</v>
      </c>
      <c r="M298" s="10">
        <f t="shared" si="38"/>
        <v>0.3732939581548621</v>
      </c>
      <c r="P298" s="8">
        <f t="shared" si="39"/>
        <v>5.0824510180484994</v>
      </c>
    </row>
    <row r="299" spans="1:16" x14ac:dyDescent="0.2">
      <c r="A299" s="8">
        <v>148.5</v>
      </c>
      <c r="B299" s="8">
        <v>297</v>
      </c>
      <c r="D299">
        <v>651.11581001952004</v>
      </c>
      <c r="E299">
        <v>260.41639557579998</v>
      </c>
      <c r="F299">
        <v>151.03055916775</v>
      </c>
      <c r="G299">
        <v>123.55266579974</v>
      </c>
      <c r="I299" s="9">
        <f t="shared" si="36"/>
        <v>136.86372977605998</v>
      </c>
      <c r="J299" s="9">
        <f t="shared" si="37"/>
        <v>500.08525085177007</v>
      </c>
      <c r="K299" s="9">
        <f t="shared" si="31"/>
        <v>136.86372977605998</v>
      </c>
      <c r="L299" s="10">
        <f t="shared" si="30"/>
        <v>0.27368079651008875</v>
      </c>
      <c r="M299" s="10">
        <f t="shared" si="38"/>
        <v>0.37541130244172322</v>
      </c>
      <c r="P299" s="8">
        <f t="shared" si="39"/>
        <v>5.6784845794063949</v>
      </c>
    </row>
    <row r="300" spans="1:16" x14ac:dyDescent="0.2">
      <c r="A300" s="8">
        <v>149</v>
      </c>
      <c r="B300" s="8">
        <v>298</v>
      </c>
      <c r="D300">
        <v>671.74400518470998</v>
      </c>
      <c r="E300">
        <v>263.26377187297999</v>
      </c>
      <c r="F300">
        <v>152.02015604681</v>
      </c>
      <c r="G300">
        <v>123.90507152146</v>
      </c>
      <c r="I300" s="9">
        <f t="shared" si="36"/>
        <v>139.35870035151999</v>
      </c>
      <c r="J300" s="9">
        <f t="shared" si="37"/>
        <v>519.72384913789995</v>
      </c>
      <c r="K300" s="9">
        <f t="shared" si="31"/>
        <v>139.35870035151999</v>
      </c>
      <c r="L300" s="10">
        <f t="shared" si="30"/>
        <v>0.26813989887645795</v>
      </c>
      <c r="M300" s="10">
        <f t="shared" si="38"/>
        <v>0.3702129317640912</v>
      </c>
      <c r="P300" s="8">
        <f t="shared" si="39"/>
        <v>4.2151404234870293</v>
      </c>
    </row>
    <row r="301" spans="1:16" x14ac:dyDescent="0.2">
      <c r="A301" s="8">
        <v>149.5</v>
      </c>
      <c r="B301" s="8">
        <v>299</v>
      </c>
      <c r="D301">
        <v>672.16785482826003</v>
      </c>
      <c r="E301">
        <v>261.63318211276999</v>
      </c>
      <c r="F301">
        <v>151.86215864759001</v>
      </c>
      <c r="G301">
        <v>124.27958387516</v>
      </c>
      <c r="I301" s="9">
        <f t="shared" si="36"/>
        <v>137.35359823760999</v>
      </c>
      <c r="J301" s="9">
        <f t="shared" si="37"/>
        <v>520.30569618067</v>
      </c>
      <c r="K301" s="9">
        <f t="shared" si="31"/>
        <v>137.35359823760999</v>
      </c>
      <c r="L301" s="10">
        <f t="shared" si="30"/>
        <v>0.26398634350125505</v>
      </c>
      <c r="M301" s="10">
        <f t="shared" si="38"/>
        <v>0.36640190334488704</v>
      </c>
      <c r="P301" s="8">
        <f t="shared" si="39"/>
        <v>3.1423338632927829</v>
      </c>
    </row>
    <row r="302" spans="1:16" x14ac:dyDescent="0.2">
      <c r="A302" s="8">
        <v>150</v>
      </c>
      <c r="B302" s="8">
        <v>300</v>
      </c>
      <c r="D302">
        <v>660.60555196900998</v>
      </c>
      <c r="E302">
        <v>257.64105874758002</v>
      </c>
      <c r="F302">
        <v>151.91742522756999</v>
      </c>
      <c r="G302">
        <v>123.88296488947</v>
      </c>
      <c r="I302" s="9">
        <f>E302-G302</f>
        <v>133.75809385811002</v>
      </c>
      <c r="J302" s="9">
        <f>D302-F302</f>
        <v>508.68812674143999</v>
      </c>
      <c r="K302" s="9">
        <f t="shared" si="31"/>
        <v>133.75809385811002</v>
      </c>
      <c r="L302" s="10">
        <f t="shared" si="30"/>
        <v>0.26294715136156033</v>
      </c>
      <c r="M302" s="10">
        <f>L302+ABS($N$2)*A302</f>
        <v>0.3657052381611911</v>
      </c>
      <c r="O302" s="11"/>
      <c r="P302" s="8">
        <f>(M302-$O$2)/$O$2*100</f>
        <v>2.9462222374749945</v>
      </c>
    </row>
    <row r="303" spans="1:16" x14ac:dyDescent="0.2">
      <c r="A303" s="8">
        <v>150.5</v>
      </c>
      <c r="B303" s="8">
        <v>301</v>
      </c>
      <c r="D303">
        <v>659.58037443512001</v>
      </c>
      <c r="E303">
        <v>255.25177533893</v>
      </c>
      <c r="F303">
        <v>151.49674902471</v>
      </c>
      <c r="G303">
        <v>124.03836150845</v>
      </c>
      <c r="I303" s="9">
        <f t="shared" ref="I303:I309" si="40">E303-G303</f>
        <v>131.21341383048002</v>
      </c>
      <c r="J303" s="9">
        <f t="shared" ref="J303:J309" si="41">D303-F303</f>
        <v>508.08362541041004</v>
      </c>
      <c r="K303" s="9">
        <f t="shared" si="31"/>
        <v>131.21341383048002</v>
      </c>
      <c r="L303" s="10">
        <f t="shared" si="30"/>
        <v>0.25825160912141376</v>
      </c>
      <c r="M303" s="10">
        <f t="shared" ref="M303:M309" si="42">L303+ABS($N$2)*A303</f>
        <v>0.36135222287704327</v>
      </c>
      <c r="P303" s="8">
        <f t="shared" ref="P303:P309" si="43">(M303-$O$2)/$O$2*100</f>
        <v>1.7208460818086424</v>
      </c>
    </row>
    <row r="304" spans="1:16" x14ac:dyDescent="0.2">
      <c r="A304" s="8">
        <v>151</v>
      </c>
      <c r="B304" s="8">
        <v>302</v>
      </c>
      <c r="D304">
        <v>658.74693350549001</v>
      </c>
      <c r="E304">
        <v>254.39573918657001</v>
      </c>
      <c r="F304">
        <v>151.78283485046001</v>
      </c>
      <c r="G304">
        <v>124.06697009103</v>
      </c>
      <c r="I304" s="9">
        <f t="shared" si="40"/>
        <v>130.32876909554</v>
      </c>
      <c r="J304" s="9">
        <f t="shared" si="41"/>
        <v>506.96409865503</v>
      </c>
      <c r="K304" s="9">
        <f t="shared" si="31"/>
        <v>130.32876909554</v>
      </c>
      <c r="L304" s="10">
        <f t="shared" si="30"/>
        <v>0.25707692012373407</v>
      </c>
      <c r="M304" s="10">
        <f t="shared" si="42"/>
        <v>0.36052006083536237</v>
      </c>
      <c r="N304" s="1"/>
      <c r="P304" s="8">
        <f t="shared" si="43"/>
        <v>1.4865920172203908</v>
      </c>
    </row>
    <row r="305" spans="1:16" x14ac:dyDescent="0.2">
      <c r="A305" s="8">
        <v>151.5</v>
      </c>
      <c r="B305" s="8">
        <v>303</v>
      </c>
      <c r="D305">
        <v>653.27437056165002</v>
      </c>
      <c r="E305">
        <v>253.20335700452</v>
      </c>
      <c r="F305">
        <v>151.54876462939001</v>
      </c>
      <c r="G305">
        <v>124.23927178152999</v>
      </c>
      <c r="I305" s="9">
        <f t="shared" si="40"/>
        <v>128.96408522299001</v>
      </c>
      <c r="J305" s="9">
        <f t="shared" si="41"/>
        <v>501.72560593226001</v>
      </c>
      <c r="K305" s="9">
        <f t="shared" si="31"/>
        <v>128.96408522299001</v>
      </c>
      <c r="L305" s="10">
        <f t="shared" si="30"/>
        <v>0.25704106726496628</v>
      </c>
      <c r="M305" s="10">
        <f t="shared" si="42"/>
        <v>0.36082673493259337</v>
      </c>
      <c r="P305" s="8">
        <f t="shared" si="43"/>
        <v>1.5729209413746159</v>
      </c>
    </row>
    <row r="306" spans="1:16" x14ac:dyDescent="0.2">
      <c r="A306" s="8">
        <v>152</v>
      </c>
      <c r="B306" s="8">
        <v>304</v>
      </c>
      <c r="D306">
        <v>654.96836668819003</v>
      </c>
      <c r="E306">
        <v>251.20400258231001</v>
      </c>
      <c r="F306">
        <v>152.09362808842999</v>
      </c>
      <c r="G306">
        <v>123.86866059818</v>
      </c>
      <c r="I306" s="9">
        <f t="shared" si="40"/>
        <v>127.33534198413001</v>
      </c>
      <c r="J306" s="9">
        <f t="shared" si="41"/>
        <v>502.87473859976001</v>
      </c>
      <c r="K306" s="9">
        <f t="shared" si="31"/>
        <v>127.33534198413001</v>
      </c>
      <c r="L306" s="10">
        <f t="shared" si="30"/>
        <v>0.25321483107044024</v>
      </c>
      <c r="M306" s="10">
        <f t="shared" si="42"/>
        <v>0.35734302569406606</v>
      </c>
      <c r="P306" s="8">
        <f t="shared" si="43"/>
        <v>0.59225490748504228</v>
      </c>
    </row>
    <row r="307" spans="1:16" x14ac:dyDescent="0.2">
      <c r="A307" s="8">
        <v>152.5</v>
      </c>
      <c r="B307" s="8">
        <v>305</v>
      </c>
      <c r="D307">
        <v>643.66494178524999</v>
      </c>
      <c r="E307">
        <v>250.18887451488001</v>
      </c>
      <c r="F307">
        <v>152.14174252276001</v>
      </c>
      <c r="G307">
        <v>123.62938881665001</v>
      </c>
      <c r="I307" s="9">
        <f t="shared" si="40"/>
        <v>126.55948569823001</v>
      </c>
      <c r="J307" s="9">
        <f t="shared" si="41"/>
        <v>491.52319926248998</v>
      </c>
      <c r="K307" s="9">
        <f t="shared" si="31"/>
        <v>126.55948569823001</v>
      </c>
      <c r="L307" s="10">
        <f t="shared" si="30"/>
        <v>0.2574842568735865</v>
      </c>
      <c r="M307" s="10">
        <f t="shared" si="42"/>
        <v>0.36195497845321112</v>
      </c>
      <c r="P307" s="8">
        <f t="shared" si="43"/>
        <v>1.8905221023410639</v>
      </c>
    </row>
    <row r="308" spans="1:16" x14ac:dyDescent="0.2">
      <c r="A308" s="8">
        <v>153</v>
      </c>
      <c r="B308" s="8">
        <v>306</v>
      </c>
      <c r="D308">
        <v>657.04495825305003</v>
      </c>
      <c r="E308">
        <v>250.21708413616</v>
      </c>
      <c r="F308">
        <v>151.05786736021</v>
      </c>
      <c r="G308">
        <v>123.87646293888</v>
      </c>
      <c r="I308" s="9">
        <f t="shared" si="40"/>
        <v>126.34062119728</v>
      </c>
      <c r="J308" s="9">
        <f t="shared" si="41"/>
        <v>505.98709089284</v>
      </c>
      <c r="K308" s="9">
        <f t="shared" si="31"/>
        <v>126.34062119728</v>
      </c>
      <c r="L308" s="10">
        <f t="shared" si="30"/>
        <v>0.24969139227316162</v>
      </c>
      <c r="M308" s="10">
        <f t="shared" si="42"/>
        <v>0.35450464080878502</v>
      </c>
      <c r="P308" s="8">
        <f t="shared" si="43"/>
        <v>-0.20675197211245294</v>
      </c>
    </row>
    <row r="309" spans="1:16" x14ac:dyDescent="0.2">
      <c r="A309" s="8">
        <v>153.5</v>
      </c>
      <c r="B309" s="8">
        <v>307</v>
      </c>
      <c r="D309">
        <v>666.50867052023</v>
      </c>
      <c r="E309">
        <v>252.59409120103001</v>
      </c>
      <c r="F309">
        <v>151.54356306892001</v>
      </c>
      <c r="G309">
        <v>124.42717815345</v>
      </c>
      <c r="I309" s="9">
        <f t="shared" si="40"/>
        <v>128.16691304758001</v>
      </c>
      <c r="J309" s="9">
        <f t="shared" si="41"/>
        <v>514.96510745131002</v>
      </c>
      <c r="K309" s="9">
        <f t="shared" si="31"/>
        <v>128.16691304758001</v>
      </c>
      <c r="L309" s="10">
        <f t="shared" si="30"/>
        <v>0.24888465488838621</v>
      </c>
      <c r="M309" s="10">
        <f t="shared" si="42"/>
        <v>0.35404043038000838</v>
      </c>
      <c r="P309" s="8">
        <f t="shared" si="43"/>
        <v>-0.33742745875869673</v>
      </c>
    </row>
    <row r="310" spans="1:16" x14ac:dyDescent="0.2">
      <c r="A310" s="8">
        <v>154</v>
      </c>
      <c r="B310" s="8">
        <v>308</v>
      </c>
      <c r="D310">
        <v>641.10737386804999</v>
      </c>
      <c r="E310">
        <v>246.97606727038001</v>
      </c>
      <c r="F310">
        <v>151.66710013004001</v>
      </c>
      <c r="G310">
        <v>123.81079323797</v>
      </c>
      <c r="I310" s="9">
        <f>E310-G310</f>
        <v>123.16527403241001</v>
      </c>
      <c r="J310" s="9">
        <f>D310-F310</f>
        <v>489.44027373800998</v>
      </c>
      <c r="K310" s="9">
        <f t="shared" si="31"/>
        <v>123.16527403241001</v>
      </c>
      <c r="L310" s="10">
        <f t="shared" si="30"/>
        <v>0.25164515598963261</v>
      </c>
      <c r="M310" s="10">
        <f>L310+ABS($N$2)*A310</f>
        <v>0.35714345843725354</v>
      </c>
      <c r="O310" s="11"/>
      <c r="P310" s="8">
        <f>(M310-$O$2)/$O$2*100</f>
        <v>0.53607661680906826</v>
      </c>
    </row>
    <row r="311" spans="1:16" x14ac:dyDescent="0.2">
      <c r="A311" s="8">
        <v>154.5</v>
      </c>
      <c r="B311" s="8">
        <v>309</v>
      </c>
      <c r="D311">
        <v>642.32988357050999</v>
      </c>
      <c r="E311">
        <v>247.37904269082</v>
      </c>
      <c r="F311">
        <v>151.70091027308001</v>
      </c>
      <c r="G311">
        <v>124.62743823146999</v>
      </c>
      <c r="I311" s="9">
        <f t="shared" ref="I311:I319" si="44">E311-G311</f>
        <v>122.75160445935001</v>
      </c>
      <c r="J311" s="9">
        <f t="shared" ref="J311:J319" si="45">D311-F311</f>
        <v>490.62897329742998</v>
      </c>
      <c r="K311" s="9">
        <f t="shared" si="31"/>
        <v>122.75160445935001</v>
      </c>
      <c r="L311" s="10">
        <f t="shared" si="30"/>
        <v>0.25019232687046244</v>
      </c>
      <c r="M311" s="10">
        <f t="shared" ref="M311:M319" si="46">L311+ABS($N$2)*A311</f>
        <v>0.35603315627408216</v>
      </c>
      <c r="P311" s="8">
        <f t="shared" ref="P311:P319" si="47">(M311-$O$2)/$O$2*100</f>
        <v>0.2235259576626194</v>
      </c>
    </row>
    <row r="312" spans="1:16" x14ac:dyDescent="0.2">
      <c r="A312" s="8">
        <v>155</v>
      </c>
      <c r="B312" s="8">
        <v>310</v>
      </c>
      <c r="D312">
        <v>630.91161290322998</v>
      </c>
      <c r="E312">
        <v>244.35870967741999</v>
      </c>
      <c r="F312">
        <v>151.08712613783999</v>
      </c>
      <c r="G312">
        <v>123.66514954486</v>
      </c>
      <c r="I312" s="9">
        <f t="shared" si="44"/>
        <v>120.69356013255999</v>
      </c>
      <c r="J312" s="9">
        <f t="shared" si="45"/>
        <v>479.82448676539002</v>
      </c>
      <c r="K312" s="9">
        <f t="shared" si="31"/>
        <v>120.69356013255999</v>
      </c>
      <c r="L312" s="10">
        <f t="shared" si="30"/>
        <v>0.25153689205439211</v>
      </c>
      <c r="M312" s="10">
        <f t="shared" si="46"/>
        <v>0.35772024841401057</v>
      </c>
      <c r="N312" s="1"/>
      <c r="P312" s="8">
        <f t="shared" si="47"/>
        <v>0.69844330707070812</v>
      </c>
    </row>
    <row r="313" spans="1:16" x14ac:dyDescent="0.2">
      <c r="A313" s="8">
        <v>155.5</v>
      </c>
      <c r="B313" s="8">
        <v>311</v>
      </c>
      <c r="D313">
        <v>623.64160725859006</v>
      </c>
      <c r="E313">
        <v>243.44394037589001</v>
      </c>
      <c r="F313">
        <v>152.02340702211001</v>
      </c>
      <c r="G313">
        <v>123.76007802341</v>
      </c>
      <c r="I313" s="9">
        <f t="shared" si="44"/>
        <v>119.68386235248001</v>
      </c>
      <c r="J313" s="9">
        <f t="shared" si="45"/>
        <v>471.61820023648005</v>
      </c>
      <c r="K313" s="9">
        <f t="shared" si="31"/>
        <v>119.68386235248001</v>
      </c>
      <c r="L313" s="10">
        <f t="shared" si="30"/>
        <v>0.2537727812295365</v>
      </c>
      <c r="M313" s="10">
        <f t="shared" si="46"/>
        <v>0.36029866454515375</v>
      </c>
      <c r="P313" s="8">
        <f t="shared" si="47"/>
        <v>1.4242688418429488</v>
      </c>
    </row>
    <row r="314" spans="1:16" x14ac:dyDescent="0.2">
      <c r="A314" s="8">
        <v>156</v>
      </c>
      <c r="B314" s="8">
        <v>312</v>
      </c>
      <c r="D314">
        <v>634.79520414776005</v>
      </c>
      <c r="E314">
        <v>245.23395981854</v>
      </c>
      <c r="F314">
        <v>151.94213263979</v>
      </c>
      <c r="G314">
        <v>124.03966189857</v>
      </c>
      <c r="I314" s="9">
        <f t="shared" si="44"/>
        <v>121.19429791997</v>
      </c>
      <c r="J314" s="9">
        <f t="shared" si="45"/>
        <v>482.85307150797007</v>
      </c>
      <c r="K314" s="9">
        <f t="shared" si="31"/>
        <v>121.19429791997</v>
      </c>
      <c r="L314" s="10">
        <f t="shared" si="30"/>
        <v>0.25099622446529168</v>
      </c>
      <c r="M314" s="10">
        <f t="shared" si="46"/>
        <v>0.35786463473690766</v>
      </c>
      <c r="P314" s="8">
        <f t="shared" si="47"/>
        <v>0.73908813501945214</v>
      </c>
    </row>
    <row r="315" spans="1:16" x14ac:dyDescent="0.2">
      <c r="A315" s="8">
        <v>156.5</v>
      </c>
      <c r="B315" s="8">
        <v>313</v>
      </c>
      <c r="D315">
        <v>644.67425227568003</v>
      </c>
      <c r="E315">
        <v>244.73016905072001</v>
      </c>
      <c r="F315">
        <v>152.02730819246</v>
      </c>
      <c r="G315">
        <v>123.74317295189</v>
      </c>
      <c r="I315" s="9">
        <f t="shared" si="44"/>
        <v>120.98699609883001</v>
      </c>
      <c r="J315" s="9">
        <f t="shared" si="45"/>
        <v>492.64694408322003</v>
      </c>
      <c r="K315" s="9">
        <f t="shared" si="31"/>
        <v>120.98699609883001</v>
      </c>
      <c r="L315" s="10">
        <f t="shared" si="30"/>
        <v>0.24558560151830022</v>
      </c>
      <c r="M315" s="10">
        <f t="shared" si="46"/>
        <v>0.35279653874591499</v>
      </c>
      <c r="P315" s="8">
        <f t="shared" si="47"/>
        <v>-0.68758362618627833</v>
      </c>
    </row>
    <row r="316" spans="1:16" x14ac:dyDescent="0.2">
      <c r="A316" s="8">
        <v>157</v>
      </c>
      <c r="B316" s="8">
        <v>314</v>
      </c>
      <c r="D316">
        <v>654.96792815907997</v>
      </c>
      <c r="E316">
        <v>245.34765875561001</v>
      </c>
      <c r="F316">
        <v>151.16970091027</v>
      </c>
      <c r="G316">
        <v>123.20416124838</v>
      </c>
      <c r="I316" s="9">
        <f t="shared" si="44"/>
        <v>122.14349750723001</v>
      </c>
      <c r="J316" s="9">
        <f t="shared" si="45"/>
        <v>503.79822724881001</v>
      </c>
      <c r="K316" s="9">
        <f t="shared" si="31"/>
        <v>122.14349750723001</v>
      </c>
      <c r="L316" s="10">
        <f t="shared" si="30"/>
        <v>0.24244527054857459</v>
      </c>
      <c r="M316" s="10">
        <f t="shared" si="46"/>
        <v>0.34999873473218812</v>
      </c>
      <c r="P316" s="8">
        <f t="shared" si="47"/>
        <v>-1.475166968503826</v>
      </c>
    </row>
    <row r="317" spans="1:16" x14ac:dyDescent="0.2">
      <c r="A317" s="8">
        <v>157.5</v>
      </c>
      <c r="B317" s="8">
        <v>315</v>
      </c>
      <c r="D317">
        <v>656.53688261705997</v>
      </c>
      <c r="E317">
        <v>244.18794098781001</v>
      </c>
      <c r="F317">
        <v>151.66059817945001</v>
      </c>
      <c r="G317">
        <v>123.94928478544</v>
      </c>
      <c r="I317" s="9">
        <f t="shared" si="44"/>
        <v>120.23865620237001</v>
      </c>
      <c r="J317" s="9">
        <f t="shared" si="45"/>
        <v>504.87628443760997</v>
      </c>
      <c r="K317" s="9">
        <f t="shared" si="31"/>
        <v>120.23865620237001</v>
      </c>
      <c r="L317" s="10">
        <f t="shared" si="30"/>
        <v>0.23815469236449843</v>
      </c>
      <c r="M317" s="10">
        <f t="shared" si="46"/>
        <v>0.34605068350411072</v>
      </c>
      <c r="P317" s="8">
        <f t="shared" si="47"/>
        <v>-2.5865455234684873</v>
      </c>
    </row>
    <row r="318" spans="1:16" x14ac:dyDescent="0.2">
      <c r="A318" s="8">
        <v>158</v>
      </c>
      <c r="B318" s="8">
        <v>316</v>
      </c>
      <c r="D318">
        <v>679.28245270711</v>
      </c>
      <c r="E318">
        <v>249.35485975212001</v>
      </c>
      <c r="F318">
        <v>151.09752925878001</v>
      </c>
      <c r="G318">
        <v>123.77438231469</v>
      </c>
      <c r="I318" s="9">
        <f t="shared" si="44"/>
        <v>125.58047743743001</v>
      </c>
      <c r="J318" s="9">
        <f t="shared" si="45"/>
        <v>528.18492344832998</v>
      </c>
      <c r="K318" s="9">
        <f t="shared" si="31"/>
        <v>125.58047743743001</v>
      </c>
      <c r="L318" s="10">
        <f t="shared" si="30"/>
        <v>0.23775854224986223</v>
      </c>
      <c r="M318" s="10">
        <f t="shared" si="46"/>
        <v>0.34599706034547328</v>
      </c>
      <c r="P318" s="8">
        <f t="shared" si="47"/>
        <v>-2.6016404716128507</v>
      </c>
    </row>
    <row r="319" spans="1:16" x14ac:dyDescent="0.2">
      <c r="A319" s="8">
        <v>158.5</v>
      </c>
      <c r="B319" s="8">
        <v>317</v>
      </c>
      <c r="D319">
        <v>680.71624266145</v>
      </c>
      <c r="E319">
        <v>249.66275277234001</v>
      </c>
      <c r="F319">
        <v>151.34070221066</v>
      </c>
      <c r="G319">
        <v>123.73537061118</v>
      </c>
      <c r="I319" s="9">
        <f t="shared" si="44"/>
        <v>125.92738216116001</v>
      </c>
      <c r="J319" s="9">
        <f t="shared" si="45"/>
        <v>529.37554045079003</v>
      </c>
      <c r="K319" s="9">
        <f t="shared" si="31"/>
        <v>125.92738216116001</v>
      </c>
      <c r="L319" s="10">
        <f t="shared" si="30"/>
        <v>0.23787910951444127</v>
      </c>
      <c r="M319" s="10">
        <f t="shared" si="46"/>
        <v>0.34646015456605112</v>
      </c>
      <c r="P319" s="8">
        <f t="shared" si="47"/>
        <v>-2.4712791981779798</v>
      </c>
    </row>
    <row r="320" spans="1:16" x14ac:dyDescent="0.2">
      <c r="A320" s="8">
        <v>159</v>
      </c>
      <c r="B320" s="8">
        <v>318</v>
      </c>
      <c r="D320">
        <v>644.14001284521999</v>
      </c>
      <c r="E320">
        <v>242.5183044316</v>
      </c>
      <c r="F320">
        <v>151.58452535761</v>
      </c>
      <c r="G320">
        <v>123.76788036411</v>
      </c>
      <c r="I320" s="9">
        <f>E320-G320</f>
        <v>118.75042406749</v>
      </c>
      <c r="J320" s="9">
        <f>D320-F320</f>
        <v>492.55548748760998</v>
      </c>
      <c r="K320" s="9">
        <f t="shared" si="31"/>
        <v>118.75042406749</v>
      </c>
      <c r="L320" s="10">
        <f t="shared" si="30"/>
        <v>0.24109044987642558</v>
      </c>
      <c r="M320" s="10">
        <f>L320+ABS($N$2)*A320</f>
        <v>0.35001402188403419</v>
      </c>
      <c r="O320" s="11"/>
      <c r="P320" s="8">
        <f>(M320-$O$2)/$O$2*100</f>
        <v>-1.4708636269951396</v>
      </c>
    </row>
    <row r="321" spans="1:16" x14ac:dyDescent="0.2">
      <c r="A321" s="8">
        <v>159.5</v>
      </c>
      <c r="B321" s="8">
        <v>319</v>
      </c>
      <c r="D321">
        <v>620.41937581273999</v>
      </c>
      <c r="E321">
        <v>240.04161248374999</v>
      </c>
      <c r="F321">
        <v>151.38491547464</v>
      </c>
      <c r="G321">
        <v>123.71586475943</v>
      </c>
      <c r="I321" s="9">
        <f t="shared" ref="I321" si="48">E321-G321</f>
        <v>116.32574772431998</v>
      </c>
      <c r="J321" s="9">
        <f t="shared" ref="J321" si="49">D321-F321</f>
        <v>469.03446033809996</v>
      </c>
      <c r="K321" s="9">
        <f t="shared" si="31"/>
        <v>116.32574772431998</v>
      </c>
      <c r="L321" s="10">
        <f t="shared" si="30"/>
        <v>0.24801108993242724</v>
      </c>
      <c r="M321" s="10">
        <f t="shared" ref="M321" si="50">L321+ABS($N$2)*A321</f>
        <v>0.35727718889603466</v>
      </c>
      <c r="P321" s="8">
        <f t="shared" ref="P321" si="51">(M321-$O$2)/$O$2*100</f>
        <v>0.57372181324875637</v>
      </c>
    </row>
    <row r="322" spans="1:16" x14ac:dyDescent="0.2">
      <c r="A322" s="8">
        <v>160</v>
      </c>
      <c r="B322" s="8">
        <v>320</v>
      </c>
      <c r="D322">
        <v>648.75788795878998</v>
      </c>
      <c r="E322">
        <v>242.87701223439001</v>
      </c>
      <c r="F322">
        <v>151.55136540961999</v>
      </c>
      <c r="G322">
        <v>124.07347204161</v>
      </c>
      <c r="I322" s="9">
        <f>E322-G322</f>
        <v>118.80354019278001</v>
      </c>
      <c r="J322" s="9">
        <f>D322-F322</f>
        <v>497.20652254917002</v>
      </c>
      <c r="K322" s="9">
        <f t="shared" si="31"/>
        <v>118.80354019278001</v>
      </c>
      <c r="L322" s="10">
        <f t="shared" ref="L322" si="52">K322/J322</f>
        <v>0.23894203878033643</v>
      </c>
      <c r="M322" s="10">
        <f>L322+ABS($N$2)*A322</f>
        <v>0.34855066469994256</v>
      </c>
      <c r="O322" s="11"/>
      <c r="P322" s="8">
        <f>(M322-$O$2)/$O$2*100</f>
        <v>-1.8827994653872109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7F8C-D161-8C4C-A39F-D9D0A5CCBC71}">
  <dimension ref="A1:Y798"/>
  <sheetViews>
    <sheetView tabSelected="1" topLeftCell="E1" zoomScale="70" zoomScaleNormal="70" workbookViewId="0">
      <selection activeCell="K36" sqref="K36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650.01145236855996</v>
      </c>
      <c r="E2">
        <v>249.20666319624999</v>
      </c>
      <c r="F2">
        <v>125.95608991112999</v>
      </c>
      <c r="G2">
        <v>111.41505488761</v>
      </c>
      <c r="H2" s="4"/>
      <c r="I2" s="5">
        <f>E2-G2</f>
        <v>137.79160830863998</v>
      </c>
      <c r="J2" s="5">
        <f>D2-F2</f>
        <v>524.05536245742996</v>
      </c>
      <c r="K2" s="9">
        <f>I2*1</f>
        <v>137.79160830863998</v>
      </c>
      <c r="L2" s="6">
        <f t="shared" ref="L2:L65" si="0">K2/J2</f>
        <v>0.26293330472280602</v>
      </c>
      <c r="M2" s="6">
        <f>L2+ABS($N$2)*A2</f>
        <v>0.26293330472280602</v>
      </c>
      <c r="N2" s="4">
        <f>LINEST(V64:V103,U64:U103)</f>
        <v>-2.8342958429600771E-4</v>
      </c>
      <c r="O2" s="7">
        <f>AVERAGE(M62:M81)</f>
        <v>0.29020320471126249</v>
      </c>
      <c r="P2" s="4">
        <f>(M2-$O$2)/$O$2*100</f>
        <v>-9.396829375329828</v>
      </c>
    </row>
    <row r="3" spans="1:16" x14ac:dyDescent="0.2">
      <c r="A3" s="8">
        <v>0.5</v>
      </c>
      <c r="B3" s="8">
        <v>1</v>
      </c>
      <c r="D3">
        <v>650.14055179594004</v>
      </c>
      <c r="E3">
        <v>247.93649141072001</v>
      </c>
      <c r="F3">
        <v>125.84945112389001</v>
      </c>
      <c r="G3">
        <v>111.34291688448</v>
      </c>
      <c r="I3" s="9">
        <f t="shared" ref="I3:I66" si="1">E3-G3</f>
        <v>136.59357452623999</v>
      </c>
      <c r="J3" s="9">
        <f t="shared" ref="J3:J66" si="2">D3-F3</f>
        <v>524.29110067204999</v>
      </c>
      <c r="K3" s="9">
        <f t="shared" ref="K3:K66" si="3">I3*1</f>
        <v>136.59357452623999</v>
      </c>
      <c r="L3" s="10">
        <f t="shared" si="0"/>
        <v>0.26053002683270954</v>
      </c>
      <c r="M3" s="10">
        <f t="shared" ref="M3:M66" si="4">L3+ABS($N$2)*A3</f>
        <v>0.26067174162485757</v>
      </c>
      <c r="P3" s="8">
        <f t="shared" ref="P3:P66" si="5">(M3-$O$2)/$O$2*100</f>
        <v>-10.176132657041894</v>
      </c>
    </row>
    <row r="4" spans="1:16" ht="16" x14ac:dyDescent="0.2">
      <c r="A4" s="8">
        <v>1</v>
      </c>
      <c r="B4" s="8">
        <v>2</v>
      </c>
      <c r="D4">
        <v>649.65486725664005</v>
      </c>
      <c r="E4">
        <v>248.78656949506001</v>
      </c>
      <c r="F4">
        <v>126.00836382644999</v>
      </c>
      <c r="G4">
        <v>111.34605331938999</v>
      </c>
      <c r="I4" s="9">
        <f t="shared" si="1"/>
        <v>137.44051617567001</v>
      </c>
      <c r="J4" s="9">
        <f t="shared" si="2"/>
        <v>523.64650343019002</v>
      </c>
      <c r="K4" s="9">
        <f t="shared" si="3"/>
        <v>137.44051617567001</v>
      </c>
      <c r="L4" s="10">
        <f t="shared" si="0"/>
        <v>0.26246812549182408</v>
      </c>
      <c r="M4" s="10">
        <f t="shared" si="4"/>
        <v>0.26275155507612008</v>
      </c>
      <c r="N4" s="1" t="s">
        <v>8</v>
      </c>
      <c r="P4" s="8">
        <f t="shared" si="5"/>
        <v>-9.4594577831955409</v>
      </c>
    </row>
    <row r="5" spans="1:16" x14ac:dyDescent="0.2">
      <c r="A5" s="8">
        <v>1.5</v>
      </c>
      <c r="B5" s="8">
        <v>3</v>
      </c>
      <c r="D5">
        <v>641.03539823008998</v>
      </c>
      <c r="E5">
        <v>257.22488287350001</v>
      </c>
      <c r="F5">
        <v>125.86565603763999</v>
      </c>
      <c r="G5">
        <v>111.43387349712999</v>
      </c>
      <c r="I5" s="9">
        <f t="shared" si="1"/>
        <v>145.79100937637003</v>
      </c>
      <c r="J5" s="9">
        <f t="shared" si="2"/>
        <v>515.16974219245003</v>
      </c>
      <c r="K5" s="9">
        <f t="shared" si="3"/>
        <v>145.79100937637003</v>
      </c>
      <c r="L5" s="10">
        <f t="shared" si="0"/>
        <v>0.28299606408543193</v>
      </c>
      <c r="M5" s="10">
        <f t="shared" si="4"/>
        <v>0.28342120846187596</v>
      </c>
      <c r="N5" s="8">
        <f>RSQ(V64:V83,U64:U83)</f>
        <v>0.81241843984967621</v>
      </c>
      <c r="P5" s="8">
        <f t="shared" si="5"/>
        <v>-2.3369818593610181</v>
      </c>
    </row>
    <row r="6" spans="1:16" x14ac:dyDescent="0.2">
      <c r="A6" s="8">
        <v>2</v>
      </c>
      <c r="B6" s="8">
        <v>4</v>
      </c>
      <c r="D6">
        <v>644.58042686100998</v>
      </c>
      <c r="E6">
        <v>265.14836022905001</v>
      </c>
      <c r="F6">
        <v>126.3214845792</v>
      </c>
      <c r="G6">
        <v>111.41087297439</v>
      </c>
      <c r="I6" s="9">
        <f t="shared" si="1"/>
        <v>153.73748725466001</v>
      </c>
      <c r="J6" s="9">
        <f t="shared" si="2"/>
        <v>518.25894228180994</v>
      </c>
      <c r="K6" s="9">
        <f t="shared" si="3"/>
        <v>153.73748725466001</v>
      </c>
      <c r="L6" s="10">
        <f t="shared" si="0"/>
        <v>0.29664222787508271</v>
      </c>
      <c r="M6" s="10">
        <f t="shared" si="4"/>
        <v>0.29720908704367471</v>
      </c>
      <c r="P6" s="8">
        <f t="shared" si="5"/>
        <v>2.4141298988695619</v>
      </c>
    </row>
    <row r="7" spans="1:16" x14ac:dyDescent="0.2">
      <c r="A7" s="8">
        <v>2.5</v>
      </c>
      <c r="B7" s="8">
        <v>5</v>
      </c>
      <c r="D7">
        <v>690.71681415929004</v>
      </c>
      <c r="E7">
        <v>281.00260281103999</v>
      </c>
      <c r="F7">
        <v>126.47203345531</v>
      </c>
      <c r="G7">
        <v>111.45007841087001</v>
      </c>
      <c r="I7" s="9">
        <f t="shared" si="1"/>
        <v>169.55252440017</v>
      </c>
      <c r="J7" s="9">
        <f t="shared" si="2"/>
        <v>564.24478070398004</v>
      </c>
      <c r="K7" s="9">
        <f t="shared" si="3"/>
        <v>169.55252440017</v>
      </c>
      <c r="L7" s="10">
        <f t="shared" si="0"/>
        <v>0.30049462608874783</v>
      </c>
      <c r="M7" s="10">
        <f t="shared" si="4"/>
        <v>0.30120320004948786</v>
      </c>
      <c r="P7" s="8">
        <f t="shared" si="5"/>
        <v>3.7904458529911191</v>
      </c>
    </row>
    <row r="8" spans="1:16" x14ac:dyDescent="0.2">
      <c r="A8" s="8">
        <v>3</v>
      </c>
      <c r="B8" s="8">
        <v>6</v>
      </c>
      <c r="D8">
        <v>698.14783966684001</v>
      </c>
      <c r="E8">
        <v>285.96824570536</v>
      </c>
      <c r="F8">
        <v>126.66283324621</v>
      </c>
      <c r="G8">
        <v>111.55305802405</v>
      </c>
      <c r="I8" s="9">
        <f t="shared" si="1"/>
        <v>174.41518768130999</v>
      </c>
      <c r="J8" s="9">
        <f t="shared" si="2"/>
        <v>571.48500642063004</v>
      </c>
      <c r="K8" s="9">
        <f t="shared" si="3"/>
        <v>174.41518768130999</v>
      </c>
      <c r="L8" s="10">
        <f t="shared" si="0"/>
        <v>0.30519643686493358</v>
      </c>
      <c r="M8" s="10">
        <f t="shared" si="4"/>
        <v>0.30604672561782159</v>
      </c>
      <c r="P8" s="8">
        <f t="shared" si="5"/>
        <v>5.4594575970732677</v>
      </c>
    </row>
    <row r="9" spans="1:16" x14ac:dyDescent="0.2">
      <c r="A9" s="8">
        <v>3.5</v>
      </c>
      <c r="B9" s="8">
        <v>7</v>
      </c>
      <c r="D9">
        <v>719.03695991670998</v>
      </c>
      <c r="E9">
        <v>286.49609578345002</v>
      </c>
      <c r="F9">
        <v>126.63930998431999</v>
      </c>
      <c r="G9">
        <v>111.70151594354</v>
      </c>
      <c r="I9" s="9">
        <f t="shared" si="1"/>
        <v>174.79457983991</v>
      </c>
      <c r="J9" s="9">
        <f t="shared" si="2"/>
        <v>592.39764993238998</v>
      </c>
      <c r="K9" s="9">
        <f t="shared" si="3"/>
        <v>174.79457983991</v>
      </c>
      <c r="L9" s="10">
        <f t="shared" si="0"/>
        <v>0.29506291907109894</v>
      </c>
      <c r="M9" s="10">
        <f t="shared" si="4"/>
        <v>0.29605492261613497</v>
      </c>
      <c r="P9" s="8">
        <f t="shared" si="5"/>
        <v>2.0164208423179382</v>
      </c>
    </row>
    <row r="10" spans="1:16" x14ac:dyDescent="0.2">
      <c r="A10" s="8">
        <v>4</v>
      </c>
      <c r="B10" s="8">
        <v>8</v>
      </c>
      <c r="D10">
        <v>817.79539508110997</v>
      </c>
      <c r="E10">
        <v>300.64364207221001</v>
      </c>
      <c r="F10">
        <v>126.40878201776999</v>
      </c>
      <c r="G10">
        <v>111.52378463146999</v>
      </c>
      <c r="I10" s="9">
        <f t="shared" si="1"/>
        <v>189.11985744074002</v>
      </c>
      <c r="J10" s="9">
        <f t="shared" si="2"/>
        <v>691.38661306333995</v>
      </c>
      <c r="K10" s="9">
        <f t="shared" si="3"/>
        <v>189.11985744074002</v>
      </c>
      <c r="L10" s="10">
        <f t="shared" si="0"/>
        <v>0.27353705418565022</v>
      </c>
      <c r="M10" s="10">
        <f t="shared" si="4"/>
        <v>0.27467077252283423</v>
      </c>
      <c r="P10" s="8">
        <f t="shared" si="5"/>
        <v>-5.3522607387751773</v>
      </c>
    </row>
    <row r="11" spans="1:16" x14ac:dyDescent="0.2">
      <c r="A11" s="8">
        <v>4.5</v>
      </c>
      <c r="B11" s="8">
        <v>9</v>
      </c>
      <c r="D11">
        <v>768.17241379309996</v>
      </c>
      <c r="E11">
        <v>282.97648902820998</v>
      </c>
      <c r="F11">
        <v>126.43596445374</v>
      </c>
      <c r="G11">
        <v>111.58912702561</v>
      </c>
      <c r="I11" s="9">
        <f t="shared" si="1"/>
        <v>171.38736200259999</v>
      </c>
      <c r="J11" s="9">
        <f t="shared" si="2"/>
        <v>641.73644933935998</v>
      </c>
      <c r="K11" s="9">
        <f t="shared" si="3"/>
        <v>171.38736200259999</v>
      </c>
      <c r="L11" s="10">
        <f t="shared" si="0"/>
        <v>0.26706814328379802</v>
      </c>
      <c r="M11" s="10">
        <f t="shared" si="4"/>
        <v>0.26834357641313006</v>
      </c>
      <c r="P11" s="8">
        <f t="shared" si="5"/>
        <v>-7.5325247768651113</v>
      </c>
    </row>
    <row r="12" spans="1:16" x14ac:dyDescent="0.2">
      <c r="A12" s="8">
        <v>5</v>
      </c>
      <c r="B12" s="8">
        <v>10</v>
      </c>
      <c r="D12">
        <v>754.99791013584002</v>
      </c>
      <c r="E12">
        <v>279.48119122256998</v>
      </c>
      <c r="F12">
        <v>126.75013068478999</v>
      </c>
      <c r="G12">
        <v>111.56403554626</v>
      </c>
      <c r="I12" s="9">
        <f t="shared" si="1"/>
        <v>167.91715567630996</v>
      </c>
      <c r="J12" s="9">
        <f t="shared" si="2"/>
        <v>628.24777945105006</v>
      </c>
      <c r="K12" s="9">
        <f t="shared" si="3"/>
        <v>167.91715567630996</v>
      </c>
      <c r="L12" s="10">
        <f t="shared" si="0"/>
        <v>0.26727855022907127</v>
      </c>
      <c r="M12" s="10">
        <f t="shared" si="4"/>
        <v>0.26869569815055128</v>
      </c>
      <c r="P12" s="8">
        <f t="shared" si="5"/>
        <v>-7.4111885091379639</v>
      </c>
    </row>
    <row r="13" spans="1:16" x14ac:dyDescent="0.2">
      <c r="A13" s="8">
        <v>5.5</v>
      </c>
      <c r="B13" s="8">
        <v>11</v>
      </c>
      <c r="D13">
        <v>752.20167189132997</v>
      </c>
      <c r="E13">
        <v>279.56478578892001</v>
      </c>
      <c r="F13">
        <v>126.96288552013</v>
      </c>
      <c r="G13">
        <v>111.82383690538001</v>
      </c>
      <c r="I13" s="9">
        <f t="shared" si="1"/>
        <v>167.74094888354</v>
      </c>
      <c r="J13" s="9">
        <f t="shared" si="2"/>
        <v>625.23878637119992</v>
      </c>
      <c r="K13" s="9">
        <f t="shared" si="3"/>
        <v>167.74094888354</v>
      </c>
      <c r="L13" s="10">
        <f t="shared" si="0"/>
        <v>0.26828301848816105</v>
      </c>
      <c r="M13" s="10">
        <f t="shared" si="4"/>
        <v>0.26984188120178909</v>
      </c>
      <c r="P13" s="8">
        <f t="shared" si="5"/>
        <v>-7.0162297241796079</v>
      </c>
    </row>
    <row r="14" spans="1:16" x14ac:dyDescent="0.2">
      <c r="A14" s="8">
        <v>6</v>
      </c>
      <c r="B14" s="8">
        <v>12</v>
      </c>
      <c r="D14">
        <v>741.50992685475001</v>
      </c>
      <c r="E14">
        <v>275.91379310345002</v>
      </c>
      <c r="F14">
        <v>126.58128593831999</v>
      </c>
      <c r="G14">
        <v>112.03502352325999</v>
      </c>
      <c r="I14" s="9">
        <f t="shared" si="1"/>
        <v>163.87876958019001</v>
      </c>
      <c r="J14" s="9">
        <f t="shared" si="2"/>
        <v>614.92864091643003</v>
      </c>
      <c r="K14" s="9">
        <f t="shared" si="3"/>
        <v>163.87876958019001</v>
      </c>
      <c r="L14" s="10">
        <f t="shared" si="0"/>
        <v>0.26650046635648811</v>
      </c>
      <c r="M14" s="10">
        <f t="shared" si="4"/>
        <v>0.26820104386226418</v>
      </c>
      <c r="P14" s="8">
        <f t="shared" si="5"/>
        <v>-7.581639517347627</v>
      </c>
    </row>
    <row r="15" spans="1:16" x14ac:dyDescent="0.2">
      <c r="A15" s="8">
        <v>6.5</v>
      </c>
      <c r="B15" s="8">
        <v>13</v>
      </c>
      <c r="D15">
        <v>785.81570680627999</v>
      </c>
      <c r="E15">
        <v>286.43769633507998</v>
      </c>
      <c r="F15">
        <v>127.16884474647</v>
      </c>
      <c r="G15">
        <v>111.78619968636001</v>
      </c>
      <c r="I15" s="9">
        <f t="shared" si="1"/>
        <v>174.65149664871996</v>
      </c>
      <c r="J15" s="9">
        <f t="shared" si="2"/>
        <v>658.64686205981002</v>
      </c>
      <c r="K15" s="9">
        <f t="shared" si="3"/>
        <v>174.65149664871996</v>
      </c>
      <c r="L15" s="10">
        <f t="shared" si="0"/>
        <v>0.26516712780278956</v>
      </c>
      <c r="M15" s="10">
        <f t="shared" si="4"/>
        <v>0.2670094201007136</v>
      </c>
      <c r="P15" s="8">
        <f t="shared" si="5"/>
        <v>-7.9922565409384525</v>
      </c>
    </row>
    <row r="16" spans="1:16" x14ac:dyDescent="0.2">
      <c r="A16" s="8">
        <v>7</v>
      </c>
      <c r="B16" s="8">
        <v>14</v>
      </c>
      <c r="D16">
        <v>782.53298429319</v>
      </c>
      <c r="E16">
        <v>286.34921465969001</v>
      </c>
      <c r="F16">
        <v>127.12232096184</v>
      </c>
      <c r="G16">
        <v>111.78306325144</v>
      </c>
      <c r="I16" s="9">
        <f t="shared" si="1"/>
        <v>174.56615140824999</v>
      </c>
      <c r="J16" s="9">
        <f t="shared" si="2"/>
        <v>655.41066333134995</v>
      </c>
      <c r="K16" s="9">
        <f t="shared" si="3"/>
        <v>174.56615140824999</v>
      </c>
      <c r="L16" s="10">
        <f t="shared" si="0"/>
        <v>0.26634621798943203</v>
      </c>
      <c r="M16" s="10">
        <f t="shared" si="4"/>
        <v>0.2683302250795041</v>
      </c>
      <c r="P16" s="8">
        <f t="shared" si="5"/>
        <v>-7.5371254612852709</v>
      </c>
    </row>
    <row r="17" spans="1:16" x14ac:dyDescent="0.2">
      <c r="A17" s="8">
        <v>7.5</v>
      </c>
      <c r="B17" s="8">
        <v>15</v>
      </c>
      <c r="D17">
        <v>780.57591623037001</v>
      </c>
      <c r="E17">
        <v>284.95706806282999</v>
      </c>
      <c r="F17">
        <v>127.06743335076</v>
      </c>
      <c r="G17">
        <v>111.94511238891999</v>
      </c>
      <c r="I17" s="9">
        <f t="shared" si="1"/>
        <v>173.01195567390999</v>
      </c>
      <c r="J17" s="9">
        <f t="shared" si="2"/>
        <v>653.50848287961003</v>
      </c>
      <c r="K17" s="9">
        <f t="shared" si="3"/>
        <v>173.01195567390999</v>
      </c>
      <c r="L17" s="10">
        <f t="shared" si="0"/>
        <v>0.26474324390029752</v>
      </c>
      <c r="M17" s="10">
        <f t="shared" si="4"/>
        <v>0.26686896578251756</v>
      </c>
      <c r="P17" s="8">
        <f t="shared" si="5"/>
        <v>-8.0406551512624791</v>
      </c>
    </row>
    <row r="18" spans="1:16" x14ac:dyDescent="0.2">
      <c r="A18" s="8">
        <v>8</v>
      </c>
      <c r="B18" s="8">
        <v>16</v>
      </c>
      <c r="D18">
        <v>788.79895287958004</v>
      </c>
      <c r="E18">
        <v>288.43821989528999</v>
      </c>
      <c r="F18">
        <v>127.03084161004</v>
      </c>
      <c r="G18">
        <v>111.88865656038</v>
      </c>
      <c r="I18" s="9">
        <f t="shared" si="1"/>
        <v>176.54956333490998</v>
      </c>
      <c r="J18" s="9">
        <f t="shared" si="2"/>
        <v>661.76811126953999</v>
      </c>
      <c r="K18" s="9">
        <f t="shared" si="3"/>
        <v>176.54956333490998</v>
      </c>
      <c r="L18" s="10">
        <f t="shared" si="0"/>
        <v>0.26678463396523627</v>
      </c>
      <c r="M18" s="10">
        <f t="shared" si="4"/>
        <v>0.26905207063960435</v>
      </c>
      <c r="P18" s="8">
        <f t="shared" si="5"/>
        <v>-7.2883874913450555</v>
      </c>
    </row>
    <row r="19" spans="1:16" x14ac:dyDescent="0.2">
      <c r="A19" s="8">
        <v>8.5</v>
      </c>
      <c r="B19" s="8">
        <v>17</v>
      </c>
      <c r="D19">
        <v>791.84188481675005</v>
      </c>
      <c r="E19">
        <v>290.51256544503002</v>
      </c>
      <c r="F19">
        <v>127.39309984318</v>
      </c>
      <c r="G19">
        <v>111.96340825928</v>
      </c>
      <c r="I19" s="9">
        <f t="shared" si="1"/>
        <v>178.54915718575</v>
      </c>
      <c r="J19" s="9">
        <f t="shared" si="2"/>
        <v>664.44878497357001</v>
      </c>
      <c r="K19" s="9">
        <f t="shared" si="3"/>
        <v>178.54915718575</v>
      </c>
      <c r="L19" s="10">
        <f t="shared" si="0"/>
        <v>0.26871771191944044</v>
      </c>
      <c r="M19" s="10">
        <f t="shared" si="4"/>
        <v>0.27112686338595648</v>
      </c>
      <c r="P19" s="8">
        <f t="shared" si="5"/>
        <v>-6.5734426827870482</v>
      </c>
    </row>
    <row r="20" spans="1:16" x14ac:dyDescent="0.2">
      <c r="A20" s="8">
        <v>9</v>
      </c>
      <c r="B20" s="8">
        <v>18</v>
      </c>
      <c r="D20">
        <v>800.07905759161997</v>
      </c>
      <c r="E20">
        <v>295.01937172775001</v>
      </c>
      <c r="F20">
        <v>127.27130162048999</v>
      </c>
      <c r="G20">
        <v>111.99790904339</v>
      </c>
      <c r="I20" s="9">
        <f t="shared" si="1"/>
        <v>183.02146268436002</v>
      </c>
      <c r="J20" s="9">
        <f t="shared" si="2"/>
        <v>672.80775597112995</v>
      </c>
      <c r="K20" s="9">
        <f t="shared" si="3"/>
        <v>183.02146268436002</v>
      </c>
      <c r="L20" s="10">
        <f t="shared" si="0"/>
        <v>0.27202638652728822</v>
      </c>
      <c r="M20" s="10">
        <f t="shared" si="4"/>
        <v>0.2745772527859523</v>
      </c>
      <c r="P20" s="8">
        <f t="shared" si="5"/>
        <v>-5.3844863432356718</v>
      </c>
    </row>
    <row r="21" spans="1:16" x14ac:dyDescent="0.2">
      <c r="A21" s="8">
        <v>9.5</v>
      </c>
      <c r="B21" s="8">
        <v>19</v>
      </c>
      <c r="D21">
        <v>772.89531250000005</v>
      </c>
      <c r="E21">
        <v>290.36927083333001</v>
      </c>
      <c r="F21">
        <v>127.65603763722</v>
      </c>
      <c r="G21">
        <v>111.99006795609</v>
      </c>
      <c r="I21" s="9">
        <f t="shared" si="1"/>
        <v>178.37920287724</v>
      </c>
      <c r="J21" s="9">
        <f t="shared" si="2"/>
        <v>645.23927486278001</v>
      </c>
      <c r="K21" s="9">
        <f t="shared" si="3"/>
        <v>178.37920287724</v>
      </c>
      <c r="L21" s="10">
        <f t="shared" si="0"/>
        <v>0.27645434775366867</v>
      </c>
      <c r="M21" s="10">
        <f t="shared" si="4"/>
        <v>0.27914692880448072</v>
      </c>
      <c r="P21" s="8">
        <f t="shared" si="5"/>
        <v>-3.8098393564544546</v>
      </c>
    </row>
    <row r="22" spans="1:16" x14ac:dyDescent="0.2">
      <c r="A22" s="8">
        <v>10</v>
      </c>
      <c r="B22" s="8">
        <v>20</v>
      </c>
      <c r="D22">
        <v>799.20781250000005</v>
      </c>
      <c r="E22">
        <v>297.83333333333002</v>
      </c>
      <c r="F22">
        <v>127.51751176163</v>
      </c>
      <c r="G22">
        <v>112.20595922635</v>
      </c>
      <c r="I22" s="9">
        <f t="shared" si="1"/>
        <v>185.62737410698003</v>
      </c>
      <c r="J22" s="9">
        <f t="shared" si="2"/>
        <v>671.69030073837007</v>
      </c>
      <c r="K22" s="9">
        <f t="shared" si="3"/>
        <v>185.62737410698003</v>
      </c>
      <c r="L22" s="10">
        <f t="shared" si="0"/>
        <v>0.27635857463316821</v>
      </c>
      <c r="M22" s="10">
        <f t="shared" si="4"/>
        <v>0.27919287047612829</v>
      </c>
      <c r="P22" s="8">
        <f t="shared" si="5"/>
        <v>-3.7940084934930085</v>
      </c>
    </row>
    <row r="23" spans="1:16" x14ac:dyDescent="0.2">
      <c r="A23" s="8">
        <v>10.5</v>
      </c>
      <c r="B23" s="8">
        <v>21</v>
      </c>
      <c r="D23">
        <v>752.68541666666999</v>
      </c>
      <c r="E23">
        <v>285.92291666667001</v>
      </c>
      <c r="F23">
        <v>127.86617877678999</v>
      </c>
      <c r="G23">
        <v>112.3214845792</v>
      </c>
      <c r="I23" s="9">
        <f t="shared" si="1"/>
        <v>173.60143208747002</v>
      </c>
      <c r="J23" s="9">
        <f t="shared" si="2"/>
        <v>624.81923788988001</v>
      </c>
      <c r="K23" s="9">
        <f t="shared" si="3"/>
        <v>173.60143208747002</v>
      </c>
      <c r="L23" s="10">
        <f t="shared" si="0"/>
        <v>0.27784264881752258</v>
      </c>
      <c r="M23" s="10">
        <f t="shared" si="4"/>
        <v>0.28081865945263068</v>
      </c>
      <c r="P23" s="8">
        <f t="shared" si="5"/>
        <v>-3.2337841575419377</v>
      </c>
    </row>
    <row r="24" spans="1:16" x14ac:dyDescent="0.2">
      <c r="A24" s="8">
        <v>11</v>
      </c>
      <c r="B24" s="8">
        <v>22</v>
      </c>
      <c r="D24">
        <v>772.73315926892997</v>
      </c>
      <c r="E24">
        <v>290.71801566580001</v>
      </c>
      <c r="F24">
        <v>127.61578672243</v>
      </c>
      <c r="G24">
        <v>112.24255096707</v>
      </c>
      <c r="I24" s="9">
        <f t="shared" si="1"/>
        <v>178.47546469873001</v>
      </c>
      <c r="J24" s="9">
        <f t="shared" si="2"/>
        <v>645.11737254649995</v>
      </c>
      <c r="K24" s="9">
        <f t="shared" si="3"/>
        <v>178.47546469873001</v>
      </c>
      <c r="L24" s="10">
        <f t="shared" si="0"/>
        <v>0.27665580294981984</v>
      </c>
      <c r="M24" s="10">
        <f t="shared" si="4"/>
        <v>0.27977352837707592</v>
      </c>
      <c r="P24" s="8">
        <f t="shared" si="5"/>
        <v>-3.5939218330009717</v>
      </c>
    </row>
    <row r="25" spans="1:16" x14ac:dyDescent="0.2">
      <c r="A25" s="8">
        <v>11.5</v>
      </c>
      <c r="B25" s="8">
        <v>23</v>
      </c>
      <c r="D25">
        <v>752.99477806789002</v>
      </c>
      <c r="E25">
        <v>286.62140992167002</v>
      </c>
      <c r="F25">
        <v>127.91322530058</v>
      </c>
      <c r="G25">
        <v>112.54469419759999</v>
      </c>
      <c r="I25" s="9">
        <f t="shared" si="1"/>
        <v>174.07671572407003</v>
      </c>
      <c r="J25" s="9">
        <f t="shared" si="2"/>
        <v>625.08155276731009</v>
      </c>
      <c r="K25" s="9">
        <f t="shared" si="3"/>
        <v>174.07671572407003</v>
      </c>
      <c r="L25" s="10">
        <f t="shared" si="0"/>
        <v>0.27848640701907101</v>
      </c>
      <c r="M25" s="10">
        <f t="shared" si="4"/>
        <v>0.28174584723847512</v>
      </c>
      <c r="P25" s="8">
        <f t="shared" si="5"/>
        <v>-2.914288104158604</v>
      </c>
    </row>
    <row r="26" spans="1:16" x14ac:dyDescent="0.2">
      <c r="A26" s="8">
        <v>12</v>
      </c>
      <c r="B26" s="8">
        <v>24</v>
      </c>
      <c r="D26">
        <v>753.70287206266005</v>
      </c>
      <c r="E26">
        <v>286.97284595299999</v>
      </c>
      <c r="F26">
        <v>128.86304234187</v>
      </c>
      <c r="G26">
        <v>112.4955567172</v>
      </c>
      <c r="I26" s="9">
        <f t="shared" si="1"/>
        <v>174.47728923579999</v>
      </c>
      <c r="J26" s="9">
        <f t="shared" si="2"/>
        <v>624.83982972079002</v>
      </c>
      <c r="K26" s="9">
        <f t="shared" si="3"/>
        <v>174.47728923579999</v>
      </c>
      <c r="L26" s="10">
        <f t="shared" si="0"/>
        <v>0.27923522307111126</v>
      </c>
      <c r="M26" s="10">
        <f t="shared" si="4"/>
        <v>0.28263637808266334</v>
      </c>
      <c r="P26" s="8">
        <f t="shared" si="5"/>
        <v>-2.6074235245361104</v>
      </c>
    </row>
    <row r="27" spans="1:16" x14ac:dyDescent="0.2">
      <c r="A27" s="8">
        <v>12.5</v>
      </c>
      <c r="B27" s="8">
        <v>25</v>
      </c>
      <c r="D27">
        <v>767.31644908615999</v>
      </c>
      <c r="E27">
        <v>288.96449086161999</v>
      </c>
      <c r="F27">
        <v>128.71301620490999</v>
      </c>
      <c r="G27">
        <v>112.39623627810001</v>
      </c>
      <c r="I27" s="9">
        <f t="shared" si="1"/>
        <v>176.56825458352</v>
      </c>
      <c r="J27" s="9">
        <f t="shared" si="2"/>
        <v>638.60343288125</v>
      </c>
      <c r="K27" s="9">
        <f t="shared" si="3"/>
        <v>176.56825458352</v>
      </c>
      <c r="L27" s="10">
        <f t="shared" si="0"/>
        <v>0.27649123930774944</v>
      </c>
      <c r="M27" s="10">
        <f t="shared" si="4"/>
        <v>0.28003410911144955</v>
      </c>
      <c r="P27" s="8">
        <f t="shared" si="5"/>
        <v>-3.5041293254947599</v>
      </c>
    </row>
    <row r="28" spans="1:16" x14ac:dyDescent="0.2">
      <c r="A28" s="8">
        <v>13</v>
      </c>
      <c r="B28" s="8">
        <v>26</v>
      </c>
      <c r="D28">
        <v>781.80626631854</v>
      </c>
      <c r="E28">
        <v>295.12271540469999</v>
      </c>
      <c r="F28">
        <v>128.67171981180999</v>
      </c>
      <c r="G28">
        <v>112.52483010978</v>
      </c>
      <c r="I28" s="9">
        <f t="shared" si="1"/>
        <v>182.59788529491999</v>
      </c>
      <c r="J28" s="9">
        <f t="shared" si="2"/>
        <v>653.13454650672998</v>
      </c>
      <c r="K28" s="9">
        <f t="shared" si="3"/>
        <v>182.59788529491999</v>
      </c>
      <c r="L28" s="10">
        <f t="shared" si="0"/>
        <v>0.27957162313881445</v>
      </c>
      <c r="M28" s="10">
        <f t="shared" si="4"/>
        <v>0.28325620773466254</v>
      </c>
      <c r="P28" s="8">
        <f t="shared" si="5"/>
        <v>-2.3938388218392905</v>
      </c>
    </row>
    <row r="29" spans="1:16" x14ac:dyDescent="0.2">
      <c r="A29" s="8">
        <v>13.5</v>
      </c>
      <c r="B29" s="8">
        <v>27</v>
      </c>
      <c r="D29">
        <v>788.40783289817</v>
      </c>
      <c r="E29">
        <v>296.41671018276998</v>
      </c>
      <c r="F29">
        <v>129.17825405123</v>
      </c>
      <c r="G29">
        <v>112.69994772609</v>
      </c>
      <c r="I29" s="9">
        <f t="shared" si="1"/>
        <v>183.71676245667999</v>
      </c>
      <c r="J29" s="9">
        <f t="shared" si="2"/>
        <v>659.22957884694006</v>
      </c>
      <c r="K29" s="9">
        <f t="shared" si="3"/>
        <v>183.71676245667999</v>
      </c>
      <c r="L29" s="10">
        <f t="shared" si="0"/>
        <v>0.27868404020647769</v>
      </c>
      <c r="M29" s="10">
        <f t="shared" si="4"/>
        <v>0.2825103395944738</v>
      </c>
      <c r="P29" s="8">
        <f t="shared" si="5"/>
        <v>-2.6508546397489634</v>
      </c>
    </row>
    <row r="30" spans="1:16" x14ac:dyDescent="0.2">
      <c r="A30" s="8">
        <v>14</v>
      </c>
      <c r="B30" s="8">
        <v>28</v>
      </c>
      <c r="D30">
        <v>780.33629242819995</v>
      </c>
      <c r="E30">
        <v>295.31018276762001</v>
      </c>
      <c r="F30">
        <v>128.87454260324</v>
      </c>
      <c r="G30">
        <v>112.56351280711</v>
      </c>
      <c r="I30" s="9">
        <f t="shared" si="1"/>
        <v>182.74666996051002</v>
      </c>
      <c r="J30" s="9">
        <f t="shared" si="2"/>
        <v>651.46174982495995</v>
      </c>
      <c r="K30" s="9">
        <f t="shared" si="3"/>
        <v>182.74666996051002</v>
      </c>
      <c r="L30" s="10">
        <f t="shared" si="0"/>
        <v>0.2805178815327406</v>
      </c>
      <c r="M30" s="10">
        <f t="shared" si="4"/>
        <v>0.28448589571288468</v>
      </c>
      <c r="P30" s="8">
        <f t="shared" si="5"/>
        <v>-1.9701053970324809</v>
      </c>
    </row>
    <row r="31" spans="1:16" x14ac:dyDescent="0.2">
      <c r="A31" s="8">
        <v>14.5</v>
      </c>
      <c r="B31" s="8">
        <v>29</v>
      </c>
      <c r="D31">
        <v>778.51383812009999</v>
      </c>
      <c r="E31">
        <v>294.96553524804</v>
      </c>
      <c r="F31">
        <v>129.11813904862001</v>
      </c>
      <c r="G31">
        <v>112.70412963931</v>
      </c>
      <c r="I31" s="9">
        <f t="shared" si="1"/>
        <v>182.26140560873</v>
      </c>
      <c r="J31" s="9">
        <f t="shared" si="2"/>
        <v>649.39569907147995</v>
      </c>
      <c r="K31" s="9">
        <f t="shared" si="3"/>
        <v>182.26140560873</v>
      </c>
      <c r="L31" s="10">
        <f t="shared" si="0"/>
        <v>0.28066309319469057</v>
      </c>
      <c r="M31" s="10">
        <f t="shared" si="4"/>
        <v>0.28477282216698269</v>
      </c>
      <c r="P31" s="8">
        <f t="shared" si="5"/>
        <v>-1.8712345198540297</v>
      </c>
    </row>
    <row r="32" spans="1:16" x14ac:dyDescent="0.2">
      <c r="A32" s="8">
        <v>15</v>
      </c>
      <c r="B32" s="8">
        <v>30</v>
      </c>
      <c r="D32">
        <v>784.50966057440996</v>
      </c>
      <c r="E32">
        <v>297.23394255875002</v>
      </c>
      <c r="F32">
        <v>128.85781495034001</v>
      </c>
      <c r="G32">
        <v>112.77783585991</v>
      </c>
      <c r="I32" s="9">
        <f t="shared" si="1"/>
        <v>184.45610669884002</v>
      </c>
      <c r="J32" s="9">
        <f t="shared" si="2"/>
        <v>655.65184562406989</v>
      </c>
      <c r="K32" s="9">
        <f t="shared" si="3"/>
        <v>184.45610669884002</v>
      </c>
      <c r="L32" s="10">
        <f t="shared" si="0"/>
        <v>0.28133239909249236</v>
      </c>
      <c r="M32" s="10">
        <f t="shared" si="4"/>
        <v>0.2855838428569325</v>
      </c>
      <c r="P32" s="8">
        <f t="shared" si="5"/>
        <v>-1.5917680367885723</v>
      </c>
    </row>
    <row r="33" spans="1:16" x14ac:dyDescent="0.2">
      <c r="A33" s="8">
        <v>15.5</v>
      </c>
      <c r="B33" s="8">
        <v>31</v>
      </c>
      <c r="D33">
        <v>786.38067885118005</v>
      </c>
      <c r="E33">
        <v>298.31436031331998</v>
      </c>
      <c r="F33">
        <v>129.28123366439999</v>
      </c>
      <c r="G33">
        <v>112.70412963931</v>
      </c>
      <c r="I33" s="9">
        <f t="shared" si="1"/>
        <v>185.61023067400998</v>
      </c>
      <c r="J33" s="9">
        <f t="shared" si="2"/>
        <v>657.09944518678003</v>
      </c>
      <c r="K33" s="9">
        <f t="shared" si="3"/>
        <v>185.61023067400998</v>
      </c>
      <c r="L33" s="10">
        <f t="shared" si="0"/>
        <v>0.28246901140093095</v>
      </c>
      <c r="M33" s="10">
        <f t="shared" si="4"/>
        <v>0.28686216995751906</v>
      </c>
      <c r="P33" s="8">
        <f t="shared" si="5"/>
        <v>-1.1512742449097286</v>
      </c>
    </row>
    <row r="34" spans="1:16" x14ac:dyDescent="0.2">
      <c r="A34" s="8">
        <v>16</v>
      </c>
      <c r="B34" s="8">
        <v>32</v>
      </c>
      <c r="D34">
        <v>775.84699738902998</v>
      </c>
      <c r="E34">
        <v>295.18015665796003</v>
      </c>
      <c r="F34">
        <v>128.86042864610999</v>
      </c>
      <c r="G34">
        <v>112.68478829064</v>
      </c>
      <c r="I34" s="9">
        <f t="shared" si="1"/>
        <v>182.49536836732003</v>
      </c>
      <c r="J34" s="9">
        <f t="shared" si="2"/>
        <v>646.98656874291999</v>
      </c>
      <c r="K34" s="9">
        <f t="shared" si="3"/>
        <v>182.49536836732003</v>
      </c>
      <c r="L34" s="10">
        <f t="shared" si="0"/>
        <v>0.28206979431103851</v>
      </c>
      <c r="M34" s="10">
        <f t="shared" si="4"/>
        <v>0.28660466765977466</v>
      </c>
      <c r="P34" s="8">
        <f t="shared" si="5"/>
        <v>-1.2400059658432061</v>
      </c>
    </row>
    <row r="35" spans="1:16" x14ac:dyDescent="0.2">
      <c r="A35" s="8">
        <v>16.5</v>
      </c>
      <c r="B35" s="8">
        <v>33</v>
      </c>
      <c r="D35">
        <v>796.33785900783005</v>
      </c>
      <c r="E35">
        <v>300.04386422977001</v>
      </c>
      <c r="F35">
        <v>128.93570308416</v>
      </c>
      <c r="G35">
        <v>112.75483533716999</v>
      </c>
      <c r="I35" s="9">
        <f t="shared" si="1"/>
        <v>187.28902889260002</v>
      </c>
      <c r="J35" s="9">
        <f t="shared" si="2"/>
        <v>667.40215592367008</v>
      </c>
      <c r="K35" s="9">
        <f t="shared" si="3"/>
        <v>187.28902889260002</v>
      </c>
      <c r="L35" s="10">
        <f t="shared" si="0"/>
        <v>0.28062394948873975</v>
      </c>
      <c r="M35" s="10">
        <f t="shared" si="4"/>
        <v>0.28530053762962387</v>
      </c>
      <c r="P35" s="8">
        <f t="shared" si="5"/>
        <v>-1.6893910894321507</v>
      </c>
    </row>
    <row r="36" spans="1:16" x14ac:dyDescent="0.2">
      <c r="A36" s="8">
        <v>17</v>
      </c>
      <c r="B36" s="8">
        <v>34</v>
      </c>
      <c r="D36">
        <v>765.08929503917</v>
      </c>
      <c r="E36">
        <v>288.28302872063</v>
      </c>
      <c r="F36">
        <v>129.12127548353001</v>
      </c>
      <c r="G36">
        <v>112.68217459488</v>
      </c>
      <c r="I36" s="9">
        <f t="shared" si="1"/>
        <v>175.60085412575</v>
      </c>
      <c r="J36" s="9">
        <f t="shared" si="2"/>
        <v>635.96801955564001</v>
      </c>
      <c r="K36" s="9">
        <f t="shared" si="3"/>
        <v>175.60085412575</v>
      </c>
      <c r="L36" s="10">
        <f t="shared" si="0"/>
        <v>0.27611585602754812</v>
      </c>
      <c r="M36" s="10">
        <f t="shared" si="4"/>
        <v>0.28093415896058027</v>
      </c>
      <c r="P36" s="8">
        <f t="shared" si="5"/>
        <v>-3.1939846287722582</v>
      </c>
    </row>
    <row r="37" spans="1:16" x14ac:dyDescent="0.2">
      <c r="A37" s="8">
        <v>17.5</v>
      </c>
      <c r="B37" s="8">
        <v>35</v>
      </c>
      <c r="D37">
        <v>736.45018257694005</v>
      </c>
      <c r="E37">
        <v>280.65258215962001</v>
      </c>
      <c r="F37">
        <v>128.87401986409</v>
      </c>
      <c r="G37">
        <v>112.65394668061001</v>
      </c>
      <c r="I37" s="9">
        <f t="shared" si="1"/>
        <v>167.99863547901001</v>
      </c>
      <c r="J37" s="9">
        <f t="shared" si="2"/>
        <v>607.57616271285008</v>
      </c>
      <c r="K37" s="9">
        <f t="shared" si="3"/>
        <v>167.99863547901001</v>
      </c>
      <c r="L37" s="10">
        <f t="shared" si="0"/>
        <v>0.27650629795759246</v>
      </c>
      <c r="M37" s="10">
        <f t="shared" si="4"/>
        <v>0.28146631568277258</v>
      </c>
      <c r="P37" s="8">
        <f t="shared" si="5"/>
        <v>-3.0106108018974722</v>
      </c>
    </row>
    <row r="38" spans="1:16" x14ac:dyDescent="0.2">
      <c r="A38" s="8">
        <v>18</v>
      </c>
      <c r="B38" s="8">
        <v>36</v>
      </c>
      <c r="D38">
        <v>744.14136671883</v>
      </c>
      <c r="E38">
        <v>282.62597809076999</v>
      </c>
      <c r="F38">
        <v>128.87349712494</v>
      </c>
      <c r="G38">
        <v>112.79874542603</v>
      </c>
      <c r="I38" s="9">
        <f t="shared" si="1"/>
        <v>169.82723266474</v>
      </c>
      <c r="J38" s="9">
        <f t="shared" si="2"/>
        <v>615.26786959389005</v>
      </c>
      <c r="K38" s="9">
        <f t="shared" si="3"/>
        <v>169.82723266474</v>
      </c>
      <c r="L38" s="10">
        <f t="shared" si="0"/>
        <v>0.276021617668472</v>
      </c>
      <c r="M38" s="10">
        <f t="shared" si="4"/>
        <v>0.28112335018580015</v>
      </c>
      <c r="P38" s="8">
        <f t="shared" si="5"/>
        <v>-3.1287919561385733</v>
      </c>
    </row>
    <row r="39" spans="1:16" x14ac:dyDescent="0.2">
      <c r="A39" s="8">
        <v>18.5</v>
      </c>
      <c r="B39" s="8">
        <v>37</v>
      </c>
      <c r="D39">
        <v>735.31639601886002</v>
      </c>
      <c r="E39">
        <v>282.22996333159</v>
      </c>
      <c r="F39">
        <v>129.09461578672</v>
      </c>
      <c r="G39">
        <v>112.91427077888</v>
      </c>
      <c r="I39" s="9">
        <f t="shared" si="1"/>
        <v>169.31569255271</v>
      </c>
      <c r="J39" s="9">
        <f t="shared" si="2"/>
        <v>606.22178023213996</v>
      </c>
      <c r="K39" s="9">
        <f t="shared" si="3"/>
        <v>169.31569255271</v>
      </c>
      <c r="L39" s="10">
        <f t="shared" si="0"/>
        <v>0.27929661730047722</v>
      </c>
      <c r="M39" s="10">
        <f t="shared" si="4"/>
        <v>0.28454006460995335</v>
      </c>
      <c r="P39" s="8">
        <f t="shared" si="5"/>
        <v>-1.9514395462805714</v>
      </c>
    </row>
    <row r="40" spans="1:16" x14ac:dyDescent="0.2">
      <c r="A40" s="8">
        <v>19</v>
      </c>
      <c r="B40" s="8">
        <v>38</v>
      </c>
      <c r="D40">
        <v>712.70350969094</v>
      </c>
      <c r="E40">
        <v>272.71293871136999</v>
      </c>
      <c r="F40">
        <v>128.92472556195</v>
      </c>
      <c r="G40">
        <v>113.20700470465</v>
      </c>
      <c r="I40" s="9">
        <f t="shared" si="1"/>
        <v>159.50593400672</v>
      </c>
      <c r="J40" s="9">
        <f t="shared" si="2"/>
        <v>583.77878412898997</v>
      </c>
      <c r="K40" s="9">
        <f t="shared" si="3"/>
        <v>159.50593400672</v>
      </c>
      <c r="L40" s="10">
        <f t="shared" si="0"/>
        <v>0.27323009732994347</v>
      </c>
      <c r="M40" s="10">
        <f t="shared" si="4"/>
        <v>0.27861525943156762</v>
      </c>
      <c r="P40" s="8">
        <f t="shared" si="5"/>
        <v>-3.9930452495258577</v>
      </c>
    </row>
    <row r="41" spans="1:16" x14ac:dyDescent="0.2">
      <c r="A41" s="8">
        <v>19.5</v>
      </c>
      <c r="B41" s="8">
        <v>39</v>
      </c>
      <c r="D41">
        <v>710.44944997381003</v>
      </c>
      <c r="E41">
        <v>271.47721320062999</v>
      </c>
      <c r="F41">
        <v>128.45896497647999</v>
      </c>
      <c r="G41">
        <v>112.77104025092</v>
      </c>
      <c r="I41" s="9">
        <f t="shared" si="1"/>
        <v>158.70617294970998</v>
      </c>
      <c r="J41" s="9">
        <f t="shared" si="2"/>
        <v>581.99048499732999</v>
      </c>
      <c r="K41" s="9">
        <f t="shared" si="3"/>
        <v>158.70617294970998</v>
      </c>
      <c r="L41" s="10">
        <f t="shared" si="0"/>
        <v>0.27269547705825137</v>
      </c>
      <c r="M41" s="10">
        <f t="shared" si="4"/>
        <v>0.27822235395202349</v>
      </c>
      <c r="P41" s="8">
        <f t="shared" si="5"/>
        <v>-4.1284350292269627</v>
      </c>
    </row>
    <row r="42" spans="1:16" x14ac:dyDescent="0.2">
      <c r="A42" s="8">
        <v>20</v>
      </c>
      <c r="B42" s="8">
        <v>40</v>
      </c>
      <c r="D42">
        <v>722.53201457574005</v>
      </c>
      <c r="E42">
        <v>273.66111400312002</v>
      </c>
      <c r="F42">
        <v>128.87767903816001</v>
      </c>
      <c r="G42">
        <v>112.98954521694</v>
      </c>
      <c r="I42" s="9">
        <f t="shared" si="1"/>
        <v>160.67156878618002</v>
      </c>
      <c r="J42" s="9">
        <f t="shared" si="2"/>
        <v>593.65433553757998</v>
      </c>
      <c r="K42" s="9">
        <f t="shared" si="3"/>
        <v>160.67156878618002</v>
      </c>
      <c r="L42" s="10">
        <f t="shared" si="0"/>
        <v>0.27064835404711546</v>
      </c>
      <c r="M42" s="10">
        <f t="shared" si="4"/>
        <v>0.27631694573303561</v>
      </c>
      <c r="P42" s="8">
        <f t="shared" si="5"/>
        <v>-4.7850122785663229</v>
      </c>
    </row>
    <row r="43" spans="1:16" x14ac:dyDescent="0.2">
      <c r="A43" s="8">
        <v>20.5</v>
      </c>
      <c r="B43" s="8">
        <v>41</v>
      </c>
      <c r="D43">
        <v>718.15616866215998</v>
      </c>
      <c r="E43">
        <v>272.30140551796001</v>
      </c>
      <c r="F43">
        <v>128.96340825927999</v>
      </c>
      <c r="G43">
        <v>113.01306847882999</v>
      </c>
      <c r="I43" s="9">
        <f t="shared" si="1"/>
        <v>159.28833703913</v>
      </c>
      <c r="J43" s="9">
        <f t="shared" si="2"/>
        <v>589.19276040288003</v>
      </c>
      <c r="K43" s="9">
        <f t="shared" si="3"/>
        <v>159.28833703913</v>
      </c>
      <c r="L43" s="10">
        <f t="shared" si="0"/>
        <v>0.27035012604399844</v>
      </c>
      <c r="M43" s="10">
        <f t="shared" si="4"/>
        <v>0.27616043252206662</v>
      </c>
      <c r="P43" s="8">
        <f t="shared" si="5"/>
        <v>-4.838944560645948</v>
      </c>
    </row>
    <row r="44" spans="1:16" x14ac:dyDescent="0.2">
      <c r="A44" s="8">
        <v>21</v>
      </c>
      <c r="B44" s="8">
        <v>42</v>
      </c>
      <c r="D44">
        <v>734.61634565330996</v>
      </c>
      <c r="E44">
        <v>277.14888079126001</v>
      </c>
      <c r="F44">
        <v>128.97438578149999</v>
      </c>
      <c r="G44">
        <v>113.12075274438</v>
      </c>
      <c r="I44" s="9">
        <f t="shared" si="1"/>
        <v>164.02812804688</v>
      </c>
      <c r="J44" s="9">
        <f t="shared" si="2"/>
        <v>605.64195987180995</v>
      </c>
      <c r="K44" s="9">
        <f t="shared" si="3"/>
        <v>164.02812804688</v>
      </c>
      <c r="L44" s="10">
        <f t="shared" si="0"/>
        <v>0.270833493903887</v>
      </c>
      <c r="M44" s="10">
        <f t="shared" si="4"/>
        <v>0.27678551517410316</v>
      </c>
      <c r="P44" s="8">
        <f t="shared" si="5"/>
        <v>-4.623549746981344</v>
      </c>
    </row>
    <row r="45" spans="1:16" x14ac:dyDescent="0.2">
      <c r="A45" s="8">
        <v>21.5</v>
      </c>
      <c r="B45" s="8">
        <v>43</v>
      </c>
      <c r="D45">
        <v>732.96043727225003</v>
      </c>
      <c r="E45">
        <v>275.44247787610999</v>
      </c>
      <c r="F45">
        <v>129.12859383168001</v>
      </c>
      <c r="G45">
        <v>113.10141139571</v>
      </c>
      <c r="I45" s="9">
        <f t="shared" si="1"/>
        <v>162.3410664804</v>
      </c>
      <c r="J45" s="9">
        <f t="shared" si="2"/>
        <v>603.83184344057008</v>
      </c>
      <c r="K45" s="9">
        <f t="shared" si="3"/>
        <v>162.3410664804</v>
      </c>
      <c r="L45" s="10">
        <f t="shared" si="0"/>
        <v>0.26885144969400382</v>
      </c>
      <c r="M45" s="10">
        <f t="shared" si="4"/>
        <v>0.274945185756368</v>
      </c>
      <c r="P45" s="8">
        <f t="shared" si="5"/>
        <v>-5.2577017438782034</v>
      </c>
    </row>
    <row r="46" spans="1:16" x14ac:dyDescent="0.2">
      <c r="A46" s="8">
        <v>22</v>
      </c>
      <c r="B46" s="8">
        <v>44</v>
      </c>
      <c r="D46">
        <v>727.06507027589998</v>
      </c>
      <c r="E46">
        <v>272.65538781883998</v>
      </c>
      <c r="F46">
        <v>129.28541557763</v>
      </c>
      <c r="G46">
        <v>113.25248301098</v>
      </c>
      <c r="I46" s="9">
        <f t="shared" si="1"/>
        <v>159.40290480785998</v>
      </c>
      <c r="J46" s="9">
        <f t="shared" si="2"/>
        <v>597.77965469826995</v>
      </c>
      <c r="K46" s="9">
        <f t="shared" si="3"/>
        <v>159.40290480785998</v>
      </c>
      <c r="L46" s="10">
        <f t="shared" si="0"/>
        <v>0.26665829717526734</v>
      </c>
      <c r="M46" s="10">
        <f t="shared" si="4"/>
        <v>0.2728937480297795</v>
      </c>
      <c r="P46" s="8">
        <f t="shared" si="5"/>
        <v>-5.9645987364974191</v>
      </c>
    </row>
    <row r="47" spans="1:16" x14ac:dyDescent="0.2">
      <c r="A47" s="8">
        <v>22.5</v>
      </c>
      <c r="B47" s="8">
        <v>45</v>
      </c>
      <c r="D47">
        <v>746.34357105673996</v>
      </c>
      <c r="E47">
        <v>279.29984383134001</v>
      </c>
      <c r="F47">
        <v>129.29168844746999</v>
      </c>
      <c r="G47">
        <v>113.30527966545</v>
      </c>
      <c r="I47" s="9">
        <f t="shared" si="1"/>
        <v>165.99456416589001</v>
      </c>
      <c r="J47" s="9">
        <f t="shared" si="2"/>
        <v>617.05188260927002</v>
      </c>
      <c r="K47" s="9">
        <f t="shared" si="3"/>
        <v>165.99456416589001</v>
      </c>
      <c r="L47" s="10">
        <f t="shared" si="0"/>
        <v>0.26901232918043166</v>
      </c>
      <c r="M47" s="10">
        <f t="shared" si="4"/>
        <v>0.27538949482709185</v>
      </c>
      <c r="P47" s="8">
        <f t="shared" si="5"/>
        <v>-5.1045989994871093</v>
      </c>
    </row>
    <row r="48" spans="1:16" x14ac:dyDescent="0.2">
      <c r="A48" s="8">
        <v>23</v>
      </c>
      <c r="B48" s="8">
        <v>46</v>
      </c>
      <c r="D48">
        <v>739.18740157479999</v>
      </c>
      <c r="E48">
        <v>275.88136482940001</v>
      </c>
      <c r="F48">
        <v>129.39884997386</v>
      </c>
      <c r="G48">
        <v>112.90904338735</v>
      </c>
      <c r="I48" s="9">
        <f t="shared" si="1"/>
        <v>162.97232144205003</v>
      </c>
      <c r="J48" s="9">
        <f t="shared" si="2"/>
        <v>609.78855160093997</v>
      </c>
      <c r="K48" s="9">
        <f t="shared" si="3"/>
        <v>162.97232144205003</v>
      </c>
      <c r="L48" s="10">
        <f t="shared" si="0"/>
        <v>0.26726038233119037</v>
      </c>
      <c r="M48" s="10">
        <f t="shared" si="4"/>
        <v>0.27377926276999853</v>
      </c>
      <c r="P48" s="8">
        <f t="shared" si="5"/>
        <v>-5.6594626367427416</v>
      </c>
    </row>
    <row r="49" spans="1:25" x14ac:dyDescent="0.2">
      <c r="A49" s="8">
        <v>23.5</v>
      </c>
      <c r="B49" s="8">
        <v>47</v>
      </c>
      <c r="D49">
        <v>751.45026178011005</v>
      </c>
      <c r="E49">
        <v>277.43507853403003</v>
      </c>
      <c r="F49">
        <v>129.39675901724999</v>
      </c>
      <c r="G49">
        <v>113.08938839519</v>
      </c>
      <c r="I49" s="9">
        <f t="shared" si="1"/>
        <v>164.34569013884004</v>
      </c>
      <c r="J49" s="9">
        <f t="shared" si="2"/>
        <v>622.05350276286003</v>
      </c>
      <c r="K49" s="9">
        <f t="shared" si="3"/>
        <v>164.34569013884004</v>
      </c>
      <c r="L49" s="10">
        <f t="shared" si="0"/>
        <v>0.26419864112796759</v>
      </c>
      <c r="M49" s="10">
        <f t="shared" si="4"/>
        <v>0.27085923635892378</v>
      </c>
      <c r="P49" s="8">
        <f t="shared" si="5"/>
        <v>-6.6656632450303137</v>
      </c>
    </row>
    <row r="50" spans="1:25" x14ac:dyDescent="0.2">
      <c r="A50" s="8">
        <v>24</v>
      </c>
      <c r="B50" s="8">
        <v>48</v>
      </c>
      <c r="D50">
        <v>765.71937172774994</v>
      </c>
      <c r="E50">
        <v>280.64031413612997</v>
      </c>
      <c r="F50">
        <v>129.48457919498</v>
      </c>
      <c r="G50">
        <v>112.8437009932</v>
      </c>
      <c r="I50" s="9">
        <f t="shared" si="1"/>
        <v>167.79661314292997</v>
      </c>
      <c r="J50" s="9">
        <f t="shared" si="2"/>
        <v>636.23479253276992</v>
      </c>
      <c r="K50" s="9">
        <f t="shared" si="3"/>
        <v>167.79661314292997</v>
      </c>
      <c r="L50" s="10">
        <f t="shared" si="0"/>
        <v>0.26373378996604846</v>
      </c>
      <c r="M50" s="10">
        <f t="shared" si="4"/>
        <v>0.27053609998915262</v>
      </c>
      <c r="P50" s="8">
        <f t="shared" si="5"/>
        <v>-6.777011557014899</v>
      </c>
    </row>
    <row r="51" spans="1:25" x14ac:dyDescent="0.2">
      <c r="A51" s="8">
        <v>24.5</v>
      </c>
      <c r="B51" s="8">
        <v>49</v>
      </c>
      <c r="D51">
        <v>758.63193717278</v>
      </c>
      <c r="E51">
        <v>279.39267015706997</v>
      </c>
      <c r="F51">
        <v>129.20073183481</v>
      </c>
      <c r="G51">
        <v>113.06325143753</v>
      </c>
      <c r="I51" s="9">
        <f t="shared" si="1"/>
        <v>166.32941871953997</v>
      </c>
      <c r="J51" s="9">
        <f t="shared" si="2"/>
        <v>629.43120533797003</v>
      </c>
      <c r="K51" s="9">
        <f t="shared" si="3"/>
        <v>166.32941871953997</v>
      </c>
      <c r="L51" s="10">
        <f t="shared" si="0"/>
        <v>0.26425353129772172</v>
      </c>
      <c r="M51" s="10">
        <f t="shared" si="4"/>
        <v>0.27119755611297391</v>
      </c>
      <c r="P51" s="8">
        <f t="shared" si="5"/>
        <v>-6.5490829493761895</v>
      </c>
    </row>
    <row r="52" spans="1:25" x14ac:dyDescent="0.2">
      <c r="A52" s="8">
        <v>25</v>
      </c>
      <c r="B52" s="8">
        <v>50</v>
      </c>
      <c r="D52">
        <v>747.57277486911005</v>
      </c>
      <c r="E52">
        <v>276.99633507853002</v>
      </c>
      <c r="F52">
        <v>129.54312598013999</v>
      </c>
      <c r="G52">
        <v>113.0569785677</v>
      </c>
      <c r="I52" s="9">
        <f t="shared" si="1"/>
        <v>163.93935651083001</v>
      </c>
      <c r="J52" s="9">
        <f t="shared" si="2"/>
        <v>618.02964888897009</v>
      </c>
      <c r="K52" s="9">
        <f t="shared" si="3"/>
        <v>163.93935651083001</v>
      </c>
      <c r="L52" s="10">
        <f t="shared" si="0"/>
        <v>0.26526131360452249</v>
      </c>
      <c r="M52" s="10">
        <f t="shared" si="4"/>
        <v>0.27234705321192265</v>
      </c>
      <c r="P52" s="8">
        <f t="shared" si="5"/>
        <v>-6.1529821895336418</v>
      </c>
    </row>
    <row r="53" spans="1:25" x14ac:dyDescent="0.2">
      <c r="A53" s="8">
        <v>25.5</v>
      </c>
      <c r="B53" s="8">
        <v>51</v>
      </c>
      <c r="D53">
        <v>734.85287958114998</v>
      </c>
      <c r="E53">
        <v>275.36753926701999</v>
      </c>
      <c r="F53">
        <v>129.78097229483001</v>
      </c>
      <c r="G53">
        <v>113.11552535285</v>
      </c>
      <c r="I53" s="9">
        <f t="shared" si="1"/>
        <v>162.25201391416999</v>
      </c>
      <c r="J53" s="9">
        <f t="shared" si="2"/>
        <v>605.07190728631997</v>
      </c>
      <c r="K53" s="9">
        <f t="shared" si="3"/>
        <v>162.25201391416999</v>
      </c>
      <c r="L53" s="10">
        <f t="shared" si="0"/>
        <v>0.26815327560298113</v>
      </c>
      <c r="M53" s="10">
        <f t="shared" si="4"/>
        <v>0.27538073000252933</v>
      </c>
      <c r="P53" s="8">
        <f t="shared" si="5"/>
        <v>-5.1076192364866442</v>
      </c>
      <c r="S53" s="11"/>
      <c r="U53" s="12"/>
    </row>
    <row r="54" spans="1:25" x14ac:dyDescent="0.2">
      <c r="A54" s="8">
        <v>26</v>
      </c>
      <c r="B54" s="8">
        <v>52</v>
      </c>
      <c r="D54">
        <v>703.72774869110003</v>
      </c>
      <c r="E54">
        <v>267.55968586387002</v>
      </c>
      <c r="F54">
        <v>129.62205959226</v>
      </c>
      <c r="G54">
        <v>113.17354939885</v>
      </c>
      <c r="I54" s="9">
        <f t="shared" si="1"/>
        <v>154.38613646502</v>
      </c>
      <c r="J54" s="9">
        <f t="shared" si="2"/>
        <v>574.10568909884</v>
      </c>
      <c r="K54" s="9">
        <f t="shared" si="3"/>
        <v>154.38613646502</v>
      </c>
      <c r="L54" s="10">
        <f t="shared" si="0"/>
        <v>0.26891587977007547</v>
      </c>
      <c r="M54" s="10">
        <f t="shared" si="4"/>
        <v>0.2762850489617717</v>
      </c>
      <c r="P54" s="8">
        <f t="shared" si="5"/>
        <v>-4.7960034636208277</v>
      </c>
      <c r="S54" s="11"/>
    </row>
    <row r="55" spans="1:25" x14ac:dyDescent="0.2">
      <c r="A55" s="8">
        <v>26.5</v>
      </c>
      <c r="B55" s="8">
        <v>53</v>
      </c>
      <c r="D55">
        <v>747.65863874345996</v>
      </c>
      <c r="E55">
        <v>278.75968586387</v>
      </c>
      <c r="F55">
        <v>129.40094093048</v>
      </c>
      <c r="G55">
        <v>113.10559330894</v>
      </c>
      <c r="I55" s="9">
        <f t="shared" si="1"/>
        <v>165.65409255493</v>
      </c>
      <c r="J55" s="9">
        <f t="shared" si="2"/>
        <v>618.25769781297993</v>
      </c>
      <c r="K55" s="9">
        <f t="shared" si="3"/>
        <v>165.65409255493</v>
      </c>
      <c r="L55" s="10">
        <f t="shared" si="0"/>
        <v>0.26793696728874306</v>
      </c>
      <c r="M55" s="10">
        <f t="shared" si="4"/>
        <v>0.27544785127258725</v>
      </c>
      <c r="P55" s="8">
        <f t="shared" si="5"/>
        <v>-5.0844901776174609</v>
      </c>
      <c r="S55" s="11"/>
    </row>
    <row r="56" spans="1:25" x14ac:dyDescent="0.2">
      <c r="A56" s="8">
        <v>27</v>
      </c>
      <c r="B56" s="8">
        <v>54</v>
      </c>
      <c r="D56">
        <v>751.32827225130995</v>
      </c>
      <c r="E56">
        <v>278.59895287958</v>
      </c>
      <c r="F56">
        <v>129.81599581808999</v>
      </c>
      <c r="G56">
        <v>113.2143230528</v>
      </c>
      <c r="I56" s="9">
        <f t="shared" si="1"/>
        <v>165.38462982677999</v>
      </c>
      <c r="J56" s="9">
        <f t="shared" si="2"/>
        <v>621.51227643321999</v>
      </c>
      <c r="K56" s="9">
        <f t="shared" si="3"/>
        <v>165.38462982677999</v>
      </c>
      <c r="L56" s="10">
        <f t="shared" si="0"/>
        <v>0.26610034282170797</v>
      </c>
      <c r="M56" s="10">
        <f t="shared" si="4"/>
        <v>0.27375294159770019</v>
      </c>
      <c r="P56" s="8">
        <f t="shared" si="5"/>
        <v>-5.6685325477123767</v>
      </c>
      <c r="S56" s="11"/>
    </row>
    <row r="57" spans="1:25" x14ac:dyDescent="0.2">
      <c r="A57" s="8">
        <v>27.5</v>
      </c>
      <c r="B57" s="8">
        <v>55</v>
      </c>
      <c r="D57">
        <v>749.39476439790997</v>
      </c>
      <c r="E57">
        <v>278.54764397906001</v>
      </c>
      <c r="F57">
        <v>129.88656560376</v>
      </c>
      <c r="G57">
        <v>113.35075797176999</v>
      </c>
      <c r="I57" s="9">
        <f t="shared" si="1"/>
        <v>165.19688600729</v>
      </c>
      <c r="J57" s="9">
        <f t="shared" si="2"/>
        <v>619.50819879414996</v>
      </c>
      <c r="K57" s="9">
        <f t="shared" si="3"/>
        <v>165.19688600729</v>
      </c>
      <c r="L57" s="10">
        <f t="shared" si="0"/>
        <v>0.2666581109480709</v>
      </c>
      <c r="M57" s="10">
        <f t="shared" si="4"/>
        <v>0.2744524245162111</v>
      </c>
      <c r="P57" s="8">
        <f t="shared" si="5"/>
        <v>-5.4275004339537229</v>
      </c>
      <c r="S57" s="11"/>
    </row>
    <row r="58" spans="1:25" x14ac:dyDescent="0.2">
      <c r="A58" s="8">
        <v>28</v>
      </c>
      <c r="B58" s="8">
        <v>56</v>
      </c>
      <c r="D58">
        <v>701.95235602093999</v>
      </c>
      <c r="E58">
        <v>267.19371727749001</v>
      </c>
      <c r="F58">
        <v>129.60846837427999</v>
      </c>
      <c r="G58">
        <v>113.34239414532</v>
      </c>
      <c r="I58" s="9">
        <f t="shared" si="1"/>
        <v>153.85132313217002</v>
      </c>
      <c r="J58" s="9">
        <f t="shared" si="2"/>
        <v>572.34388764666005</v>
      </c>
      <c r="K58" s="9">
        <f t="shared" si="3"/>
        <v>153.85132313217002</v>
      </c>
      <c r="L58" s="10">
        <f t="shared" si="0"/>
        <v>0.2688092359381517</v>
      </c>
      <c r="M58" s="10">
        <f t="shared" si="4"/>
        <v>0.27674526429843993</v>
      </c>
      <c r="P58" s="8">
        <f t="shared" si="5"/>
        <v>-4.6374196405627313</v>
      </c>
      <c r="S58" s="11"/>
    </row>
    <row r="59" spans="1:25" x14ac:dyDescent="0.2">
      <c r="A59" s="8">
        <v>28.5</v>
      </c>
      <c r="B59" s="8">
        <v>57</v>
      </c>
      <c r="D59">
        <v>722.39968487395004</v>
      </c>
      <c r="E59">
        <v>271.74684873950002</v>
      </c>
      <c r="F59">
        <v>129.66074228959999</v>
      </c>
      <c r="G59">
        <v>113.15891270256</v>
      </c>
      <c r="I59" s="9">
        <f t="shared" si="1"/>
        <v>158.58793603694002</v>
      </c>
      <c r="J59" s="9">
        <f t="shared" si="2"/>
        <v>592.73894258435007</v>
      </c>
      <c r="K59" s="9">
        <f t="shared" si="3"/>
        <v>158.58793603694002</v>
      </c>
      <c r="L59" s="10">
        <f t="shared" si="0"/>
        <v>0.26755106614978663</v>
      </c>
      <c r="M59" s="10">
        <f t="shared" si="4"/>
        <v>0.27562880930222283</v>
      </c>
      <c r="P59" s="8">
        <f t="shared" si="5"/>
        <v>-5.022134550009687</v>
      </c>
      <c r="R59" s="1"/>
      <c r="S59" s="11"/>
    </row>
    <row r="60" spans="1:25" x14ac:dyDescent="0.2">
      <c r="A60" s="8">
        <v>29</v>
      </c>
      <c r="B60" s="8">
        <v>58</v>
      </c>
      <c r="D60">
        <v>726.93487394958004</v>
      </c>
      <c r="E60">
        <v>273.79411764705998</v>
      </c>
      <c r="F60">
        <v>129.57239937271001</v>
      </c>
      <c r="G60">
        <v>113.27496079456</v>
      </c>
      <c r="I60" s="9">
        <f t="shared" si="1"/>
        <v>160.51915685249998</v>
      </c>
      <c r="J60" s="9">
        <f t="shared" si="2"/>
        <v>597.36247457687</v>
      </c>
      <c r="K60" s="9">
        <f t="shared" si="3"/>
        <v>160.51915685249998</v>
      </c>
      <c r="L60" s="10">
        <f t="shared" si="0"/>
        <v>0.26871315772923393</v>
      </c>
      <c r="M60" s="10">
        <f t="shared" si="4"/>
        <v>0.27693261567381816</v>
      </c>
      <c r="P60" s="8">
        <f t="shared" si="5"/>
        <v>-4.5728609546706727</v>
      </c>
      <c r="S60" s="11"/>
    </row>
    <row r="61" spans="1:25" x14ac:dyDescent="0.2">
      <c r="A61" s="8">
        <v>29.5</v>
      </c>
      <c r="B61" s="8">
        <v>59</v>
      </c>
      <c r="C61" s="2"/>
      <c r="D61">
        <v>697.84401260504001</v>
      </c>
      <c r="E61">
        <v>268.24527310923997</v>
      </c>
      <c r="F61">
        <v>129.86617877679001</v>
      </c>
      <c r="G61">
        <v>113.07422895975</v>
      </c>
      <c r="I61" s="9">
        <f t="shared" si="1"/>
        <v>155.17104414948997</v>
      </c>
      <c r="J61" s="9">
        <f t="shared" si="2"/>
        <v>567.97783382825003</v>
      </c>
      <c r="K61" s="9">
        <f t="shared" si="3"/>
        <v>155.17104414948997</v>
      </c>
      <c r="L61" s="10">
        <f t="shared" si="0"/>
        <v>0.27319911959171966</v>
      </c>
      <c r="M61" s="10">
        <f t="shared" si="4"/>
        <v>0.28156029232845187</v>
      </c>
      <c r="P61" s="8">
        <f t="shared" si="5"/>
        <v>-2.9782277530015149</v>
      </c>
      <c r="S61" s="11"/>
    </row>
    <row r="62" spans="1:25" x14ac:dyDescent="0.2">
      <c r="A62" s="8">
        <v>30</v>
      </c>
      <c r="B62" s="8">
        <v>60</v>
      </c>
      <c r="D62">
        <v>696.05829831932999</v>
      </c>
      <c r="E62">
        <v>266.98476890756001</v>
      </c>
      <c r="F62">
        <v>129.62258233142001</v>
      </c>
      <c r="G62">
        <v>113.0167276529</v>
      </c>
      <c r="I62" s="9">
        <f t="shared" si="1"/>
        <v>153.96804125466002</v>
      </c>
      <c r="J62" s="9">
        <f t="shared" si="2"/>
        <v>566.43571598791004</v>
      </c>
      <c r="K62" s="9">
        <f t="shared" si="3"/>
        <v>153.96804125466002</v>
      </c>
      <c r="L62" s="10">
        <f t="shared" si="0"/>
        <v>0.27181909069086013</v>
      </c>
      <c r="M62" s="10">
        <f t="shared" si="4"/>
        <v>0.28032197821974036</v>
      </c>
      <c r="P62" s="8">
        <f t="shared" si="5"/>
        <v>-3.4049336227535609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681.13707983193001</v>
      </c>
      <c r="E63">
        <v>262.78991596639003</v>
      </c>
      <c r="F63">
        <v>129.84422373236001</v>
      </c>
      <c r="G63">
        <v>113.18191322529999</v>
      </c>
      <c r="I63" s="9">
        <f t="shared" si="1"/>
        <v>149.60800274109005</v>
      </c>
      <c r="J63" s="9">
        <f t="shared" si="2"/>
        <v>551.29285609957003</v>
      </c>
      <c r="K63" s="9">
        <f t="shared" si="3"/>
        <v>149.60800274109005</v>
      </c>
      <c r="L63" s="10">
        <f t="shared" si="0"/>
        <v>0.27137663963138509</v>
      </c>
      <c r="M63" s="10">
        <f t="shared" si="4"/>
        <v>0.28002124195241335</v>
      </c>
      <c r="P63" s="8">
        <f t="shared" si="5"/>
        <v>-3.5085631700654982</v>
      </c>
    </row>
    <row r="64" spans="1:25" x14ac:dyDescent="0.2">
      <c r="A64" s="8">
        <v>31</v>
      </c>
      <c r="B64" s="8">
        <v>62</v>
      </c>
      <c r="D64">
        <v>686.55619747899004</v>
      </c>
      <c r="E64">
        <v>264.01365546219</v>
      </c>
      <c r="F64">
        <v>129.83795086251999</v>
      </c>
      <c r="G64">
        <v>113.14323052797</v>
      </c>
      <c r="I64" s="9">
        <f t="shared" si="1"/>
        <v>150.87042493422001</v>
      </c>
      <c r="J64" s="9">
        <f t="shared" si="2"/>
        <v>556.71824661647008</v>
      </c>
      <c r="K64" s="9">
        <f t="shared" si="3"/>
        <v>150.87042493422001</v>
      </c>
      <c r="L64" s="10">
        <f t="shared" si="0"/>
        <v>0.27099960500873699</v>
      </c>
      <c r="M64" s="10">
        <f t="shared" si="4"/>
        <v>0.27978592212191322</v>
      </c>
      <c r="P64" s="8">
        <f t="shared" si="5"/>
        <v>-3.5896511203981825</v>
      </c>
      <c r="U64" s="8">
        <v>30.5</v>
      </c>
      <c r="V64" s="10">
        <f>L62</f>
        <v>0.27181909069086013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678.38077731092005</v>
      </c>
      <c r="E65">
        <v>262.47006302520998</v>
      </c>
      <c r="F65">
        <v>129.6116048092</v>
      </c>
      <c r="G65">
        <v>113.35703084161</v>
      </c>
      <c r="I65" s="9">
        <f t="shared" si="1"/>
        <v>149.11303218359998</v>
      </c>
      <c r="J65" s="9">
        <f t="shared" si="2"/>
        <v>548.76917250172005</v>
      </c>
      <c r="K65" s="9">
        <f t="shared" si="3"/>
        <v>149.11303218359998</v>
      </c>
      <c r="L65" s="10">
        <f t="shared" si="0"/>
        <v>0.27172268351705309</v>
      </c>
      <c r="M65" s="10">
        <f t="shared" si="4"/>
        <v>0.28065071542237735</v>
      </c>
      <c r="P65" s="8">
        <f t="shared" si="5"/>
        <v>-3.291655341432008</v>
      </c>
      <c r="U65" s="8">
        <v>31</v>
      </c>
      <c r="V65" s="10">
        <f t="shared" ref="V65:V83" si="6">L63</f>
        <v>0.27137663963138509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676.96953781513002</v>
      </c>
      <c r="E66">
        <v>263.66806722689</v>
      </c>
      <c r="F66">
        <v>129.87401986409</v>
      </c>
      <c r="G66">
        <v>113.15943544172001</v>
      </c>
      <c r="I66" s="9">
        <f t="shared" si="1"/>
        <v>150.50863178517</v>
      </c>
      <c r="J66" s="9">
        <f t="shared" si="2"/>
        <v>547.09551795104005</v>
      </c>
      <c r="K66" s="9">
        <f t="shared" si="3"/>
        <v>150.50863178517</v>
      </c>
      <c r="L66" s="10">
        <f t="shared" ref="L66:L129" si="7">K66/J66</f>
        <v>0.27510485252894928</v>
      </c>
      <c r="M66" s="10">
        <f t="shared" si="4"/>
        <v>0.28417459922642152</v>
      </c>
      <c r="P66" s="8">
        <f t="shared" si="5"/>
        <v>-2.0773738494166949</v>
      </c>
      <c r="U66" s="8">
        <v>31.5</v>
      </c>
      <c r="V66" s="10">
        <f t="shared" si="6"/>
        <v>0.27099960500873699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676.14075630252</v>
      </c>
      <c r="E67">
        <v>265.21271008402999</v>
      </c>
      <c r="F67">
        <v>129.66544694198001</v>
      </c>
      <c r="G67">
        <v>113.02038682697</v>
      </c>
      <c r="I67" s="9">
        <f t="shared" ref="I67:I130" si="8">E67-G67</f>
        <v>152.19232325706</v>
      </c>
      <c r="J67" s="9">
        <f t="shared" ref="J67:J130" si="9">D67-F67</f>
        <v>546.47530936054</v>
      </c>
      <c r="K67" s="9">
        <f t="shared" ref="K67:K130" si="10">I67*1</f>
        <v>152.19232325706</v>
      </c>
      <c r="L67" s="10">
        <f t="shared" si="7"/>
        <v>0.27849807786402714</v>
      </c>
      <c r="M67" s="10">
        <f t="shared" ref="M67:M130" si="11">L67+ABS($N$2)*A67</f>
        <v>0.2877095393536474</v>
      </c>
      <c r="P67" s="8">
        <f t="shared" ref="P67:P130" si="12">(M67-$O$2)/$O$2*100</f>
        <v>-0.85928250175464249</v>
      </c>
      <c r="U67" s="8">
        <v>32</v>
      </c>
      <c r="V67" s="10">
        <f t="shared" si="6"/>
        <v>0.27172268351705309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686.37762605041996</v>
      </c>
      <c r="E68">
        <v>268.79989495797997</v>
      </c>
      <c r="F68">
        <v>129.57867224255</v>
      </c>
      <c r="G68">
        <v>113.40930475693</v>
      </c>
      <c r="I68" s="9">
        <f t="shared" si="8"/>
        <v>155.39059020104997</v>
      </c>
      <c r="J68" s="9">
        <f t="shared" si="9"/>
        <v>556.79895380787002</v>
      </c>
      <c r="K68" s="9">
        <f t="shared" si="10"/>
        <v>155.39059020104997</v>
      </c>
      <c r="L68" s="10">
        <f t="shared" si="7"/>
        <v>0.27907845217444377</v>
      </c>
      <c r="M68" s="10">
        <f t="shared" si="11"/>
        <v>0.28843162845621201</v>
      </c>
      <c r="P68" s="8">
        <f t="shared" si="12"/>
        <v>-0.61046061045849109</v>
      </c>
      <c r="U68" s="8">
        <v>32.5</v>
      </c>
      <c r="V68" s="10">
        <f t="shared" si="6"/>
        <v>0.27510485252894928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678.47373949580003</v>
      </c>
      <c r="E69">
        <v>266.30934873950002</v>
      </c>
      <c r="F69">
        <v>129.62153685311</v>
      </c>
      <c r="G69">
        <v>113.14166231051</v>
      </c>
      <c r="I69" s="9">
        <f t="shared" si="8"/>
        <v>153.16768642899001</v>
      </c>
      <c r="J69" s="9">
        <f t="shared" si="9"/>
        <v>548.85220264269003</v>
      </c>
      <c r="K69" s="9">
        <f t="shared" si="10"/>
        <v>153.16768642899001</v>
      </c>
      <c r="L69" s="10">
        <f t="shared" si="7"/>
        <v>0.27906909308461714</v>
      </c>
      <c r="M69" s="10">
        <f t="shared" si="11"/>
        <v>0.2885639841585334</v>
      </c>
      <c r="P69" s="8">
        <f t="shared" si="12"/>
        <v>-0.56485267085869117</v>
      </c>
      <c r="U69" s="8">
        <v>33</v>
      </c>
      <c r="V69" s="10">
        <f t="shared" si="6"/>
        <v>0.27849807786402714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680.70535714285995</v>
      </c>
      <c r="E70">
        <v>267.50682773109003</v>
      </c>
      <c r="F70">
        <v>129.98640878201999</v>
      </c>
      <c r="G70">
        <v>113.20439100889</v>
      </c>
      <c r="I70" s="9">
        <f t="shared" si="8"/>
        <v>154.30243672220001</v>
      </c>
      <c r="J70" s="9">
        <f t="shared" si="9"/>
        <v>550.71894836083993</v>
      </c>
      <c r="K70" s="9">
        <f t="shared" si="10"/>
        <v>154.30243672220001</v>
      </c>
      <c r="L70" s="10">
        <f t="shared" si="7"/>
        <v>0.28018363483127978</v>
      </c>
      <c r="M70" s="10">
        <f t="shared" si="11"/>
        <v>0.28982024069734402</v>
      </c>
      <c r="P70" s="8">
        <f t="shared" si="12"/>
        <v>-0.13196408850808281</v>
      </c>
      <c r="U70" s="8">
        <v>33.5</v>
      </c>
      <c r="V70" s="10">
        <f t="shared" si="6"/>
        <v>0.27907845217444377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679.90966386554999</v>
      </c>
      <c r="E71">
        <v>267.21271008402999</v>
      </c>
      <c r="F71">
        <v>130.23680083638001</v>
      </c>
      <c r="G71">
        <v>113.46366962886</v>
      </c>
      <c r="I71" s="9">
        <f t="shared" si="8"/>
        <v>153.74904045516999</v>
      </c>
      <c r="J71" s="9">
        <f t="shared" si="9"/>
        <v>549.67286302917</v>
      </c>
      <c r="K71" s="9">
        <f t="shared" si="10"/>
        <v>153.74904045516999</v>
      </c>
      <c r="L71" s="10">
        <f t="shared" si="7"/>
        <v>0.27971007993350921</v>
      </c>
      <c r="M71" s="10">
        <f t="shared" si="11"/>
        <v>0.28948840059172148</v>
      </c>
      <c r="P71" s="8">
        <f t="shared" si="12"/>
        <v>-0.24631158716947854</v>
      </c>
      <c r="U71" s="8">
        <v>34</v>
      </c>
      <c r="V71" s="10">
        <f t="shared" si="6"/>
        <v>0.27906909308461714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681.50787815126</v>
      </c>
      <c r="E72">
        <v>268.45535714286001</v>
      </c>
      <c r="F72">
        <v>130.05645582854001</v>
      </c>
      <c r="G72">
        <v>113.45791949817</v>
      </c>
      <c r="I72" s="9">
        <f t="shared" si="8"/>
        <v>154.99743764469002</v>
      </c>
      <c r="J72" s="9">
        <f t="shared" si="9"/>
        <v>551.45142232271996</v>
      </c>
      <c r="K72" s="9">
        <f t="shared" si="10"/>
        <v>154.99743764469002</v>
      </c>
      <c r="L72" s="10">
        <f t="shared" si="7"/>
        <v>0.28107178868419447</v>
      </c>
      <c r="M72" s="10">
        <f t="shared" si="11"/>
        <v>0.29099182413455471</v>
      </c>
      <c r="P72" s="8">
        <f t="shared" si="12"/>
        <v>0.27174731722100087</v>
      </c>
      <c r="U72" s="8">
        <v>34.5</v>
      </c>
      <c r="V72" s="10">
        <f t="shared" si="6"/>
        <v>0.28018363483127978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691.95745798319001</v>
      </c>
      <c r="E73">
        <v>272.76575630252</v>
      </c>
      <c r="F73">
        <v>129.92890747517001</v>
      </c>
      <c r="G73">
        <v>113.09722948248999</v>
      </c>
      <c r="I73" s="9">
        <f t="shared" si="8"/>
        <v>159.66852682003002</v>
      </c>
      <c r="J73" s="9">
        <f t="shared" si="9"/>
        <v>562.02855050801998</v>
      </c>
      <c r="K73" s="9">
        <f t="shared" si="10"/>
        <v>159.66852682003002</v>
      </c>
      <c r="L73" s="10">
        <f t="shared" si="7"/>
        <v>0.28409326657107536</v>
      </c>
      <c r="M73" s="10">
        <f t="shared" si="11"/>
        <v>0.29415501681358364</v>
      </c>
      <c r="P73" s="8">
        <f t="shared" si="12"/>
        <v>1.3617396493787874</v>
      </c>
      <c r="U73" s="8">
        <v>35</v>
      </c>
      <c r="V73" s="10">
        <f t="shared" si="6"/>
        <v>0.27971007993350921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706.56565126049998</v>
      </c>
      <c r="E74">
        <v>279.39443277311</v>
      </c>
      <c r="F74">
        <v>129.74751698902</v>
      </c>
      <c r="G74">
        <v>113.28018818610001</v>
      </c>
      <c r="I74" s="9">
        <f t="shared" si="8"/>
        <v>166.11424458700998</v>
      </c>
      <c r="J74" s="9">
        <f t="shared" si="9"/>
        <v>576.81813427147995</v>
      </c>
      <c r="K74" s="9">
        <f t="shared" si="10"/>
        <v>166.11424458700998</v>
      </c>
      <c r="L74" s="10">
        <f t="shared" si="7"/>
        <v>0.2879837416984331</v>
      </c>
      <c r="M74" s="10">
        <f t="shared" si="11"/>
        <v>0.2981872067330894</v>
      </c>
      <c r="P74" s="8">
        <f t="shared" si="12"/>
        <v>2.7511763799337081</v>
      </c>
      <c r="U74" s="8">
        <v>35.5</v>
      </c>
      <c r="V74" s="10">
        <f t="shared" si="6"/>
        <v>0.28107178868419447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709.66701680671997</v>
      </c>
      <c r="E75">
        <v>279.75</v>
      </c>
      <c r="F75">
        <v>129.65237846315</v>
      </c>
      <c r="G75">
        <v>113.26032409827999</v>
      </c>
      <c r="I75" s="9">
        <f t="shared" si="8"/>
        <v>166.48967590172001</v>
      </c>
      <c r="J75" s="9">
        <f t="shared" si="9"/>
        <v>580.01463834356991</v>
      </c>
      <c r="K75" s="9">
        <f t="shared" si="10"/>
        <v>166.48967590172001</v>
      </c>
      <c r="L75" s="10">
        <f t="shared" si="7"/>
        <v>0.28704392078308261</v>
      </c>
      <c r="M75" s="10">
        <f t="shared" si="11"/>
        <v>0.29738910060988688</v>
      </c>
      <c r="P75" s="8">
        <f t="shared" si="12"/>
        <v>2.4761600774788128</v>
      </c>
      <c r="U75" s="8">
        <v>36</v>
      </c>
      <c r="V75" s="10">
        <f t="shared" si="6"/>
        <v>0.28409326657107536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722.83928571428999</v>
      </c>
      <c r="E76">
        <v>282.93014705882001</v>
      </c>
      <c r="F76">
        <v>129.66231050706</v>
      </c>
      <c r="G76">
        <v>113.34762153685</v>
      </c>
      <c r="I76" s="9">
        <f t="shared" si="8"/>
        <v>169.58252552197001</v>
      </c>
      <c r="J76" s="9">
        <f t="shared" si="9"/>
        <v>593.17697520723004</v>
      </c>
      <c r="K76" s="9">
        <f t="shared" si="10"/>
        <v>169.58252552197001</v>
      </c>
      <c r="L76" s="10">
        <f t="shared" si="7"/>
        <v>0.28588858403130923</v>
      </c>
      <c r="M76" s="10">
        <f t="shared" si="11"/>
        <v>0.29637547865026154</v>
      </c>
      <c r="P76" s="8">
        <f t="shared" si="12"/>
        <v>2.1268800064217595</v>
      </c>
      <c r="U76" s="8">
        <v>36.5</v>
      </c>
      <c r="V76" s="10">
        <f t="shared" si="6"/>
        <v>0.2879837416984331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773.5625</v>
      </c>
      <c r="E77">
        <v>296.56039915965999</v>
      </c>
      <c r="F77">
        <v>129.85833768949001</v>
      </c>
      <c r="G77">
        <v>113.25039205437</v>
      </c>
      <c r="I77" s="9">
        <f t="shared" si="8"/>
        <v>183.31000710529</v>
      </c>
      <c r="J77" s="9">
        <f t="shared" si="9"/>
        <v>643.70416231051001</v>
      </c>
      <c r="K77" s="9">
        <f t="shared" si="10"/>
        <v>183.31000710529</v>
      </c>
      <c r="L77" s="10">
        <f t="shared" si="7"/>
        <v>0.28477368617179288</v>
      </c>
      <c r="M77" s="10">
        <f t="shared" si="11"/>
        <v>0.29540229558289316</v>
      </c>
      <c r="P77" s="8">
        <f t="shared" si="12"/>
        <v>1.7915346168570077</v>
      </c>
      <c r="U77" s="8">
        <v>37</v>
      </c>
      <c r="V77" s="10">
        <f t="shared" si="6"/>
        <v>0.28704392078308261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776.15433070866004</v>
      </c>
      <c r="E78">
        <v>296.76955380576999</v>
      </c>
      <c r="F78">
        <v>129.63930998431999</v>
      </c>
      <c r="G78">
        <v>113.22268687925001</v>
      </c>
      <c r="I78" s="9">
        <f t="shared" si="8"/>
        <v>183.54686692651998</v>
      </c>
      <c r="J78" s="9">
        <f t="shared" si="9"/>
        <v>646.51502072434005</v>
      </c>
      <c r="K78" s="9">
        <f t="shared" si="10"/>
        <v>183.54686692651998</v>
      </c>
      <c r="L78" s="10">
        <f t="shared" si="7"/>
        <v>0.28390193737630171</v>
      </c>
      <c r="M78" s="10">
        <f t="shared" si="11"/>
        <v>0.29467226157955001</v>
      </c>
      <c r="P78" s="8">
        <f t="shared" si="12"/>
        <v>1.5399750229271278</v>
      </c>
      <c r="U78" s="8">
        <v>37.5</v>
      </c>
      <c r="V78" s="10">
        <f t="shared" si="6"/>
        <v>0.28588858403130923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768.69921259842999</v>
      </c>
      <c r="E79">
        <v>294.74015748032002</v>
      </c>
      <c r="F79">
        <v>129.81651855723999</v>
      </c>
      <c r="G79">
        <v>113.21693674856</v>
      </c>
      <c r="I79" s="9">
        <f t="shared" si="8"/>
        <v>181.52322073176003</v>
      </c>
      <c r="J79" s="9">
        <f t="shared" si="9"/>
        <v>638.88269404119001</v>
      </c>
      <c r="K79" s="9">
        <f t="shared" si="10"/>
        <v>181.52322073176003</v>
      </c>
      <c r="L79" s="10">
        <f t="shared" si="7"/>
        <v>0.28412605698168569</v>
      </c>
      <c r="M79" s="10">
        <f t="shared" si="11"/>
        <v>0.29503809597708197</v>
      </c>
      <c r="P79" s="8">
        <f t="shared" si="12"/>
        <v>1.666036483170459</v>
      </c>
      <c r="U79" s="8">
        <v>38</v>
      </c>
      <c r="V79" s="10">
        <f t="shared" si="6"/>
        <v>0.28477368617179288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791.37585301836998</v>
      </c>
      <c r="E80">
        <v>302.53753280839999</v>
      </c>
      <c r="F80">
        <v>129.63930998431999</v>
      </c>
      <c r="G80">
        <v>113.30057501307</v>
      </c>
      <c r="I80" s="9">
        <f t="shared" si="8"/>
        <v>189.23695779533</v>
      </c>
      <c r="J80" s="9">
        <f t="shared" si="9"/>
        <v>661.73654303404999</v>
      </c>
      <c r="K80" s="9">
        <f t="shared" si="10"/>
        <v>189.23695779533</v>
      </c>
      <c r="L80" s="10">
        <f t="shared" si="7"/>
        <v>0.285970239648066</v>
      </c>
      <c r="M80" s="10">
        <f t="shared" si="11"/>
        <v>0.29702399343561031</v>
      </c>
      <c r="P80" s="8">
        <f t="shared" si="12"/>
        <v>2.3503492082846451</v>
      </c>
      <c r="U80" s="8">
        <v>38.5</v>
      </c>
      <c r="V80" s="10">
        <f t="shared" si="6"/>
        <v>0.28390193737630171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754.13228346457004</v>
      </c>
      <c r="E81">
        <v>290.93910761155001</v>
      </c>
      <c r="F81">
        <v>129.94981704130001</v>
      </c>
      <c r="G81">
        <v>113.25614218505</v>
      </c>
      <c r="I81" s="9">
        <f t="shared" si="8"/>
        <v>177.6829654265</v>
      </c>
      <c r="J81" s="9">
        <f t="shared" si="9"/>
        <v>624.18246642327006</v>
      </c>
      <c r="K81" s="9">
        <f t="shared" si="10"/>
        <v>177.6829654265</v>
      </c>
      <c r="L81" s="10">
        <f t="shared" si="7"/>
        <v>0.28466510192871997</v>
      </c>
      <c r="M81" s="10">
        <f t="shared" si="11"/>
        <v>0.29586057050841225</v>
      </c>
      <c r="P81" s="8">
        <f t="shared" si="12"/>
        <v>1.949449801141429</v>
      </c>
      <c r="U81" s="8">
        <v>39</v>
      </c>
      <c r="V81" s="10">
        <f t="shared" si="6"/>
        <v>0.28412605698168569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752.42212899843003</v>
      </c>
      <c r="E82">
        <v>289.07026743576</v>
      </c>
      <c r="F82">
        <v>129.79142707789001</v>
      </c>
      <c r="G82">
        <v>113.09357030842</v>
      </c>
      <c r="H82" s="13"/>
      <c r="I82" s="14">
        <f t="shared" si="8"/>
        <v>175.97669712734</v>
      </c>
      <c r="J82" s="14">
        <f t="shared" si="9"/>
        <v>622.63070192053999</v>
      </c>
      <c r="K82" s="9">
        <f t="shared" si="10"/>
        <v>175.97669712734</v>
      </c>
      <c r="L82" s="15">
        <f t="shared" si="7"/>
        <v>0.28263414666917297</v>
      </c>
      <c r="M82" s="15">
        <f t="shared" si="11"/>
        <v>0.29397133004101328</v>
      </c>
      <c r="N82" s="13"/>
      <c r="O82" s="13"/>
      <c r="P82" s="13">
        <f t="shared" si="12"/>
        <v>1.2984437347960671</v>
      </c>
      <c r="U82" s="8">
        <v>39.5</v>
      </c>
      <c r="V82" s="10">
        <f t="shared" si="6"/>
        <v>0.285970239648066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746.00734137388997</v>
      </c>
      <c r="E83">
        <v>286.75196643943002</v>
      </c>
      <c r="F83">
        <v>129.58233141662001</v>
      </c>
      <c r="G83">
        <v>113.3146889702</v>
      </c>
      <c r="I83" s="9">
        <f t="shared" si="8"/>
        <v>173.43727746923003</v>
      </c>
      <c r="J83" s="9">
        <f t="shared" si="9"/>
        <v>616.42500995726994</v>
      </c>
      <c r="K83" s="9">
        <f t="shared" si="10"/>
        <v>173.43727746923003</v>
      </c>
      <c r="L83" s="10">
        <f t="shared" si="7"/>
        <v>0.2813598972586342</v>
      </c>
      <c r="M83" s="10">
        <f t="shared" si="11"/>
        <v>0.29283879542262253</v>
      </c>
      <c r="P83" s="8">
        <f t="shared" si="12"/>
        <v>0.90818801052949327</v>
      </c>
      <c r="U83" s="8">
        <v>40</v>
      </c>
      <c r="V83" s="10">
        <f t="shared" si="6"/>
        <v>0.28466510192871997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765.64551651808995</v>
      </c>
      <c r="E84">
        <v>289.91819611955998</v>
      </c>
      <c r="F84">
        <v>129.48510193414</v>
      </c>
      <c r="G84">
        <v>113.34134866702</v>
      </c>
      <c r="I84" s="9">
        <f t="shared" si="8"/>
        <v>176.57684745253999</v>
      </c>
      <c r="J84" s="9">
        <f t="shared" si="9"/>
        <v>636.16041458394989</v>
      </c>
      <c r="K84" s="9">
        <f t="shared" si="10"/>
        <v>176.57684745253999</v>
      </c>
      <c r="L84" s="10">
        <f t="shared" si="7"/>
        <v>0.27756654360209065</v>
      </c>
      <c r="M84" s="10">
        <f t="shared" si="11"/>
        <v>0.28918715655822697</v>
      </c>
      <c r="P84" s="8">
        <f t="shared" si="12"/>
        <v>-0.35011610366137647</v>
      </c>
      <c r="U84" s="8">
        <v>150.5</v>
      </c>
      <c r="V84" s="10">
        <f>L302</f>
        <v>0.25095367779103245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777.98846355531998</v>
      </c>
      <c r="E85">
        <v>295.41845831147998</v>
      </c>
      <c r="F85">
        <v>129.37114479875001</v>
      </c>
      <c r="G85">
        <v>113.11238891793001</v>
      </c>
      <c r="I85" s="9">
        <f t="shared" si="8"/>
        <v>182.30606939354999</v>
      </c>
      <c r="J85" s="9">
        <f t="shared" si="9"/>
        <v>648.61731875656994</v>
      </c>
      <c r="K85" s="9">
        <f t="shared" si="10"/>
        <v>182.30606939354999</v>
      </c>
      <c r="L85" s="10">
        <f t="shared" si="7"/>
        <v>0.28106876600680253</v>
      </c>
      <c r="M85" s="10">
        <f t="shared" si="11"/>
        <v>0.29283109375508687</v>
      </c>
      <c r="P85" s="8">
        <f t="shared" si="12"/>
        <v>0.90553412269826583</v>
      </c>
      <c r="U85" s="8">
        <v>151</v>
      </c>
      <c r="V85" s="10">
        <f t="shared" ref="V85:V103" si="13">L303</f>
        <v>0.24910357368846356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753.83219716833003</v>
      </c>
      <c r="E86">
        <v>286.76088096487001</v>
      </c>
      <c r="F86">
        <v>129.33978044956001</v>
      </c>
      <c r="G86">
        <v>113.42916884475</v>
      </c>
      <c r="I86" s="9">
        <f t="shared" si="8"/>
        <v>173.33171212012002</v>
      </c>
      <c r="J86" s="9">
        <f t="shared" si="9"/>
        <v>624.49241671877007</v>
      </c>
      <c r="K86" s="9">
        <f t="shared" si="10"/>
        <v>173.33171212012002</v>
      </c>
      <c r="L86" s="10">
        <f t="shared" si="7"/>
        <v>0.27755615197194156</v>
      </c>
      <c r="M86" s="10">
        <f t="shared" si="11"/>
        <v>0.28946019451237387</v>
      </c>
      <c r="P86" s="8">
        <f t="shared" si="12"/>
        <v>-0.25603101096966652</v>
      </c>
      <c r="U86" s="8">
        <v>151.5</v>
      </c>
      <c r="V86" s="10">
        <f t="shared" si="13"/>
        <v>0.24841265269889426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743.46932354483999</v>
      </c>
      <c r="E87">
        <v>281.49239643419003</v>
      </c>
      <c r="F87">
        <v>130.18557239936999</v>
      </c>
      <c r="G87">
        <v>113.19393622582</v>
      </c>
      <c r="I87" s="9">
        <f t="shared" si="8"/>
        <v>168.29846020837005</v>
      </c>
      <c r="J87" s="9">
        <f t="shared" si="9"/>
        <v>613.28375114546998</v>
      </c>
      <c r="K87" s="9">
        <f t="shared" si="10"/>
        <v>168.29846020837005</v>
      </c>
      <c r="L87" s="10">
        <f t="shared" si="7"/>
        <v>0.27442184778909934</v>
      </c>
      <c r="M87" s="10">
        <f t="shared" si="11"/>
        <v>0.28646760512167968</v>
      </c>
      <c r="P87" s="8">
        <f t="shared" si="12"/>
        <v>-1.2872358157793391</v>
      </c>
      <c r="U87" s="8">
        <v>152</v>
      </c>
      <c r="V87" s="10">
        <f t="shared" si="13"/>
        <v>0.24831904941481051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745.42947037230999</v>
      </c>
      <c r="E88">
        <v>278.14997378081</v>
      </c>
      <c r="F88">
        <v>129.30109775221999</v>
      </c>
      <c r="G88">
        <v>113.3303711448</v>
      </c>
      <c r="I88" s="9">
        <f t="shared" si="8"/>
        <v>164.81960263601002</v>
      </c>
      <c r="J88" s="9">
        <f t="shared" si="9"/>
        <v>616.12837262008998</v>
      </c>
      <c r="K88" s="9">
        <f t="shared" si="10"/>
        <v>164.81960263601002</v>
      </c>
      <c r="L88" s="10">
        <f t="shared" si="7"/>
        <v>0.26750854198632917</v>
      </c>
      <c r="M88" s="10">
        <f t="shared" si="11"/>
        <v>0.27969601411105749</v>
      </c>
      <c r="P88" s="8">
        <f t="shared" si="12"/>
        <v>-3.6206321741550438</v>
      </c>
      <c r="U88" s="8">
        <v>152.5</v>
      </c>
      <c r="V88" s="10">
        <f t="shared" si="13"/>
        <v>0.25263744184464382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753.63188253802002</v>
      </c>
      <c r="E89">
        <v>276.51389617199999</v>
      </c>
      <c r="F89">
        <v>129.72608468374</v>
      </c>
      <c r="G89">
        <v>113.35023523261999</v>
      </c>
      <c r="I89" s="9">
        <f t="shared" si="8"/>
        <v>163.16366093938001</v>
      </c>
      <c r="J89" s="9">
        <f t="shared" si="9"/>
        <v>623.90579785428008</v>
      </c>
      <c r="K89" s="9">
        <f t="shared" si="10"/>
        <v>163.16366093938001</v>
      </c>
      <c r="L89" s="10">
        <f t="shared" si="7"/>
        <v>0.2615197061808498</v>
      </c>
      <c r="M89" s="10">
        <f t="shared" si="11"/>
        <v>0.27384889309772614</v>
      </c>
      <c r="P89" s="8">
        <f t="shared" si="12"/>
        <v>-5.6354689913945144</v>
      </c>
      <c r="U89" s="8">
        <v>153</v>
      </c>
      <c r="V89" s="10">
        <f t="shared" si="13"/>
        <v>0.25290666295437481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729.93864708966998</v>
      </c>
      <c r="E90">
        <v>270.02569480860001</v>
      </c>
      <c r="F90">
        <v>129.72556194459</v>
      </c>
      <c r="G90">
        <v>113.4621014114</v>
      </c>
      <c r="I90" s="9">
        <f t="shared" si="8"/>
        <v>156.56359339720001</v>
      </c>
      <c r="J90" s="9">
        <f t="shared" si="9"/>
        <v>600.21308514507996</v>
      </c>
      <c r="K90" s="9">
        <f t="shared" si="10"/>
        <v>156.56359339720001</v>
      </c>
      <c r="L90" s="10">
        <f t="shared" si="7"/>
        <v>0.26084668473923123</v>
      </c>
      <c r="M90" s="10">
        <f t="shared" si="11"/>
        <v>0.27331758644825555</v>
      </c>
      <c r="P90" s="8">
        <f t="shared" si="12"/>
        <v>-5.8185498949976369</v>
      </c>
      <c r="U90" s="8">
        <v>153.5</v>
      </c>
      <c r="V90" s="10">
        <f t="shared" si="13"/>
        <v>0.24904617973043866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729.37231253277002</v>
      </c>
      <c r="E91">
        <v>268.41531200839</v>
      </c>
      <c r="F91">
        <v>129.92943021432001</v>
      </c>
      <c r="G91">
        <v>113.16414009409</v>
      </c>
      <c r="I91" s="9">
        <f t="shared" si="8"/>
        <v>155.25117191430002</v>
      </c>
      <c r="J91" s="9">
        <f t="shared" si="9"/>
        <v>599.44288231845007</v>
      </c>
      <c r="K91" s="9">
        <f t="shared" si="10"/>
        <v>155.25117191430002</v>
      </c>
      <c r="L91" s="10">
        <f t="shared" si="7"/>
        <v>0.25899243529898791</v>
      </c>
      <c r="M91" s="10">
        <f t="shared" si="11"/>
        <v>0.27160505180016026</v>
      </c>
      <c r="P91" s="8">
        <f t="shared" si="12"/>
        <v>-6.4086655864487962</v>
      </c>
      <c r="U91" s="8">
        <v>154</v>
      </c>
      <c r="V91" s="10">
        <f t="shared" si="13"/>
        <v>0.24844109097389347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753.22367731796999</v>
      </c>
      <c r="E92">
        <v>270.70560502881</v>
      </c>
      <c r="F92">
        <v>130.1562990068</v>
      </c>
      <c r="G92">
        <v>113.18191322529999</v>
      </c>
      <c r="I92" s="9">
        <f t="shared" si="8"/>
        <v>157.52369180351002</v>
      </c>
      <c r="J92" s="9">
        <f t="shared" si="9"/>
        <v>623.06737831116993</v>
      </c>
      <c r="K92" s="9">
        <f t="shared" si="10"/>
        <v>157.52369180351002</v>
      </c>
      <c r="L92" s="10">
        <f t="shared" si="7"/>
        <v>0.25281967454383425</v>
      </c>
      <c r="M92" s="10">
        <f t="shared" si="11"/>
        <v>0.26557400583715457</v>
      </c>
      <c r="P92" s="8">
        <f t="shared" si="12"/>
        <v>-8.4868803907981398</v>
      </c>
      <c r="U92" s="8">
        <v>154.5</v>
      </c>
      <c r="V92" s="10">
        <f t="shared" si="13"/>
        <v>0.25095423295750652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762.54950235726005</v>
      </c>
      <c r="E93">
        <v>270.95442640125998</v>
      </c>
      <c r="F93">
        <v>129.87192890748</v>
      </c>
      <c r="G93">
        <v>113.26555148980999</v>
      </c>
      <c r="I93" s="9">
        <f t="shared" si="8"/>
        <v>157.68887491145</v>
      </c>
      <c r="J93" s="9">
        <f t="shared" si="9"/>
        <v>632.67757344978008</v>
      </c>
      <c r="K93" s="9">
        <f t="shared" si="10"/>
        <v>157.68887491145</v>
      </c>
      <c r="L93" s="10">
        <f t="shared" si="7"/>
        <v>0.2492405002624403</v>
      </c>
      <c r="M93" s="10">
        <f t="shared" si="11"/>
        <v>0.26213654634790867</v>
      </c>
      <c r="P93" s="8">
        <f t="shared" si="12"/>
        <v>-9.6713812624084277</v>
      </c>
      <c r="U93" s="8">
        <v>155</v>
      </c>
      <c r="V93" s="10">
        <f t="shared" si="13"/>
        <v>0.24388987534605647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744.70089051859998</v>
      </c>
      <c r="E94">
        <v>265.07228915663001</v>
      </c>
      <c r="F94">
        <v>129.66178776789999</v>
      </c>
      <c r="G94">
        <v>113.35650810246</v>
      </c>
      <c r="I94" s="9">
        <f t="shared" si="8"/>
        <v>151.71578105417001</v>
      </c>
      <c r="J94" s="9">
        <f t="shared" si="9"/>
        <v>615.03910275069995</v>
      </c>
      <c r="K94" s="9">
        <f t="shared" si="10"/>
        <v>151.71578105417001</v>
      </c>
      <c r="L94" s="10">
        <f t="shared" si="7"/>
        <v>0.24667664279496471</v>
      </c>
      <c r="M94" s="10">
        <f t="shared" si="11"/>
        <v>0.25971440367258108</v>
      </c>
      <c r="P94" s="8">
        <f t="shared" si="12"/>
        <v>-10.506018039675412</v>
      </c>
      <c r="U94" s="8">
        <v>155.5</v>
      </c>
      <c r="V94" s="10">
        <f t="shared" si="13"/>
        <v>0.24150896917972792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740.56469355683998</v>
      </c>
      <c r="E95">
        <v>262.14614981666</v>
      </c>
      <c r="F95">
        <v>129.89440669106</v>
      </c>
      <c r="G95">
        <v>113.03554626242</v>
      </c>
      <c r="I95" s="9">
        <f t="shared" si="8"/>
        <v>149.11060355424002</v>
      </c>
      <c r="J95" s="9">
        <f t="shared" si="9"/>
        <v>610.67028686577999</v>
      </c>
      <c r="K95" s="9">
        <f t="shared" si="10"/>
        <v>149.11060355424002</v>
      </c>
      <c r="L95" s="10">
        <f t="shared" si="7"/>
        <v>0.24417530500712445</v>
      </c>
      <c r="M95" s="10">
        <f t="shared" si="11"/>
        <v>0.25735478067688883</v>
      </c>
      <c r="P95" s="8">
        <f t="shared" si="12"/>
        <v>-11.319111402321067</v>
      </c>
      <c r="U95" s="8">
        <v>156</v>
      </c>
      <c r="V95" s="10">
        <f t="shared" si="13"/>
        <v>0.24278561646392963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756.93871136720998</v>
      </c>
      <c r="E96">
        <v>264.62441068622002</v>
      </c>
      <c r="F96">
        <v>129.77208572922001</v>
      </c>
      <c r="G96">
        <v>113.19550444328</v>
      </c>
      <c r="I96" s="9">
        <f t="shared" si="8"/>
        <v>151.42890624294</v>
      </c>
      <c r="J96" s="9">
        <f t="shared" si="9"/>
        <v>627.16662563798991</v>
      </c>
      <c r="K96" s="9">
        <f t="shared" si="10"/>
        <v>151.42890624294</v>
      </c>
      <c r="L96" s="10">
        <f t="shared" si="7"/>
        <v>0.24144924180061053</v>
      </c>
      <c r="M96" s="10">
        <f t="shared" si="11"/>
        <v>0.25477043226252288</v>
      </c>
      <c r="P96" s="8">
        <f t="shared" si="12"/>
        <v>-12.209642027900216</v>
      </c>
      <c r="U96" s="8">
        <v>156.5</v>
      </c>
      <c r="V96" s="10">
        <f t="shared" si="13"/>
        <v>0.24397014019715776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785.23117430226</v>
      </c>
      <c r="E97">
        <v>268.77567140600001</v>
      </c>
      <c r="F97">
        <v>129.37114479875001</v>
      </c>
      <c r="G97">
        <v>113.35128071093</v>
      </c>
      <c r="I97" s="9">
        <f t="shared" si="8"/>
        <v>155.42439069507003</v>
      </c>
      <c r="J97" s="9">
        <f t="shared" si="9"/>
        <v>655.86002950350996</v>
      </c>
      <c r="K97" s="9">
        <f t="shared" si="10"/>
        <v>155.42439069507003</v>
      </c>
      <c r="L97" s="10">
        <f t="shared" si="7"/>
        <v>0.23697798875276366</v>
      </c>
      <c r="M97" s="10">
        <f t="shared" si="11"/>
        <v>0.25044089400682401</v>
      </c>
      <c r="P97" s="8">
        <f t="shared" si="12"/>
        <v>-13.701540871679885</v>
      </c>
      <c r="U97" s="8">
        <v>157</v>
      </c>
      <c r="V97" s="10">
        <f t="shared" si="13"/>
        <v>0.24366879851256229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777.92838335965996</v>
      </c>
      <c r="E98">
        <v>265.82306477092999</v>
      </c>
      <c r="F98">
        <v>129.85624673288001</v>
      </c>
      <c r="G98">
        <v>113.26293779404</v>
      </c>
      <c r="I98" s="9">
        <f t="shared" si="8"/>
        <v>152.56012697688999</v>
      </c>
      <c r="J98" s="9">
        <f t="shared" si="9"/>
        <v>648.07213662677998</v>
      </c>
      <c r="K98" s="9">
        <f t="shared" si="10"/>
        <v>152.56012697688999</v>
      </c>
      <c r="L98" s="10">
        <f t="shared" si="7"/>
        <v>0.23540608885141479</v>
      </c>
      <c r="M98" s="10">
        <f t="shared" si="11"/>
        <v>0.24901070889762317</v>
      </c>
      <c r="P98" s="8">
        <f t="shared" si="12"/>
        <v>-14.194362827462145</v>
      </c>
      <c r="U98" s="8">
        <v>157.5</v>
      </c>
      <c r="V98" s="10">
        <f t="shared" si="13"/>
        <v>0.24418506214346883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781.20853080568997</v>
      </c>
      <c r="E99">
        <v>265.98736176935</v>
      </c>
      <c r="F99">
        <v>130.00470465238001</v>
      </c>
      <c r="G99">
        <v>113.08416100366</v>
      </c>
      <c r="I99" s="9">
        <f t="shared" si="8"/>
        <v>152.90320076569</v>
      </c>
      <c r="J99" s="9">
        <f t="shared" si="9"/>
        <v>651.20382615330993</v>
      </c>
      <c r="K99" s="9">
        <f t="shared" si="10"/>
        <v>152.90320076569</v>
      </c>
      <c r="L99" s="10">
        <f t="shared" si="7"/>
        <v>0.23480083289574025</v>
      </c>
      <c r="M99" s="10">
        <f t="shared" si="11"/>
        <v>0.24854716773409663</v>
      </c>
      <c r="P99" s="8">
        <f t="shared" si="12"/>
        <v>-14.354092684335276</v>
      </c>
      <c r="U99" s="8">
        <v>158</v>
      </c>
      <c r="V99" s="10">
        <f t="shared" si="13"/>
        <v>0.24293117159857935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776.60084254871003</v>
      </c>
      <c r="E100">
        <v>262.83517640864</v>
      </c>
      <c r="F100">
        <v>129.64662833246001</v>
      </c>
      <c r="G100">
        <v>113.1495033978</v>
      </c>
      <c r="I100" s="9">
        <f t="shared" si="8"/>
        <v>149.68567301083999</v>
      </c>
      <c r="J100" s="9">
        <f t="shared" si="9"/>
        <v>646.95421421624997</v>
      </c>
      <c r="K100" s="9">
        <f t="shared" si="10"/>
        <v>149.68567301083999</v>
      </c>
      <c r="L100" s="10">
        <f t="shared" si="7"/>
        <v>0.23136980905546164</v>
      </c>
      <c r="M100" s="10">
        <f t="shared" si="11"/>
        <v>0.24525785868596603</v>
      </c>
      <c r="P100" s="8">
        <f t="shared" si="12"/>
        <v>-15.487542968388238</v>
      </c>
      <c r="U100" s="8">
        <v>158.5</v>
      </c>
      <c r="V100" s="10">
        <f t="shared" si="13"/>
        <v>0.2398864392008643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785.42127435492</v>
      </c>
      <c r="E101">
        <v>264.80726698261998</v>
      </c>
      <c r="F101">
        <v>129.81495033978001</v>
      </c>
      <c r="G101">
        <v>113.43282801882</v>
      </c>
      <c r="I101" s="9">
        <f t="shared" si="8"/>
        <v>151.37443896379997</v>
      </c>
      <c r="J101" s="9">
        <f t="shared" si="9"/>
        <v>655.60632401513999</v>
      </c>
      <c r="K101" s="9">
        <f t="shared" si="10"/>
        <v>151.37443896379997</v>
      </c>
      <c r="L101" s="10">
        <f t="shared" si="7"/>
        <v>0.23089228004503548</v>
      </c>
      <c r="M101" s="10">
        <f t="shared" si="11"/>
        <v>0.24492204446768787</v>
      </c>
      <c r="P101" s="8">
        <f t="shared" si="12"/>
        <v>-15.603259891160432</v>
      </c>
      <c r="U101" s="8">
        <v>159</v>
      </c>
      <c r="V101" s="10">
        <f t="shared" si="13"/>
        <v>0.24248709616624481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786.32122169563002</v>
      </c>
      <c r="E102">
        <v>264.22485518693998</v>
      </c>
      <c r="F102">
        <v>129.63826450600999</v>
      </c>
      <c r="G102">
        <v>113.24202822791</v>
      </c>
      <c r="I102" s="9">
        <f t="shared" si="8"/>
        <v>150.98282695902998</v>
      </c>
      <c r="J102" s="9">
        <f t="shared" si="9"/>
        <v>656.68295718962008</v>
      </c>
      <c r="K102" s="9">
        <f t="shared" si="10"/>
        <v>150.98282695902998</v>
      </c>
      <c r="L102" s="10">
        <f t="shared" si="7"/>
        <v>0.2299173829715106</v>
      </c>
      <c r="M102" s="10">
        <f t="shared" si="11"/>
        <v>0.24408886218631098</v>
      </c>
      <c r="P102" s="8">
        <f t="shared" si="12"/>
        <v>-15.890362951309564</v>
      </c>
      <c r="U102" s="8">
        <v>159.5</v>
      </c>
      <c r="V102" s="10">
        <f t="shared" si="13"/>
        <v>0.24553736109845342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800.14112690889999</v>
      </c>
      <c r="E103">
        <v>267.46340179041999</v>
      </c>
      <c r="F103">
        <v>129.29430214323</v>
      </c>
      <c r="G103">
        <v>113.33768949294</v>
      </c>
      <c r="I103" s="9">
        <f t="shared" si="8"/>
        <v>154.12571229747999</v>
      </c>
      <c r="J103" s="9">
        <f t="shared" si="9"/>
        <v>670.84682476567002</v>
      </c>
      <c r="K103" s="9">
        <f t="shared" si="10"/>
        <v>154.12571229747999</v>
      </c>
      <c r="L103" s="10">
        <f t="shared" si="7"/>
        <v>0.22974799403920088</v>
      </c>
      <c r="M103" s="10">
        <f t="shared" si="11"/>
        <v>0.24406118804614926</v>
      </c>
      <c r="P103" s="8">
        <f t="shared" si="12"/>
        <v>-15.899899076242868</v>
      </c>
      <c r="U103" s="8">
        <v>160</v>
      </c>
      <c r="V103" s="10">
        <f t="shared" si="13"/>
        <v>0.2418633859677774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757.67298578198995</v>
      </c>
      <c r="E104">
        <v>255.64244339126</v>
      </c>
      <c r="F104">
        <v>129.88604286461</v>
      </c>
      <c r="G104">
        <v>113.01986408782</v>
      </c>
      <c r="I104" s="9">
        <f t="shared" si="8"/>
        <v>142.62257930344001</v>
      </c>
      <c r="J104" s="9">
        <f t="shared" si="9"/>
        <v>627.78694291737997</v>
      </c>
      <c r="K104" s="9">
        <f t="shared" si="10"/>
        <v>142.62257930344001</v>
      </c>
      <c r="L104" s="10">
        <f t="shared" si="7"/>
        <v>0.22718309278727683</v>
      </c>
      <c r="M104" s="10">
        <f t="shared" si="11"/>
        <v>0.24163800158637322</v>
      </c>
      <c r="P104" s="8">
        <f t="shared" si="12"/>
        <v>-16.734895527156286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763.83833596629995</v>
      </c>
      <c r="E105">
        <v>257.37335439704998</v>
      </c>
      <c r="F105">
        <v>129.51751176163</v>
      </c>
      <c r="G105">
        <v>113.06168322006999</v>
      </c>
      <c r="I105" s="9">
        <f t="shared" si="8"/>
        <v>144.31167117697998</v>
      </c>
      <c r="J105" s="9">
        <f t="shared" si="9"/>
        <v>634.32082420466998</v>
      </c>
      <c r="K105" s="9">
        <f t="shared" si="10"/>
        <v>144.31167117697998</v>
      </c>
      <c r="L105" s="10">
        <f t="shared" si="7"/>
        <v>0.22750580726704375</v>
      </c>
      <c r="M105" s="10">
        <f t="shared" si="11"/>
        <v>0.24210243085828814</v>
      </c>
      <c r="P105" s="8">
        <f t="shared" si="12"/>
        <v>-16.57485964044821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767.76145339652999</v>
      </c>
      <c r="E106">
        <v>257.85150078989</v>
      </c>
      <c r="F106">
        <v>129.79613173026999</v>
      </c>
      <c r="G106">
        <v>113.3303711448</v>
      </c>
      <c r="I106" s="9">
        <f t="shared" si="8"/>
        <v>144.52112964509001</v>
      </c>
      <c r="J106" s="9">
        <f t="shared" si="9"/>
        <v>637.96532166626002</v>
      </c>
      <c r="K106" s="9">
        <f t="shared" si="10"/>
        <v>144.52112964509001</v>
      </c>
      <c r="L106" s="10">
        <f t="shared" si="7"/>
        <v>0.22653446000422828</v>
      </c>
      <c r="M106" s="10">
        <f t="shared" si="11"/>
        <v>0.24127279838762067</v>
      </c>
      <c r="P106" s="8">
        <f t="shared" si="12"/>
        <v>-16.860739485053276</v>
      </c>
      <c r="X106" s="8">
        <v>-13</v>
      </c>
    </row>
    <row r="107" spans="1:25" x14ac:dyDescent="0.2">
      <c r="A107" s="8">
        <v>52.5</v>
      </c>
      <c r="B107" s="8">
        <v>105</v>
      </c>
      <c r="D107">
        <v>780.70510795154996</v>
      </c>
      <c r="E107">
        <v>259.82991047920001</v>
      </c>
      <c r="F107">
        <v>129.71824359645001</v>
      </c>
      <c r="G107">
        <v>113.13800313644001</v>
      </c>
      <c r="I107" s="9">
        <f t="shared" si="8"/>
        <v>146.69190734276</v>
      </c>
      <c r="J107" s="9">
        <f t="shared" si="9"/>
        <v>650.9868643550999</v>
      </c>
      <c r="K107" s="9">
        <f t="shared" si="10"/>
        <v>146.69190734276</v>
      </c>
      <c r="L107" s="10">
        <f t="shared" si="7"/>
        <v>0.2253377377868912</v>
      </c>
      <c r="M107" s="10">
        <f t="shared" si="11"/>
        <v>0.24021779096243159</v>
      </c>
      <c r="P107" s="8">
        <f t="shared" si="12"/>
        <v>-17.224280413637697</v>
      </c>
      <c r="X107" s="8">
        <v>-13</v>
      </c>
    </row>
    <row r="108" spans="1:25" x14ac:dyDescent="0.2">
      <c r="A108" s="8">
        <v>53</v>
      </c>
      <c r="B108" s="8">
        <v>106</v>
      </c>
      <c r="D108">
        <v>741.94944707741001</v>
      </c>
      <c r="E108">
        <v>249.67877830437001</v>
      </c>
      <c r="F108">
        <v>129.56978567695</v>
      </c>
      <c r="G108">
        <v>112.94093047569</v>
      </c>
      <c r="I108" s="9">
        <f t="shared" si="8"/>
        <v>136.73784782868</v>
      </c>
      <c r="J108" s="9">
        <f t="shared" si="9"/>
        <v>612.37966140046001</v>
      </c>
      <c r="K108" s="9">
        <f t="shared" si="10"/>
        <v>136.73784782868</v>
      </c>
      <c r="L108" s="10">
        <f t="shared" si="7"/>
        <v>0.22328933576267412</v>
      </c>
      <c r="M108" s="10">
        <f t="shared" si="11"/>
        <v>0.23831110373036254</v>
      </c>
      <c r="P108" s="8">
        <f t="shared" si="12"/>
        <v>-17.881298393148331</v>
      </c>
      <c r="X108" s="8">
        <v>-13</v>
      </c>
    </row>
    <row r="109" spans="1:25" x14ac:dyDescent="0.2">
      <c r="A109" s="8">
        <v>53.5</v>
      </c>
      <c r="B109" s="8">
        <v>107</v>
      </c>
      <c r="D109">
        <v>732.76355976829996</v>
      </c>
      <c r="E109">
        <v>248.14007372301</v>
      </c>
      <c r="F109">
        <v>129.5044432828</v>
      </c>
      <c r="G109">
        <v>113.14166231051</v>
      </c>
      <c r="I109" s="9">
        <f t="shared" si="8"/>
        <v>134.99841141249999</v>
      </c>
      <c r="J109" s="9">
        <f t="shared" si="9"/>
        <v>603.25911648549993</v>
      </c>
      <c r="K109" s="9">
        <f t="shared" si="10"/>
        <v>134.99841141249999</v>
      </c>
      <c r="L109" s="10">
        <f t="shared" si="7"/>
        <v>0.22378180076080928</v>
      </c>
      <c r="M109" s="10">
        <f t="shared" si="11"/>
        <v>0.2389452835206457</v>
      </c>
      <c r="P109" s="8">
        <f t="shared" si="12"/>
        <v>-17.662768831796953</v>
      </c>
      <c r="X109" s="8">
        <v>-13</v>
      </c>
    </row>
    <row r="110" spans="1:25" x14ac:dyDescent="0.2">
      <c r="A110" s="8">
        <v>54</v>
      </c>
      <c r="B110" s="8">
        <v>108</v>
      </c>
      <c r="D110">
        <v>677.88625592416997</v>
      </c>
      <c r="E110">
        <v>236.24907846235001</v>
      </c>
      <c r="F110">
        <v>129.63042341871</v>
      </c>
      <c r="G110">
        <v>112.91113434396</v>
      </c>
      <c r="I110" s="9">
        <f t="shared" si="8"/>
        <v>123.33794411839001</v>
      </c>
      <c r="J110" s="9">
        <f t="shared" si="9"/>
        <v>548.25583250545992</v>
      </c>
      <c r="K110" s="9">
        <f t="shared" si="10"/>
        <v>123.33794411839001</v>
      </c>
      <c r="L110" s="10">
        <f t="shared" si="7"/>
        <v>0.22496421707864225</v>
      </c>
      <c r="M110" s="10">
        <f t="shared" si="11"/>
        <v>0.24026941463062668</v>
      </c>
      <c r="P110" s="8">
        <f t="shared" si="12"/>
        <v>-17.206491613460095</v>
      </c>
      <c r="X110" s="8">
        <v>-13</v>
      </c>
    </row>
    <row r="111" spans="1:25" x14ac:dyDescent="0.2">
      <c r="A111" s="8">
        <v>54.5</v>
      </c>
      <c r="B111" s="8">
        <v>109</v>
      </c>
      <c r="D111">
        <v>685.34853249475998</v>
      </c>
      <c r="E111">
        <v>240.06918238994001</v>
      </c>
      <c r="F111">
        <v>129.68374281234</v>
      </c>
      <c r="G111">
        <v>113.02090956613</v>
      </c>
      <c r="I111" s="9">
        <f t="shared" si="8"/>
        <v>127.04827282381001</v>
      </c>
      <c r="J111" s="9">
        <f t="shared" si="9"/>
        <v>555.66478968241995</v>
      </c>
      <c r="K111" s="9">
        <f t="shared" si="10"/>
        <v>127.04827282381001</v>
      </c>
      <c r="L111" s="10">
        <f t="shared" si="7"/>
        <v>0.22864193517898107</v>
      </c>
      <c r="M111" s="10">
        <f t="shared" si="11"/>
        <v>0.24408884752311349</v>
      </c>
      <c r="P111" s="8">
        <f t="shared" si="12"/>
        <v>-15.890368004044078</v>
      </c>
      <c r="X111" s="8">
        <v>-13</v>
      </c>
    </row>
    <row r="112" spans="1:25" x14ac:dyDescent="0.2">
      <c r="A112" s="8">
        <v>55</v>
      </c>
      <c r="B112" s="8">
        <v>110</v>
      </c>
      <c r="D112">
        <v>711.62317327766004</v>
      </c>
      <c r="E112">
        <v>244.09394572024999</v>
      </c>
      <c r="F112">
        <v>129.70674333508001</v>
      </c>
      <c r="G112">
        <v>113.01829587036001</v>
      </c>
      <c r="I112" s="9">
        <f t="shared" si="8"/>
        <v>131.07564984989</v>
      </c>
      <c r="J112" s="9">
        <f t="shared" si="9"/>
        <v>581.91642994258007</v>
      </c>
      <c r="K112" s="9">
        <f t="shared" si="10"/>
        <v>131.07564984989</v>
      </c>
      <c r="L112" s="10">
        <f t="shared" si="7"/>
        <v>0.22524823686937959</v>
      </c>
      <c r="M112" s="10">
        <f t="shared" si="11"/>
        <v>0.24083686400566001</v>
      </c>
      <c r="P112" s="8">
        <f t="shared" si="12"/>
        <v>-17.010956427831143</v>
      </c>
      <c r="X112" s="8">
        <v>-13</v>
      </c>
    </row>
    <row r="113" spans="1:24" x14ac:dyDescent="0.2">
      <c r="A113" s="8">
        <v>55.5</v>
      </c>
      <c r="B113" s="8">
        <v>111</v>
      </c>
      <c r="D113">
        <v>742.38982161595004</v>
      </c>
      <c r="E113">
        <v>252.87093389296999</v>
      </c>
      <c r="F113">
        <v>129.76633559854</v>
      </c>
      <c r="G113">
        <v>113.06429691584</v>
      </c>
      <c r="I113" s="9">
        <f t="shared" si="8"/>
        <v>139.80663697712998</v>
      </c>
      <c r="J113" s="9">
        <f t="shared" si="9"/>
        <v>612.62348601741007</v>
      </c>
      <c r="K113" s="9">
        <f t="shared" si="10"/>
        <v>139.80663697712998</v>
      </c>
      <c r="L113" s="10">
        <f t="shared" si="7"/>
        <v>0.22820972451773883</v>
      </c>
      <c r="M113" s="10">
        <f t="shared" si="11"/>
        <v>0.24394006644616725</v>
      </c>
      <c r="P113" s="8">
        <f t="shared" si="12"/>
        <v>-15.941635899963517</v>
      </c>
      <c r="X113" s="8">
        <v>-13</v>
      </c>
    </row>
    <row r="114" spans="1:24" x14ac:dyDescent="0.2">
      <c r="A114" s="8">
        <v>56</v>
      </c>
      <c r="B114" s="8">
        <v>112</v>
      </c>
      <c r="D114">
        <v>756.77334732424004</v>
      </c>
      <c r="E114">
        <v>254.84365162643999</v>
      </c>
      <c r="F114">
        <v>129.41766858337999</v>
      </c>
      <c r="G114">
        <v>113.16989022478</v>
      </c>
      <c r="I114" s="9">
        <f t="shared" si="8"/>
        <v>141.67376140165999</v>
      </c>
      <c r="J114" s="9">
        <f t="shared" si="9"/>
        <v>627.35567874086007</v>
      </c>
      <c r="K114" s="9">
        <f t="shared" si="10"/>
        <v>141.67376140165999</v>
      </c>
      <c r="L114" s="10">
        <f t="shared" si="7"/>
        <v>0.22582685739931072</v>
      </c>
      <c r="M114" s="10">
        <f t="shared" si="11"/>
        <v>0.24169891411988714</v>
      </c>
      <c r="P114" s="8">
        <f t="shared" si="12"/>
        <v>-16.713905912801568</v>
      </c>
      <c r="X114" s="8">
        <v>-13</v>
      </c>
    </row>
    <row r="115" spans="1:24" x14ac:dyDescent="0.2">
      <c r="A115" s="8">
        <v>56.5</v>
      </c>
      <c r="B115" s="8">
        <v>113</v>
      </c>
      <c r="D115">
        <v>749.32686253935003</v>
      </c>
      <c r="E115">
        <v>254.35204616998999</v>
      </c>
      <c r="F115">
        <v>129.22686879246999</v>
      </c>
      <c r="G115">
        <v>113.01306847882999</v>
      </c>
      <c r="I115" s="9">
        <f t="shared" si="8"/>
        <v>141.33897769115998</v>
      </c>
      <c r="J115" s="9">
        <f t="shared" si="9"/>
        <v>620.09999374688005</v>
      </c>
      <c r="K115" s="9">
        <f t="shared" si="10"/>
        <v>141.33897769115998</v>
      </c>
      <c r="L115" s="10">
        <f t="shared" si="7"/>
        <v>0.22792933255350659</v>
      </c>
      <c r="M115" s="10">
        <f t="shared" si="11"/>
        <v>0.24394310406623101</v>
      </c>
      <c r="P115" s="8">
        <f t="shared" si="12"/>
        <v>-15.940589178213221</v>
      </c>
      <c r="X115" s="8">
        <v>-13</v>
      </c>
    </row>
    <row r="116" spans="1:24" x14ac:dyDescent="0.2">
      <c r="A116" s="8">
        <v>57</v>
      </c>
      <c r="B116" s="8">
        <v>114</v>
      </c>
      <c r="D116">
        <v>727.24344176285001</v>
      </c>
      <c r="E116">
        <v>247.87722980063</v>
      </c>
      <c r="F116">
        <v>129.79142707789001</v>
      </c>
      <c r="G116">
        <v>112.77260846837</v>
      </c>
      <c r="I116" s="9">
        <f t="shared" si="8"/>
        <v>135.10462133226002</v>
      </c>
      <c r="J116" s="9">
        <f t="shared" si="9"/>
        <v>597.45201468495998</v>
      </c>
      <c r="K116" s="9">
        <f t="shared" si="10"/>
        <v>135.10462133226002</v>
      </c>
      <c r="L116" s="10">
        <f t="shared" si="7"/>
        <v>0.22613468196856193</v>
      </c>
      <c r="M116" s="10">
        <f t="shared" si="11"/>
        <v>0.24229016827343436</v>
      </c>
      <c r="P116" s="8">
        <f t="shared" si="12"/>
        <v>-16.510167930605444</v>
      </c>
      <c r="X116" s="8">
        <v>-13</v>
      </c>
    </row>
    <row r="117" spans="1:24" x14ac:dyDescent="0.2">
      <c r="A117" s="8">
        <v>57.5</v>
      </c>
      <c r="B117" s="8">
        <v>115</v>
      </c>
      <c r="D117">
        <v>698.99895342752995</v>
      </c>
      <c r="E117">
        <v>240.12297226582999</v>
      </c>
      <c r="F117">
        <v>129.90224777835999</v>
      </c>
      <c r="G117">
        <v>113.28489283847</v>
      </c>
      <c r="I117" s="9">
        <f t="shared" si="8"/>
        <v>126.83807942735999</v>
      </c>
      <c r="J117" s="9">
        <f t="shared" si="9"/>
        <v>569.09670564916996</v>
      </c>
      <c r="K117" s="9">
        <f t="shared" si="10"/>
        <v>126.83807942735999</v>
      </c>
      <c r="L117" s="10">
        <f t="shared" si="7"/>
        <v>0.22287614419183027</v>
      </c>
      <c r="M117" s="10">
        <f t="shared" si="11"/>
        <v>0.2391733452888507</v>
      </c>
      <c r="P117" s="8">
        <f t="shared" si="12"/>
        <v>-17.584181909081227</v>
      </c>
      <c r="X117" s="8">
        <v>-13</v>
      </c>
    </row>
    <row r="118" spans="1:24" x14ac:dyDescent="0.2">
      <c r="A118" s="8">
        <v>58</v>
      </c>
      <c r="B118" s="8">
        <v>116</v>
      </c>
      <c r="D118">
        <v>728.25954997383997</v>
      </c>
      <c r="E118">
        <v>245.05756148613</v>
      </c>
      <c r="F118">
        <v>129.56769472034</v>
      </c>
      <c r="G118">
        <v>112.61421850497</v>
      </c>
      <c r="I118" s="9">
        <f t="shared" si="8"/>
        <v>132.44334298116001</v>
      </c>
      <c r="J118" s="9">
        <f t="shared" si="9"/>
        <v>598.69185525349997</v>
      </c>
      <c r="K118" s="9">
        <f t="shared" si="10"/>
        <v>132.44334298116001</v>
      </c>
      <c r="L118" s="10">
        <f t="shared" si="7"/>
        <v>0.22122122059783234</v>
      </c>
      <c r="M118" s="10">
        <f t="shared" si="11"/>
        <v>0.23766013648700079</v>
      </c>
      <c r="P118" s="8">
        <f t="shared" si="12"/>
        <v>-18.105612678033445</v>
      </c>
      <c r="X118" s="8">
        <v>-13</v>
      </c>
    </row>
    <row r="119" spans="1:24" x14ac:dyDescent="0.2">
      <c r="A119" s="8">
        <v>58.5</v>
      </c>
      <c r="B119" s="8">
        <v>117</v>
      </c>
      <c r="D119">
        <v>738.47985347985002</v>
      </c>
      <c r="E119">
        <v>246.55416012558999</v>
      </c>
      <c r="F119">
        <v>129.54364871928999</v>
      </c>
      <c r="G119">
        <v>113.08572922112</v>
      </c>
      <c r="I119" s="9">
        <f t="shared" si="8"/>
        <v>133.46843090446998</v>
      </c>
      <c r="J119" s="9">
        <f t="shared" si="9"/>
        <v>608.93620476056003</v>
      </c>
      <c r="K119" s="9">
        <f t="shared" si="10"/>
        <v>133.46843090446998</v>
      </c>
      <c r="L119" s="10">
        <f t="shared" si="7"/>
        <v>0.21918294537430427</v>
      </c>
      <c r="M119" s="10">
        <f t="shared" si="11"/>
        <v>0.23576357605562073</v>
      </c>
      <c r="P119" s="8">
        <f t="shared" si="12"/>
        <v>-18.759141102458337</v>
      </c>
      <c r="X119" s="8">
        <v>-13</v>
      </c>
    </row>
    <row r="120" spans="1:24" x14ac:dyDescent="0.2">
      <c r="A120" s="8">
        <v>59</v>
      </c>
      <c r="B120" s="8">
        <v>118</v>
      </c>
      <c r="D120">
        <v>736.28339444736002</v>
      </c>
      <c r="E120">
        <v>245.68988999475999</v>
      </c>
      <c r="F120">
        <v>129.42864610558999</v>
      </c>
      <c r="G120">
        <v>112.95033978044999</v>
      </c>
      <c r="I120" s="9">
        <f t="shared" si="8"/>
        <v>132.73955021430999</v>
      </c>
      <c r="J120" s="9">
        <f t="shared" si="9"/>
        <v>606.85474834177001</v>
      </c>
      <c r="K120" s="9">
        <f t="shared" si="10"/>
        <v>132.73955021430999</v>
      </c>
      <c r="L120" s="10">
        <f t="shared" si="7"/>
        <v>0.2187336435564205</v>
      </c>
      <c r="M120" s="10">
        <f t="shared" si="11"/>
        <v>0.23545598902988496</v>
      </c>
      <c r="P120" s="8">
        <f t="shared" si="12"/>
        <v>-18.865131326116209</v>
      </c>
      <c r="X120" s="8">
        <v>-13</v>
      </c>
    </row>
    <row r="121" spans="1:24" x14ac:dyDescent="0.2">
      <c r="A121" s="8">
        <v>59.5</v>
      </c>
      <c r="B121" s="8">
        <v>119</v>
      </c>
      <c r="D121">
        <v>761.26034573075003</v>
      </c>
      <c r="E121">
        <v>250.85699319015001</v>
      </c>
      <c r="F121">
        <v>129.51698902248</v>
      </c>
      <c r="G121">
        <v>113.27496079456</v>
      </c>
      <c r="I121" s="9">
        <f t="shared" si="8"/>
        <v>137.58203239559001</v>
      </c>
      <c r="J121" s="9">
        <f t="shared" si="9"/>
        <v>631.74335670827008</v>
      </c>
      <c r="K121" s="9">
        <f t="shared" si="10"/>
        <v>137.58203239559001</v>
      </c>
      <c r="L121" s="10">
        <f t="shared" si="7"/>
        <v>0.21778152620783853</v>
      </c>
      <c r="M121" s="10">
        <f t="shared" si="11"/>
        <v>0.23464558647345099</v>
      </c>
      <c r="P121" s="8">
        <f t="shared" si="12"/>
        <v>-19.144384808943965</v>
      </c>
      <c r="X121" s="8">
        <v>-13</v>
      </c>
    </row>
    <row r="122" spans="1:24" x14ac:dyDescent="0.2">
      <c r="A122" s="8">
        <v>60</v>
      </c>
      <c r="B122" s="8">
        <v>120</v>
      </c>
      <c r="D122">
        <v>766.27119536598002</v>
      </c>
      <c r="E122">
        <v>251.84886782517</v>
      </c>
      <c r="F122">
        <v>129.24568740199001</v>
      </c>
      <c r="G122">
        <v>112.93152117094</v>
      </c>
      <c r="I122" s="9">
        <f t="shared" si="8"/>
        <v>138.91734665423002</v>
      </c>
      <c r="J122" s="9">
        <f t="shared" si="9"/>
        <v>637.02550796398998</v>
      </c>
      <c r="K122" s="9">
        <f t="shared" si="10"/>
        <v>138.91734665423002</v>
      </c>
      <c r="L122" s="10">
        <f t="shared" si="7"/>
        <v>0.21807187454428087</v>
      </c>
      <c r="M122" s="10">
        <f t="shared" si="11"/>
        <v>0.23507764960204133</v>
      </c>
      <c r="P122" s="8">
        <f t="shared" si="12"/>
        <v>-18.995501846393562</v>
      </c>
      <c r="X122" s="8">
        <v>-13</v>
      </c>
    </row>
    <row r="123" spans="1:24" x14ac:dyDescent="0.2">
      <c r="A123" s="8">
        <v>60.5</v>
      </c>
      <c r="B123" s="8">
        <v>121</v>
      </c>
      <c r="D123">
        <v>754.41021590311004</v>
      </c>
      <c r="E123">
        <v>248.18852027382999</v>
      </c>
      <c r="F123">
        <v>129.49712493466001</v>
      </c>
      <c r="G123">
        <v>112.74594877155999</v>
      </c>
      <c r="I123" s="9">
        <f t="shared" si="8"/>
        <v>135.44257150227</v>
      </c>
      <c r="J123" s="9">
        <f t="shared" si="9"/>
        <v>624.91309096844998</v>
      </c>
      <c r="K123" s="9">
        <f t="shared" si="10"/>
        <v>135.44257150227</v>
      </c>
      <c r="L123" s="10">
        <f t="shared" si="7"/>
        <v>0.21673825282227621</v>
      </c>
      <c r="M123" s="10">
        <f t="shared" si="11"/>
        <v>0.23388574267218468</v>
      </c>
      <c r="P123" s="8">
        <f t="shared" si="12"/>
        <v>-19.406216445855872</v>
      </c>
      <c r="X123" s="8">
        <v>-13</v>
      </c>
    </row>
    <row r="124" spans="1:24" x14ac:dyDescent="0.2">
      <c r="A124" s="8">
        <v>61</v>
      </c>
      <c r="B124" s="8">
        <v>122</v>
      </c>
      <c r="D124">
        <v>753.59926276988006</v>
      </c>
      <c r="E124">
        <v>249.54291732491001</v>
      </c>
      <c r="F124">
        <v>129.17825405123</v>
      </c>
      <c r="G124">
        <v>113.00156821746</v>
      </c>
      <c r="I124" s="9">
        <f t="shared" si="8"/>
        <v>136.54134910745</v>
      </c>
      <c r="J124" s="9">
        <f t="shared" si="9"/>
        <v>624.42100871865</v>
      </c>
      <c r="K124" s="9">
        <f t="shared" si="10"/>
        <v>136.54134910745</v>
      </c>
      <c r="L124" s="10">
        <f t="shared" si="7"/>
        <v>0.21866873023321426</v>
      </c>
      <c r="M124" s="10">
        <f t="shared" si="11"/>
        <v>0.23595793487527073</v>
      </c>
      <c r="P124" s="8">
        <f t="shared" si="12"/>
        <v>-18.692167748444771</v>
      </c>
      <c r="X124" s="8">
        <v>-13</v>
      </c>
    </row>
    <row r="125" spans="1:24" x14ac:dyDescent="0.2">
      <c r="A125" s="8">
        <v>61.5</v>
      </c>
      <c r="B125" s="8">
        <v>123</v>
      </c>
      <c r="D125">
        <v>740.43589743589996</v>
      </c>
      <c r="E125">
        <v>246.02878074307</v>
      </c>
      <c r="F125">
        <v>129.20805018295999</v>
      </c>
      <c r="G125">
        <v>113.04338734971</v>
      </c>
      <c r="I125" s="9">
        <f t="shared" si="8"/>
        <v>132.98539339336</v>
      </c>
      <c r="J125" s="9">
        <f t="shared" si="9"/>
        <v>611.22784725293991</v>
      </c>
      <c r="K125" s="9">
        <f t="shared" si="10"/>
        <v>132.98539339336</v>
      </c>
      <c r="L125" s="10">
        <f t="shared" si="7"/>
        <v>0.21757090091860234</v>
      </c>
      <c r="M125" s="10">
        <f t="shared" si="11"/>
        <v>0.23500182035280681</v>
      </c>
      <c r="P125" s="8">
        <f t="shared" si="12"/>
        <v>-19.021631554130582</v>
      </c>
      <c r="X125" s="8">
        <v>-13</v>
      </c>
    </row>
    <row r="126" spans="1:24" x14ac:dyDescent="0.2">
      <c r="A126" s="8">
        <v>62</v>
      </c>
      <c r="B126" s="8">
        <v>124</v>
      </c>
      <c r="D126">
        <v>735.83725798011994</v>
      </c>
      <c r="E126">
        <v>245.92883307169001</v>
      </c>
      <c r="F126">
        <v>129.32253005749999</v>
      </c>
      <c r="G126">
        <v>112.77208572922</v>
      </c>
      <c r="I126" s="9">
        <f t="shared" si="8"/>
        <v>133.15674734247</v>
      </c>
      <c r="J126" s="9">
        <f t="shared" si="9"/>
        <v>606.51472792261995</v>
      </c>
      <c r="K126" s="9">
        <f t="shared" si="10"/>
        <v>133.15674734247</v>
      </c>
      <c r="L126" s="10">
        <f t="shared" si="7"/>
        <v>0.21954412846419508</v>
      </c>
      <c r="M126" s="10">
        <f t="shared" si="11"/>
        <v>0.23711676269054754</v>
      </c>
      <c r="P126" s="8">
        <f t="shared" si="12"/>
        <v>-18.292851753147684</v>
      </c>
      <c r="X126" s="8">
        <v>-13</v>
      </c>
    </row>
    <row r="127" spans="1:24" x14ac:dyDescent="0.2">
      <c r="A127" s="8">
        <v>62.5</v>
      </c>
      <c r="B127" s="8">
        <v>125</v>
      </c>
      <c r="D127">
        <v>763.09419152275996</v>
      </c>
      <c r="E127">
        <v>251.78074306645999</v>
      </c>
      <c r="F127">
        <v>129.26711970727001</v>
      </c>
      <c r="G127">
        <v>112.81390486146999</v>
      </c>
      <c r="I127" s="9">
        <f t="shared" si="8"/>
        <v>138.96683820498998</v>
      </c>
      <c r="J127" s="9">
        <f t="shared" si="9"/>
        <v>633.82707181548994</v>
      </c>
      <c r="K127" s="9">
        <f t="shared" si="10"/>
        <v>138.96683820498998</v>
      </c>
      <c r="L127" s="10">
        <f t="shared" si="7"/>
        <v>0.21925039870408672</v>
      </c>
      <c r="M127" s="10">
        <f t="shared" si="11"/>
        <v>0.23696474772258719</v>
      </c>
      <c r="P127" s="8">
        <f t="shared" si="12"/>
        <v>-18.345234003065151</v>
      </c>
      <c r="X127" s="8">
        <v>-13</v>
      </c>
    </row>
    <row r="128" spans="1:24" x14ac:dyDescent="0.2">
      <c r="A128" s="8">
        <v>63</v>
      </c>
      <c r="B128" s="8">
        <v>126</v>
      </c>
      <c r="D128">
        <v>761.12872841444005</v>
      </c>
      <c r="E128">
        <v>251.70015698587</v>
      </c>
      <c r="F128">
        <v>129.6941975954</v>
      </c>
      <c r="G128">
        <v>112.58337689493</v>
      </c>
      <c r="I128" s="9">
        <f t="shared" si="8"/>
        <v>139.11678009093998</v>
      </c>
      <c r="J128" s="9">
        <f t="shared" si="9"/>
        <v>631.43453081903999</v>
      </c>
      <c r="K128" s="9">
        <f t="shared" si="10"/>
        <v>139.11678009093998</v>
      </c>
      <c r="L128" s="10">
        <f t="shared" si="7"/>
        <v>0.22031861309594555</v>
      </c>
      <c r="M128" s="10">
        <f t="shared" si="11"/>
        <v>0.23817467690659405</v>
      </c>
      <c r="P128" s="8">
        <f t="shared" si="12"/>
        <v>-17.92830918474322</v>
      </c>
      <c r="X128" s="8">
        <v>-13</v>
      </c>
    </row>
    <row r="129" spans="1:24" x14ac:dyDescent="0.2">
      <c r="A129" s="8">
        <v>63.5</v>
      </c>
      <c r="B129" s="8">
        <v>127</v>
      </c>
      <c r="D129">
        <v>768.34955520669996</v>
      </c>
      <c r="E129">
        <v>253.34693877551001</v>
      </c>
      <c r="F129">
        <v>129.68897020387001</v>
      </c>
      <c r="G129">
        <v>112.78985886043</v>
      </c>
      <c r="I129" s="9">
        <f t="shared" si="8"/>
        <v>140.55707991508001</v>
      </c>
      <c r="J129" s="9">
        <f t="shared" si="9"/>
        <v>638.66058500282998</v>
      </c>
      <c r="K129" s="9">
        <f t="shared" si="10"/>
        <v>140.55707991508001</v>
      </c>
      <c r="L129" s="10">
        <f t="shared" si="7"/>
        <v>0.22008103085687866</v>
      </c>
      <c r="M129" s="10">
        <f t="shared" si="11"/>
        <v>0.23807880945967516</v>
      </c>
      <c r="P129" s="8">
        <f t="shared" si="12"/>
        <v>-17.961343777525979</v>
      </c>
      <c r="X129" s="8">
        <v>-13</v>
      </c>
    </row>
    <row r="130" spans="1:24" x14ac:dyDescent="0.2">
      <c r="A130" s="8">
        <v>64</v>
      </c>
      <c r="B130" s="8">
        <v>128</v>
      </c>
      <c r="D130">
        <v>749.23338566196003</v>
      </c>
      <c r="E130">
        <v>249.53741496599</v>
      </c>
      <c r="F130">
        <v>129.54835337167</v>
      </c>
      <c r="G130">
        <v>112.87611082070001</v>
      </c>
      <c r="I130" s="9">
        <f t="shared" si="8"/>
        <v>136.66130414528999</v>
      </c>
      <c r="J130" s="9">
        <f t="shared" si="9"/>
        <v>619.68503229029</v>
      </c>
      <c r="K130" s="9">
        <f t="shared" si="10"/>
        <v>136.66130414528999</v>
      </c>
      <c r="L130" s="10">
        <f t="shared" ref="L130:L193" si="14">K130/J130</f>
        <v>0.22053349205515638</v>
      </c>
      <c r="M130" s="10">
        <f t="shared" si="11"/>
        <v>0.23867298545010088</v>
      </c>
      <c r="P130" s="8">
        <f t="shared" si="12"/>
        <v>-17.756598970859599</v>
      </c>
      <c r="X130" s="8">
        <v>-13</v>
      </c>
    </row>
    <row r="131" spans="1:24" x14ac:dyDescent="0.2">
      <c r="A131" s="8">
        <v>64.5</v>
      </c>
      <c r="B131" s="8">
        <v>129</v>
      </c>
      <c r="D131">
        <v>744.28571428571001</v>
      </c>
      <c r="E131">
        <v>249.12663526949001</v>
      </c>
      <c r="F131">
        <v>129.57658128593999</v>
      </c>
      <c r="G131">
        <v>112.67590172504001</v>
      </c>
      <c r="I131" s="9">
        <f t="shared" ref="I131:I194" si="15">E131-G131</f>
        <v>136.45073354445</v>
      </c>
      <c r="J131" s="9">
        <f t="shared" ref="J131:J194" si="16">D131-F131</f>
        <v>614.70913299976996</v>
      </c>
      <c r="K131" s="9">
        <f t="shared" ref="K131:K194" si="17">I131*1</f>
        <v>136.45073354445</v>
      </c>
      <c r="L131" s="10">
        <f t="shared" si="14"/>
        <v>0.22197609604167223</v>
      </c>
      <c r="M131" s="10">
        <f t="shared" ref="M131:M181" si="18">L131+ABS($N$2)*A131</f>
        <v>0.24025730422876473</v>
      </c>
      <c r="P131" s="8">
        <f t="shared" ref="P131:P194" si="19">(M131-$O$2)/$O$2*100</f>
        <v>-17.210664690002787</v>
      </c>
      <c r="X131" s="8">
        <v>-13</v>
      </c>
    </row>
    <row r="132" spans="1:24" x14ac:dyDescent="0.2">
      <c r="A132" s="8">
        <v>65</v>
      </c>
      <c r="B132" s="8">
        <v>130</v>
      </c>
      <c r="D132">
        <v>770.20355834641998</v>
      </c>
      <c r="E132">
        <v>253.96284667712999</v>
      </c>
      <c r="F132">
        <v>129.28855201255001</v>
      </c>
      <c r="G132">
        <v>112.73810768427001</v>
      </c>
      <c r="I132" s="9">
        <f t="shared" si="15"/>
        <v>141.22473899285998</v>
      </c>
      <c r="J132" s="9">
        <f t="shared" si="16"/>
        <v>640.91500633387</v>
      </c>
      <c r="K132" s="9">
        <f t="shared" si="17"/>
        <v>141.22473899285998</v>
      </c>
      <c r="L132" s="10">
        <f t="shared" si="14"/>
        <v>0.22034862282393211</v>
      </c>
      <c r="M132" s="10">
        <f t="shared" si="18"/>
        <v>0.23877154580317261</v>
      </c>
      <c r="P132" s="8">
        <f t="shared" si="19"/>
        <v>-17.722636439959981</v>
      </c>
      <c r="X132" s="8">
        <v>-13</v>
      </c>
    </row>
    <row r="133" spans="1:24" x14ac:dyDescent="0.2">
      <c r="A133" s="8">
        <v>65.5</v>
      </c>
      <c r="B133" s="8">
        <v>131</v>
      </c>
      <c r="D133">
        <v>779.60753532182002</v>
      </c>
      <c r="E133">
        <v>256.51491365777002</v>
      </c>
      <c r="F133">
        <v>129.46053319393999</v>
      </c>
      <c r="G133">
        <v>112.81442760063</v>
      </c>
      <c r="I133" s="9">
        <f t="shared" si="15"/>
        <v>143.70048605714004</v>
      </c>
      <c r="J133" s="9">
        <f t="shared" si="16"/>
        <v>650.14700212788</v>
      </c>
      <c r="K133" s="9">
        <f t="shared" si="17"/>
        <v>143.70048605714004</v>
      </c>
      <c r="L133" s="10">
        <f t="shared" si="14"/>
        <v>0.2210276838727544</v>
      </c>
      <c r="M133" s="10">
        <f t="shared" si="18"/>
        <v>0.2395923216441429</v>
      </c>
      <c r="P133" s="8">
        <f t="shared" si="19"/>
        <v>-17.439808467130767</v>
      </c>
      <c r="X133" s="8">
        <v>-13</v>
      </c>
    </row>
    <row r="134" spans="1:24" x14ac:dyDescent="0.2">
      <c r="A134" s="8">
        <v>66</v>
      </c>
      <c r="B134" s="8">
        <v>132</v>
      </c>
      <c r="D134">
        <v>787.06227106227004</v>
      </c>
      <c r="E134">
        <v>257.63631606489002</v>
      </c>
      <c r="F134">
        <v>129.36853110298</v>
      </c>
      <c r="G134">
        <v>112.54783063251</v>
      </c>
      <c r="I134" s="9">
        <f t="shared" si="15"/>
        <v>145.08848543238003</v>
      </c>
      <c r="J134" s="9">
        <f t="shared" si="16"/>
        <v>657.69373995929004</v>
      </c>
      <c r="K134" s="9">
        <f t="shared" si="17"/>
        <v>145.08848543238003</v>
      </c>
      <c r="L134" s="10">
        <f t="shared" si="14"/>
        <v>0.22060189510297107</v>
      </c>
      <c r="M134" s="10">
        <f t="shared" si="18"/>
        <v>0.23930824766650757</v>
      </c>
      <c r="P134" s="8">
        <f t="shared" si="19"/>
        <v>-17.537696420476411</v>
      </c>
      <c r="X134" s="8">
        <v>-13</v>
      </c>
    </row>
    <row r="135" spans="1:24" x14ac:dyDescent="0.2">
      <c r="A135" s="8">
        <v>66.5</v>
      </c>
      <c r="B135" s="8">
        <v>133</v>
      </c>
      <c r="D135">
        <v>780.57142857143003</v>
      </c>
      <c r="E135">
        <v>256.55363683935002</v>
      </c>
      <c r="F135">
        <v>129.36434918974999</v>
      </c>
      <c r="G135">
        <v>112.70517511762</v>
      </c>
      <c r="I135" s="9">
        <f t="shared" si="15"/>
        <v>143.84846172173002</v>
      </c>
      <c r="J135" s="9">
        <f t="shared" si="16"/>
        <v>651.20707938168005</v>
      </c>
      <c r="K135" s="9">
        <f t="shared" si="17"/>
        <v>143.84846172173002</v>
      </c>
      <c r="L135" s="10">
        <f t="shared" si="14"/>
        <v>0.22089511351491123</v>
      </c>
      <c r="M135" s="10">
        <f t="shared" si="18"/>
        <v>0.23974318087059573</v>
      </c>
      <c r="P135" s="8">
        <f t="shared" si="19"/>
        <v>-17.387824469709741</v>
      </c>
      <c r="X135" s="8">
        <v>-13</v>
      </c>
    </row>
    <row r="136" spans="1:24" x14ac:dyDescent="0.2">
      <c r="A136" s="8">
        <v>67</v>
      </c>
      <c r="B136" s="8">
        <v>134</v>
      </c>
      <c r="D136">
        <v>787.07116692831005</v>
      </c>
      <c r="E136">
        <v>257.37205651491001</v>
      </c>
      <c r="F136">
        <v>129.45060115003</v>
      </c>
      <c r="G136">
        <v>112.61317302665999</v>
      </c>
      <c r="I136" s="9">
        <f t="shared" si="15"/>
        <v>144.75888348825004</v>
      </c>
      <c r="J136" s="9">
        <f t="shared" si="16"/>
        <v>657.62056577828002</v>
      </c>
      <c r="K136" s="9">
        <f t="shared" si="17"/>
        <v>144.75888348825004</v>
      </c>
      <c r="L136" s="10">
        <f t="shared" si="14"/>
        <v>0.22012523789752675</v>
      </c>
      <c r="M136" s="10">
        <f t="shared" si="18"/>
        <v>0.23911502004535926</v>
      </c>
      <c r="P136" s="8">
        <f t="shared" si="19"/>
        <v>-17.604279979173004</v>
      </c>
      <c r="X136" s="8">
        <v>-13</v>
      </c>
    </row>
    <row r="137" spans="1:24" x14ac:dyDescent="0.2">
      <c r="A137" s="8">
        <v>67.5</v>
      </c>
      <c r="B137" s="8">
        <v>135</v>
      </c>
      <c r="D137">
        <v>798.82679225536003</v>
      </c>
      <c r="E137">
        <v>261.87441130297998</v>
      </c>
      <c r="F137">
        <v>129.20700470464999</v>
      </c>
      <c r="G137">
        <v>112.78254051227999</v>
      </c>
      <c r="I137" s="9">
        <f t="shared" si="15"/>
        <v>149.0918707907</v>
      </c>
      <c r="J137" s="9">
        <f t="shared" si="16"/>
        <v>669.61978755071004</v>
      </c>
      <c r="K137" s="9">
        <f t="shared" si="17"/>
        <v>149.0918707907</v>
      </c>
      <c r="L137" s="10">
        <f t="shared" si="14"/>
        <v>0.22265153085759032</v>
      </c>
      <c r="M137" s="10">
        <f t="shared" si="18"/>
        <v>0.24178302779757083</v>
      </c>
      <c r="P137" s="8">
        <f t="shared" si="19"/>
        <v>-16.684921505903869</v>
      </c>
      <c r="X137" s="8">
        <v>-13</v>
      </c>
    </row>
    <row r="138" spans="1:24" x14ac:dyDescent="0.2">
      <c r="A138" s="8">
        <v>68</v>
      </c>
      <c r="B138" s="8">
        <v>136</v>
      </c>
      <c r="D138">
        <v>799.61852433281001</v>
      </c>
      <c r="E138">
        <v>261.59968602826001</v>
      </c>
      <c r="F138">
        <v>129.24986931520999</v>
      </c>
      <c r="G138">
        <v>112.75169890225</v>
      </c>
      <c r="I138" s="9">
        <f t="shared" si="15"/>
        <v>148.84798712601003</v>
      </c>
      <c r="J138" s="9">
        <f t="shared" si="16"/>
        <v>670.36865501760008</v>
      </c>
      <c r="K138" s="9">
        <f t="shared" si="17"/>
        <v>148.84798712601003</v>
      </c>
      <c r="L138" s="10">
        <f t="shared" si="14"/>
        <v>0.22203900199078092</v>
      </c>
      <c r="M138" s="10">
        <f t="shared" si="18"/>
        <v>0.24131221372290945</v>
      </c>
      <c r="P138" s="8">
        <f t="shared" si="19"/>
        <v>-16.847157507098206</v>
      </c>
      <c r="X138" s="8">
        <v>-13</v>
      </c>
    </row>
    <row r="139" spans="1:24" x14ac:dyDescent="0.2">
      <c r="A139" s="8">
        <v>68.5</v>
      </c>
      <c r="B139" s="8">
        <v>137</v>
      </c>
      <c r="D139">
        <v>776.53218210361001</v>
      </c>
      <c r="E139">
        <v>257.87127158556001</v>
      </c>
      <c r="F139">
        <v>129.17250392054001</v>
      </c>
      <c r="G139">
        <v>112.56926293779</v>
      </c>
      <c r="I139" s="9">
        <f t="shared" si="15"/>
        <v>145.30200864777001</v>
      </c>
      <c r="J139" s="9">
        <f t="shared" si="16"/>
        <v>647.35967818306995</v>
      </c>
      <c r="K139" s="9">
        <f t="shared" si="17"/>
        <v>145.30200864777001</v>
      </c>
      <c r="L139" s="10">
        <f t="shared" si="14"/>
        <v>0.22445328855758506</v>
      </c>
      <c r="M139" s="10">
        <f t="shared" si="18"/>
        <v>0.2438682150818616</v>
      </c>
      <c r="P139" s="8">
        <f t="shared" si="19"/>
        <v>-15.966394883716688</v>
      </c>
      <c r="X139" s="8">
        <v>-13</v>
      </c>
    </row>
    <row r="140" spans="1:24" x14ac:dyDescent="0.2">
      <c r="A140" s="8">
        <v>69</v>
      </c>
      <c r="B140" s="8">
        <v>138</v>
      </c>
      <c r="D140">
        <v>755.71742543171001</v>
      </c>
      <c r="E140">
        <v>253.49555206698</v>
      </c>
      <c r="F140">
        <v>129.36225823314001</v>
      </c>
      <c r="G140">
        <v>112.72817564036001</v>
      </c>
      <c r="I140" s="9">
        <f t="shared" si="15"/>
        <v>140.76737642661999</v>
      </c>
      <c r="J140" s="9">
        <f t="shared" si="16"/>
        <v>626.35516719857003</v>
      </c>
      <c r="K140" s="9">
        <f t="shared" si="17"/>
        <v>140.76737642661999</v>
      </c>
      <c r="L140" s="10">
        <f t="shared" si="14"/>
        <v>0.2247405047462365</v>
      </c>
      <c r="M140" s="10">
        <f t="shared" si="18"/>
        <v>0.24429714606266104</v>
      </c>
      <c r="P140" s="8">
        <f t="shared" si="19"/>
        <v>-15.818591215860506</v>
      </c>
      <c r="X140" s="8">
        <v>-13</v>
      </c>
    </row>
    <row r="141" spans="1:24" x14ac:dyDescent="0.2">
      <c r="A141" s="8">
        <v>69.5</v>
      </c>
      <c r="B141" s="8">
        <v>139</v>
      </c>
      <c r="D141">
        <v>763.92778649922002</v>
      </c>
      <c r="E141">
        <v>255.15750915750999</v>
      </c>
      <c r="F141">
        <v>129.19968635651</v>
      </c>
      <c r="G141">
        <v>112.75013068478999</v>
      </c>
      <c r="I141" s="9">
        <f t="shared" si="15"/>
        <v>142.40737847271998</v>
      </c>
      <c r="J141" s="9">
        <f t="shared" si="16"/>
        <v>634.72810014270999</v>
      </c>
      <c r="K141" s="9">
        <f t="shared" si="17"/>
        <v>142.40737847271998</v>
      </c>
      <c r="L141" s="10">
        <f t="shared" si="14"/>
        <v>0.22435965642721917</v>
      </c>
      <c r="M141" s="10">
        <f t="shared" si="18"/>
        <v>0.24405801253579171</v>
      </c>
      <c r="P141" s="8">
        <f t="shared" si="19"/>
        <v>-15.900993313076233</v>
      </c>
      <c r="X141" s="8">
        <v>-13</v>
      </c>
    </row>
    <row r="142" spans="1:24" x14ac:dyDescent="0.2">
      <c r="A142" s="8">
        <v>70</v>
      </c>
      <c r="B142" s="8">
        <v>140</v>
      </c>
      <c r="D142">
        <v>767.41548927263</v>
      </c>
      <c r="E142">
        <v>255.12820512821</v>
      </c>
      <c r="F142">
        <v>129.5044432828</v>
      </c>
      <c r="G142">
        <v>112.66753789859</v>
      </c>
      <c r="I142" s="9">
        <f t="shared" si="15"/>
        <v>142.46066722962001</v>
      </c>
      <c r="J142" s="9">
        <f t="shared" si="16"/>
        <v>637.91104598982997</v>
      </c>
      <c r="K142" s="9">
        <f t="shared" si="17"/>
        <v>142.46066722962001</v>
      </c>
      <c r="L142" s="10">
        <f t="shared" si="14"/>
        <v>0.22332371907523171</v>
      </c>
      <c r="M142" s="10">
        <f t="shared" si="18"/>
        <v>0.24316378997595225</v>
      </c>
      <c r="P142" s="8">
        <f t="shared" si="19"/>
        <v>-16.209130006717903</v>
      </c>
      <c r="X142" s="8">
        <v>-13</v>
      </c>
    </row>
    <row r="143" spans="1:24" x14ac:dyDescent="0.2">
      <c r="A143" s="8">
        <v>70.5</v>
      </c>
      <c r="B143" s="8">
        <v>141</v>
      </c>
      <c r="D143">
        <v>772.30193615908001</v>
      </c>
      <c r="E143">
        <v>256.07953950810997</v>
      </c>
      <c r="F143">
        <v>129.01568217459999</v>
      </c>
      <c r="G143">
        <v>112.77783585991</v>
      </c>
      <c r="I143" s="9">
        <f t="shared" si="15"/>
        <v>143.30170364819998</v>
      </c>
      <c r="J143" s="9">
        <f t="shared" si="16"/>
        <v>643.28625398448003</v>
      </c>
      <c r="K143" s="9">
        <f t="shared" si="17"/>
        <v>143.30170364819998</v>
      </c>
      <c r="L143" s="10">
        <f t="shared" si="14"/>
        <v>0.22276506416948447</v>
      </c>
      <c r="M143" s="10">
        <f t="shared" si="18"/>
        <v>0.24274684986235301</v>
      </c>
      <c r="P143" s="8">
        <f t="shared" si="19"/>
        <v>-16.352801788018208</v>
      </c>
      <c r="X143" s="8">
        <v>-13</v>
      </c>
    </row>
    <row r="144" spans="1:24" x14ac:dyDescent="0.2">
      <c r="A144" s="8">
        <v>71</v>
      </c>
      <c r="B144" s="8">
        <v>142</v>
      </c>
      <c r="D144">
        <v>790.66248037676996</v>
      </c>
      <c r="E144">
        <v>261.09366823652999</v>
      </c>
      <c r="F144">
        <v>128.91374803973</v>
      </c>
      <c r="G144">
        <v>112.77208572922</v>
      </c>
      <c r="I144" s="9">
        <f t="shared" si="15"/>
        <v>148.32158250730998</v>
      </c>
      <c r="J144" s="9">
        <f t="shared" si="16"/>
        <v>661.74873233704</v>
      </c>
      <c r="K144" s="9">
        <f t="shared" si="17"/>
        <v>148.32158250730998</v>
      </c>
      <c r="L144" s="10">
        <f t="shared" si="14"/>
        <v>0.22413580148993356</v>
      </c>
      <c r="M144" s="10">
        <f t="shared" si="18"/>
        <v>0.2442593019749501</v>
      </c>
      <c r="P144" s="8">
        <f t="shared" si="19"/>
        <v>-15.831631763689256</v>
      </c>
    </row>
    <row r="145" spans="1:16" x14ac:dyDescent="0.2">
      <c r="A145" s="8">
        <v>71.5</v>
      </c>
      <c r="B145" s="8">
        <v>143</v>
      </c>
      <c r="D145">
        <v>760.59895561357996</v>
      </c>
      <c r="E145">
        <v>257.32480417754999</v>
      </c>
      <c r="F145">
        <v>129.28750653424001</v>
      </c>
      <c r="G145">
        <v>112.51071615264</v>
      </c>
      <c r="I145" s="9">
        <f t="shared" si="15"/>
        <v>144.81408802491001</v>
      </c>
      <c r="J145" s="9">
        <f t="shared" si="16"/>
        <v>631.31144907933992</v>
      </c>
      <c r="K145" s="9">
        <f t="shared" si="17"/>
        <v>144.81408802491001</v>
      </c>
      <c r="L145" s="10">
        <f t="shared" si="14"/>
        <v>0.22938612666710964</v>
      </c>
      <c r="M145" s="10">
        <f t="shared" si="18"/>
        <v>0.24965134194427419</v>
      </c>
      <c r="P145" s="8">
        <f t="shared" si="19"/>
        <v>-13.973609563455838</v>
      </c>
    </row>
    <row r="146" spans="1:16" x14ac:dyDescent="0.2">
      <c r="A146" s="8">
        <v>72</v>
      </c>
      <c r="B146" s="8">
        <v>144</v>
      </c>
      <c r="D146">
        <v>753.55665796344999</v>
      </c>
      <c r="E146">
        <v>256.51436031332003</v>
      </c>
      <c r="F146">
        <v>129.30371144799</v>
      </c>
      <c r="G146">
        <v>112.50078410873</v>
      </c>
      <c r="I146" s="9">
        <f t="shared" si="15"/>
        <v>144.01357620459004</v>
      </c>
      <c r="J146" s="9">
        <f t="shared" si="16"/>
        <v>624.25294651546005</v>
      </c>
      <c r="K146" s="9">
        <f t="shared" si="17"/>
        <v>144.01357620459004</v>
      </c>
      <c r="L146" s="10">
        <f t="shared" si="14"/>
        <v>0.23069747128702331</v>
      </c>
      <c r="M146" s="10">
        <f t="shared" si="18"/>
        <v>0.25110440135633588</v>
      </c>
      <c r="P146" s="8">
        <f t="shared" si="19"/>
        <v>-13.472905440113225</v>
      </c>
    </row>
    <row r="147" spans="1:16" x14ac:dyDescent="0.2">
      <c r="A147" s="8">
        <v>72.5</v>
      </c>
      <c r="B147" s="8">
        <v>145</v>
      </c>
      <c r="D147">
        <v>736.29968454258994</v>
      </c>
      <c r="E147">
        <v>249.43007360672999</v>
      </c>
      <c r="F147">
        <v>129.27914270778999</v>
      </c>
      <c r="G147">
        <v>112.71772085729</v>
      </c>
      <c r="I147" s="9">
        <f t="shared" si="15"/>
        <v>136.71235274943999</v>
      </c>
      <c r="J147" s="9">
        <f t="shared" si="16"/>
        <v>607.02054183479993</v>
      </c>
      <c r="K147" s="9">
        <f t="shared" si="17"/>
        <v>136.71235274943999</v>
      </c>
      <c r="L147" s="10">
        <f t="shared" si="14"/>
        <v>0.22521865954685619</v>
      </c>
      <c r="M147" s="10">
        <f t="shared" si="18"/>
        <v>0.24576730440831673</v>
      </c>
      <c r="P147" s="8">
        <f t="shared" si="19"/>
        <v>-15.311995037117947</v>
      </c>
    </row>
    <row r="148" spans="1:16" x14ac:dyDescent="0.2">
      <c r="A148" s="8">
        <v>73</v>
      </c>
      <c r="B148" s="8">
        <v>146</v>
      </c>
      <c r="D148">
        <v>709.86635220126004</v>
      </c>
      <c r="E148">
        <v>245.3605870021</v>
      </c>
      <c r="F148">
        <v>129.08520648197</v>
      </c>
      <c r="G148">
        <v>112.48719289074999</v>
      </c>
      <c r="I148" s="9">
        <f t="shared" si="15"/>
        <v>132.87339411135002</v>
      </c>
      <c r="J148" s="9">
        <f t="shared" si="16"/>
        <v>580.78114571929007</v>
      </c>
      <c r="K148" s="9">
        <f t="shared" si="17"/>
        <v>132.87339411135002</v>
      </c>
      <c r="L148" s="10">
        <f t="shared" si="14"/>
        <v>0.2287839319349598</v>
      </c>
      <c r="M148" s="10">
        <f t="shared" si="18"/>
        <v>0.24947429158856838</v>
      </c>
      <c r="P148" s="8">
        <f t="shared" si="19"/>
        <v>-14.034618660816417</v>
      </c>
    </row>
    <row r="149" spans="1:16" x14ac:dyDescent="0.2">
      <c r="A149" s="8">
        <v>73.5</v>
      </c>
      <c r="B149" s="8">
        <v>147</v>
      </c>
      <c r="D149">
        <v>671.33070452156005</v>
      </c>
      <c r="E149">
        <v>240.62723449001001</v>
      </c>
      <c r="F149">
        <v>129.06691061161001</v>
      </c>
      <c r="G149">
        <v>112.56351280711</v>
      </c>
      <c r="I149" s="9">
        <f t="shared" si="15"/>
        <v>128.0637216829</v>
      </c>
      <c r="J149" s="9">
        <f t="shared" si="16"/>
        <v>542.26379390994998</v>
      </c>
      <c r="K149" s="9">
        <f t="shared" si="17"/>
        <v>128.0637216829</v>
      </c>
      <c r="L149" s="10">
        <f t="shared" si="14"/>
        <v>0.23616498671155364</v>
      </c>
      <c r="M149" s="10">
        <f t="shared" si="18"/>
        <v>0.25699706115731019</v>
      </c>
      <c r="P149" s="8">
        <f t="shared" si="19"/>
        <v>-11.442376588153369</v>
      </c>
    </row>
    <row r="150" spans="1:16" x14ac:dyDescent="0.2">
      <c r="A150" s="8">
        <v>74</v>
      </c>
      <c r="B150" s="8">
        <v>148</v>
      </c>
      <c r="D150">
        <v>666.72450052576005</v>
      </c>
      <c r="E150">
        <v>240.94426919033</v>
      </c>
      <c r="F150">
        <v>129.26502875065</v>
      </c>
      <c r="G150">
        <v>112.35703084161</v>
      </c>
      <c r="I150" s="9">
        <f t="shared" si="15"/>
        <v>128.58723834872001</v>
      </c>
      <c r="J150" s="9">
        <f t="shared" si="16"/>
        <v>537.45947177511005</v>
      </c>
      <c r="K150" s="9">
        <f t="shared" si="17"/>
        <v>128.58723834872001</v>
      </c>
      <c r="L150" s="10">
        <f t="shared" si="14"/>
        <v>0.23925011112749531</v>
      </c>
      <c r="M150" s="10">
        <f t="shared" si="18"/>
        <v>0.26022390036539989</v>
      </c>
      <c r="P150" s="8">
        <f t="shared" si="19"/>
        <v>-10.330452544688642</v>
      </c>
    </row>
    <row r="151" spans="1:16" x14ac:dyDescent="0.2">
      <c r="A151" s="8">
        <v>74.5</v>
      </c>
      <c r="B151" s="8">
        <v>149</v>
      </c>
      <c r="D151">
        <v>685.49237243556001</v>
      </c>
      <c r="E151">
        <v>243.26564965808001</v>
      </c>
      <c r="F151">
        <v>129.24986931520999</v>
      </c>
      <c r="G151">
        <v>112.43700993204</v>
      </c>
      <c r="I151" s="9">
        <f t="shared" si="15"/>
        <v>130.82863972604002</v>
      </c>
      <c r="J151" s="9">
        <f t="shared" si="16"/>
        <v>556.24250312034997</v>
      </c>
      <c r="K151" s="9">
        <f t="shared" si="17"/>
        <v>130.82863972604002</v>
      </c>
      <c r="L151" s="10">
        <f t="shared" si="14"/>
        <v>0.23520072449000473</v>
      </c>
      <c r="M151" s="10">
        <f t="shared" si="18"/>
        <v>0.25631622852005731</v>
      </c>
      <c r="P151" s="8">
        <f t="shared" si="19"/>
        <v>-11.676982073620106</v>
      </c>
    </row>
    <row r="152" spans="1:16" x14ac:dyDescent="0.2">
      <c r="A152" s="8">
        <v>75</v>
      </c>
      <c r="B152" s="8">
        <v>150</v>
      </c>
      <c r="D152">
        <v>665.62019989478995</v>
      </c>
      <c r="E152">
        <v>238.99894792214999</v>
      </c>
      <c r="F152">
        <v>129.14218504965999</v>
      </c>
      <c r="G152">
        <v>112.82645060115</v>
      </c>
      <c r="I152" s="9">
        <f t="shared" si="15"/>
        <v>126.17249732099999</v>
      </c>
      <c r="J152" s="9">
        <f t="shared" si="16"/>
        <v>536.47801484513002</v>
      </c>
      <c r="K152" s="9">
        <f t="shared" si="17"/>
        <v>126.17249732099999</v>
      </c>
      <c r="L152" s="10">
        <f t="shared" si="14"/>
        <v>0.23518670631344205</v>
      </c>
      <c r="M152" s="10">
        <f t="shared" si="18"/>
        <v>0.25644392513564263</v>
      </c>
      <c r="P152" s="8">
        <f t="shared" si="19"/>
        <v>-11.632979590700467</v>
      </c>
    </row>
    <row r="153" spans="1:16" x14ac:dyDescent="0.2">
      <c r="A153" s="8">
        <v>75.5</v>
      </c>
      <c r="B153" s="8">
        <v>151</v>
      </c>
      <c r="D153">
        <v>632.79116254603002</v>
      </c>
      <c r="E153">
        <v>231.55917937927001</v>
      </c>
      <c r="F153">
        <v>129.35128071093001</v>
      </c>
      <c r="G153">
        <v>112.63460533193999</v>
      </c>
      <c r="I153" s="9">
        <f t="shared" si="15"/>
        <v>118.92457404733001</v>
      </c>
      <c r="J153" s="9">
        <f t="shared" si="16"/>
        <v>503.43988183509998</v>
      </c>
      <c r="K153" s="9">
        <f t="shared" si="17"/>
        <v>118.92457404733001</v>
      </c>
      <c r="L153" s="10">
        <f t="shared" si="14"/>
        <v>0.23622398291894434</v>
      </c>
      <c r="M153" s="10">
        <f t="shared" si="18"/>
        <v>0.25762291653329294</v>
      </c>
      <c r="P153" s="8">
        <f t="shared" si="19"/>
        <v>-11.226715504532516</v>
      </c>
    </row>
    <row r="154" spans="1:16" x14ac:dyDescent="0.2">
      <c r="A154" s="8">
        <v>76</v>
      </c>
      <c r="B154" s="8">
        <v>152</v>
      </c>
      <c r="D154">
        <v>647.90163072067003</v>
      </c>
      <c r="E154">
        <v>234.19779063651001</v>
      </c>
      <c r="F154">
        <v>128.99843178254</v>
      </c>
      <c r="G154">
        <v>112.85258755881</v>
      </c>
      <c r="I154" s="9">
        <f t="shared" si="15"/>
        <v>121.34520307770001</v>
      </c>
      <c r="J154" s="9">
        <f t="shared" si="16"/>
        <v>518.90319893813</v>
      </c>
      <c r="K154" s="9">
        <f t="shared" si="17"/>
        <v>121.34520307770001</v>
      </c>
      <c r="L154" s="10">
        <f t="shared" si="14"/>
        <v>0.2338494025976669</v>
      </c>
      <c r="M154" s="10">
        <f t="shared" si="18"/>
        <v>0.25539005100416351</v>
      </c>
      <c r="P154" s="8">
        <f t="shared" si="19"/>
        <v>-11.996130001988194</v>
      </c>
    </row>
    <row r="155" spans="1:16" x14ac:dyDescent="0.2">
      <c r="A155" s="8">
        <v>76.5</v>
      </c>
      <c r="B155" s="8">
        <v>153</v>
      </c>
      <c r="D155">
        <v>664.36927932667004</v>
      </c>
      <c r="E155">
        <v>236.88900578643</v>
      </c>
      <c r="F155">
        <v>129.42132775745</v>
      </c>
      <c r="G155">
        <v>112.55253528489</v>
      </c>
      <c r="I155" s="9">
        <f t="shared" si="15"/>
        <v>124.33647050154001</v>
      </c>
      <c r="J155" s="9">
        <f t="shared" si="16"/>
        <v>534.94795156922009</v>
      </c>
      <c r="K155" s="9">
        <f t="shared" si="17"/>
        <v>124.33647050154001</v>
      </c>
      <c r="L155" s="10">
        <f t="shared" si="14"/>
        <v>0.2324272298581769</v>
      </c>
      <c r="M155" s="10">
        <f t="shared" si="18"/>
        <v>0.25410959305682151</v>
      </c>
      <c r="P155" s="8">
        <f t="shared" si="19"/>
        <v>-12.437358054109806</v>
      </c>
    </row>
    <row r="156" spans="1:16" x14ac:dyDescent="0.2">
      <c r="A156" s="8">
        <v>77</v>
      </c>
      <c r="B156" s="8">
        <v>154</v>
      </c>
      <c r="D156">
        <v>676.54725848563999</v>
      </c>
      <c r="E156">
        <v>239.44334203655001</v>
      </c>
      <c r="F156">
        <v>128.91792995295</v>
      </c>
      <c r="G156">
        <v>112.80083638265</v>
      </c>
      <c r="I156" s="9">
        <f t="shared" si="15"/>
        <v>126.6425056539</v>
      </c>
      <c r="J156" s="9">
        <f t="shared" si="16"/>
        <v>547.62932853269001</v>
      </c>
      <c r="K156" s="9">
        <f t="shared" si="17"/>
        <v>126.6425056539</v>
      </c>
      <c r="L156" s="10">
        <f t="shared" si="14"/>
        <v>0.23125588615427897</v>
      </c>
      <c r="M156" s="10">
        <f t="shared" si="18"/>
        <v>0.25307996414507156</v>
      </c>
      <c r="P156" s="8">
        <f t="shared" si="19"/>
        <v>-12.79215389889532</v>
      </c>
    </row>
    <row r="157" spans="1:16" x14ac:dyDescent="0.2">
      <c r="A157" s="8">
        <v>77.5</v>
      </c>
      <c r="B157" s="8">
        <v>155</v>
      </c>
      <c r="D157">
        <v>661.09608355090995</v>
      </c>
      <c r="E157">
        <v>235.74203655353</v>
      </c>
      <c r="F157">
        <v>129.26084683742999</v>
      </c>
      <c r="G157">
        <v>112.57449032933</v>
      </c>
      <c r="I157" s="9">
        <f t="shared" si="15"/>
        <v>123.1675462242</v>
      </c>
      <c r="J157" s="9">
        <f t="shared" si="16"/>
        <v>531.83523671347996</v>
      </c>
      <c r="K157" s="9">
        <f t="shared" si="17"/>
        <v>123.1675462242</v>
      </c>
      <c r="L157" s="10">
        <f t="shared" si="14"/>
        <v>0.23158966860737562</v>
      </c>
      <c r="M157" s="10">
        <f t="shared" si="18"/>
        <v>0.25355546139031621</v>
      </c>
      <c r="P157" s="8">
        <f t="shared" si="19"/>
        <v>-12.628304142061053</v>
      </c>
    </row>
    <row r="158" spans="1:16" x14ac:dyDescent="0.2">
      <c r="A158" s="8">
        <v>78</v>
      </c>
      <c r="B158" s="8">
        <v>156</v>
      </c>
      <c r="D158">
        <v>670.19477806788996</v>
      </c>
      <c r="E158">
        <v>240.01566579634999</v>
      </c>
      <c r="F158">
        <v>129.13434396235999</v>
      </c>
      <c r="G158">
        <v>112.14113957135</v>
      </c>
      <c r="I158" s="9">
        <f t="shared" si="15"/>
        <v>127.874526225</v>
      </c>
      <c r="J158" s="9">
        <f t="shared" si="16"/>
        <v>541.06043410553002</v>
      </c>
      <c r="K158" s="9">
        <f t="shared" si="17"/>
        <v>127.874526225</v>
      </c>
      <c r="L158" s="10">
        <f t="shared" si="14"/>
        <v>0.23634056043369633</v>
      </c>
      <c r="M158" s="10">
        <f t="shared" si="18"/>
        <v>0.25844806800878495</v>
      </c>
      <c r="P158" s="8">
        <f t="shared" si="19"/>
        <v>-10.942379748725481</v>
      </c>
    </row>
    <row r="159" spans="1:16" x14ac:dyDescent="0.2">
      <c r="A159" s="8">
        <v>78.5</v>
      </c>
      <c r="B159" s="8">
        <v>157</v>
      </c>
      <c r="D159">
        <v>657.66161879896003</v>
      </c>
      <c r="E159">
        <v>237.12375979111999</v>
      </c>
      <c r="F159">
        <v>129.21170935703</v>
      </c>
      <c r="G159">
        <v>112.73183481443</v>
      </c>
      <c r="I159" s="9">
        <f t="shared" si="15"/>
        <v>124.39192497668999</v>
      </c>
      <c r="J159" s="9">
        <f t="shared" si="16"/>
        <v>528.44990944193</v>
      </c>
      <c r="K159" s="9">
        <f t="shared" si="17"/>
        <v>124.39192497668999</v>
      </c>
      <c r="L159" s="10">
        <f t="shared" si="14"/>
        <v>0.23539019073360085</v>
      </c>
      <c r="M159" s="10">
        <f t="shared" si="18"/>
        <v>0.25763941310083743</v>
      </c>
      <c r="P159" s="8">
        <f t="shared" si="19"/>
        <v>-11.221031016120024</v>
      </c>
    </row>
    <row r="160" spans="1:16" x14ac:dyDescent="0.2">
      <c r="A160" s="8">
        <v>79</v>
      </c>
      <c r="B160" s="8">
        <v>158</v>
      </c>
      <c r="D160">
        <v>662.09404388714995</v>
      </c>
      <c r="E160">
        <v>238.53866248694001</v>
      </c>
      <c r="F160">
        <v>129.31416623105</v>
      </c>
      <c r="G160">
        <v>112.51228437010001</v>
      </c>
      <c r="I160" s="9">
        <f t="shared" si="15"/>
        <v>126.02637811684001</v>
      </c>
      <c r="J160" s="9">
        <f t="shared" si="16"/>
        <v>532.77987765609998</v>
      </c>
      <c r="K160" s="9">
        <f t="shared" si="17"/>
        <v>126.02637811684001</v>
      </c>
      <c r="L160" s="10">
        <f t="shared" si="14"/>
        <v>0.23654492859467152</v>
      </c>
      <c r="M160" s="10">
        <f t="shared" si="18"/>
        <v>0.25893586575405614</v>
      </c>
      <c r="P160" s="8">
        <f t="shared" si="19"/>
        <v>-10.774291410157158</v>
      </c>
    </row>
    <row r="161" spans="1:16" x14ac:dyDescent="0.2">
      <c r="A161" s="8">
        <v>79.5</v>
      </c>
      <c r="B161" s="8">
        <v>159</v>
      </c>
      <c r="D161">
        <v>660.65621734587</v>
      </c>
      <c r="E161">
        <v>239.34430512016999</v>
      </c>
      <c r="F161">
        <v>129.07161526397999</v>
      </c>
      <c r="G161">
        <v>112.44746471511</v>
      </c>
      <c r="I161" s="9">
        <f t="shared" si="15"/>
        <v>126.89684040505999</v>
      </c>
      <c r="J161" s="9">
        <f t="shared" si="16"/>
        <v>531.58460208189001</v>
      </c>
      <c r="K161" s="9">
        <f t="shared" si="17"/>
        <v>126.89684040505999</v>
      </c>
      <c r="L161" s="10">
        <f t="shared" si="14"/>
        <v>0.23871428914246781</v>
      </c>
      <c r="M161" s="10">
        <f t="shared" si="18"/>
        <v>0.26124694109400043</v>
      </c>
      <c r="P161" s="8">
        <f t="shared" si="19"/>
        <v>-9.9779268964559069</v>
      </c>
    </row>
    <row r="162" spans="1:16" x14ac:dyDescent="0.2">
      <c r="A162" s="8">
        <v>80</v>
      </c>
      <c r="B162" s="4">
        <v>160</v>
      </c>
      <c r="C162" s="4" t="s">
        <v>7</v>
      </c>
      <c r="D162">
        <v>677.11598746081995</v>
      </c>
      <c r="E162">
        <v>242.44879832811</v>
      </c>
      <c r="F162">
        <v>129.49973863042001</v>
      </c>
      <c r="G162">
        <v>112.49451123889</v>
      </c>
      <c r="H162" s="4"/>
      <c r="I162" s="5">
        <f t="shared" si="15"/>
        <v>129.95428708922</v>
      </c>
      <c r="J162" s="5">
        <f t="shared" si="16"/>
        <v>547.61624883039997</v>
      </c>
      <c r="K162" s="9">
        <f t="shared" si="17"/>
        <v>129.95428708922</v>
      </c>
      <c r="L162" s="6">
        <f t="shared" si="14"/>
        <v>0.23730904144421694</v>
      </c>
      <c r="M162" s="6">
        <f t="shared" si="18"/>
        <v>0.25998340818789756</v>
      </c>
      <c r="N162" s="4"/>
      <c r="O162" s="4"/>
      <c r="P162" s="4">
        <f t="shared" si="19"/>
        <v>-10.413322814071641</v>
      </c>
    </row>
    <row r="163" spans="1:16" x14ac:dyDescent="0.2">
      <c r="A163" s="8">
        <v>80.5</v>
      </c>
      <c r="B163" s="8">
        <v>161</v>
      </c>
      <c r="D163">
        <v>695.32288401254004</v>
      </c>
      <c r="E163">
        <v>245.07993730408</v>
      </c>
      <c r="F163">
        <v>129.06952430736999</v>
      </c>
      <c r="G163">
        <v>112.63251437533</v>
      </c>
      <c r="I163" s="9">
        <f t="shared" si="15"/>
        <v>132.44742292875</v>
      </c>
      <c r="J163" s="9">
        <f t="shared" si="16"/>
        <v>566.25335970517006</v>
      </c>
      <c r="K163" s="9">
        <f t="shared" si="17"/>
        <v>132.44742292875</v>
      </c>
      <c r="L163" s="10">
        <f t="shared" si="14"/>
        <v>0.23390134585287251</v>
      </c>
      <c r="M163" s="10">
        <f t="shared" si="18"/>
        <v>0.25671742738870112</v>
      </c>
      <c r="P163" s="8">
        <f t="shared" si="19"/>
        <v>-11.538734507042408</v>
      </c>
    </row>
    <row r="164" spans="1:16" x14ac:dyDescent="0.2">
      <c r="A164" s="8">
        <v>81</v>
      </c>
      <c r="B164" s="8">
        <v>162</v>
      </c>
      <c r="D164">
        <v>687.58841940532</v>
      </c>
      <c r="E164">
        <v>244.08398539385001</v>
      </c>
      <c r="F164">
        <v>129.35337166753999</v>
      </c>
      <c r="G164">
        <v>112.73078933612</v>
      </c>
      <c r="I164" s="9">
        <f t="shared" si="15"/>
        <v>131.35319605773003</v>
      </c>
      <c r="J164" s="9">
        <f t="shared" si="16"/>
        <v>558.23504773777995</v>
      </c>
      <c r="K164" s="9">
        <f t="shared" si="17"/>
        <v>131.35319605773003</v>
      </c>
      <c r="L164" s="10">
        <f t="shared" si="14"/>
        <v>0.23530087655734336</v>
      </c>
      <c r="M164" s="10">
        <f t="shared" si="18"/>
        <v>0.25825867288532001</v>
      </c>
      <c r="P164" s="8">
        <f t="shared" si="19"/>
        <v>-11.007642681866891</v>
      </c>
    </row>
    <row r="165" spans="1:16" x14ac:dyDescent="0.2">
      <c r="A165" s="8">
        <v>81.5</v>
      </c>
      <c r="B165" s="8">
        <v>163</v>
      </c>
      <c r="D165">
        <v>695.12965879265005</v>
      </c>
      <c r="E165">
        <v>254.38267716535</v>
      </c>
      <c r="F165">
        <v>129.13329848405999</v>
      </c>
      <c r="G165">
        <v>112.68478829064</v>
      </c>
      <c r="I165" s="9">
        <f t="shared" si="15"/>
        <v>141.69788887471</v>
      </c>
      <c r="J165" s="9">
        <f t="shared" si="16"/>
        <v>565.99636030859006</v>
      </c>
      <c r="K165" s="9">
        <f t="shared" si="17"/>
        <v>141.69788887471</v>
      </c>
      <c r="L165" s="10">
        <f t="shared" si="14"/>
        <v>0.25035123688331512</v>
      </c>
      <c r="M165" s="10">
        <f t="shared" si="18"/>
        <v>0.27345074800343977</v>
      </c>
      <c r="P165" s="8">
        <f t="shared" si="19"/>
        <v>-5.7726642696763335</v>
      </c>
    </row>
    <row r="166" spans="1:16" x14ac:dyDescent="0.2">
      <c r="A166" s="8">
        <v>82</v>
      </c>
      <c r="B166" s="8">
        <v>164</v>
      </c>
      <c r="D166">
        <v>713.6498687664</v>
      </c>
      <c r="E166">
        <v>270.21049868765999</v>
      </c>
      <c r="F166">
        <v>129.35493988499999</v>
      </c>
      <c r="G166">
        <v>112.41348667014999</v>
      </c>
      <c r="I166" s="9">
        <f t="shared" si="15"/>
        <v>157.79701201750999</v>
      </c>
      <c r="J166" s="9">
        <f t="shared" si="16"/>
        <v>584.29492888139998</v>
      </c>
      <c r="K166" s="9">
        <f t="shared" si="17"/>
        <v>157.79701201750999</v>
      </c>
      <c r="L166" s="10">
        <f t="shared" si="14"/>
        <v>0.27006397662838449</v>
      </c>
      <c r="M166" s="10">
        <f t="shared" si="18"/>
        <v>0.29330520254065712</v>
      </c>
      <c r="P166" s="8">
        <f t="shared" si="19"/>
        <v>1.0689054355829608</v>
      </c>
    </row>
    <row r="167" spans="1:16" x14ac:dyDescent="0.2">
      <c r="A167" s="8">
        <v>82.5</v>
      </c>
      <c r="B167" s="8">
        <v>165</v>
      </c>
      <c r="D167">
        <v>703.34068241470004</v>
      </c>
      <c r="E167">
        <v>273.62939632545999</v>
      </c>
      <c r="F167">
        <v>129.25039205437</v>
      </c>
      <c r="G167">
        <v>112.57449032933</v>
      </c>
      <c r="I167" s="9">
        <f t="shared" si="15"/>
        <v>161.05490599613</v>
      </c>
      <c r="J167" s="9">
        <f t="shared" si="16"/>
        <v>574.09029036033007</v>
      </c>
      <c r="K167" s="9">
        <f t="shared" si="17"/>
        <v>161.05490599613</v>
      </c>
      <c r="L167" s="10">
        <f t="shared" si="14"/>
        <v>0.28053933100844336</v>
      </c>
      <c r="M167" s="10">
        <f t="shared" si="18"/>
        <v>0.30392227171286401</v>
      </c>
      <c r="P167" s="8">
        <f t="shared" si="19"/>
        <v>4.727400241927481</v>
      </c>
    </row>
    <row r="168" spans="1:16" x14ac:dyDescent="0.2">
      <c r="A168" s="8">
        <v>83</v>
      </c>
      <c r="B168" s="8">
        <v>166</v>
      </c>
      <c r="D168">
        <v>703.16885159936999</v>
      </c>
      <c r="E168">
        <v>276.77871001572998</v>
      </c>
      <c r="F168">
        <v>129.18609513852999</v>
      </c>
      <c r="G168">
        <v>112.58180867746999</v>
      </c>
      <c r="I168" s="9">
        <f t="shared" si="15"/>
        <v>164.19690133825998</v>
      </c>
      <c r="J168" s="9">
        <f t="shared" si="16"/>
        <v>573.98275646083994</v>
      </c>
      <c r="K168" s="9">
        <f t="shared" si="17"/>
        <v>164.19690133825998</v>
      </c>
      <c r="L168" s="10">
        <f t="shared" si="14"/>
        <v>0.2860659131133016</v>
      </c>
      <c r="M168" s="10">
        <f t="shared" si="18"/>
        <v>0.30959056860987022</v>
      </c>
      <c r="P168" s="8">
        <f t="shared" si="19"/>
        <v>6.6806167484942769</v>
      </c>
    </row>
    <row r="169" spans="1:16" x14ac:dyDescent="0.2">
      <c r="A169" s="8">
        <v>83.5</v>
      </c>
      <c r="B169" s="8">
        <v>167</v>
      </c>
      <c r="D169">
        <v>672.53483499213996</v>
      </c>
      <c r="E169">
        <v>271.6396018858</v>
      </c>
      <c r="F169">
        <v>129.17929952954</v>
      </c>
      <c r="G169">
        <v>112.4966021955</v>
      </c>
      <c r="I169" s="9">
        <f t="shared" si="15"/>
        <v>159.1429996903</v>
      </c>
      <c r="J169" s="9">
        <f t="shared" si="16"/>
        <v>543.35553546259996</v>
      </c>
      <c r="K169" s="9">
        <f t="shared" si="17"/>
        <v>159.1429996903</v>
      </c>
      <c r="L169" s="10">
        <f t="shared" si="14"/>
        <v>0.2928892581444108</v>
      </c>
      <c r="M169" s="10">
        <f t="shared" si="18"/>
        <v>0.31655562843312746</v>
      </c>
      <c r="P169" s="8">
        <f t="shared" si="19"/>
        <v>9.0806797768082195</v>
      </c>
    </row>
    <row r="170" spans="1:16" x14ac:dyDescent="0.2">
      <c r="A170" s="8">
        <v>84</v>
      </c>
      <c r="B170" s="8">
        <v>168</v>
      </c>
      <c r="D170">
        <v>666.24148768989005</v>
      </c>
      <c r="E170">
        <v>273.27710843374001</v>
      </c>
      <c r="F170">
        <v>129.34396236277999</v>
      </c>
      <c r="G170">
        <v>112.86408782018</v>
      </c>
      <c r="I170" s="9">
        <f t="shared" si="15"/>
        <v>160.41302061356001</v>
      </c>
      <c r="J170" s="9">
        <f t="shared" si="16"/>
        <v>536.89752532711009</v>
      </c>
      <c r="K170" s="9">
        <f t="shared" si="17"/>
        <v>160.41302061356001</v>
      </c>
      <c r="L170" s="10">
        <f t="shared" si="14"/>
        <v>0.29877772395361069</v>
      </c>
      <c r="M170" s="10">
        <f t="shared" si="18"/>
        <v>0.32258580903447531</v>
      </c>
      <c r="P170" s="8">
        <f t="shared" si="19"/>
        <v>11.15859638953053</v>
      </c>
    </row>
    <row r="171" spans="1:16" x14ac:dyDescent="0.2">
      <c r="A171" s="8">
        <v>84.5</v>
      </c>
      <c r="B171" s="8">
        <v>169</v>
      </c>
      <c r="D171">
        <v>662.36301728653996</v>
      </c>
      <c r="E171">
        <v>279.93294918805998</v>
      </c>
      <c r="F171">
        <v>129.73392577103999</v>
      </c>
      <c r="G171">
        <v>112.94145321485</v>
      </c>
      <c r="I171" s="9">
        <f t="shared" si="15"/>
        <v>166.99149597320996</v>
      </c>
      <c r="J171" s="9">
        <f t="shared" si="16"/>
        <v>532.62909151550002</v>
      </c>
      <c r="K171" s="9">
        <f t="shared" si="17"/>
        <v>166.99149597320996</v>
      </c>
      <c r="L171" s="10">
        <f t="shared" si="14"/>
        <v>0.31352304752649873</v>
      </c>
      <c r="M171" s="10">
        <f t="shared" si="18"/>
        <v>0.33747284739951139</v>
      </c>
      <c r="P171" s="8">
        <f t="shared" si="19"/>
        <v>16.288463366653655</v>
      </c>
    </row>
    <row r="172" spans="1:16" x14ac:dyDescent="0.2">
      <c r="A172" s="8">
        <v>85</v>
      </c>
      <c r="B172" s="8">
        <v>170</v>
      </c>
      <c r="D172">
        <v>660.03404924044003</v>
      </c>
      <c r="E172">
        <v>282.99738082765998</v>
      </c>
      <c r="F172">
        <v>129.32409827495999</v>
      </c>
      <c r="G172">
        <v>112.74908520648</v>
      </c>
      <c r="I172" s="9">
        <f t="shared" si="15"/>
        <v>170.24829562117998</v>
      </c>
      <c r="J172" s="9">
        <f t="shared" si="16"/>
        <v>530.70995096548006</v>
      </c>
      <c r="K172" s="9">
        <f t="shared" si="17"/>
        <v>170.24829562117998</v>
      </c>
      <c r="L172" s="10">
        <f t="shared" si="14"/>
        <v>0.32079348674631081</v>
      </c>
      <c r="M172" s="10">
        <f t="shared" si="18"/>
        <v>0.34488500141147144</v>
      </c>
      <c r="P172" s="8">
        <f t="shared" si="19"/>
        <v>18.84258885239209</v>
      </c>
    </row>
    <row r="173" spans="1:16" x14ac:dyDescent="0.2">
      <c r="A173" s="8">
        <v>85.5</v>
      </c>
      <c r="B173" s="8">
        <v>171</v>
      </c>
      <c r="D173">
        <v>650.85721757322005</v>
      </c>
      <c r="E173">
        <v>281.03399581590003</v>
      </c>
      <c r="F173">
        <v>129.27966544693999</v>
      </c>
      <c r="G173">
        <v>112.62885520126</v>
      </c>
      <c r="I173" s="9">
        <f t="shared" si="15"/>
        <v>168.40514061464003</v>
      </c>
      <c r="J173" s="9">
        <f t="shared" si="16"/>
        <v>521.57755212628012</v>
      </c>
      <c r="K173" s="9">
        <f t="shared" si="17"/>
        <v>168.40514061464003</v>
      </c>
      <c r="L173" s="10">
        <f t="shared" si="14"/>
        <v>0.32287651170590859</v>
      </c>
      <c r="M173" s="10">
        <f t="shared" si="18"/>
        <v>0.34710974116321724</v>
      </c>
      <c r="P173" s="8">
        <f t="shared" si="19"/>
        <v>19.609203319644209</v>
      </c>
    </row>
    <row r="174" spans="1:16" x14ac:dyDescent="0.2">
      <c r="A174" s="8">
        <v>86</v>
      </c>
      <c r="B174" s="8">
        <v>172</v>
      </c>
      <c r="D174">
        <v>648.72071129707001</v>
      </c>
      <c r="E174">
        <v>282.89016736401999</v>
      </c>
      <c r="F174">
        <v>129.56717198118</v>
      </c>
      <c r="G174">
        <v>112.78881338212</v>
      </c>
      <c r="I174" s="9">
        <f t="shared" si="15"/>
        <v>170.10135398189999</v>
      </c>
      <c r="J174" s="9">
        <f t="shared" si="16"/>
        <v>519.15353931589004</v>
      </c>
      <c r="K174" s="9">
        <f t="shared" si="17"/>
        <v>170.10135398189999</v>
      </c>
      <c r="L174" s="10">
        <f t="shared" si="14"/>
        <v>0.32765134223306952</v>
      </c>
      <c r="M174" s="10">
        <f t="shared" si="18"/>
        <v>0.35202628648252621</v>
      </c>
      <c r="P174" s="8">
        <f t="shared" si="19"/>
        <v>21.303376657323465</v>
      </c>
    </row>
    <row r="175" spans="1:16" x14ac:dyDescent="0.2">
      <c r="A175" s="8">
        <v>86.5</v>
      </c>
      <c r="B175" s="8">
        <v>173</v>
      </c>
      <c r="D175">
        <v>655.37081589957995</v>
      </c>
      <c r="E175">
        <v>290.79864016736002</v>
      </c>
      <c r="F175">
        <v>129.77208572922001</v>
      </c>
      <c r="G175">
        <v>112.89336121276</v>
      </c>
      <c r="I175" s="9">
        <f t="shared" si="15"/>
        <v>177.90527895460002</v>
      </c>
      <c r="J175" s="9">
        <f t="shared" si="16"/>
        <v>525.59873017035989</v>
      </c>
      <c r="K175" s="9">
        <f t="shared" si="17"/>
        <v>177.90527895460002</v>
      </c>
      <c r="L175" s="10">
        <f t="shared" si="14"/>
        <v>0.33848118106551817</v>
      </c>
      <c r="M175" s="10">
        <f t="shared" si="18"/>
        <v>0.36299784010712283</v>
      </c>
      <c r="P175" s="8">
        <f t="shared" si="19"/>
        <v>25.084021890208732</v>
      </c>
    </row>
    <row r="176" spans="1:16" x14ac:dyDescent="0.2">
      <c r="A176" s="8">
        <v>87</v>
      </c>
      <c r="B176" s="8">
        <v>174</v>
      </c>
      <c r="D176">
        <v>665.53399581589997</v>
      </c>
      <c r="E176">
        <v>300.71966527196997</v>
      </c>
      <c r="F176">
        <v>129.32828018819001</v>
      </c>
      <c r="G176">
        <v>112.73340303189001</v>
      </c>
      <c r="I176" s="9">
        <f t="shared" si="15"/>
        <v>187.98626224007995</v>
      </c>
      <c r="J176" s="9">
        <f t="shared" si="16"/>
        <v>536.20571562770999</v>
      </c>
      <c r="K176" s="9">
        <f t="shared" si="17"/>
        <v>187.98626224007995</v>
      </c>
      <c r="L176" s="10">
        <f t="shared" si="14"/>
        <v>0.35058608433521371</v>
      </c>
      <c r="M176" s="10">
        <f t="shared" si="18"/>
        <v>0.3752444581689664</v>
      </c>
      <c r="P176" s="8">
        <f t="shared" si="19"/>
        <v>29.304036646430443</v>
      </c>
    </row>
    <row r="177" spans="1:16" x14ac:dyDescent="0.2">
      <c r="A177" s="8">
        <v>87.5</v>
      </c>
      <c r="B177" s="8">
        <v>175</v>
      </c>
      <c r="D177">
        <v>673.72280334727998</v>
      </c>
      <c r="E177">
        <v>306.96652719665002</v>
      </c>
      <c r="F177">
        <v>129.40460010455001</v>
      </c>
      <c r="G177">
        <v>112.4798745426</v>
      </c>
      <c r="I177" s="9">
        <f t="shared" si="15"/>
        <v>194.48665265405003</v>
      </c>
      <c r="J177" s="9">
        <f t="shared" si="16"/>
        <v>544.31820324272996</v>
      </c>
      <c r="K177" s="9">
        <f t="shared" si="17"/>
        <v>194.48665265405003</v>
      </c>
      <c r="L177" s="10">
        <f t="shared" si="14"/>
        <v>0.35730323089584759</v>
      </c>
      <c r="M177" s="10">
        <f t="shared" si="18"/>
        <v>0.38210331952174825</v>
      </c>
      <c r="P177" s="8">
        <f t="shared" si="19"/>
        <v>31.667505154507765</v>
      </c>
    </row>
    <row r="178" spans="1:16" x14ac:dyDescent="0.2">
      <c r="A178" s="8">
        <v>88</v>
      </c>
      <c r="B178" s="8">
        <v>176</v>
      </c>
      <c r="D178">
        <v>664.44194560669996</v>
      </c>
      <c r="E178">
        <v>303.98849372385001</v>
      </c>
      <c r="F178">
        <v>129.53894406691001</v>
      </c>
      <c r="G178">
        <v>113.00836382644999</v>
      </c>
      <c r="I178" s="9">
        <f t="shared" si="15"/>
        <v>190.98012989740002</v>
      </c>
      <c r="J178" s="9">
        <f t="shared" si="16"/>
        <v>534.90300153979001</v>
      </c>
      <c r="K178" s="9">
        <f t="shared" si="17"/>
        <v>190.98012989740002</v>
      </c>
      <c r="L178" s="10">
        <f t="shared" si="14"/>
        <v>0.35703693818811655</v>
      </c>
      <c r="M178" s="10">
        <f t="shared" si="18"/>
        <v>0.38197874160616524</v>
      </c>
      <c r="P178" s="8">
        <f t="shared" si="19"/>
        <v>31.624577332360882</v>
      </c>
    </row>
    <row r="179" spans="1:16" x14ac:dyDescent="0.2">
      <c r="A179" s="8">
        <v>88.5</v>
      </c>
      <c r="B179" s="8">
        <v>177</v>
      </c>
      <c r="D179">
        <v>676.68619246861999</v>
      </c>
      <c r="E179">
        <v>311.84100418409997</v>
      </c>
      <c r="F179">
        <v>129.78985886043</v>
      </c>
      <c r="G179">
        <v>113.02404600105</v>
      </c>
      <c r="I179" s="9">
        <f t="shared" si="15"/>
        <v>198.81695818304996</v>
      </c>
      <c r="J179" s="9">
        <f t="shared" si="16"/>
        <v>546.89633360818993</v>
      </c>
      <c r="K179" s="9">
        <f t="shared" si="17"/>
        <v>198.81695818304996</v>
      </c>
      <c r="L179" s="10">
        <f t="shared" si="14"/>
        <v>0.36353682766775935</v>
      </c>
      <c r="M179" s="10">
        <f t="shared" si="18"/>
        <v>0.38862034587795602</v>
      </c>
      <c r="P179" s="8">
        <f t="shared" si="19"/>
        <v>33.913182063104237</v>
      </c>
    </row>
    <row r="180" spans="1:16" x14ac:dyDescent="0.2">
      <c r="A180" s="8">
        <v>89</v>
      </c>
      <c r="B180" s="8">
        <v>178</v>
      </c>
      <c r="D180">
        <v>679.25836820083998</v>
      </c>
      <c r="E180">
        <v>311.00836820083998</v>
      </c>
      <c r="F180">
        <v>129.65237846315</v>
      </c>
      <c r="G180">
        <v>112.73706220596</v>
      </c>
      <c r="I180" s="9">
        <f t="shared" si="15"/>
        <v>198.27130599487998</v>
      </c>
      <c r="J180" s="9">
        <f t="shared" si="16"/>
        <v>549.60598973768992</v>
      </c>
      <c r="K180" s="9">
        <f t="shared" si="17"/>
        <v>198.27130599487998</v>
      </c>
      <c r="L180" s="10">
        <f t="shared" si="14"/>
        <v>0.36075171977202941</v>
      </c>
      <c r="M180" s="10">
        <f t="shared" si="18"/>
        <v>0.3859769527743741</v>
      </c>
      <c r="P180" s="8">
        <f t="shared" si="19"/>
        <v>33.002305456413431</v>
      </c>
    </row>
    <row r="181" spans="1:16" x14ac:dyDescent="0.2">
      <c r="A181" s="8">
        <v>89.5</v>
      </c>
      <c r="B181" s="8">
        <v>179</v>
      </c>
      <c r="D181">
        <v>673.01621338912003</v>
      </c>
      <c r="E181">
        <v>306.65062761505999</v>
      </c>
      <c r="F181">
        <v>129.77417668583001</v>
      </c>
      <c r="G181">
        <v>112.85101934135</v>
      </c>
      <c r="I181" s="9">
        <f t="shared" si="15"/>
        <v>193.79960827370999</v>
      </c>
      <c r="J181" s="9">
        <f t="shared" si="16"/>
        <v>543.24203670329007</v>
      </c>
      <c r="K181" s="9">
        <f t="shared" si="17"/>
        <v>193.79960827370999</v>
      </c>
      <c r="L181" s="10">
        <f t="shared" si="14"/>
        <v>0.35674633989998122</v>
      </c>
      <c r="M181" s="10">
        <f t="shared" si="18"/>
        <v>0.38211328769447389</v>
      </c>
      <c r="P181" s="8">
        <f t="shared" si="19"/>
        <v>31.670940048597085</v>
      </c>
    </row>
    <row r="182" spans="1:16" x14ac:dyDescent="0.2">
      <c r="A182" s="8">
        <v>90</v>
      </c>
      <c r="B182" s="8">
        <v>180</v>
      </c>
      <c r="D182">
        <v>685.04236401673995</v>
      </c>
      <c r="E182">
        <v>313.03870292887001</v>
      </c>
      <c r="F182">
        <v>129.92002090957001</v>
      </c>
      <c r="G182">
        <v>112.76999477261</v>
      </c>
      <c r="I182" s="9">
        <f t="shared" si="15"/>
        <v>200.26870815626</v>
      </c>
      <c r="J182" s="9">
        <f t="shared" si="16"/>
        <v>555.12234310716997</v>
      </c>
      <c r="K182" s="9">
        <f t="shared" si="17"/>
        <v>200.26870815626</v>
      </c>
      <c r="L182" s="10">
        <f t="shared" si="14"/>
        <v>0.36076499287580799</v>
      </c>
      <c r="M182" s="10">
        <f>L182+ABS($N$2)*A182</f>
        <v>0.38627365546244868</v>
      </c>
      <c r="P182" s="8">
        <f t="shared" si="19"/>
        <v>33.104545088249957</v>
      </c>
    </row>
    <row r="183" spans="1:16" x14ac:dyDescent="0.2">
      <c r="A183" s="8">
        <v>90.5</v>
      </c>
      <c r="B183" s="8">
        <v>181</v>
      </c>
      <c r="D183">
        <v>685.02876569038006</v>
      </c>
      <c r="E183">
        <v>318.37343096234002</v>
      </c>
      <c r="F183">
        <v>129.61055933089</v>
      </c>
      <c r="G183">
        <v>112.66806063774</v>
      </c>
      <c r="I183" s="9">
        <f t="shared" si="15"/>
        <v>205.70537032460004</v>
      </c>
      <c r="J183" s="9">
        <f t="shared" si="16"/>
        <v>555.41820635949011</v>
      </c>
      <c r="K183" s="9">
        <f t="shared" si="17"/>
        <v>205.70537032460004</v>
      </c>
      <c r="L183" s="10">
        <f t="shared" si="14"/>
        <v>0.37036123045534242</v>
      </c>
      <c r="M183" s="10">
        <f t="shared" ref="M183:M241" si="20">L183+ABS($N$2)*A183</f>
        <v>0.39601160783413114</v>
      </c>
      <c r="P183" s="8">
        <f t="shared" si="19"/>
        <v>36.46010843613621</v>
      </c>
    </row>
    <row r="184" spans="1:16" x14ac:dyDescent="0.2">
      <c r="A184" s="8">
        <v>91</v>
      </c>
      <c r="B184" s="8">
        <v>182</v>
      </c>
      <c r="D184">
        <v>675.36820083682005</v>
      </c>
      <c r="E184">
        <v>312.06014644352001</v>
      </c>
      <c r="F184">
        <v>129.56089911134001</v>
      </c>
      <c r="G184">
        <v>112.57605854678999</v>
      </c>
      <c r="I184" s="9">
        <f t="shared" si="15"/>
        <v>199.48408789673002</v>
      </c>
      <c r="J184" s="9">
        <f t="shared" si="16"/>
        <v>545.8073017254801</v>
      </c>
      <c r="K184" s="9">
        <f t="shared" si="17"/>
        <v>199.48408789673002</v>
      </c>
      <c r="L184" s="10">
        <f t="shared" si="14"/>
        <v>0.36548446176167643</v>
      </c>
      <c r="M184" s="10">
        <f t="shared" si="20"/>
        <v>0.39127655393261312</v>
      </c>
      <c r="P184" s="8">
        <f t="shared" si="19"/>
        <v>34.828474524226401</v>
      </c>
    </row>
    <row r="185" spans="1:16" x14ac:dyDescent="0.2">
      <c r="A185" s="8">
        <v>91.5</v>
      </c>
      <c r="B185" s="8">
        <v>183</v>
      </c>
      <c r="D185">
        <v>689.36558577406004</v>
      </c>
      <c r="E185">
        <v>315.74058577405998</v>
      </c>
      <c r="F185">
        <v>129.24934657605999</v>
      </c>
      <c r="G185">
        <v>112.92315734448999</v>
      </c>
      <c r="I185" s="9">
        <f t="shared" si="15"/>
        <v>202.81742842956999</v>
      </c>
      <c r="J185" s="9">
        <f t="shared" si="16"/>
        <v>560.11623919800002</v>
      </c>
      <c r="K185" s="9">
        <f t="shared" si="17"/>
        <v>202.81742842956999</v>
      </c>
      <c r="L185" s="10">
        <f t="shared" si="14"/>
        <v>0.36209881848805747</v>
      </c>
      <c r="M185" s="10">
        <f t="shared" si="20"/>
        <v>0.3880326254511422</v>
      </c>
      <c r="P185" s="8">
        <f t="shared" si="19"/>
        <v>33.710661754137085</v>
      </c>
    </row>
    <row r="186" spans="1:16" x14ac:dyDescent="0.2">
      <c r="A186" s="8">
        <v>92</v>
      </c>
      <c r="B186" s="8">
        <v>184</v>
      </c>
      <c r="D186">
        <v>696.13546025104995</v>
      </c>
      <c r="E186">
        <v>316.10617154812002</v>
      </c>
      <c r="F186">
        <v>129.68322007318</v>
      </c>
      <c r="G186">
        <v>112.69262937793999</v>
      </c>
      <c r="I186" s="9">
        <f t="shared" si="15"/>
        <v>203.41354217018002</v>
      </c>
      <c r="J186" s="9">
        <f t="shared" si="16"/>
        <v>566.45224017786995</v>
      </c>
      <c r="K186" s="9">
        <f t="shared" si="17"/>
        <v>203.41354217018002</v>
      </c>
      <c r="L186" s="10">
        <f t="shared" si="14"/>
        <v>0.35910095810779519</v>
      </c>
      <c r="M186" s="10">
        <f t="shared" si="20"/>
        <v>0.38517647986302789</v>
      </c>
      <c r="P186" s="8">
        <f t="shared" si="19"/>
        <v>32.726473591585254</v>
      </c>
    </row>
    <row r="187" spans="1:16" x14ac:dyDescent="0.2">
      <c r="A187" s="8">
        <v>92.5</v>
      </c>
      <c r="B187" s="8">
        <v>185</v>
      </c>
      <c r="D187">
        <v>693.00052301255005</v>
      </c>
      <c r="E187">
        <v>317.31223849371997</v>
      </c>
      <c r="F187">
        <v>129.61369576581001</v>
      </c>
      <c r="G187">
        <v>112.89283847359999</v>
      </c>
      <c r="I187" s="9">
        <f t="shared" si="15"/>
        <v>204.41940002011998</v>
      </c>
      <c r="J187" s="9">
        <f t="shared" si="16"/>
        <v>563.38682724674004</v>
      </c>
      <c r="K187" s="9">
        <f t="shared" si="17"/>
        <v>204.41940002011998</v>
      </c>
      <c r="L187" s="10">
        <f t="shared" si="14"/>
        <v>0.36284021942634587</v>
      </c>
      <c r="M187" s="10">
        <f t="shared" si="20"/>
        <v>0.3890574559737266</v>
      </c>
      <c r="P187" s="8">
        <f t="shared" si="19"/>
        <v>34.063804140556989</v>
      </c>
    </row>
    <row r="188" spans="1:16" x14ac:dyDescent="0.2">
      <c r="A188" s="8">
        <v>93</v>
      </c>
      <c r="B188" s="8">
        <v>186</v>
      </c>
      <c r="D188">
        <v>703.42311715481003</v>
      </c>
      <c r="E188">
        <v>318.89592050209001</v>
      </c>
      <c r="F188">
        <v>129.49294302142999</v>
      </c>
      <c r="G188">
        <v>112.52221641401</v>
      </c>
      <c r="I188" s="9">
        <f t="shared" si="15"/>
        <v>206.37370408807999</v>
      </c>
      <c r="J188" s="9">
        <f t="shared" si="16"/>
        <v>573.93017413337998</v>
      </c>
      <c r="K188" s="9">
        <f t="shared" si="17"/>
        <v>206.37370408807999</v>
      </c>
      <c r="L188" s="10">
        <f t="shared" si="14"/>
        <v>0.35957981195133892</v>
      </c>
      <c r="M188" s="10">
        <f t="shared" si="20"/>
        <v>0.38593876329086763</v>
      </c>
      <c r="P188" s="8">
        <f t="shared" si="19"/>
        <v>32.989145889983256</v>
      </c>
    </row>
    <row r="189" spans="1:16" x14ac:dyDescent="0.2">
      <c r="A189" s="8">
        <v>93.5</v>
      </c>
      <c r="B189" s="8">
        <v>187</v>
      </c>
      <c r="D189">
        <v>671.83995815900005</v>
      </c>
      <c r="E189">
        <v>309.44037656903998</v>
      </c>
      <c r="F189">
        <v>129.32618923157</v>
      </c>
      <c r="G189">
        <v>112.60167276529</v>
      </c>
      <c r="I189" s="9">
        <f t="shared" si="15"/>
        <v>196.83870380374998</v>
      </c>
      <c r="J189" s="9">
        <f t="shared" si="16"/>
        <v>542.51376892743008</v>
      </c>
      <c r="K189" s="9">
        <f t="shared" si="17"/>
        <v>196.83870380374998</v>
      </c>
      <c r="L189" s="10">
        <f t="shared" si="14"/>
        <v>0.3628271116379358</v>
      </c>
      <c r="M189" s="10">
        <f t="shared" si="20"/>
        <v>0.38932777776961253</v>
      </c>
      <c r="P189" s="8">
        <f t="shared" si="19"/>
        <v>34.156953282777827</v>
      </c>
    </row>
    <row r="190" spans="1:16" x14ac:dyDescent="0.2">
      <c r="A190" s="8">
        <v>94</v>
      </c>
      <c r="B190" s="8">
        <v>188</v>
      </c>
      <c r="D190">
        <v>670.63755230126003</v>
      </c>
      <c r="E190">
        <v>305.93043933054003</v>
      </c>
      <c r="F190">
        <v>129.66387872452</v>
      </c>
      <c r="G190">
        <v>112.71667537899</v>
      </c>
      <c r="I190" s="9">
        <f t="shared" si="15"/>
        <v>193.21376395155002</v>
      </c>
      <c r="J190" s="9">
        <f t="shared" si="16"/>
        <v>540.97367357674</v>
      </c>
      <c r="K190" s="9">
        <f t="shared" si="17"/>
        <v>193.21376395155002</v>
      </c>
      <c r="L190" s="10">
        <f t="shared" si="14"/>
        <v>0.35715927297179578</v>
      </c>
      <c r="M190" s="10">
        <f t="shared" si="20"/>
        <v>0.38380165389562049</v>
      </c>
      <c r="P190" s="8">
        <f t="shared" si="19"/>
        <v>32.252727628381543</v>
      </c>
    </row>
    <row r="191" spans="1:16" x14ac:dyDescent="0.2">
      <c r="A191" s="8">
        <v>94.5</v>
      </c>
      <c r="B191" s="8">
        <v>189</v>
      </c>
      <c r="D191">
        <v>683.72960251046004</v>
      </c>
      <c r="E191">
        <v>306.74843096234002</v>
      </c>
      <c r="F191">
        <v>129.56978567695</v>
      </c>
      <c r="G191">
        <v>112.66021955044</v>
      </c>
      <c r="I191" s="9">
        <f t="shared" si="15"/>
        <v>194.08821141190003</v>
      </c>
      <c r="J191" s="9">
        <f t="shared" si="16"/>
        <v>554.15981683351004</v>
      </c>
      <c r="K191" s="9">
        <f t="shared" si="17"/>
        <v>194.08821141190003</v>
      </c>
      <c r="L191" s="10">
        <f t="shared" si="14"/>
        <v>0.35023869561840004</v>
      </c>
      <c r="M191" s="10">
        <f t="shared" si="20"/>
        <v>0.37702279133437278</v>
      </c>
      <c r="P191" s="8">
        <f t="shared" si="19"/>
        <v>29.916825594497272</v>
      </c>
    </row>
    <row r="192" spans="1:16" x14ac:dyDescent="0.2">
      <c r="A192" s="8">
        <v>95</v>
      </c>
      <c r="B192" s="8">
        <v>190</v>
      </c>
      <c r="D192">
        <v>682.57949790794999</v>
      </c>
      <c r="E192">
        <v>304.64487447699003</v>
      </c>
      <c r="F192">
        <v>129.66440146367</v>
      </c>
      <c r="G192">
        <v>112.70151594354</v>
      </c>
      <c r="I192" s="9">
        <f t="shared" si="15"/>
        <v>191.94335853345001</v>
      </c>
      <c r="J192" s="9">
        <f t="shared" si="16"/>
        <v>552.91509644427992</v>
      </c>
      <c r="K192" s="9">
        <f t="shared" si="17"/>
        <v>191.94335853345001</v>
      </c>
      <c r="L192" s="10">
        <f t="shared" si="14"/>
        <v>0.34714797944171005</v>
      </c>
      <c r="M192" s="10">
        <f t="shared" si="20"/>
        <v>0.37407378994983076</v>
      </c>
      <c r="P192" s="8">
        <f t="shared" si="19"/>
        <v>28.900640612158391</v>
      </c>
    </row>
    <row r="193" spans="1:16" x14ac:dyDescent="0.2">
      <c r="A193" s="8">
        <v>95.5</v>
      </c>
      <c r="B193" s="8">
        <v>191</v>
      </c>
      <c r="D193">
        <v>672.33577405858</v>
      </c>
      <c r="E193">
        <v>301.43985355648999</v>
      </c>
      <c r="F193">
        <v>129.25771040251001</v>
      </c>
      <c r="G193">
        <v>113.02143230528</v>
      </c>
      <c r="I193" s="9">
        <f t="shared" si="15"/>
        <v>188.41842125120999</v>
      </c>
      <c r="J193" s="9">
        <f t="shared" si="16"/>
        <v>543.07806365606996</v>
      </c>
      <c r="K193" s="9">
        <f t="shared" si="17"/>
        <v>188.41842125120999</v>
      </c>
      <c r="L193" s="10">
        <f t="shared" si="14"/>
        <v>0.34694537279365223</v>
      </c>
      <c r="M193" s="10">
        <f t="shared" si="20"/>
        <v>0.37401289809392096</v>
      </c>
      <c r="P193" s="8">
        <f t="shared" si="19"/>
        <v>28.879658123019315</v>
      </c>
    </row>
    <row r="194" spans="1:16" x14ac:dyDescent="0.2">
      <c r="A194" s="8">
        <v>96</v>
      </c>
      <c r="B194" s="8">
        <v>192</v>
      </c>
      <c r="D194">
        <v>666.18671548117004</v>
      </c>
      <c r="E194">
        <v>297.38389121338997</v>
      </c>
      <c r="F194">
        <v>129.39257710403001</v>
      </c>
      <c r="G194">
        <v>112.47098797699999</v>
      </c>
      <c r="I194" s="9">
        <f t="shared" si="15"/>
        <v>184.91290323638998</v>
      </c>
      <c r="J194" s="9">
        <f t="shared" si="16"/>
        <v>536.79413837714003</v>
      </c>
      <c r="K194" s="9">
        <f t="shared" si="17"/>
        <v>184.91290323638998</v>
      </c>
      <c r="L194" s="10">
        <f t="shared" ref="L194:L257" si="21">K194/J194</f>
        <v>0.3444763830607892</v>
      </c>
      <c r="M194" s="10">
        <f t="shared" si="20"/>
        <v>0.37168562315320597</v>
      </c>
      <c r="P194" s="8">
        <f t="shared" si="19"/>
        <v>28.077711451537681</v>
      </c>
    </row>
    <row r="195" spans="1:16" x14ac:dyDescent="0.2">
      <c r="A195" s="8">
        <v>96.5</v>
      </c>
      <c r="B195" s="8">
        <v>193</v>
      </c>
      <c r="D195">
        <v>673.28033472802997</v>
      </c>
      <c r="E195">
        <v>299.52667364016997</v>
      </c>
      <c r="F195">
        <v>129.57135389441001</v>
      </c>
      <c r="G195">
        <v>112.85886042865</v>
      </c>
      <c r="I195" s="9">
        <f t="shared" ref="I195:I241" si="22">E195-G195</f>
        <v>186.66781321151996</v>
      </c>
      <c r="J195" s="9">
        <f t="shared" ref="J195:J241" si="23">D195-F195</f>
        <v>543.70898083361999</v>
      </c>
      <c r="K195" s="9">
        <f t="shared" ref="K195:K258" si="24">I195*1</f>
        <v>186.66781321151996</v>
      </c>
      <c r="L195" s="10">
        <f t="shared" si="21"/>
        <v>0.34332302719244956</v>
      </c>
      <c r="M195" s="10">
        <f t="shared" si="20"/>
        <v>0.3706739820770143</v>
      </c>
      <c r="P195" s="8">
        <f t="shared" ref="P195:P241" si="25">(M195-$O$2)/$O$2*100</f>
        <v>27.729113965442309</v>
      </c>
    </row>
    <row r="196" spans="1:16" x14ac:dyDescent="0.2">
      <c r="A196" s="8">
        <v>97</v>
      </c>
      <c r="B196" s="8">
        <v>194</v>
      </c>
      <c r="D196">
        <v>664.81433054393005</v>
      </c>
      <c r="E196">
        <v>296.79550209205001</v>
      </c>
      <c r="F196">
        <v>129.62676424463999</v>
      </c>
      <c r="G196">
        <v>112.79560899111</v>
      </c>
      <c r="I196" s="9">
        <f t="shared" si="22"/>
        <v>183.99989310094003</v>
      </c>
      <c r="J196" s="9">
        <f t="shared" si="23"/>
        <v>535.1875662992901</v>
      </c>
      <c r="K196" s="9">
        <f t="shared" si="24"/>
        <v>183.99989310094003</v>
      </c>
      <c r="L196" s="10">
        <f t="shared" si="21"/>
        <v>0.34380449899697924</v>
      </c>
      <c r="M196" s="10">
        <f t="shared" si="20"/>
        <v>0.371297168673692</v>
      </c>
      <c r="P196" s="8">
        <f t="shared" si="25"/>
        <v>27.943855424723484</v>
      </c>
    </row>
    <row r="197" spans="1:16" x14ac:dyDescent="0.2">
      <c r="A197" s="8">
        <v>97.5</v>
      </c>
      <c r="B197" s="8">
        <v>195</v>
      </c>
      <c r="D197">
        <v>687.27301255229997</v>
      </c>
      <c r="E197">
        <v>302.24581589958001</v>
      </c>
      <c r="F197">
        <v>129.64506011500001</v>
      </c>
      <c r="G197">
        <v>112.767903816</v>
      </c>
      <c r="I197" s="9">
        <f t="shared" si="22"/>
        <v>189.47791208358001</v>
      </c>
      <c r="J197" s="9">
        <f t="shared" si="23"/>
        <v>557.6279524373</v>
      </c>
      <c r="K197" s="9">
        <f t="shared" si="24"/>
        <v>189.47791208358001</v>
      </c>
      <c r="L197" s="10">
        <f t="shared" si="21"/>
        <v>0.33979270812268869</v>
      </c>
      <c r="M197" s="10">
        <f t="shared" si="20"/>
        <v>0.36742709259154943</v>
      </c>
      <c r="P197" s="8">
        <f t="shared" si="25"/>
        <v>26.610280874437898</v>
      </c>
    </row>
    <row r="198" spans="1:16" x14ac:dyDescent="0.2">
      <c r="A198" s="8">
        <v>98</v>
      </c>
      <c r="B198" s="8">
        <v>196</v>
      </c>
      <c r="D198">
        <v>675.94508368201002</v>
      </c>
      <c r="E198">
        <v>295.23535564854001</v>
      </c>
      <c r="F198">
        <v>129.50078410872999</v>
      </c>
      <c r="G198">
        <v>112.53162571877</v>
      </c>
      <c r="I198" s="9">
        <f t="shared" si="22"/>
        <v>182.70372992977002</v>
      </c>
      <c r="J198" s="9">
        <f t="shared" si="23"/>
        <v>546.44429957327998</v>
      </c>
      <c r="K198" s="9">
        <f t="shared" si="24"/>
        <v>182.70372992977002</v>
      </c>
      <c r="L198" s="10">
        <f t="shared" si="21"/>
        <v>0.3343501434134164</v>
      </c>
      <c r="M198" s="10">
        <f t="shared" si="20"/>
        <v>0.36212624267442517</v>
      </c>
      <c r="P198" s="8">
        <f t="shared" si="25"/>
        <v>24.783681501630028</v>
      </c>
    </row>
    <row r="199" spans="1:16" x14ac:dyDescent="0.2">
      <c r="A199" s="8">
        <v>98.5</v>
      </c>
      <c r="B199" s="8">
        <v>197</v>
      </c>
      <c r="D199">
        <v>687.91213389121003</v>
      </c>
      <c r="E199">
        <v>299.41736401674001</v>
      </c>
      <c r="F199">
        <v>129.23732357553999</v>
      </c>
      <c r="G199">
        <v>112.84631468897</v>
      </c>
      <c r="I199" s="9">
        <f t="shared" si="22"/>
        <v>186.57104932777003</v>
      </c>
      <c r="J199" s="9">
        <f t="shared" si="23"/>
        <v>558.67481031567002</v>
      </c>
      <c r="K199" s="9">
        <f t="shared" si="24"/>
        <v>186.57104932777003</v>
      </c>
      <c r="L199" s="10">
        <f t="shared" si="21"/>
        <v>0.33395285751715048</v>
      </c>
      <c r="M199" s="10">
        <f t="shared" si="20"/>
        <v>0.36187067157030722</v>
      </c>
      <c r="P199" s="8">
        <f t="shared" si="25"/>
        <v>24.695615243239729</v>
      </c>
    </row>
    <row r="200" spans="1:16" x14ac:dyDescent="0.2">
      <c r="A200" s="8">
        <v>99</v>
      </c>
      <c r="B200" s="8">
        <v>198</v>
      </c>
      <c r="D200">
        <v>682.65847280335004</v>
      </c>
      <c r="E200">
        <v>296.68776150628003</v>
      </c>
      <c r="F200">
        <v>129.38107684266001</v>
      </c>
      <c r="G200">
        <v>112.26764244642</v>
      </c>
      <c r="I200" s="9">
        <f t="shared" si="22"/>
        <v>184.42011905986004</v>
      </c>
      <c r="J200" s="9">
        <f t="shared" si="23"/>
        <v>553.27739596069</v>
      </c>
      <c r="K200" s="9">
        <f t="shared" si="24"/>
        <v>184.42011905986004</v>
      </c>
      <c r="L200" s="10">
        <f t="shared" si="21"/>
        <v>0.33332306796962108</v>
      </c>
      <c r="M200" s="10">
        <f t="shared" si="20"/>
        <v>0.36138259681492585</v>
      </c>
      <c r="P200" s="8">
        <f t="shared" si="25"/>
        <v>24.527431450828828</v>
      </c>
    </row>
    <row r="201" spans="1:16" x14ac:dyDescent="0.2">
      <c r="A201" s="8">
        <v>99.5</v>
      </c>
      <c r="B201" s="8">
        <v>199</v>
      </c>
      <c r="D201">
        <v>661.23587866109006</v>
      </c>
      <c r="E201">
        <v>291.34675732218</v>
      </c>
      <c r="F201">
        <v>129.30893883952001</v>
      </c>
      <c r="G201">
        <v>112.59801359122</v>
      </c>
      <c r="I201" s="9">
        <f t="shared" si="22"/>
        <v>178.74874373096</v>
      </c>
      <c r="J201" s="9">
        <f t="shared" si="23"/>
        <v>531.92693982157004</v>
      </c>
      <c r="K201" s="9">
        <f t="shared" si="24"/>
        <v>178.74874373096</v>
      </c>
      <c r="L201" s="10">
        <f t="shared" si="21"/>
        <v>0.33604002796120763</v>
      </c>
      <c r="M201" s="10">
        <f t="shared" si="20"/>
        <v>0.36424127159866038</v>
      </c>
      <c r="P201" s="8">
        <f t="shared" si="25"/>
        <v>25.512491139118197</v>
      </c>
    </row>
    <row r="202" spans="1:16" x14ac:dyDescent="0.2">
      <c r="A202" s="8">
        <v>100</v>
      </c>
      <c r="B202" s="8">
        <v>200</v>
      </c>
      <c r="D202">
        <v>668.88755230126003</v>
      </c>
      <c r="E202">
        <v>296.21600418409997</v>
      </c>
      <c r="F202">
        <v>129.66178776789999</v>
      </c>
      <c r="G202">
        <v>112.60951385259</v>
      </c>
      <c r="I202" s="9">
        <f t="shared" si="22"/>
        <v>183.60649033150997</v>
      </c>
      <c r="J202" s="9">
        <f t="shared" si="23"/>
        <v>539.22576453336001</v>
      </c>
      <c r="K202" s="9">
        <f t="shared" si="24"/>
        <v>183.60649033150997</v>
      </c>
      <c r="L202" s="10">
        <f t="shared" si="21"/>
        <v>0.34050021791967044</v>
      </c>
      <c r="M202" s="10">
        <f t="shared" si="20"/>
        <v>0.36884317634927122</v>
      </c>
      <c r="P202" s="8">
        <f t="shared" si="25"/>
        <v>27.09824370004857</v>
      </c>
    </row>
    <row r="203" spans="1:16" x14ac:dyDescent="0.2">
      <c r="A203" s="8">
        <v>100.5</v>
      </c>
      <c r="B203" s="8">
        <v>201</v>
      </c>
      <c r="D203">
        <v>678.54916317992001</v>
      </c>
      <c r="E203">
        <v>295.52928870292999</v>
      </c>
      <c r="F203">
        <v>129.65969681128999</v>
      </c>
      <c r="G203">
        <v>112.56351280711</v>
      </c>
      <c r="I203" s="9">
        <f t="shared" si="22"/>
        <v>182.96577589582</v>
      </c>
      <c r="J203" s="9">
        <f t="shared" si="23"/>
        <v>548.88946636863</v>
      </c>
      <c r="K203" s="9">
        <f t="shared" si="24"/>
        <v>182.96577589582</v>
      </c>
      <c r="L203" s="10">
        <f t="shared" si="21"/>
        <v>0.33333810740857173</v>
      </c>
      <c r="M203" s="10">
        <f t="shared" si="20"/>
        <v>0.36182278063032047</v>
      </c>
      <c r="P203" s="8">
        <f t="shared" si="25"/>
        <v>24.679112689439748</v>
      </c>
    </row>
    <row r="204" spans="1:16" x14ac:dyDescent="0.2">
      <c r="A204" s="8">
        <v>101</v>
      </c>
      <c r="B204" s="8">
        <v>202</v>
      </c>
      <c r="D204">
        <v>674.87970711296998</v>
      </c>
      <c r="E204">
        <v>292.67259414225998</v>
      </c>
      <c r="F204">
        <v>129.52326189231999</v>
      </c>
      <c r="G204">
        <v>112.79142707789001</v>
      </c>
      <c r="I204" s="9">
        <f t="shared" si="22"/>
        <v>179.88116706436998</v>
      </c>
      <c r="J204" s="9">
        <f t="shared" si="23"/>
        <v>545.35644522065002</v>
      </c>
      <c r="K204" s="9">
        <f t="shared" si="24"/>
        <v>179.88116706436998</v>
      </c>
      <c r="L204" s="10">
        <f t="shared" si="21"/>
        <v>0.32984146174634543</v>
      </c>
      <c r="M204" s="10">
        <f t="shared" si="20"/>
        <v>0.35846784976024221</v>
      </c>
      <c r="P204" s="8">
        <f t="shared" si="25"/>
        <v>23.523050035543058</v>
      </c>
    </row>
    <row r="205" spans="1:16" x14ac:dyDescent="0.2">
      <c r="A205" s="8">
        <v>101.5</v>
      </c>
      <c r="B205" s="8">
        <v>203</v>
      </c>
      <c r="D205">
        <v>656.25261506276001</v>
      </c>
      <c r="E205">
        <v>285.13912133891</v>
      </c>
      <c r="F205">
        <v>129.19498170412999</v>
      </c>
      <c r="G205">
        <v>112.73026659697</v>
      </c>
      <c r="I205" s="9">
        <f t="shared" si="22"/>
        <v>172.40885474193999</v>
      </c>
      <c r="J205" s="9">
        <f t="shared" si="23"/>
        <v>527.05763335863003</v>
      </c>
      <c r="K205" s="9">
        <f t="shared" si="24"/>
        <v>172.40885474193999</v>
      </c>
      <c r="L205" s="10">
        <f t="shared" si="21"/>
        <v>0.32711575324937275</v>
      </c>
      <c r="M205" s="10">
        <f t="shared" si="20"/>
        <v>0.35588385605541756</v>
      </c>
      <c r="P205" s="8">
        <f t="shared" si="25"/>
        <v>22.632641637952965</v>
      </c>
    </row>
    <row r="206" spans="1:16" x14ac:dyDescent="0.2">
      <c r="A206" s="8">
        <v>102</v>
      </c>
      <c r="B206" s="8">
        <v>204</v>
      </c>
      <c r="D206">
        <v>648.75104602510999</v>
      </c>
      <c r="E206">
        <v>281.81642259414002</v>
      </c>
      <c r="F206">
        <v>129.59069524307</v>
      </c>
      <c r="G206">
        <v>112.85415577627001</v>
      </c>
      <c r="I206" s="9">
        <f t="shared" si="22"/>
        <v>168.96226681787002</v>
      </c>
      <c r="J206" s="9">
        <f t="shared" si="23"/>
        <v>519.16035078204004</v>
      </c>
      <c r="K206" s="9">
        <f t="shared" si="24"/>
        <v>168.96226681787002</v>
      </c>
      <c r="L206" s="10">
        <f t="shared" si="21"/>
        <v>0.32545294832964955</v>
      </c>
      <c r="M206" s="10">
        <f t="shared" si="20"/>
        <v>0.35436276592784233</v>
      </c>
      <c r="P206" s="8">
        <f t="shared" si="25"/>
        <v>22.108495073448744</v>
      </c>
    </row>
    <row r="207" spans="1:16" x14ac:dyDescent="0.2">
      <c r="A207" s="8">
        <v>102.5</v>
      </c>
      <c r="B207" s="8">
        <v>205</v>
      </c>
      <c r="D207">
        <v>649.25470711296998</v>
      </c>
      <c r="E207">
        <v>280.41265690377003</v>
      </c>
      <c r="F207">
        <v>129.93204391008999</v>
      </c>
      <c r="G207">
        <v>112.62885520126</v>
      </c>
      <c r="I207" s="9">
        <f t="shared" si="22"/>
        <v>167.78380170251003</v>
      </c>
      <c r="J207" s="9">
        <f t="shared" si="23"/>
        <v>519.32266320287999</v>
      </c>
      <c r="K207" s="9">
        <f t="shared" si="24"/>
        <v>167.78380170251003</v>
      </c>
      <c r="L207" s="10">
        <f t="shared" si="21"/>
        <v>0.32308199428023643</v>
      </c>
      <c r="M207" s="10">
        <f t="shared" si="20"/>
        <v>0.35213352667057723</v>
      </c>
      <c r="P207" s="8">
        <f t="shared" si="25"/>
        <v>21.340330138990808</v>
      </c>
    </row>
    <row r="208" spans="1:16" x14ac:dyDescent="0.2">
      <c r="A208" s="8">
        <v>103</v>
      </c>
      <c r="B208" s="8">
        <v>206</v>
      </c>
      <c r="D208">
        <v>659.49738493723999</v>
      </c>
      <c r="E208">
        <v>281.18514644352001</v>
      </c>
      <c r="F208">
        <v>129.63774176685999</v>
      </c>
      <c r="G208">
        <v>112.72085729221</v>
      </c>
      <c r="I208" s="9">
        <f t="shared" si="22"/>
        <v>168.46428915131003</v>
      </c>
      <c r="J208" s="9">
        <f t="shared" si="23"/>
        <v>529.85964317037997</v>
      </c>
      <c r="K208" s="9">
        <f t="shared" si="24"/>
        <v>168.46428915131003</v>
      </c>
      <c r="L208" s="10">
        <f t="shared" si="21"/>
        <v>0.3179413479073725</v>
      </c>
      <c r="M208" s="10">
        <f t="shared" si="20"/>
        <v>0.34713459508986128</v>
      </c>
      <c r="P208" s="8">
        <f t="shared" si="25"/>
        <v>19.617767638108148</v>
      </c>
    </row>
    <row r="209" spans="1:16" x14ac:dyDescent="0.2">
      <c r="A209" s="8">
        <v>103.5</v>
      </c>
      <c r="B209" s="8">
        <v>207</v>
      </c>
      <c r="D209">
        <v>697.46234309623003</v>
      </c>
      <c r="E209">
        <v>290.90481171547998</v>
      </c>
      <c r="F209">
        <v>129.53580763199</v>
      </c>
      <c r="G209">
        <v>112.72503920544</v>
      </c>
      <c r="I209" s="9">
        <f t="shared" si="22"/>
        <v>178.17977251003998</v>
      </c>
      <c r="J209" s="9">
        <f t="shared" si="23"/>
        <v>567.92653546424003</v>
      </c>
      <c r="K209" s="9">
        <f t="shared" si="24"/>
        <v>178.17977251003998</v>
      </c>
      <c r="L209" s="10">
        <f t="shared" si="21"/>
        <v>0.31373736105566991</v>
      </c>
      <c r="M209" s="10">
        <f t="shared" si="20"/>
        <v>0.34307232303030671</v>
      </c>
      <c r="P209" s="8">
        <f t="shared" si="25"/>
        <v>18.217965019251363</v>
      </c>
    </row>
    <row r="210" spans="1:16" x14ac:dyDescent="0.2">
      <c r="A210" s="8">
        <v>104</v>
      </c>
      <c r="B210" s="8">
        <v>208</v>
      </c>
      <c r="D210">
        <v>701.98640167363999</v>
      </c>
      <c r="E210">
        <v>292.63807531381002</v>
      </c>
      <c r="F210">
        <v>129.30684788291001</v>
      </c>
      <c r="G210">
        <v>112.63251437533</v>
      </c>
      <c r="I210" s="9">
        <f t="shared" si="22"/>
        <v>180.00556093848002</v>
      </c>
      <c r="J210" s="9">
        <f t="shared" si="23"/>
        <v>572.67955379072998</v>
      </c>
      <c r="K210" s="9">
        <f t="shared" si="24"/>
        <v>180.00556093848002</v>
      </c>
      <c r="L210" s="10">
        <f t="shared" si="21"/>
        <v>0.3143216127535402</v>
      </c>
      <c r="M210" s="10">
        <f t="shared" si="20"/>
        <v>0.34379828952032498</v>
      </c>
      <c r="P210" s="8">
        <f t="shared" si="25"/>
        <v>18.468123004495041</v>
      </c>
    </row>
    <row r="211" spans="1:16" x14ac:dyDescent="0.2">
      <c r="A211" s="8">
        <v>104.5</v>
      </c>
      <c r="B211" s="8">
        <v>209</v>
      </c>
      <c r="D211">
        <v>701.74320083682005</v>
      </c>
      <c r="E211">
        <v>290.70815899581999</v>
      </c>
      <c r="F211">
        <v>129.05384213278001</v>
      </c>
      <c r="G211">
        <v>112.68949294302</v>
      </c>
      <c r="I211" s="9">
        <f t="shared" si="22"/>
        <v>178.01866605279997</v>
      </c>
      <c r="J211" s="9">
        <f t="shared" si="23"/>
        <v>572.68935870404005</v>
      </c>
      <c r="K211" s="9">
        <f t="shared" si="24"/>
        <v>178.01866605279997</v>
      </c>
      <c r="L211" s="10">
        <f t="shared" si="21"/>
        <v>0.31084682009046755</v>
      </c>
      <c r="M211" s="10">
        <f t="shared" si="20"/>
        <v>0.34046521164940036</v>
      </c>
      <c r="P211" s="8">
        <f t="shared" si="25"/>
        <v>17.31959059106395</v>
      </c>
    </row>
    <row r="212" spans="1:16" x14ac:dyDescent="0.2">
      <c r="A212" s="8">
        <v>105</v>
      </c>
      <c r="B212" s="8">
        <v>210</v>
      </c>
      <c r="D212">
        <v>681.30334728033995</v>
      </c>
      <c r="E212">
        <v>284.86297071130002</v>
      </c>
      <c r="F212">
        <v>129.26868792472999</v>
      </c>
      <c r="G212">
        <v>112.63983272346999</v>
      </c>
      <c r="I212" s="9">
        <f t="shared" si="22"/>
        <v>172.22313798783003</v>
      </c>
      <c r="J212" s="9">
        <f t="shared" si="23"/>
        <v>552.03465935560996</v>
      </c>
      <c r="K212" s="9">
        <f t="shared" si="24"/>
        <v>172.22313798783003</v>
      </c>
      <c r="L212" s="10">
        <f t="shared" si="21"/>
        <v>0.31197884964119116</v>
      </c>
      <c r="M212" s="10">
        <f t="shared" si="20"/>
        <v>0.34173895599227194</v>
      </c>
      <c r="P212" s="8">
        <f t="shared" si="25"/>
        <v>17.758505228184823</v>
      </c>
    </row>
    <row r="213" spans="1:16" x14ac:dyDescent="0.2">
      <c r="A213" s="8">
        <v>105.5</v>
      </c>
      <c r="B213" s="8">
        <v>211</v>
      </c>
      <c r="D213">
        <v>670.96286610878997</v>
      </c>
      <c r="E213">
        <v>282.97594142258998</v>
      </c>
      <c r="F213">
        <v>129.19393622582001</v>
      </c>
      <c r="G213">
        <v>112.57135389441</v>
      </c>
      <c r="I213" s="9">
        <f t="shared" si="22"/>
        <v>170.40458752818</v>
      </c>
      <c r="J213" s="9">
        <f t="shared" si="23"/>
        <v>541.76892988296993</v>
      </c>
      <c r="K213" s="9">
        <f t="shared" si="24"/>
        <v>170.40458752818</v>
      </c>
      <c r="L213" s="10">
        <f t="shared" si="21"/>
        <v>0.31453370270788672</v>
      </c>
      <c r="M213" s="10">
        <f t="shared" si="20"/>
        <v>0.34443552385111553</v>
      </c>
      <c r="P213" s="8">
        <f t="shared" si="25"/>
        <v>18.68770511814694</v>
      </c>
    </row>
    <row r="214" spans="1:16" x14ac:dyDescent="0.2">
      <c r="A214" s="8">
        <v>106</v>
      </c>
      <c r="B214" s="8">
        <v>212</v>
      </c>
      <c r="D214">
        <v>647.75209205020997</v>
      </c>
      <c r="E214">
        <v>276.77824267782</v>
      </c>
      <c r="F214">
        <v>129.35180345008001</v>
      </c>
      <c r="G214">
        <v>112.74647151072</v>
      </c>
      <c r="I214" s="9">
        <f t="shared" si="22"/>
        <v>164.0317711671</v>
      </c>
      <c r="J214" s="9">
        <f t="shared" si="23"/>
        <v>518.4002886001299</v>
      </c>
      <c r="K214" s="9">
        <f t="shared" si="24"/>
        <v>164.0317711671</v>
      </c>
      <c r="L214" s="10">
        <f t="shared" si="21"/>
        <v>0.31641913551021683</v>
      </c>
      <c r="M214" s="10">
        <f t="shared" si="20"/>
        <v>0.34646267144559367</v>
      </c>
      <c r="P214" s="8">
        <f t="shared" si="25"/>
        <v>19.386232068080197</v>
      </c>
    </row>
    <row r="215" spans="1:16" x14ac:dyDescent="0.2">
      <c r="A215" s="8">
        <v>106.5</v>
      </c>
      <c r="B215" s="8">
        <v>213</v>
      </c>
      <c r="D215">
        <v>623.69194560669996</v>
      </c>
      <c r="E215">
        <v>274.41004184100001</v>
      </c>
      <c r="F215">
        <v>129.45007841086999</v>
      </c>
      <c r="G215">
        <v>112.66231050706</v>
      </c>
      <c r="I215" s="9">
        <f t="shared" si="22"/>
        <v>161.74773133394001</v>
      </c>
      <c r="J215" s="9">
        <f t="shared" si="23"/>
        <v>494.24186719582997</v>
      </c>
      <c r="K215" s="9">
        <f t="shared" si="24"/>
        <v>161.74773133394001</v>
      </c>
      <c r="L215" s="10">
        <f t="shared" si="21"/>
        <v>0.32726432556522339</v>
      </c>
      <c r="M215" s="10">
        <f t="shared" si="20"/>
        <v>0.35744957629274821</v>
      </c>
      <c r="P215" s="8">
        <f t="shared" si="25"/>
        <v>23.172167119378457</v>
      </c>
    </row>
    <row r="216" spans="1:16" x14ac:dyDescent="0.2">
      <c r="A216" s="8">
        <v>107</v>
      </c>
      <c r="B216" s="8">
        <v>214</v>
      </c>
      <c r="D216">
        <v>622.22309299896006</v>
      </c>
      <c r="E216">
        <v>278.14472309299998</v>
      </c>
      <c r="F216">
        <v>129.50392054365</v>
      </c>
      <c r="G216">
        <v>112.5781495034</v>
      </c>
      <c r="I216" s="9">
        <f t="shared" si="22"/>
        <v>165.56657358959998</v>
      </c>
      <c r="J216" s="9">
        <f t="shared" si="23"/>
        <v>492.71917245531006</v>
      </c>
      <c r="K216" s="9">
        <f t="shared" si="24"/>
        <v>165.56657358959998</v>
      </c>
      <c r="L216" s="10">
        <f t="shared" si="21"/>
        <v>0.33602624546666482</v>
      </c>
      <c r="M216" s="10">
        <f t="shared" si="20"/>
        <v>0.36635321098633766</v>
      </c>
      <c r="P216" s="8">
        <f t="shared" si="25"/>
        <v>26.24023616515213</v>
      </c>
    </row>
    <row r="217" spans="1:16" x14ac:dyDescent="0.2">
      <c r="A217" s="8">
        <v>107.5</v>
      </c>
      <c r="B217" s="8">
        <v>215</v>
      </c>
      <c r="D217">
        <v>635.73092998954996</v>
      </c>
      <c r="E217">
        <v>285.82236154650002</v>
      </c>
      <c r="F217">
        <v>129.19027705175</v>
      </c>
      <c r="G217">
        <v>112.65081024569</v>
      </c>
      <c r="I217" s="9">
        <f t="shared" si="22"/>
        <v>173.17155130081002</v>
      </c>
      <c r="J217" s="9">
        <f t="shared" si="23"/>
        <v>506.54065293779996</v>
      </c>
      <c r="K217" s="9">
        <f t="shared" si="24"/>
        <v>173.17155130081002</v>
      </c>
      <c r="L217" s="10">
        <f t="shared" si="21"/>
        <v>0.34187098369392754</v>
      </c>
      <c r="M217" s="10">
        <f t="shared" si="20"/>
        <v>0.37233966400574836</v>
      </c>
      <c r="P217" s="8">
        <f t="shared" si="25"/>
        <v>28.303084859523693</v>
      </c>
    </row>
    <row r="218" spans="1:16" x14ac:dyDescent="0.2">
      <c r="A218" s="8">
        <v>108</v>
      </c>
      <c r="B218" s="8">
        <v>216</v>
      </c>
      <c r="D218">
        <v>647.67241379309996</v>
      </c>
      <c r="E218">
        <v>294.09247648902999</v>
      </c>
      <c r="F218">
        <v>129.41766858337999</v>
      </c>
      <c r="G218">
        <v>112.35755358076</v>
      </c>
      <c r="I218" s="9">
        <f t="shared" si="22"/>
        <v>181.73492290826999</v>
      </c>
      <c r="J218" s="9">
        <f t="shared" si="23"/>
        <v>518.25474520972</v>
      </c>
      <c r="K218" s="9">
        <f t="shared" si="24"/>
        <v>181.73492290826999</v>
      </c>
      <c r="L218" s="10">
        <f t="shared" si="21"/>
        <v>0.35066716626922168</v>
      </c>
      <c r="M218" s="10">
        <f t="shared" si="20"/>
        <v>0.38127756137319052</v>
      </c>
      <c r="P218" s="8">
        <f t="shared" si="25"/>
        <v>31.382960347575217</v>
      </c>
    </row>
    <row r="219" spans="1:16" x14ac:dyDescent="0.2">
      <c r="A219" s="8">
        <v>108.5</v>
      </c>
      <c r="B219" s="8">
        <v>217</v>
      </c>
      <c r="D219">
        <v>663.79205851619997</v>
      </c>
      <c r="E219">
        <v>301.13949843260002</v>
      </c>
      <c r="F219">
        <v>129.32723470988</v>
      </c>
      <c r="G219">
        <v>112.62205959226</v>
      </c>
      <c r="I219" s="9">
        <f t="shared" si="22"/>
        <v>188.51743884034002</v>
      </c>
      <c r="J219" s="9">
        <f t="shared" si="23"/>
        <v>534.46482380631994</v>
      </c>
      <c r="K219" s="9">
        <f t="shared" si="24"/>
        <v>188.51743884034002</v>
      </c>
      <c r="L219" s="10">
        <f t="shared" si="21"/>
        <v>0.35272188260729243</v>
      </c>
      <c r="M219" s="10">
        <f t="shared" si="20"/>
        <v>0.38347399250340924</v>
      </c>
      <c r="P219" s="8">
        <f t="shared" si="25"/>
        <v>32.139820056414081</v>
      </c>
    </row>
    <row r="220" spans="1:16" x14ac:dyDescent="0.2">
      <c r="A220" s="8">
        <v>109</v>
      </c>
      <c r="B220" s="8">
        <v>218</v>
      </c>
      <c r="D220">
        <v>652.92242744063003</v>
      </c>
      <c r="E220">
        <v>297.96411609499</v>
      </c>
      <c r="F220">
        <v>129.47360167277</v>
      </c>
      <c r="G220">
        <v>112.45112388918</v>
      </c>
      <c r="I220" s="9">
        <f t="shared" si="22"/>
        <v>185.51299220581001</v>
      </c>
      <c r="J220" s="9">
        <f t="shared" si="23"/>
        <v>523.44882576786006</v>
      </c>
      <c r="K220" s="9">
        <f t="shared" si="24"/>
        <v>185.51299220581001</v>
      </c>
      <c r="L220" s="10">
        <f t="shared" si="21"/>
        <v>0.35440521226440119</v>
      </c>
      <c r="M220" s="10">
        <f t="shared" si="20"/>
        <v>0.38529903695266604</v>
      </c>
      <c r="P220" s="8">
        <f t="shared" si="25"/>
        <v>32.768705065134995</v>
      </c>
    </row>
    <row r="221" spans="1:16" x14ac:dyDescent="0.2">
      <c r="A221" s="8">
        <v>109.5</v>
      </c>
      <c r="B221" s="8">
        <v>219</v>
      </c>
      <c r="D221">
        <v>639.91134564644005</v>
      </c>
      <c r="E221">
        <v>295.33139841689001</v>
      </c>
      <c r="F221">
        <v>129.52639832724</v>
      </c>
      <c r="G221">
        <v>112.68426555149</v>
      </c>
      <c r="I221" s="9">
        <f t="shared" si="22"/>
        <v>182.64713286540001</v>
      </c>
      <c r="J221" s="9">
        <f t="shared" si="23"/>
        <v>510.38494731920002</v>
      </c>
      <c r="K221" s="9">
        <f t="shared" si="24"/>
        <v>182.64713286540001</v>
      </c>
      <c r="L221" s="10">
        <f t="shared" si="21"/>
        <v>0.35786151967207336</v>
      </c>
      <c r="M221" s="10">
        <f t="shared" si="20"/>
        <v>0.38889705915248618</v>
      </c>
      <c r="P221" s="8">
        <f t="shared" si="25"/>
        <v>34.008533620233131</v>
      </c>
    </row>
    <row r="222" spans="1:16" x14ac:dyDescent="0.2">
      <c r="A222" s="8">
        <v>110</v>
      </c>
      <c r="B222" s="8">
        <v>220</v>
      </c>
      <c r="D222">
        <v>652.43658280922</v>
      </c>
      <c r="E222">
        <v>303.1855345912</v>
      </c>
      <c r="F222">
        <v>129.34239414531999</v>
      </c>
      <c r="G222">
        <v>112.67799268165</v>
      </c>
      <c r="I222" s="9">
        <f t="shared" si="22"/>
        <v>190.50754190955001</v>
      </c>
      <c r="J222" s="9">
        <f t="shared" si="23"/>
        <v>523.09418866390001</v>
      </c>
      <c r="K222" s="9">
        <f t="shared" si="24"/>
        <v>190.50754190955001</v>
      </c>
      <c r="L222" s="10">
        <f t="shared" si="21"/>
        <v>0.36419357362036281</v>
      </c>
      <c r="M222" s="10">
        <f t="shared" si="20"/>
        <v>0.39537082789292366</v>
      </c>
      <c r="P222" s="8">
        <f t="shared" si="25"/>
        <v>36.239304554302784</v>
      </c>
    </row>
    <row r="223" spans="1:16" x14ac:dyDescent="0.2">
      <c r="A223" s="8">
        <v>110.5</v>
      </c>
      <c r="B223" s="8">
        <v>221</v>
      </c>
      <c r="D223">
        <v>652.74947589098997</v>
      </c>
      <c r="E223">
        <v>306.89360587002</v>
      </c>
      <c r="F223">
        <v>129.29273392576999</v>
      </c>
      <c r="G223">
        <v>112.71981181391</v>
      </c>
      <c r="I223" s="9">
        <f t="shared" si="22"/>
        <v>194.17379405611001</v>
      </c>
      <c r="J223" s="9">
        <f t="shared" si="23"/>
        <v>523.45674196521998</v>
      </c>
      <c r="K223" s="9">
        <f t="shared" si="24"/>
        <v>194.17379405611001</v>
      </c>
      <c r="L223" s="10">
        <f t="shared" si="21"/>
        <v>0.37094525390411631</v>
      </c>
      <c r="M223" s="10">
        <f t="shared" si="20"/>
        <v>0.40226422296882514</v>
      </c>
      <c r="P223" s="8">
        <f t="shared" si="25"/>
        <v>38.614672904476606</v>
      </c>
    </row>
    <row r="224" spans="1:16" x14ac:dyDescent="0.2">
      <c r="A224" s="8">
        <v>111</v>
      </c>
      <c r="B224" s="8">
        <v>222</v>
      </c>
      <c r="D224">
        <v>661.85953878406997</v>
      </c>
      <c r="E224">
        <v>313.51991614256002</v>
      </c>
      <c r="F224">
        <v>129.18766335599</v>
      </c>
      <c r="G224">
        <v>112.66649242027999</v>
      </c>
      <c r="I224" s="9">
        <f t="shared" si="22"/>
        <v>200.85342372228001</v>
      </c>
      <c r="J224" s="9">
        <f t="shared" si="23"/>
        <v>532.67187542807994</v>
      </c>
      <c r="K224" s="9">
        <f t="shared" si="24"/>
        <v>200.85342372228001</v>
      </c>
      <c r="L224" s="10">
        <f t="shared" si="21"/>
        <v>0.37706782165073921</v>
      </c>
      <c r="M224" s="10">
        <f t="shared" si="20"/>
        <v>0.40852850550759606</v>
      </c>
      <c r="P224" s="8">
        <f t="shared" si="25"/>
        <v>40.773257798466176</v>
      </c>
    </row>
    <row r="225" spans="1:16" x14ac:dyDescent="0.2">
      <c r="A225" s="8">
        <v>111.5</v>
      </c>
      <c r="B225" s="8">
        <v>223</v>
      </c>
      <c r="D225">
        <v>675.90094339622999</v>
      </c>
      <c r="E225">
        <v>321.16614255765001</v>
      </c>
      <c r="F225">
        <v>129.33193936225999</v>
      </c>
      <c r="G225">
        <v>112.60585467852</v>
      </c>
      <c r="I225" s="9">
        <f t="shared" si="22"/>
        <v>208.56028787912999</v>
      </c>
      <c r="J225" s="9">
        <f t="shared" si="23"/>
        <v>546.56900403397003</v>
      </c>
      <c r="K225" s="9">
        <f t="shared" si="24"/>
        <v>208.56028787912999</v>
      </c>
      <c r="L225" s="10">
        <f t="shared" si="21"/>
        <v>0.38158089159803082</v>
      </c>
      <c r="M225" s="10">
        <f t="shared" si="20"/>
        <v>0.41318329024703571</v>
      </c>
      <c r="P225" s="8">
        <f t="shared" si="25"/>
        <v>42.377232070242712</v>
      </c>
    </row>
    <row r="226" spans="1:16" x14ac:dyDescent="0.2">
      <c r="A226" s="8">
        <v>112</v>
      </c>
      <c r="B226" s="8">
        <v>224</v>
      </c>
      <c r="D226">
        <v>647.89046121593003</v>
      </c>
      <c r="E226">
        <v>309.02568134171997</v>
      </c>
      <c r="F226">
        <v>128.78672242550999</v>
      </c>
      <c r="G226">
        <v>112.64140094093</v>
      </c>
      <c r="I226" s="9">
        <f t="shared" si="22"/>
        <v>196.38428040078998</v>
      </c>
      <c r="J226" s="9">
        <f t="shared" si="23"/>
        <v>519.10373879042004</v>
      </c>
      <c r="K226" s="9">
        <f t="shared" si="24"/>
        <v>196.38428040078998</v>
      </c>
      <c r="L226" s="10">
        <f t="shared" si="21"/>
        <v>0.37831413208155884</v>
      </c>
      <c r="M226" s="10">
        <f t="shared" si="20"/>
        <v>0.4100582455227117</v>
      </c>
      <c r="P226" s="8">
        <f t="shared" si="25"/>
        <v>41.300384994265968</v>
      </c>
    </row>
    <row r="227" spans="1:16" x14ac:dyDescent="0.2">
      <c r="A227" s="8">
        <v>112.5</v>
      </c>
      <c r="B227" s="8">
        <v>225</v>
      </c>
      <c r="D227">
        <v>645.24056603774</v>
      </c>
      <c r="E227">
        <v>311.79874213837002</v>
      </c>
      <c r="F227">
        <v>129.6853110298</v>
      </c>
      <c r="G227">
        <v>112.64819654992</v>
      </c>
      <c r="I227" s="9">
        <f t="shared" si="22"/>
        <v>199.15054558845003</v>
      </c>
      <c r="J227" s="9">
        <f t="shared" si="23"/>
        <v>515.55525500793999</v>
      </c>
      <c r="K227" s="9">
        <f t="shared" si="24"/>
        <v>199.15054558845003</v>
      </c>
      <c r="L227" s="10">
        <f t="shared" si="21"/>
        <v>0.38628361102707204</v>
      </c>
      <c r="M227" s="10">
        <f t="shared" si="20"/>
        <v>0.41816943926037292</v>
      </c>
      <c r="P227" s="8">
        <f t="shared" si="25"/>
        <v>44.095389875666733</v>
      </c>
    </row>
    <row r="228" spans="1:16" x14ac:dyDescent="0.2">
      <c r="A228" s="8">
        <v>113</v>
      </c>
      <c r="B228" s="8">
        <v>226</v>
      </c>
      <c r="D228">
        <v>680.50262054507004</v>
      </c>
      <c r="E228">
        <v>329.04612159329002</v>
      </c>
      <c r="F228">
        <v>129.46262415055</v>
      </c>
      <c r="G228">
        <v>112.45687401986</v>
      </c>
      <c r="I228" s="9">
        <f t="shared" si="22"/>
        <v>216.58924757343004</v>
      </c>
      <c r="J228" s="9">
        <f t="shared" si="23"/>
        <v>551.03999639452002</v>
      </c>
      <c r="K228" s="9">
        <f t="shared" si="24"/>
        <v>216.58924757343004</v>
      </c>
      <c r="L228" s="10">
        <f t="shared" si="21"/>
        <v>0.3930554024945257</v>
      </c>
      <c r="M228" s="10">
        <f t="shared" si="20"/>
        <v>0.42508294551997455</v>
      </c>
      <c r="P228" s="8">
        <f t="shared" si="25"/>
        <v>46.477688260855217</v>
      </c>
    </row>
    <row r="229" spans="1:16" x14ac:dyDescent="0.2">
      <c r="A229" s="8">
        <v>113.5</v>
      </c>
      <c r="B229" s="8">
        <v>227</v>
      </c>
      <c r="D229">
        <v>681.88259958071001</v>
      </c>
      <c r="E229">
        <v>330.85587002096003</v>
      </c>
      <c r="F229">
        <v>129.49607945635</v>
      </c>
      <c r="G229">
        <v>112.62310507057001</v>
      </c>
      <c r="I229" s="9">
        <f t="shared" si="22"/>
        <v>218.23276495039002</v>
      </c>
      <c r="J229" s="9">
        <f t="shared" si="23"/>
        <v>552.38652012436</v>
      </c>
      <c r="K229" s="9">
        <f t="shared" si="24"/>
        <v>218.23276495039002</v>
      </c>
      <c r="L229" s="10">
        <f t="shared" si="21"/>
        <v>0.39507257508973753</v>
      </c>
      <c r="M229" s="10">
        <f t="shared" si="20"/>
        <v>0.42724183290733442</v>
      </c>
      <c r="P229" s="8">
        <f t="shared" si="25"/>
        <v>47.221610916536378</v>
      </c>
    </row>
    <row r="230" spans="1:16" x14ac:dyDescent="0.2">
      <c r="A230" s="8">
        <v>114</v>
      </c>
      <c r="B230" s="8">
        <v>228</v>
      </c>
      <c r="D230">
        <v>647.90356394130004</v>
      </c>
      <c r="E230">
        <v>320.18658280922</v>
      </c>
      <c r="F230">
        <v>129.15473078933999</v>
      </c>
      <c r="G230">
        <v>112.53476215369</v>
      </c>
      <c r="I230" s="9">
        <f t="shared" si="22"/>
        <v>207.65182065553</v>
      </c>
      <c r="J230" s="9">
        <f t="shared" si="23"/>
        <v>518.74883315196007</v>
      </c>
      <c r="K230" s="9">
        <f t="shared" si="24"/>
        <v>207.65182065553</v>
      </c>
      <c r="L230" s="10">
        <f t="shared" si="21"/>
        <v>0.40029356672249394</v>
      </c>
      <c r="M230" s="10">
        <f t="shared" si="20"/>
        <v>0.4326045393322388</v>
      </c>
      <c r="P230" s="8">
        <f t="shared" si="25"/>
        <v>49.069525184140694</v>
      </c>
    </row>
    <row r="231" spans="1:16" x14ac:dyDescent="0.2">
      <c r="A231" s="8">
        <v>114.5</v>
      </c>
      <c r="B231" s="8">
        <v>229</v>
      </c>
      <c r="D231">
        <v>641.95387840671003</v>
      </c>
      <c r="E231">
        <v>318.13522012579</v>
      </c>
      <c r="F231">
        <v>128.98536330370999</v>
      </c>
      <c r="G231">
        <v>112.44171458442</v>
      </c>
      <c r="I231" s="9">
        <f t="shared" si="22"/>
        <v>205.69350554137</v>
      </c>
      <c r="J231" s="9">
        <f t="shared" si="23"/>
        <v>512.96851510300007</v>
      </c>
      <c r="K231" s="9">
        <f t="shared" si="24"/>
        <v>205.69350554137</v>
      </c>
      <c r="L231" s="10">
        <f t="shared" si="21"/>
        <v>0.40098660928550039</v>
      </c>
      <c r="M231" s="10">
        <f t="shared" si="20"/>
        <v>0.43343929668739328</v>
      </c>
      <c r="P231" s="8">
        <f t="shared" si="25"/>
        <v>49.357170992871517</v>
      </c>
    </row>
    <row r="232" spans="1:16" x14ac:dyDescent="0.2">
      <c r="A232" s="8">
        <v>115</v>
      </c>
      <c r="B232" s="8">
        <v>230</v>
      </c>
      <c r="D232">
        <v>653.12316561845</v>
      </c>
      <c r="E232">
        <v>329.22169811320998</v>
      </c>
      <c r="F232">
        <v>129.30371144799</v>
      </c>
      <c r="G232">
        <v>112.50601150026</v>
      </c>
      <c r="I232" s="9">
        <f t="shared" si="22"/>
        <v>216.71568661294998</v>
      </c>
      <c r="J232" s="9">
        <f t="shared" si="23"/>
        <v>523.81945417045995</v>
      </c>
      <c r="K232" s="9">
        <f t="shared" si="24"/>
        <v>216.71568661294998</v>
      </c>
      <c r="L232" s="10">
        <f t="shared" si="21"/>
        <v>0.41372210384234209</v>
      </c>
      <c r="M232" s="10">
        <f t="shared" si="20"/>
        <v>0.44631650603638295</v>
      </c>
      <c r="P232" s="8">
        <f t="shared" si="25"/>
        <v>53.794478762026529</v>
      </c>
    </row>
    <row r="233" spans="1:16" x14ac:dyDescent="0.2">
      <c r="A233" s="8">
        <v>115.5</v>
      </c>
      <c r="B233" s="8">
        <v>231</v>
      </c>
      <c r="D233">
        <v>663.82966457022997</v>
      </c>
      <c r="E233">
        <v>335.35849056604002</v>
      </c>
      <c r="F233">
        <v>129.27443805541</v>
      </c>
      <c r="G233">
        <v>112.60480920021</v>
      </c>
      <c r="I233" s="9">
        <f t="shared" si="22"/>
        <v>222.75368136583</v>
      </c>
      <c r="J233" s="9">
        <f t="shared" si="23"/>
        <v>534.55522651481999</v>
      </c>
      <c r="K233" s="9">
        <f t="shared" si="24"/>
        <v>222.75368136583</v>
      </c>
      <c r="L233" s="10">
        <f t="shared" si="21"/>
        <v>0.41670845277883445</v>
      </c>
      <c r="M233" s="10">
        <f t="shared" si="20"/>
        <v>0.44944456976502334</v>
      </c>
      <c r="P233" s="8">
        <f t="shared" si="25"/>
        <v>54.872366145025154</v>
      </c>
    </row>
    <row r="234" spans="1:16" x14ac:dyDescent="0.2">
      <c r="A234" s="8">
        <v>116</v>
      </c>
      <c r="B234" s="8">
        <v>232</v>
      </c>
      <c r="D234">
        <v>698.69549266246997</v>
      </c>
      <c r="E234">
        <v>351.77777777777999</v>
      </c>
      <c r="F234">
        <v>129.45269210664</v>
      </c>
      <c r="G234">
        <v>112.53737584945</v>
      </c>
      <c r="I234" s="9">
        <f t="shared" si="22"/>
        <v>239.24040192832999</v>
      </c>
      <c r="J234" s="9">
        <f t="shared" si="23"/>
        <v>569.24280055582994</v>
      </c>
      <c r="K234" s="9">
        <f t="shared" si="24"/>
        <v>239.24040192832999</v>
      </c>
      <c r="L234" s="10">
        <f t="shared" si="21"/>
        <v>0.42027830952754558</v>
      </c>
      <c r="M234" s="10">
        <f t="shared" si="20"/>
        <v>0.45315614130588244</v>
      </c>
      <c r="P234" s="8">
        <f t="shared" si="25"/>
        <v>56.15132222841919</v>
      </c>
    </row>
    <row r="235" spans="1:16" x14ac:dyDescent="0.2">
      <c r="A235" s="8">
        <v>116.5</v>
      </c>
      <c r="B235" s="8">
        <v>233</v>
      </c>
      <c r="D235">
        <v>643.77672955975004</v>
      </c>
      <c r="E235">
        <v>328.06132075471999</v>
      </c>
      <c r="F235">
        <v>128.71772085729</v>
      </c>
      <c r="G235">
        <v>112.62258233142001</v>
      </c>
      <c r="I235" s="9">
        <f t="shared" si="22"/>
        <v>215.43873842329998</v>
      </c>
      <c r="J235" s="9">
        <f t="shared" si="23"/>
        <v>515.05900870246001</v>
      </c>
      <c r="K235" s="9">
        <f t="shared" si="24"/>
        <v>215.43873842329998</v>
      </c>
      <c r="L235" s="10">
        <f t="shared" si="21"/>
        <v>0.41827972093146115</v>
      </c>
      <c r="M235" s="10">
        <f t="shared" si="20"/>
        <v>0.45129926750194604</v>
      </c>
      <c r="P235" s="8">
        <f t="shared" si="25"/>
        <v>55.51146926546383</v>
      </c>
    </row>
    <row r="236" spans="1:16" x14ac:dyDescent="0.2">
      <c r="A236" s="8">
        <v>117</v>
      </c>
      <c r="B236" s="8">
        <v>234</v>
      </c>
      <c r="D236">
        <v>661.04454926624999</v>
      </c>
      <c r="E236">
        <v>338.60220125785997</v>
      </c>
      <c r="F236">
        <v>129.33403031886999</v>
      </c>
      <c r="G236">
        <v>112.55462624150999</v>
      </c>
      <c r="I236" s="9">
        <f t="shared" si="22"/>
        <v>226.04757501634998</v>
      </c>
      <c r="J236" s="9">
        <f t="shared" si="23"/>
        <v>531.71051894738002</v>
      </c>
      <c r="K236" s="9">
        <f t="shared" si="24"/>
        <v>226.04757501634998</v>
      </c>
      <c r="L236" s="10">
        <f t="shared" si="21"/>
        <v>0.42513278741194221</v>
      </c>
      <c r="M236" s="10">
        <f t="shared" si="20"/>
        <v>0.45829404877457514</v>
      </c>
      <c r="P236" s="8">
        <f t="shared" si="25"/>
        <v>57.921773893074182</v>
      </c>
    </row>
    <row r="237" spans="1:16" x14ac:dyDescent="0.2">
      <c r="A237" s="8">
        <v>117.5</v>
      </c>
      <c r="B237" s="8">
        <v>235</v>
      </c>
      <c r="D237">
        <v>704.56236897275005</v>
      </c>
      <c r="E237">
        <v>357.05136268344</v>
      </c>
      <c r="F237">
        <v>129.25666492420001</v>
      </c>
      <c r="G237">
        <v>112.56089911134001</v>
      </c>
      <c r="I237" s="9">
        <f t="shared" si="22"/>
        <v>244.4904635721</v>
      </c>
      <c r="J237" s="9">
        <f t="shared" si="23"/>
        <v>575.30570404855007</v>
      </c>
      <c r="K237" s="9">
        <f t="shared" si="24"/>
        <v>244.4904635721</v>
      </c>
      <c r="L237" s="10">
        <f t="shared" si="21"/>
        <v>0.42497486440959648</v>
      </c>
      <c r="M237" s="10">
        <f t="shared" si="20"/>
        <v>0.45827784056437737</v>
      </c>
      <c r="P237" s="8">
        <f t="shared" si="25"/>
        <v>57.916188768604627</v>
      </c>
    </row>
    <row r="238" spans="1:16" x14ac:dyDescent="0.2">
      <c r="A238" s="8">
        <v>118</v>
      </c>
      <c r="B238" s="8">
        <v>236</v>
      </c>
      <c r="D238">
        <v>716.51415094339995</v>
      </c>
      <c r="E238">
        <v>359.44863731656</v>
      </c>
      <c r="F238">
        <v>129.19289074752001</v>
      </c>
      <c r="G238">
        <v>112.39989545217</v>
      </c>
      <c r="I238" s="9">
        <f t="shared" si="22"/>
        <v>247.04874186439</v>
      </c>
      <c r="J238" s="9">
        <f t="shared" si="23"/>
        <v>587.32126019587997</v>
      </c>
      <c r="K238" s="9">
        <f t="shared" si="24"/>
        <v>247.04874186439</v>
      </c>
      <c r="L238" s="10">
        <f t="shared" si="21"/>
        <v>0.42063647037397511</v>
      </c>
      <c r="M238" s="10">
        <f t="shared" si="20"/>
        <v>0.45408116132090404</v>
      </c>
      <c r="P238" s="8">
        <f t="shared" si="25"/>
        <v>56.470071298038164</v>
      </c>
    </row>
    <row r="239" spans="1:16" x14ac:dyDescent="0.2">
      <c r="A239" s="8">
        <v>118.5</v>
      </c>
      <c r="B239" s="8">
        <v>237</v>
      </c>
      <c r="D239">
        <v>678.96383647798996</v>
      </c>
      <c r="E239">
        <v>344.53092243187001</v>
      </c>
      <c r="F239">
        <v>129.18295870361001</v>
      </c>
      <c r="G239">
        <v>112.49346576059</v>
      </c>
      <c r="I239" s="9">
        <f t="shared" si="22"/>
        <v>232.03745667128001</v>
      </c>
      <c r="J239" s="9">
        <f t="shared" si="23"/>
        <v>549.78087777437997</v>
      </c>
      <c r="K239" s="9">
        <f t="shared" si="24"/>
        <v>232.03745667128001</v>
      </c>
      <c r="L239" s="10">
        <f t="shared" si="21"/>
        <v>0.42205443305087803</v>
      </c>
      <c r="M239" s="10">
        <f t="shared" si="20"/>
        <v>0.45564083878995493</v>
      </c>
      <c r="P239" s="8">
        <f t="shared" si="25"/>
        <v>57.007514525311507</v>
      </c>
    </row>
    <row r="240" spans="1:16" x14ac:dyDescent="0.2">
      <c r="A240" s="8">
        <v>119</v>
      </c>
      <c r="B240" s="8">
        <v>238</v>
      </c>
      <c r="D240">
        <v>675.54769392033995</v>
      </c>
      <c r="E240">
        <v>343.86740041928999</v>
      </c>
      <c r="F240">
        <v>129.26816518557001</v>
      </c>
      <c r="G240">
        <v>112.58808154731</v>
      </c>
      <c r="I240" s="9">
        <f t="shared" si="22"/>
        <v>231.27931887198</v>
      </c>
      <c r="J240" s="9">
        <f t="shared" si="23"/>
        <v>546.27952873476988</v>
      </c>
      <c r="K240" s="9">
        <f t="shared" si="24"/>
        <v>231.27931887198</v>
      </c>
      <c r="L240" s="10">
        <f t="shared" si="21"/>
        <v>0.42337174780765202</v>
      </c>
      <c r="M240" s="10">
        <f t="shared" si="20"/>
        <v>0.45709986833887695</v>
      </c>
      <c r="P240" s="8">
        <f t="shared" si="25"/>
        <v>57.510275875026331</v>
      </c>
    </row>
    <row r="241" spans="1:16" x14ac:dyDescent="0.2">
      <c r="A241" s="8">
        <v>119.5</v>
      </c>
      <c r="B241" s="8">
        <v>239</v>
      </c>
      <c r="D241">
        <v>678.79507337526002</v>
      </c>
      <c r="E241">
        <v>346.09538784067001</v>
      </c>
      <c r="F241">
        <v>129.16309461578999</v>
      </c>
      <c r="G241">
        <v>112.32357553580999</v>
      </c>
      <c r="I241" s="9">
        <f t="shared" si="22"/>
        <v>233.77181230486002</v>
      </c>
      <c r="J241" s="9">
        <f t="shared" si="23"/>
        <v>549.63197875947003</v>
      </c>
      <c r="K241" s="9">
        <f t="shared" si="24"/>
        <v>233.77181230486002</v>
      </c>
      <c r="L241" s="10">
        <f t="shared" si="21"/>
        <v>0.42532425575470972</v>
      </c>
      <c r="M241" s="10">
        <f t="shared" si="20"/>
        <v>0.45919409107808262</v>
      </c>
      <c r="P241" s="8">
        <f t="shared" si="25"/>
        <v>58.23191598967955</v>
      </c>
    </row>
    <row r="242" spans="1:16" x14ac:dyDescent="0.2">
      <c r="A242" s="8">
        <v>120</v>
      </c>
      <c r="B242" s="8">
        <v>240</v>
      </c>
      <c r="D242">
        <v>707.69916142557997</v>
      </c>
      <c r="E242">
        <v>353.45807127883</v>
      </c>
      <c r="F242">
        <v>129.43491897543001</v>
      </c>
      <c r="G242">
        <v>112.32096184004</v>
      </c>
      <c r="I242" s="9">
        <f>E242-G242</f>
        <v>241.13710943878999</v>
      </c>
      <c r="J242" s="9">
        <f>D242-F242</f>
        <v>578.26424245014994</v>
      </c>
      <c r="K242" s="9">
        <f t="shared" si="24"/>
        <v>241.13710943878999</v>
      </c>
      <c r="L242" s="10">
        <f t="shared" si="21"/>
        <v>0.4170015915510763</v>
      </c>
      <c r="M242" s="10">
        <f>L242+ABS($N$2)*A242</f>
        <v>0.45101314166659723</v>
      </c>
      <c r="O242" s="11"/>
      <c r="P242" s="8">
        <f>(M242-$O$2)/$O$2*100</f>
        <v>55.412874270403897</v>
      </c>
    </row>
    <row r="243" spans="1:16" x14ac:dyDescent="0.2">
      <c r="A243" s="8">
        <v>120.5</v>
      </c>
      <c r="B243" s="8">
        <v>241</v>
      </c>
      <c r="D243">
        <v>686.91666666667004</v>
      </c>
      <c r="E243">
        <v>340.98008385743998</v>
      </c>
      <c r="F243">
        <v>129.34343962362999</v>
      </c>
      <c r="G243">
        <v>112.62519602718</v>
      </c>
      <c r="I243" s="9">
        <f t="shared" ref="I243:I274" si="26">E243-G243</f>
        <v>228.35488783026</v>
      </c>
      <c r="J243" s="9">
        <f t="shared" ref="J243:J274" si="27">D243-F243</f>
        <v>557.57322704304011</v>
      </c>
      <c r="K243" s="9">
        <f t="shared" si="24"/>
        <v>228.35488783026</v>
      </c>
      <c r="L243" s="10">
        <f t="shared" si="21"/>
        <v>0.40955138581758493</v>
      </c>
      <c r="M243" s="10">
        <f t="shared" ref="M243:M274" si="28">L243+ABS($N$2)*A243</f>
        <v>0.44370465072525389</v>
      </c>
      <c r="P243" s="8">
        <f t="shared" ref="P243:P274" si="29">(M243-$O$2)/$O$2*100</f>
        <v>52.894469641270014</v>
      </c>
    </row>
    <row r="244" spans="1:16" x14ac:dyDescent="0.2">
      <c r="A244" s="8">
        <v>121</v>
      </c>
      <c r="B244" s="8">
        <v>242</v>
      </c>
      <c r="D244">
        <v>687.16596638655994</v>
      </c>
      <c r="E244">
        <v>337.02521008402999</v>
      </c>
      <c r="F244">
        <v>129.36748562467</v>
      </c>
      <c r="G244">
        <v>112.45426032410001</v>
      </c>
      <c r="I244" s="9">
        <f t="shared" si="26"/>
        <v>224.57094975992999</v>
      </c>
      <c r="J244" s="9">
        <f t="shared" si="27"/>
        <v>557.79848076189</v>
      </c>
      <c r="K244" s="9">
        <f t="shared" si="24"/>
        <v>224.57094975992999</v>
      </c>
      <c r="L244" s="10">
        <f t="shared" si="21"/>
        <v>0.40260229725472058</v>
      </c>
      <c r="M244" s="10">
        <f t="shared" si="28"/>
        <v>0.43689727695453751</v>
      </c>
      <c r="N244" s="1"/>
      <c r="P244" s="8">
        <f t="shared" si="29"/>
        <v>50.548743039977182</v>
      </c>
    </row>
    <row r="245" spans="1:16" x14ac:dyDescent="0.2">
      <c r="A245" s="8">
        <v>121.5</v>
      </c>
      <c r="B245" s="8">
        <v>243</v>
      </c>
      <c r="D245">
        <v>703.56092436974996</v>
      </c>
      <c r="E245">
        <v>342.28203781513002</v>
      </c>
      <c r="F245">
        <v>128.73601672765</v>
      </c>
      <c r="G245">
        <v>112.34657605855</v>
      </c>
      <c r="I245" s="9">
        <f t="shared" si="26"/>
        <v>229.93546175658003</v>
      </c>
      <c r="J245" s="9">
        <f t="shared" si="27"/>
        <v>574.82490764210002</v>
      </c>
      <c r="K245" s="9">
        <f t="shared" si="24"/>
        <v>229.93546175658003</v>
      </c>
      <c r="L245" s="10">
        <f t="shared" si="21"/>
        <v>0.40000956586895753</v>
      </c>
      <c r="M245" s="10">
        <f t="shared" si="28"/>
        <v>0.43444626036092249</v>
      </c>
      <c r="P245" s="8">
        <f t="shared" si="29"/>
        <v>49.704156710872489</v>
      </c>
    </row>
    <row r="246" spans="1:16" x14ac:dyDescent="0.2">
      <c r="A246" s="8">
        <v>122</v>
      </c>
      <c r="B246" s="8">
        <v>244</v>
      </c>
      <c r="D246">
        <v>723.40546218486998</v>
      </c>
      <c r="E246">
        <v>345.90808823528999</v>
      </c>
      <c r="F246">
        <v>128.96968112912</v>
      </c>
      <c r="G246">
        <v>112.32828018819001</v>
      </c>
      <c r="I246" s="9">
        <f t="shared" si="26"/>
        <v>233.57980804709999</v>
      </c>
      <c r="J246" s="9">
        <f t="shared" si="27"/>
        <v>594.43578105575</v>
      </c>
      <c r="K246" s="9">
        <f t="shared" si="24"/>
        <v>233.57980804709999</v>
      </c>
      <c r="L246" s="10">
        <f t="shared" si="21"/>
        <v>0.39294372157787955</v>
      </c>
      <c r="M246" s="10">
        <f t="shared" si="28"/>
        <v>0.42752213086199248</v>
      </c>
      <c r="P246" s="8">
        <f t="shared" si="29"/>
        <v>47.31819770472741</v>
      </c>
    </row>
    <row r="247" spans="1:16" x14ac:dyDescent="0.2">
      <c r="A247" s="8">
        <v>122.5</v>
      </c>
      <c r="B247" s="8">
        <v>245</v>
      </c>
      <c r="D247">
        <v>656.44206680585</v>
      </c>
      <c r="E247">
        <v>316.55219206680999</v>
      </c>
      <c r="F247">
        <v>129.40041819132</v>
      </c>
      <c r="G247">
        <v>112.2064819655</v>
      </c>
      <c r="I247" s="9">
        <f t="shared" si="26"/>
        <v>204.34571010130998</v>
      </c>
      <c r="J247" s="9">
        <f t="shared" si="27"/>
        <v>527.04164861453</v>
      </c>
      <c r="K247" s="9">
        <f t="shared" si="24"/>
        <v>204.34571010130998</v>
      </c>
      <c r="L247" s="10">
        <f t="shared" si="21"/>
        <v>0.38772212905467218</v>
      </c>
      <c r="M247" s="10">
        <f t="shared" si="28"/>
        <v>0.42244225313093314</v>
      </c>
      <c r="P247" s="8">
        <f t="shared" si="29"/>
        <v>45.567742282943371</v>
      </c>
    </row>
    <row r="248" spans="1:16" x14ac:dyDescent="0.2">
      <c r="A248" s="8">
        <v>123</v>
      </c>
      <c r="B248" s="8">
        <v>246</v>
      </c>
      <c r="D248">
        <v>668.11951983299002</v>
      </c>
      <c r="E248">
        <v>314.58663883089997</v>
      </c>
      <c r="F248">
        <v>128.77626764244999</v>
      </c>
      <c r="G248">
        <v>112.55514898065999</v>
      </c>
      <c r="I248" s="9">
        <f t="shared" si="26"/>
        <v>202.03148985023998</v>
      </c>
      <c r="J248" s="9">
        <f t="shared" si="27"/>
        <v>539.34325219054006</v>
      </c>
      <c r="K248" s="9">
        <f t="shared" si="24"/>
        <v>202.03148985023998</v>
      </c>
      <c r="L248" s="10">
        <f t="shared" si="21"/>
        <v>0.37458796235920266</v>
      </c>
      <c r="M248" s="10">
        <f t="shared" si="28"/>
        <v>0.4094498012276116</v>
      </c>
      <c r="P248" s="8">
        <f t="shared" si="29"/>
        <v>41.090723527672083</v>
      </c>
    </row>
    <row r="249" spans="1:16" x14ac:dyDescent="0.2">
      <c r="A249" s="8">
        <v>123.5</v>
      </c>
      <c r="B249" s="8">
        <v>247</v>
      </c>
      <c r="D249">
        <v>728.15822454308</v>
      </c>
      <c r="E249">
        <v>334.34882506526998</v>
      </c>
      <c r="F249">
        <v>128.85833768949001</v>
      </c>
      <c r="G249">
        <v>112.42028227914</v>
      </c>
      <c r="I249" s="9">
        <f t="shared" si="26"/>
        <v>221.92854278612998</v>
      </c>
      <c r="J249" s="9">
        <f t="shared" si="27"/>
        <v>599.29988685359001</v>
      </c>
      <c r="K249" s="9">
        <f t="shared" si="24"/>
        <v>221.92854278612998</v>
      </c>
      <c r="L249" s="10">
        <f t="shared" si="21"/>
        <v>0.3703130063168984</v>
      </c>
      <c r="M249" s="10">
        <f t="shared" si="28"/>
        <v>0.40531655997745536</v>
      </c>
      <c r="P249" s="8">
        <f t="shared" si="29"/>
        <v>39.666465909887123</v>
      </c>
    </row>
    <row r="250" spans="1:16" x14ac:dyDescent="0.2">
      <c r="A250" s="8">
        <v>124</v>
      </c>
      <c r="B250" s="8">
        <v>248</v>
      </c>
      <c r="D250">
        <v>731.76135770234998</v>
      </c>
      <c r="E250">
        <v>332.39373368145999</v>
      </c>
      <c r="F250">
        <v>128.96968112912</v>
      </c>
      <c r="G250">
        <v>112.41714584422</v>
      </c>
      <c r="I250" s="9">
        <f t="shared" si="26"/>
        <v>219.97658783724</v>
      </c>
      <c r="J250" s="9">
        <f t="shared" si="27"/>
        <v>602.79167657323001</v>
      </c>
      <c r="K250" s="9">
        <f t="shared" si="24"/>
        <v>219.97658783724</v>
      </c>
      <c r="L250" s="10">
        <f t="shared" si="21"/>
        <v>0.36492970355491661</v>
      </c>
      <c r="M250" s="10">
        <f t="shared" si="28"/>
        <v>0.40007497200762154</v>
      </c>
      <c r="P250" s="8">
        <f t="shared" si="29"/>
        <v>37.860287382310581</v>
      </c>
    </row>
    <row r="251" spans="1:16" x14ac:dyDescent="0.2">
      <c r="A251" s="8">
        <v>124.5</v>
      </c>
      <c r="B251" s="8">
        <v>249</v>
      </c>
      <c r="D251">
        <v>767.64225500527004</v>
      </c>
      <c r="E251">
        <v>345.6717597471</v>
      </c>
      <c r="F251">
        <v>128.71092524829999</v>
      </c>
      <c r="G251">
        <v>112.57658128593999</v>
      </c>
      <c r="I251" s="9">
        <f t="shared" si="26"/>
        <v>233.09517846116</v>
      </c>
      <c r="J251" s="9">
        <f t="shared" si="27"/>
        <v>638.93132975697006</v>
      </c>
      <c r="K251" s="9">
        <f t="shared" si="24"/>
        <v>233.09517846116</v>
      </c>
      <c r="L251" s="10">
        <f t="shared" si="21"/>
        <v>0.36482039243532211</v>
      </c>
      <c r="M251" s="10">
        <f t="shared" si="28"/>
        <v>0.40010737568017507</v>
      </c>
      <c r="P251" s="8">
        <f t="shared" si="29"/>
        <v>37.871453238520118</v>
      </c>
    </row>
    <row r="252" spans="1:16" x14ac:dyDescent="0.2">
      <c r="A252" s="8">
        <v>125</v>
      </c>
      <c r="B252" s="8">
        <v>250</v>
      </c>
      <c r="D252">
        <v>786.76464379947004</v>
      </c>
      <c r="E252">
        <v>351.79947229551999</v>
      </c>
      <c r="F252">
        <v>129.10454783063</v>
      </c>
      <c r="G252">
        <v>112.32409827495999</v>
      </c>
      <c r="I252" s="9">
        <f t="shared" si="26"/>
        <v>239.47537402056</v>
      </c>
      <c r="J252" s="9">
        <f t="shared" si="27"/>
        <v>657.6600959688401</v>
      </c>
      <c r="K252" s="9">
        <f t="shared" si="24"/>
        <v>239.47537402056</v>
      </c>
      <c r="L252" s="10">
        <f t="shared" si="21"/>
        <v>0.3641324378481165</v>
      </c>
      <c r="M252" s="10">
        <f t="shared" si="28"/>
        <v>0.39956113588511744</v>
      </c>
      <c r="P252" s="8">
        <f t="shared" si="29"/>
        <v>37.683226580030556</v>
      </c>
    </row>
    <row r="253" spans="1:16" x14ac:dyDescent="0.2">
      <c r="A253" s="8">
        <v>125.5</v>
      </c>
      <c r="B253" s="8">
        <v>251</v>
      </c>
      <c r="D253">
        <v>790.03852242743994</v>
      </c>
      <c r="E253">
        <v>351.08865435356</v>
      </c>
      <c r="F253">
        <v>128.49712493466001</v>
      </c>
      <c r="G253">
        <v>112.45687401986</v>
      </c>
      <c r="I253" s="9">
        <f t="shared" si="26"/>
        <v>238.63178033370002</v>
      </c>
      <c r="J253" s="9">
        <f t="shared" si="27"/>
        <v>661.54139749277988</v>
      </c>
      <c r="K253" s="9">
        <f t="shared" si="24"/>
        <v>238.63178033370002</v>
      </c>
      <c r="L253" s="10">
        <f t="shared" si="21"/>
        <v>0.36072085773937446</v>
      </c>
      <c r="M253" s="10">
        <f t="shared" si="28"/>
        <v>0.39629127056852342</v>
      </c>
      <c r="P253" s="8">
        <f t="shared" si="29"/>
        <v>36.556476336232471</v>
      </c>
    </row>
    <row r="254" spans="1:16" x14ac:dyDescent="0.2">
      <c r="A254" s="8">
        <v>126</v>
      </c>
      <c r="B254" s="8">
        <v>252</v>
      </c>
      <c r="D254">
        <v>772.61522309710995</v>
      </c>
      <c r="E254">
        <v>345.68031496063003</v>
      </c>
      <c r="F254">
        <v>129.12911657083001</v>
      </c>
      <c r="G254">
        <v>112.3805541035</v>
      </c>
      <c r="I254" s="9">
        <f t="shared" si="26"/>
        <v>233.29976085713002</v>
      </c>
      <c r="J254" s="9">
        <f t="shared" si="27"/>
        <v>643.48610652627997</v>
      </c>
      <c r="K254" s="9">
        <f t="shared" si="24"/>
        <v>233.29976085713002</v>
      </c>
      <c r="L254" s="10">
        <f t="shared" si="21"/>
        <v>0.36255601867855103</v>
      </c>
      <c r="M254" s="10">
        <f t="shared" si="28"/>
        <v>0.39826814629984797</v>
      </c>
      <c r="P254" s="8">
        <f t="shared" si="29"/>
        <v>37.237680299259488</v>
      </c>
    </row>
    <row r="255" spans="1:16" x14ac:dyDescent="0.2">
      <c r="A255" s="8">
        <v>126.5</v>
      </c>
      <c r="B255" s="8">
        <v>253</v>
      </c>
      <c r="D255">
        <v>786.94383202100005</v>
      </c>
      <c r="E255">
        <v>347.99265091863998</v>
      </c>
      <c r="F255">
        <v>129.20961840042</v>
      </c>
      <c r="G255">
        <v>112.41348667014999</v>
      </c>
      <c r="I255" s="9">
        <f t="shared" si="26"/>
        <v>235.57916424848997</v>
      </c>
      <c r="J255" s="9">
        <f t="shared" si="27"/>
        <v>657.73421362058002</v>
      </c>
      <c r="K255" s="9">
        <f t="shared" si="24"/>
        <v>235.57916424848997</v>
      </c>
      <c r="L255" s="10">
        <f t="shared" si="21"/>
        <v>0.35816772089703997</v>
      </c>
      <c r="M255" s="10">
        <f t="shared" si="28"/>
        <v>0.39402156331048493</v>
      </c>
      <c r="P255" s="8">
        <f t="shared" si="29"/>
        <v>35.774366689891131</v>
      </c>
    </row>
    <row r="256" spans="1:16" x14ac:dyDescent="0.2">
      <c r="A256" s="8">
        <v>127</v>
      </c>
      <c r="B256" s="8">
        <v>254</v>
      </c>
      <c r="D256">
        <v>768.73438320210005</v>
      </c>
      <c r="E256">
        <v>338.5937007874</v>
      </c>
      <c r="F256">
        <v>128.77051751176</v>
      </c>
      <c r="G256">
        <v>112.35389440669</v>
      </c>
      <c r="I256" s="9">
        <f t="shared" si="26"/>
        <v>226.23980638070998</v>
      </c>
      <c r="J256" s="9">
        <f t="shared" si="27"/>
        <v>639.96386569034007</v>
      </c>
      <c r="K256" s="9">
        <f t="shared" si="24"/>
        <v>226.23980638070998</v>
      </c>
      <c r="L256" s="10">
        <f t="shared" si="21"/>
        <v>0.35351965713979988</v>
      </c>
      <c r="M256" s="10">
        <f t="shared" si="28"/>
        <v>0.38951521434539288</v>
      </c>
      <c r="P256" s="8">
        <f t="shared" si="29"/>
        <v>34.221541327546959</v>
      </c>
    </row>
    <row r="257" spans="1:16" x14ac:dyDescent="0.2">
      <c r="A257" s="8">
        <v>127.5</v>
      </c>
      <c r="B257" s="8">
        <v>255</v>
      </c>
      <c r="D257">
        <v>794.96797900263005</v>
      </c>
      <c r="E257">
        <v>347.86351706036999</v>
      </c>
      <c r="F257">
        <v>128.85363303711</v>
      </c>
      <c r="G257">
        <v>112.44066910612</v>
      </c>
      <c r="I257" s="9">
        <f t="shared" si="26"/>
        <v>235.42284795424999</v>
      </c>
      <c r="J257" s="9">
        <f t="shared" si="27"/>
        <v>666.11434596551999</v>
      </c>
      <c r="K257" s="9">
        <f t="shared" si="24"/>
        <v>235.42284795424999</v>
      </c>
      <c r="L257" s="10">
        <f t="shared" si="21"/>
        <v>0.35342707956996344</v>
      </c>
      <c r="M257" s="10">
        <f t="shared" si="28"/>
        <v>0.38956435156770441</v>
      </c>
      <c r="P257" s="8">
        <f t="shared" si="29"/>
        <v>34.238473332953454</v>
      </c>
    </row>
    <row r="258" spans="1:16" x14ac:dyDescent="0.2">
      <c r="A258" s="8">
        <v>128</v>
      </c>
      <c r="B258" s="8">
        <v>256</v>
      </c>
      <c r="D258">
        <v>790.24855186940999</v>
      </c>
      <c r="E258">
        <v>343.83886255924</v>
      </c>
      <c r="F258">
        <v>128.7266074229</v>
      </c>
      <c r="G258">
        <v>112.35128071093</v>
      </c>
      <c r="I258" s="9">
        <f t="shared" si="26"/>
        <v>231.48758184831001</v>
      </c>
      <c r="J258" s="9">
        <f t="shared" si="27"/>
        <v>661.52194444651002</v>
      </c>
      <c r="K258" s="9">
        <f t="shared" si="24"/>
        <v>231.48758184831001</v>
      </c>
      <c r="L258" s="10">
        <f t="shared" ref="L258:L321" si="30">K258/J258</f>
        <v>0.34993182583231425</v>
      </c>
      <c r="M258" s="10">
        <f t="shared" si="28"/>
        <v>0.38621081262220325</v>
      </c>
      <c r="P258" s="8">
        <f t="shared" si="29"/>
        <v>33.082890316963756</v>
      </c>
    </row>
    <row r="259" spans="1:16" x14ac:dyDescent="0.2">
      <c r="A259" s="8">
        <v>128.5</v>
      </c>
      <c r="B259" s="8">
        <v>257</v>
      </c>
      <c r="D259">
        <v>753.85518694049995</v>
      </c>
      <c r="E259">
        <v>326.73407056345002</v>
      </c>
      <c r="F259">
        <v>129.03450078411001</v>
      </c>
      <c r="G259">
        <v>112.27600627287001</v>
      </c>
      <c r="I259" s="9">
        <f t="shared" si="26"/>
        <v>214.45806429058001</v>
      </c>
      <c r="J259" s="9">
        <f t="shared" si="27"/>
        <v>624.82068615638991</v>
      </c>
      <c r="K259" s="9">
        <f t="shared" ref="K259:K322" si="31">I259*1</f>
        <v>214.45806429058001</v>
      </c>
      <c r="L259" s="10">
        <f t="shared" si="30"/>
        <v>0.3432313766847695</v>
      </c>
      <c r="M259" s="10">
        <f t="shared" si="28"/>
        <v>0.37965207826680647</v>
      </c>
      <c r="P259" s="8">
        <f t="shared" si="29"/>
        <v>30.822841410225326</v>
      </c>
    </row>
    <row r="260" spans="1:16" x14ac:dyDescent="0.2">
      <c r="A260" s="8">
        <v>129</v>
      </c>
      <c r="B260" s="8">
        <v>258</v>
      </c>
      <c r="D260">
        <v>781.46234309623003</v>
      </c>
      <c r="E260">
        <v>334.47907949790999</v>
      </c>
      <c r="F260">
        <v>128.98222686879001</v>
      </c>
      <c r="G260">
        <v>112.04443282802001</v>
      </c>
      <c r="I260" s="9">
        <f t="shared" si="26"/>
        <v>222.43464666988999</v>
      </c>
      <c r="J260" s="9">
        <f t="shared" si="27"/>
        <v>652.48011622744002</v>
      </c>
      <c r="K260" s="9">
        <f t="shared" si="31"/>
        <v>222.43464666988999</v>
      </c>
      <c r="L260" s="10">
        <f t="shared" si="30"/>
        <v>0.34090639873591833</v>
      </c>
      <c r="M260" s="10">
        <f t="shared" si="28"/>
        <v>0.37746881511010333</v>
      </c>
      <c r="P260" s="8">
        <f t="shared" si="29"/>
        <v>30.070519202455298</v>
      </c>
    </row>
    <row r="261" spans="1:16" x14ac:dyDescent="0.2">
      <c r="A261" s="8">
        <v>129.5</v>
      </c>
      <c r="B261" s="8">
        <v>259</v>
      </c>
      <c r="D261">
        <v>775.54707112971005</v>
      </c>
      <c r="E261">
        <v>331.18043933054003</v>
      </c>
      <c r="F261">
        <v>128.62205959226</v>
      </c>
      <c r="G261">
        <v>112.55148980659</v>
      </c>
      <c r="I261" s="9">
        <f t="shared" si="26"/>
        <v>218.62894952395004</v>
      </c>
      <c r="J261" s="9">
        <f t="shared" si="27"/>
        <v>646.92501153745002</v>
      </c>
      <c r="K261" s="9">
        <f t="shared" si="31"/>
        <v>218.62894952395004</v>
      </c>
      <c r="L261" s="10">
        <f t="shared" si="30"/>
        <v>0.33795099219361963</v>
      </c>
      <c r="M261" s="10">
        <f t="shared" si="28"/>
        <v>0.3746551233599526</v>
      </c>
      <c r="P261" s="8">
        <f t="shared" si="29"/>
        <v>29.100960043744351</v>
      </c>
    </row>
    <row r="262" spans="1:16" x14ac:dyDescent="0.2">
      <c r="A262" s="8">
        <v>130</v>
      </c>
      <c r="B262" s="8">
        <v>260</v>
      </c>
      <c r="D262">
        <v>779.55706806283001</v>
      </c>
      <c r="E262">
        <v>330.59005235602001</v>
      </c>
      <c r="F262">
        <v>128.883951908</v>
      </c>
      <c r="G262">
        <v>112.18191322529999</v>
      </c>
      <c r="I262" s="9">
        <f t="shared" si="26"/>
        <v>218.40813913072003</v>
      </c>
      <c r="J262" s="9">
        <f t="shared" si="27"/>
        <v>650.67311615483004</v>
      </c>
      <c r="K262" s="9">
        <f t="shared" si="31"/>
        <v>218.40813913072003</v>
      </c>
      <c r="L262" s="10">
        <f t="shared" si="30"/>
        <v>0.33566491946279986</v>
      </c>
      <c r="M262" s="10">
        <f t="shared" si="28"/>
        <v>0.37251076542128086</v>
      </c>
      <c r="P262" s="8">
        <f t="shared" si="29"/>
        <v>28.362044034596462</v>
      </c>
    </row>
    <row r="263" spans="1:16" x14ac:dyDescent="0.2">
      <c r="A263" s="8">
        <v>130.5</v>
      </c>
      <c r="B263" s="8">
        <v>261</v>
      </c>
      <c r="D263">
        <v>776.14136125655</v>
      </c>
      <c r="E263">
        <v>322.73874345550001</v>
      </c>
      <c r="F263">
        <v>128.98588604286999</v>
      </c>
      <c r="G263">
        <v>112.24202822791</v>
      </c>
      <c r="I263" s="9">
        <f t="shared" si="26"/>
        <v>210.49671522759002</v>
      </c>
      <c r="J263" s="9">
        <f t="shared" si="27"/>
        <v>647.15547521368001</v>
      </c>
      <c r="K263" s="9">
        <f t="shared" si="31"/>
        <v>210.49671522759002</v>
      </c>
      <c r="L263" s="10">
        <f t="shared" si="30"/>
        <v>0.32526452033506709</v>
      </c>
      <c r="M263" s="10">
        <f t="shared" si="28"/>
        <v>0.36225208108569606</v>
      </c>
      <c r="P263" s="8">
        <f t="shared" si="29"/>
        <v>24.827043673111248</v>
      </c>
    </row>
    <row r="264" spans="1:16" x14ac:dyDescent="0.2">
      <c r="A264" s="8">
        <v>131</v>
      </c>
      <c r="B264" s="8">
        <v>262</v>
      </c>
      <c r="D264">
        <v>741.18167539266994</v>
      </c>
      <c r="E264">
        <v>310.55706806283001</v>
      </c>
      <c r="F264">
        <v>129.03450078411001</v>
      </c>
      <c r="G264">
        <v>112.33873497125001</v>
      </c>
      <c r="I264" s="9">
        <f t="shared" si="26"/>
        <v>198.21833309158001</v>
      </c>
      <c r="J264" s="9">
        <f t="shared" si="27"/>
        <v>612.14717460855991</v>
      </c>
      <c r="K264" s="9">
        <f t="shared" si="31"/>
        <v>198.21833309158001</v>
      </c>
      <c r="L264" s="10">
        <f t="shared" si="30"/>
        <v>0.32380829531449123</v>
      </c>
      <c r="M264" s="10">
        <f t="shared" si="28"/>
        <v>0.36093757085726824</v>
      </c>
      <c r="P264" s="8">
        <f t="shared" si="29"/>
        <v>24.374081677141668</v>
      </c>
    </row>
    <row r="265" spans="1:16" x14ac:dyDescent="0.2">
      <c r="A265" s="8">
        <v>131.5</v>
      </c>
      <c r="B265" s="8">
        <v>263</v>
      </c>
      <c r="D265">
        <v>778.05634544497002</v>
      </c>
      <c r="E265">
        <v>320.21590310689999</v>
      </c>
      <c r="F265">
        <v>128.59539989544999</v>
      </c>
      <c r="G265">
        <v>112.51855723993999</v>
      </c>
      <c r="I265" s="9">
        <f t="shared" si="26"/>
        <v>207.69734586696001</v>
      </c>
      <c r="J265" s="9">
        <f t="shared" si="27"/>
        <v>649.46094554952003</v>
      </c>
      <c r="K265" s="9">
        <f t="shared" si="31"/>
        <v>207.69734586696001</v>
      </c>
      <c r="L265" s="10">
        <f t="shared" si="30"/>
        <v>0.3197995927087251</v>
      </c>
      <c r="M265" s="10">
        <f t="shared" si="28"/>
        <v>0.35707058304365014</v>
      </c>
      <c r="P265" s="8">
        <f t="shared" si="29"/>
        <v>23.041571301363579</v>
      </c>
    </row>
    <row r="266" spans="1:16" x14ac:dyDescent="0.2">
      <c r="A266" s="8">
        <v>132</v>
      </c>
      <c r="B266" s="8">
        <v>264</v>
      </c>
      <c r="D266">
        <v>786.73933649288995</v>
      </c>
      <c r="E266">
        <v>321.61032122170002</v>
      </c>
      <c r="F266">
        <v>128.61108207005</v>
      </c>
      <c r="G266">
        <v>112.18870883429</v>
      </c>
      <c r="I266" s="9">
        <f t="shared" si="26"/>
        <v>209.42161238741002</v>
      </c>
      <c r="J266" s="9">
        <f t="shared" si="27"/>
        <v>658.12825442283997</v>
      </c>
      <c r="K266" s="9">
        <f t="shared" si="31"/>
        <v>209.42161238741002</v>
      </c>
      <c r="L266" s="10">
        <f t="shared" si="30"/>
        <v>0.3182079039762043</v>
      </c>
      <c r="M266" s="10">
        <f t="shared" si="28"/>
        <v>0.35562060910327731</v>
      </c>
      <c r="P266" s="8">
        <f t="shared" si="29"/>
        <v>22.541930388777693</v>
      </c>
    </row>
    <row r="267" spans="1:16" x14ac:dyDescent="0.2">
      <c r="A267" s="8">
        <v>132.5</v>
      </c>
      <c r="B267" s="8">
        <v>265</v>
      </c>
      <c r="D267">
        <v>777.61190100053</v>
      </c>
      <c r="E267">
        <v>316.12322274882001</v>
      </c>
      <c r="F267">
        <v>128.73915316257001</v>
      </c>
      <c r="G267">
        <v>112.14532148457999</v>
      </c>
      <c r="I267" s="9">
        <f t="shared" si="26"/>
        <v>203.97790126424002</v>
      </c>
      <c r="J267" s="9">
        <f t="shared" si="27"/>
        <v>648.87274783795999</v>
      </c>
      <c r="K267" s="9">
        <f t="shared" si="31"/>
        <v>203.97790126424002</v>
      </c>
      <c r="L267" s="10">
        <f t="shared" si="30"/>
        <v>0.31435732498227598</v>
      </c>
      <c r="M267" s="10">
        <f t="shared" si="28"/>
        <v>0.35191174490149701</v>
      </c>
      <c r="P267" s="8">
        <f t="shared" si="29"/>
        <v>21.263907216886665</v>
      </c>
    </row>
    <row r="268" spans="1:16" x14ac:dyDescent="0.2">
      <c r="A268" s="8">
        <v>133</v>
      </c>
      <c r="B268" s="8">
        <v>266</v>
      </c>
      <c r="D268">
        <v>751.08056872038003</v>
      </c>
      <c r="E268">
        <v>305.97472353871001</v>
      </c>
      <c r="F268">
        <v>128.60271824360001</v>
      </c>
      <c r="G268">
        <v>112.20282279142999</v>
      </c>
      <c r="I268" s="9">
        <f t="shared" si="26"/>
        <v>193.77190074728003</v>
      </c>
      <c r="J268" s="9">
        <f t="shared" si="27"/>
        <v>622.47785047678008</v>
      </c>
      <c r="K268" s="9">
        <f t="shared" si="31"/>
        <v>193.77190074728003</v>
      </c>
      <c r="L268" s="10">
        <f t="shared" si="30"/>
        <v>0.31129123807194514</v>
      </c>
      <c r="M268" s="10">
        <f t="shared" si="28"/>
        <v>0.34898737278331415</v>
      </c>
      <c r="P268" s="8">
        <f t="shared" si="29"/>
        <v>20.256209138192993</v>
      </c>
    </row>
    <row r="269" spans="1:16" x14ac:dyDescent="0.2">
      <c r="A269" s="8">
        <v>133.5</v>
      </c>
      <c r="B269" s="8">
        <v>267</v>
      </c>
      <c r="D269">
        <v>764.89889415482003</v>
      </c>
      <c r="E269">
        <v>306.82885729331002</v>
      </c>
      <c r="F269">
        <v>129.03397804496001</v>
      </c>
      <c r="G269">
        <v>112.37009932044</v>
      </c>
      <c r="I269" s="9">
        <f t="shared" si="26"/>
        <v>194.45875797287002</v>
      </c>
      <c r="J269" s="9">
        <f t="shared" si="27"/>
        <v>635.86491610986002</v>
      </c>
      <c r="K269" s="9">
        <f t="shared" si="31"/>
        <v>194.45875797287002</v>
      </c>
      <c r="L269" s="10">
        <f t="shared" si="30"/>
        <v>0.30581771858485879</v>
      </c>
      <c r="M269" s="10">
        <f t="shared" si="28"/>
        <v>0.34365556808837583</v>
      </c>
      <c r="P269" s="8">
        <f t="shared" si="29"/>
        <v>18.418943178210505</v>
      </c>
    </row>
    <row r="270" spans="1:16" x14ac:dyDescent="0.2">
      <c r="A270" s="8">
        <v>134</v>
      </c>
      <c r="B270" s="8">
        <v>268</v>
      </c>
      <c r="D270">
        <v>747.05845181674999</v>
      </c>
      <c r="E270">
        <v>298.72090573985997</v>
      </c>
      <c r="F270">
        <v>128.36748562467</v>
      </c>
      <c r="G270">
        <v>112.11082070047</v>
      </c>
      <c r="I270" s="9">
        <f t="shared" si="26"/>
        <v>186.61008503938996</v>
      </c>
      <c r="J270" s="9">
        <f t="shared" si="27"/>
        <v>618.69096619207994</v>
      </c>
      <c r="K270" s="9">
        <f t="shared" si="31"/>
        <v>186.61008503938996</v>
      </c>
      <c r="L270" s="10">
        <f t="shared" si="30"/>
        <v>0.30162083372242848</v>
      </c>
      <c r="M270" s="10">
        <f t="shared" si="28"/>
        <v>0.3396003980180935</v>
      </c>
      <c r="P270" s="8">
        <f t="shared" si="29"/>
        <v>17.021587806371304</v>
      </c>
    </row>
    <row r="271" spans="1:16" x14ac:dyDescent="0.2">
      <c r="A271" s="8">
        <v>134.5</v>
      </c>
      <c r="B271" s="8">
        <v>269</v>
      </c>
      <c r="D271">
        <v>726.60938323668995</v>
      </c>
      <c r="E271">
        <v>291.53189246177999</v>
      </c>
      <c r="F271">
        <v>128.21484579195001</v>
      </c>
      <c r="G271">
        <v>112.12807109253001</v>
      </c>
      <c r="I271" s="9">
        <f t="shared" si="26"/>
        <v>179.40382136924998</v>
      </c>
      <c r="J271" s="9">
        <f t="shared" si="27"/>
        <v>598.39453744473997</v>
      </c>
      <c r="K271" s="9">
        <f t="shared" si="31"/>
        <v>179.40382136924998</v>
      </c>
      <c r="L271" s="10">
        <f t="shared" si="30"/>
        <v>0.29980858805185434</v>
      </c>
      <c r="M271" s="10">
        <f t="shared" si="28"/>
        <v>0.33792986713966738</v>
      </c>
      <c r="P271" s="8">
        <f t="shared" si="29"/>
        <v>16.445946031468022</v>
      </c>
    </row>
    <row r="272" spans="1:16" x14ac:dyDescent="0.2">
      <c r="A272" s="8">
        <v>135</v>
      </c>
      <c r="B272" s="8">
        <v>270</v>
      </c>
      <c r="D272">
        <v>718.78342947037004</v>
      </c>
      <c r="E272">
        <v>286.00367068693998</v>
      </c>
      <c r="F272">
        <v>128.79508625195999</v>
      </c>
      <c r="G272">
        <v>111.91583899634</v>
      </c>
      <c r="I272" s="9">
        <f t="shared" si="26"/>
        <v>174.08783169059998</v>
      </c>
      <c r="J272" s="9">
        <f t="shared" si="27"/>
        <v>589.98834321841002</v>
      </c>
      <c r="K272" s="9">
        <f t="shared" si="31"/>
        <v>174.08783169059998</v>
      </c>
      <c r="L272" s="10">
        <f t="shared" si="30"/>
        <v>0.29506995128233193</v>
      </c>
      <c r="M272" s="10">
        <f t="shared" si="28"/>
        <v>0.33333294516229295</v>
      </c>
      <c r="P272" s="8">
        <f t="shared" si="29"/>
        <v>14.861910465097164</v>
      </c>
    </row>
    <row r="273" spans="1:16" x14ac:dyDescent="0.2">
      <c r="A273" s="8">
        <v>135.5</v>
      </c>
      <c r="B273" s="8">
        <v>271</v>
      </c>
      <c r="D273">
        <v>728.03093864709001</v>
      </c>
      <c r="E273">
        <v>287.11064499213001</v>
      </c>
      <c r="F273">
        <v>128.61369576581001</v>
      </c>
      <c r="G273">
        <v>111.89963408259</v>
      </c>
      <c r="I273" s="9">
        <f t="shared" si="26"/>
        <v>175.21101090953999</v>
      </c>
      <c r="J273" s="9">
        <f t="shared" si="27"/>
        <v>599.41724288128</v>
      </c>
      <c r="K273" s="9">
        <f t="shared" si="31"/>
        <v>175.21101090953999</v>
      </c>
      <c r="L273" s="10">
        <f t="shared" si="30"/>
        <v>0.29230225354768802</v>
      </c>
      <c r="M273" s="10">
        <f t="shared" si="28"/>
        <v>0.33070696221979706</v>
      </c>
      <c r="P273" s="8">
        <f t="shared" si="29"/>
        <v>13.957033158484162</v>
      </c>
    </row>
    <row r="274" spans="1:16" x14ac:dyDescent="0.2">
      <c r="A274" s="8">
        <v>136</v>
      </c>
      <c r="B274" s="8">
        <v>272</v>
      </c>
      <c r="D274">
        <v>753.88201363398002</v>
      </c>
      <c r="E274">
        <v>293.02726796015003</v>
      </c>
      <c r="F274">
        <v>128.73235755357999</v>
      </c>
      <c r="G274">
        <v>112.02979613173</v>
      </c>
      <c r="I274" s="9">
        <f t="shared" si="26"/>
        <v>180.99747182842003</v>
      </c>
      <c r="J274" s="9">
        <f t="shared" si="27"/>
        <v>625.14965608040006</v>
      </c>
      <c r="K274" s="9">
        <f t="shared" si="31"/>
        <v>180.99747182842003</v>
      </c>
      <c r="L274" s="10">
        <f t="shared" si="30"/>
        <v>0.28952662785299854</v>
      </c>
      <c r="M274" s="10">
        <f t="shared" si="28"/>
        <v>0.32807305131725562</v>
      </c>
      <c r="P274" s="8">
        <f t="shared" si="29"/>
        <v>13.049423986779097</v>
      </c>
    </row>
    <row r="275" spans="1:16" x14ac:dyDescent="0.2">
      <c r="A275" s="8">
        <v>136.5</v>
      </c>
      <c r="B275" s="8">
        <v>273</v>
      </c>
      <c r="D275">
        <v>770.47666491871996</v>
      </c>
      <c r="E275">
        <v>297.77084425800001</v>
      </c>
      <c r="F275">
        <v>128.87349712494</v>
      </c>
      <c r="G275">
        <v>112.49973863042</v>
      </c>
      <c r="I275" s="9">
        <f>E275-G275</f>
        <v>185.27110562758003</v>
      </c>
      <c r="J275" s="9">
        <f>D275-F275</f>
        <v>641.6031677937799</v>
      </c>
      <c r="K275" s="9">
        <f t="shared" si="31"/>
        <v>185.27110562758003</v>
      </c>
      <c r="L275" s="10">
        <f t="shared" si="30"/>
        <v>0.28876276634458375</v>
      </c>
      <c r="M275" s="10">
        <f>L275+ABS($N$2)*A275</f>
        <v>0.3274509046009888</v>
      </c>
      <c r="O275" s="11"/>
      <c r="P275" s="8">
        <f>(M275-$O$2)/$O$2*100</f>
        <v>12.835040855867147</v>
      </c>
    </row>
    <row r="276" spans="1:16" x14ac:dyDescent="0.2">
      <c r="A276" s="8">
        <v>137</v>
      </c>
      <c r="B276" s="8">
        <v>274</v>
      </c>
      <c r="D276">
        <v>782.04352385947004</v>
      </c>
      <c r="E276">
        <v>299.87257472469997</v>
      </c>
      <c r="F276">
        <v>128.41923680084</v>
      </c>
      <c r="G276">
        <v>112.02247778359001</v>
      </c>
      <c r="I276" s="9">
        <f t="shared" ref="I276:I291" si="32">E276-G276</f>
        <v>187.85009694110997</v>
      </c>
      <c r="J276" s="9">
        <f t="shared" ref="J276:J291" si="33">D276-F276</f>
        <v>653.62428705862999</v>
      </c>
      <c r="K276" s="9">
        <f t="shared" si="31"/>
        <v>187.85009694110997</v>
      </c>
      <c r="L276" s="10">
        <f t="shared" si="30"/>
        <v>0.28739766967113917</v>
      </c>
      <c r="M276" s="10">
        <f t="shared" ref="M276:M291" si="34">L276+ABS($N$2)*A276</f>
        <v>0.32622752271969224</v>
      </c>
      <c r="P276" s="8">
        <f t="shared" ref="P276:P291" si="35">(M276-$O$2)/$O$2*100</f>
        <v>12.413480424612173</v>
      </c>
    </row>
    <row r="277" spans="1:16" x14ac:dyDescent="0.2">
      <c r="A277" s="8">
        <v>137.5</v>
      </c>
      <c r="B277" s="8">
        <v>275</v>
      </c>
      <c r="D277">
        <v>787.30571578394995</v>
      </c>
      <c r="E277">
        <v>301.03093864709001</v>
      </c>
      <c r="F277">
        <v>129.04809200208999</v>
      </c>
      <c r="G277">
        <v>112.20543648719</v>
      </c>
      <c r="I277" s="9">
        <f t="shared" si="32"/>
        <v>188.8255021599</v>
      </c>
      <c r="J277" s="9">
        <f t="shared" si="33"/>
        <v>658.25762378185993</v>
      </c>
      <c r="K277" s="9">
        <f t="shared" si="31"/>
        <v>188.8255021599</v>
      </c>
      <c r="L277" s="10">
        <f t="shared" si="30"/>
        <v>0.28685653661715116</v>
      </c>
      <c r="M277" s="10">
        <f t="shared" si="34"/>
        <v>0.32582810445785221</v>
      </c>
      <c r="N277" s="1"/>
      <c r="P277" s="8">
        <f t="shared" si="35"/>
        <v>12.275846430446794</v>
      </c>
    </row>
    <row r="278" spans="1:16" x14ac:dyDescent="0.2">
      <c r="A278" s="8">
        <v>138</v>
      </c>
      <c r="B278" s="8">
        <v>276</v>
      </c>
      <c r="D278">
        <v>761.83525708289994</v>
      </c>
      <c r="E278">
        <v>292.76967471144002</v>
      </c>
      <c r="F278">
        <v>128.71667537899</v>
      </c>
      <c r="G278">
        <v>111.99843178254</v>
      </c>
      <c r="I278" s="9">
        <f t="shared" si="32"/>
        <v>180.77124292890002</v>
      </c>
      <c r="J278" s="9">
        <f t="shared" si="33"/>
        <v>633.11858170390997</v>
      </c>
      <c r="K278" s="9">
        <f t="shared" si="31"/>
        <v>180.77124292890002</v>
      </c>
      <c r="L278" s="10">
        <f t="shared" si="30"/>
        <v>0.28552509459190245</v>
      </c>
      <c r="M278" s="10">
        <f t="shared" si="34"/>
        <v>0.32463837722475153</v>
      </c>
      <c r="P278" s="8">
        <f t="shared" si="35"/>
        <v>11.865882924260021</v>
      </c>
    </row>
    <row r="279" spans="1:16" x14ac:dyDescent="0.2">
      <c r="A279" s="8">
        <v>138.5</v>
      </c>
      <c r="B279" s="8">
        <v>277</v>
      </c>
      <c r="D279">
        <v>773.45540398741002</v>
      </c>
      <c r="E279">
        <v>295.55718782791001</v>
      </c>
      <c r="F279">
        <v>128.41191845269</v>
      </c>
      <c r="G279">
        <v>112.13434396236001</v>
      </c>
      <c r="I279" s="9">
        <f t="shared" si="32"/>
        <v>183.42284386555002</v>
      </c>
      <c r="J279" s="9">
        <f t="shared" si="33"/>
        <v>645.04348553472005</v>
      </c>
      <c r="K279" s="9">
        <f t="shared" si="31"/>
        <v>183.42284386555002</v>
      </c>
      <c r="L279" s="10">
        <f t="shared" si="30"/>
        <v>0.28435733090692089</v>
      </c>
      <c r="M279" s="10">
        <f t="shared" si="34"/>
        <v>0.32361232833191794</v>
      </c>
      <c r="P279" s="8">
        <f t="shared" si="35"/>
        <v>11.512320704347784</v>
      </c>
    </row>
    <row r="280" spans="1:16" x14ac:dyDescent="0.2">
      <c r="A280" s="8">
        <v>139</v>
      </c>
      <c r="B280" s="8">
        <v>278</v>
      </c>
      <c r="D280">
        <v>753.38255386232004</v>
      </c>
      <c r="E280">
        <v>291.25328428797002</v>
      </c>
      <c r="F280">
        <v>128.69001568217999</v>
      </c>
      <c r="G280">
        <v>112.03815995818</v>
      </c>
      <c r="I280" s="9">
        <f t="shared" si="32"/>
        <v>179.21512432979</v>
      </c>
      <c r="J280" s="9">
        <f t="shared" si="33"/>
        <v>624.69253818013999</v>
      </c>
      <c r="K280" s="9">
        <f t="shared" si="31"/>
        <v>179.21512432979</v>
      </c>
      <c r="L280" s="10">
        <f t="shared" si="30"/>
        <v>0.28688532898420899</v>
      </c>
      <c r="M280" s="10">
        <f t="shared" si="34"/>
        <v>0.32628204120135407</v>
      </c>
      <c r="P280" s="8">
        <f t="shared" si="35"/>
        <v>12.43226673736708</v>
      </c>
    </row>
    <row r="281" spans="1:16" x14ac:dyDescent="0.2">
      <c r="A281" s="8">
        <v>139.5</v>
      </c>
      <c r="B281" s="8">
        <v>279</v>
      </c>
      <c r="D281">
        <v>763.53179190751996</v>
      </c>
      <c r="E281">
        <v>292.32580136626001</v>
      </c>
      <c r="F281">
        <v>128.57553580762999</v>
      </c>
      <c r="G281">
        <v>111.97490852065</v>
      </c>
      <c r="I281" s="9">
        <f t="shared" si="32"/>
        <v>180.35089284561002</v>
      </c>
      <c r="J281" s="9">
        <f t="shared" si="33"/>
        <v>634.95625609988997</v>
      </c>
      <c r="K281" s="9">
        <f t="shared" si="31"/>
        <v>180.35089284561002</v>
      </c>
      <c r="L281" s="10">
        <f t="shared" si="30"/>
        <v>0.28403672081819381</v>
      </c>
      <c r="M281" s="10">
        <f t="shared" si="34"/>
        <v>0.32357514782748686</v>
      </c>
      <c r="P281" s="8">
        <f t="shared" si="35"/>
        <v>11.499508818115146</v>
      </c>
    </row>
    <row r="282" spans="1:16" x14ac:dyDescent="0.2">
      <c r="A282" s="8">
        <v>140</v>
      </c>
      <c r="B282" s="8">
        <v>280</v>
      </c>
      <c r="D282">
        <v>756.08716075156997</v>
      </c>
      <c r="E282">
        <v>286.69937369519999</v>
      </c>
      <c r="F282">
        <v>128.19811813905</v>
      </c>
      <c r="G282">
        <v>112.20700470465</v>
      </c>
      <c r="I282" s="9">
        <f t="shared" si="32"/>
        <v>174.49236899055001</v>
      </c>
      <c r="J282" s="9">
        <f t="shared" si="33"/>
        <v>627.88904261251992</v>
      </c>
      <c r="K282" s="9">
        <f t="shared" si="31"/>
        <v>174.49236899055001</v>
      </c>
      <c r="L282" s="10">
        <f t="shared" si="30"/>
        <v>0.27790319172400652</v>
      </c>
      <c r="M282" s="10">
        <f t="shared" si="34"/>
        <v>0.3175833335254476</v>
      </c>
      <c r="P282" s="8">
        <f t="shared" si="35"/>
        <v>9.4348127000964563</v>
      </c>
    </row>
    <row r="283" spans="1:16" x14ac:dyDescent="0.2">
      <c r="A283" s="8">
        <v>140.5</v>
      </c>
      <c r="B283" s="8">
        <v>281</v>
      </c>
      <c r="D283">
        <v>766.87232933819996</v>
      </c>
      <c r="E283">
        <v>288.10474205315001</v>
      </c>
      <c r="F283">
        <v>128.55619445897</v>
      </c>
      <c r="G283">
        <v>112.22164140094</v>
      </c>
      <c r="I283" s="9">
        <f t="shared" si="32"/>
        <v>175.88310065221</v>
      </c>
      <c r="J283" s="9">
        <f t="shared" si="33"/>
        <v>638.31613487922993</v>
      </c>
      <c r="K283" s="9">
        <f t="shared" si="31"/>
        <v>175.88310065221</v>
      </c>
      <c r="L283" s="10">
        <f t="shared" si="30"/>
        <v>0.27554230739520202</v>
      </c>
      <c r="M283" s="10">
        <f t="shared" si="34"/>
        <v>0.31536416398879108</v>
      </c>
      <c r="P283" s="8">
        <f t="shared" si="35"/>
        <v>8.6701176517201031</v>
      </c>
    </row>
    <row r="284" spans="1:16" x14ac:dyDescent="0.2">
      <c r="A284" s="8">
        <v>141</v>
      </c>
      <c r="B284" s="8">
        <v>282</v>
      </c>
      <c r="D284">
        <v>766.55237102657998</v>
      </c>
      <c r="E284">
        <v>285.51380927565998</v>
      </c>
      <c r="F284">
        <v>128.86983795085999</v>
      </c>
      <c r="G284">
        <v>112.06272869838</v>
      </c>
      <c r="I284" s="9">
        <f t="shared" si="32"/>
        <v>173.45108057727998</v>
      </c>
      <c r="J284" s="9">
        <f t="shared" si="33"/>
        <v>637.68253307572002</v>
      </c>
      <c r="K284" s="9">
        <f t="shared" si="31"/>
        <v>173.45108057727998</v>
      </c>
      <c r="L284" s="10">
        <f t="shared" si="30"/>
        <v>0.27200224497396414</v>
      </c>
      <c r="M284" s="10">
        <f t="shared" si="34"/>
        <v>0.31196581635970122</v>
      </c>
      <c r="P284" s="8">
        <f t="shared" si="35"/>
        <v>7.4990941847425256</v>
      </c>
    </row>
    <row r="285" spans="1:16" x14ac:dyDescent="0.2">
      <c r="A285" s="8">
        <v>141.5</v>
      </c>
      <c r="B285" s="8">
        <v>283</v>
      </c>
      <c r="D285">
        <v>767.61281917665997</v>
      </c>
      <c r="E285">
        <v>289.24596143824999</v>
      </c>
      <c r="F285">
        <v>128.42707788812999</v>
      </c>
      <c r="G285">
        <v>112.0993204391</v>
      </c>
      <c r="I285" s="9">
        <f t="shared" si="32"/>
        <v>177.14664099915001</v>
      </c>
      <c r="J285" s="9">
        <f t="shared" si="33"/>
        <v>639.18574128852993</v>
      </c>
      <c r="K285" s="9">
        <f t="shared" si="31"/>
        <v>177.14664099915001</v>
      </c>
      <c r="L285" s="10">
        <f t="shared" si="30"/>
        <v>0.27714423141236127</v>
      </c>
      <c r="M285" s="10">
        <f t="shared" si="34"/>
        <v>0.31724951759024639</v>
      </c>
      <c r="P285" s="8">
        <f t="shared" si="35"/>
        <v>9.3197843579617317</v>
      </c>
    </row>
    <row r="286" spans="1:16" x14ac:dyDescent="0.2">
      <c r="A286" s="8">
        <v>142</v>
      </c>
      <c r="B286" s="8">
        <v>284</v>
      </c>
      <c r="D286">
        <v>773.11047420531997</v>
      </c>
      <c r="E286">
        <v>289.88327253777999</v>
      </c>
      <c r="F286">
        <v>128.20543648719001</v>
      </c>
      <c r="G286">
        <v>112.00418191323</v>
      </c>
      <c r="I286" s="9">
        <f t="shared" si="32"/>
        <v>177.87909062454997</v>
      </c>
      <c r="J286" s="9">
        <f t="shared" si="33"/>
        <v>644.90503771812996</v>
      </c>
      <c r="K286" s="9">
        <f t="shared" si="31"/>
        <v>177.87909062454997</v>
      </c>
      <c r="L286" s="10">
        <f t="shared" si="30"/>
        <v>0.27582214468961236</v>
      </c>
      <c r="M286" s="10">
        <f t="shared" si="34"/>
        <v>0.31606914565964545</v>
      </c>
      <c r="P286" s="8">
        <f t="shared" si="35"/>
        <v>8.9130445592832999</v>
      </c>
    </row>
    <row r="287" spans="1:16" x14ac:dyDescent="0.2">
      <c r="A287" s="8">
        <v>142.5</v>
      </c>
      <c r="B287" s="8">
        <v>285</v>
      </c>
      <c r="D287">
        <v>770.78843147473003</v>
      </c>
      <c r="E287">
        <v>287.38092756643999</v>
      </c>
      <c r="F287">
        <v>128.68740198641001</v>
      </c>
      <c r="G287">
        <v>112.35284892839</v>
      </c>
      <c r="I287" s="9">
        <f t="shared" si="32"/>
        <v>175.02807863804998</v>
      </c>
      <c r="J287" s="9">
        <f t="shared" si="33"/>
        <v>642.10102948832002</v>
      </c>
      <c r="K287" s="9">
        <f t="shared" si="31"/>
        <v>175.02807863804998</v>
      </c>
      <c r="L287" s="10">
        <f t="shared" si="30"/>
        <v>0.27258650991032835</v>
      </c>
      <c r="M287" s="10">
        <f t="shared" si="34"/>
        <v>0.31297522567250946</v>
      </c>
      <c r="P287" s="8">
        <f t="shared" si="35"/>
        <v>7.8469226361245674</v>
      </c>
    </row>
    <row r="288" spans="1:16" x14ac:dyDescent="0.2">
      <c r="A288" s="8">
        <v>143</v>
      </c>
      <c r="B288" s="8">
        <v>286</v>
      </c>
      <c r="D288">
        <v>764.76029181865999</v>
      </c>
      <c r="E288">
        <v>285.99843668577</v>
      </c>
      <c r="F288">
        <v>128.66335598536</v>
      </c>
      <c r="G288">
        <v>111.91322530058</v>
      </c>
      <c r="I288" s="9">
        <f t="shared" si="32"/>
        <v>174.08521138519001</v>
      </c>
      <c r="J288" s="9">
        <f t="shared" si="33"/>
        <v>636.09693583329999</v>
      </c>
      <c r="K288" s="9">
        <f t="shared" si="31"/>
        <v>174.08521138519001</v>
      </c>
      <c r="L288" s="10">
        <f t="shared" si="30"/>
        <v>0.27367717336530606</v>
      </c>
      <c r="M288" s="10">
        <f t="shared" si="34"/>
        <v>0.31420760391963515</v>
      </c>
      <c r="P288" s="8">
        <f t="shared" si="35"/>
        <v>8.27158309028869</v>
      </c>
    </row>
    <row r="289" spans="1:16" x14ac:dyDescent="0.2">
      <c r="A289" s="8">
        <v>143.5</v>
      </c>
      <c r="B289" s="8">
        <v>287</v>
      </c>
      <c r="D289">
        <v>762.26472120896005</v>
      </c>
      <c r="E289">
        <v>282.84158415842001</v>
      </c>
      <c r="F289">
        <v>128.67171981180999</v>
      </c>
      <c r="G289">
        <v>112.09566126503</v>
      </c>
      <c r="I289" s="9">
        <f t="shared" si="32"/>
        <v>170.74592289339</v>
      </c>
      <c r="J289" s="9">
        <f t="shared" si="33"/>
        <v>633.59300139715003</v>
      </c>
      <c r="K289" s="9">
        <f t="shared" si="31"/>
        <v>170.74592289339</v>
      </c>
      <c r="L289" s="10">
        <f t="shared" si="30"/>
        <v>0.2694883348093719</v>
      </c>
      <c r="M289" s="10">
        <f t="shared" si="34"/>
        <v>0.31016048015584902</v>
      </c>
      <c r="P289" s="8">
        <f t="shared" si="35"/>
        <v>6.8770003640872988</v>
      </c>
    </row>
    <row r="290" spans="1:16" x14ac:dyDescent="0.2">
      <c r="A290" s="8">
        <v>144</v>
      </c>
      <c r="B290" s="8">
        <v>288</v>
      </c>
      <c r="D290">
        <v>751.93486190724002</v>
      </c>
      <c r="E290">
        <v>276.26889004690003</v>
      </c>
      <c r="F290">
        <v>128.60271824360001</v>
      </c>
      <c r="G290">
        <v>112.05227391532</v>
      </c>
      <c r="I290" s="9">
        <f t="shared" si="32"/>
        <v>164.21661613158003</v>
      </c>
      <c r="J290" s="9">
        <f t="shared" si="33"/>
        <v>623.33214366363995</v>
      </c>
      <c r="K290" s="9">
        <f t="shared" si="31"/>
        <v>164.21661613158003</v>
      </c>
      <c r="L290" s="10">
        <f t="shared" si="30"/>
        <v>0.26344961959830193</v>
      </c>
      <c r="M290" s="10">
        <f t="shared" si="34"/>
        <v>0.30426347973692702</v>
      </c>
      <c r="P290" s="8">
        <f t="shared" si="35"/>
        <v>4.8449757953754506</v>
      </c>
    </row>
    <row r="291" spans="1:16" x14ac:dyDescent="0.2">
      <c r="A291" s="8">
        <v>144.5</v>
      </c>
      <c r="B291" s="8">
        <v>289</v>
      </c>
      <c r="D291">
        <v>760.57842626367994</v>
      </c>
      <c r="E291">
        <v>276.88692027096999</v>
      </c>
      <c r="F291">
        <v>128.40512284370001</v>
      </c>
      <c r="G291">
        <v>112.20491374804</v>
      </c>
      <c r="I291" s="9">
        <f t="shared" si="32"/>
        <v>164.68200652293001</v>
      </c>
      <c r="J291" s="9">
        <f t="shared" si="33"/>
        <v>632.1733034199799</v>
      </c>
      <c r="K291" s="9">
        <f t="shared" si="31"/>
        <v>164.68200652293001</v>
      </c>
      <c r="L291" s="10">
        <f t="shared" si="30"/>
        <v>0.26050136193986773</v>
      </c>
      <c r="M291" s="10">
        <f t="shared" si="34"/>
        <v>0.30145693687064085</v>
      </c>
      <c r="P291" s="8">
        <f t="shared" si="35"/>
        <v>3.8778800429082971</v>
      </c>
    </row>
    <row r="292" spans="1:16" x14ac:dyDescent="0.2">
      <c r="A292" s="8">
        <v>145</v>
      </c>
      <c r="B292" s="8">
        <v>290</v>
      </c>
      <c r="D292">
        <v>772.03178738926999</v>
      </c>
      <c r="E292">
        <v>280.29650859822999</v>
      </c>
      <c r="F292">
        <v>128.80763199163999</v>
      </c>
      <c r="G292">
        <v>112.058024046</v>
      </c>
      <c r="I292" s="9">
        <f>E292-G292</f>
        <v>168.23848455222998</v>
      </c>
      <c r="J292" s="9">
        <f>D292-F292</f>
        <v>643.22415539763006</v>
      </c>
      <c r="K292" s="9">
        <f t="shared" si="31"/>
        <v>168.23848455222998</v>
      </c>
      <c r="L292" s="10">
        <f t="shared" si="30"/>
        <v>0.26155498536622562</v>
      </c>
      <c r="M292" s="10">
        <f>L292+ABS($N$2)*A292</f>
        <v>0.30265227508914672</v>
      </c>
      <c r="O292" s="11"/>
      <c r="P292" s="8">
        <f>(M292-$O$2)/$O$2*100</f>
        <v>4.289777016856319</v>
      </c>
    </row>
    <row r="293" spans="1:16" x14ac:dyDescent="0.2">
      <c r="A293" s="8">
        <v>145.5</v>
      </c>
      <c r="B293" s="8">
        <v>291</v>
      </c>
      <c r="D293">
        <v>781.92496091713997</v>
      </c>
      <c r="E293">
        <v>283.46326211568999</v>
      </c>
      <c r="F293">
        <v>128.4218504966</v>
      </c>
      <c r="G293">
        <v>111.99163617355001</v>
      </c>
      <c r="I293" s="9">
        <f t="shared" ref="I293:I301" si="36">E293-G293</f>
        <v>171.47162594213998</v>
      </c>
      <c r="J293" s="9">
        <f t="shared" ref="J293:J301" si="37">D293-F293</f>
        <v>653.50311042054</v>
      </c>
      <c r="K293" s="9">
        <f t="shared" si="31"/>
        <v>171.47162594213998</v>
      </c>
      <c r="L293" s="10">
        <f t="shared" si="30"/>
        <v>0.26238838531586356</v>
      </c>
      <c r="M293" s="10">
        <f t="shared" ref="M293:M301" si="38">L293+ABS($N$2)*A293</f>
        <v>0.30362738983093268</v>
      </c>
      <c r="P293" s="8">
        <f t="shared" ref="P293:P301" si="39">(M293-$O$2)/$O$2*100</f>
        <v>4.6257880346382052</v>
      </c>
    </row>
    <row r="294" spans="1:16" x14ac:dyDescent="0.2">
      <c r="A294" s="8">
        <v>146</v>
      </c>
      <c r="B294" s="8">
        <v>292</v>
      </c>
      <c r="D294">
        <v>772.42730588847996</v>
      </c>
      <c r="E294">
        <v>278.73215216259001</v>
      </c>
      <c r="F294">
        <v>128.53528489284</v>
      </c>
      <c r="G294">
        <v>112.06743335076</v>
      </c>
      <c r="I294" s="9">
        <f t="shared" si="36"/>
        <v>166.66471881183003</v>
      </c>
      <c r="J294" s="9">
        <f t="shared" si="37"/>
        <v>643.89202099564</v>
      </c>
      <c r="K294" s="9">
        <f t="shared" si="31"/>
        <v>166.66471881183003</v>
      </c>
      <c r="L294" s="10">
        <f t="shared" si="30"/>
        <v>0.25883954665895537</v>
      </c>
      <c r="M294" s="10">
        <f t="shared" si="38"/>
        <v>0.30022026596617246</v>
      </c>
      <c r="N294" s="1"/>
      <c r="P294" s="8">
        <f t="shared" si="39"/>
        <v>3.4517403985515753</v>
      </c>
    </row>
    <row r="295" spans="1:16" x14ac:dyDescent="0.2">
      <c r="A295" s="8">
        <v>146.5</v>
      </c>
      <c r="B295" s="8">
        <v>293</v>
      </c>
      <c r="D295">
        <v>772.80667014070002</v>
      </c>
      <c r="E295">
        <v>277.69254820218998</v>
      </c>
      <c r="F295">
        <v>128.38264506012001</v>
      </c>
      <c r="G295">
        <v>112.14270778881</v>
      </c>
      <c r="I295" s="9">
        <f t="shared" si="36"/>
        <v>165.54984041337997</v>
      </c>
      <c r="J295" s="9">
        <f t="shared" si="37"/>
        <v>644.42402508058001</v>
      </c>
      <c r="K295" s="9">
        <f t="shared" si="31"/>
        <v>165.54984041337997</v>
      </c>
      <c r="L295" s="10">
        <f t="shared" si="30"/>
        <v>0.25689582320069354</v>
      </c>
      <c r="M295" s="10">
        <f t="shared" si="38"/>
        <v>0.29841825730005866</v>
      </c>
      <c r="P295" s="8">
        <f t="shared" si="39"/>
        <v>2.8307932012569403</v>
      </c>
    </row>
    <row r="296" spans="1:16" x14ac:dyDescent="0.2">
      <c r="A296" s="8">
        <v>147</v>
      </c>
      <c r="B296" s="8">
        <v>294</v>
      </c>
      <c r="D296">
        <v>780.45961438249003</v>
      </c>
      <c r="E296">
        <v>278.95310057322001</v>
      </c>
      <c r="F296">
        <v>128.72347098797999</v>
      </c>
      <c r="G296">
        <v>112.08938839519</v>
      </c>
      <c r="I296" s="9">
        <f t="shared" si="36"/>
        <v>166.86371217803003</v>
      </c>
      <c r="J296" s="9">
        <f t="shared" si="37"/>
        <v>651.73614339451001</v>
      </c>
      <c r="K296" s="9">
        <f t="shared" si="31"/>
        <v>166.86371217803003</v>
      </c>
      <c r="L296" s="10">
        <f t="shared" si="30"/>
        <v>0.25602955102188313</v>
      </c>
      <c r="M296" s="10">
        <f t="shared" si="38"/>
        <v>0.29769369991339628</v>
      </c>
      <c r="P296" s="8">
        <f t="shared" si="39"/>
        <v>2.5811207734892037</v>
      </c>
    </row>
    <row r="297" spans="1:16" x14ac:dyDescent="0.2">
      <c r="A297" s="8">
        <v>147.5</v>
      </c>
      <c r="B297" s="8">
        <v>295</v>
      </c>
      <c r="D297">
        <v>785.71078686815997</v>
      </c>
      <c r="E297">
        <v>281.55549765503002</v>
      </c>
      <c r="F297">
        <v>128.29534762154</v>
      </c>
      <c r="G297">
        <v>111.83795086252</v>
      </c>
      <c r="I297" s="9">
        <f t="shared" si="36"/>
        <v>169.71754679251001</v>
      </c>
      <c r="J297" s="9">
        <f t="shared" si="37"/>
        <v>657.41543924661994</v>
      </c>
      <c r="K297" s="9">
        <f t="shared" si="31"/>
        <v>169.71754679251001</v>
      </c>
      <c r="L297" s="10">
        <f t="shared" si="30"/>
        <v>0.25815874812280293</v>
      </c>
      <c r="M297" s="10">
        <f t="shared" si="38"/>
        <v>0.29996461180646405</v>
      </c>
      <c r="P297" s="8">
        <f t="shared" si="39"/>
        <v>3.3636455203565641</v>
      </c>
    </row>
    <row r="298" spans="1:16" x14ac:dyDescent="0.2">
      <c r="A298" s="8">
        <v>148</v>
      </c>
      <c r="B298" s="8">
        <v>296</v>
      </c>
      <c r="D298">
        <v>759.23658155289002</v>
      </c>
      <c r="E298">
        <v>272.10734757685998</v>
      </c>
      <c r="F298">
        <v>128.67224255097</v>
      </c>
      <c r="G298">
        <v>112.01777313121001</v>
      </c>
      <c r="I298" s="9">
        <f t="shared" si="36"/>
        <v>160.08957444564999</v>
      </c>
      <c r="J298" s="9">
        <f t="shared" si="37"/>
        <v>630.56433900191996</v>
      </c>
      <c r="K298" s="9">
        <f t="shared" si="31"/>
        <v>160.08957444564999</v>
      </c>
      <c r="L298" s="10">
        <f t="shared" si="30"/>
        <v>0.25388301326878959</v>
      </c>
      <c r="M298" s="10">
        <f t="shared" si="38"/>
        <v>0.29583059174459875</v>
      </c>
      <c r="P298" s="8">
        <f t="shared" si="39"/>
        <v>1.939119534856697</v>
      </c>
    </row>
    <row r="299" spans="1:16" x14ac:dyDescent="0.2">
      <c r="A299" s="8">
        <v>148.5</v>
      </c>
      <c r="B299" s="8">
        <v>297</v>
      </c>
      <c r="D299">
        <v>758.09015112038003</v>
      </c>
      <c r="E299">
        <v>270.63887441375999</v>
      </c>
      <c r="F299">
        <v>127.94772608468</v>
      </c>
      <c r="G299">
        <v>112.04547830633</v>
      </c>
      <c r="I299" s="9">
        <f t="shared" si="36"/>
        <v>158.59339610743001</v>
      </c>
      <c r="J299" s="9">
        <f t="shared" si="37"/>
        <v>630.14242503570006</v>
      </c>
      <c r="K299" s="9">
        <f t="shared" si="31"/>
        <v>158.59339610743001</v>
      </c>
      <c r="L299" s="10">
        <f t="shared" si="30"/>
        <v>0.25167865201021034</v>
      </c>
      <c r="M299" s="10">
        <f t="shared" si="38"/>
        <v>0.29376794527816746</v>
      </c>
      <c r="P299" s="8">
        <f t="shared" si="39"/>
        <v>1.2283601659229486</v>
      </c>
    </row>
    <row r="300" spans="1:16" x14ac:dyDescent="0.2">
      <c r="A300" s="8">
        <v>149</v>
      </c>
      <c r="B300" s="8">
        <v>298</v>
      </c>
      <c r="D300">
        <v>774.64304325168996</v>
      </c>
      <c r="E300">
        <v>275.82855653987002</v>
      </c>
      <c r="F300">
        <v>128.36539466805999</v>
      </c>
      <c r="G300">
        <v>112.19445896498</v>
      </c>
      <c r="I300" s="9">
        <f t="shared" si="36"/>
        <v>163.63409757489001</v>
      </c>
      <c r="J300" s="9">
        <f t="shared" si="37"/>
        <v>646.27764858363003</v>
      </c>
      <c r="K300" s="9">
        <f t="shared" si="31"/>
        <v>163.63409757489001</v>
      </c>
      <c r="L300" s="10">
        <f t="shared" si="30"/>
        <v>0.25319473438932544</v>
      </c>
      <c r="M300" s="10">
        <f t="shared" si="38"/>
        <v>0.2954257424494306</v>
      </c>
      <c r="P300" s="8">
        <f t="shared" si="39"/>
        <v>1.7996140819203805</v>
      </c>
    </row>
    <row r="301" spans="1:16" x14ac:dyDescent="0.2">
      <c r="A301" s="8">
        <v>149.5</v>
      </c>
      <c r="B301" s="8">
        <v>299</v>
      </c>
      <c r="D301">
        <v>758.56977964323005</v>
      </c>
      <c r="E301">
        <v>271.81322140609001</v>
      </c>
      <c r="F301">
        <v>128.46785154208001</v>
      </c>
      <c r="G301">
        <v>112.18661787768001</v>
      </c>
      <c r="I301" s="9">
        <f t="shared" si="36"/>
        <v>159.62660352840999</v>
      </c>
      <c r="J301" s="9">
        <f t="shared" si="37"/>
        <v>630.10192810115007</v>
      </c>
      <c r="K301" s="9">
        <f t="shared" si="31"/>
        <v>159.62660352840999</v>
      </c>
      <c r="L301" s="10">
        <f t="shared" si="30"/>
        <v>0.25333457399416998</v>
      </c>
      <c r="M301" s="10">
        <f t="shared" si="38"/>
        <v>0.29570729684642311</v>
      </c>
      <c r="P301" s="8">
        <f t="shared" si="39"/>
        <v>1.8966338227163666</v>
      </c>
    </row>
    <row r="302" spans="1:16" x14ac:dyDescent="0.2">
      <c r="A302" s="8">
        <v>150</v>
      </c>
      <c r="B302" s="8">
        <v>300</v>
      </c>
      <c r="D302">
        <v>754.08625196027003</v>
      </c>
      <c r="E302">
        <v>268.89702038682998</v>
      </c>
      <c r="F302">
        <v>128.53319393622999</v>
      </c>
      <c r="G302">
        <v>111.91217982227001</v>
      </c>
      <c r="I302" s="9">
        <f>E302-G302</f>
        <v>156.98484056455999</v>
      </c>
      <c r="J302" s="9">
        <f>D302-F302</f>
        <v>625.55305802404007</v>
      </c>
      <c r="K302" s="9">
        <f t="shared" si="31"/>
        <v>156.98484056455999</v>
      </c>
      <c r="L302" s="10">
        <f t="shared" si="30"/>
        <v>0.25095367779103245</v>
      </c>
      <c r="M302" s="10">
        <f>L302+ABS($N$2)*A302</f>
        <v>0.29346811543543361</v>
      </c>
      <c r="O302" s="11"/>
      <c r="P302" s="8">
        <f>(M302-$O$2)/$O$2*100</f>
        <v>1.1250429599561256</v>
      </c>
    </row>
    <row r="303" spans="1:16" x14ac:dyDescent="0.2">
      <c r="A303" s="8">
        <v>150.5</v>
      </c>
      <c r="B303" s="8">
        <v>301</v>
      </c>
      <c r="D303">
        <v>750.69053842132996</v>
      </c>
      <c r="E303">
        <v>267.15525352848999</v>
      </c>
      <c r="F303">
        <v>128.62937794041</v>
      </c>
      <c r="G303">
        <v>112.1975953999</v>
      </c>
      <c r="I303" s="9">
        <f t="shared" ref="I303:I309" si="40">E303-G303</f>
        <v>154.95765812859</v>
      </c>
      <c r="J303" s="9">
        <f t="shared" ref="J303:J309" si="41">D303-F303</f>
        <v>622.06116048091997</v>
      </c>
      <c r="K303" s="9">
        <f t="shared" si="31"/>
        <v>154.95765812859</v>
      </c>
      <c r="L303" s="10">
        <f t="shared" si="30"/>
        <v>0.24910357368846356</v>
      </c>
      <c r="M303" s="10">
        <f t="shared" ref="M303:M309" si="42">L303+ABS($N$2)*A303</f>
        <v>0.29175972612501272</v>
      </c>
      <c r="P303" s="8">
        <f t="shared" ref="P303:P309" si="43">(M303-$O$2)/$O$2*100</f>
        <v>0.53635569438280106</v>
      </c>
    </row>
    <row r="304" spans="1:16" x14ac:dyDescent="0.2">
      <c r="A304" s="8">
        <v>151</v>
      </c>
      <c r="B304" s="8">
        <v>302</v>
      </c>
      <c r="D304">
        <v>760.89487447699003</v>
      </c>
      <c r="E304">
        <v>269.08682008367998</v>
      </c>
      <c r="F304">
        <v>128.31573444851</v>
      </c>
      <c r="G304">
        <v>111.94615786721999</v>
      </c>
      <c r="I304" s="9">
        <f t="shared" si="40"/>
        <v>157.14066221645999</v>
      </c>
      <c r="J304" s="9">
        <f t="shared" si="41"/>
        <v>632.57914002847997</v>
      </c>
      <c r="K304" s="9">
        <f t="shared" si="31"/>
        <v>157.14066221645999</v>
      </c>
      <c r="L304" s="10">
        <f t="shared" si="30"/>
        <v>0.24841265269889426</v>
      </c>
      <c r="M304" s="10">
        <f t="shared" si="42"/>
        <v>0.29121051992759139</v>
      </c>
      <c r="N304" s="1"/>
      <c r="P304" s="8">
        <f t="shared" si="43"/>
        <v>0.34710685477478981</v>
      </c>
    </row>
    <row r="305" spans="1:16" x14ac:dyDescent="0.2">
      <c r="A305" s="8">
        <v>151.5</v>
      </c>
      <c r="B305" s="8">
        <v>303</v>
      </c>
      <c r="D305">
        <v>754.69560669455996</v>
      </c>
      <c r="E305">
        <v>267.54811715480997</v>
      </c>
      <c r="F305">
        <v>128.42394145322001</v>
      </c>
      <c r="G305">
        <v>112.03293256665</v>
      </c>
      <c r="I305" s="9">
        <f t="shared" si="40"/>
        <v>155.51518458815997</v>
      </c>
      <c r="J305" s="9">
        <f t="shared" si="41"/>
        <v>626.27166524133997</v>
      </c>
      <c r="K305" s="9">
        <f t="shared" si="31"/>
        <v>155.51518458815997</v>
      </c>
      <c r="L305" s="10">
        <f t="shared" si="30"/>
        <v>0.24831904941481051</v>
      </c>
      <c r="M305" s="10">
        <f t="shared" si="42"/>
        <v>0.29125863143565567</v>
      </c>
      <c r="P305" s="8">
        <f t="shared" si="43"/>
        <v>0.36368541327559728</v>
      </c>
    </row>
    <row r="306" spans="1:16" x14ac:dyDescent="0.2">
      <c r="A306" s="8">
        <v>152</v>
      </c>
      <c r="B306" s="8">
        <v>304</v>
      </c>
      <c r="D306">
        <v>759.37290794979003</v>
      </c>
      <c r="E306">
        <v>271.07897489539999</v>
      </c>
      <c r="F306">
        <v>128.16048092002001</v>
      </c>
      <c r="G306">
        <v>111.61108207005</v>
      </c>
      <c r="I306" s="9">
        <f t="shared" si="40"/>
        <v>159.46789282534999</v>
      </c>
      <c r="J306" s="9">
        <f t="shared" si="41"/>
        <v>631.21242702976997</v>
      </c>
      <c r="K306" s="9">
        <f t="shared" si="31"/>
        <v>159.46789282534999</v>
      </c>
      <c r="L306" s="10">
        <f t="shared" si="30"/>
        <v>0.25263744184464382</v>
      </c>
      <c r="M306" s="10">
        <f t="shared" si="42"/>
        <v>0.29571873865763698</v>
      </c>
      <c r="P306" s="8">
        <f t="shared" si="43"/>
        <v>1.9005765121933003</v>
      </c>
    </row>
    <row r="307" spans="1:16" x14ac:dyDescent="0.2">
      <c r="A307" s="8">
        <v>152.5</v>
      </c>
      <c r="B307" s="8">
        <v>305</v>
      </c>
      <c r="D307">
        <v>742.82949790794999</v>
      </c>
      <c r="E307">
        <v>267.50366108787</v>
      </c>
      <c r="F307">
        <v>128.25718766336001</v>
      </c>
      <c r="G307">
        <v>112.07422895975</v>
      </c>
      <c r="I307" s="9">
        <f t="shared" si="40"/>
        <v>155.42943212812</v>
      </c>
      <c r="J307" s="9">
        <f t="shared" si="41"/>
        <v>614.57231024458997</v>
      </c>
      <c r="K307" s="9">
        <f t="shared" si="31"/>
        <v>155.42943212812</v>
      </c>
      <c r="L307" s="10">
        <f t="shared" si="30"/>
        <v>0.25290666295437481</v>
      </c>
      <c r="M307" s="10">
        <f t="shared" si="42"/>
        <v>0.296129674559516</v>
      </c>
      <c r="P307" s="8">
        <f t="shared" si="43"/>
        <v>2.0421793253971989</v>
      </c>
    </row>
    <row r="308" spans="1:16" x14ac:dyDescent="0.2">
      <c r="A308" s="8">
        <v>153</v>
      </c>
      <c r="B308" s="8">
        <v>306</v>
      </c>
      <c r="D308">
        <v>733.95868200837003</v>
      </c>
      <c r="E308">
        <v>262.70554393305002</v>
      </c>
      <c r="F308">
        <v>128.3470987977</v>
      </c>
      <c r="G308">
        <v>111.88029273393001</v>
      </c>
      <c r="I308" s="9">
        <f t="shared" si="40"/>
        <v>150.82525119912003</v>
      </c>
      <c r="J308" s="9">
        <f t="shared" si="41"/>
        <v>605.61158321067001</v>
      </c>
      <c r="K308" s="9">
        <f t="shared" si="31"/>
        <v>150.82525119912003</v>
      </c>
      <c r="L308" s="10">
        <f t="shared" si="30"/>
        <v>0.24904617973043866</v>
      </c>
      <c r="M308" s="10">
        <f t="shared" si="42"/>
        <v>0.29241090612772785</v>
      </c>
      <c r="P308" s="8">
        <f t="shared" si="43"/>
        <v>0.76074329319068679</v>
      </c>
    </row>
    <row r="309" spans="1:16" x14ac:dyDescent="0.2">
      <c r="A309" s="8">
        <v>153.5</v>
      </c>
      <c r="B309" s="8">
        <v>307</v>
      </c>
      <c r="D309">
        <v>726.98117154811996</v>
      </c>
      <c r="E309">
        <v>260.79079497907998</v>
      </c>
      <c r="F309">
        <v>128.52744380554</v>
      </c>
      <c r="G309">
        <v>112.11029796132</v>
      </c>
      <c r="I309" s="9">
        <f t="shared" si="40"/>
        <v>148.68049701775999</v>
      </c>
      <c r="J309" s="9">
        <f t="shared" si="41"/>
        <v>598.45372774257999</v>
      </c>
      <c r="K309" s="9">
        <f t="shared" si="31"/>
        <v>148.68049701775999</v>
      </c>
      <c r="L309" s="10">
        <f t="shared" si="30"/>
        <v>0.24844109097389347</v>
      </c>
      <c r="M309" s="10">
        <f t="shared" si="42"/>
        <v>0.29194753216333064</v>
      </c>
      <c r="P309" s="8">
        <f t="shared" si="43"/>
        <v>0.60107105081891432</v>
      </c>
    </row>
    <row r="310" spans="1:16" x14ac:dyDescent="0.2">
      <c r="A310" s="8">
        <v>154</v>
      </c>
      <c r="B310" s="8">
        <v>308</v>
      </c>
      <c r="D310">
        <v>725.68043933054003</v>
      </c>
      <c r="E310">
        <v>261.74163179916002</v>
      </c>
      <c r="F310">
        <v>128.66440146367</v>
      </c>
      <c r="G310">
        <v>111.91792995295</v>
      </c>
      <c r="I310" s="9">
        <f>E310-G310</f>
        <v>149.82370184621001</v>
      </c>
      <c r="J310" s="9">
        <f>D310-F310</f>
        <v>597.01603786686997</v>
      </c>
      <c r="K310" s="9">
        <f t="shared" si="31"/>
        <v>149.82370184621001</v>
      </c>
      <c r="L310" s="10">
        <f t="shared" si="30"/>
        <v>0.25095423295750652</v>
      </c>
      <c r="M310" s="10">
        <f>L310+ABS($N$2)*A310</f>
        <v>0.29460238893909169</v>
      </c>
      <c r="O310" s="11"/>
      <c r="P310" s="8">
        <f>(M310-$O$2)/$O$2*100</f>
        <v>1.5158978799721272</v>
      </c>
    </row>
    <row r="311" spans="1:16" x14ac:dyDescent="0.2">
      <c r="A311" s="8">
        <v>154.5</v>
      </c>
      <c r="B311" s="8">
        <v>309</v>
      </c>
      <c r="D311">
        <v>740.42677824268003</v>
      </c>
      <c r="E311">
        <v>261.25</v>
      </c>
      <c r="F311">
        <v>128.47882906429999</v>
      </c>
      <c r="G311">
        <v>112.00209095661</v>
      </c>
      <c r="I311" s="9">
        <f t="shared" ref="I311:I319" si="44">E311-G311</f>
        <v>149.24790904339</v>
      </c>
      <c r="J311" s="9">
        <f t="shared" ref="J311:J319" si="45">D311-F311</f>
        <v>611.94794917837999</v>
      </c>
      <c r="K311" s="9">
        <f t="shared" si="31"/>
        <v>149.24790904339</v>
      </c>
      <c r="L311" s="10">
        <f t="shared" si="30"/>
        <v>0.24388987534605647</v>
      </c>
      <c r="M311" s="10">
        <f t="shared" ref="M311:M319" si="46">L311+ABS($N$2)*A311</f>
        <v>0.28767974611978964</v>
      </c>
      <c r="P311" s="8">
        <f t="shared" ref="P311:P319" si="47">(M311-$O$2)/$O$2*100</f>
        <v>-0.86954883698943386</v>
      </c>
    </row>
    <row r="312" spans="1:16" x14ac:dyDescent="0.2">
      <c r="A312" s="8">
        <v>155</v>
      </c>
      <c r="B312" s="8">
        <v>310</v>
      </c>
      <c r="D312">
        <v>752.82531380753005</v>
      </c>
      <c r="E312">
        <v>262.79497907950002</v>
      </c>
      <c r="F312">
        <v>128.29796131730001</v>
      </c>
      <c r="G312">
        <v>111.96602195504001</v>
      </c>
      <c r="I312" s="9">
        <f t="shared" si="44"/>
        <v>150.82895712446003</v>
      </c>
      <c r="J312" s="9">
        <f t="shared" si="45"/>
        <v>624.52735249022999</v>
      </c>
      <c r="K312" s="9">
        <f t="shared" si="31"/>
        <v>150.82895712446003</v>
      </c>
      <c r="L312" s="10">
        <f t="shared" si="30"/>
        <v>0.24150896917972792</v>
      </c>
      <c r="M312" s="10">
        <f t="shared" si="46"/>
        <v>0.28544055474560914</v>
      </c>
      <c r="N312" s="1"/>
      <c r="P312" s="8">
        <f t="shared" si="47"/>
        <v>-1.6411431329271291</v>
      </c>
    </row>
    <row r="313" spans="1:16" x14ac:dyDescent="0.2">
      <c r="A313" s="8">
        <v>155.5</v>
      </c>
      <c r="B313" s="8">
        <v>311</v>
      </c>
      <c r="D313">
        <v>754.08805031447002</v>
      </c>
      <c r="E313">
        <v>263.70911949686001</v>
      </c>
      <c r="F313">
        <v>128.46366962886</v>
      </c>
      <c r="G313">
        <v>111.81651855724</v>
      </c>
      <c r="I313" s="9">
        <f t="shared" si="44"/>
        <v>151.89260093962002</v>
      </c>
      <c r="J313" s="9">
        <f t="shared" si="45"/>
        <v>625.62438068561005</v>
      </c>
      <c r="K313" s="9">
        <f t="shared" si="31"/>
        <v>151.89260093962002</v>
      </c>
      <c r="L313" s="10">
        <f t="shared" si="30"/>
        <v>0.24278561646392963</v>
      </c>
      <c r="M313" s="10">
        <f t="shared" si="46"/>
        <v>0.28685891682195885</v>
      </c>
      <c r="P313" s="8">
        <f t="shared" si="47"/>
        <v>-1.1523952303114742</v>
      </c>
    </row>
    <row r="314" spans="1:16" x14ac:dyDescent="0.2">
      <c r="A314" s="8">
        <v>156</v>
      </c>
      <c r="B314" s="8">
        <v>312</v>
      </c>
      <c r="D314">
        <v>750.46278825996001</v>
      </c>
      <c r="E314">
        <v>263.61425576520003</v>
      </c>
      <c r="F314">
        <v>128.47046523784999</v>
      </c>
      <c r="G314">
        <v>111.86670151593999</v>
      </c>
      <c r="I314" s="9">
        <f t="shared" si="44"/>
        <v>151.74755424926002</v>
      </c>
      <c r="J314" s="9">
        <f t="shared" si="45"/>
        <v>621.99232302210999</v>
      </c>
      <c r="K314" s="9">
        <f t="shared" si="31"/>
        <v>151.74755424926002</v>
      </c>
      <c r="L314" s="10">
        <f t="shared" si="30"/>
        <v>0.24397014019715776</v>
      </c>
      <c r="M314" s="10">
        <f t="shared" si="46"/>
        <v>0.28818515534733496</v>
      </c>
      <c r="P314" s="8">
        <f t="shared" si="47"/>
        <v>-0.6953918258536731</v>
      </c>
    </row>
    <row r="315" spans="1:16" x14ac:dyDescent="0.2">
      <c r="A315" s="8">
        <v>156.5</v>
      </c>
      <c r="B315" s="8">
        <v>313</v>
      </c>
      <c r="D315">
        <v>753.50104821802995</v>
      </c>
      <c r="E315">
        <v>264.24161425577</v>
      </c>
      <c r="F315">
        <v>128.1562990068</v>
      </c>
      <c r="G315">
        <v>111.86461055933</v>
      </c>
      <c r="I315" s="9">
        <f t="shared" si="44"/>
        <v>152.37700369644</v>
      </c>
      <c r="J315" s="9">
        <f t="shared" si="45"/>
        <v>625.34474921123001</v>
      </c>
      <c r="K315" s="9">
        <f t="shared" si="31"/>
        <v>152.37700369644</v>
      </c>
      <c r="L315" s="10">
        <f t="shared" si="30"/>
        <v>0.24366879851256229</v>
      </c>
      <c r="M315" s="10">
        <f t="shared" si="46"/>
        <v>0.28802552845488749</v>
      </c>
      <c r="P315" s="8">
        <f t="shared" si="47"/>
        <v>-0.75039703939233604</v>
      </c>
    </row>
    <row r="316" spans="1:16" x14ac:dyDescent="0.2">
      <c r="A316" s="8">
        <v>157</v>
      </c>
      <c r="B316" s="8">
        <v>314</v>
      </c>
      <c r="D316">
        <v>766.27410901467999</v>
      </c>
      <c r="E316">
        <v>267.35691823898998</v>
      </c>
      <c r="F316">
        <v>128.36748562467</v>
      </c>
      <c r="G316">
        <v>111.58964976477</v>
      </c>
      <c r="I316" s="9">
        <f t="shared" si="44"/>
        <v>155.76726847421997</v>
      </c>
      <c r="J316" s="9">
        <f t="shared" si="45"/>
        <v>637.90662339001005</v>
      </c>
      <c r="K316" s="9">
        <f t="shared" si="31"/>
        <v>155.76726847421997</v>
      </c>
      <c r="L316" s="10">
        <f t="shared" si="30"/>
        <v>0.24418506214346883</v>
      </c>
      <c r="M316" s="10">
        <f t="shared" si="46"/>
        <v>0.28868350687794203</v>
      </c>
      <c r="P316" s="8">
        <f t="shared" si="47"/>
        <v>-0.52366679921142745</v>
      </c>
    </row>
    <row r="317" spans="1:16" x14ac:dyDescent="0.2">
      <c r="A317" s="8">
        <v>157.5</v>
      </c>
      <c r="B317" s="8">
        <v>315</v>
      </c>
      <c r="D317">
        <v>768.32809224318999</v>
      </c>
      <c r="E317">
        <v>267.63522012579</v>
      </c>
      <c r="F317">
        <v>128.12650287507</v>
      </c>
      <c r="G317">
        <v>112.11029796132</v>
      </c>
      <c r="I317" s="9">
        <f t="shared" si="44"/>
        <v>155.52492216447001</v>
      </c>
      <c r="J317" s="9">
        <f t="shared" si="45"/>
        <v>640.20158936812004</v>
      </c>
      <c r="K317" s="9">
        <f t="shared" si="31"/>
        <v>155.52492216447001</v>
      </c>
      <c r="L317" s="10">
        <f t="shared" si="30"/>
        <v>0.24293117159857935</v>
      </c>
      <c r="M317" s="10">
        <f t="shared" si="46"/>
        <v>0.28757133112520056</v>
      </c>
      <c r="P317" s="8">
        <f t="shared" si="47"/>
        <v>-0.90690714069836309</v>
      </c>
    </row>
    <row r="318" spans="1:16" x14ac:dyDescent="0.2">
      <c r="A318" s="8">
        <v>158</v>
      </c>
      <c r="B318" s="8">
        <v>316</v>
      </c>
      <c r="D318">
        <v>750.22798742138002</v>
      </c>
      <c r="E318">
        <v>260.9748427673</v>
      </c>
      <c r="F318">
        <v>127.88290642969</v>
      </c>
      <c r="G318">
        <v>111.68269733403</v>
      </c>
      <c r="I318" s="9">
        <f t="shared" si="44"/>
        <v>149.29214543327001</v>
      </c>
      <c r="J318" s="9">
        <f t="shared" si="45"/>
        <v>622.34508099169</v>
      </c>
      <c r="K318" s="9">
        <f t="shared" si="31"/>
        <v>149.29214543327001</v>
      </c>
      <c r="L318" s="10">
        <f t="shared" si="30"/>
        <v>0.2398864392008643</v>
      </c>
      <c r="M318" s="10">
        <f t="shared" si="46"/>
        <v>0.28466831351963351</v>
      </c>
      <c r="P318" s="8">
        <f t="shared" si="47"/>
        <v>-1.9072467504746935</v>
      </c>
    </row>
    <row r="319" spans="1:16" x14ac:dyDescent="0.2">
      <c r="A319" s="8">
        <v>158.5</v>
      </c>
      <c r="B319" s="8">
        <v>317</v>
      </c>
      <c r="D319">
        <v>743.08962264151</v>
      </c>
      <c r="E319">
        <v>260.87421383648001</v>
      </c>
      <c r="F319">
        <v>128.23941453214999</v>
      </c>
      <c r="G319">
        <v>111.78097229482999</v>
      </c>
      <c r="I319" s="9">
        <f t="shared" si="44"/>
        <v>149.09324154165</v>
      </c>
      <c r="J319" s="9">
        <f t="shared" si="45"/>
        <v>614.85020810935998</v>
      </c>
      <c r="K319" s="9">
        <f t="shared" si="31"/>
        <v>149.09324154165</v>
      </c>
      <c r="L319" s="10">
        <f t="shared" si="30"/>
        <v>0.24248709616624481</v>
      </c>
      <c r="M319" s="10">
        <f t="shared" si="46"/>
        <v>0.28741068527716201</v>
      </c>
      <c r="P319" s="8">
        <f t="shared" si="47"/>
        <v>-0.96226347220351571</v>
      </c>
    </row>
    <row r="320" spans="1:16" x14ac:dyDescent="0.2">
      <c r="A320" s="8">
        <v>159</v>
      </c>
      <c r="B320" s="8">
        <v>318</v>
      </c>
      <c r="D320">
        <v>737.15408805030995</v>
      </c>
      <c r="E320">
        <v>261.67138364779998</v>
      </c>
      <c r="F320">
        <v>128.41348667015001</v>
      </c>
      <c r="G320">
        <v>112.20282279142999</v>
      </c>
      <c r="I320" s="9">
        <f>E320-G320</f>
        <v>149.46856085637</v>
      </c>
      <c r="J320" s="9">
        <f>D320-F320</f>
        <v>608.74060138015989</v>
      </c>
      <c r="K320" s="9">
        <f t="shared" si="31"/>
        <v>149.46856085637</v>
      </c>
      <c r="L320" s="10">
        <f t="shared" si="30"/>
        <v>0.24553736109845342</v>
      </c>
      <c r="M320" s="10">
        <f>L320+ABS($N$2)*A320</f>
        <v>0.29060266500151866</v>
      </c>
      <c r="O320" s="11"/>
      <c r="P320" s="8">
        <f>(M320-$O$2)/$O$2*100</f>
        <v>0.13764847657475504</v>
      </c>
    </row>
    <row r="321" spans="1:16" x14ac:dyDescent="0.2">
      <c r="A321" s="8">
        <v>159.5</v>
      </c>
      <c r="B321" s="8">
        <v>319</v>
      </c>
      <c r="D321">
        <v>726.75456919060002</v>
      </c>
      <c r="E321">
        <v>256.68981723237999</v>
      </c>
      <c r="F321">
        <v>128.37375849451001</v>
      </c>
      <c r="G321">
        <v>111.96340825928</v>
      </c>
      <c r="I321" s="9">
        <f t="shared" ref="I321" si="48">E321-G321</f>
        <v>144.72640897309998</v>
      </c>
      <c r="J321" s="9">
        <f t="shared" ref="J321" si="49">D321-F321</f>
        <v>598.38081069609007</v>
      </c>
      <c r="K321" s="9">
        <f t="shared" si="31"/>
        <v>144.72640897309998</v>
      </c>
      <c r="L321" s="10">
        <f t="shared" si="30"/>
        <v>0.2418633859677774</v>
      </c>
      <c r="M321" s="10">
        <f t="shared" ref="M321" si="50">L321+ABS($N$2)*A321</f>
        <v>0.28707040466299061</v>
      </c>
      <c r="P321" s="8">
        <f t="shared" ref="P321" si="51">(M321-$O$2)/$O$2*100</f>
        <v>-1.079519453063537</v>
      </c>
    </row>
    <row r="322" spans="1:16" x14ac:dyDescent="0.2">
      <c r="A322" s="8">
        <v>160</v>
      </c>
      <c r="B322" s="8">
        <v>320</v>
      </c>
      <c r="D322">
        <v>737.0819843342</v>
      </c>
      <c r="E322">
        <v>258.24125326371001</v>
      </c>
      <c r="F322">
        <v>128.46001045477999</v>
      </c>
      <c r="G322">
        <v>111.69472033455</v>
      </c>
      <c r="I322" s="9">
        <f>E322-G322</f>
        <v>146.54653292916001</v>
      </c>
      <c r="J322" s="9">
        <f>D322-F322</f>
        <v>608.62197387942001</v>
      </c>
      <c r="K322" s="9">
        <f t="shared" si="31"/>
        <v>146.54653292916001</v>
      </c>
      <c r="L322" s="10">
        <f t="shared" ref="L322" si="52">K322/J322</f>
        <v>0.24078416360003749</v>
      </c>
      <c r="M322" s="10">
        <f>L322+ABS($N$2)*A322</f>
        <v>0.28613289708739875</v>
      </c>
      <c r="O322" s="11"/>
      <c r="P322" s="8">
        <f>(M322-$O$2)/$O$2*100</f>
        <v>-1.4025715628859041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240814B001</vt:lpstr>
      <vt:lpstr>240814B002</vt:lpstr>
      <vt:lpstr>240814B003</vt:lpstr>
      <vt:lpstr>240814B004</vt:lpstr>
      <vt:lpstr>240814B005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2024-08-15T16:45:59Z</dcterms:modified>
</cp:coreProperties>
</file>